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4D4AAA4-56A3-4A4F-B020-EABEEAC2B4F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G20" i="2"/>
  <c r="AG36" i="2"/>
  <c r="AG55" i="2"/>
  <c r="AC93" i="2"/>
  <c r="AG107" i="2"/>
  <c r="AE108" i="2"/>
  <c r="AC90" i="2"/>
  <c r="AD105" i="2"/>
  <c r="AG93" i="2"/>
  <c r="AE86" i="2"/>
  <c r="AB99" i="2"/>
  <c r="AC85" i="2"/>
  <c r="AC59" i="2"/>
  <c r="AC75" i="2"/>
  <c r="AF28" i="2"/>
  <c r="AF47" i="2"/>
  <c r="AF63" i="2"/>
  <c r="AC92" i="2"/>
  <c r="AC104" i="2"/>
  <c r="AC6" i="2"/>
  <c r="AF108" i="2"/>
  <c r="AD106" i="2"/>
  <c r="AD97" i="2"/>
  <c r="AC88" i="2"/>
  <c r="AG99" i="2"/>
  <c r="AG91" i="2"/>
  <c r="AF96" i="2"/>
  <c r="AD94" i="2"/>
  <c r="AE106" i="2"/>
  <c r="AF14" i="2"/>
  <c r="AF81" i="2"/>
  <c r="AE29" i="2"/>
  <c r="AE48" i="2"/>
  <c r="AB53" i="2"/>
  <c r="AE27" i="2"/>
  <c r="AF97" i="2"/>
  <c r="AF92" i="2"/>
  <c r="AF80" i="2"/>
  <c r="AC33" i="2"/>
  <c r="AC76" i="2"/>
  <c r="AF34" i="2"/>
  <c r="AF69" i="2"/>
  <c r="AE68" i="2"/>
  <c r="AB22" i="2"/>
  <c r="AE88" i="2"/>
  <c r="AG32" i="2"/>
  <c r="AE74" i="2"/>
  <c r="AC19" i="2"/>
  <c r="AF73" i="2"/>
  <c r="AB10" i="2"/>
  <c r="AB107" i="2"/>
  <c r="AB89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F12" i="2"/>
  <c r="AF79" i="2"/>
  <c r="AC22" i="2"/>
  <c r="AC41" i="2"/>
  <c r="AC61" i="2"/>
  <c r="AB94" i="2"/>
  <c r="AD110" i="2"/>
  <c r="AE91" i="2"/>
  <c r="AF30" i="2"/>
  <c r="AE13" i="2"/>
  <c r="AE64" i="2"/>
  <c r="AB18" i="2"/>
  <c r="AG106" i="2"/>
  <c r="AE82" i="2"/>
  <c r="AG67" i="2"/>
  <c r="AD107" i="2"/>
  <c r="AF88" i="2"/>
  <c r="AC60" i="2"/>
  <c r="AC84" i="2"/>
  <c r="AE85" i="2"/>
  <c r="AE52" i="2"/>
  <c r="AB57" i="2"/>
  <c r="AG96" i="2"/>
  <c r="AE50" i="2"/>
  <c r="AC69" i="2"/>
  <c r="AE97" i="2"/>
  <c r="AG51" i="2"/>
  <c r="AC54" i="2"/>
  <c r="AF57" i="2"/>
  <c r="AE72" i="2"/>
  <c r="AE35" i="2"/>
  <c r="AE84" i="2"/>
  <c r="AF9" i="2"/>
  <c r="AF17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G104" i="2"/>
  <c r="AE7" i="2"/>
  <c r="AE23" i="2"/>
  <c r="AE42" i="2"/>
  <c r="AE66" i="2"/>
  <c r="AB95" i="2"/>
  <c r="AF109" i="2"/>
  <c r="AE92" i="2"/>
  <c r="AC107" i="2"/>
  <c r="AB104" i="2"/>
  <c r="AC89" i="2"/>
  <c r="AF104" i="2"/>
  <c r="AF94" i="2"/>
  <c r="AD50" i="2"/>
  <c r="AD66" i="2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82" i="2"/>
  <c r="AE93" i="2"/>
  <c r="AE105" i="2"/>
  <c r="AG8" i="2"/>
  <c r="AG24" i="2"/>
  <c r="AG43" i="2"/>
  <c r="AG71" i="2"/>
  <c r="AG95" i="2"/>
  <c r="AE110" i="2"/>
  <c r="AC57" i="2"/>
  <c r="AD93" i="2"/>
  <c r="AB108" i="2"/>
  <c r="AF106" i="2"/>
  <c r="AE90" i="2"/>
  <c r="AF105" i="2"/>
  <c r="AE96" i="2"/>
  <c r="AC28" i="2"/>
  <c r="AC79" i="2"/>
  <c r="AF16" i="2"/>
  <c r="AF67" i="2"/>
  <c r="AF83" i="2"/>
  <c r="AG108" i="2"/>
  <c r="AD104" i="2"/>
  <c r="AG83" i="2"/>
  <c r="AE70" i="2"/>
  <c r="AD5" i="2"/>
  <c r="AC55" i="2"/>
  <c r="AC46" i="2"/>
  <c r="AF6" i="2"/>
  <c r="AG98" i="2"/>
  <c r="AB98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47" i="2"/>
  <c r="AC63" i="2"/>
  <c r="AF32" i="2"/>
  <c r="AF51" i="2"/>
  <c r="AC94" i="2"/>
  <c r="AC106" i="2"/>
  <c r="AC10" i="2"/>
  <c r="AC26" i="2"/>
  <c r="AC45" i="2"/>
  <c r="AC77" i="2"/>
  <c r="AG59" i="2"/>
  <c r="AE62" i="2"/>
  <c r="AB109" i="2"/>
  <c r="AF107" i="2"/>
  <c r="AF91" i="2"/>
  <c r="AD98" i="2"/>
  <c r="AC82" i="2"/>
  <c r="AF65" i="2"/>
  <c r="AE80" i="2"/>
  <c r="AB34" i="2"/>
  <c r="AB69" i="2"/>
  <c r="AG94" i="2"/>
  <c r="AE46" i="2"/>
  <c r="AG75" i="2"/>
  <c r="AC95" i="2"/>
  <c r="AG109" i="2"/>
  <c r="AD109" i="2"/>
  <c r="AB105" i="2"/>
  <c r="AC9" i="2"/>
  <c r="AC44" i="2"/>
  <c r="AF53" i="2"/>
  <c r="AE33" i="2"/>
  <c r="AB41" i="2"/>
  <c r="AF87" i="2"/>
  <c r="AE31" i="2"/>
  <c r="AB93" i="2"/>
  <c r="AB110" i="2"/>
  <c r="AE109" i="2"/>
  <c r="AF95" i="2"/>
  <c r="AC81" i="2"/>
  <c r="AD40" i="2"/>
  <c r="AC87" i="2"/>
  <c r="AC20" i="2"/>
  <c r="AF8" i="2"/>
  <c r="AF43" i="2"/>
  <c r="AC98" i="2"/>
  <c r="AC53" i="2"/>
  <c r="AD88" i="2"/>
  <c r="AC27" i="2"/>
  <c r="AF22" i="2"/>
  <c r="AD90" i="2"/>
  <c r="AE54" i="2"/>
  <c r="AG105" i="2"/>
  <c r="AC65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F49" i="2"/>
  <c r="AB85" i="2"/>
  <c r="AE11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12" i="2"/>
  <c r="AG28" i="2"/>
  <c r="AG47" i="2"/>
  <c r="AF85" i="2"/>
  <c r="AE98" i="2"/>
  <c r="AB87" i="2"/>
  <c r="AC73" i="2"/>
  <c r="AB96" i="2"/>
  <c r="AF110" i="2"/>
  <c r="AE58" i="2"/>
  <c r="AF93" i="2"/>
  <c r="AD108" i="2"/>
  <c r="AB72" i="2"/>
  <c r="AE8" i="2"/>
  <c r="AE16" i="2"/>
  <c r="AE32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C14" i="2"/>
  <c r="AC30" i="2"/>
  <c r="AC49" i="2"/>
  <c r="AE87" i="2"/>
  <c r="AD99" i="2"/>
  <c r="AF89" i="2"/>
  <c r="AE78" i="2"/>
  <c r="AB97" i="2"/>
  <c r="AG63" i="2"/>
  <c r="AE94" i="2"/>
  <c r="AC109" i="2"/>
  <c r="AG113" i="2"/>
  <c r="AF72" i="2"/>
  <c r="AC17" i="2"/>
  <c r="AC25" i="2"/>
  <c r="AC52" i="2"/>
  <c r="AC68" i="2"/>
  <c r="AF18" i="2"/>
  <c r="AE17" i="2"/>
  <c r="AB6" i="2"/>
  <c r="AB73" i="2"/>
  <c r="AE15" i="2"/>
  <c r="AG88" i="2"/>
  <c r="AG97" i="2"/>
  <c r="AD95" i="2"/>
  <c r="AD58" i="2"/>
  <c r="AG89" i="2"/>
  <c r="AC86" i="2"/>
  <c r="AD21" i="2"/>
  <c r="AC71" i="2"/>
  <c r="AF59" i="2"/>
  <c r="AC110" i="2"/>
  <c r="AB91" i="2"/>
  <c r="AB106" i="2"/>
  <c r="AG87" i="2"/>
  <c r="AF90" i="2"/>
  <c r="AC78" i="2"/>
  <c r="AE56" i="2"/>
  <c r="AB61" i="2"/>
  <c r="AB5" i="2"/>
  <c r="AB13" i="2"/>
  <c r="AB21" i="2"/>
  <c r="AB29" i="2"/>
  <c r="AB40" i="2"/>
  <c r="AB48" i="2"/>
  <c r="AB56" i="2"/>
  <c r="AB64" i="2"/>
  <c r="AB80" i="2"/>
  <c r="AB88" i="2"/>
  <c r="AE24" i="2"/>
  <c r="AE43" i="2"/>
  <c r="AE51" i="2"/>
  <c r="AF5" i="2"/>
  <c r="AF13" i="2"/>
  <c r="AF21" i="2"/>
  <c r="AF29" i="2"/>
  <c r="AF40" i="2"/>
  <c r="AF48" i="2"/>
  <c r="AF56" i="2"/>
  <c r="AF64" i="2"/>
  <c r="AE21" i="2"/>
  <c r="AB77" i="2"/>
  <c r="AE19" i="2"/>
  <c r="AE104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D7" i="2"/>
  <c r="AD23" i="2"/>
  <c r="AD42" i="2"/>
  <c r="AD74" i="2"/>
  <c r="AG16" i="2"/>
  <c r="AC105" i="2"/>
  <c r="AF98" i="2"/>
  <c r="AD96" i="2"/>
  <c r="AD56" i="2"/>
  <c r="AF75" i="2"/>
  <c r="AC18" i="2"/>
  <c r="AC99" i="2"/>
  <c r="AC97" i="2"/>
  <c r="AC35" i="2"/>
  <c r="AC62" i="2"/>
  <c r="AF41" i="2"/>
  <c r="AE40" i="2"/>
  <c r="AB26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72" i="2"/>
  <c r="AC36" i="2"/>
  <c r="AF24" i="2"/>
  <c r="AE89" i="2"/>
  <c r="AC34" i="2"/>
  <c r="AF99" i="2"/>
  <c r="AG79" i="2"/>
  <c r="AC11" i="2"/>
  <c r="AC70" i="2"/>
  <c r="AE5" i="2"/>
  <c r="AE111" i="2" s="1"/>
  <c r="AB45" i="2"/>
  <c r="AG110" i="2"/>
  <c r="AD92" i="2"/>
  <c r="AG90" i="2"/>
  <c r="AF7" i="2"/>
  <c r="AF15" i="2"/>
  <c r="AF23" i="2"/>
  <c r="AF31" i="2"/>
  <c r="AF42" i="2"/>
  <c r="AF50" i="2"/>
  <c r="AF58" i="2"/>
  <c r="AF66" i="2"/>
  <c r="AF74" i="2"/>
  <c r="AF82" i="2"/>
  <c r="AA172" i="1" l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179" i="1"/>
  <c r="AA154" i="1"/>
  <c r="AA156" i="1" s="1"/>
  <c r="AA185" i="1" s="1"/>
  <c r="AA120" i="1"/>
  <c r="AA183" i="1"/>
  <c r="AA175" i="1"/>
  <c r="AA252" i="1"/>
  <c r="AA37" i="1"/>
  <c r="AA231" i="1"/>
  <c r="AA134" i="1"/>
  <c r="AA138" i="1" s="1"/>
  <c r="AA129" i="1"/>
  <c r="AA194" i="1"/>
  <c r="AA182" i="1"/>
  <c r="AA180" i="1"/>
  <c r="AA173" i="1"/>
  <c r="AA161" i="1"/>
  <c r="AA157" i="1"/>
  <c r="AA10" i="1"/>
  <c r="AB111" i="2"/>
  <c r="AB112" i="2"/>
  <c r="AA73" i="1" s="1"/>
  <c r="AB113" i="2"/>
  <c r="AA74" i="1" s="1"/>
  <c r="AF111" i="2"/>
  <c r="AF113" i="2"/>
  <c r="CG152" i="1"/>
  <c r="AF112" i="2"/>
  <c r="AC113" i="2"/>
  <c r="AC111" i="2"/>
  <c r="AG112" i="2"/>
  <c r="AG111" i="2"/>
  <c r="AE113" i="2"/>
  <c r="AE112" i="2"/>
  <c r="AD112" i="2"/>
  <c r="AD111" i="2"/>
  <c r="AD113" i="2"/>
  <c r="AC112" i="2"/>
  <c r="AA186" i="1" l="1"/>
  <c r="AA181" i="1"/>
  <c r="AA246" i="1"/>
  <c r="AA248" i="1"/>
  <c r="AA244" i="1"/>
  <c r="AA16" i="1"/>
  <c r="AA98" i="1"/>
  <c r="AA184" i="1"/>
  <c r="AA33" i="1"/>
  <c r="AA168" i="1"/>
  <c r="AA109" i="1" s="1"/>
  <c r="AA165" i="1"/>
  <c r="AA166" i="1" s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17" i="1" l="1"/>
  <c r="AA28" i="1"/>
  <c r="B1" i="9"/>
  <c r="L1" i="9"/>
  <c r="A1" i="9"/>
  <c r="AA112" i="1" l="1"/>
  <c r="AA29" i="1"/>
  <c r="AA34" i="1"/>
  <c r="AA232" i="1"/>
  <c r="AA233" i="1" s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N33" i="3"/>
  <c r="BF25" i="3"/>
  <c r="CL36" i="1" s="1"/>
  <c r="BI22" i="3"/>
  <c r="BG8" i="3"/>
  <c r="BM29" i="3"/>
  <c r="BS23" i="3"/>
  <c r="BE21" i="3"/>
  <c r="BK15" i="3"/>
  <c r="BQ9" i="3"/>
  <c r="BL50" i="3"/>
  <c r="BL78" i="3"/>
  <c r="BL91" i="3"/>
  <c r="BL81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N55" i="3"/>
  <c r="BM35" i="3"/>
  <c r="BN30" i="3"/>
  <c r="BT24" i="3"/>
  <c r="BI19" i="3"/>
  <c r="BO13" i="3"/>
  <c r="BU7" i="3"/>
  <c r="BQ30" i="3"/>
  <c r="BT27" i="3"/>
  <c r="BL19" i="3"/>
  <c r="BO16" i="3"/>
  <c r="BR13" i="3"/>
  <c r="BU10" i="3"/>
  <c r="BJ5" i="3"/>
  <c r="BJ32" i="3"/>
  <c r="BP26" i="3"/>
  <c r="BH18" i="3"/>
  <c r="BN12" i="3"/>
  <c r="BT6" i="3"/>
  <c r="BL84" i="3"/>
  <c r="BT11" i="3"/>
  <c r="BL30" i="3"/>
  <c r="BJ16" i="3"/>
  <c r="BE5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N73" i="3"/>
  <c r="BE93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82" i="3"/>
  <c r="BN86" i="3"/>
  <c r="BE86" i="3"/>
  <c r="BJ91" i="3"/>
  <c r="BQ14" i="3"/>
  <c r="BI33" i="3"/>
  <c r="BU21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92" i="3"/>
  <c r="BF9" i="3"/>
  <c r="BS7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P10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O27" i="3"/>
  <c r="BR37" i="3"/>
  <c r="BI16" i="3"/>
  <c r="BI42" i="3"/>
  <c r="BF27" i="3"/>
  <c r="BS46" i="3"/>
  <c r="BI32" i="3"/>
  <c r="BP9" i="3"/>
  <c r="BG36" i="3"/>
  <c r="BS14" i="3"/>
  <c r="BK45" i="3"/>
  <c r="BN40" i="3"/>
  <c r="BQ37" i="3"/>
  <c r="BT34" i="3"/>
  <c r="BK29" i="3"/>
  <c r="BQ23" i="3"/>
  <c r="BF18" i="3"/>
  <c r="CL21" i="1" s="1"/>
  <c r="AB21" i="1" s="1"/>
  <c r="BL12" i="3"/>
  <c r="BR6" i="3"/>
  <c r="BF45" i="3"/>
  <c r="CL63" i="1" s="1"/>
  <c r="BI40" i="3"/>
  <c r="BL37" i="3"/>
  <c r="BK34" i="3"/>
  <c r="BQ28" i="3"/>
  <c r="BF23" i="3"/>
  <c r="CL35" i="1" s="1"/>
  <c r="AB35" i="1" s="1"/>
  <c r="BL17" i="3"/>
  <c r="BR11" i="3"/>
  <c r="BG6" i="3"/>
  <c r="BR42" i="3"/>
  <c r="BU39" i="3"/>
  <c r="BG37" i="3"/>
  <c r="BS33" i="3"/>
  <c r="BH28" i="3"/>
  <c r="BN22" i="3"/>
  <c r="BT16" i="3"/>
  <c r="BI11" i="3"/>
  <c r="BO5" i="3"/>
  <c r="BK32" i="3"/>
  <c r="BN29" i="3"/>
  <c r="BQ26" i="3"/>
  <c r="BT23" i="3"/>
  <c r="BF21" i="3"/>
  <c r="CL9" i="1" s="1"/>
  <c r="AB9" i="1" s="1"/>
  <c r="BI18" i="3"/>
  <c r="BL15" i="3"/>
  <c r="BO12" i="3"/>
  <c r="BR9" i="3"/>
  <c r="BU6" i="3"/>
  <c r="BU33" i="3"/>
  <c r="BG31" i="3"/>
  <c r="BJ28" i="3"/>
  <c r="BM25" i="3"/>
  <c r="BP22" i="3"/>
  <c r="BS19" i="3"/>
  <c r="BE17" i="3"/>
  <c r="BH14" i="3"/>
  <c r="BK11" i="3"/>
  <c r="BN8" i="3"/>
  <c r="BQ5" i="3"/>
  <c r="BO56" i="3"/>
  <c r="BO82" i="3"/>
  <c r="BO87" i="3"/>
  <c r="BO96" i="3"/>
  <c r="BU58" i="3"/>
  <c r="BQ50" i="3"/>
  <c r="BG45" i="3"/>
  <c r="BM37" i="3"/>
  <c r="BT28" i="3"/>
  <c r="BO17" i="3"/>
  <c r="BJ6" i="3"/>
  <c r="BS42" i="3"/>
  <c r="BE40" i="3"/>
  <c r="BH37" i="3"/>
  <c r="BT33" i="3"/>
  <c r="BI28" i="3"/>
  <c r="BO22" i="3"/>
  <c r="BU16" i="3"/>
  <c r="BJ11" i="3"/>
  <c r="BP5" i="3"/>
  <c r="BN42" i="3"/>
  <c r="BQ39" i="3"/>
  <c r="BT36" i="3"/>
  <c r="BK33" i="3"/>
  <c r="BF22" i="3"/>
  <c r="BH15" i="3"/>
  <c r="BT30" i="3"/>
  <c r="BR16" i="3"/>
  <c r="BU13" i="3"/>
  <c r="BG11" i="3"/>
  <c r="BM5" i="3"/>
  <c r="BP50" i="3"/>
  <c r="BO60" i="3"/>
  <c r="BU71" i="3"/>
  <c r="BN17" i="3"/>
  <c r="BG19" i="3"/>
  <c r="BH33" i="3"/>
  <c r="BQ8" i="3"/>
  <c r="BJ41" i="3"/>
  <c r="BH25" i="3"/>
  <c r="BT45" i="3"/>
  <c r="BK30" i="3"/>
  <c r="BR7" i="3"/>
  <c r="BH35" i="3"/>
  <c r="BU12" i="3"/>
  <c r="BJ40" i="3"/>
  <c r="BN34" i="3"/>
  <c r="BI23" i="3"/>
  <c r="BU11" i="3"/>
  <c r="BQ27" i="3"/>
  <c r="BL16" i="3"/>
  <c r="BR10" i="3"/>
  <c r="BG5" i="3"/>
  <c r="BG32" i="3"/>
  <c r="BJ29" i="3"/>
  <c r="BM26" i="3"/>
  <c r="BP23" i="3"/>
  <c r="BS20" i="3"/>
  <c r="BE18" i="3"/>
  <c r="BK12" i="3"/>
  <c r="BN9" i="3"/>
  <c r="BQ6" i="3"/>
  <c r="BQ33" i="3"/>
  <c r="BF28" i="3"/>
  <c r="CL32" i="1" s="1"/>
  <c r="BI25" i="3"/>
  <c r="BL22" i="3"/>
  <c r="BO19" i="3"/>
  <c r="BJ8" i="3"/>
  <c r="BP71" i="3"/>
  <c r="BQ47" i="3"/>
  <c r="BM92" i="3"/>
  <c r="BP77" i="3"/>
  <c r="BO90" i="3"/>
  <c r="BR24" i="3"/>
  <c r="BG55" i="3"/>
  <c r="BG56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H90" i="3"/>
  <c r="BI6" i="3"/>
  <c r="BM13" i="3"/>
  <c r="BH57" i="3"/>
  <c r="BG81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23" i="1" s="1"/>
  <c r="BI13" i="3"/>
  <c r="BL10" i="3"/>
  <c r="BO7" i="3"/>
  <c r="BP47" i="3"/>
  <c r="BU87" i="3"/>
  <c r="BU78" i="3"/>
  <c r="BU61" i="3"/>
  <c r="BU97" i="3"/>
  <c r="BU76" i="3"/>
  <c r="BU77" i="3"/>
  <c r="BU73" i="3"/>
  <c r="BU92" i="3"/>
  <c r="BU64" i="3"/>
  <c r="BU96" i="3"/>
  <c r="BO81" i="3"/>
  <c r="BO71" i="3"/>
  <c r="BO83" i="3"/>
  <c r="BO80" i="3"/>
  <c r="BO94" i="3"/>
  <c r="BO95" i="3"/>
  <c r="BO84" i="3"/>
  <c r="BO78" i="3"/>
  <c r="BO63" i="3"/>
  <c r="BO79" i="3"/>
  <c r="BO72" i="3"/>
  <c r="BO75" i="3"/>
  <c r="BO74" i="3"/>
  <c r="BO67" i="3"/>
  <c r="BO55" i="3"/>
  <c r="BO64" i="3"/>
  <c r="BO70" i="3"/>
  <c r="BO68" i="3"/>
  <c r="BO73" i="3"/>
  <c r="BO54" i="3"/>
  <c r="BO77" i="3"/>
  <c r="BO69" i="3"/>
  <c r="BO50" i="3"/>
  <c r="BO58" i="3"/>
  <c r="BO93" i="3"/>
  <c r="BO97" i="3"/>
  <c r="BO65" i="3"/>
  <c r="BO48" i="3"/>
  <c r="BO57" i="3"/>
  <c r="BO59" i="3"/>
  <c r="BO62" i="3"/>
  <c r="BO49" i="3"/>
  <c r="BO89" i="3"/>
  <c r="BO85" i="3"/>
  <c r="BO61" i="3"/>
  <c r="BO47" i="3"/>
  <c r="BQ59" i="3"/>
  <c r="BQ65" i="3"/>
  <c r="BQ88" i="3"/>
  <c r="BQ79" i="3"/>
  <c r="BQ86" i="3"/>
  <c r="BQ97" i="3"/>
  <c r="BQ90" i="3"/>
  <c r="BQ56" i="3"/>
  <c r="BP84" i="3"/>
  <c r="BP66" i="3"/>
  <c r="BP93" i="3"/>
  <c r="BP94" i="3"/>
  <c r="BP61" i="3"/>
  <c r="BP90" i="3"/>
  <c r="BP79" i="3"/>
  <c r="BP82" i="3"/>
  <c r="BP60" i="3"/>
  <c r="BP89" i="3"/>
  <c r="BP72" i="3"/>
  <c r="BP92" i="3"/>
  <c r="BP73" i="3"/>
  <c r="BP63" i="3"/>
  <c r="BP74" i="3"/>
  <c r="BP55" i="3"/>
  <c r="BP95" i="3"/>
  <c r="BP57" i="3"/>
  <c r="BP49" i="3"/>
  <c r="BP64" i="3"/>
  <c r="BP75" i="3"/>
  <c r="BP67" i="3"/>
  <c r="BP83" i="3"/>
  <c r="BP70" i="3"/>
  <c r="BP48" i="3"/>
  <c r="BM67" i="3"/>
  <c r="BM83" i="3"/>
  <c r="BM81" i="3"/>
  <c r="BM48" i="3"/>
  <c r="BM77" i="3"/>
  <c r="BM50" i="3"/>
  <c r="BM73" i="3"/>
  <c r="BM78" i="3"/>
  <c r="BM72" i="3"/>
  <c r="BG87" i="3"/>
  <c r="BG83" i="3"/>
  <c r="BG48" i="3"/>
  <c r="BG71" i="3"/>
  <c r="BG66" i="3"/>
  <c r="BG77" i="3"/>
  <c r="BG68" i="3"/>
  <c r="BG90" i="3"/>
  <c r="BG75" i="3"/>
  <c r="BG49" i="3"/>
  <c r="BG58" i="3"/>
  <c r="BG84" i="3"/>
  <c r="BG62" i="3"/>
  <c r="BG72" i="3"/>
  <c r="BG61" i="3"/>
  <c r="BG54" i="3"/>
  <c r="BG67" i="3"/>
  <c r="BG64" i="3"/>
  <c r="BH95" i="3"/>
  <c r="BH91" i="3"/>
  <c r="BH85" i="3"/>
  <c r="BH89" i="3"/>
  <c r="BL70" i="3" l="1"/>
  <c r="BJ62" i="3"/>
  <c r="BN80" i="3"/>
  <c r="BL75" i="3"/>
  <c r="BL95" i="3"/>
  <c r="BL90" i="3"/>
  <c r="BL86" i="3"/>
  <c r="BL74" i="3"/>
  <c r="BL73" i="3"/>
  <c r="BL63" i="3"/>
  <c r="BL56" i="3"/>
  <c r="BL85" i="3"/>
  <c r="BL94" i="3"/>
  <c r="BR48" i="3"/>
  <c r="BL60" i="3"/>
  <c r="BL89" i="3"/>
  <c r="BL69" i="3"/>
  <c r="BL96" i="3"/>
  <c r="BR60" i="3"/>
  <c r="BE49" i="3"/>
  <c r="BL64" i="3"/>
  <c r="BL88" i="3"/>
  <c r="BL48" i="3"/>
  <c r="BL54" i="3"/>
  <c r="BL80" i="3"/>
  <c r="BL93" i="3"/>
  <c r="BR54" i="3"/>
  <c r="BE57" i="3"/>
  <c r="BL68" i="3"/>
  <c r="BE58" i="3"/>
  <c r="BL72" i="3"/>
  <c r="BL47" i="3"/>
  <c r="BL97" i="3"/>
  <c r="BL67" i="3"/>
  <c r="BR84" i="3"/>
  <c r="BE64" i="3"/>
  <c r="BL49" i="3"/>
  <c r="BL76" i="3"/>
  <c r="BL61" i="3"/>
  <c r="BL79" i="3"/>
  <c r="BJ58" i="3"/>
  <c r="BJ64" i="3"/>
  <c r="BE89" i="3"/>
  <c r="BE79" i="3"/>
  <c r="BE67" i="3"/>
  <c r="BE96" i="3"/>
  <c r="BF90" i="3"/>
  <c r="BF81" i="3"/>
  <c r="BF59" i="3"/>
  <c r="BF93" i="3"/>
  <c r="BF73" i="3"/>
  <c r="BO86" i="3"/>
  <c r="BU62" i="3"/>
  <c r="BH56" i="3"/>
  <c r="BO91" i="3"/>
  <c r="BH81" i="3"/>
  <c r="BG79" i="3"/>
  <c r="BH59" i="3"/>
  <c r="BH71" i="3"/>
  <c r="AA42" i="1"/>
  <c r="AA245" i="1" s="1"/>
  <c r="AA48" i="1"/>
  <c r="AA234" i="1"/>
  <c r="BN54" i="3"/>
  <c r="BN88" i="3"/>
  <c r="BN84" i="3"/>
  <c r="BN72" i="3"/>
  <c r="BN56" i="3"/>
  <c r="BN60" i="3"/>
  <c r="BN78" i="3"/>
  <c r="BN97" i="3"/>
  <c r="BJ74" i="3"/>
  <c r="BJ77" i="3"/>
  <c r="BJ49" i="3"/>
  <c r="BJ56" i="3"/>
  <c r="BJ79" i="3"/>
  <c r="BF74" i="3"/>
  <c r="BF67" i="3"/>
  <c r="BF48" i="3"/>
  <c r="BF62" i="3"/>
  <c r="BH63" i="3"/>
  <c r="BH86" i="3"/>
  <c r="BH87" i="3"/>
  <c r="BH82" i="3"/>
  <c r="BH62" i="3"/>
  <c r="BH93" i="3"/>
  <c r="BH83" i="3"/>
  <c r="BH58" i="3"/>
  <c r="BH77" i="3"/>
  <c r="BH70" i="3"/>
  <c r="BH69" i="3"/>
  <c r="BH54" i="3"/>
  <c r="BH50" i="3"/>
  <c r="BH94" i="3"/>
  <c r="BH79" i="3"/>
  <c r="BH48" i="3"/>
  <c r="BH66" i="3"/>
  <c r="BH65" i="3"/>
  <c r="BH49" i="3"/>
  <c r="BH97" i="3"/>
  <c r="BH75" i="3"/>
  <c r="BH96" i="3"/>
  <c r="BH76" i="3"/>
  <c r="BH78" i="3"/>
  <c r="BH92" i="3"/>
  <c r="BH73" i="3"/>
  <c r="BH72" i="3"/>
  <c r="BH80" i="3"/>
  <c r="BH60" i="3"/>
  <c r="BH74" i="3"/>
  <c r="BH88" i="3"/>
  <c r="BH84" i="3"/>
  <c r="BH67" i="3"/>
  <c r="BH64" i="3"/>
  <c r="BI83" i="3"/>
  <c r="BI68" i="3"/>
  <c r="BI80" i="3"/>
  <c r="BI60" i="3"/>
  <c r="BI78" i="3"/>
  <c r="BI75" i="3"/>
  <c r="BI70" i="3"/>
  <c r="BI59" i="3"/>
  <c r="BI93" i="3"/>
  <c r="BI79" i="3"/>
  <c r="BI50" i="3"/>
  <c r="BI96" i="3"/>
  <c r="BI58" i="3"/>
  <c r="BI85" i="3"/>
  <c r="BI89" i="3"/>
  <c r="BI69" i="3"/>
  <c r="CL65" i="1"/>
  <c r="AB20" i="1"/>
  <c r="CL26" i="1"/>
  <c r="CL252" i="1"/>
  <c r="BF96" i="3"/>
  <c r="BF69" i="3"/>
  <c r="CL231" i="1"/>
  <c r="CL10" i="1"/>
  <c r="CL253" i="1"/>
  <c r="CL194" i="1"/>
  <c r="CK8" i="1"/>
  <c r="CK20" i="1"/>
  <c r="CK47" i="1"/>
  <c r="CK23" i="1"/>
  <c r="CK15" i="1"/>
  <c r="CK51" i="1"/>
  <c r="CK36" i="1"/>
  <c r="CK21" i="1"/>
  <c r="CK24" i="1"/>
  <c r="CK13" i="1"/>
  <c r="CK35" i="1"/>
  <c r="CK63" i="1"/>
  <c r="CK39" i="1"/>
  <c r="CK46" i="1"/>
  <c r="CK64" i="1"/>
  <c r="CK14" i="1"/>
  <c r="CK22" i="1"/>
  <c r="CK9" i="1"/>
  <c r="CK10" i="1" s="1"/>
  <c r="CL12" i="1" s="1"/>
  <c r="CK45" i="1"/>
  <c r="CK32" i="1"/>
  <c r="CT136" i="1"/>
  <c r="CU136" i="1" s="1"/>
  <c r="CV136" i="1" s="1"/>
  <c r="CW136" i="1" s="1"/>
  <c r="AC136" i="1"/>
  <c r="A1" i="6"/>
  <c r="A1" i="4"/>
  <c r="BP81" i="3"/>
  <c r="BP76" i="3"/>
  <c r="BG76" i="3"/>
  <c r="BG91" i="3"/>
  <c r="BG94" i="3"/>
  <c r="BR86" i="3"/>
  <c r="BU75" i="3"/>
  <c r="BQ49" i="3"/>
  <c r="BM56" i="3"/>
  <c r="BE77" i="3"/>
  <c r="BT49" i="3"/>
  <c r="BT93" i="3"/>
  <c r="BT90" i="3"/>
  <c r="BT87" i="3"/>
  <c r="BS56" i="3"/>
  <c r="BS89" i="3"/>
  <c r="BS71" i="3"/>
  <c r="BS85" i="3"/>
  <c r="BK66" i="3"/>
  <c r="BK83" i="3"/>
  <c r="BK85" i="3"/>
  <c r="BR64" i="3"/>
  <c r="BR97" i="3"/>
  <c r="BR50" i="3"/>
  <c r="BN83" i="3"/>
  <c r="BN85" i="3"/>
  <c r="BN67" i="3"/>
  <c r="BJ85" i="3"/>
  <c r="BJ78" i="3"/>
  <c r="BF87" i="3"/>
  <c r="BK54" i="3"/>
  <c r="BJ65" i="3"/>
  <c r="BF78" i="3"/>
  <c r="BF63" i="3"/>
  <c r="BU60" i="3"/>
  <c r="BU49" i="3"/>
  <c r="BQ83" i="3"/>
  <c r="BQ48" i="3"/>
  <c r="BM93" i="3"/>
  <c r="BM66" i="3"/>
  <c r="BI62" i="3"/>
  <c r="BI63" i="3"/>
  <c r="BI81" i="3"/>
  <c r="BE59" i="3"/>
  <c r="BE50" i="3"/>
  <c r="HF6" i="4" a="1"/>
  <c r="FL12" i="4" a="1"/>
  <c r="GL5" i="4" a="1"/>
  <c r="GN6" i="4" a="1"/>
  <c r="GH7" i="4" a="1"/>
  <c r="GB8" i="4" a="1"/>
  <c r="FV9" i="4" a="1"/>
  <c r="GU12" i="4" a="1"/>
  <c r="GK6" i="4" a="1"/>
  <c r="FK9" i="4" a="1"/>
  <c r="GB5" i="4" a="1"/>
  <c r="FN6" i="4" a="1"/>
  <c r="FH7" i="4" a="1"/>
  <c r="HD7" i="4" a="1"/>
  <c r="GX8" i="4" a="1"/>
  <c r="GM12" i="4" a="1"/>
  <c r="GS6" i="4" a="1"/>
  <c r="FO15" i="4" a="1"/>
  <c r="GC5" i="4" a="1"/>
  <c r="HA5" i="4" a="1"/>
  <c r="GM6" i="4" a="1"/>
  <c r="GG7" i="4" a="1"/>
  <c r="GA8" i="4" a="1"/>
  <c r="FU9" i="4" a="1"/>
  <c r="GZ12" i="4" a="1"/>
  <c r="HH9" i="4" a="1"/>
  <c r="GD11" i="4" a="1"/>
  <c r="HG11" i="4" a="1"/>
  <c r="HA12" i="4" a="1"/>
  <c r="HD14" i="4" a="1"/>
  <c r="GR16" i="4" a="1"/>
  <c r="GI12" i="4" a="1"/>
  <c r="GD13" i="4" a="1"/>
  <c r="GW14" i="4" a="1"/>
  <c r="GK16" i="4" a="1"/>
  <c r="GW9" i="4" a="1"/>
  <c r="FS11" i="4" a="1"/>
  <c r="GQ11" i="4" a="1"/>
  <c r="GG12" i="4" a="1"/>
  <c r="FT14" i="4" a="1"/>
  <c r="FH16" i="4" a="1"/>
  <c r="FR14" i="4" a="1"/>
  <c r="FL15" i="4" a="1"/>
  <c r="HH15" i="4" a="1"/>
  <c r="HB16" i="4" a="1"/>
  <c r="GM13" i="4" a="1"/>
  <c r="FS14" i="4" a="1"/>
  <c r="FM15" i="4" a="1"/>
  <c r="FG16" i="4" a="1"/>
  <c r="HC16" i="4" a="1"/>
  <c r="GC9" i="4" a="1"/>
  <c r="GQ12" i="4" a="1"/>
  <c r="FK15" i="4" a="1"/>
  <c r="HA9" i="4" a="1"/>
  <c r="FW11" i="4" a="1"/>
  <c r="GO12" i="4" a="1"/>
  <c r="GJ14" i="4" a="1"/>
  <c r="FX16" i="4" a="1"/>
  <c r="FT15" i="4" a="1"/>
  <c r="FN16" i="4" a="1"/>
  <c r="GQ13" i="4" a="1"/>
  <c r="GA14" i="4" a="1"/>
  <c r="FO16" i="4" a="1"/>
  <c r="HH16" i="4" a="1"/>
  <c r="HB11" i="4" a="1"/>
  <c r="GE9" i="4" a="1"/>
  <c r="GZ11" i="4" a="1"/>
  <c r="GR14" i="4" a="1"/>
  <c r="GF16" i="4" a="1"/>
  <c r="GD14" i="4" a="1"/>
  <c r="FX15" i="4" a="1"/>
  <c r="FU13" i="4" a="1"/>
  <c r="FS16" i="4" a="1"/>
  <c r="BU55" i="3"/>
  <c r="BM64" i="3"/>
  <c r="BM84" i="3"/>
  <c r="BI82" i="3"/>
  <c r="BI95" i="3"/>
  <c r="BE83" i="3"/>
  <c r="GU7" i="4" a="1"/>
  <c r="FX7" i="4" a="1"/>
  <c r="BP97" i="3"/>
  <c r="BP85" i="3"/>
  <c r="BG50" i="3"/>
  <c r="BG85" i="3"/>
  <c r="BG89" i="3"/>
  <c r="BR85" i="3"/>
  <c r="BU67" i="3"/>
  <c r="BQ58" i="3"/>
  <c r="BM96" i="3"/>
  <c r="BE92" i="3"/>
  <c r="BT56" i="3"/>
  <c r="BT97" i="3"/>
  <c r="BT94" i="3"/>
  <c r="BT91" i="3"/>
  <c r="BS60" i="3"/>
  <c r="BS93" i="3"/>
  <c r="BS76" i="3"/>
  <c r="BS49" i="3"/>
  <c r="BK71" i="3"/>
  <c r="BK87" i="3"/>
  <c r="BK89" i="3"/>
  <c r="BR83" i="3"/>
  <c r="BR59" i="3"/>
  <c r="BR49" i="3"/>
  <c r="BN91" i="3"/>
  <c r="BN77" i="3"/>
  <c r="BN63" i="3"/>
  <c r="BJ88" i="3"/>
  <c r="BF58" i="3"/>
  <c r="BF95" i="3"/>
  <c r="BK69" i="3"/>
  <c r="BJ92" i="3"/>
  <c r="BF88" i="3"/>
  <c r="BF94" i="3"/>
  <c r="BU66" i="3"/>
  <c r="BU50" i="3"/>
  <c r="BQ61" i="3"/>
  <c r="BQ75" i="3"/>
  <c r="BM86" i="3"/>
  <c r="BM63" i="3"/>
  <c r="BI92" i="3"/>
  <c r="BI61" i="3"/>
  <c r="BI76" i="3"/>
  <c r="BE80" i="3"/>
  <c r="BE63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GB14" i="4" a="1"/>
  <c r="FP16" i="4" a="1"/>
  <c r="FV14" i="4" a="1"/>
  <c r="FP15" i="4" a="1"/>
  <c r="FJ16" i="4" a="1"/>
  <c r="HF16" i="4" a="1"/>
  <c r="GO13" i="4" a="1"/>
  <c r="FW14" i="4" a="1"/>
  <c r="FQ15" i="4" a="1"/>
  <c r="FK16" i="4" a="1"/>
  <c r="HG16" i="4" a="1"/>
  <c r="GI8" i="4" a="1"/>
  <c r="FM12" i="4" a="1"/>
  <c r="FR15" i="4" a="1"/>
  <c r="GL13" i="4" a="1"/>
  <c r="HA16" i="4" a="1"/>
  <c r="GU11" i="4" a="1"/>
  <c r="FZ14" i="4" a="1"/>
  <c r="FS13" i="4" a="1"/>
  <c r="FU15" i="4" a="1"/>
  <c r="FZ15" i="4" a="1"/>
  <c r="GV12" i="4" a="1"/>
  <c r="GP13" i="4" a="1"/>
  <c r="FS15" i="4" a="1"/>
  <c r="HC9" i="4" a="1"/>
  <c r="FY11" i="4" a="1"/>
  <c r="GT12" i="4" a="1"/>
  <c r="GS13" i="4" a="1"/>
  <c r="FY15" i="4" a="1"/>
  <c r="BF56" i="3"/>
  <c r="BU47" i="3"/>
  <c r="BQ78" i="3"/>
  <c r="BE91" i="3"/>
  <c r="GU15" i="4" a="1"/>
  <c r="GX7" i="4" a="1"/>
  <c r="BP78" i="3"/>
  <c r="BP86" i="3"/>
  <c r="BG74" i="3"/>
  <c r="BG88" i="3"/>
  <c r="BR75" i="3"/>
  <c r="BR82" i="3"/>
  <c r="BU85" i="3"/>
  <c r="BQ70" i="3"/>
  <c r="BM59" i="3"/>
  <c r="BE71" i="3"/>
  <c r="BT60" i="3"/>
  <c r="BT75" i="3"/>
  <c r="BT61" i="3"/>
  <c r="BT95" i="3"/>
  <c r="BS57" i="3"/>
  <c r="BS64" i="3"/>
  <c r="BS80" i="3"/>
  <c r="BK59" i="3"/>
  <c r="BK76" i="3"/>
  <c r="BK91" i="3"/>
  <c r="BK93" i="3"/>
  <c r="BR55" i="3"/>
  <c r="BR68" i="3"/>
  <c r="BR70" i="3"/>
  <c r="BN94" i="3"/>
  <c r="BN89" i="3"/>
  <c r="BN71" i="3"/>
  <c r="BJ82" i="3"/>
  <c r="BF65" i="3"/>
  <c r="BF80" i="3"/>
  <c r="BK82" i="3"/>
  <c r="BJ55" i="3"/>
  <c r="BF91" i="3"/>
  <c r="BF55" i="3"/>
  <c r="BU48" i="3"/>
  <c r="BU63" i="3"/>
  <c r="BQ71" i="3"/>
  <c r="BQ92" i="3"/>
  <c r="BM70" i="3"/>
  <c r="BM49" i="3"/>
  <c r="BI74" i="3"/>
  <c r="BI71" i="3"/>
  <c r="BE70" i="3"/>
  <c r="BE81" i="3"/>
  <c r="BE88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FT13" i="4" a="1"/>
  <c r="FJ11" i="4" a="1"/>
  <c r="GH11" i="4" a="1"/>
  <c r="FG13" i="4" a="1"/>
  <c r="GW11" i="4" a="1"/>
  <c r="HD5" i="4" a="1"/>
  <c r="GL9" i="4" a="1"/>
  <c r="GP5" i="4" a="1"/>
  <c r="GD6" i="4" a="1"/>
  <c r="BP80" i="3"/>
  <c r="BP96" i="3"/>
  <c r="BG86" i="3"/>
  <c r="BG92" i="3"/>
  <c r="BR87" i="3"/>
  <c r="BR93" i="3"/>
  <c r="BU57" i="3"/>
  <c r="BQ73" i="3"/>
  <c r="BM57" i="3"/>
  <c r="BE84" i="3"/>
  <c r="BT64" i="3"/>
  <c r="BT84" i="3"/>
  <c r="BT66" i="3"/>
  <c r="BT71" i="3"/>
  <c r="BS65" i="3"/>
  <c r="BS70" i="3"/>
  <c r="BS84" i="3"/>
  <c r="BK63" i="3"/>
  <c r="BK78" i="3"/>
  <c r="BK70" i="3"/>
  <c r="BK48" i="3"/>
  <c r="BR67" i="3"/>
  <c r="BR88" i="3"/>
  <c r="BR95" i="3"/>
  <c r="BN69" i="3"/>
  <c r="BN47" i="3"/>
  <c r="BN93" i="3"/>
  <c r="BJ72" i="3"/>
  <c r="BF50" i="3"/>
  <c r="CL74" i="1" s="1"/>
  <c r="BF68" i="3"/>
  <c r="BK67" i="3"/>
  <c r="BJ73" i="3"/>
  <c r="BF66" i="3"/>
  <c r="BF86" i="3"/>
  <c r="BU93" i="3"/>
  <c r="BU84" i="3"/>
  <c r="BQ96" i="3"/>
  <c r="BQ93" i="3"/>
  <c r="BM88" i="3"/>
  <c r="BM54" i="3"/>
  <c r="BI56" i="3"/>
  <c r="BI84" i="3"/>
  <c r="BE95" i="3"/>
  <c r="BE56" i="3"/>
  <c r="BE85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R16" i="4" a="1"/>
  <c r="GE14" i="4" a="1"/>
  <c r="BU95" i="3"/>
  <c r="BQ85" i="3"/>
  <c r="BE73" i="3"/>
  <c r="HD6" i="4" a="1"/>
  <c r="FM14" i="4" a="1"/>
  <c r="GE7" i="4" a="1"/>
  <c r="FX13" i="4" a="1"/>
  <c r="FL9" i="4" a="1"/>
  <c r="GV13" i="4" a="1"/>
  <c r="BP69" i="3"/>
  <c r="BH47" i="3"/>
  <c r="BG82" i="3"/>
  <c r="BG80" i="3"/>
  <c r="BR77" i="3"/>
  <c r="BJ86" i="3"/>
  <c r="BU91" i="3"/>
  <c r="BQ87" i="3"/>
  <c r="BM65" i="3"/>
  <c r="BE55" i="3"/>
  <c r="BT68" i="3"/>
  <c r="BT96" i="3"/>
  <c r="BT88" i="3"/>
  <c r="BT79" i="3"/>
  <c r="BS69" i="3"/>
  <c r="BS75" i="3"/>
  <c r="BS92" i="3"/>
  <c r="BK56" i="3"/>
  <c r="BK86" i="3"/>
  <c r="BK97" i="3"/>
  <c r="BK47" i="3"/>
  <c r="BR81" i="3"/>
  <c r="BR76" i="3"/>
  <c r="BN49" i="3"/>
  <c r="BN65" i="3"/>
  <c r="BN64" i="3"/>
  <c r="BJ84" i="3"/>
  <c r="BJ57" i="3"/>
  <c r="BF71" i="3"/>
  <c r="BF85" i="3"/>
  <c r="BK95" i="3"/>
  <c r="BJ90" i="3"/>
  <c r="GR8" i="4" a="1"/>
  <c r="FR8" i="4" a="1"/>
  <c r="BP87" i="3"/>
  <c r="BH55" i="3"/>
  <c r="BG65" i="3"/>
  <c r="BG95" i="3"/>
  <c r="BR56" i="3"/>
  <c r="BJ70" i="3"/>
  <c r="BQ54" i="3"/>
  <c r="BM74" i="3"/>
  <c r="BI47" i="3"/>
  <c r="BE87" i="3"/>
  <c r="BT72" i="3"/>
  <c r="BT69" i="3"/>
  <c r="BT92" i="3"/>
  <c r="BT62" i="3"/>
  <c r="BS73" i="3"/>
  <c r="BS79" i="3"/>
  <c r="BS96" i="3"/>
  <c r="BK60" i="3"/>
  <c r="BK90" i="3"/>
  <c r="BK68" i="3"/>
  <c r="BK49" i="3"/>
  <c r="BR90" i="3"/>
  <c r="BR47" i="3"/>
  <c r="BN58" i="3"/>
  <c r="BN81" i="3"/>
  <c r="BN70" i="3"/>
  <c r="BJ97" i="3"/>
  <c r="BJ60" i="3"/>
  <c r="BF75" i="3"/>
  <c r="BS59" i="3"/>
  <c r="BK88" i="3"/>
  <c r="BJ93" i="3"/>
  <c r="BF83" i="3"/>
  <c r="BU72" i="3"/>
  <c r="BU80" i="3"/>
  <c r="BU79" i="3"/>
  <c r="BQ60" i="3"/>
  <c r="BQ57" i="3"/>
  <c r="BM87" i="3"/>
  <c r="BM80" i="3"/>
  <c r="BI48" i="3"/>
  <c r="BI97" i="3"/>
  <c r="BE72" i="3"/>
  <c r="BE94" i="3"/>
  <c r="HH7" i="4" a="1"/>
  <c r="FJ5" i="4" a="1"/>
  <c r="HH5" i="4" a="1"/>
  <c r="HG6" i="4" a="1"/>
  <c r="HA7" i="4" a="1"/>
  <c r="GU8" i="4" a="1"/>
  <c r="GP9" i="4" a="1"/>
  <c r="GS14" i="4" a="1"/>
  <c r="GJ7" i="4" a="1"/>
  <c r="BP91" i="3"/>
  <c r="BH68" i="3"/>
  <c r="BG47" i="3"/>
  <c r="BG59" i="3"/>
  <c r="BR79" i="3"/>
  <c r="BJ54" i="3"/>
  <c r="BQ84" i="3"/>
  <c r="BM85" i="3"/>
  <c r="BI91" i="3"/>
  <c r="BE82" i="3"/>
  <c r="BT67" i="3"/>
  <c r="BT74" i="3"/>
  <c r="BT57" i="3"/>
  <c r="BT58" i="3"/>
  <c r="BS68" i="3"/>
  <c r="BS83" i="3"/>
  <c r="BS62" i="3"/>
  <c r="BK64" i="3"/>
  <c r="BK94" i="3"/>
  <c r="BK74" i="3"/>
  <c r="BK50" i="3"/>
  <c r="BR92" i="3"/>
  <c r="BR63" i="3"/>
  <c r="BN87" i="3"/>
  <c r="BN48" i="3"/>
  <c r="BN74" i="3"/>
  <c r="BJ68" i="3"/>
  <c r="BJ66" i="3"/>
  <c r="BF92" i="3"/>
  <c r="BS61" i="3"/>
  <c r="BJ83" i="3"/>
  <c r="BJ71" i="3"/>
  <c r="BF60" i="3"/>
  <c r="BU68" i="3"/>
  <c r="BU54" i="3"/>
  <c r="BU70" i="3"/>
  <c r="BQ55" i="3"/>
  <c r="BQ67" i="3"/>
  <c r="BM79" i="3"/>
  <c r="BM97" i="3"/>
  <c r="BI64" i="3"/>
  <c r="BI94" i="3"/>
  <c r="BE90" i="3"/>
  <c r="BE76" i="3"/>
  <c r="FN8" i="4" a="1"/>
  <c r="FN5" i="4" a="1"/>
  <c r="BP65" i="3"/>
  <c r="BH61" i="3"/>
  <c r="BG60" i="3"/>
  <c r="BG63" i="3"/>
  <c r="BR96" i="3"/>
  <c r="BJ96" i="3"/>
  <c r="BQ66" i="3"/>
  <c r="BM82" i="3"/>
  <c r="BI72" i="3"/>
  <c r="BE54" i="3"/>
  <c r="BT73" i="3"/>
  <c r="BT48" i="3"/>
  <c r="BT65" i="3"/>
  <c r="BT54" i="3"/>
  <c r="BS74" i="3"/>
  <c r="BS87" i="3"/>
  <c r="BS67" i="3"/>
  <c r="BK57" i="3"/>
  <c r="BK77" i="3"/>
  <c r="BK80" i="3"/>
  <c r="BK55" i="3"/>
  <c r="BR73" i="3"/>
  <c r="BR72" i="3"/>
  <c r="BN59" i="3"/>
  <c r="BN50" i="3"/>
  <c r="BN68" i="3"/>
  <c r="BJ63" i="3"/>
  <c r="BJ81" i="3"/>
  <c r="BF82" i="3"/>
  <c r="BS82" i="3"/>
  <c r="BJ80" i="3"/>
  <c r="BF49" i="3"/>
  <c r="CL73" i="1" s="1"/>
  <c r="BF70" i="3"/>
  <c r="BU65" i="3"/>
  <c r="BU86" i="3"/>
  <c r="BQ62" i="3"/>
  <c r="BQ80" i="3"/>
  <c r="BQ69" i="3"/>
  <c r="BM61" i="3"/>
  <c r="BM90" i="3"/>
  <c r="BI88" i="3"/>
  <c r="BI67" i="3"/>
  <c r="BE65" i="3"/>
  <c r="BE48" i="3"/>
  <c r="FY8" i="4" a="1"/>
  <c r="FR5" i="4" a="1"/>
  <c r="FS6" i="4" a="1"/>
  <c r="FM7" i="4" a="1"/>
  <c r="FG8" i="4" a="1"/>
  <c r="HC8" i="4" a="1"/>
  <c r="GX9" i="4" a="1"/>
  <c r="HC15" i="4" a="1"/>
  <c r="FI8" i="4" a="1"/>
  <c r="FH5" i="4" a="1"/>
  <c r="HB5" i="4" a="1"/>
  <c r="GO6" i="4" a="1"/>
  <c r="BP88" i="3"/>
  <c r="BO66" i="3"/>
  <c r="BG73" i="3"/>
  <c r="BG57" i="3"/>
  <c r="BR78" i="3"/>
  <c r="BJ69" i="3"/>
  <c r="BQ74" i="3"/>
  <c r="BM91" i="3"/>
  <c r="BI57" i="3"/>
  <c r="BE78" i="3"/>
  <c r="BT77" i="3"/>
  <c r="BT47" i="3"/>
  <c r="BT70" i="3"/>
  <c r="BT80" i="3"/>
  <c r="BS78" i="3"/>
  <c r="BS91" i="3"/>
  <c r="BS81" i="3"/>
  <c r="BK61" i="3"/>
  <c r="BK81" i="3"/>
  <c r="BK84" i="3"/>
  <c r="BR65" i="3"/>
  <c r="BR89" i="3"/>
  <c r="BN76" i="3"/>
  <c r="BN61" i="3"/>
  <c r="BN79" i="3"/>
  <c r="BJ67" i="3"/>
  <c r="BJ48" i="3"/>
  <c r="BF64" i="3"/>
  <c r="BS54" i="3"/>
  <c r="BJ94" i="3"/>
  <c r="BF54" i="3"/>
  <c r="BF89" i="3"/>
  <c r="BU90" i="3"/>
  <c r="BU74" i="3"/>
  <c r="BQ76" i="3"/>
  <c r="BQ81" i="3"/>
  <c r="BQ89" i="3"/>
  <c r="BM95" i="3"/>
  <c r="BM89" i="3"/>
  <c r="BI54" i="3"/>
  <c r="BI65" i="3"/>
  <c r="BE62" i="3"/>
  <c r="BE66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BP56" i="3"/>
  <c r="BP68" i="3"/>
  <c r="BO76" i="3"/>
  <c r="BG97" i="3"/>
  <c r="BG78" i="3"/>
  <c r="BR80" i="3"/>
  <c r="BU88" i="3"/>
  <c r="BQ63" i="3"/>
  <c r="BM71" i="3"/>
  <c r="BE60" i="3"/>
  <c r="BT63" i="3"/>
  <c r="BT89" i="3"/>
  <c r="BT86" i="3"/>
  <c r="BT83" i="3"/>
  <c r="BS63" i="3"/>
  <c r="BS94" i="3"/>
  <c r="BS66" i="3"/>
  <c r="BS95" i="3"/>
  <c r="BK58" i="3"/>
  <c r="BK79" i="3"/>
  <c r="BK75" i="3"/>
  <c r="BR62" i="3"/>
  <c r="BR66" i="3"/>
  <c r="BR61" i="3"/>
  <c r="BN62" i="3"/>
  <c r="BN96" i="3"/>
  <c r="BN92" i="3"/>
  <c r="BJ47" i="3"/>
  <c r="BJ95" i="3"/>
  <c r="BF76" i="3"/>
  <c r="BS97" i="3"/>
  <c r="BJ76" i="3"/>
  <c r="BF77" i="3"/>
  <c r="BF57" i="3"/>
  <c r="BU81" i="3"/>
  <c r="BU59" i="3"/>
  <c r="BQ64" i="3"/>
  <c r="BQ68" i="3"/>
  <c r="BM60" i="3"/>
  <c r="BM62" i="3"/>
  <c r="BI49" i="3"/>
  <c r="BI90" i="3"/>
  <c r="BI87" i="3"/>
  <c r="BE47" i="3"/>
  <c r="BE69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BP58" i="3"/>
  <c r="BQ72" i="3"/>
  <c r="BT50" i="3"/>
  <c r="BK72" i="3"/>
  <c r="BN75" i="3"/>
  <c r="BJ89" i="3"/>
  <c r="BQ94" i="3"/>
  <c r="BE61" i="3"/>
  <c r="GD5" i="4" a="1"/>
  <c r="FN9" i="4" a="1"/>
  <c r="FP5" i="4" a="1"/>
  <c r="GI7" i="4" a="1"/>
  <c r="FG12" i="4" a="1"/>
  <c r="FM5" i="4" a="1"/>
  <c r="FG6" i="4" a="1"/>
  <c r="GW7" i="4" a="1"/>
  <c r="GJ9" i="4" a="1"/>
  <c r="FN11" i="4" a="1"/>
  <c r="FU12" i="4" a="1"/>
  <c r="GH15" i="4" a="1"/>
  <c r="GY12" i="4" a="1"/>
  <c r="GA15" i="4" a="1"/>
  <c r="HE9" i="4" a="1"/>
  <c r="HC11" i="4" a="1"/>
  <c r="GZ14" i="4" a="1"/>
  <c r="GH14" i="4" a="1"/>
  <c r="HD15" i="4" a="1"/>
  <c r="GC13" i="4" a="1"/>
  <c r="FO14" i="4" a="1"/>
  <c r="GO15" i="4" a="1"/>
  <c r="GY16" i="4" a="1"/>
  <c r="BM58" i="3"/>
  <c r="BS50" i="3"/>
  <c r="BK92" i="3"/>
  <c r="BN95" i="3"/>
  <c r="BM55" i="3"/>
  <c r="BE68" i="3"/>
  <c r="FK6" i="4" a="1"/>
  <c r="FT5" i="4" a="1"/>
  <c r="GQ7" i="4" a="1"/>
  <c r="FO5" i="4" a="1"/>
  <c r="FL6" i="4" a="1"/>
  <c r="GN9" i="4" a="1"/>
  <c r="FZ12" i="4" a="1"/>
  <c r="HD12" i="4" a="1"/>
  <c r="GI15" i="4" a="1"/>
  <c r="HH11" i="4" a="1"/>
  <c r="HH14" i="4" a="1"/>
  <c r="GL14" i="4" a="1"/>
  <c r="GE13" i="4" a="1"/>
  <c r="GS15" i="4" a="1"/>
  <c r="BM94" i="3"/>
  <c r="BK96" i="3"/>
  <c r="BN90" i="3"/>
  <c r="BF84" i="3"/>
  <c r="BM69" i="3"/>
  <c r="GA6" i="4" a="1"/>
  <c r="GT5" i="4" a="1"/>
  <c r="HA14" i="4" a="1"/>
  <c r="FO6" i="4" a="1"/>
  <c r="FR11" i="4" a="1"/>
  <c r="GX15" i="4" a="1"/>
  <c r="GQ15" i="4" a="1"/>
  <c r="FI12" i="4" a="1"/>
  <c r="BR69" i="3"/>
  <c r="GR7" i="4" a="1"/>
  <c r="FO13" i="4" a="1"/>
  <c r="GT13" i="4" a="1"/>
  <c r="GP16" i="4" a="1"/>
  <c r="GZ7" i="4" a="1"/>
  <c r="GM5" i="4" a="1"/>
  <c r="GC14" i="4" a="1"/>
  <c r="GC11" i="4" a="1"/>
  <c r="HG14" i="4" a="1"/>
  <c r="GE16" i="4" a="1"/>
  <c r="GH6" i="4" a="1"/>
  <c r="GO5" i="4" a="1"/>
  <c r="FI7" i="4" a="1"/>
  <c r="FK12" i="4" a="1"/>
  <c r="GE11" i="4" a="1"/>
  <c r="FI15" i="4" a="1"/>
  <c r="BP62" i="3"/>
  <c r="HB6" i="4" a="1"/>
  <c r="BN57" i="3"/>
  <c r="HG13" i="4" a="1"/>
  <c r="GU5" i="4" a="1"/>
  <c r="GG15" i="4" a="1"/>
  <c r="BQ82" i="3"/>
  <c r="GF7" i="4" a="1"/>
  <c r="GS9" i="4" a="1"/>
  <c r="GZ15" i="4" a="1"/>
  <c r="GK15" i="4" a="1"/>
  <c r="BO92" i="3"/>
  <c r="BF79" i="3"/>
  <c r="GT9" i="4" a="1"/>
  <c r="FU14" i="4" a="1"/>
  <c r="HB7" i="4" a="1"/>
  <c r="FP11" i="4" a="1"/>
  <c r="GP15" i="4" a="1"/>
  <c r="HG9" i="4" a="1"/>
  <c r="FV16" i="4" a="1"/>
  <c r="GI14" i="4" a="1"/>
  <c r="BO88" i="3"/>
  <c r="BS55" i="3"/>
  <c r="BE97" i="3"/>
  <c r="HF11" i="4" a="1"/>
  <c r="GV7" i="4" a="1"/>
  <c r="FQ5" i="4" a="1"/>
  <c r="HE7" i="4" a="1"/>
  <c r="GR9" i="4" a="1"/>
  <c r="GC12" i="4" a="1"/>
  <c r="HG12" i="4" a="1"/>
  <c r="FG11" i="4" a="1"/>
  <c r="GP14" i="4" a="1"/>
  <c r="FZ16" i="4" a="1"/>
  <c r="GG13" i="4" a="1"/>
  <c r="GM14" i="4" a="1"/>
  <c r="GW15" i="4" a="1"/>
  <c r="BG70" i="3"/>
  <c r="FU6" i="4" a="1"/>
  <c r="GQ8" i="4" a="1"/>
  <c r="GW12" i="4" a="1"/>
  <c r="GA16" i="4" a="1"/>
  <c r="GV8" i="4" a="1"/>
  <c r="GN11" i="4" a="1"/>
  <c r="FH12" i="4" a="1"/>
  <c r="GI9" i="4" a="1"/>
  <c r="GT16" i="4" a="1"/>
  <c r="BU83" i="3"/>
  <c r="GW6" i="4" a="1"/>
  <c r="BQ77" i="3"/>
  <c r="GT8" i="4" a="1"/>
  <c r="GG11" i="4" a="1"/>
  <c r="FW13" i="4" a="1"/>
  <c r="BT82" i="3"/>
  <c r="BS88" i="3"/>
  <c r="GQ9" i="4" a="1"/>
  <c r="FG14" i="4" a="1"/>
  <c r="BT76" i="3"/>
  <c r="FZ5" i="4" a="1"/>
  <c r="FY16" i="4" a="1"/>
  <c r="GX11" i="4" a="1"/>
  <c r="GN14" i="4" a="1"/>
  <c r="GM11" i="4" a="1"/>
  <c r="GA13" i="4" a="1"/>
  <c r="GU16" i="4" a="1"/>
  <c r="FN15" i="4" a="1"/>
  <c r="BT59" i="3"/>
  <c r="FZ7" i="4" a="1"/>
  <c r="GK5" i="4" a="1"/>
  <c r="HC14" i="4" a="1"/>
  <c r="BI77" i="3"/>
  <c r="FO8" i="4" a="1"/>
  <c r="GX16" i="4" a="1"/>
  <c r="BK65" i="3"/>
  <c r="BI55" i="3"/>
  <c r="FN7" i="4" a="1"/>
  <c r="FP12" i="4" a="1"/>
  <c r="BQ95" i="3"/>
  <c r="GF14" i="4" a="1"/>
  <c r="BJ75" i="3"/>
  <c r="FY7" i="4" a="1"/>
  <c r="GY11" i="4" a="1"/>
  <c r="BG93" i="3"/>
  <c r="BI86" i="3"/>
  <c r="BS86" i="3"/>
  <c r="BJ61" i="3"/>
  <c r="BF72" i="3"/>
  <c r="BM47" i="3"/>
  <c r="GF6" i="4" a="1"/>
  <c r="FO12" i="4" a="1"/>
  <c r="GX5" i="4" a="1"/>
  <c r="FU8" i="4" a="1"/>
  <c r="GE15" i="4" a="1"/>
  <c r="FS5" i="4" a="1"/>
  <c r="FT6" i="4" a="1"/>
  <c r="FH8" i="4" a="1"/>
  <c r="GV9" i="4" a="1"/>
  <c r="FT11" i="4" a="1"/>
  <c r="GH12" i="4" a="1"/>
  <c r="HF15" i="4" a="1"/>
  <c r="FJ13" i="4" a="1"/>
  <c r="GY15" i="4" a="1"/>
  <c r="FI11" i="4" a="1"/>
  <c r="FN12" i="4" a="1"/>
  <c r="FV15" i="4" a="1"/>
  <c r="GT14" i="4" a="1"/>
  <c r="GD16" i="4" a="1"/>
  <c r="GI13" i="4" a="1"/>
  <c r="GQ14" i="4" a="1"/>
  <c r="HA15" i="4" a="1"/>
  <c r="FX11" i="4" a="1"/>
  <c r="FM16" i="4" a="1"/>
  <c r="FV12" i="4" a="1"/>
  <c r="GU14" i="4" a="1"/>
  <c r="BT55" i="3"/>
  <c r="BU94" i="3"/>
  <c r="FJ6" i="4" a="1"/>
  <c r="FM6" i="4" a="1"/>
  <c r="GE6" i="4" a="1"/>
  <c r="FT12" i="4" a="1"/>
  <c r="FV13" i="4" a="1"/>
  <c r="FU16" i="4" a="1"/>
  <c r="FO11" i="4" a="1"/>
  <c r="FY12" i="4" a="1"/>
  <c r="GT15" i="4" a="1"/>
  <c r="HF14" i="4" a="1"/>
  <c r="GU13" i="4" a="1"/>
  <c r="FW16" i="4" a="1"/>
  <c r="BS58" i="3"/>
  <c r="BM75" i="3"/>
  <c r="GK8" i="4" a="1"/>
  <c r="GL11" i="4" a="1"/>
  <c r="GG9" i="4" a="1"/>
  <c r="GN16" i="4" a="1"/>
  <c r="BF47" i="3"/>
  <c r="HC7" i="4" a="1"/>
  <c r="GX13" i="4" a="1"/>
  <c r="GF15" i="4" a="1"/>
  <c r="FO9" i="4" a="1"/>
  <c r="GP11" i="4" a="1"/>
  <c r="HE12" i="4" a="1"/>
  <c r="GI16" i="4" a="1"/>
  <c r="BU82" i="3"/>
  <c r="FT9" i="4" a="1"/>
  <c r="GM15" i="4" a="1"/>
  <c r="BU69" i="3"/>
  <c r="GZ8" i="4" a="1"/>
  <c r="HB8" i="4" a="1"/>
  <c r="FJ9" i="4" a="1"/>
  <c r="FP13" i="4" a="1"/>
  <c r="FY13" i="4" a="1"/>
  <c r="GQ16" i="4" a="1"/>
  <c r="BP54" i="3"/>
  <c r="FM9" i="4" a="1"/>
  <c r="BG96" i="3"/>
  <c r="BE74" i="3"/>
  <c r="BS90" i="3"/>
  <c r="BR57" i="3"/>
  <c r="BJ50" i="3"/>
  <c r="BF97" i="3"/>
  <c r="BM76" i="3"/>
  <c r="FJ7" i="4" a="1"/>
  <c r="FW15" i="4" a="1"/>
  <c r="FH6" i="4" a="1"/>
  <c r="FZ8" i="4" a="1"/>
  <c r="GO16" i="4" a="1"/>
  <c r="FW5" i="4" a="1"/>
  <c r="GB6" i="4" a="1"/>
  <c r="FP8" i="4" a="1"/>
  <c r="HA11" i="4" a="1"/>
  <c r="GP12" i="4" a="1"/>
  <c r="FT16" i="4" a="1"/>
  <c r="FR13" i="4" a="1"/>
  <c r="FM11" i="4" a="1"/>
  <c r="GL15" i="4" a="1"/>
  <c r="HB14" i="4" a="1"/>
  <c r="GH16" i="4" a="1"/>
  <c r="GK13" i="4" a="1"/>
  <c r="HE15" i="4" a="1"/>
  <c r="BG69" i="3"/>
  <c r="BS77" i="3"/>
  <c r="BR91" i="3"/>
  <c r="BJ59" i="3"/>
  <c r="BM68" i="3"/>
  <c r="FU7" i="4" a="1"/>
  <c r="FP6" i="4" a="1"/>
  <c r="GC8" i="4" a="1"/>
  <c r="FY5" i="4" a="1"/>
  <c r="FS8" i="4" a="1"/>
  <c r="FZ11" i="4" a="1"/>
  <c r="GS12" i="4" a="1"/>
  <c r="GB16" i="4" a="1"/>
  <c r="GL16" i="4" a="1"/>
  <c r="GY14" i="4" a="1"/>
  <c r="BJ87" i="3"/>
  <c r="BU56" i="3"/>
  <c r="GG6" i="4" a="1"/>
  <c r="HC6" i="4" a="1"/>
  <c r="GZ13" i="4" a="1"/>
  <c r="HE11" i="4" a="1"/>
  <c r="GA11" i="4" a="1"/>
  <c r="GW13" i="4" a="1"/>
  <c r="FR6" i="4" a="1"/>
  <c r="HF7" i="4" a="1"/>
  <c r="GL6" i="4" a="1"/>
  <c r="HH6" i="4" a="1"/>
  <c r="GV16" i="4" a="1"/>
  <c r="GY13" i="4" a="1"/>
  <c r="GB15" i="4" a="1"/>
  <c r="BU89" i="3"/>
  <c r="GP8" i="4" a="1"/>
  <c r="HB13" i="4" a="1"/>
  <c r="HB12" i="4" a="1"/>
  <c r="BI66" i="3"/>
  <c r="FQ8" i="4" a="1"/>
  <c r="GY8" i="4" a="1"/>
  <c r="FG15" i="4" a="1"/>
  <c r="FH14" i="4" a="1"/>
  <c r="HC13" i="4" a="1"/>
  <c r="GK9" i="4" a="1"/>
  <c r="HD16" i="4" a="1"/>
  <c r="HA13" i="4" a="1"/>
  <c r="GW8" i="4" a="1"/>
  <c r="FT8" i="4" a="1"/>
  <c r="GQ5" i="4" a="1"/>
  <c r="GN15" i="4" a="1"/>
  <c r="BK73" i="3"/>
  <c r="BT78" i="3"/>
  <c r="GC15" i="4" a="1"/>
  <c r="BI73" i="3"/>
  <c r="FX12" i="4" a="1"/>
  <c r="BQ91" i="3"/>
  <c r="GG14" i="4" a="1"/>
  <c r="BR74" i="3"/>
  <c r="BT81" i="3"/>
  <c r="BS48" i="3"/>
  <c r="BR94" i="3"/>
  <c r="BN82" i="3"/>
  <c r="GD8" i="4" a="1"/>
  <c r="FH13" i="4" a="1"/>
  <c r="GM16" i="4" a="1"/>
  <c r="FH9" i="4" a="1"/>
  <c r="GA7" i="4" a="1"/>
  <c r="GW16" i="4" a="1"/>
  <c r="GK11" i="4" a="1"/>
  <c r="GV15" i="4" a="1"/>
  <c r="BN66" i="3"/>
  <c r="HF13" i="4" a="1"/>
  <c r="BR71" i="3"/>
  <c r="BT85" i="3"/>
  <c r="BS47" i="3"/>
  <c r="BR58" i="3"/>
  <c r="BF61" i="3"/>
  <c r="GG8" i="4" a="1"/>
  <c r="GJ15" i="4" a="1"/>
  <c r="BS72" i="3"/>
  <c r="HD8" i="4" a="1"/>
  <c r="GR11" i="4" a="1"/>
  <c r="FP14" i="4" a="1"/>
  <c r="FI14" i="4" a="1"/>
  <c r="GM9" i="4" a="1"/>
  <c r="HE16" i="4" a="1"/>
  <c r="HE13" i="4" a="1"/>
  <c r="BP59" i="3"/>
  <c r="FW9" i="4" a="1"/>
  <c r="FV7" i="4" a="1"/>
  <c r="GV11" i="4" a="1"/>
  <c r="FY14" i="4" a="1"/>
  <c r="HH13" i="4" a="1"/>
  <c r="BK62" i="3"/>
  <c r="BE75" i="3"/>
  <c r="FI9" i="4" a="1"/>
  <c r="FP9" i="4" a="1"/>
  <c r="HD9" i="4" a="1"/>
  <c r="GA12" i="4" a="1"/>
  <c r="FK14" i="4" a="1"/>
  <c r="GW5" i="4" a="1"/>
  <c r="FJ14" i="4" a="1"/>
  <c r="CK73" i="1" l="1"/>
  <c r="AA52" i="1"/>
  <c r="AA54" i="1"/>
  <c r="AA193" i="1"/>
  <c r="AA195" i="1" s="1"/>
  <c r="CL16" i="1"/>
  <c r="CL27" i="1"/>
  <c r="CK26" i="1"/>
  <c r="CK74" i="1"/>
  <c r="CK16" i="1"/>
  <c r="CL19" i="1" s="1"/>
  <c r="CK65" i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K27" i="1" l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B14" i="4" s="1"/>
  <c r="KH9" i="4" s="1"/>
  <c r="KD9" i="4" s="1"/>
  <c r="JZ9" i="4" s="1"/>
  <c r="JU9" i="4" s="1"/>
  <c r="JT9" i="4" s="1"/>
  <c r="JQ16" i="4" s="1"/>
  <c r="JS9" i="4" s="1"/>
  <c r="JR9" i="4" s="1"/>
  <c r="JW9" i="4" s="1"/>
  <c r="JY16" i="4" s="1"/>
  <c r="KF9" i="4" s="1"/>
  <c r="KB9" i="4" s="1"/>
  <c r="JX9" i="4" s="1"/>
  <c r="JQ9" i="4" s="1"/>
  <c r="JV9" i="4" s="1"/>
  <c r="CK17" i="1"/>
  <c r="CK28" i="1"/>
  <c r="CL17" i="1"/>
  <c r="CL28" i="1"/>
  <c r="KE21" i="4"/>
  <c r="KC15" i="4"/>
  <c r="KE14" i="4"/>
  <c r="CK29" i="1"/>
  <c r="CK34" i="1"/>
  <c r="CK38" i="1" s="1"/>
  <c r="JQ21" i="4"/>
  <c r="CK77" i="1" s="1"/>
  <c r="JW21" i="4"/>
  <c r="KG15" i="4"/>
  <c r="JS14" i="4"/>
  <c r="KF15" i="4"/>
  <c r="JR14" i="4"/>
  <c r="JQ7" i="4"/>
  <c r="JY21" i="4"/>
  <c r="KG8" i="4"/>
  <c r="KG20" i="4" s="1"/>
  <c r="JY8" i="4"/>
  <c r="JX8" i="4"/>
  <c r="JQ8" i="4"/>
  <c r="JX7" i="4"/>
  <c r="JS21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U7" i="4"/>
  <c r="JS8" i="4"/>
  <c r="KD7" i="4"/>
  <c r="KB8" i="4"/>
  <c r="JT14" i="4"/>
  <c r="KH15" i="4"/>
  <c r="JZ21" i="4"/>
  <c r="JV15" i="4"/>
  <c r="KG21" i="4"/>
  <c r="KD14" i="4"/>
  <c r="KD19" i="4" s="1"/>
  <c r="KB15" i="4"/>
  <c r="JT21" i="4"/>
  <c r="JY14" i="4"/>
  <c r="JY19" i="4" s="1"/>
  <c r="JW15" i="4"/>
  <c r="JW20" i="4" s="1"/>
  <c r="KB7" i="4"/>
  <c r="KB19" i="4" s="1"/>
  <c r="JZ8" i="4"/>
  <c r="KE7" i="4"/>
  <c r="KE19" i="4" s="1"/>
  <c r="KC8" i="4"/>
  <c r="KC20" i="4" s="1"/>
  <c r="JR21" i="4"/>
  <c r="CL77" i="1" s="1"/>
  <c r="KF14" i="4"/>
  <c r="JZ14" i="4"/>
  <c r="JZ19" i="4" s="1"/>
  <c r="JX15" i="4"/>
  <c r="KF21" i="4"/>
  <c r="JU14" i="4"/>
  <c r="JS15" i="4"/>
  <c r="KA7" i="4"/>
  <c r="KA19" i="4" s="1"/>
  <c r="KC7" i="4"/>
  <c r="KA8" i="4"/>
  <c r="KG7" i="4"/>
  <c r="JV7" i="4"/>
  <c r="JT8" i="4"/>
  <c r="JR15" i="4"/>
  <c r="KC21" i="4"/>
  <c r="JX14" i="4"/>
  <c r="KD21" i="4"/>
  <c r="JV14" i="4"/>
  <c r="JT15" i="4"/>
  <c r="KB21" i="4"/>
  <c r="JQ14" i="4"/>
  <c r="KG14" i="4"/>
  <c r="KE15" i="4"/>
  <c r="JT7" i="4"/>
  <c r="JR8" i="4"/>
  <c r="KH8" i="4"/>
  <c r="JW7" i="4"/>
  <c r="JW19" i="4" s="1"/>
  <c r="JU8" i="4"/>
  <c r="JU20" i="4" s="1"/>
  <c r="JU21" i="4"/>
  <c r="KD15" i="4"/>
  <c r="KD20" i="4" s="1"/>
  <c r="JV21" i="4"/>
  <c r="JX21" i="4"/>
  <c r="KC14" i="4"/>
  <c r="KA15" i="4"/>
  <c r="KA20" i="4" s="1"/>
  <c r="KH21" i="4"/>
  <c r="BU1" i="1"/>
  <c r="AA58" i="2"/>
  <c r="C4" i="2"/>
  <c r="AA51" i="2"/>
  <c r="AA70" i="2"/>
  <c r="AA106" i="2"/>
  <c r="EZ14" i="4" a="1"/>
  <c r="Y88" i="2"/>
  <c r="FE14" i="4" a="1"/>
  <c r="Y40" i="2"/>
  <c r="AA86" i="2"/>
  <c r="Y14" i="2"/>
  <c r="BA38" i="3"/>
  <c r="AA55" i="2"/>
  <c r="Y84" i="2"/>
  <c r="BB23" i="3"/>
  <c r="Z99" i="2"/>
  <c r="AA24" i="2"/>
  <c r="BB22" i="3"/>
  <c r="BB35" i="3"/>
  <c r="BB19" i="3"/>
  <c r="AA45" i="2"/>
  <c r="BC33" i="3"/>
  <c r="Y52" i="2"/>
  <c r="BB10" i="3"/>
  <c r="EY6" i="4" a="1"/>
  <c r="Y31" i="2"/>
  <c r="BC36" i="3"/>
  <c r="EZ5" i="4" a="1"/>
  <c r="AA59" i="2"/>
  <c r="BB42" i="3"/>
  <c r="Z30" i="2"/>
  <c r="AA105" i="2"/>
  <c r="Z68" i="2"/>
  <c r="BA8" i="3"/>
  <c r="FC8" i="4" a="1"/>
  <c r="AB5" i="3"/>
  <c r="AS36" i="3"/>
  <c r="AY22" i="3"/>
  <c r="AA108" i="2"/>
  <c r="AA88" i="2"/>
  <c r="BB21" i="3"/>
  <c r="Y104" i="2"/>
  <c r="EY7" i="4" a="1"/>
  <c r="BB11" i="3"/>
  <c r="AZ23" i="3"/>
  <c r="AY30" i="3"/>
  <c r="AY13" i="3"/>
  <c r="Z60" i="2"/>
  <c r="AA97" i="2"/>
  <c r="FF14" i="4" a="1"/>
  <c r="Z52" i="2"/>
  <c r="BA11" i="3"/>
  <c r="E5" i="6" a="1"/>
  <c r="BD32" i="3"/>
  <c r="AX32" i="3"/>
  <c r="AU39" i="3"/>
  <c r="AW46" i="3"/>
  <c r="C6" i="4" a="1"/>
  <c r="EY14" i="4" a="1"/>
  <c r="AV42" i="3"/>
  <c r="EL13" i="4" a="1"/>
  <c r="AT25" i="3"/>
  <c r="F45" i="3"/>
  <c r="AZ13" i="3"/>
  <c r="ES9" i="4" a="1"/>
  <c r="EZ11" i="4" a="1"/>
  <c r="AW40" i="3"/>
  <c r="AS18" i="3"/>
  <c r="AY28" i="3"/>
  <c r="EP15" i="4" a="1"/>
  <c r="AX28" i="3"/>
  <c r="AS22" i="3"/>
  <c r="J6" i="6" a="1"/>
  <c r="AU5" i="6" a="1"/>
  <c r="EO14" i="4" a="1"/>
  <c r="ER8" i="4" a="1"/>
  <c r="ER16" i="4" a="1"/>
  <c r="EP11" i="4" a="1"/>
  <c r="AF33" i="3"/>
  <c r="AT26" i="3"/>
  <c r="AU34" i="3"/>
  <c r="AT18" i="3"/>
  <c r="AU23" i="3"/>
  <c r="EL11" i="4" a="1"/>
  <c r="AU37" i="3"/>
  <c r="AW8" i="3"/>
  <c r="ER14" i="4" a="1"/>
  <c r="AS24" i="3"/>
  <c r="AV36" i="3"/>
  <c r="BA20" i="3"/>
  <c r="BB18" i="3"/>
  <c r="Z13" i="2"/>
  <c r="BA34" i="3"/>
  <c r="Z98" i="2"/>
  <c r="EX7" i="4" a="1"/>
  <c r="Z62" i="2"/>
  <c r="FF8" i="4" a="1"/>
  <c r="BD20" i="3"/>
  <c r="Y99" i="2"/>
  <c r="AA15" i="2"/>
  <c r="Y80" i="2"/>
  <c r="Y55" i="2"/>
  <c r="AA81" i="2"/>
  <c r="AA87" i="2"/>
  <c r="BB15" i="3"/>
  <c r="AA63" i="2"/>
  <c r="Z43" i="2"/>
  <c r="Y47" i="2"/>
  <c r="BA5" i="3"/>
  <c r="AA52" i="2"/>
  <c r="Y105" i="2"/>
  <c r="Y12" i="2"/>
  <c r="Y29" i="2"/>
  <c r="BA76" i="3"/>
  <c r="Y89" i="2"/>
  <c r="BA45" i="3"/>
  <c r="BD14" i="3"/>
  <c r="Z51" i="2"/>
  <c r="AA31" i="2"/>
  <c r="FD16" i="4" a="1"/>
  <c r="Z76" i="2"/>
  <c r="AA76" i="2"/>
  <c r="EX12" i="4" a="1"/>
  <c r="AY40" i="3"/>
  <c r="AW26" i="3"/>
  <c r="AV6" i="3"/>
  <c r="BB26" i="3"/>
  <c r="AA96" i="2"/>
  <c r="Z31" i="2"/>
  <c r="AA80" i="2"/>
  <c r="FE6" i="4" a="1"/>
  <c r="EZ6" i="4" a="1"/>
  <c r="AD6" i="6" a="1"/>
  <c r="EV5" i="4" a="1"/>
  <c r="AT36" i="3"/>
  <c r="AA66" i="2"/>
  <c r="Y77" i="2"/>
  <c r="EX11" i="4" a="1"/>
  <c r="Z42" i="2"/>
  <c r="Y95" i="2"/>
  <c r="AX38" i="3"/>
  <c r="Y70" i="2"/>
  <c r="AV29" i="3"/>
  <c r="AB6" i="6" a="1"/>
  <c r="AW21" i="3"/>
  <c r="AF7" i="3"/>
  <c r="AY25" i="3"/>
  <c r="FF5" i="4" a="1"/>
  <c r="AF39" i="3"/>
  <c r="EP16" i="4" a="1"/>
  <c r="EU13" i="4" a="1"/>
  <c r="AZ6" i="3"/>
  <c r="ER7" i="4" a="1"/>
  <c r="AV34" i="3"/>
  <c r="EP14" i="4" a="1"/>
  <c r="AV21" i="3"/>
  <c r="EL8" i="4" a="1"/>
  <c r="AV31" i="3"/>
  <c r="AF5" i="3"/>
  <c r="Y19" i="2"/>
  <c r="AA13" i="2"/>
  <c r="BA31" i="3"/>
  <c r="AA94" i="2"/>
  <c r="BB5" i="3"/>
  <c r="FD12" i="4" a="1"/>
  <c r="AA19" i="2"/>
  <c r="Y94" i="2"/>
  <c r="BD13" i="3"/>
  <c r="BC17" i="3"/>
  <c r="Z78" i="2"/>
  <c r="Z18" i="2"/>
  <c r="X6" i="2"/>
  <c r="BB97" i="3"/>
  <c r="AA46" i="2"/>
  <c r="Z59" i="2"/>
  <c r="BC34" i="3"/>
  <c r="Z49" i="2"/>
  <c r="Y63" i="2"/>
  <c r="AA74" i="2"/>
  <c r="BD15" i="3"/>
  <c r="Y10" i="2"/>
  <c r="BB6" i="3"/>
  <c r="BA36" i="3"/>
  <c r="BA19" i="3"/>
  <c r="Z65" i="2"/>
  <c r="AA16" i="2"/>
  <c r="BB28" i="3"/>
  <c r="Z10" i="2"/>
  <c r="AA53" i="2"/>
  <c r="BB9" i="3"/>
  <c r="Z94" i="2"/>
  <c r="BB72" i="3"/>
  <c r="Y91" i="2"/>
  <c r="BA63" i="3"/>
  <c r="FB9" i="4" a="1"/>
  <c r="AK5" i="6" a="1"/>
  <c r="EM7" i="4" a="1"/>
  <c r="AW24" i="3"/>
  <c r="BD21" i="3"/>
  <c r="BD10" i="3"/>
  <c r="BB20" i="3"/>
  <c r="BC46" i="3"/>
  <c r="FD9" i="4" a="1"/>
  <c r="FD11" i="4" a="1"/>
  <c r="AF10" i="3"/>
  <c r="AS19" i="3"/>
  <c r="AU32" i="3"/>
  <c r="BD5" i="3"/>
  <c r="AA68" i="2"/>
  <c r="BB8" i="3"/>
  <c r="FC9" i="4" a="1"/>
  <c r="AR5" i="3"/>
  <c r="AW37" i="3"/>
  <c r="AT14" i="3"/>
  <c r="AV45" i="3"/>
  <c r="EN16" i="4" a="1"/>
  <c r="AV22" i="3"/>
  <c r="BB56" i="3"/>
  <c r="AZ7" i="3"/>
  <c r="ES5" i="4" a="1"/>
  <c r="AY45" i="3"/>
  <c r="AF8" i="3"/>
  <c r="AY41" i="3"/>
  <c r="AT29" i="3"/>
  <c r="AS26" i="3"/>
  <c r="AR6" i="3"/>
  <c r="AW29" i="3"/>
  <c r="AF14" i="3"/>
  <c r="AG5" i="6" a="1"/>
  <c r="AY9" i="3"/>
  <c r="AF15" i="3"/>
  <c r="AZ9" i="3"/>
  <c r="EX5" i="4" a="1"/>
  <c r="AS34" i="3"/>
  <c r="AU24" i="3"/>
  <c r="AV37" i="3"/>
  <c r="AX36" i="3"/>
  <c r="EP8" i="4" a="1"/>
  <c r="AY17" i="3"/>
  <c r="BB93" i="3"/>
  <c r="AT20" i="3"/>
  <c r="AW10" i="3"/>
  <c r="AT13" i="3"/>
  <c r="L5" i="6" a="1"/>
  <c r="AP6" i="6" a="1"/>
  <c r="AU27" i="3"/>
  <c r="AE5" i="6" a="1"/>
  <c r="AS38" i="3"/>
  <c r="AT22" i="3"/>
  <c r="AS35" i="3"/>
  <c r="EO5" i="4" a="1"/>
  <c r="AX37" i="3"/>
  <c r="AW13" i="3"/>
  <c r="AF28" i="3"/>
  <c r="ET14" i="4" a="1"/>
  <c r="EL9" i="4" a="1"/>
  <c r="AU15" i="3"/>
  <c r="EL16" i="4" a="1"/>
  <c r="AW7" i="3"/>
  <c r="EW7" i="4" a="1"/>
  <c r="J13" i="2"/>
  <c r="E19" i="2"/>
  <c r="W35" i="2"/>
  <c r="S11" i="4" a="1"/>
  <c r="G16" i="2"/>
  <c r="R54" i="2"/>
  <c r="D37" i="3"/>
  <c r="Q59" i="2"/>
  <c r="Q78" i="2"/>
  <c r="H30" i="2"/>
  <c r="F17" i="3"/>
  <c r="C7" i="2"/>
  <c r="U6" i="2"/>
  <c r="I16" i="2"/>
  <c r="E5" i="3"/>
  <c r="M23" i="2"/>
  <c r="Q13" i="2"/>
  <c r="DB8" i="4" a="1"/>
  <c r="Y22" i="2"/>
  <c r="Y69" i="2"/>
  <c r="Y85" i="2"/>
  <c r="BB36" i="3"/>
  <c r="Y75" i="2"/>
  <c r="Z47" i="2"/>
  <c r="FA11" i="4" a="1"/>
  <c r="BC40" i="3"/>
  <c r="Z77" i="2"/>
  <c r="AA73" i="2"/>
  <c r="BD24" i="3"/>
  <c r="AA44" i="2"/>
  <c r="Z41" i="2"/>
  <c r="BA24" i="3"/>
  <c r="AA60" i="2"/>
  <c r="BD7" i="3"/>
  <c r="BD6" i="3"/>
  <c r="Y17" i="2"/>
  <c r="Z54" i="2"/>
  <c r="BB12" i="3"/>
  <c r="Z36" i="2"/>
  <c r="BD29" i="3"/>
  <c r="BC21" i="3"/>
  <c r="Y20" i="2"/>
  <c r="Z82" i="2"/>
  <c r="AA77" i="2"/>
  <c r="Y107" i="2"/>
  <c r="Y58" i="2"/>
  <c r="Z5" i="2"/>
  <c r="Y106" i="2"/>
  <c r="Y110" i="2"/>
  <c r="AA29" i="2"/>
  <c r="Z91" i="2"/>
  <c r="Y67" i="2"/>
  <c r="BD41" i="3"/>
  <c r="BC31" i="3"/>
  <c r="BB70" i="3"/>
  <c r="AS37" i="3"/>
  <c r="AY33" i="3"/>
  <c r="AQ6" i="6" a="1"/>
  <c r="Z96" i="2"/>
  <c r="Z11" i="2"/>
  <c r="Z71" i="2"/>
  <c r="Y64" i="2"/>
  <c r="FC14" i="4" a="1"/>
  <c r="BB96" i="3"/>
  <c r="AS9" i="3"/>
  <c r="AY5" i="3"/>
  <c r="AF6" i="3"/>
  <c r="Z106" i="2"/>
  <c r="BC24" i="3"/>
  <c r="BC32" i="3"/>
  <c r="Y108" i="2"/>
  <c r="AA83" i="2"/>
  <c r="BA78" i="3"/>
  <c r="FE13" i="4" a="1"/>
  <c r="AT28" i="3"/>
  <c r="EM15" i="4" a="1"/>
  <c r="AY95" i="3"/>
  <c r="AW42" i="3"/>
  <c r="EU8" i="4" a="1"/>
  <c r="AV17" i="3"/>
  <c r="AX13" i="3"/>
  <c r="EM6" i="4" a="1"/>
  <c r="BA13" i="3"/>
  <c r="AX18" i="3"/>
  <c r="AT35" i="3"/>
  <c r="EQ15" i="4" a="1"/>
  <c r="AZ40" i="3"/>
  <c r="AU21" i="3"/>
  <c r="AY76" i="3"/>
  <c r="AT10" i="3"/>
  <c r="AZ39" i="3"/>
  <c r="EM12" i="4" a="1"/>
  <c r="AS16" i="3"/>
  <c r="EW15" i="4" a="1"/>
  <c r="AA107" i="2"/>
  <c r="Y28" i="2"/>
  <c r="Z55" i="2"/>
  <c r="BC30" i="3"/>
  <c r="Z64" i="2"/>
  <c r="Y61" i="2"/>
  <c r="EX9" i="4" a="1"/>
  <c r="AA92" i="2"/>
  <c r="BB24" i="3"/>
  <c r="Y36" i="2"/>
  <c r="Y42" i="2"/>
  <c r="AA82" i="2"/>
  <c r="Z19" i="2"/>
  <c r="Y46" i="2"/>
  <c r="AA47" i="2"/>
  <c r="Y109" i="2"/>
  <c r="BB39" i="3"/>
  <c r="Y57" i="2"/>
  <c r="BD16" i="3"/>
  <c r="BD31" i="3"/>
  <c r="Y50" i="2"/>
  <c r="Z20" i="2"/>
  <c r="BA39" i="3"/>
  <c r="AA25" i="2"/>
  <c r="BC29" i="3"/>
  <c r="BC9" i="3"/>
  <c r="Z67" i="2"/>
  <c r="EY16" i="4" a="1"/>
  <c r="BA69" i="3"/>
  <c r="BA29" i="3"/>
  <c r="Y16" i="2"/>
  <c r="BB27" i="3"/>
  <c r="Z15" i="2"/>
  <c r="AA50" i="2"/>
  <c r="FA7" i="4" a="1"/>
  <c r="BB78" i="3"/>
  <c r="F6" i="6" a="1"/>
  <c r="EL15" i="4" a="1"/>
  <c r="AV12" i="3"/>
  <c r="AA6" i="2"/>
  <c r="FC5" i="4" a="1"/>
  <c r="BB62" i="3"/>
  <c r="BC23" i="3"/>
  <c r="FA16" i="4" a="1"/>
  <c r="FD7" i="4" a="1"/>
  <c r="EW5" i="4" a="1"/>
  <c r="AR6" i="6" a="1"/>
  <c r="AV16" i="3"/>
  <c r="Y18" i="2"/>
  <c r="Y5" i="2"/>
  <c r="Z50" i="2"/>
  <c r="BB46" i="3"/>
  <c r="BC11" i="3"/>
  <c r="EM13" i="4" a="1"/>
  <c r="AZ21" i="3"/>
  <c r="AY60" i="3"/>
  <c r="EQ12" i="4" a="1"/>
  <c r="Z81" i="2"/>
  <c r="AA23" i="2"/>
  <c r="Y97" i="2"/>
  <c r="Y7" i="2"/>
  <c r="AA40" i="2"/>
  <c r="Z107" i="2"/>
  <c r="Y13" i="2"/>
  <c r="Z34" i="2"/>
  <c r="Z104" i="2"/>
  <c r="Z16" i="2"/>
  <c r="Y62" i="2"/>
  <c r="BA7" i="3"/>
  <c r="BA14" i="3"/>
  <c r="BD27" i="3"/>
  <c r="FF7" i="4" a="1"/>
  <c r="Z46" i="2"/>
  <c r="EY11" i="4" a="1"/>
  <c r="BB17" i="3"/>
  <c r="BD22" i="3"/>
  <c r="Y8" i="2"/>
  <c r="BA30" i="3"/>
  <c r="Y11" i="2"/>
  <c r="Y93" i="2"/>
  <c r="BA26" i="3"/>
  <c r="BD40" i="3"/>
  <c r="AA12" i="2"/>
  <c r="Y54" i="2"/>
  <c r="BD28" i="3"/>
  <c r="FC6" i="4" a="1"/>
  <c r="V6" i="2"/>
  <c r="Z26" i="2"/>
  <c r="AA41" i="2"/>
  <c r="BA67" i="3"/>
  <c r="AA10" i="2"/>
  <c r="BA23" i="3"/>
  <c r="FC13" i="4" a="1"/>
  <c r="FB13" i="4" a="1"/>
  <c r="AW45" i="3"/>
  <c r="EW6" i="4" a="1"/>
  <c r="AW22" i="3"/>
  <c r="Z6" i="2"/>
  <c r="AA49" i="2"/>
  <c r="BD8" i="3"/>
  <c r="BC41" i="3"/>
  <c r="FA15" i="4" a="1"/>
  <c r="FB12" i="4" a="1"/>
  <c r="AT34" i="3"/>
  <c r="AU7" i="3"/>
  <c r="AZ35" i="3"/>
  <c r="BC14" i="3"/>
  <c r="BD45" i="3"/>
  <c r="BB61" i="3"/>
  <c r="BB25" i="3"/>
  <c r="EY9" i="4" a="1"/>
  <c r="FB8" i="4" a="1"/>
  <c r="AV39" i="3"/>
  <c r="EM8" i="4" a="1"/>
  <c r="AF23" i="3"/>
  <c r="K6" i="6" a="1"/>
  <c r="ET8" i="4" a="1"/>
  <c r="AX26" i="3"/>
  <c r="U6" i="6" a="1"/>
  <c r="AX27" i="3"/>
  <c r="EZ9" i="4" a="1"/>
  <c r="AZ25" i="3"/>
  <c r="AT8" i="3"/>
  <c r="EW14" i="4" a="1"/>
  <c r="AX24" i="3"/>
  <c r="Z27" i="2"/>
  <c r="BC28" i="3"/>
  <c r="Z61" i="2"/>
  <c r="Y44" i="2"/>
  <c r="Z83" i="2"/>
  <c r="Z40" i="2"/>
  <c r="Z74" i="2"/>
  <c r="BD38" i="3"/>
  <c r="BC19" i="3"/>
  <c r="AA34" i="2"/>
  <c r="BD33" i="3"/>
  <c r="BC25" i="3"/>
  <c r="Y59" i="2"/>
  <c r="BC10" i="3"/>
  <c r="EZ12" i="4" a="1"/>
  <c r="BC38" i="3"/>
  <c r="FE16" i="4" a="1"/>
  <c r="Y60" i="2"/>
  <c r="BD37" i="3"/>
  <c r="Z29" i="2"/>
  <c r="BD36" i="3"/>
  <c r="Y35" i="2"/>
  <c r="Y33" i="2"/>
  <c r="FC16" i="4" a="1"/>
  <c r="BA9" i="3"/>
  <c r="AA89" i="2"/>
  <c r="Z58" i="2"/>
  <c r="BD34" i="3"/>
  <c r="BB55" i="3"/>
  <c r="AA32" i="2"/>
  <c r="AA78" i="2"/>
  <c r="BC15" i="3"/>
  <c r="Y32" i="2"/>
  <c r="Y48" i="2"/>
  <c r="FE5" i="4" a="1"/>
  <c r="BB74" i="3"/>
  <c r="AU13" i="3"/>
  <c r="AW15" i="3"/>
  <c r="AY15" i="3"/>
  <c r="BC7" i="3"/>
  <c r="Z21" i="2"/>
  <c r="Y27" i="2"/>
  <c r="BA16" i="3"/>
  <c r="FE12" i="4" a="1"/>
  <c r="BB80" i="3"/>
  <c r="AZ30" i="3"/>
  <c r="ES14" i="4" a="1"/>
  <c r="AT7" i="3"/>
  <c r="Z87" i="2"/>
  <c r="FB7" i="4" a="1"/>
  <c r="AA27" i="2"/>
  <c r="BA91" i="3"/>
  <c r="EX8" i="4" a="1"/>
  <c r="BB84" i="3"/>
  <c r="EZ7" i="4" a="1"/>
  <c r="Y15" i="2"/>
  <c r="AZ37" i="3"/>
  <c r="J5" i="6" a="1"/>
  <c r="EP9" i="4" a="1"/>
  <c r="AU28" i="3"/>
  <c r="AF13" i="3"/>
  <c r="AW6" i="6" a="1"/>
  <c r="AU6" i="3"/>
  <c r="EN9" i="4" a="1"/>
  <c r="AY84" i="3"/>
  <c r="AZ22" i="3"/>
  <c r="AX39" i="3"/>
  <c r="AJ5" i="6" a="1"/>
  <c r="AY7" i="3"/>
  <c r="AY8" i="3"/>
  <c r="EW8" i="4" a="1"/>
  <c r="AW25" i="3"/>
  <c r="AX40" i="3"/>
  <c r="AX25" i="3"/>
  <c r="AS6" i="3"/>
  <c r="AV33" i="3"/>
  <c r="AS5" i="6" a="1"/>
  <c r="AT27" i="3"/>
  <c r="AL6" i="6" a="1"/>
  <c r="Y5" i="6" a="1"/>
  <c r="ET9" i="4" a="1"/>
  <c r="H6" i="6" a="1"/>
  <c r="M6" i="6" a="1"/>
  <c r="AF34" i="3"/>
  <c r="ET5" i="4" a="1"/>
  <c r="AG6" i="6" a="1"/>
  <c r="AX20" i="3"/>
  <c r="AF38" i="3"/>
  <c r="AY12" i="3"/>
  <c r="AY6" i="6" a="1"/>
  <c r="AV32" i="3"/>
  <c r="AT19" i="3"/>
  <c r="BA49" i="3"/>
  <c r="AZ38" i="3"/>
  <c r="EU14" i="4" a="1"/>
  <c r="AB5" i="6" a="1"/>
  <c r="AV20" i="3"/>
  <c r="AY64" i="3"/>
  <c r="V6" i="6" a="1"/>
  <c r="AV23" i="3"/>
  <c r="AZ10" i="3"/>
  <c r="AN5" i="6" a="1"/>
  <c r="BA12" i="3"/>
  <c r="BA27" i="3"/>
  <c r="Y86" i="2"/>
  <c r="Z53" i="2"/>
  <c r="Z56" i="2"/>
  <c r="BB59" i="3"/>
  <c r="AA33" i="2"/>
  <c r="Y66" i="2"/>
  <c r="Y51" i="2"/>
  <c r="AY29" i="3"/>
  <c r="BA10" i="3"/>
  <c r="Z110" i="2"/>
  <c r="Y34" i="2"/>
  <c r="AA104" i="2"/>
  <c r="FA12" i="4" a="1"/>
  <c r="BD39" i="3"/>
  <c r="FE11" i="4" a="1"/>
  <c r="Z63" i="2"/>
  <c r="Z25" i="2"/>
  <c r="AA61" i="2"/>
  <c r="BD19" i="3"/>
  <c r="Z45" i="2"/>
  <c r="Z72" i="2"/>
  <c r="FA5" i="4" a="1"/>
  <c r="AA67" i="2"/>
  <c r="FB15" i="4" a="1"/>
  <c r="AA69" i="2"/>
  <c r="BB38" i="3"/>
  <c r="AA35" i="2"/>
  <c r="BA37" i="3"/>
  <c r="BA22" i="3"/>
  <c r="FA14" i="4" a="1"/>
  <c r="BB40" i="3"/>
  <c r="AA30" i="2"/>
  <c r="FC15" i="4" a="1"/>
  <c r="BB88" i="3"/>
  <c r="H5" i="6" a="1"/>
  <c r="AU38" i="3"/>
  <c r="EV14" i="4" a="1"/>
  <c r="Y9" i="2"/>
  <c r="AA22" i="2"/>
  <c r="Z70" i="2"/>
  <c r="BB13" i="3"/>
  <c r="BB48" i="3"/>
  <c r="FD6" i="4" a="1"/>
  <c r="AT21" i="3"/>
  <c r="AX14" i="3"/>
  <c r="ET13" i="4" a="1"/>
  <c r="AA17" i="2"/>
  <c r="Z69" i="2"/>
  <c r="BC13" i="3"/>
  <c r="Y43" i="2"/>
  <c r="BD30" i="3"/>
  <c r="Y56" i="2"/>
  <c r="BD11" i="3"/>
  <c r="Y72" i="2"/>
  <c r="BA46" i="3"/>
  <c r="Y41" i="2"/>
  <c r="BD23" i="3"/>
  <c r="FF6" i="4" a="1"/>
  <c r="AA109" i="2"/>
  <c r="BC27" i="3"/>
  <c r="BC37" i="3"/>
  <c r="Z90" i="2"/>
  <c r="BA41" i="3"/>
  <c r="Y30" i="2"/>
  <c r="FA6" i="4" a="1"/>
  <c r="AA48" i="2"/>
  <c r="FB5" i="4" a="1"/>
  <c r="Z7" i="2"/>
  <c r="Y49" i="2"/>
  <c r="AA75" i="2"/>
  <c r="AA7" i="2"/>
  <c r="Y6" i="2"/>
  <c r="Z85" i="2"/>
  <c r="BB7" i="3"/>
  <c r="BC20" i="3"/>
  <c r="Z14" i="2"/>
  <c r="BD12" i="3"/>
  <c r="AA91" i="2"/>
  <c r="FF9" i="4" a="1"/>
  <c r="AA110" i="2"/>
  <c r="BC12" i="3"/>
  <c r="AA21" i="2"/>
  <c r="AA26" i="2"/>
  <c r="BC26" i="3"/>
  <c r="BC8" i="3"/>
  <c r="FF12" i="4" a="1"/>
  <c r="BA28" i="3"/>
  <c r="EX14" i="4" a="1"/>
  <c r="AA90" i="2"/>
  <c r="Y45" i="2"/>
  <c r="AA64" i="2"/>
  <c r="BD26" i="3"/>
  <c r="AA9" i="2"/>
  <c r="FD8" i="4" a="1"/>
  <c r="BC18" i="3"/>
  <c r="EX6" i="4" a="1"/>
  <c r="BA17" i="3"/>
  <c r="BA21" i="3"/>
  <c r="AA5" i="2"/>
  <c r="AA112" i="2" s="1"/>
  <c r="Z97" i="2"/>
  <c r="BD42" i="3"/>
  <c r="BB31" i="3"/>
  <c r="AA85" i="2"/>
  <c r="AA62" i="2"/>
  <c r="FB6" i="4" a="1"/>
  <c r="Z44" i="2"/>
  <c r="EP13" i="4" a="1"/>
  <c r="AZ34" i="3"/>
  <c r="AA71" i="2"/>
  <c r="Y26" i="2"/>
  <c r="BC22" i="3"/>
  <c r="Z57" i="2"/>
  <c r="BD17" i="3"/>
  <c r="Y71" i="2"/>
  <c r="AA84" i="2"/>
  <c r="AV28" i="3"/>
  <c r="ES8" i="4" a="1"/>
  <c r="AZ11" i="3"/>
  <c r="BC39" i="3"/>
  <c r="BA33" i="3"/>
  <c r="AA72" i="2"/>
  <c r="BA32" i="3"/>
  <c r="FF16" i="4" a="1"/>
  <c r="EY13" i="4" a="1"/>
  <c r="BB54" i="3"/>
  <c r="AW16" i="3"/>
  <c r="AM6" i="6" a="1"/>
  <c r="AY27" i="3"/>
  <c r="AU16" i="3"/>
  <c r="AH5" i="6" a="1"/>
  <c r="AU19" i="3"/>
  <c r="AT46" i="3"/>
  <c r="AF5" i="6" a="1"/>
  <c r="EQ11" i="4" a="1"/>
  <c r="AF24" i="3"/>
  <c r="Q5" i="6" a="1"/>
  <c r="EU16" i="4" a="1"/>
  <c r="FD14" i="4" a="1"/>
  <c r="AM5" i="6" a="1"/>
  <c r="AX5" i="6" a="1"/>
  <c r="AR7" i="3"/>
  <c r="AK6" i="6" a="1"/>
  <c r="AW12" i="3"/>
  <c r="AP5" i="3"/>
  <c r="AF26" i="3"/>
  <c r="AZ19" i="3"/>
  <c r="R6" i="6" a="1"/>
  <c r="EL14" i="4" a="1"/>
  <c r="Z5" i="6" a="1"/>
  <c r="ES15" i="4" a="1"/>
  <c r="EP12" i="4" a="1"/>
  <c r="AY6" i="3"/>
  <c r="AX6" i="3"/>
  <c r="F46" i="3"/>
  <c r="AS45" i="3"/>
  <c r="AV5" i="3"/>
  <c r="AV82" i="3" s="1"/>
  <c r="AF41" i="3"/>
  <c r="AS25" i="3"/>
  <c r="AS23" i="3"/>
  <c r="EN13" i="4" a="1"/>
  <c r="Z35" i="2"/>
  <c r="Z105" i="2"/>
  <c r="Z93" i="2"/>
  <c r="BC16" i="3"/>
  <c r="Z9" i="2"/>
  <c r="Z17" i="2"/>
  <c r="BA6" i="3"/>
  <c r="FB11" i="4" a="1"/>
  <c r="AA95" i="2"/>
  <c r="Y92" i="2"/>
  <c r="AA28" i="2"/>
  <c r="BA25" i="3"/>
  <c r="C5" i="2"/>
  <c r="Z75" i="2"/>
  <c r="AA18" i="2"/>
  <c r="Y78" i="2"/>
  <c r="EZ13" i="4" a="1"/>
  <c r="Y87" i="2"/>
  <c r="Z12" i="2"/>
  <c r="Z84" i="2"/>
  <c r="AA56" i="2"/>
  <c r="Y76" i="2"/>
  <c r="BC42" i="3"/>
  <c r="EX13" i="4" a="1"/>
  <c r="BB82" i="3"/>
  <c r="FD13" i="4" a="1"/>
  <c r="Y83" i="2"/>
  <c r="AA57" i="2"/>
  <c r="BA18" i="3"/>
  <c r="AA54" i="2"/>
  <c r="Y21" i="2"/>
  <c r="Y82" i="2"/>
  <c r="AA20" i="2"/>
  <c r="BB71" i="3"/>
  <c r="BB86" i="3"/>
  <c r="BB95" i="3"/>
  <c r="FA9" i="4" a="1"/>
  <c r="AZ46" i="3"/>
  <c r="AT23" i="3"/>
  <c r="BC45" i="3"/>
  <c r="BA35" i="3"/>
  <c r="EY8" i="4" a="1"/>
  <c r="Z32" i="2"/>
  <c r="AA36" i="2"/>
  <c r="EZ15" i="4" a="1"/>
  <c r="EZ8" i="4" a="1"/>
  <c r="AY18" i="3"/>
  <c r="AS15" i="3"/>
  <c r="ER12" i="4" a="1"/>
  <c r="BB45" i="3"/>
  <c r="Y53" i="2"/>
  <c r="BA40" i="3"/>
  <c r="Z80" i="2"/>
  <c r="EX16" i="4" a="1"/>
  <c r="AA111" i="2"/>
  <c r="FB14" i="4" a="1"/>
  <c r="I5" i="6" a="1"/>
  <c r="AV18" i="3"/>
  <c r="AW31" i="3"/>
  <c r="AY21" i="3"/>
  <c r="AT32" i="3"/>
  <c r="AW34" i="3"/>
  <c r="AS46" i="3"/>
  <c r="AW30" i="3"/>
  <c r="AT15" i="3"/>
  <c r="AY26" i="3"/>
  <c r="AZ18" i="3"/>
  <c r="AD5" i="6" a="1"/>
  <c r="AY42" i="3"/>
  <c r="ER13" i="4" a="1"/>
  <c r="BB75" i="3"/>
  <c r="EO12" i="4" a="1"/>
  <c r="AS29" i="3"/>
  <c r="AY19" i="3"/>
  <c r="AV24" i="3"/>
  <c r="ES13" i="4" a="1"/>
  <c r="AT41" i="3"/>
  <c r="AX21" i="3"/>
  <c r="AF18" i="3"/>
  <c r="AW6" i="3"/>
  <c r="EN12" i="4" a="1"/>
  <c r="AZ31" i="3"/>
  <c r="C6" i="6" a="1"/>
  <c r="AA43" i="2"/>
  <c r="Y90" i="2"/>
  <c r="AA79" i="2"/>
  <c r="AA8" i="2"/>
  <c r="BB37" i="3"/>
  <c r="BC35" i="3"/>
  <c r="BC6" i="3"/>
  <c r="FA13" i="4" a="1"/>
  <c r="Z79" i="2"/>
  <c r="W6" i="2"/>
  <c r="Y81" i="2"/>
  <c r="BB14" i="3"/>
  <c r="Z88" i="2"/>
  <c r="BD25" i="3"/>
  <c r="Y98" i="2"/>
  <c r="BA42" i="3"/>
  <c r="FF15" i="4" a="1"/>
  <c r="BD46" i="3"/>
  <c r="AV10" i="3"/>
  <c r="BA15" i="3"/>
  <c r="Z92" i="2"/>
  <c r="AA11" i="2"/>
  <c r="Z86" i="2"/>
  <c r="FB16" i="4" a="1"/>
  <c r="Y23" i="2"/>
  <c r="EY5" i="4" a="1"/>
  <c r="Y74" i="2"/>
  <c r="Z109" i="2"/>
  <c r="FE8" i="4" a="1"/>
  <c r="Z33" i="2"/>
  <c r="AA98" i="2"/>
  <c r="BB29" i="3"/>
  <c r="AA93" i="2"/>
  <c r="BB34" i="3"/>
  <c r="AA99" i="2"/>
  <c r="BB41" i="3"/>
  <c r="AS39" i="3"/>
  <c r="AA6" i="6" a="1"/>
  <c r="EO16" i="4" a="1"/>
  <c r="BB33" i="3"/>
  <c r="AA42" i="2"/>
  <c r="Y79" i="2"/>
  <c r="BD18" i="3"/>
  <c r="BB32" i="3"/>
  <c r="FC7" i="4" a="1"/>
  <c r="AU25" i="3"/>
  <c r="AL5" i="6" a="1"/>
  <c r="AT38" i="3"/>
  <c r="G5" i="6" a="1"/>
  <c r="BC5" i="3"/>
  <c r="BC80" i="3" s="1"/>
  <c r="Z22" i="2"/>
  <c r="Y73" i="2"/>
  <c r="BB89" i="3"/>
  <c r="BB79" i="3"/>
  <c r="FE15" i="4" a="1"/>
  <c r="EW13" i="4" a="1"/>
  <c r="BB58" i="3"/>
  <c r="BD35" i="3"/>
  <c r="Y25" i="2"/>
  <c r="ES12" i="4" a="1"/>
  <c r="EZ16" i="4" a="1"/>
  <c r="AI6" i="6" a="1"/>
  <c r="AT11" i="3"/>
  <c r="EQ13" i="4" a="1"/>
  <c r="S6" i="6" a="1"/>
  <c r="AU36" i="3"/>
  <c r="AF29" i="3"/>
  <c r="EU9" i="4" a="1"/>
  <c r="AY11" i="3"/>
  <c r="AU20" i="3"/>
  <c r="EN8" i="4" a="1"/>
  <c r="EM9" i="4" a="1"/>
  <c r="AW11" i="3"/>
  <c r="AV11" i="3"/>
  <c r="AY32" i="3"/>
  <c r="AY34" i="3"/>
  <c r="W6" i="6" a="1"/>
  <c r="AF21" i="3"/>
  <c r="AW39" i="3"/>
  <c r="AF27" i="3"/>
  <c r="EP7" i="4" a="1"/>
  <c r="AV48" i="3"/>
  <c r="EP6" i="4" a="1"/>
  <c r="AX30" i="3"/>
  <c r="AY24" i="3"/>
  <c r="EW16" i="4" a="1"/>
  <c r="AV30" i="3"/>
  <c r="EN15" i="4" a="1"/>
  <c r="AS10" i="3"/>
  <c r="K11" i="2"/>
  <c r="BS5" i="4" a="1"/>
  <c r="DV7" i="4" a="1"/>
  <c r="V11" i="2"/>
  <c r="R25" i="2"/>
  <c r="N29" i="2"/>
  <c r="X10" i="2"/>
  <c r="I35" i="2"/>
  <c r="C30" i="2"/>
  <c r="C19" i="2"/>
  <c r="Q24" i="2"/>
  <c r="W16" i="2"/>
  <c r="EE14" i="4" a="1"/>
  <c r="CY15" i="4" a="1"/>
  <c r="J17" i="2"/>
  <c r="E12" i="2"/>
  <c r="AZ5" i="4" a="1"/>
  <c r="DK9" i="4" a="1"/>
  <c r="F34" i="3"/>
  <c r="Q18" i="2"/>
  <c r="DV16" i="4" a="1"/>
  <c r="C10" i="2"/>
  <c r="M5" i="2"/>
  <c r="V32" i="2"/>
  <c r="CN8" i="4" a="1"/>
  <c r="W15" i="2"/>
  <c r="C59" i="2"/>
  <c r="X33" i="2"/>
  <c r="DU11" i="4" a="1"/>
  <c r="G11" i="2"/>
  <c r="R20" i="2"/>
  <c r="Q28" i="2"/>
  <c r="I33" i="2"/>
  <c r="P8" i="2"/>
  <c r="E8" i="2"/>
  <c r="BM14" i="4" a="1"/>
  <c r="U19" i="2"/>
  <c r="BD15" i="4" a="1"/>
  <c r="E15" i="2"/>
  <c r="X15" i="2"/>
  <c r="X18" i="2"/>
  <c r="X12" i="2"/>
  <c r="I20" i="2"/>
  <c r="J19" i="2"/>
  <c r="G35" i="2"/>
  <c r="D30" i="2"/>
  <c r="S13" i="2"/>
  <c r="U7" i="2"/>
  <c r="K24" i="2"/>
  <c r="V25" i="2"/>
  <c r="R32" i="2"/>
  <c r="W18" i="2"/>
  <c r="M35" i="2"/>
  <c r="EJ5" i="4" a="1"/>
  <c r="CY12" i="4" a="1"/>
  <c r="AG45" i="3"/>
  <c r="O12" i="4" a="1"/>
  <c r="CI14" i="4" a="1"/>
  <c r="F42" i="3"/>
  <c r="P9" i="4" a="1"/>
  <c r="CL16" i="4" a="1"/>
  <c r="M31" i="2"/>
  <c r="BY5" i="4" a="1"/>
  <c r="DQ8" i="4" a="1"/>
  <c r="Z45" i="3"/>
  <c r="DN15" i="4" a="1"/>
  <c r="FF11" i="4" a="1"/>
  <c r="EY12" i="4" a="1"/>
  <c r="AU40" i="3"/>
  <c r="EY15" i="4" a="1"/>
  <c r="ET11" i="4" a="1"/>
  <c r="AW38" i="3"/>
  <c r="ET6" i="4" a="1"/>
  <c r="AF17" i="3"/>
  <c r="Y24" i="2"/>
  <c r="AW5" i="6" a="1"/>
  <c r="AY37" i="3"/>
  <c r="D5" i="6" a="1"/>
  <c r="AY38" i="3"/>
  <c r="AS17" i="3"/>
  <c r="AU17" i="3"/>
  <c r="AU14" i="3"/>
  <c r="ES6" i="4" a="1"/>
  <c r="AW20" i="3"/>
  <c r="K5" i="6" a="1"/>
  <c r="AV19" i="3"/>
  <c r="AY5" i="6" a="1"/>
  <c r="BB60" i="3"/>
  <c r="EQ6" i="4" a="1"/>
  <c r="EM11" i="4" a="1"/>
  <c r="ER15" i="4" a="1"/>
  <c r="EU5" i="4" a="1"/>
  <c r="P6" i="6" a="1"/>
  <c r="AU41" i="3"/>
  <c r="AS40" i="3"/>
  <c r="AT17" i="3"/>
  <c r="AW5" i="3"/>
  <c r="S5" i="6" a="1"/>
  <c r="E32" i="2"/>
  <c r="R33" i="2"/>
  <c r="EC15" i="4" a="1"/>
  <c r="Y68" i="2"/>
  <c r="BB65" i="3"/>
  <c r="AS31" i="3"/>
  <c r="FE9" i="4" a="1"/>
  <c r="O5" i="6" a="1"/>
  <c r="C5" i="4" a="1"/>
  <c r="EV7" i="4" a="1"/>
  <c r="Z95" i="2"/>
  <c r="AX16" i="3"/>
  <c r="ES7" i="4" a="1"/>
  <c r="ES11" i="4" a="1"/>
  <c r="EW12" i="4" a="1"/>
  <c r="EM14" i="4" a="1"/>
  <c r="V5" i="6" a="1"/>
  <c r="AY16" i="3"/>
  <c r="AY10" i="3"/>
  <c r="AF12" i="3"/>
  <c r="ER9" i="4" a="1"/>
  <c r="AX19" i="3"/>
  <c r="AU9" i="3"/>
  <c r="AX12" i="3"/>
  <c r="AX35" i="3"/>
  <c r="AU29" i="3"/>
  <c r="EV12" i="4" a="1"/>
  <c r="ER6" i="4" a="1"/>
  <c r="AW17" i="3"/>
  <c r="AH6" i="6" a="1"/>
  <c r="AZ5" i="3"/>
  <c r="F5" i="6" a="1"/>
  <c r="EL6" i="4" a="1"/>
  <c r="L8" i="2"/>
  <c r="F27" i="2"/>
  <c r="D28" i="2"/>
  <c r="G30" i="2"/>
  <c r="F14" i="2"/>
  <c r="K10" i="2"/>
  <c r="P17" i="2"/>
  <c r="T27" i="2"/>
  <c r="CN7" i="4" a="1"/>
  <c r="L6" i="2"/>
  <c r="I7" i="2"/>
  <c r="G23" i="2"/>
  <c r="C20" i="2"/>
  <c r="AJ46" i="3"/>
  <c r="AP15" i="4" a="1"/>
  <c r="T25" i="2"/>
  <c r="AK14" i="4" a="1"/>
  <c r="L46" i="3"/>
  <c r="DC15" i="4" a="1"/>
  <c r="Q5" i="2"/>
  <c r="K33" i="2"/>
  <c r="BL9" i="4" a="1"/>
  <c r="M10" i="2"/>
  <c r="V34" i="2"/>
  <c r="BU7" i="4" a="1"/>
  <c r="F22" i="2"/>
  <c r="L15" i="2"/>
  <c r="D19" i="2"/>
  <c r="M46" i="3"/>
  <c r="F18" i="2"/>
  <c r="M7" i="2"/>
  <c r="K26" i="2"/>
  <c r="E18" i="3"/>
  <c r="BF9" i="4" a="1"/>
  <c r="T6" i="2"/>
  <c r="G28" i="2"/>
  <c r="U14" i="4" a="1"/>
  <c r="Q19" i="2"/>
  <c r="AJ9" i="4" a="1"/>
  <c r="F39" i="3"/>
  <c r="F16" i="2"/>
  <c r="C8" i="2"/>
  <c r="DQ13" i="4" a="1"/>
  <c r="W7" i="2"/>
  <c r="O28" i="2"/>
  <c r="H9" i="2"/>
  <c r="AJ5" i="4" a="1"/>
  <c r="C32" i="2"/>
  <c r="D23" i="2"/>
  <c r="S35" i="2"/>
  <c r="BO14" i="4" a="1"/>
  <c r="P29" i="2"/>
  <c r="P28" i="2"/>
  <c r="F9" i="2"/>
  <c r="BD5" i="4" a="1"/>
  <c r="I19" i="2"/>
  <c r="S26" i="2"/>
  <c r="K21" i="2"/>
  <c r="G33" i="2"/>
  <c r="BT16" i="4" a="1"/>
  <c r="BI7" i="4" a="1"/>
  <c r="DL11" i="4" a="1"/>
  <c r="G16" i="4" a="1"/>
  <c r="D38" i="3"/>
  <c r="CS15" i="4" a="1"/>
  <c r="BV7" i="4" a="1"/>
  <c r="P26" i="2"/>
  <c r="CW14" i="4" a="1"/>
  <c r="BB9" i="4" a="1"/>
  <c r="DD12" i="4" a="1"/>
  <c r="Y45" i="3"/>
  <c r="BC12" i="4" a="1"/>
  <c r="BC9" i="4" a="1"/>
  <c r="DO16" i="4" a="1"/>
  <c r="AX16" i="4" a="1"/>
  <c r="AS13" i="4" a="1"/>
  <c r="O9" i="2"/>
  <c r="G6" i="2"/>
  <c r="N5" i="2"/>
  <c r="T34" i="2"/>
  <c r="H18" i="2"/>
  <c r="AL15" i="4" a="1"/>
  <c r="E40" i="3"/>
  <c r="V20" i="2"/>
  <c r="D33" i="3"/>
  <c r="AD7" i="4" a="1"/>
  <c r="AR5" i="4" a="1"/>
  <c r="AE12" i="4" a="1"/>
  <c r="S29" i="2"/>
  <c r="CT7" i="4" a="1"/>
  <c r="CG15" i="4" a="1"/>
  <c r="FE7" i="4" a="1"/>
  <c r="EQ7" i="4" a="1"/>
  <c r="Z28" i="2"/>
  <c r="EQ9" i="4" a="1"/>
  <c r="EO6" i="4" a="1"/>
  <c r="E6" i="6" a="1"/>
  <c r="AU5" i="3"/>
  <c r="AU26" i="3"/>
  <c r="AU46" i="3"/>
  <c r="AF35" i="3"/>
  <c r="AO6" i="6" a="1"/>
  <c r="AX45" i="3"/>
  <c r="EW9" i="4" a="1"/>
  <c r="AV6" i="6" a="1"/>
  <c r="EO9" i="4" a="1"/>
  <c r="AT24" i="3"/>
  <c r="AS7" i="3"/>
  <c r="AX46" i="3"/>
  <c r="AT5" i="6" a="1"/>
  <c r="AI5" i="6" a="1"/>
  <c r="AA5" i="6" a="1"/>
  <c r="AU80" i="3"/>
  <c r="AW32" i="3"/>
  <c r="AF22" i="3"/>
  <c r="ET16" i="4" a="1"/>
  <c r="EV16" i="4" a="1"/>
  <c r="EQ8" i="4" a="1"/>
  <c r="AF19" i="3"/>
  <c r="AF31" i="3"/>
  <c r="AY20" i="3"/>
  <c r="ES16" i="4" a="1"/>
  <c r="Q46" i="2"/>
  <c r="U25" i="2"/>
  <c r="I32" i="2"/>
  <c r="X20" i="2"/>
  <c r="H5" i="2"/>
  <c r="I12" i="2"/>
  <c r="E29" i="2"/>
  <c r="T35" i="2"/>
  <c r="CH15" i="4" a="1"/>
  <c r="J5" i="2"/>
  <c r="T20" i="2"/>
  <c r="D6" i="2"/>
  <c r="C24" i="2"/>
  <c r="P20" i="2"/>
  <c r="BY13" i="4" a="1"/>
  <c r="D5" i="2"/>
  <c r="AW15" i="4" a="1"/>
  <c r="Y15" i="4" a="1"/>
  <c r="BH12" i="4" a="1"/>
  <c r="O6" i="2"/>
  <c r="C31" i="2"/>
  <c r="D6" i="4" a="1"/>
  <c r="R27" i="2"/>
  <c r="U17" i="2"/>
  <c r="EI14" i="4" a="1"/>
  <c r="K6" i="2"/>
  <c r="S5" i="2"/>
  <c r="J18" i="2"/>
  <c r="N36" i="2"/>
  <c r="W45" i="3"/>
  <c r="Q25" i="2"/>
  <c r="W25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T8" i="2"/>
  <c r="E31" i="2"/>
  <c r="T26" i="2"/>
  <c r="AF8" i="4" a="1"/>
  <c r="V15" i="2"/>
  <c r="Z108" i="2"/>
  <c r="EQ16" i="4" a="1"/>
  <c r="BB30" i="3"/>
  <c r="AF25" i="3"/>
  <c r="AF36" i="3"/>
  <c r="FD15" i="4" a="1"/>
  <c r="AS32" i="3"/>
  <c r="ET12" i="4" a="1"/>
  <c r="AT6" i="6" a="1"/>
  <c r="AV41" i="3"/>
  <c r="L6" i="6" a="1"/>
  <c r="AY46" i="3"/>
  <c r="EQ14" i="4" a="1"/>
  <c r="ET7" i="4" a="1"/>
  <c r="AZ42" i="3"/>
  <c r="EU6" i="4" a="1"/>
  <c r="AV38" i="3"/>
  <c r="AW41" i="3"/>
  <c r="AU97" i="3"/>
  <c r="AQ5" i="6" a="1"/>
  <c r="C5" i="6" a="1"/>
  <c r="AU8" i="3"/>
  <c r="AS33" i="3"/>
  <c r="EV13" i="4" a="1"/>
  <c r="AT33" i="3"/>
  <c r="EL5" i="4" a="1"/>
  <c r="AU6" i="6" a="1"/>
  <c r="AT30" i="3"/>
  <c r="AZ27" i="3"/>
  <c r="AS42" i="3"/>
  <c r="I28" i="2"/>
  <c r="R6" i="2"/>
  <c r="L19" i="2"/>
  <c r="X25" i="2"/>
  <c r="S11" i="2"/>
  <c r="O30" i="2"/>
  <c r="N19" i="2"/>
  <c r="W36" i="2"/>
  <c r="EA9" i="4" a="1"/>
  <c r="CC13" i="4" a="1"/>
  <c r="S18" i="2"/>
  <c r="L17" i="2"/>
  <c r="R5" i="2"/>
  <c r="J25" i="2"/>
  <c r="O5" i="2"/>
  <c r="F12" i="4" a="1"/>
  <c r="BB14" i="4" a="1"/>
  <c r="AL8" i="4" a="1"/>
  <c r="DC12" i="4" a="1"/>
  <c r="F21" i="2"/>
  <c r="U30" i="2"/>
  <c r="G27" i="3"/>
  <c r="T11" i="2"/>
  <c r="U21" i="2"/>
  <c r="G20" i="2"/>
  <c r="H45" i="3"/>
  <c r="H28" i="2"/>
  <c r="O32" i="2"/>
  <c r="L7" i="2"/>
  <c r="CM6" i="4" a="1"/>
  <c r="T10" i="2"/>
  <c r="O16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Y5" i="4" a="1"/>
  <c r="AH16" i="4" a="1"/>
  <c r="AI16" i="4" a="1"/>
  <c r="BS12" i="4" a="1"/>
  <c r="F19" i="2"/>
  <c r="AT15" i="4" a="1"/>
  <c r="AE16" i="4" a="1"/>
  <c r="BO9" i="4" a="1"/>
  <c r="DG5" i="4" a="1"/>
  <c r="L24" i="2"/>
  <c r="Z89" i="2"/>
  <c r="AU30" i="3"/>
  <c r="AA14" i="2"/>
  <c r="R5" i="6" a="1"/>
  <c r="AS11" i="3"/>
  <c r="AW27" i="3"/>
  <c r="AX8" i="3"/>
  <c r="AZ8" i="3"/>
  <c r="I6" i="6" a="1"/>
  <c r="AX17" i="3"/>
  <c r="AS30" i="3"/>
  <c r="Q6" i="6" a="1"/>
  <c r="AF66" i="3"/>
  <c r="O6" i="6" a="1"/>
  <c r="AV14" i="3"/>
  <c r="AW35" i="3"/>
  <c r="FA8" i="4" a="1"/>
  <c r="AV40" i="3"/>
  <c r="EO8" i="4" a="1"/>
  <c r="G6" i="6" a="1"/>
  <c r="AZ15" i="3"/>
  <c r="AY23" i="3"/>
  <c r="AW19" i="3"/>
  <c r="AC6" i="6" a="1"/>
  <c r="AS6" i="6" a="1"/>
  <c r="BB69" i="3"/>
  <c r="W5" i="6" a="1"/>
  <c r="X6" i="6" a="1"/>
  <c r="AZ14" i="3"/>
  <c r="C11" i="2"/>
  <c r="D29" i="2"/>
  <c r="O22" i="2"/>
  <c r="I30" i="2"/>
  <c r="BK6" i="4" a="1"/>
  <c r="C18" i="2"/>
  <c r="X5" i="2"/>
  <c r="U27" i="2"/>
  <c r="EC11" i="4" a="1"/>
  <c r="F10" i="3"/>
  <c r="BZ7" i="4" a="1"/>
  <c r="L13" i="2"/>
  <c r="I9" i="2"/>
  <c r="W8" i="2"/>
  <c r="W29" i="2"/>
  <c r="AG7" i="4" a="1"/>
  <c r="T12" i="4" a="1"/>
  <c r="DX16" i="4" a="1"/>
  <c r="AS7" i="4" a="1"/>
  <c r="U23" i="2"/>
  <c r="T12" i="2"/>
  <c r="W12" i="2"/>
  <c r="BZ9" i="4" a="1"/>
  <c r="U12" i="2"/>
  <c r="X23" i="2"/>
  <c r="AR22" i="3"/>
  <c r="R17" i="2"/>
  <c r="D32" i="2"/>
  <c r="J33" i="2"/>
  <c r="R11" i="4" a="1"/>
  <c r="E17" i="2"/>
  <c r="F75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Z73" i="2"/>
  <c r="Z8" i="2"/>
  <c r="AA65" i="2"/>
  <c r="M5" i="6" a="1"/>
  <c r="AS41" i="3"/>
  <c r="AX31" i="3"/>
  <c r="AF6" i="6" a="1"/>
  <c r="P5" i="6" a="1"/>
  <c r="AF16" i="3"/>
  <c r="EV8" i="4" a="1"/>
  <c r="AU33" i="3"/>
  <c r="BB57" i="3"/>
  <c r="C5" i="3"/>
  <c r="C73" i="3" s="1"/>
  <c r="AT12" i="3"/>
  <c r="AF40" i="3"/>
  <c r="AS13" i="3"/>
  <c r="AZ24" i="3"/>
  <c r="BC81" i="3"/>
  <c r="EQ5" i="4" a="1"/>
  <c r="AX15" i="3"/>
  <c r="AZ16" i="3"/>
  <c r="EO13" i="4" a="1"/>
  <c r="AU22" i="3"/>
  <c r="BB66" i="3"/>
  <c r="AU11" i="3"/>
  <c r="AR5" i="6" a="1"/>
  <c r="N6" i="6" a="1"/>
  <c r="AP5" i="6" a="1"/>
  <c r="AW18" i="3"/>
  <c r="AU90" i="3"/>
  <c r="AX5" i="3"/>
  <c r="AV46" i="3"/>
  <c r="AU35" i="3"/>
  <c r="Q54" i="2"/>
  <c r="K17" i="2"/>
  <c r="R24" i="2"/>
  <c r="N7" i="2"/>
  <c r="P7" i="4" a="1"/>
  <c r="X24" i="2"/>
  <c r="F26" i="2"/>
  <c r="G17" i="2"/>
  <c r="W17" i="2"/>
  <c r="M5" i="4" a="1"/>
  <c r="BS13" i="4" a="1"/>
  <c r="E13" i="2"/>
  <c r="H19" i="2"/>
  <c r="D15" i="2"/>
  <c r="P13" i="2"/>
  <c r="CG7" i="4" a="1"/>
  <c r="T46" i="3"/>
  <c r="DX7" i="4" a="1"/>
  <c r="BM5" i="4" a="1"/>
  <c r="S10" i="2"/>
  <c r="R18" i="2"/>
  <c r="C9" i="2"/>
  <c r="BA5" i="4" a="1"/>
  <c r="S33" i="2"/>
  <c r="O15" i="2"/>
  <c r="AB13" i="4" a="1"/>
  <c r="T23" i="2"/>
  <c r="V7" i="2"/>
  <c r="W5" i="2"/>
  <c r="R13" i="2"/>
  <c r="BZ5" i="4" a="1"/>
  <c r="J27" i="2"/>
  <c r="X8" i="2"/>
  <c r="T30" i="2"/>
  <c r="EI9" i="4" a="1"/>
  <c r="N34" i="2"/>
  <c r="DH12" i="4" a="1"/>
  <c r="V35" i="2"/>
  <c r="L10" i="2"/>
  <c r="S62" i="2"/>
  <c r="BX8" i="4" a="1"/>
  <c r="K28" i="2"/>
  <c r="D8" i="2"/>
  <c r="DY11" i="4" a="1"/>
  <c r="N23" i="2"/>
  <c r="N9" i="2"/>
  <c r="G29" i="2"/>
  <c r="T21" i="2"/>
  <c r="I14" i="2"/>
  <c r="X13" i="2"/>
  <c r="CK15" i="4" a="1"/>
  <c r="E34" i="2"/>
  <c r="L36" i="2"/>
  <c r="EI6" i="4" a="1"/>
  <c r="P5" i="2"/>
  <c r="N31" i="2"/>
  <c r="W11" i="2"/>
  <c r="M27" i="2"/>
  <c r="CN13" i="4" a="1"/>
  <c r="BR16" i="4" a="1"/>
  <c r="U8" i="2"/>
  <c r="AU11" i="4" a="1"/>
  <c r="BB16" i="3"/>
  <c r="BB76" i="3"/>
  <c r="FF13" i="4" a="1"/>
  <c r="AP7" i="3"/>
  <c r="EL12" i="4" a="1"/>
  <c r="AV9" i="3"/>
  <c r="AZ12" i="3"/>
  <c r="AX11" i="3"/>
  <c r="N5" i="6" a="1"/>
  <c r="AX6" i="6" a="1"/>
  <c r="EW11" i="4" a="1"/>
  <c r="AW23" i="3"/>
  <c r="AU18" i="3"/>
  <c r="AF11" i="3"/>
  <c r="AU45" i="3"/>
  <c r="AY31" i="3"/>
  <c r="ET15" i="4" a="1"/>
  <c r="AF89" i="3"/>
  <c r="EU12" i="4" a="1"/>
  <c r="AV27" i="3"/>
  <c r="U5" i="6" a="1"/>
  <c r="EO11" i="4" a="1"/>
  <c r="AJ6" i="6" a="1"/>
  <c r="EV9" i="4" a="1"/>
  <c r="AS21" i="3"/>
  <c r="AY35" i="3"/>
  <c r="AF9" i="3"/>
  <c r="AU66" i="3"/>
  <c r="AX59" i="3"/>
  <c r="U32" i="2"/>
  <c r="U22" i="2"/>
  <c r="S19" i="2"/>
  <c r="Q22" i="2"/>
  <c r="BO8" i="4" a="1"/>
  <c r="C36" i="2"/>
  <c r="X17" i="2"/>
  <c r="S27" i="2"/>
  <c r="P34" i="2"/>
  <c r="N33" i="2"/>
  <c r="AR15" i="3"/>
  <c r="E9" i="2"/>
  <c r="F28" i="2"/>
  <c r="S20" i="2"/>
  <c r="K20" i="2"/>
  <c r="CD7" i="4" a="1"/>
  <c r="AR38" i="3"/>
  <c r="C8" i="4" a="1"/>
  <c r="CY8" i="4" a="1"/>
  <c r="H33" i="2"/>
  <c r="P22" i="2"/>
  <c r="C28" i="2"/>
  <c r="Y96" i="2"/>
  <c r="BD9" i="3"/>
  <c r="FC12" i="4" a="1"/>
  <c r="AT42" i="3"/>
  <c r="AT40" i="3"/>
  <c r="AZ26" i="3"/>
  <c r="EU7" i="4" a="1"/>
  <c r="AX7" i="3"/>
  <c r="AS28" i="3"/>
  <c r="Y6" i="6" a="1"/>
  <c r="AX9" i="3"/>
  <c r="EP5" i="4" a="1"/>
  <c r="AS20" i="3"/>
  <c r="AN6" i="6" a="1"/>
  <c r="EN11" i="4" a="1"/>
  <c r="AU10" i="3"/>
  <c r="AY39" i="3"/>
  <c r="AU71" i="3"/>
  <c r="AV35" i="3"/>
  <c r="AY36" i="3"/>
  <c r="D6" i="6" a="1"/>
  <c r="AT45" i="3"/>
  <c r="AT5" i="3"/>
  <c r="AT71" i="3" s="1"/>
  <c r="AT56" i="3"/>
  <c r="AV67" i="3"/>
  <c r="AY14" i="3"/>
  <c r="AU89" i="3"/>
  <c r="C56" i="3"/>
  <c r="C76" i="3"/>
  <c r="AC5" i="6" a="1"/>
  <c r="AZ45" i="3"/>
  <c r="BB92" i="3"/>
  <c r="CZ12" i="4" a="1"/>
  <c r="V9" i="2"/>
  <c r="D10" i="2"/>
  <c r="M22" i="2"/>
  <c r="BV5" i="4" a="1"/>
  <c r="I11" i="4" a="1"/>
  <c r="L11" i="2"/>
  <c r="Q16" i="2"/>
  <c r="J26" i="2"/>
  <c r="X16" i="2"/>
  <c r="O36" i="2"/>
  <c r="E22" i="2"/>
  <c r="F35" i="2"/>
  <c r="H31" i="2"/>
  <c r="H7" i="2"/>
  <c r="BX12" i="4" a="1"/>
  <c r="BU13" i="4" a="1"/>
  <c r="CT8" i="4" a="1"/>
  <c r="BH14" i="4" a="1"/>
  <c r="I13" i="2"/>
  <c r="P23" i="2"/>
  <c r="C22" i="2"/>
  <c r="T24" i="2"/>
  <c r="J11" i="2"/>
  <c r="K29" i="2"/>
  <c r="M8" i="2"/>
  <c r="BC5" i="4" a="1"/>
  <c r="K27" i="2"/>
  <c r="U18" i="2"/>
  <c r="Q55" i="2"/>
  <c r="CT5" i="4" a="1"/>
  <c r="C1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I12" i="4" a="1"/>
  <c r="DT7" i="4" a="1"/>
  <c r="AK7" i="4" a="1"/>
  <c r="DM16" i="4" a="1"/>
  <c r="X32" i="2"/>
  <c r="EB8" i="4" a="1"/>
  <c r="J13" i="4" a="1"/>
  <c r="T45" i="3"/>
  <c r="DR11" i="4" a="1"/>
  <c r="J8" i="2"/>
  <c r="Z24" i="2"/>
  <c r="Z48" i="2"/>
  <c r="AW28" i="3"/>
  <c r="AF46" i="3"/>
  <c r="AW9" i="3"/>
  <c r="AS27" i="3"/>
  <c r="EU11" i="4" a="1"/>
  <c r="AT6" i="3"/>
  <c r="AX29" i="3"/>
  <c r="AV8" i="3"/>
  <c r="T6" i="6" a="1"/>
  <c r="AS14" i="3"/>
  <c r="AU42" i="3"/>
  <c r="BB87" i="3"/>
  <c r="X5" i="6" a="1"/>
  <c r="AT9" i="3"/>
  <c r="EN5" i="4" a="1"/>
  <c r="AV64" i="3"/>
  <c r="EM5" i="4" a="1"/>
  <c r="AX23" i="3"/>
  <c r="AE6" i="6" a="1"/>
  <c r="AX22" i="3"/>
  <c r="AZ17" i="3"/>
  <c r="EL7" i="4" a="1"/>
  <c r="AU84" i="3"/>
  <c r="FD5" i="4" a="1"/>
  <c r="AF20" i="3"/>
  <c r="AW83" i="3"/>
  <c r="AK8" i="4" a="1"/>
  <c r="E27" i="2"/>
  <c r="K14" i="2"/>
  <c r="O8" i="2"/>
  <c r="O17" i="2"/>
  <c r="D13" i="4" a="1"/>
  <c r="P27" i="2"/>
  <c r="O33" i="2"/>
  <c r="D12" i="2"/>
  <c r="V18" i="2"/>
  <c r="C16" i="2"/>
  <c r="X92" i="2"/>
  <c r="D35" i="2"/>
  <c r="G25" i="2"/>
  <c r="CS12" i="4" a="1"/>
  <c r="CV9" i="4" a="1"/>
  <c r="DM6" i="4" a="1"/>
  <c r="AD15" i="3"/>
  <c r="E21" i="2"/>
  <c r="V16" i="2"/>
  <c r="J6" i="2"/>
  <c r="F7" i="2"/>
  <c r="N20" i="2"/>
  <c r="V24" i="2"/>
  <c r="R21" i="2"/>
  <c r="U13" i="2"/>
  <c r="I21" i="2"/>
  <c r="O25" i="2"/>
  <c r="T29" i="2"/>
  <c r="V36" i="2"/>
  <c r="H35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CB9" i="4" a="1"/>
  <c r="M30" i="2"/>
  <c r="AS9" i="4" a="1"/>
  <c r="DD9" i="4" a="1"/>
  <c r="DG13" i="4" a="1"/>
  <c r="E33" i="3"/>
  <c r="H14" i="2"/>
  <c r="BI6" i="4" a="1"/>
  <c r="AU16" i="4" a="1"/>
  <c r="BN14" i="4" a="1"/>
  <c r="EI11" i="4" a="1"/>
  <c r="N35" i="2"/>
  <c r="BZ15" i="4" a="1"/>
  <c r="AA46" i="3"/>
  <c r="I7" i="4" a="1"/>
  <c r="AR11" i="3"/>
  <c r="BO12" i="4" a="1"/>
  <c r="DW5" i="4" a="1"/>
  <c r="Z8" i="4" a="1"/>
  <c r="AM12" i="4" a="1"/>
  <c r="AI14" i="4" a="1"/>
  <c r="DN13" i="4" a="1"/>
  <c r="U10" i="2"/>
  <c r="DQ16" i="4" a="1"/>
  <c r="CK9" i="4" a="1"/>
  <c r="DO15" i="4" a="1"/>
  <c r="G9" i="4" a="1"/>
  <c r="F20" i="3"/>
  <c r="DE15" i="4" a="1"/>
  <c r="Z66" i="2"/>
  <c r="FC11" i="4" a="1"/>
  <c r="Z23" i="2"/>
  <c r="AT31" i="3"/>
  <c r="AZ20" i="3"/>
  <c r="AZ36" i="3"/>
  <c r="AZ33" i="3"/>
  <c r="EN6" i="4" a="1"/>
  <c r="AW33" i="3"/>
  <c r="EV6" i="4" a="1"/>
  <c r="AP6" i="3"/>
  <c r="EV15" i="4" a="1"/>
  <c r="AZ28" i="3"/>
  <c r="EO15" i="4" a="1"/>
  <c r="AT37" i="3"/>
  <c r="EX15" i="4" a="1"/>
  <c r="AO5" i="6" a="1"/>
  <c r="AV26" i="3"/>
  <c r="T5" i="6" a="1"/>
  <c r="ER11" i="4" a="1"/>
  <c r="AU31" i="3"/>
  <c r="AV13" i="3"/>
  <c r="AT39" i="3"/>
  <c r="AX10" i="3"/>
  <c r="AS12" i="3"/>
  <c r="AZ41" i="3"/>
  <c r="AT47" i="3"/>
  <c r="EM16" i="4" a="1"/>
  <c r="AS5" i="3"/>
  <c r="AW36" i="3"/>
  <c r="AU12" i="3"/>
  <c r="H17" i="2"/>
  <c r="ED16" i="4" a="1"/>
  <c r="N8" i="2"/>
  <c r="C14" i="2"/>
  <c r="G15" i="2"/>
  <c r="H24" i="2"/>
  <c r="D24" i="2"/>
  <c r="AJ11" i="4" a="1"/>
  <c r="W34" i="2"/>
  <c r="Q33" i="2"/>
  <c r="H23" i="2"/>
  <c r="K30" i="2"/>
  <c r="R16" i="4" a="1"/>
  <c r="J20" i="2"/>
  <c r="D13" i="2"/>
  <c r="W33" i="2"/>
  <c r="AM6" i="4" a="1"/>
  <c r="AD11" i="4" a="1"/>
  <c r="DL8" i="4" a="1"/>
  <c r="F38" i="3"/>
  <c r="BE11" i="4" a="1"/>
  <c r="D31" i="2"/>
  <c r="R34" i="2"/>
  <c r="S6" i="2"/>
  <c r="V27" i="2"/>
  <c r="T33" i="2"/>
  <c r="K25" i="2"/>
  <c r="H34" i="2"/>
  <c r="J30" i="2"/>
  <c r="M33" i="2"/>
  <c r="K35" i="2"/>
  <c r="Y65" i="2"/>
  <c r="BB94" i="3"/>
  <c r="BC96" i="3"/>
  <c r="AV15" i="3"/>
  <c r="AF42" i="3"/>
  <c r="AT16" i="3"/>
  <c r="EN14" i="4" a="1"/>
  <c r="AF30" i="3"/>
  <c r="AS8" i="3"/>
  <c r="AF32" i="3"/>
  <c r="AX41" i="3"/>
  <c r="AV25" i="3"/>
  <c r="AX42" i="3"/>
  <c r="EU15" i="4" a="1"/>
  <c r="AF37" i="3"/>
  <c r="AX33" i="3"/>
  <c r="AZ32" i="3"/>
  <c r="ER5" i="4" a="1"/>
  <c r="AV5" i="6" a="1"/>
  <c r="AV7" i="3"/>
  <c r="AW14" i="3"/>
  <c r="EO7" i="4" a="1"/>
  <c r="AF45" i="3"/>
  <c r="EV11" i="4" a="1"/>
  <c r="AX34" i="3"/>
  <c r="Z6" i="6" a="1"/>
  <c r="AZ29" i="3"/>
  <c r="EN7" i="4" a="1"/>
  <c r="I23" i="2"/>
  <c r="CH5" i="4" a="1"/>
  <c r="X46" i="3"/>
  <c r="L30" i="2"/>
  <c r="U15" i="2"/>
  <c r="R29" i="2"/>
  <c r="S34" i="2"/>
  <c r="CR8" i="4" a="1"/>
  <c r="D14" i="2"/>
  <c r="J22" i="2"/>
  <c r="G26" i="2"/>
  <c r="M14" i="2"/>
  <c r="AM46" i="3"/>
  <c r="P31" i="2"/>
  <c r="M17" i="2"/>
  <c r="E28" i="2"/>
  <c r="AR19" i="3"/>
  <c r="CQ15" i="4" a="1"/>
  <c r="BN6" i="4" a="1"/>
  <c r="F24" i="2"/>
  <c r="BH5" i="4" a="1"/>
  <c r="J35" i="2"/>
  <c r="V10" i="2"/>
  <c r="K9" i="2"/>
  <c r="C12" i="2"/>
  <c r="F34" i="2"/>
  <c r="T7" i="2"/>
  <c r="F20" i="2"/>
  <c r="AB9" i="4" a="1"/>
  <c r="Q12" i="2"/>
  <c r="Q9" i="2"/>
  <c r="J36" i="2"/>
  <c r="F11" i="4" a="1"/>
  <c r="H15" i="2"/>
  <c r="S22" i="2"/>
  <c r="AR46" i="3"/>
  <c r="D11" i="2"/>
  <c r="O27" i="2"/>
  <c r="DU7" i="4" a="1"/>
  <c r="AK5" i="4" a="1"/>
  <c r="W19" i="2"/>
  <c r="CV16" i="4" a="1"/>
  <c r="BS6" i="4" a="1"/>
  <c r="F15" i="2"/>
  <c r="Q32" i="2"/>
  <c r="U35" i="2"/>
  <c r="R9" i="2"/>
  <c r="W5" i="4" a="1"/>
  <c r="C13" i="2"/>
  <c r="W22" i="2"/>
  <c r="CP9" i="4" a="1"/>
  <c r="C7" i="4" a="1"/>
  <c r="Y11" i="4" a="1"/>
  <c r="P69" i="2"/>
  <c r="AX9" i="4" a="1"/>
  <c r="W13" i="4" a="1"/>
  <c r="P14" i="4" a="1"/>
  <c r="BZ13" i="4" a="1"/>
  <c r="BW12" i="4" a="1"/>
  <c r="AB15" i="4" a="1"/>
  <c r="CK6" i="4" a="1"/>
  <c r="W26" i="2"/>
  <c r="K15" i="2"/>
  <c r="Q30" i="2"/>
  <c r="G7" i="4" a="1"/>
  <c r="CL7" i="4" a="1"/>
  <c r="F36" i="2"/>
  <c r="D40" i="3"/>
  <c r="CR15" i="4" a="1"/>
  <c r="X16" i="4" a="1"/>
  <c r="N12" i="2"/>
  <c r="BF12" i="4" a="1"/>
  <c r="DA14" i="4" a="1"/>
  <c r="DO14" i="4" a="1"/>
  <c r="DB14" i="4" a="1"/>
  <c r="AZ16" i="4" a="1"/>
  <c r="CS7" i="4" a="1"/>
  <c r="H32" i="2"/>
  <c r="U5" i="2"/>
  <c r="W14" i="2"/>
  <c r="E6" i="2"/>
  <c r="CQ7" i="4" a="1"/>
  <c r="AU13" i="4" a="1"/>
  <c r="P24" i="2"/>
  <c r="D36" i="3"/>
  <c r="BQ7" i="4" a="1"/>
  <c r="BP13" i="4" a="1"/>
  <c r="AJ45" i="3"/>
  <c r="S14" i="2"/>
  <c r="DG12" i="4" a="1"/>
  <c r="BS15" i="4" a="1"/>
  <c r="EH8" i="4" a="1"/>
  <c r="F21" i="3"/>
  <c r="O21" i="2"/>
  <c r="F32" i="3"/>
  <c r="AK12" i="4" a="1"/>
  <c r="X6" i="4" a="1"/>
  <c r="U16" i="4" a="1"/>
  <c r="P14" i="2"/>
  <c r="BK12" i="4" a="1"/>
  <c r="Q31" i="2"/>
  <c r="BS14" i="4" a="1"/>
  <c r="DN9" i="4" a="1"/>
  <c r="EE7" i="4" a="1"/>
  <c r="BK7" i="4" a="1"/>
  <c r="CS16" i="4" a="1"/>
  <c r="Z11" i="4" a="1"/>
  <c r="AC9" i="4" a="1"/>
  <c r="F36" i="3"/>
  <c r="BE14" i="4" a="1"/>
  <c r="BY11" i="4" a="1"/>
  <c r="BW6" i="4" a="1"/>
  <c r="D7" i="4" a="1"/>
  <c r="F33" i="3"/>
  <c r="DO8" i="4" a="1"/>
  <c r="DD7" i="4" a="1"/>
  <c r="BG14" i="4" a="1"/>
  <c r="BG16" i="4" a="1"/>
  <c r="EI12" i="4" a="1"/>
  <c r="E5" i="4" a="1"/>
  <c r="AE14" i="4" a="1"/>
  <c r="H46" i="3"/>
  <c r="BU14" i="4" a="1"/>
  <c r="DD13" i="4" a="1"/>
  <c r="D12" i="4" a="1"/>
  <c r="AN6" i="4" a="1"/>
  <c r="DR8" i="4" a="1"/>
  <c r="EK12" i="4" a="1"/>
  <c r="AT9" i="4" a="1"/>
  <c r="R35" i="2"/>
  <c r="BK16" i="4" a="1"/>
  <c r="BP15" i="4" a="1"/>
  <c r="Y13" i="4" a="1"/>
  <c r="BU8" i="4" a="1"/>
  <c r="D15" i="4" a="1"/>
  <c r="AI46" i="3"/>
  <c r="BL11" i="4" a="1"/>
  <c r="BT6" i="4" a="1"/>
  <c r="F5" i="4" a="1"/>
  <c r="P16" i="4" a="1"/>
  <c r="EH9" i="4" a="1"/>
  <c r="J6" i="4" a="1"/>
  <c r="DU14" i="4" a="1"/>
  <c r="CH7" i="4" a="1"/>
  <c r="Y14" i="4" a="1"/>
  <c r="DD16" i="4" a="1"/>
  <c r="DZ5" i="4" a="1"/>
  <c r="AC46" i="3"/>
  <c r="L8" i="4" a="1"/>
  <c r="DJ9" i="4" a="1"/>
  <c r="AH7" i="4" a="1"/>
  <c r="CI12" i="4" a="1"/>
  <c r="AO45" i="3"/>
  <c r="BG9" i="4" a="1"/>
  <c r="CX6" i="4" a="1"/>
  <c r="BT5" i="4" a="1"/>
  <c r="T6" i="4" a="1"/>
  <c r="AV13" i="4" a="1"/>
  <c r="EJ12" i="4" a="1"/>
  <c r="AF14" i="4" a="1"/>
  <c r="G12" i="2"/>
  <c r="DG14" i="4" a="1"/>
  <c r="E28" i="3"/>
  <c r="AI8" i="4" a="1"/>
  <c r="K18" i="2"/>
  <c r="AP9" i="4" a="1"/>
  <c r="CD15" i="4" a="1"/>
  <c r="AN9" i="4" a="1"/>
  <c r="F8" i="4" a="1"/>
  <c r="I16" i="4" a="1"/>
  <c r="BX13" i="4" a="1"/>
  <c r="F15" i="4" a="1"/>
  <c r="EE8" i="4" a="1"/>
  <c r="AH6" i="4" a="1"/>
  <c r="EF11" i="4" a="1"/>
  <c r="CA9" i="4" a="1"/>
  <c r="F25" i="3"/>
  <c r="AX7" i="4" a="1"/>
  <c r="DY7" i="4" a="1"/>
  <c r="BB16" i="4" a="1"/>
  <c r="DH9" i="4" a="1"/>
  <c r="BX11" i="4" a="1"/>
  <c r="DR9" i="4" a="1"/>
  <c r="CB8" i="4" a="1"/>
  <c r="BM12" i="4" a="1"/>
  <c r="K6" i="4" a="1"/>
  <c r="AR11" i="4" a="1"/>
  <c r="AN13" i="4" a="1"/>
  <c r="F27" i="3"/>
  <c r="BJ6" i="4" a="1"/>
  <c r="BX6" i="4" a="1"/>
  <c r="CF15" i="4" a="1"/>
  <c r="O35" i="2"/>
  <c r="EH16" i="4" a="1"/>
  <c r="K43" i="2"/>
  <c r="I10" i="2"/>
  <c r="P11" i="2"/>
  <c r="L27" i="2"/>
  <c r="T18" i="2"/>
  <c r="E35" i="2"/>
  <c r="AU7" i="4" a="1"/>
  <c r="AR12" i="3"/>
  <c r="G31" i="2"/>
  <c r="T13" i="2"/>
  <c r="K13" i="2"/>
  <c r="K87" i="2"/>
  <c r="AB11" i="4" a="1"/>
  <c r="M14" i="4" a="1"/>
  <c r="AY7" i="4" a="1"/>
  <c r="R7" i="4" a="1"/>
  <c r="I11" i="2"/>
  <c r="Q13" i="4" a="1"/>
  <c r="BG15" i="4" a="1"/>
  <c r="CB15" i="4" a="1"/>
  <c r="DE12" i="4" a="1"/>
  <c r="D11" i="4" a="1"/>
  <c r="G11" i="3"/>
  <c r="DV6" i="4" a="1"/>
  <c r="M18" i="2"/>
  <c r="CD12" i="4" a="1"/>
  <c r="S36" i="2"/>
  <c r="DE11" i="4" a="1"/>
  <c r="CW11" i="4" a="1"/>
  <c r="T32" i="2"/>
  <c r="C45" i="3"/>
  <c r="DF11" i="4" a="1"/>
  <c r="DF8" i="4" a="1"/>
  <c r="K22" i="2"/>
  <c r="D46" i="3"/>
  <c r="DM12" i="4" a="1"/>
  <c r="E32" i="3"/>
  <c r="DW15" i="4" a="1"/>
  <c r="CV12" i="4" a="1"/>
  <c r="X15" i="4" a="1"/>
  <c r="I29" i="2"/>
  <c r="AD14" i="3"/>
  <c r="E14" i="3"/>
  <c r="O6" i="4" a="1"/>
  <c r="AL46" i="3"/>
  <c r="AC7" i="4" a="1"/>
  <c r="V13" i="2"/>
  <c r="AY15" i="4" a="1"/>
  <c r="AG12" i="4" a="1"/>
  <c r="AB14" i="4" a="1"/>
  <c r="AJ7" i="4" a="1"/>
  <c r="EI5" i="4" a="1"/>
  <c r="F7" i="4" a="1"/>
  <c r="X9" i="4" a="1"/>
  <c r="AK11" i="4" a="1"/>
  <c r="AR40" i="3"/>
  <c r="X36" i="2"/>
  <c r="D16" i="3"/>
  <c r="AE6" i="4" a="1"/>
  <c r="CM11" i="4" a="1"/>
  <c r="L34" i="2"/>
  <c r="T9" i="2"/>
  <c r="AN11" i="4" a="1"/>
  <c r="V30" i="2"/>
  <c r="CJ16" i="4" a="1"/>
  <c r="DK11" i="4" a="1"/>
  <c r="R46" i="3"/>
  <c r="CC6" i="4" a="1"/>
  <c r="CW6" i="4" a="1"/>
  <c r="BC6" i="4" a="1"/>
  <c r="X12" i="4" a="1"/>
  <c r="EK8" i="4" a="1"/>
  <c r="E56" i="3"/>
  <c r="AR18" i="3"/>
  <c r="D7" i="3"/>
  <c r="E8" i="4" a="1"/>
  <c r="BP6" i="4" a="1"/>
  <c r="EC8" i="4" a="1"/>
  <c r="CG5" i="4" a="1"/>
  <c r="BJ14" i="4" a="1"/>
  <c r="F16" i="3"/>
  <c r="BD13" i="4" a="1"/>
  <c r="P46" i="3"/>
  <c r="Z9" i="4" a="1"/>
  <c r="BF8" i="4" a="1"/>
  <c r="AH15" i="4" a="1"/>
  <c r="BF16" i="4" a="1"/>
  <c r="M7" i="4" a="1"/>
  <c r="CQ16" i="4" a="1"/>
  <c r="AR25" i="3"/>
  <c r="DK5" i="4" a="1"/>
  <c r="E31" i="3"/>
  <c r="AS12" i="4" a="1"/>
  <c r="CE9" i="4" a="1"/>
  <c r="N25" i="2"/>
  <c r="CT12" i="4" a="1"/>
  <c r="BL8" i="4" a="1"/>
  <c r="DK7" i="4" a="1"/>
  <c r="CJ5" i="4" a="1"/>
  <c r="EJ16" i="4" a="1"/>
  <c r="AP8" i="4" a="1"/>
  <c r="AQ14" i="4" a="1"/>
  <c r="BW13" i="4" a="1"/>
  <c r="CJ9" i="4" a="1"/>
  <c r="EC16" i="4" a="1"/>
  <c r="E14" i="2"/>
  <c r="CP14" i="4" a="1"/>
  <c r="R31" i="2"/>
  <c r="K5" i="2"/>
  <c r="U20" i="2"/>
  <c r="DG8" i="4" a="1"/>
  <c r="X27" i="2"/>
  <c r="L9" i="2"/>
  <c r="H20" i="2"/>
  <c r="BP11" i="4" a="1"/>
  <c r="F31" i="2"/>
  <c r="S31" i="2"/>
  <c r="AI11" i="4" a="1"/>
  <c r="V31" i="2"/>
  <c r="DX12" i="4" a="1"/>
  <c r="I45" i="3"/>
  <c r="AM8" i="4" a="1"/>
  <c r="CW13" i="4" a="1"/>
  <c r="E16" i="2"/>
  <c r="Q6" i="4" a="1"/>
  <c r="AO14" i="4" a="1"/>
  <c r="DB16" i="4" a="1"/>
  <c r="BB13" i="4" a="1"/>
  <c r="AI13" i="4" a="1"/>
  <c r="CS8" i="4" a="1"/>
  <c r="F13" i="2"/>
  <c r="U9" i="2"/>
  <c r="X66" i="2"/>
  <c r="O14" i="2"/>
  <c r="D18" i="3"/>
  <c r="K12" i="4" a="1"/>
  <c r="F32" i="2"/>
  <c r="D27" i="3"/>
  <c r="CB7" i="4" a="1"/>
  <c r="BA9" i="4" a="1"/>
  <c r="R11" i="2"/>
  <c r="R5" i="4" a="1"/>
  <c r="DI14" i="4" a="1"/>
  <c r="DF7" i="4" a="1"/>
  <c r="CX14" i="4" a="1"/>
  <c r="O13" i="2"/>
  <c r="L26" i="2"/>
  <c r="G24" i="2"/>
  <c r="G27" i="2"/>
  <c r="P33" i="2"/>
  <c r="BC15" i="4" a="1"/>
  <c r="CP8" i="4" a="1"/>
  <c r="N6" i="2"/>
  <c r="AP6" i="4" a="1"/>
  <c r="DF13" i="4" a="1"/>
  <c r="BE9" i="4" a="1"/>
  <c r="DK6" i="4" a="1"/>
  <c r="CO6" i="4" a="1"/>
  <c r="DU12" i="4" a="1"/>
  <c r="BJ9" i="4" a="1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DY14" i="4" a="1"/>
  <c r="DY5" i="4" a="1"/>
  <c r="CE5" i="4" a="1"/>
  <c r="F35" i="3"/>
  <c r="N5" i="4" a="1"/>
  <c r="AV11" i="4" a="1"/>
  <c r="E21" i="3"/>
  <c r="AH9" i="4" a="1"/>
  <c r="EK13" i="4" a="1"/>
  <c r="BI11" i="4" a="1"/>
  <c r="BQ5" i="4" a="1"/>
  <c r="EE11" i="4" a="1"/>
  <c r="EB12" i="4" a="1"/>
  <c r="CM13" i="4" a="1"/>
  <c r="DU13" i="4" a="1"/>
  <c r="DP6" i="4" a="1"/>
  <c r="DH7" i="4" a="1"/>
  <c r="BK9" i="4" a="1"/>
  <c r="O31" i="2"/>
  <c r="S7" i="4" a="1"/>
  <c r="BR15" i="4" a="1"/>
  <c r="E27" i="3"/>
  <c r="AY14" i="4" a="1"/>
  <c r="CT13" i="4" a="1"/>
  <c r="X11" i="4" a="1"/>
  <c r="EJ11" i="4" a="1"/>
  <c r="T15" i="4" a="1"/>
  <c r="J12" i="2"/>
  <c r="AV8" i="4" a="1"/>
  <c r="R23" i="2"/>
  <c r="CH6" i="4" a="1"/>
  <c r="K31" i="2"/>
  <c r="V26" i="2"/>
  <c r="R14" i="2"/>
  <c r="DO5" i="4" a="1"/>
  <c r="X7" i="2"/>
  <c r="K8" i="2"/>
  <c r="O19" i="2"/>
  <c r="D21" i="2"/>
  <c r="CI7" i="4" a="1"/>
  <c r="T16" i="2"/>
  <c r="J7" i="2"/>
  <c r="X34" i="2"/>
  <c r="CF13" i="4" a="1"/>
  <c r="P16" i="2"/>
  <c r="F6" i="3"/>
  <c r="V7" i="4" a="1"/>
  <c r="DP9" i="4" a="1"/>
  <c r="CM15" i="4" a="1"/>
  <c r="C15" i="4" a="1"/>
  <c r="BT14" i="4" a="1"/>
  <c r="BK13" i="4" a="1"/>
  <c r="T8" i="4" a="1"/>
  <c r="AQ6" i="3"/>
  <c r="X35" i="2"/>
  <c r="DL13" i="4" a="1"/>
  <c r="F17" i="2"/>
  <c r="R28" i="2"/>
  <c r="CF8" i="4" a="1"/>
  <c r="DZ16" i="4" a="1"/>
  <c r="E20" i="2"/>
  <c r="AA5" i="4" a="1"/>
  <c r="CU16" i="4" a="1"/>
  <c r="BP16" i="4" a="1"/>
  <c r="EK5" i="4" a="1"/>
  <c r="CP11" i="4" a="1"/>
  <c r="CU9" i="4" a="1"/>
  <c r="T9" i="4" a="1"/>
  <c r="DC9" i="4" a="1"/>
  <c r="U36" i="2"/>
  <c r="D16" i="2"/>
  <c r="H8" i="2"/>
  <c r="X41" i="2"/>
  <c r="L21" i="2"/>
  <c r="BI16" i="4" a="1"/>
  <c r="EA7" i="4" a="1"/>
  <c r="M34" i="2"/>
  <c r="CP6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I24" i="2"/>
  <c r="L29" i="2"/>
  <c r="DJ16" i="4" a="1"/>
  <c r="P10" i="2"/>
  <c r="F8" i="2"/>
  <c r="L33" i="2"/>
  <c r="G19" i="2"/>
  <c r="J32" i="2"/>
  <c r="T15" i="2"/>
  <c r="E10" i="2"/>
  <c r="M16" i="4" a="1"/>
  <c r="M36" i="2"/>
  <c r="AX6" i="4" a="1"/>
  <c r="E36" i="2"/>
  <c r="CG8" i="4" a="1"/>
  <c r="T14" i="2"/>
  <c r="EH11" i="4" a="1"/>
  <c r="DK14" i="4" a="1"/>
  <c r="BW15" i="4" a="1"/>
  <c r="BC13" i="4" a="1"/>
  <c r="AB12" i="4" a="1"/>
  <c r="O29" i="2"/>
  <c r="AU5" i="4" a="1"/>
  <c r="F19" i="3"/>
  <c r="E42" i="3"/>
  <c r="AR37" i="3"/>
  <c r="C17" i="2"/>
  <c r="E7" i="2"/>
  <c r="E26" i="2"/>
  <c r="X13" i="4" a="1"/>
  <c r="DG9" i="4" a="1"/>
  <c r="AR9" i="4" a="1"/>
  <c r="D14" i="4" a="1"/>
  <c r="CP7" i="4" a="1"/>
  <c r="CJ13" i="4" a="1"/>
  <c r="CI13" i="4" a="1"/>
  <c r="U6" i="4" a="1"/>
  <c r="AT7" i="4" a="1"/>
  <c r="CB14" i="4" a="1"/>
  <c r="T19" i="2"/>
  <c r="AR13" i="3"/>
  <c r="M21" i="2"/>
  <c r="R12" i="2"/>
  <c r="EH5" i="4" a="1"/>
  <c r="CA12" i="4" a="1"/>
  <c r="F10" i="2"/>
  <c r="DT9" i="4" a="1"/>
  <c r="BR5" i="4" a="1"/>
  <c r="S17" i="2"/>
  <c r="C33" i="2"/>
  <c r="CF14" i="4" a="1"/>
  <c r="Q17" i="2"/>
  <c r="D9" i="2"/>
  <c r="W32" i="2"/>
  <c r="C23" i="2"/>
  <c r="F89" i="2"/>
  <c r="H12" i="2"/>
  <c r="AD15" i="4" a="1"/>
  <c r="R26" i="2"/>
  <c r="AT8" i="4" a="1"/>
  <c r="D21" i="3"/>
  <c r="F14" i="3"/>
  <c r="EG16" i="4" a="1"/>
  <c r="E9" i="3"/>
  <c r="C35" i="2"/>
  <c r="M45" i="3"/>
  <c r="Y8" i="4" a="1"/>
  <c r="V5" i="4" a="1"/>
  <c r="S12" i="2"/>
  <c r="O12" i="2"/>
  <c r="H54" i="2"/>
  <c r="F31" i="3"/>
  <c r="ED9" i="4" a="1"/>
  <c r="AR42" i="3"/>
  <c r="AL45" i="3"/>
  <c r="AP11" i="4" a="1"/>
  <c r="AF15" i="4" a="1"/>
  <c r="EA6" i="4" a="1"/>
  <c r="DI6" i="4" a="1"/>
  <c r="E38" i="3"/>
  <c r="CS13" i="4" a="1"/>
  <c r="L22" i="2"/>
  <c r="CK7" i="4" a="1"/>
  <c r="AD8" i="4" a="1"/>
  <c r="BA15" i="4" a="1"/>
  <c r="J34" i="2"/>
  <c r="U31" i="2"/>
  <c r="DY8" i="4" a="1"/>
  <c r="Q14" i="4" a="1"/>
  <c r="X7" i="4" a="1"/>
  <c r="C65" i="2"/>
  <c r="O45" i="3"/>
  <c r="U9" i="4" a="1"/>
  <c r="AF7" i="4" a="1"/>
  <c r="K16" i="4" a="1"/>
  <c r="BK8" i="4" a="1"/>
  <c r="CW7" i="4" a="1"/>
  <c r="F29" i="3"/>
  <c r="AH12" i="4" a="1"/>
  <c r="BO16" i="4" a="1"/>
  <c r="BN9" i="4" a="1"/>
  <c r="J45" i="3"/>
  <c r="DU9" i="4" a="1"/>
  <c r="AA12" i="4" a="1"/>
  <c r="K32" i="2"/>
  <c r="BM15" i="4" a="1"/>
  <c r="BU11" i="4" a="1"/>
  <c r="J16" i="2"/>
  <c r="Q8" i="4" a="1"/>
  <c r="DI5" i="4" a="1"/>
  <c r="AL6" i="4" a="1"/>
  <c r="DW12" i="4" a="1"/>
  <c r="AU6" i="4" a="1"/>
  <c r="C14" i="4" a="1"/>
  <c r="AY9" i="4" a="1"/>
  <c r="V11" i="4" a="1"/>
  <c r="G6" i="4" a="1"/>
  <c r="L11" i="4" a="1"/>
  <c r="BA7" i="4" a="1"/>
  <c r="V16" i="4" a="1"/>
  <c r="X30" i="2"/>
  <c r="X26" i="2"/>
  <c r="C6" i="2"/>
  <c r="W23" i="2"/>
  <c r="CY14" i="4" a="1"/>
  <c r="I36" i="2"/>
  <c r="M6" i="2"/>
  <c r="X63" i="2"/>
  <c r="Q20" i="2"/>
  <c r="G36" i="2"/>
  <c r="S9" i="2"/>
  <c r="BM7" i="4" a="1"/>
  <c r="N22" i="2"/>
  <c r="R30" i="2"/>
  <c r="DM15" i="4" a="1"/>
  <c r="J14" i="2"/>
  <c r="BV6" i="4" a="1"/>
  <c r="F13" i="3"/>
  <c r="S46" i="3"/>
  <c r="EE13" i="4" a="1"/>
  <c r="EG7" i="4" a="1"/>
  <c r="X21" i="2"/>
  <c r="N7" i="4" a="1"/>
  <c r="X5" i="4" a="1"/>
  <c r="Q7" i="4" a="1"/>
  <c r="U11" i="2"/>
  <c r="V8" i="2"/>
  <c r="C25" i="2"/>
  <c r="P19" i="2"/>
  <c r="AQ12" i="4" a="1"/>
  <c r="DR7" i="4" a="1"/>
  <c r="BD11" i="4" a="1"/>
  <c r="O11" i="4" a="1"/>
  <c r="O13" i="4" a="1"/>
  <c r="H14" i="4" a="1"/>
  <c r="F22" i="3"/>
  <c r="BH15" i="4" a="1"/>
  <c r="D15" i="3"/>
  <c r="DA15" i="4" a="1"/>
  <c r="P35" i="2"/>
  <c r="BP7" i="4" a="1"/>
  <c r="F6" i="2"/>
  <c r="CA15" i="4" a="1"/>
  <c r="DS15" i="4" a="1"/>
  <c r="AR36" i="3"/>
  <c r="I8" i="4" a="1"/>
  <c r="AO6" i="3"/>
  <c r="D17" i="3"/>
  <c r="D8" i="4" a="1"/>
  <c r="W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CU6" i="4" a="1"/>
  <c r="BF15" i="4" a="1"/>
  <c r="DF15" i="4" a="1"/>
  <c r="DN11" i="4" a="1"/>
  <c r="C16" i="4" a="1"/>
  <c r="DX11" i="4" a="1"/>
  <c r="AU8" i="4" a="1"/>
  <c r="V5" i="2"/>
  <c r="E23" i="2"/>
  <c r="G7" i="3"/>
  <c r="E30" i="2"/>
  <c r="AG14" i="4" a="1"/>
  <c r="N15" i="2"/>
  <c r="BL12" i="4" a="1"/>
  <c r="F25" i="2"/>
  <c r="AW14" i="4" a="1"/>
  <c r="I34" i="2"/>
  <c r="N17" i="2"/>
  <c r="DN7" i="4" a="1"/>
  <c r="O26" i="2"/>
  <c r="D34" i="2"/>
  <c r="CY16" i="4" a="1"/>
  <c r="Z16" i="4" a="1"/>
  <c r="E9" i="4" a="1"/>
  <c r="Q5" i="4" a="1"/>
  <c r="DX5" i="4" a="1"/>
  <c r="DJ15" i="4" a="1"/>
  <c r="DM7" i="4" a="1"/>
  <c r="R22" i="2"/>
  <c r="DS8" i="4" a="1"/>
  <c r="CA14" i="4" a="1"/>
  <c r="AK13" i="4" a="1"/>
  <c r="M15" i="2"/>
  <c r="G32" i="2"/>
  <c r="K15" i="4" a="1"/>
  <c r="D27" i="2"/>
  <c r="AR39" i="3"/>
  <c r="AC16" i="4" a="1"/>
  <c r="DT12" i="4" a="1"/>
  <c r="DQ5" i="4" a="1"/>
  <c r="CV14" i="4" a="1"/>
  <c r="CU13" i="4" a="1"/>
  <c r="DP15" i="4" a="1"/>
  <c r="AL11" i="4" a="1"/>
  <c r="DF14" i="4" a="1"/>
  <c r="Q15" i="2"/>
  <c r="AZ7" i="4" a="1"/>
  <c r="W24" i="2"/>
  <c r="V28" i="2"/>
  <c r="Q21" i="2"/>
  <c r="L16" i="2"/>
  <c r="BE8" i="4" a="1"/>
  <c r="EC13" i="4" a="1"/>
  <c r="EE12" i="4" a="1"/>
  <c r="DU16" i="4" a="1"/>
  <c r="BU12" i="4" a="1"/>
  <c r="J24" i="2"/>
  <c r="R6" i="4" a="1"/>
  <c r="X9" i="2"/>
  <c r="I26" i="2"/>
  <c r="AS15" i="4" a="1"/>
  <c r="P36" i="2"/>
  <c r="H99" i="2"/>
  <c r="V21" i="2"/>
  <c r="AG15" i="4" a="1"/>
  <c r="F30" i="2"/>
  <c r="S30" i="2"/>
  <c r="H10" i="2"/>
  <c r="O10" i="2"/>
  <c r="F11" i="3"/>
  <c r="CQ14" i="4" a="1"/>
  <c r="E10" i="3"/>
  <c r="AE15" i="4" a="1"/>
  <c r="CI16" i="4" a="1"/>
  <c r="X8" i="4" a="1"/>
  <c r="EJ7" i="4" a="1"/>
  <c r="I5" i="4" a="1"/>
  <c r="CX15" i="4" a="1"/>
  <c r="AW9" i="4" a="1"/>
  <c r="CV13" i="4" a="1"/>
  <c r="DP14" i="4" a="1"/>
  <c r="P12" i="2"/>
  <c r="S28" i="2"/>
  <c r="AQ15" i="4" a="1"/>
  <c r="G14" i="4" a="1"/>
  <c r="CK13" i="4" a="1"/>
  <c r="EG14" i="4" a="1"/>
  <c r="AZ14" i="4" a="1"/>
  <c r="DY12" i="4" a="1"/>
  <c r="DF12" i="4" a="1"/>
  <c r="G28" i="3"/>
  <c r="EC14" i="4" a="1"/>
  <c r="C13" i="4" a="1"/>
  <c r="V17" i="2"/>
  <c r="G9" i="2"/>
  <c r="V14" i="2"/>
  <c r="S16" i="2"/>
  <c r="H49" i="2"/>
  <c r="E26" i="3"/>
  <c r="BO5" i="4" a="1"/>
  <c r="DP7" i="4" a="1"/>
  <c r="DZ6" i="4" a="1"/>
  <c r="EK15" i="4" a="1"/>
  <c r="CM16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EE16" i="4" a="1"/>
  <c r="CD8" i="4" a="1"/>
  <c r="DA8" i="4" a="1"/>
  <c r="BH8" i="4" a="1"/>
  <c r="AE8" i="4" a="1"/>
  <c r="EB7" i="4" a="1"/>
  <c r="V9" i="4" a="1"/>
  <c r="BJ15" i="4" a="1"/>
  <c r="CW12" i="4" a="1"/>
  <c r="AX5" i="4" a="1"/>
  <c r="BA13" i="4" a="1"/>
  <c r="CP12" i="4" a="1"/>
  <c r="AD13" i="4" a="1"/>
  <c r="H7" i="4" a="1"/>
  <c r="D31" i="3"/>
  <c r="DB11" i="4" a="1"/>
  <c r="BA11" i="4" a="1"/>
  <c r="AZ15" i="4" a="1"/>
  <c r="F12" i="2"/>
  <c r="CL6" i="4" a="1"/>
  <c r="CR14" i="4" a="1"/>
  <c r="BO15" i="4" a="1"/>
  <c r="DT8" i="4" a="1"/>
  <c r="Z14" i="4" a="1"/>
  <c r="I9" i="4" a="1"/>
  <c r="L45" i="3"/>
  <c r="Q8" i="2"/>
  <c r="AD17" i="3"/>
  <c r="F16" i="4" a="1"/>
  <c r="AK15" i="4" a="1"/>
  <c r="AR9" i="3"/>
  <c r="Q45" i="3"/>
  <c r="DT13" i="4" a="1"/>
  <c r="AX14" i="4" a="1"/>
  <c r="AT12" i="4" a="1"/>
  <c r="BI12" i="4" a="1"/>
  <c r="DL7" i="4" a="1"/>
  <c r="Q11" i="4" a="1"/>
  <c r="DR13" i="4" a="1"/>
  <c r="CA5" i="4" a="1"/>
  <c r="ED12" i="4" a="1"/>
  <c r="AI15" i="4" a="1"/>
  <c r="CP13" i="4" a="1"/>
  <c r="AY12" i="4" a="1"/>
  <c r="E22" i="3"/>
  <c r="ED7" i="4" a="1"/>
  <c r="S5" i="4" a="1"/>
  <c r="CE7" i="4" a="1"/>
  <c r="R12" i="4" a="1"/>
  <c r="AO7" i="4" a="1"/>
  <c r="DE8" i="4" a="1"/>
  <c r="AR12" i="4" a="1"/>
  <c r="C11" i="4" a="1"/>
  <c r="CF5" i="4" a="1"/>
  <c r="AR32" i="3"/>
  <c r="AM11" i="4" a="1"/>
  <c r="E33" i="2"/>
  <c r="G18" i="2"/>
  <c r="M25" i="2"/>
  <c r="Z5" i="4" a="1"/>
  <c r="H36" i="2"/>
  <c r="Q11" i="2"/>
  <c r="U29" i="2"/>
  <c r="C34" i="2"/>
  <c r="AD9" i="4" a="1"/>
  <c r="L14" i="2"/>
  <c r="C46" i="3"/>
  <c r="N16" i="2"/>
  <c r="L32" i="2"/>
  <c r="N45" i="3"/>
  <c r="D29" i="3"/>
  <c r="DF16" i="4" a="1"/>
  <c r="DL9" i="4" a="1"/>
  <c r="BG8" i="4" a="1"/>
  <c r="DQ11" i="4" a="1"/>
  <c r="AJ8" i="4" a="1"/>
  <c r="CG14" i="4" a="1"/>
  <c r="CA7" i="4" a="1"/>
  <c r="DT16" i="4" a="1"/>
  <c r="D22" i="2"/>
  <c r="BG12" i="4" a="1"/>
  <c r="T36" i="2"/>
  <c r="AC15" i="4" a="1"/>
  <c r="U5" i="4" a="1"/>
  <c r="L18" i="2"/>
  <c r="E6" i="3"/>
  <c r="BM9" i="4" a="1"/>
  <c r="H27" i="2"/>
  <c r="CZ8" i="4" a="1"/>
  <c r="J15" i="4" a="1"/>
  <c r="AR26" i="3"/>
  <c r="L16" i="4" a="1"/>
  <c r="Q57" i="2"/>
  <c r="V15" i="4" a="1"/>
  <c r="CI15" i="4" a="1"/>
  <c r="J46" i="3"/>
  <c r="CO14" i="4" a="1"/>
  <c r="J29" i="2"/>
  <c r="S12" i="4" a="1"/>
  <c r="DJ7" i="4" a="1"/>
  <c r="CG12" i="4" a="1"/>
  <c r="CS14" i="4" a="1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DG16" i="4" a="1"/>
  <c r="W30" i="2"/>
  <c r="DE6" i="4" a="1"/>
  <c r="G11" i="4" a="1"/>
  <c r="BI13" i="4" a="1"/>
  <c r="AI7" i="4" a="1"/>
  <c r="CT14" i="4" a="1"/>
  <c r="AN5" i="4" a="1"/>
  <c r="CE6" i="4" a="1"/>
  <c r="EA8" i="4" a="1"/>
  <c r="CZ5" i="4" a="1"/>
  <c r="E7" i="4" a="1"/>
  <c r="CL5" i="4" a="1"/>
  <c r="AW8" i="4" a="1"/>
  <c r="AW16" i="4" a="1"/>
  <c r="AI12" i="4" a="1"/>
  <c r="DY9" i="4" a="1"/>
  <c r="AA6" i="4" a="1"/>
  <c r="DK8" i="4" a="1"/>
  <c r="DS16" i="4" a="1"/>
  <c r="L15" i="4" a="1"/>
  <c r="BA16" i="4" a="1"/>
  <c r="U11" i="4" a="1"/>
  <c r="DP16" i="4" a="1"/>
  <c r="AN45" i="3"/>
  <c r="BB7" i="4" a="1"/>
  <c r="AH11" i="4" a="1"/>
  <c r="DZ15" i="4" a="1"/>
  <c r="DM5" i="4" a="1"/>
  <c r="N24" i="2"/>
  <c r="O18" i="2"/>
  <c r="G5" i="2"/>
  <c r="V29" i="2"/>
  <c r="S15" i="2"/>
  <c r="D17" i="2"/>
  <c r="H29" i="2"/>
  <c r="F5" i="2"/>
  <c r="W21" i="2"/>
  <c r="Q36" i="2"/>
  <c r="CD6" i="4" a="1"/>
  <c r="O24" i="2"/>
  <c r="N21" i="2"/>
  <c r="BL14" i="4" a="1"/>
  <c r="CR12" i="4" a="1"/>
  <c r="CP5" i="4" a="1"/>
  <c r="DA5" i="4" a="1"/>
  <c r="E41" i="3"/>
  <c r="CI6" i="4" a="1"/>
  <c r="CO5" i="4" a="1"/>
  <c r="K46" i="3"/>
  <c r="AH14" i="4" a="1"/>
  <c r="ED6" i="4" a="1"/>
  <c r="CP15" i="4" a="1"/>
  <c r="P25" i="2"/>
  <c r="I17" i="2"/>
  <c r="T17" i="2"/>
  <c r="CO9" i="4" a="1"/>
  <c r="DD5" i="4" a="1"/>
  <c r="V22" i="2"/>
  <c r="DW14" i="4" a="1"/>
  <c r="AC14" i="4" a="1"/>
  <c r="D36" i="2"/>
  <c r="U16" i="2"/>
  <c r="K34" i="2"/>
  <c r="Q27" i="2"/>
  <c r="E11" i="2"/>
  <c r="X29" i="2"/>
  <c r="M28" i="2"/>
  <c r="W13" i="2"/>
  <c r="Q35" i="2"/>
  <c r="X14" i="2"/>
  <c r="H26" i="2"/>
  <c r="BC8" i="4" a="1"/>
  <c r="CK14" i="4" a="1"/>
  <c r="BD8" i="4" a="1"/>
  <c r="M13" i="2"/>
  <c r="DO6" i="4" a="1"/>
  <c r="DL15" i="4" a="1"/>
  <c r="DS6" i="4" a="1"/>
  <c r="DA7" i="4" a="1"/>
  <c r="DI15" i="4" a="1"/>
  <c r="E16" i="3"/>
  <c r="O15" i="4" a="1"/>
  <c r="G29" i="3"/>
  <c r="L23" i="2"/>
  <c r="CJ11" i="4" a="1"/>
  <c r="E6" i="4" a="1"/>
  <c r="Y6" i="4" a="1"/>
  <c r="W27" i="2"/>
  <c r="CA11" i="4" a="1"/>
  <c r="AD18" i="3"/>
  <c r="EJ14" i="4" a="1"/>
  <c r="O34" i="2"/>
  <c r="AZ13" i="4" a="1"/>
  <c r="AT14" i="4" a="1"/>
  <c r="L9" i="4" a="1"/>
  <c r="DJ14" i="4" a="1"/>
  <c r="P5" i="4" a="1"/>
  <c r="G10" i="2"/>
  <c r="O20" i="2"/>
  <c r="G14" i="2"/>
  <c r="X22" i="2"/>
  <c r="EG12" i="4" a="1"/>
  <c r="DV5" i="4" a="1"/>
  <c r="M20" i="2"/>
  <c r="BV14" i="4" a="1"/>
  <c r="DT14" i="4" a="1"/>
  <c r="AR45" i="3"/>
  <c r="AM5" i="4" a="1"/>
  <c r="E5" i="2"/>
  <c r="G24" i="3"/>
  <c r="P8" i="4" a="1"/>
  <c r="CZ14" i="4" a="1"/>
  <c r="CB5" i="4" a="1"/>
  <c r="T28" i="2"/>
  <c r="CF16" i="4" a="1"/>
  <c r="Q56" i="2"/>
  <c r="J12" i="4" a="1"/>
  <c r="CO7" i="4" a="1"/>
  <c r="AO11" i="4" a="1"/>
  <c r="G26" i="3"/>
  <c r="X31" i="2"/>
  <c r="BT7" i="4" a="1"/>
  <c r="G5" i="3"/>
  <c r="H12" i="4" a="1"/>
  <c r="DH5" i="4" a="1"/>
  <c r="Z7" i="4" a="1"/>
  <c r="M13" i="4" a="1"/>
  <c r="CZ15" i="4" a="1"/>
  <c r="E29" i="3"/>
  <c r="AA15" i="4" a="1"/>
  <c r="BF5" i="4" a="1"/>
  <c r="DR12" i="4" a="1"/>
  <c r="DH8" i="4" a="1"/>
  <c r="F37" i="3"/>
  <c r="N6" i="4" a="1"/>
  <c r="DU6" i="4" a="1"/>
  <c r="K11" i="4" a="1"/>
  <c r="N27" i="2"/>
  <c r="H15" i="4" a="1"/>
  <c r="EF15" i="4" a="1"/>
  <c r="CI8" i="4" a="1"/>
  <c r="DT11" i="4" a="1"/>
  <c r="CF11" i="4" a="1"/>
  <c r="EG8" i="4" a="1"/>
  <c r="G12" i="3"/>
  <c r="T7" i="4" a="1"/>
  <c r="K5" i="4" a="1"/>
  <c r="DD15" i="4" a="1"/>
  <c r="BV11" i="4" a="1"/>
  <c r="E11" i="3"/>
  <c r="DD6" i="4" a="1"/>
  <c r="D14" i="3"/>
  <c r="T16" i="4" a="1"/>
  <c r="BC11" i="4" a="1"/>
  <c r="AQ8" i="4" a="1"/>
  <c r="AK9" i="4" a="1"/>
  <c r="EH15" i="4" a="1"/>
  <c r="M11" i="4" a="1"/>
  <c r="EK11" i="4" a="1"/>
  <c r="AX15" i="4" a="1"/>
  <c r="DV15" i="4" a="1"/>
  <c r="J23" i="2"/>
  <c r="AA45" i="3"/>
  <c r="BY7" i="4" a="1"/>
  <c r="BN13" i="4" a="1"/>
  <c r="D32" i="3"/>
  <c r="DS12" i="4" a="1"/>
  <c r="EG9" i="4" a="1"/>
  <c r="BY14" i="4" a="1"/>
  <c r="CD11" i="4" a="1"/>
  <c r="AW11" i="4" a="1"/>
  <c r="P11" i="4" a="1"/>
  <c r="E23" i="3"/>
  <c r="CH14" i="4" a="1"/>
  <c r="EE9" i="4" a="1"/>
  <c r="CE15" i="4" a="1"/>
  <c r="G21" i="3"/>
  <c r="EF7" i="4" a="1"/>
  <c r="D16" i="4" a="1"/>
  <c r="V8" i="4" a="1"/>
  <c r="AV12" i="4" a="1"/>
  <c r="F23" i="3"/>
  <c r="P45" i="3"/>
  <c r="CE12" i="4" a="1"/>
  <c r="AA14" i="4" a="1"/>
  <c r="CY11" i="4" a="1"/>
  <c r="AR41" i="3"/>
  <c r="BW9" i="4" a="1"/>
  <c r="AW13" i="4" a="1"/>
  <c r="L12" i="4" a="1"/>
  <c r="DX15" i="4" a="1"/>
  <c r="BC94" i="3"/>
  <c r="BC74" i="3"/>
  <c r="BC73" i="3"/>
  <c r="C65" i="3"/>
  <c r="AV54" i="3"/>
  <c r="AV59" i="3"/>
  <c r="AT49" i="3"/>
  <c r="AT85" i="3"/>
  <c r="AT64" i="3"/>
  <c r="AX73" i="3"/>
  <c r="AX62" i="3"/>
  <c r="AX61" i="3"/>
  <c r="AW47" i="3"/>
  <c r="AW78" i="3"/>
  <c r="AW70" i="3"/>
  <c r="AT91" i="3"/>
  <c r="AX50" i="3"/>
  <c r="AX74" i="3"/>
  <c r="AW74" i="3"/>
  <c r="AW73" i="3"/>
  <c r="AW89" i="3"/>
  <c r="E20" i="3"/>
  <c r="BC77" i="3"/>
  <c r="AU86" i="3"/>
  <c r="AV84" i="3"/>
  <c r="AT79" i="3"/>
  <c r="AW85" i="3"/>
  <c r="AW75" i="3"/>
  <c r="AW91" i="3"/>
  <c r="CE14" i="4" a="1"/>
  <c r="AC45" i="3"/>
  <c r="AS5" i="4" a="1"/>
  <c r="DW11" i="4" a="1"/>
  <c r="BY6" i="4" a="1"/>
  <c r="BR12" i="4" a="1"/>
  <c r="AJ15" i="4" a="1"/>
  <c r="BK14" i="4" a="1"/>
  <c r="EJ6" i="4" a="1"/>
  <c r="J8" i="4" a="1"/>
  <c r="AK6" i="4" a="1"/>
  <c r="I15" i="2"/>
  <c r="L13" i="4" a="1"/>
  <c r="EI16" i="4" a="1"/>
  <c r="K59" i="2"/>
  <c r="AD6" i="3"/>
  <c r="BK11" i="4" a="1"/>
  <c r="DQ9" i="4" a="1"/>
  <c r="D26" i="3"/>
  <c r="DW9" i="4" a="1"/>
  <c r="AR20" i="3"/>
  <c r="BT9" i="4" a="1"/>
  <c r="BW8" i="4" a="1"/>
  <c r="S16" i="4" a="1"/>
  <c r="AS14" i="4" a="1"/>
  <c r="F9" i="3"/>
  <c r="BA14" i="4" a="1"/>
  <c r="CZ16" i="4" a="1"/>
  <c r="CV5" i="4" a="1"/>
  <c r="G19" i="3"/>
  <c r="AD5" i="3"/>
  <c r="DI9" i="4" a="1"/>
  <c r="H16" i="2"/>
  <c r="DX13" i="4" a="1"/>
  <c r="AC13" i="4" a="1"/>
  <c r="CV11" i="4" a="1"/>
  <c r="BJ5" i="4" a="1"/>
  <c r="DN5" i="4" a="1"/>
  <c r="BN5" i="4" a="1"/>
  <c r="CW15" i="4" a="1"/>
  <c r="AR7" i="4" a="1"/>
  <c r="EI8" i="4" a="1"/>
  <c r="CC9" i="4" a="1"/>
  <c r="CJ7" i="4" a="1"/>
  <c r="P6" i="4" a="1"/>
  <c r="AF9" i="4" a="1"/>
  <c r="EJ8" i="4" a="1"/>
  <c r="CK12" i="4" a="1"/>
  <c r="AE11" i="4" a="1"/>
  <c r="AV14" i="4" a="1"/>
  <c r="AU15" i="4" a="1"/>
  <c r="AF16" i="4" a="1"/>
  <c r="CB12" i="4" a="1"/>
  <c r="BJ11" i="4" a="1"/>
  <c r="AR14" i="3"/>
  <c r="BO11" i="4" a="1"/>
  <c r="D25" i="2"/>
  <c r="DP8" i="4" a="1"/>
  <c r="U12" i="4" a="1"/>
  <c r="DX6" i="4" a="1"/>
  <c r="AL5" i="4" a="1"/>
  <c r="F6" i="4" a="1"/>
  <c r="BQ11" i="4" a="1"/>
  <c r="Z13" i="4" a="1"/>
  <c r="AT5" i="4" a="1"/>
  <c r="E92" i="3"/>
  <c r="G63" i="3"/>
  <c r="DQ12" i="4" a="1"/>
  <c r="EC6" i="4" a="1"/>
  <c r="CN5" i="4" a="1"/>
  <c r="CO11" i="4" a="1"/>
  <c r="D11" i="3"/>
  <c r="CG11" i="4" a="1"/>
  <c r="AW5" i="4" a="1"/>
  <c r="CR11" i="4" a="1"/>
  <c r="DI12" i="4" a="1"/>
  <c r="CU14" i="4" a="1"/>
  <c r="EG11" i="4" a="1"/>
  <c r="CV8" i="4" a="1"/>
  <c r="AG9" i="4" a="1"/>
  <c r="AY16" i="4" a="1"/>
  <c r="AM16" i="4" a="1"/>
  <c r="CY9" i="4" a="1"/>
  <c r="BG11" i="4" a="1"/>
  <c r="AX12" i="4" a="1"/>
  <c r="AU14" i="4" a="1"/>
  <c r="AM13" i="4" a="1"/>
  <c r="AD68" i="3"/>
  <c r="BC82" i="3"/>
  <c r="BC70" i="3"/>
  <c r="BC56" i="3"/>
  <c r="C68" i="3"/>
  <c r="AV49" i="3"/>
  <c r="AV60" i="3"/>
  <c r="AT57" i="3"/>
  <c r="AT82" i="3"/>
  <c r="AX93" i="3"/>
  <c r="AX55" i="3"/>
  <c r="AD83" i="3"/>
  <c r="BM6" i="4" a="1"/>
  <c r="AQ46" i="3"/>
  <c r="AB46" i="3"/>
  <c r="AZ9" i="4" a="1"/>
  <c r="AY13" i="4" a="1"/>
  <c r="H9" i="4" a="1"/>
  <c r="Q15" i="4" a="1"/>
  <c r="C29" i="2"/>
  <c r="AQ9" i="4" a="1"/>
  <c r="P7" i="2"/>
  <c r="BQ9" i="4" a="1"/>
  <c r="BN11" i="4" a="1"/>
  <c r="CN9" i="4" a="1"/>
  <c r="CL11" i="4" a="1"/>
  <c r="AV16" i="4" a="1"/>
  <c r="AX13" i="4" a="1"/>
  <c r="Z46" i="3"/>
  <c r="T13" i="4" a="1"/>
  <c r="G62" i="3"/>
  <c r="BW16" i="4" a="1"/>
  <c r="AP13" i="4" a="1"/>
  <c r="DO13" i="4" a="1"/>
  <c r="E37" i="3"/>
  <c r="BM13" i="4" a="1"/>
  <c r="DB9" i="4" a="1"/>
  <c r="AF5" i="4" a="1"/>
  <c r="E8" i="3"/>
  <c r="E72" i="3"/>
  <c r="AB45" i="3"/>
  <c r="S14" i="4" a="1"/>
  <c r="CQ9" i="4" a="1"/>
  <c r="Q6" i="2"/>
  <c r="DB7" i="4" a="1"/>
  <c r="AX8" i="4" a="1"/>
  <c r="BL16" i="4" a="1"/>
  <c r="CC11" i="4" a="1"/>
  <c r="DW8" i="4" a="1"/>
  <c r="BS11" i="4" a="1"/>
  <c r="AT6" i="4" a="1"/>
  <c r="AG11" i="4" a="1"/>
  <c r="BG13" i="4" a="1"/>
  <c r="G46" i="3"/>
  <c r="BK5" i="4" a="1"/>
  <c r="N11" i="4" a="1"/>
  <c r="CG9" i="4" a="1"/>
  <c r="DM14" i="4" a="1"/>
  <c r="BQ16" i="4" a="1"/>
  <c r="BS9" i="4" a="1"/>
  <c r="CK8" i="4" a="1"/>
  <c r="AD73" i="3"/>
  <c r="I22" i="2"/>
  <c r="AC6" i="4" a="1"/>
  <c r="BH16" i="4" a="1"/>
  <c r="G15" i="4" a="1"/>
  <c r="EC12" i="4" a="1"/>
  <c r="E36" i="3"/>
  <c r="E45" i="2"/>
  <c r="DL16" i="4" a="1"/>
  <c r="DW6" i="4" a="1"/>
  <c r="DD14" i="4" a="1"/>
  <c r="AJ14" i="4" a="1"/>
  <c r="DY16" i="4" a="1"/>
  <c r="BE12" i="4" a="1"/>
  <c r="DS7" i="4" a="1"/>
  <c r="CB6" i="4" a="1"/>
  <c r="DC5" i="4" a="1"/>
  <c r="J16" i="4" a="1"/>
  <c r="E85" i="3"/>
  <c r="CE16" i="4" a="1"/>
  <c r="EH12" i="4" a="1"/>
  <c r="BE5" i="4" a="1"/>
  <c r="AM9" i="4" a="1"/>
  <c r="CM14" i="4" a="1"/>
  <c r="BC14" i="4" a="1"/>
  <c r="D5" i="3"/>
  <c r="EA14" i="4" a="1"/>
  <c r="Y9" i="4" a="1"/>
  <c r="CO8" i="4" a="1"/>
  <c r="BM16" i="4" a="1"/>
  <c r="BR6" i="4" a="1"/>
  <c r="L5" i="4" a="1"/>
  <c r="DE14" i="4" a="1"/>
  <c r="E13" i="4" a="1"/>
  <c r="AZ6" i="4" a="1"/>
  <c r="EA11" i="4" a="1"/>
  <c r="H8" i="4" a="1"/>
  <c r="BU16" i="4" a="1"/>
  <c r="AV15" i="4" a="1"/>
  <c r="BC92" i="3"/>
  <c r="BC48" i="3"/>
  <c r="BC67" i="3"/>
  <c r="C87" i="3"/>
  <c r="AV50" i="3"/>
  <c r="AV97" i="3"/>
  <c r="AT78" i="3"/>
  <c r="AT75" i="3"/>
  <c r="AT88" i="3"/>
  <c r="AX66" i="3"/>
  <c r="AX60" i="3"/>
  <c r="AW92" i="3"/>
  <c r="AW86" i="3"/>
  <c r="AW95" i="3"/>
  <c r="AW90" i="3"/>
  <c r="AT83" i="3"/>
  <c r="AX90" i="3"/>
  <c r="AX54" i="3"/>
  <c r="AW93" i="3"/>
  <c r="AW77" i="3"/>
  <c r="AW50" i="3"/>
  <c r="BH7" i="4" a="1"/>
  <c r="F7" i="3"/>
  <c r="BC60" i="3"/>
  <c r="C82" i="3"/>
  <c r="AV62" i="3"/>
  <c r="AT54" i="3"/>
  <c r="AT50" i="3"/>
  <c r="AX76" i="3"/>
  <c r="CA13" i="4" a="1"/>
  <c r="D33" i="2"/>
  <c r="G22" i="2"/>
  <c r="AN7" i="4" a="1"/>
  <c r="BW7" i="4" a="1"/>
  <c r="AE7" i="4" a="1"/>
  <c r="I14" i="4" a="1"/>
  <c r="AH8" i="4" a="1"/>
  <c r="BX5" i="4" a="1"/>
  <c r="CT6" i="4" a="1"/>
  <c r="BO7" i="4" a="1"/>
  <c r="G16" i="3"/>
  <c r="DR14" i="4" a="1"/>
  <c r="R15" i="4" a="1"/>
  <c r="D23" i="3"/>
  <c r="C12" i="4" a="1"/>
  <c r="CT16" i="4" a="1"/>
  <c r="DY15" i="4" a="1"/>
  <c r="N9" i="4" a="1"/>
  <c r="R13" i="4" a="1"/>
  <c r="G25" i="3"/>
  <c r="CX16" i="4" a="1"/>
  <c r="BB5" i="4" a="1"/>
  <c r="DR16" i="4" a="1"/>
  <c r="P15" i="2"/>
  <c r="EF16" i="4" a="1"/>
  <c r="CD13" i="4" a="1"/>
  <c r="BW5" i="4" a="1"/>
  <c r="U45" i="3"/>
  <c r="F14" i="4" a="1"/>
  <c r="EJ15" i="4" a="1"/>
  <c r="CA8" i="4" a="1"/>
  <c r="R9" i="4" a="1"/>
  <c r="EF9" i="4" a="1"/>
  <c r="AO13" i="4" a="1"/>
  <c r="X45" i="3"/>
  <c r="D10" i="3"/>
  <c r="J11" i="4" a="1"/>
  <c r="DE7" i="4" a="1"/>
  <c r="AD59" i="3"/>
  <c r="D6" i="3"/>
  <c r="U46" i="3"/>
  <c r="AO16" i="4" a="1"/>
  <c r="AD78" i="3"/>
  <c r="W9" i="4" a="1"/>
  <c r="AL16" i="4" a="1"/>
  <c r="D41" i="3"/>
  <c r="E13" i="3"/>
  <c r="DN16" i="4" a="1"/>
  <c r="O14" i="4" a="1"/>
  <c r="D34" i="3"/>
  <c r="AG6" i="4" a="1"/>
  <c r="DL5" i="4" a="1"/>
  <c r="BR13" i="4" a="1"/>
  <c r="CH9" i="4" a="1"/>
  <c r="AG46" i="3"/>
  <c r="N13" i="4" a="1"/>
  <c r="CY5" i="4" a="1"/>
  <c r="BO6" i="4" a="1"/>
  <c r="T11" i="4" a="1"/>
  <c r="DB12" i="4" a="1"/>
  <c r="E91" i="3"/>
  <c r="DB6" i="4" a="1"/>
  <c r="CU7" i="4" a="1"/>
  <c r="AR10" i="3"/>
  <c r="CO12" i="4" a="1"/>
  <c r="CE11" i="4" a="1"/>
  <c r="W15" i="4" a="1"/>
  <c r="W14" i="4" a="1"/>
  <c r="CC12" i="4" a="1"/>
  <c r="F15" i="3"/>
  <c r="DJ5" i="4" a="1"/>
  <c r="AW6" i="4" a="1"/>
  <c r="G30" i="3"/>
  <c r="E14" i="4" a="1"/>
  <c r="CN16" i="4" a="1"/>
  <c r="CD14" i="4" a="1"/>
  <c r="DS5" i="4" a="1"/>
  <c r="BY12" i="4" a="1"/>
  <c r="AC5" i="4" a="1"/>
  <c r="AD8" i="3"/>
  <c r="BC84" i="3"/>
  <c r="BC91" i="3"/>
  <c r="AU83" i="3"/>
  <c r="C92" i="3"/>
  <c r="AV90" i="3"/>
  <c r="AV69" i="3"/>
  <c r="AT67" i="3"/>
  <c r="AT87" i="3"/>
  <c r="AW62" i="3"/>
  <c r="BZ8" i="4" a="1"/>
  <c r="CH16" i="4" a="1"/>
  <c r="AQ45" i="3"/>
  <c r="AD16" i="3"/>
  <c r="AS8" i="4" a="1"/>
  <c r="DF5" i="4" a="1"/>
  <c r="BT12" i="4" a="1"/>
  <c r="DR6" i="4" a="1"/>
  <c r="O8" i="4" a="1"/>
  <c r="BI9" i="4" a="1"/>
  <c r="BF6" i="4" a="1"/>
  <c r="BN15" i="4" a="1"/>
  <c r="DI11" i="4" a="1"/>
  <c r="AJ6" i="4" a="1"/>
  <c r="BZ16" i="4" a="1"/>
  <c r="AD64" i="3"/>
  <c r="CX9" i="4" a="1"/>
  <c r="DY13" i="4" a="1"/>
  <c r="V13" i="4" a="1"/>
  <c r="E34" i="3"/>
  <c r="AQ13" i="4" a="1"/>
  <c r="BF11" i="4" a="1"/>
  <c r="E18" i="2"/>
  <c r="BI15" i="4" a="1"/>
  <c r="AA8" i="4" a="1"/>
  <c r="DG11" i="4" a="1"/>
  <c r="AB6" i="4" a="1"/>
  <c r="DM9" i="4" a="1"/>
  <c r="DQ14" i="4" a="1"/>
  <c r="AB5" i="4" a="1"/>
  <c r="Z6" i="4" a="1"/>
  <c r="BU15" i="4" a="1"/>
  <c r="DA11" i="4" a="1"/>
  <c r="BL5" i="4" a="1"/>
  <c r="AQ11" i="4" a="1"/>
  <c r="EE15" i="4" a="1"/>
  <c r="F40" i="3"/>
  <c r="AD11" i="3"/>
  <c r="CR5" i="4" a="1"/>
  <c r="EC9" i="4" a="1"/>
  <c r="E17" i="3"/>
  <c r="AR35" i="3"/>
  <c r="CL14" i="4" a="1"/>
  <c r="DS13" i="4" a="1"/>
  <c r="P30" i="2"/>
  <c r="DI16" i="4" a="1"/>
  <c r="DU5" i="4" a="1"/>
  <c r="DC8" i="4" a="1"/>
  <c r="CS5" i="4" a="1"/>
  <c r="W16" i="4" a="1"/>
  <c r="CX12" i="4" a="1"/>
  <c r="H5" i="4" a="1"/>
  <c r="DE9" i="4" a="1"/>
  <c r="P15" i="4" a="1"/>
  <c r="G18" i="3"/>
  <c r="BY16" i="4" a="1"/>
  <c r="AR16" i="3"/>
  <c r="E11" i="4" a="1"/>
  <c r="CS9" i="4" a="1"/>
  <c r="U7" i="4" a="1"/>
  <c r="CU15" i="4" a="1"/>
  <c r="BD14" i="4" a="1"/>
  <c r="AD56" i="3"/>
  <c r="W70" i="2"/>
  <c r="DK16" i="4" a="1"/>
  <c r="E89" i="3"/>
  <c r="AR29" i="3"/>
  <c r="CW8" i="4" a="1"/>
  <c r="DH16" i="4" a="1"/>
  <c r="D18" i="2"/>
  <c r="CZ11" i="4" a="1"/>
  <c r="AR15" i="4" a="1"/>
  <c r="DR5" i="4" a="1"/>
  <c r="DJ6" i="4" a="1"/>
  <c r="CB13" i="4" a="1"/>
  <c r="E73" i="3"/>
  <c r="DV12" i="4" a="1"/>
  <c r="AU9" i="4" a="1"/>
  <c r="E80" i="3"/>
  <c r="DO11" i="4" a="1"/>
  <c r="G64" i="3"/>
  <c r="F18" i="3"/>
  <c r="G15" i="3"/>
  <c r="AK46" i="3"/>
  <c r="BI14" i="4" a="1"/>
  <c r="CC5" i="4" a="1"/>
  <c r="DH11" i="4" a="1"/>
  <c r="DK12" i="4" a="1"/>
  <c r="DC6" i="4" a="1"/>
  <c r="CR9" i="4" a="1"/>
  <c r="BD7" i="4" a="1"/>
  <c r="DA12" i="4" a="1"/>
  <c r="AW12" i="4" a="1"/>
  <c r="AR24" i="3"/>
  <c r="BY9" i="4" a="1"/>
  <c r="E25" i="3"/>
  <c r="DC13" i="4" a="1"/>
  <c r="BY15" i="4" a="1"/>
  <c r="S9" i="4" a="1"/>
  <c r="DO7" i="4" a="1"/>
  <c r="DS14" i="4" a="1"/>
  <c r="AV5" i="4" a="1"/>
  <c r="BR8" i="4" a="1"/>
  <c r="BU9" i="4" a="1"/>
  <c r="AA16" i="4" a="1"/>
  <c r="DO12" i="4" a="1"/>
  <c r="AR33" i="3"/>
  <c r="EA5" i="4" a="1"/>
  <c r="ED8" i="4" a="1"/>
  <c r="CQ5" i="4" a="1"/>
  <c r="X28" i="2"/>
  <c r="BD12" i="4" a="1"/>
  <c r="DZ8" i="4" a="1"/>
  <c r="AO46" i="3"/>
  <c r="AT13" i="4" a="1"/>
  <c r="CW5" i="4" a="1"/>
  <c r="CQ8" i="4" a="1"/>
  <c r="CL13" i="4" a="1"/>
  <c r="BZ12" i="4" a="1"/>
  <c r="EB5" i="4" a="1"/>
  <c r="DP12" i="4" a="1"/>
  <c r="DZ13" i="4" a="1"/>
  <c r="BU6" i="4" a="1"/>
  <c r="DI13" i="4" a="1"/>
  <c r="D12" i="3"/>
  <c r="D19" i="3"/>
  <c r="F5" i="3"/>
  <c r="O16" i="4" a="1"/>
  <c r="M8" i="4" a="1"/>
  <c r="H11" i="2"/>
  <c r="J28" i="2"/>
  <c r="AI45" i="3"/>
  <c r="CZ7" i="4" a="1"/>
  <c r="EB13" i="4" a="1"/>
  <c r="K13" i="4" a="1"/>
  <c r="EH6" i="4" a="1"/>
  <c r="E19" i="3"/>
  <c r="G8" i="4" a="1"/>
  <c r="AG5" i="4" a="1"/>
  <c r="CA16" i="4" a="1"/>
  <c r="EB14" i="4" a="1"/>
  <c r="DW7" i="4" a="1"/>
  <c r="V46" i="3"/>
  <c r="AO6" i="4" a="1"/>
  <c r="DM11" i="4" a="1"/>
  <c r="L14" i="4" a="1"/>
  <c r="O46" i="3"/>
  <c r="F87" i="3"/>
  <c r="BD6" i="4" a="1"/>
  <c r="DE13" i="4" a="1"/>
  <c r="W12" i="4" a="1"/>
  <c r="H16" i="4" a="1"/>
  <c r="DS11" i="4" a="1"/>
  <c r="AM14" i="4" a="1"/>
  <c r="DQ7" i="4" a="1"/>
  <c r="N12" i="4" a="1"/>
  <c r="CL9" i="4" a="1"/>
  <c r="F23" i="2"/>
  <c r="AR13" i="4" a="1"/>
  <c r="D8" i="3"/>
  <c r="AV6" i="4" a="1"/>
  <c r="N15" i="4" a="1"/>
  <c r="EK9" i="4" a="1"/>
  <c r="AA7" i="4" a="1"/>
  <c r="CW16" i="4" a="1"/>
  <c r="F30" i="3"/>
  <c r="N14" i="4" a="1"/>
  <c r="AS16" i="4" a="1"/>
  <c r="DY6" i="4" a="1"/>
  <c r="EF14" i="4" a="1"/>
  <c r="BJ7" i="4" a="1"/>
  <c r="DT5" i="4" a="1"/>
  <c r="BI8" i="4" a="1"/>
  <c r="EG6" i="4" a="1"/>
  <c r="CA6" i="4" a="1"/>
  <c r="Q34" i="2"/>
  <c r="S24" i="2"/>
  <c r="ED14" i="4" a="1"/>
  <c r="R8" i="4" a="1"/>
  <c r="G45" i="3"/>
  <c r="E45" i="3"/>
  <c r="AA9" i="4" a="1"/>
  <c r="AE5" i="4" a="1"/>
  <c r="AT11" i="4" a="1"/>
  <c r="EI13" i="4" a="1"/>
  <c r="AY8" i="4" a="1"/>
  <c r="N16" i="4" a="1"/>
  <c r="CW9" i="4" a="1"/>
  <c r="D35" i="3"/>
  <c r="CY7" i="4" a="1"/>
  <c r="D28" i="3"/>
  <c r="V6" i="4" a="1"/>
  <c r="BC7" i="4" a="1"/>
  <c r="AP7" i="4" a="1"/>
  <c r="AM15" i="4" a="1"/>
  <c r="Q9" i="4" a="1"/>
  <c r="CX13" i="4" a="1"/>
  <c r="AD63" i="3"/>
  <c r="DD8" i="4" a="1"/>
  <c r="H21" i="2"/>
  <c r="Q29" i="2"/>
  <c r="DZ7" i="4" a="1"/>
  <c r="AO12" i="4" a="1"/>
  <c r="AV9" i="4" a="1"/>
  <c r="CN6" i="4" a="1"/>
  <c r="DO9" i="4" a="1"/>
  <c r="EC5" i="4" a="1"/>
  <c r="EB11" i="4" a="1"/>
  <c r="E84" i="3"/>
  <c r="P12" i="4" a="1"/>
  <c r="AR16" i="4" a="1"/>
  <c r="M15" i="4" a="1"/>
  <c r="AN12" i="4" a="1"/>
  <c r="CY13" i="4" a="1"/>
  <c r="AS11" i="4" a="1"/>
  <c r="BD16" i="4" a="1"/>
  <c r="AF13" i="4" a="1"/>
  <c r="CI11" i="4" a="1"/>
  <c r="AO5" i="4" a="1"/>
  <c r="CJ8" i="4" a="1"/>
  <c r="P13" i="4" a="1"/>
  <c r="CV7" i="4" a="1"/>
  <c r="CQ12" i="4" a="1"/>
  <c r="DZ9" i="4" a="1"/>
  <c r="BH11" i="4" a="1"/>
  <c r="EB9" i="4" a="1"/>
  <c r="DX8" i="4" a="1"/>
  <c r="DU15" i="4" a="1"/>
  <c r="Q12" i="4" a="1"/>
  <c r="H13" i="4" a="1"/>
  <c r="BC87" i="3"/>
  <c r="BC86" i="3"/>
  <c r="AU79" i="3"/>
  <c r="AV70" i="3"/>
  <c r="AV79" i="3"/>
  <c r="AT95" i="3"/>
  <c r="AT62" i="3"/>
  <c r="AT63" i="3"/>
  <c r="AX71" i="3"/>
  <c r="AX88" i="3"/>
  <c r="AX47" i="3"/>
  <c r="AW72" i="3"/>
  <c r="AW79" i="3"/>
  <c r="AW64" i="3"/>
  <c r="AD60" i="3"/>
  <c r="D59" i="3"/>
  <c r="AP12" i="4" a="1"/>
  <c r="DG7" i="4" a="1"/>
  <c r="CZ6" i="4" a="1"/>
  <c r="EF5" i="4" a="1"/>
  <c r="DX14" i="4" a="1"/>
  <c r="T14" i="4" a="1"/>
  <c r="AH46" i="3"/>
  <c r="G10" i="3"/>
  <c r="DK15" i="4" a="1"/>
  <c r="AU81" i="3"/>
  <c r="AV86" i="3"/>
  <c r="AT55" i="3"/>
  <c r="AX97" i="3"/>
  <c r="AW66" i="3"/>
  <c r="AW96" i="3"/>
  <c r="CJ6" i="4" a="1"/>
  <c r="M29" i="2"/>
  <c r="L35" i="2"/>
  <c r="CT15" i="4" a="1"/>
  <c r="AE13" i="4" a="1"/>
  <c r="AE46" i="3"/>
  <c r="Q14" i="2"/>
  <c r="I6" i="2"/>
  <c r="V12" i="4" a="1"/>
  <c r="CL15" i="4" a="1"/>
  <c r="DH15" i="4" a="1"/>
  <c r="AC8" i="4" a="1"/>
  <c r="W9" i="2"/>
  <c r="F13" i="4" a="1"/>
  <c r="BE16" i="4" a="1"/>
  <c r="BQ14" i="4" a="1"/>
  <c r="CD5" i="4" a="1"/>
  <c r="CG6" i="4" a="1"/>
  <c r="DC14" i="4" a="1"/>
  <c r="D45" i="3"/>
  <c r="AM45" i="3"/>
  <c r="AP5" i="4" a="1"/>
  <c r="DC16" i="4" a="1"/>
  <c r="BL13" i="4" a="1"/>
  <c r="BV8" i="4" a="1"/>
  <c r="AA13" i="4" a="1"/>
  <c r="AA11" i="4" a="1"/>
  <c r="BD9" i="4" a="1"/>
  <c r="BX9" i="4" a="1"/>
  <c r="R10" i="2"/>
  <c r="DF6" i="4" a="1"/>
  <c r="BV13" i="4" a="1"/>
  <c r="CV6" i="4" a="1"/>
  <c r="AX11" i="4" a="1"/>
  <c r="J14" i="4" a="1"/>
  <c r="D22" i="3"/>
  <c r="D9" i="3"/>
  <c r="AJ16" i="4" a="1"/>
  <c r="BB15" i="4" a="1"/>
  <c r="BP9" i="4" a="1"/>
  <c r="AK16" i="4" a="1"/>
  <c r="AF12" i="4" a="1"/>
  <c r="DA16" i="4" a="1"/>
  <c r="CH8" i="4" a="1"/>
  <c r="S13" i="4" a="1"/>
  <c r="CZ13" i="4" a="1"/>
  <c r="Q16" i="4" a="1"/>
  <c r="DT15" i="4" a="1"/>
  <c r="AT16" i="4" a="1"/>
  <c r="BX16" i="4" a="1"/>
  <c r="W74" i="2"/>
  <c r="M6" i="4" a="1"/>
  <c r="F28" i="3"/>
  <c r="AQ5" i="4" a="1"/>
  <c r="G23" i="3"/>
  <c r="AB7" i="4" a="1"/>
  <c r="M11" i="2"/>
  <c r="C26" i="2"/>
  <c r="BR14" i="4" a="1"/>
  <c r="AO9" i="4" a="1"/>
  <c r="EB6" i="4" a="1"/>
  <c r="AP16" i="4" a="1"/>
  <c r="ED11" i="4" a="1"/>
  <c r="E15" i="3"/>
  <c r="EB16" i="4" a="1"/>
  <c r="F24" i="3"/>
  <c r="AD7" i="3"/>
  <c r="N46" i="3"/>
  <c r="AG16" i="4" a="1"/>
  <c r="EH14" i="4" a="1"/>
  <c r="BH13" i="4" a="1"/>
  <c r="G8" i="3"/>
  <c r="DV8" i="4" a="1"/>
  <c r="CH11" i="4" a="1"/>
  <c r="V45" i="3"/>
  <c r="BP12" i="4" a="1"/>
  <c r="AD54" i="3"/>
  <c r="BC95" i="3"/>
  <c r="BC64" i="3"/>
  <c r="AV68" i="3"/>
  <c r="AT89" i="3"/>
  <c r="AT61" i="3"/>
  <c r="AX58" i="3"/>
  <c r="AX84" i="3"/>
  <c r="AW65" i="3"/>
  <c r="F77" i="3"/>
  <c r="BZ14" i="4" a="1"/>
  <c r="AW7" i="4" a="1"/>
  <c r="BB8" i="4" a="1"/>
  <c r="G5" i="4" a="1"/>
  <c r="AP45" i="3"/>
  <c r="DE16" i="4" a="1"/>
  <c r="CE13" i="4" a="1"/>
  <c r="AD16" i="4" a="1"/>
  <c r="EG15" i="4" a="1"/>
  <c r="AG8" i="4" a="1"/>
  <c r="M12" i="4" a="1"/>
  <c r="EK6" i="4" a="1"/>
  <c r="E35" i="3"/>
  <c r="U15" i="4" a="1"/>
  <c r="F86" i="3"/>
  <c r="L28" i="2"/>
  <c r="D7" i="2"/>
  <c r="D13" i="3"/>
  <c r="AL9" i="4" a="1"/>
  <c r="CG16" i="4" a="1"/>
  <c r="F12" i="3"/>
  <c r="S45" i="3"/>
  <c r="Q26" i="2"/>
  <c r="DH6" i="4" a="1"/>
  <c r="DB13" i="4" a="1"/>
  <c r="CF12" i="4" a="1"/>
  <c r="BN12" i="4" a="1"/>
  <c r="DJ11" i="4" a="1"/>
  <c r="EI15" i="4" a="1"/>
  <c r="AP14" i="4" a="1"/>
  <c r="BX15" i="4" a="1"/>
  <c r="EK14" i="4" a="1"/>
  <c r="DJ13" i="4" a="1"/>
  <c r="BT11" i="4" a="1"/>
  <c r="CP16" i="4" a="1"/>
  <c r="AZ12" i="4" a="1"/>
  <c r="BX14" i="4" a="1"/>
  <c r="AR23" i="3"/>
  <c r="N11" i="2"/>
  <c r="AR27" i="3"/>
  <c r="Y16" i="4" a="1"/>
  <c r="E16" i="4" a="1"/>
  <c r="AG13" i="4" a="1"/>
  <c r="W7" i="4" a="1"/>
  <c r="EF8" i="4" a="1"/>
  <c r="AR30" i="3"/>
  <c r="G60" i="3"/>
  <c r="BF13" i="4" a="1"/>
  <c r="CQ11" i="4" a="1"/>
  <c r="CD9" i="4" a="1"/>
  <c r="EF12" i="4" a="1"/>
  <c r="AP46" i="3"/>
  <c r="DE5" i="4" a="1"/>
  <c r="AR31" i="3"/>
  <c r="EE5" i="4" a="1"/>
  <c r="E12" i="3"/>
  <c r="EB15" i="4" a="1"/>
  <c r="CJ15" i="4" a="1"/>
  <c r="CC14" i="4" a="1"/>
  <c r="AD9" i="3"/>
  <c r="E12" i="4" a="1"/>
  <c r="U8" i="4" a="1"/>
  <c r="DD11" i="4" a="1"/>
  <c r="BV15" i="4" a="1"/>
  <c r="AD81" i="3"/>
  <c r="Q7" i="2"/>
  <c r="CR6" i="4" a="1"/>
  <c r="BM8" i="4" a="1"/>
  <c r="M12" i="2"/>
  <c r="AR6" i="4" a="1"/>
  <c r="AM7" i="4" a="1"/>
  <c r="E7" i="3"/>
  <c r="H11" i="4" a="1"/>
  <c r="CM5" i="4" a="1"/>
  <c r="BV16" i="4" a="1"/>
  <c r="G86" i="3"/>
  <c r="DC11" i="4" a="1"/>
  <c r="CL8" i="4" a="1"/>
  <c r="G6" i="3"/>
  <c r="AB8" i="4" a="1"/>
  <c r="BQ6" i="4" a="1"/>
  <c r="BE13" i="4" a="1"/>
  <c r="DV9" i="4" a="1"/>
  <c r="EH7" i="4" a="1"/>
  <c r="CN12" i="4" a="1"/>
  <c r="Y46" i="3"/>
  <c r="BU5" i="4" a="1"/>
  <c r="AN16" i="4" a="1"/>
  <c r="CY6" i="4" a="1"/>
  <c r="M32" i="2"/>
  <c r="J7" i="4" a="1"/>
  <c r="BM11" i="4" a="1"/>
  <c r="AZ11" i="4" a="1"/>
  <c r="BS8" i="4" a="1"/>
  <c r="AH13" i="4" a="1"/>
  <c r="N8" i="4" a="1"/>
  <c r="BA57" i="3"/>
  <c r="J9" i="2"/>
  <c r="BT8" i="4" a="1"/>
  <c r="E76" i="3"/>
  <c r="BC16" i="4" a="1"/>
  <c r="DC7" i="4" a="1"/>
  <c r="BK15" i="4" a="1"/>
  <c r="D24" i="3"/>
  <c r="CU5" i="4" a="1"/>
  <c r="DV13" i="4" a="1"/>
  <c r="G20" i="3"/>
  <c r="BN8" i="4" a="1"/>
  <c r="CR7" i="4" a="1"/>
  <c r="DB15" i="4" a="1"/>
  <c r="CK5" i="4" a="1"/>
  <c r="I6" i="4" a="1"/>
  <c r="DR15" i="4" a="1"/>
  <c r="BA54" i="3"/>
  <c r="BC97" i="3"/>
  <c r="AV92" i="3"/>
  <c r="AT90" i="3"/>
  <c r="AX65" i="3"/>
  <c r="AX49" i="3"/>
  <c r="AW94" i="3"/>
  <c r="DX9" i="4" a="1"/>
  <c r="AV93" i="3"/>
  <c r="AT81" i="3"/>
  <c r="AX81" i="3"/>
  <c r="G13" i="3"/>
  <c r="AT80" i="3"/>
  <c r="AX77" i="3"/>
  <c r="BW11" i="4" a="1"/>
  <c r="AV80" i="3"/>
  <c r="AW56" i="3"/>
  <c r="EA12" i="4" a="1"/>
  <c r="DS9" i="4" a="1"/>
  <c r="DP5" i="4" a="1"/>
  <c r="AR8" i="4" a="1"/>
  <c r="AV73" i="3"/>
  <c r="AW71" i="3"/>
  <c r="R19" i="2"/>
  <c r="DN6" i="4" a="1"/>
  <c r="CK16" i="4" a="1"/>
  <c r="S6" i="4" a="1"/>
  <c r="AD5" i="4" a="1"/>
  <c r="CO16" i="4" a="1"/>
  <c r="CU8" i="4" a="1"/>
  <c r="CI9" i="4" a="1"/>
  <c r="DG6" i="4" a="1"/>
  <c r="Y12" i="4" a="1"/>
  <c r="CC16" i="4" a="1"/>
  <c r="BB11" i="4" a="1"/>
  <c r="D39" i="3"/>
  <c r="G22" i="3"/>
  <c r="AD46" i="3"/>
  <c r="AH45" i="3"/>
  <c r="BC85" i="3"/>
  <c r="AV75" i="3"/>
  <c r="AT60" i="3"/>
  <c r="AX70" i="3"/>
  <c r="AW88" i="3"/>
  <c r="AW57" i="3"/>
  <c r="BG7" i="4" a="1"/>
  <c r="BR9" i="4" a="1"/>
  <c r="Q46" i="3"/>
  <c r="BS16" i="4" a="1"/>
  <c r="O5" i="4" a="1"/>
  <c r="BC78" i="3"/>
  <c r="AW67" i="3"/>
  <c r="AW76" i="3"/>
  <c r="EJ9" i="4" a="1"/>
  <c r="BP14" i="4" a="1"/>
  <c r="U24" i="2"/>
  <c r="BL6" i="4" a="1"/>
  <c r="CD16" i="4" a="1"/>
  <c r="CX8" i="4" a="1"/>
  <c r="ED13" i="4" a="1"/>
  <c r="J9" i="4" a="1"/>
  <c r="DB5" i="4" a="1"/>
  <c r="E78" i="3"/>
  <c r="CC15" i="4" a="1"/>
  <c r="DV14" i="4" a="1"/>
  <c r="BV9" i="4" a="1"/>
  <c r="AT94" i="3"/>
  <c r="CF6" i="4" a="1"/>
  <c r="CI5" i="4" a="1"/>
  <c r="AD12" i="3"/>
  <c r="BT15" i="4" a="1"/>
  <c r="DA6" i="4" a="1"/>
  <c r="AK45" i="3"/>
  <c r="CG13" i="4" a="1"/>
  <c r="M9" i="2"/>
  <c r="R45" i="3"/>
  <c r="DF9" i="4" a="1"/>
  <c r="CT9" i="4" a="1"/>
  <c r="BA6" i="4" a="1"/>
  <c r="AR28" i="3"/>
  <c r="G13" i="4" a="1"/>
  <c r="D25" i="3"/>
  <c r="G9" i="3"/>
  <c r="DW16" i="4" a="1"/>
  <c r="BA8" i="4" a="1"/>
  <c r="BC88" i="3"/>
  <c r="AV94" i="3"/>
  <c r="AT72" i="3"/>
  <c r="AX68" i="3"/>
  <c r="AW48" i="3"/>
  <c r="AW97" i="3"/>
  <c r="CN15" i="4" a="1"/>
  <c r="DI7" i="4" a="1"/>
  <c r="AW60" i="3"/>
  <c r="BR11" i="4" a="1"/>
  <c r="AO15" i="4" a="1"/>
  <c r="AZ8" i="4" a="1"/>
  <c r="AQ7" i="4" a="1"/>
  <c r="EG5" i="4" a="1"/>
  <c r="BQ8" i="4" a="1"/>
  <c r="S8" i="2"/>
  <c r="CQ13" i="4" a="1"/>
  <c r="AF11" i="4" a="1"/>
  <c r="AJ12" i="4" a="1"/>
  <c r="BV12" i="4" a="1"/>
  <c r="EC7" i="4" a="1"/>
  <c r="F9" i="4" a="1"/>
  <c r="EA16" i="4" a="1"/>
  <c r="I15" i="4" a="1"/>
  <c r="EA15" i="4" a="1"/>
  <c r="BC66" i="3"/>
  <c r="AU72" i="3"/>
  <c r="AV76" i="3"/>
  <c r="AT76" i="3"/>
  <c r="AX79" i="3"/>
  <c r="AW69" i="3"/>
  <c r="AU12" i="4" a="1"/>
  <c r="BQ13" i="4" a="1"/>
  <c r="DW13" i="4" a="1"/>
  <c r="AU54" i="3"/>
  <c r="AT59" i="3"/>
  <c r="AX95" i="3"/>
  <c r="DH13" i="4" a="1"/>
  <c r="AU74" i="3"/>
  <c r="AT66" i="3"/>
  <c r="M9" i="4" a="1"/>
  <c r="K8" i="4" a="1"/>
  <c r="AE45" i="3"/>
  <c r="AT68" i="3"/>
  <c r="E24" i="3"/>
  <c r="X14" i="4" a="1"/>
  <c r="DZ12" i="4" a="1"/>
  <c r="CF7" i="4" a="1"/>
  <c r="CH12" i="4" a="1"/>
  <c r="DA13" i="4" a="1"/>
  <c r="AD6" i="4" a="1"/>
  <c r="BB6" i="4" a="1"/>
  <c r="W28" i="2"/>
  <c r="CX5" i="4" a="1"/>
  <c r="DL12" i="4" a="1"/>
  <c r="E90" i="3"/>
  <c r="CO15" i="4" a="1"/>
  <c r="D9" i="4" a="1"/>
  <c r="BC65" i="3"/>
  <c r="AV95" i="3"/>
  <c r="AW80" i="3"/>
  <c r="K45" i="3"/>
  <c r="BJ16" i="4" a="1"/>
  <c r="T5" i="4" a="1"/>
  <c r="CB16" i="4" a="1"/>
  <c r="AN14" i="4" a="1"/>
  <c r="BC62" i="3"/>
  <c r="AX67" i="3"/>
  <c r="AW68" i="3"/>
  <c r="AW82" i="3"/>
  <c r="CR16" i="4" a="1"/>
  <c r="BC69" i="3"/>
  <c r="ED5" i="4" a="1"/>
  <c r="U33" i="2"/>
  <c r="F33" i="2"/>
  <c r="Y7" i="4" a="1"/>
  <c r="M26" i="2"/>
  <c r="AT84" i="3"/>
  <c r="CQ6" i="4" a="1"/>
  <c r="BJ8" i="4" a="1"/>
  <c r="AS6" i="4" a="1"/>
  <c r="BA12" i="4" a="1"/>
  <c r="BB12" i="4" a="1"/>
  <c r="EE6" i="4" a="1"/>
  <c r="DJ12" i="4" a="1"/>
  <c r="DQ6" i="4" a="1"/>
  <c r="AI5" i="4" a="1"/>
  <c r="AV58" i="3"/>
  <c r="BH6" i="4" a="1"/>
  <c r="Z12" i="4" a="1"/>
  <c r="EI7" i="4" a="1"/>
  <c r="AR8" i="3"/>
  <c r="AR17" i="3"/>
  <c r="F26" i="3"/>
  <c r="EJ13" i="4" a="1"/>
  <c r="AR14" i="4" a="1"/>
  <c r="EK7" i="4" a="1"/>
  <c r="E46" i="3"/>
  <c r="BH9" i="4" a="1"/>
  <c r="G14" i="3"/>
  <c r="D42" i="3"/>
  <c r="D5" i="4" a="1"/>
  <c r="D30" i="3"/>
  <c r="BC59" i="3"/>
  <c r="AU94" i="3"/>
  <c r="AV57" i="3"/>
  <c r="AT58" i="3"/>
  <c r="AX63" i="3"/>
  <c r="CV15" i="4" a="1"/>
  <c r="BA85" i="3"/>
  <c r="AJ13" i="4" a="1"/>
  <c r="BC93" i="3"/>
  <c r="CJ12" i="4" a="1"/>
  <c r="CB11" i="4" a="1"/>
  <c r="BC54" i="3"/>
  <c r="E30" i="3"/>
  <c r="AN46" i="3"/>
  <c r="DN14" i="4" a="1"/>
  <c r="BZ11" i="4" a="1"/>
  <c r="D20" i="3"/>
  <c r="DP13" i="4" a="1"/>
  <c r="CM8" i="4" a="1"/>
  <c r="G31" i="3"/>
  <c r="O9" i="4" a="1"/>
  <c r="G74" i="3"/>
  <c r="DJ8" i="4" a="1"/>
  <c r="CC7" i="4" a="1"/>
  <c r="U13" i="4" a="1"/>
  <c r="AQ16" i="4" a="1"/>
  <c r="J5" i="4" a="1"/>
  <c r="EH13" i="4" a="1"/>
  <c r="BC71" i="3"/>
  <c r="C81" i="3"/>
  <c r="AT65" i="3"/>
  <c r="AT92" i="3"/>
  <c r="AX83" i="3"/>
  <c r="AW84" i="3"/>
  <c r="F84" i="3"/>
  <c r="DN8" i="4" a="1"/>
  <c r="BL15" i="4" a="1"/>
  <c r="CS11" i="4" a="1"/>
  <c r="CX7" i="4" a="1"/>
  <c r="AR21" i="3"/>
  <c r="EG13" i="4" a="1"/>
  <c r="AV7" i="4" a="1"/>
  <c r="AV85" i="3"/>
  <c r="ED15" i="4" a="1"/>
  <c r="BA79" i="3"/>
  <c r="AT96" i="3"/>
  <c r="BL7" i="4" a="1"/>
  <c r="AX78" i="3"/>
  <c r="AD12" i="4" a="1"/>
  <c r="BP8" i="4" a="1"/>
  <c r="AQ6" i="4" a="1"/>
  <c r="BE15" i="4" a="1"/>
  <c r="P18" i="2"/>
  <c r="CL12" i="4" a="1"/>
  <c r="DV11" i="4" a="1"/>
  <c r="AL14" i="4" a="1"/>
  <c r="DM8" i="4" a="1"/>
  <c r="S8" i="4" a="1"/>
  <c r="CM9" i="4" a="1"/>
  <c r="AF6" i="4" a="1"/>
  <c r="AX96" i="3"/>
  <c r="K9" i="4" a="1"/>
  <c r="BR7" i="4" a="1"/>
  <c r="BA82" i="3"/>
  <c r="AT70" i="3"/>
  <c r="BB49" i="3"/>
  <c r="AF57" i="3"/>
  <c r="AF78" i="3"/>
  <c r="AF71" i="3"/>
  <c r="C62" i="3"/>
  <c r="AV55" i="3"/>
  <c r="AS61" i="3"/>
  <c r="AS79" i="3"/>
  <c r="AS69" i="3"/>
  <c r="E94" i="3"/>
  <c r="F54" i="3"/>
  <c r="BA70" i="3"/>
  <c r="E64" i="3"/>
  <c r="BB68" i="3"/>
  <c r="AU63" i="3"/>
  <c r="AF84" i="3"/>
  <c r="C97" i="3"/>
  <c r="AV56" i="3"/>
  <c r="AZ67" i="3"/>
  <c r="AZ89" i="3"/>
  <c r="AZ96" i="3"/>
  <c r="F79" i="3"/>
  <c r="BB64" i="3"/>
  <c r="AF54" i="3"/>
  <c r="AF81" i="3"/>
  <c r="C86" i="3"/>
  <c r="C80" i="3"/>
  <c r="AV89" i="3"/>
  <c r="AS73" i="3"/>
  <c r="AS91" i="3"/>
  <c r="AW81" i="3"/>
  <c r="E68" i="3"/>
  <c r="F60" i="3"/>
  <c r="BA83" i="3"/>
  <c r="G94" i="3"/>
  <c r="BB73" i="3"/>
  <c r="AU77" i="3"/>
  <c r="C70" i="3"/>
  <c r="C77" i="3"/>
  <c r="AV87" i="3"/>
  <c r="AZ88" i="3"/>
  <c r="AZ50" i="3"/>
  <c r="AZ80" i="3"/>
  <c r="BA86" i="3"/>
  <c r="AY78" i="3"/>
  <c r="AU55" i="3"/>
  <c r="AV66" i="3"/>
  <c r="AS87" i="3"/>
  <c r="AZ90" i="3"/>
  <c r="AX56" i="3"/>
  <c r="AW59" i="3"/>
  <c r="BC75" i="3"/>
  <c r="AF74" i="3"/>
  <c r="AF56" i="3"/>
  <c r="C93" i="3"/>
  <c r="C64" i="3"/>
  <c r="AS59" i="3"/>
  <c r="AS50" i="3"/>
  <c r="AS55" i="3"/>
  <c r="AW49" i="3"/>
  <c r="E83" i="3"/>
  <c r="BA56" i="3"/>
  <c r="G80" i="3"/>
  <c r="BB85" i="3"/>
  <c r="AF85" i="3"/>
  <c r="C67" i="3"/>
  <c r="C63" i="3"/>
  <c r="AV71" i="3"/>
  <c r="AZ81" i="3"/>
  <c r="AZ82" i="3"/>
  <c r="AZ83" i="3"/>
  <c r="BA73" i="3"/>
  <c r="AY71" i="3"/>
  <c r="AU75" i="3"/>
  <c r="AV61" i="3"/>
  <c r="AS48" i="3"/>
  <c r="AZ55" i="3"/>
  <c r="AX80" i="3"/>
  <c r="AW61" i="3"/>
  <c r="AD91" i="3"/>
  <c r="F70" i="3"/>
  <c r="BC89" i="3"/>
  <c r="AU56" i="3"/>
  <c r="AF94" i="3"/>
  <c r="AF48" i="3"/>
  <c r="C85" i="3"/>
  <c r="C74" i="3"/>
  <c r="AS97" i="3"/>
  <c r="AS96" i="3"/>
  <c r="AS54" i="3"/>
  <c r="E70" i="3"/>
  <c r="E63" i="3"/>
  <c r="F55" i="3"/>
  <c r="BA92" i="3"/>
  <c r="AU61" i="3"/>
  <c r="BB67" i="3"/>
  <c r="AF70" i="3"/>
  <c r="C55" i="3"/>
  <c r="C54" i="3"/>
  <c r="AT74" i="3"/>
  <c r="AZ64" i="3"/>
  <c r="AZ66" i="3"/>
  <c r="AZ70" i="3"/>
  <c r="BA62" i="3"/>
  <c r="AY73" i="3"/>
  <c r="AU69" i="3"/>
  <c r="AV81" i="3"/>
  <c r="AS88" i="3"/>
  <c r="AZ79" i="3"/>
  <c r="AX69" i="3"/>
  <c r="AW55" i="3"/>
  <c r="BC61" i="3"/>
  <c r="AU93" i="3"/>
  <c r="AF61" i="3"/>
  <c r="AF90" i="3"/>
  <c r="C57" i="3"/>
  <c r="C95" i="3"/>
  <c r="AS84" i="3"/>
  <c r="AS81" i="3"/>
  <c r="AS72" i="3"/>
  <c r="E97" i="3"/>
  <c r="E87" i="3"/>
  <c r="F76" i="3"/>
  <c r="BA72" i="3"/>
  <c r="AU58" i="3"/>
  <c r="G93" i="3"/>
  <c r="G83" i="3"/>
  <c r="BA75" i="3"/>
  <c r="AU96" i="3"/>
  <c r="AF79" i="3"/>
  <c r="C89" i="3"/>
  <c r="C66" i="3"/>
  <c r="AT97" i="3"/>
  <c r="AZ86" i="3"/>
  <c r="AZ87" i="3"/>
  <c r="AZ54" i="3"/>
  <c r="AY56" i="3"/>
  <c r="AU49" i="3"/>
  <c r="AT73" i="3"/>
  <c r="AZ73" i="3"/>
  <c r="AZ61" i="3"/>
  <c r="AX91" i="3"/>
  <c r="E57" i="3"/>
  <c r="AU88" i="3"/>
  <c r="AF58" i="3"/>
  <c r="AF60" i="3"/>
  <c r="C72" i="3"/>
  <c r="C96" i="3"/>
  <c r="AS95" i="3"/>
  <c r="AS49" i="3"/>
  <c r="AS92" i="3"/>
  <c r="E88" i="3"/>
  <c r="E66" i="3"/>
  <c r="F56" i="3"/>
  <c r="AF76" i="3"/>
  <c r="AD55" i="3"/>
  <c r="AU64" i="3"/>
  <c r="AF96" i="3"/>
  <c r="C59" i="3"/>
  <c r="C88" i="3"/>
  <c r="AS82" i="3"/>
  <c r="AZ92" i="3"/>
  <c r="AZ47" i="3"/>
  <c r="AZ74" i="3"/>
  <c r="AU85" i="3"/>
  <c r="AT77" i="3"/>
  <c r="AZ59" i="3"/>
  <c r="AZ77" i="3"/>
  <c r="AX92" i="3"/>
  <c r="E61" i="3"/>
  <c r="AU67" i="3"/>
  <c r="AF91" i="3"/>
  <c r="AF50" i="3"/>
  <c r="C61" i="3"/>
  <c r="AU59" i="3"/>
  <c r="AF93" i="3"/>
  <c r="AF72" i="3"/>
  <c r="C78" i="3"/>
  <c r="AV78" i="3"/>
  <c r="AS62" i="3"/>
  <c r="AS64" i="3"/>
  <c r="AS58" i="3"/>
  <c r="E58" i="3"/>
  <c r="E54" i="3"/>
  <c r="AF88" i="3"/>
  <c r="AU47" i="3"/>
  <c r="AF62" i="3"/>
  <c r="C83" i="3"/>
  <c r="C91" i="3"/>
  <c r="AS47" i="3"/>
  <c r="AZ72" i="3"/>
  <c r="AZ94" i="3"/>
  <c r="BA61" i="3"/>
  <c r="AU76" i="3"/>
  <c r="AS57" i="3"/>
  <c r="AZ57" i="3"/>
  <c r="AX64" i="3"/>
  <c r="AX94" i="3"/>
  <c r="F74" i="3"/>
  <c r="AU95" i="3"/>
  <c r="AF67" i="3"/>
  <c r="AF55" i="3"/>
  <c r="C75" i="3"/>
  <c r="AV96" i="3"/>
  <c r="AS83" i="3"/>
  <c r="AS66" i="3"/>
  <c r="AS56" i="3"/>
  <c r="E74" i="3"/>
  <c r="E96" i="3"/>
  <c r="BC49" i="3"/>
  <c r="AF77" i="3"/>
  <c r="G67" i="3"/>
  <c r="AU82" i="3"/>
  <c r="AF47" i="3"/>
  <c r="C84" i="3"/>
  <c r="AV72" i="3"/>
  <c r="AZ69" i="3"/>
  <c r="AZ85" i="3"/>
  <c r="AZ95" i="3"/>
  <c r="AY61" i="3"/>
  <c r="AU73" i="3"/>
  <c r="AS68" i="3"/>
  <c r="AZ97" i="3"/>
  <c r="AX57" i="3"/>
  <c r="AX72" i="3"/>
  <c r="G73" i="3"/>
  <c r="AD80" i="3"/>
  <c r="AF80" i="3"/>
  <c r="AF97" i="3"/>
  <c r="AF86" i="3"/>
  <c r="C79" i="3"/>
  <c r="AV91" i="3"/>
  <c r="AS78" i="3"/>
  <c r="AS65" i="3"/>
  <c r="AS80" i="3"/>
  <c r="E86" i="3"/>
  <c r="F48" i="3"/>
  <c r="BC58" i="3"/>
  <c r="AF59" i="3"/>
  <c r="BB50" i="3"/>
  <c r="AU48" i="3"/>
  <c r="AF49" i="3"/>
  <c r="C71" i="3"/>
  <c r="AV63" i="3"/>
  <c r="AZ56" i="3"/>
  <c r="AZ84" i="3"/>
  <c r="AZ58" i="3"/>
  <c r="AU70" i="3"/>
  <c r="AS93" i="3"/>
  <c r="AZ91" i="3"/>
  <c r="AX85" i="3"/>
  <c r="AW87" i="3"/>
  <c r="G75" i="3"/>
  <c r="AV65" i="3"/>
  <c r="E62" i="3"/>
  <c r="C50" i="3"/>
  <c r="AZ78" i="3"/>
  <c r="AU65" i="3"/>
  <c r="AX87" i="3"/>
  <c r="AS94" i="3"/>
  <c r="E55" i="3"/>
  <c r="BA77" i="3"/>
  <c r="BB47" i="3"/>
  <c r="C90" i="3"/>
  <c r="AZ75" i="3"/>
  <c r="AF82" i="3"/>
  <c r="AX48" i="3"/>
  <c r="AF87" i="3"/>
  <c r="AS89" i="3"/>
  <c r="BB83" i="3"/>
  <c r="C69" i="3"/>
  <c r="AZ60" i="3"/>
  <c r="AF69" i="3"/>
  <c r="AX75" i="3"/>
  <c r="AF64" i="3"/>
  <c r="AS77" i="3"/>
  <c r="BA74" i="3"/>
  <c r="C60" i="3"/>
  <c r="BA80" i="3"/>
  <c r="AS71" i="3"/>
  <c r="AX86" i="3"/>
  <c r="AF75" i="3"/>
  <c r="AS63" i="3"/>
  <c r="AV77" i="3"/>
  <c r="F59" i="3"/>
  <c r="AY83" i="3"/>
  <c r="AS90" i="3"/>
  <c r="AW63" i="3"/>
  <c r="F68" i="3"/>
  <c r="AF68" i="3"/>
  <c r="AS76" i="3"/>
  <c r="AV88" i="3"/>
  <c r="AW54" i="3"/>
  <c r="F92" i="3"/>
  <c r="AF95" i="3"/>
  <c r="AS70" i="3"/>
  <c r="AF65" i="3"/>
  <c r="AU62" i="3"/>
  <c r="AS67" i="3"/>
  <c r="AY63" i="3"/>
  <c r="AW58" i="3"/>
  <c r="C94" i="3"/>
  <c r="AV83" i="3"/>
  <c r="E69" i="3"/>
  <c r="G57" i="3"/>
  <c r="AF73" i="3"/>
  <c r="AZ63" i="3"/>
  <c r="AU91" i="3"/>
  <c r="AX82" i="3"/>
  <c r="AF63" i="3"/>
  <c r="E95" i="3"/>
  <c r="AU60" i="3"/>
  <c r="C58" i="3"/>
  <c r="E59" i="3"/>
  <c r="AZ93" i="3"/>
  <c r="AV74" i="3"/>
  <c r="AZ49" i="3"/>
  <c r="AS74" i="3"/>
  <c r="AZ71" i="3"/>
  <c r="AU87" i="3"/>
  <c r="E75" i="3"/>
  <c r="AF83" i="3"/>
  <c r="AZ68" i="3"/>
  <c r="AZ48" i="3"/>
  <c r="G90" i="3"/>
  <c r="AF92" i="3"/>
  <c r="AZ65" i="3"/>
  <c r="AZ76" i="3"/>
  <c r="AZ62" i="3"/>
  <c r="BC83" i="3"/>
  <c r="AA113" i="2"/>
  <c r="AU68" i="3"/>
  <c r="BB90" i="3"/>
  <c r="BB81" i="3"/>
  <c r="BB63" i="3"/>
  <c r="BB91" i="3"/>
  <c r="BB77" i="3"/>
  <c r="AY94" i="3"/>
  <c r="AY65" i="3"/>
  <c r="AY66" i="3"/>
  <c r="AY97" i="3"/>
  <c r="BC63" i="3"/>
  <c r="BC68" i="3"/>
  <c r="BC50" i="3"/>
  <c r="BC72" i="3"/>
  <c r="BC47" i="3"/>
  <c r="BC55" i="3"/>
  <c r="BC90" i="3"/>
  <c r="BC57" i="3"/>
  <c r="BC79" i="3"/>
  <c r="BC76" i="3"/>
  <c r="AU92" i="3"/>
  <c r="AU50" i="3"/>
  <c r="AU57" i="3"/>
  <c r="AT69" i="3"/>
  <c r="AT86" i="3"/>
  <c r="AT48" i="3"/>
  <c r="AT93" i="3"/>
  <c r="G55" i="3"/>
  <c r="G82" i="3"/>
  <c r="G77" i="3"/>
  <c r="AD76" i="3" l="1"/>
  <c r="G96" i="3"/>
  <c r="D66" i="3"/>
  <c r="G76" i="3"/>
  <c r="G79" i="3"/>
  <c r="G68" i="3"/>
  <c r="G92" i="3"/>
  <c r="G88" i="3"/>
  <c r="G97" i="3"/>
  <c r="G56" i="3"/>
  <c r="G72" i="3"/>
  <c r="D56" i="3"/>
  <c r="D75" i="3"/>
  <c r="D74" i="3"/>
  <c r="D97" i="3"/>
  <c r="D94" i="3"/>
  <c r="D60" i="3"/>
  <c r="D88" i="3"/>
  <c r="D69" i="3"/>
  <c r="D62" i="3"/>
  <c r="D80" i="3"/>
  <c r="D55" i="3"/>
  <c r="D54" i="3"/>
  <c r="BA95" i="3"/>
  <c r="BA96" i="3"/>
  <c r="AY77" i="3"/>
  <c r="BA89" i="3"/>
  <c r="BA90" i="3"/>
  <c r="BA97" i="3"/>
  <c r="BA58" i="3"/>
  <c r="BA65" i="3"/>
  <c r="BA48" i="3"/>
  <c r="BA81" i="3"/>
  <c r="BA50" i="3"/>
  <c r="AY85" i="3"/>
  <c r="AY70" i="3"/>
  <c r="AY59" i="3"/>
  <c r="AY57" i="3"/>
  <c r="BA93" i="3"/>
  <c r="BA94" i="3"/>
  <c r="BA60" i="3"/>
  <c r="BA88" i="3"/>
  <c r="BA71" i="3"/>
  <c r="BA47" i="3"/>
  <c r="BA55" i="3"/>
  <c r="BA87" i="3"/>
  <c r="BA68" i="3"/>
  <c r="BA84" i="3"/>
  <c r="BA66" i="3"/>
  <c r="AY48" i="3"/>
  <c r="AY47" i="3"/>
  <c r="AY88" i="3"/>
  <c r="AY62" i="3"/>
  <c r="BA64" i="3"/>
  <c r="AY74" i="3"/>
  <c r="AY89" i="3"/>
  <c r="AY50" i="3"/>
  <c r="AY80" i="3"/>
  <c r="Y111" i="2"/>
  <c r="Y112" i="2"/>
  <c r="Y113" i="2"/>
  <c r="AU78" i="3"/>
  <c r="AV47" i="3"/>
  <c r="G91" i="3"/>
  <c r="AD75" i="3"/>
  <c r="D82" i="3"/>
  <c r="F57" i="3"/>
  <c r="G95" i="3"/>
  <c r="AM164" i="1" s="1"/>
  <c r="AN164" i="1" s="1"/>
  <c r="G58" i="3"/>
  <c r="AM119" i="1" s="1"/>
  <c r="G85" i="3"/>
  <c r="AM147" i="1" s="1"/>
  <c r="AN147" i="1" s="1"/>
  <c r="G87" i="3"/>
  <c r="AM152" i="1" s="1"/>
  <c r="AN152" i="1" s="1"/>
  <c r="G54" i="3"/>
  <c r="G71" i="3"/>
  <c r="G59" i="3"/>
  <c r="G66" i="3"/>
  <c r="AM151" i="1" s="1"/>
  <c r="AN151" i="1" s="1"/>
  <c r="G65" i="3"/>
  <c r="AM150" i="1" s="1"/>
  <c r="AN150" i="1" s="1"/>
  <c r="G84" i="3"/>
  <c r="AM146" i="1" s="1"/>
  <c r="AN146" i="1" s="1"/>
  <c r="G81" i="3"/>
  <c r="AM144" i="1" s="1"/>
  <c r="G78" i="3"/>
  <c r="AM142" i="1" s="1"/>
  <c r="AN142" i="1" s="1"/>
  <c r="G69" i="3"/>
  <c r="G61" i="3"/>
  <c r="G70" i="3"/>
  <c r="AM133" i="1" s="1"/>
  <c r="G89" i="3"/>
  <c r="AM153" i="1" s="1"/>
  <c r="AM183" i="1" s="1"/>
  <c r="AN183" i="1" s="1"/>
  <c r="AD58" i="3"/>
  <c r="AD93" i="3"/>
  <c r="AD77" i="3"/>
  <c r="AD74" i="3"/>
  <c r="AD57" i="3"/>
  <c r="AD87" i="3"/>
  <c r="AD82" i="3"/>
  <c r="AD61" i="3"/>
  <c r="AD65" i="3"/>
  <c r="AD89" i="3"/>
  <c r="AD90" i="3"/>
  <c r="AD79" i="3"/>
  <c r="AD84" i="3"/>
  <c r="AD69" i="3"/>
  <c r="AD71" i="3"/>
  <c r="AD85" i="3"/>
  <c r="AD97" i="3"/>
  <c r="AD96" i="3"/>
  <c r="AD62" i="3"/>
  <c r="AD94" i="3"/>
  <c r="AD66" i="3"/>
  <c r="AD67" i="3"/>
  <c r="AD86" i="3"/>
  <c r="AD88" i="3"/>
  <c r="AD95" i="3"/>
  <c r="AD72" i="3"/>
  <c r="D92" i="3"/>
  <c r="D58" i="3"/>
  <c r="D84" i="3"/>
  <c r="D89" i="3"/>
  <c r="D87" i="3"/>
  <c r="D73" i="3"/>
  <c r="D85" i="3"/>
  <c r="D90" i="3"/>
  <c r="D96" i="3"/>
  <c r="D91" i="3"/>
  <c r="D93" i="3"/>
  <c r="D81" i="3"/>
  <c r="D76" i="3"/>
  <c r="D95" i="3"/>
  <c r="D77" i="3"/>
  <c r="D63" i="3"/>
  <c r="D72" i="3"/>
  <c r="D78" i="3"/>
  <c r="D79" i="3"/>
  <c r="D61" i="3"/>
  <c r="D83" i="3"/>
  <c r="D64" i="3"/>
  <c r="D86" i="3"/>
  <c r="D68" i="3"/>
  <c r="D67" i="3"/>
  <c r="F93" i="3"/>
  <c r="F69" i="3"/>
  <c r="F82" i="3"/>
  <c r="F67" i="3"/>
  <c r="F65" i="3"/>
  <c r="F88" i="3"/>
  <c r="F73" i="3"/>
  <c r="F61" i="3"/>
  <c r="F58" i="3"/>
  <c r="F89" i="3"/>
  <c r="F50" i="3"/>
  <c r="AL74" i="1" s="1"/>
  <c r="F96" i="3"/>
  <c r="F94" i="3"/>
  <c r="F81" i="3"/>
  <c r="F66" i="3"/>
  <c r="F83" i="3"/>
  <c r="F90" i="3"/>
  <c r="F72" i="3"/>
  <c r="F75" i="3"/>
  <c r="F97" i="3"/>
  <c r="F78" i="3"/>
  <c r="F47" i="3"/>
  <c r="F91" i="3"/>
  <c r="F64" i="3"/>
  <c r="F63" i="3"/>
  <c r="F80" i="3"/>
  <c r="F85" i="3"/>
  <c r="F49" i="3"/>
  <c r="AL73" i="1" s="1"/>
  <c r="BD91" i="3"/>
  <c r="BD55" i="3"/>
  <c r="BD69" i="3"/>
  <c r="BD83" i="3"/>
  <c r="BD59" i="3"/>
  <c r="BD90" i="3"/>
  <c r="BD84" i="3"/>
  <c r="BD48" i="3"/>
  <c r="BD96" i="3"/>
  <c r="BD50" i="3"/>
  <c r="CJ74" i="1" s="1"/>
  <c r="BD61" i="3"/>
  <c r="BD78" i="3"/>
  <c r="BD81" i="3"/>
  <c r="BD89" i="3"/>
  <c r="BD76" i="3"/>
  <c r="BD68" i="3"/>
  <c r="BD97" i="3"/>
  <c r="BD87" i="3"/>
  <c r="BD71" i="3"/>
  <c r="BD73" i="3"/>
  <c r="BD93" i="3"/>
  <c r="BD72" i="3"/>
  <c r="BD79" i="3"/>
  <c r="BD74" i="3"/>
  <c r="BD75" i="3"/>
  <c r="BD54" i="3"/>
  <c r="BD88" i="3"/>
  <c r="BD95" i="3"/>
  <c r="BD60" i="3"/>
  <c r="BD47" i="3"/>
  <c r="BD49" i="3"/>
  <c r="CJ73" i="1" s="1"/>
  <c r="BD70" i="3"/>
  <c r="BD64" i="3"/>
  <c r="BD92" i="3"/>
  <c r="BD62" i="3"/>
  <c r="BD86" i="3"/>
  <c r="BD94" i="3"/>
  <c r="BD82" i="3"/>
  <c r="BD66" i="3"/>
  <c r="BD85" i="3"/>
  <c r="BD56" i="3"/>
  <c r="BD63" i="3"/>
  <c r="BD57" i="3"/>
  <c r="BD58" i="3"/>
  <c r="BD65" i="3"/>
  <c r="BD80" i="3"/>
  <c r="BD77" i="3"/>
  <c r="AR64" i="3"/>
  <c r="AR90" i="3"/>
  <c r="AR56" i="3"/>
  <c r="AR89" i="3"/>
  <c r="AR80" i="3"/>
  <c r="AR55" i="3"/>
  <c r="AR84" i="3"/>
  <c r="AR66" i="3"/>
  <c r="AR61" i="3"/>
  <c r="AR88" i="3"/>
  <c r="AR63" i="3"/>
  <c r="AR65" i="3"/>
  <c r="AR67" i="3"/>
  <c r="AR57" i="3"/>
  <c r="AR54" i="3"/>
  <c r="AR85" i="3"/>
  <c r="AR73" i="3"/>
  <c r="AR92" i="3"/>
  <c r="AR62" i="3"/>
  <c r="AR93" i="3"/>
  <c r="AR83" i="3"/>
  <c r="AR81" i="3"/>
  <c r="AR87" i="3"/>
  <c r="AR60" i="3"/>
  <c r="AR69" i="3"/>
  <c r="AR49" i="3"/>
  <c r="BX73" i="1" s="1"/>
  <c r="AR78" i="3"/>
  <c r="AR68" i="3"/>
  <c r="AR47" i="3"/>
  <c r="AR58" i="3"/>
  <c r="AR82" i="3"/>
  <c r="AR76" i="3"/>
  <c r="AR70" i="3"/>
  <c r="AR97" i="3"/>
  <c r="AR96" i="3"/>
  <c r="AR79" i="3"/>
  <c r="AR59" i="3"/>
  <c r="AR71" i="3"/>
  <c r="AR77" i="3"/>
  <c r="AR48" i="3"/>
  <c r="AR50" i="3"/>
  <c r="BX74" i="1" s="1"/>
  <c r="AR94" i="3"/>
  <c r="AR91" i="3"/>
  <c r="AR95" i="3"/>
  <c r="AR75" i="3"/>
  <c r="AR72" i="3"/>
  <c r="AR74" i="3"/>
  <c r="AR86" i="3"/>
  <c r="E79" i="3"/>
  <c r="AK143" i="1" s="1"/>
  <c r="E77" i="3"/>
  <c r="AK140" i="1" s="1"/>
  <c r="E93" i="3"/>
  <c r="E65" i="3"/>
  <c r="AK150" i="1" s="1"/>
  <c r="AL150" i="1" s="1"/>
  <c r="E71" i="3"/>
  <c r="E82" i="3"/>
  <c r="AK145" i="1" s="1"/>
  <c r="AK180" i="1" s="1"/>
  <c r="AL180" i="1" s="1"/>
  <c r="E60" i="3"/>
  <c r="AK122" i="1" s="1"/>
  <c r="AL122" i="1" s="1"/>
  <c r="E67" i="3"/>
  <c r="E81" i="3"/>
  <c r="AK144" i="1" s="1"/>
  <c r="AK179" i="1" s="1"/>
  <c r="AL179" i="1" s="1"/>
  <c r="Z111" i="2"/>
  <c r="Z113" i="2"/>
  <c r="Y74" i="1" s="1"/>
  <c r="Z112" i="2"/>
  <c r="Y73" i="1" s="1"/>
  <c r="AY67" i="3"/>
  <c r="AY81" i="3"/>
  <c r="CE144" i="1" s="1"/>
  <c r="AY82" i="3"/>
  <c r="CE145" i="1" s="1"/>
  <c r="AY96" i="3"/>
  <c r="CE163" i="1" s="1"/>
  <c r="CF163" i="1" s="1"/>
  <c r="AY49" i="3"/>
  <c r="CE73" i="1" s="1"/>
  <c r="AY79" i="3"/>
  <c r="CE143" i="1" s="1"/>
  <c r="CF143" i="1" s="1"/>
  <c r="AY93" i="3"/>
  <c r="AY69" i="3"/>
  <c r="AY87" i="3"/>
  <c r="CE152" i="1" s="1"/>
  <c r="CF152" i="1" s="1"/>
  <c r="AY72" i="3"/>
  <c r="CE135" i="1" s="1"/>
  <c r="CF135" i="1" s="1"/>
  <c r="AY91" i="3"/>
  <c r="CE154" i="1" s="1"/>
  <c r="CF154" i="1" s="1"/>
  <c r="AY55" i="3"/>
  <c r="AY75" i="3"/>
  <c r="AY86" i="3"/>
  <c r="AY54" i="3"/>
  <c r="AY92" i="3"/>
  <c r="CE155" i="1" s="1"/>
  <c r="CF155" i="1" s="1"/>
  <c r="AY68" i="3"/>
  <c r="CE131" i="1" s="1"/>
  <c r="AY58" i="3"/>
  <c r="CE119" i="1" s="1"/>
  <c r="AY90" i="3"/>
  <c r="CE126" i="1" s="1"/>
  <c r="CF126" i="1" s="1"/>
  <c r="AS60" i="3"/>
  <c r="BY122" i="1" s="1"/>
  <c r="BZ122" i="1" s="1"/>
  <c r="AS85" i="3"/>
  <c r="BY147" i="1" s="1"/>
  <c r="AS75" i="3"/>
  <c r="AS86" i="3"/>
  <c r="CL31" i="1"/>
  <c r="CL29" i="1"/>
  <c r="CL34" i="1"/>
  <c r="CL38" i="1" s="1"/>
  <c r="CL232" i="1"/>
  <c r="CL233" i="1" s="1"/>
  <c r="CL250" i="1"/>
  <c r="JR19" i="4"/>
  <c r="CL78" i="1" s="1"/>
  <c r="AD92" i="3"/>
  <c r="AD70" i="3"/>
  <c r="D70" i="3"/>
  <c r="D65" i="3"/>
  <c r="D57" i="3"/>
  <c r="F95" i="3"/>
  <c r="F62" i="3"/>
  <c r="F71" i="3"/>
  <c r="AM140" i="1"/>
  <c r="AN140" i="1" s="1"/>
  <c r="AM145" i="1"/>
  <c r="CA118" i="1"/>
  <c r="CB118" i="1" s="1"/>
  <c r="CA74" i="1"/>
  <c r="CA155" i="1"/>
  <c r="CB155" i="1" s="1"/>
  <c r="CI143" i="1"/>
  <c r="CJ143" i="1" s="1"/>
  <c r="CI118" i="1"/>
  <c r="CJ118" i="1" s="1"/>
  <c r="CK118" i="1" s="1"/>
  <c r="CL118" i="1" s="1"/>
  <c r="CM118" i="1" s="1"/>
  <c r="CN118" i="1" s="1"/>
  <c r="CO118" i="1" s="1"/>
  <c r="CI126" i="1"/>
  <c r="CJ126" i="1" s="1"/>
  <c r="CK126" i="1" s="1"/>
  <c r="CI135" i="1"/>
  <c r="CJ135" i="1" s="1"/>
  <c r="CK135" i="1" s="1"/>
  <c r="CI74" i="1"/>
  <c r="CI134" i="1"/>
  <c r="CI125" i="1"/>
  <c r="CJ125" i="1" s="1"/>
  <c r="CK125" i="1" s="1"/>
  <c r="CE151" i="1"/>
  <c r="CF151" i="1" s="1"/>
  <c r="CE150" i="1"/>
  <c r="CF150" i="1" s="1"/>
  <c r="CA131" i="1"/>
  <c r="AM126" i="1"/>
  <c r="AN126" i="1" s="1"/>
  <c r="CA152" i="1"/>
  <c r="CB152" i="1" s="1"/>
  <c r="BY137" i="1"/>
  <c r="BZ137" i="1" s="1"/>
  <c r="CF73" i="1"/>
  <c r="AI119" i="1"/>
  <c r="CA122" i="1"/>
  <c r="CB122" i="1" s="1"/>
  <c r="AK164" i="1"/>
  <c r="AL164" i="1" s="1"/>
  <c r="CA154" i="1"/>
  <c r="CB154" i="1" s="1"/>
  <c r="AM118" i="1"/>
  <c r="AN118" i="1" s="1"/>
  <c r="CC119" i="1"/>
  <c r="CE125" i="1"/>
  <c r="CF125" i="1" s="1"/>
  <c r="CA124" i="1"/>
  <c r="BY133" i="1"/>
  <c r="CC125" i="1"/>
  <c r="CD125" i="1" s="1"/>
  <c r="BY126" i="1"/>
  <c r="BZ126" i="1" s="1"/>
  <c r="CE160" i="1"/>
  <c r="BY125" i="1"/>
  <c r="BZ125" i="1" s="1"/>
  <c r="AI122" i="1"/>
  <c r="AJ122" i="1" s="1"/>
  <c r="BY140" i="1"/>
  <c r="BZ140" i="1" s="1"/>
  <c r="BY153" i="1"/>
  <c r="AI126" i="1"/>
  <c r="AJ126" i="1" s="1"/>
  <c r="CA150" i="1"/>
  <c r="CB150" i="1" s="1"/>
  <c r="AI74" i="1"/>
  <c r="AK124" i="1"/>
  <c r="AL124" i="1" s="1"/>
  <c r="CC152" i="1"/>
  <c r="CD152" i="1" s="1"/>
  <c r="CA133" i="1"/>
  <c r="BL73" i="1"/>
  <c r="CH74" i="1"/>
  <c r="CI119" i="1"/>
  <c r="BY159" i="1"/>
  <c r="BY150" i="1"/>
  <c r="BZ150" i="1" s="1"/>
  <c r="BY142" i="1"/>
  <c r="BZ142" i="1" s="1"/>
  <c r="AI143" i="1"/>
  <c r="AJ143" i="1" s="1"/>
  <c r="BY131" i="1"/>
  <c r="BY134" i="1" s="1"/>
  <c r="AI146" i="1"/>
  <c r="AJ146" i="1" s="1"/>
  <c r="CA145" i="1"/>
  <c r="CI73" i="1"/>
  <c r="AK163" i="1"/>
  <c r="AL163" i="1" s="1"/>
  <c r="AK137" i="1"/>
  <c r="AL137" i="1" s="1"/>
  <c r="BY117" i="1"/>
  <c r="BY151" i="1"/>
  <c r="BZ151" i="1" s="1"/>
  <c r="BY160" i="1"/>
  <c r="CA164" i="1"/>
  <c r="CB164" i="1" s="1"/>
  <c r="BY118" i="1"/>
  <c r="BZ118" i="1" s="1"/>
  <c r="AI154" i="1"/>
  <c r="AJ154" i="1" s="1"/>
  <c r="AI160" i="1"/>
  <c r="AK119" i="1"/>
  <c r="BY119" i="1"/>
  <c r="BY149" i="1"/>
  <c r="BZ149" i="1" s="1"/>
  <c r="BY124" i="1"/>
  <c r="AI142" i="1"/>
  <c r="AJ142" i="1" s="1"/>
  <c r="BL74" i="1"/>
  <c r="CA147" i="1"/>
  <c r="CB147" i="1" s="1"/>
  <c r="BY145" i="1"/>
  <c r="AI127" i="1"/>
  <c r="AJ127" i="1" s="1"/>
  <c r="CA149" i="1"/>
  <c r="AK151" i="1"/>
  <c r="AL151" i="1" s="1"/>
  <c r="AK127" i="1"/>
  <c r="AL127" i="1" s="1"/>
  <c r="BY155" i="1"/>
  <c r="BZ155" i="1" s="1"/>
  <c r="BY73" i="1"/>
  <c r="BY164" i="1"/>
  <c r="BZ164" i="1" s="1"/>
  <c r="AI163" i="1"/>
  <c r="AJ163" i="1" s="1"/>
  <c r="AI135" i="1"/>
  <c r="AJ135" i="1" s="1"/>
  <c r="CA127" i="1"/>
  <c r="CB127" i="1" s="1"/>
  <c r="AK118" i="1"/>
  <c r="AL118" i="1" s="1"/>
  <c r="CA73" i="1"/>
  <c r="CE117" i="1"/>
  <c r="CF117" i="1" s="1"/>
  <c r="AI151" i="1"/>
  <c r="AJ151" i="1" s="1"/>
  <c r="AI153" i="1"/>
  <c r="CA163" i="1"/>
  <c r="CB163" i="1" s="1"/>
  <c r="AM160" i="1"/>
  <c r="CA119" i="1"/>
  <c r="AK152" i="1"/>
  <c r="AL152" i="1" s="1"/>
  <c r="BY135" i="1"/>
  <c r="BZ135" i="1" s="1"/>
  <c r="BY144" i="1"/>
  <c r="BY146" i="1"/>
  <c r="BZ146" i="1" s="1"/>
  <c r="AI164" i="1"/>
  <c r="AJ164" i="1" s="1"/>
  <c r="AI118" i="1"/>
  <c r="BY127" i="1"/>
  <c r="BZ127" i="1" s="1"/>
  <c r="AK125" i="1"/>
  <c r="AL125" i="1" s="1"/>
  <c r="AK133" i="1"/>
  <c r="BY163" i="1"/>
  <c r="BZ163" i="1" s="1"/>
  <c r="AI137" i="1"/>
  <c r="AJ137" i="1" s="1"/>
  <c r="AI147" i="1"/>
  <c r="AJ147" i="1" s="1"/>
  <c r="CA117" i="1"/>
  <c r="CI153" i="1"/>
  <c r="AI125" i="1"/>
  <c r="AJ125" i="1" s="1"/>
  <c r="AM159" i="1"/>
  <c r="AM161" i="1" s="1"/>
  <c r="AK160" i="1"/>
  <c r="CC73" i="1"/>
  <c r="BY74" i="1"/>
  <c r="AI149" i="1"/>
  <c r="AJ149" i="1" s="1"/>
  <c r="BY152" i="1"/>
  <c r="BZ152" i="1" s="1"/>
  <c r="CE142" i="1"/>
  <c r="CF142" i="1" s="1"/>
  <c r="CF74" i="1"/>
  <c r="AI140" i="1"/>
  <c r="AI133" i="1"/>
  <c r="CA140" i="1"/>
  <c r="CB140" i="1" s="1"/>
  <c r="AK131" i="1"/>
  <c r="AK134" i="1" s="1"/>
  <c r="CC144" i="1"/>
  <c r="BY154" i="1"/>
  <c r="BZ154" i="1" s="1"/>
  <c r="AI159" i="1"/>
  <c r="AI161" i="1" s="1"/>
  <c r="AJ209" i="1" s="1"/>
  <c r="CA125" i="1"/>
  <c r="CB125" i="1" s="1"/>
  <c r="AK149" i="1"/>
  <c r="AL149" i="1" s="1"/>
  <c r="BY143" i="1"/>
  <c r="BZ143" i="1" s="1"/>
  <c r="AI124" i="1"/>
  <c r="CH73" i="1"/>
  <c r="IL7" i="4" s="1"/>
  <c r="O21" i="1"/>
  <c r="IJ7" i="4" s="1"/>
  <c r="BX9" i="1"/>
  <c r="BX10" i="1" s="1"/>
  <c r="BX16" i="1" s="1"/>
  <c r="IJ15" i="4" s="1"/>
  <c r="CC146" i="1"/>
  <c r="CD146" i="1" s="1"/>
  <c r="AI144" i="1"/>
  <c r="AM137" i="1"/>
  <c r="AN137" i="1" s="1"/>
  <c r="HS9" i="4" s="1"/>
  <c r="IS8" i="4" s="1"/>
  <c r="AJ51" i="1"/>
  <c r="AM22" i="1"/>
  <c r="IH9" i="4" s="1"/>
  <c r="IC14" i="4" s="1"/>
  <c r="AL47" i="1"/>
  <c r="BX24" i="1"/>
  <c r="JI7" i="4" s="1"/>
  <c r="HW7" i="4" s="1"/>
  <c r="E46" i="1"/>
  <c r="T46" i="1"/>
  <c r="IT16" i="4" s="1"/>
  <c r="CC145" i="1"/>
  <c r="CC131" i="1"/>
  <c r="CI124" i="1"/>
  <c r="CJ124" i="1" s="1"/>
  <c r="IB14" i="4" s="1"/>
  <c r="CC159" i="1"/>
  <c r="CI150" i="1"/>
  <c r="CJ150" i="1" s="1"/>
  <c r="AK126" i="1"/>
  <c r="AL126" i="1" s="1"/>
  <c r="CA137" i="1"/>
  <c r="CB137" i="1" s="1"/>
  <c r="CA135" i="1"/>
  <c r="CB135" i="1" s="1"/>
  <c r="CI151" i="1"/>
  <c r="CJ151" i="1" s="1"/>
  <c r="HP9" i="4" s="1"/>
  <c r="CC122" i="1"/>
  <c r="CD122" i="1" s="1"/>
  <c r="IZ7" i="4" s="1"/>
  <c r="CI127" i="1"/>
  <c r="CJ127" i="1" s="1"/>
  <c r="CK127" i="1" s="1"/>
  <c r="AJ36" i="1"/>
  <c r="BX32" i="1"/>
  <c r="BX194" i="1" s="1"/>
  <c r="BJ14" i="1"/>
  <c r="AK142" i="1"/>
  <c r="AL142" i="1" s="1"/>
  <c r="CI142" i="1"/>
  <c r="CJ142" i="1" s="1"/>
  <c r="IH7" i="4" s="1"/>
  <c r="CC118" i="1"/>
  <c r="CD118" i="1" s="1"/>
  <c r="CC127" i="1"/>
  <c r="CD127" i="1" s="1"/>
  <c r="CI147" i="1"/>
  <c r="CJ147" i="1" s="1"/>
  <c r="IO16" i="4" s="1"/>
  <c r="IO21" i="4" s="1"/>
  <c r="BI77" i="1" s="1"/>
  <c r="IQ9" i="4" s="1"/>
  <c r="IS16" i="4" s="1"/>
  <c r="Q25" i="1"/>
  <c r="JC9" i="4" s="1"/>
  <c r="CC117" i="1"/>
  <c r="CD73" i="1"/>
  <c r="L45" i="1"/>
  <c r="JD9" i="4" s="1"/>
  <c r="AM8" i="1"/>
  <c r="L15" i="1"/>
  <c r="P9" i="1"/>
  <c r="AK14" i="1"/>
  <c r="AM122" i="1"/>
  <c r="AN122" i="1" s="1"/>
  <c r="M13" i="1"/>
  <c r="BX35" i="1"/>
  <c r="AL14" i="1"/>
  <c r="C9" i="1"/>
  <c r="AK46" i="1"/>
  <c r="HX16" i="4" s="1"/>
  <c r="CC150" i="1"/>
  <c r="CD150" i="1" s="1"/>
  <c r="CI149" i="1"/>
  <c r="CI164" i="1"/>
  <c r="CJ164" i="1" s="1"/>
  <c r="CK164" i="1" s="1"/>
  <c r="CL164" i="1" s="1"/>
  <c r="CM164" i="1" s="1"/>
  <c r="CN164" i="1" s="1"/>
  <c r="CO164" i="1" s="1"/>
  <c r="HY16" i="4" s="1"/>
  <c r="HY21" i="4" s="1"/>
  <c r="AS77" i="1" s="1"/>
  <c r="AK20" i="1"/>
  <c r="IB16" i="4" s="1"/>
  <c r="L13" i="1"/>
  <c r="AM35" i="1"/>
  <c r="AL32" i="1"/>
  <c r="IW16" i="4" s="1"/>
  <c r="HZ16" i="4" s="1"/>
  <c r="IG16" i="4" s="1"/>
  <c r="H8" i="1"/>
  <c r="P23" i="1"/>
  <c r="K51" i="1"/>
  <c r="L47" i="1"/>
  <c r="CC163" i="1"/>
  <c r="CC151" i="1"/>
  <c r="CD151" i="1" s="1"/>
  <c r="CA144" i="1"/>
  <c r="AM13" i="1"/>
  <c r="CC149" i="1"/>
  <c r="CD149" i="1" s="1"/>
  <c r="CC143" i="1"/>
  <c r="CC135" i="1"/>
  <c r="CD135" i="1" s="1"/>
  <c r="CA143" i="1"/>
  <c r="CB143" i="1" s="1"/>
  <c r="CI152" i="1"/>
  <c r="CJ152" i="1" s="1"/>
  <c r="JD15" i="4" s="1"/>
  <c r="JF9" i="4" s="1"/>
  <c r="IV7" i="4" s="1"/>
  <c r="AK146" i="1"/>
  <c r="AL146" i="1" s="1"/>
  <c r="P47" i="1"/>
  <c r="AJ32" i="1"/>
  <c r="AJ194" i="1" s="1"/>
  <c r="IW7" i="4" s="1"/>
  <c r="AJ46" i="1"/>
  <c r="HW9" i="4" s="1"/>
  <c r="II8" i="4" s="1"/>
  <c r="E35" i="1"/>
  <c r="IR9" i="4" s="1"/>
  <c r="HR14" i="4" s="1"/>
  <c r="JE7" i="4" s="1"/>
  <c r="HQ8" i="4" s="1"/>
  <c r="G13" i="1"/>
  <c r="HS16" i="4" s="1"/>
  <c r="AJ14" i="1"/>
  <c r="JG8" i="4" s="1"/>
  <c r="HW16" i="4" s="1"/>
  <c r="HW21" i="4" s="1"/>
  <c r="AQ77" i="1" s="1"/>
  <c r="IN15" i="4" s="1"/>
  <c r="AK36" i="1"/>
  <c r="IT9" i="4" s="1"/>
  <c r="AM20" i="1"/>
  <c r="AL21" i="1"/>
  <c r="AM149" i="1"/>
  <c r="AN149" i="1" s="1"/>
  <c r="AK159" i="1"/>
  <c r="C21" i="1"/>
  <c r="BX39" i="1"/>
  <c r="AK153" i="1"/>
  <c r="BX23" i="1"/>
  <c r="AM21" i="1"/>
  <c r="HT15" i="4" s="1"/>
  <c r="O39" i="1"/>
  <c r="BX46" i="1"/>
  <c r="AK24" i="1"/>
  <c r="BJ15" i="1"/>
  <c r="IM15" i="4" s="1"/>
  <c r="JA9" i="4" s="1"/>
  <c r="II15" i="4" s="1"/>
  <c r="D21" i="1"/>
  <c r="AK45" i="1"/>
  <c r="IV9" i="4" s="1"/>
  <c r="IN16" i="4" s="1"/>
  <c r="BJ23" i="1"/>
  <c r="CC124" i="1"/>
  <c r="AI155" i="1"/>
  <c r="AJ155" i="1" s="1"/>
  <c r="CA160" i="1"/>
  <c r="CI154" i="1"/>
  <c r="CJ154" i="1" s="1"/>
  <c r="CI146" i="1"/>
  <c r="CJ146" i="1" s="1"/>
  <c r="IP14" i="4" s="1"/>
  <c r="AL20" i="1"/>
  <c r="BX13" i="1"/>
  <c r="AK154" i="1"/>
  <c r="AL154" i="1" s="1"/>
  <c r="AJ45" i="1"/>
  <c r="AJ8" i="1"/>
  <c r="AJ13" i="1"/>
  <c r="HT9" i="4" s="1"/>
  <c r="IO8" i="4" s="1"/>
  <c r="O22" i="1"/>
  <c r="IV16" i="4" s="1"/>
  <c r="IV21" i="4" s="1"/>
  <c r="BP77" i="1" s="1"/>
  <c r="AM36" i="1"/>
  <c r="AJ35" i="1"/>
  <c r="JC14" i="4" s="1"/>
  <c r="AM23" i="1"/>
  <c r="IK7" i="4" s="1"/>
  <c r="HZ8" i="4" s="1"/>
  <c r="IB7" i="4" s="1"/>
  <c r="C46" i="1"/>
  <c r="BZ74" i="1"/>
  <c r="AI145" i="1"/>
  <c r="CI122" i="1"/>
  <c r="CJ122" i="1" s="1"/>
  <c r="CK122" i="1" s="1"/>
  <c r="CC74" i="1"/>
  <c r="CC140" i="1"/>
  <c r="CD140" i="1" s="1"/>
  <c r="CC126" i="1"/>
  <c r="CD126" i="1" s="1"/>
  <c r="CC164" i="1"/>
  <c r="CD164" i="1" s="1"/>
  <c r="CC155" i="1"/>
  <c r="CD155" i="1" s="1"/>
  <c r="CB74" i="1"/>
  <c r="AI152" i="1"/>
  <c r="AJ152" i="1" s="1"/>
  <c r="CI155" i="1"/>
  <c r="CJ155" i="1" s="1"/>
  <c r="IY14" i="4" s="1"/>
  <c r="IS14" i="4" s="1"/>
  <c r="IA9" i="4" s="1"/>
  <c r="AK147" i="1"/>
  <c r="AL147" i="1" s="1"/>
  <c r="JE16" i="4" s="1"/>
  <c r="D122" i="1"/>
  <c r="HQ15" i="4" s="1"/>
  <c r="P8" i="1"/>
  <c r="HU14" i="4" s="1"/>
  <c r="AK135" i="1"/>
  <c r="AL135" i="1" s="1"/>
  <c r="IM16" i="4" s="1"/>
  <c r="AM124" i="1"/>
  <c r="AN124" i="1" s="1"/>
  <c r="ID16" i="4" s="1"/>
  <c r="O9" i="1"/>
  <c r="B47" i="1"/>
  <c r="CB73" i="1"/>
  <c r="AI131" i="1"/>
  <c r="CI117" i="1"/>
  <c r="CJ117" i="1" s="1"/>
  <c r="CK117" i="1" s="1"/>
  <c r="CL117" i="1" s="1"/>
  <c r="CI133" i="1"/>
  <c r="CJ133" i="1" s="1"/>
  <c r="CK133" i="1" s="1"/>
  <c r="CI145" i="1"/>
  <c r="IA16" i="4" s="1"/>
  <c r="IA21" i="4" s="1"/>
  <c r="AU77" i="1" s="1"/>
  <c r="IE16" i="4" s="1"/>
  <c r="HY9" i="4" s="1"/>
  <c r="IV8" i="4" s="1"/>
  <c r="AJ15" i="1"/>
  <c r="AM125" i="1"/>
  <c r="AN125" i="1" s="1"/>
  <c r="AK155" i="1"/>
  <c r="AL155" i="1" s="1"/>
  <c r="C36" i="1"/>
  <c r="BX22" i="1"/>
  <c r="IO9" i="4" s="1"/>
  <c r="IL9" i="4" s="1"/>
  <c r="AJ47" i="1"/>
  <c r="BJ8" i="1"/>
  <c r="BJ231" i="1" s="1"/>
  <c r="H22" i="1"/>
  <c r="CC154" i="1"/>
  <c r="CD154" i="1" s="1"/>
  <c r="CC147" i="1"/>
  <c r="CD147" i="1" s="1"/>
  <c r="CI140" i="1"/>
  <c r="CJ140" i="1" s="1"/>
  <c r="CJ202" i="1" s="1"/>
  <c r="CC153" i="1"/>
  <c r="CC137" i="1"/>
  <c r="CD137" i="1" s="1"/>
  <c r="CD74" i="1"/>
  <c r="CC133" i="1"/>
  <c r="CC142" i="1"/>
  <c r="BZ73" i="1"/>
  <c r="AI150" i="1"/>
  <c r="AJ150" i="1" s="1"/>
  <c r="CI137" i="1"/>
  <c r="CJ137" i="1" s="1"/>
  <c r="CK137" i="1" s="1"/>
  <c r="CL137" i="1" s="1"/>
  <c r="CM137" i="1" s="1"/>
  <c r="CN137" i="1" s="1"/>
  <c r="CO137" i="1" s="1"/>
  <c r="IM9" i="4" s="1"/>
  <c r="AL35" i="1"/>
  <c r="AM9" i="1"/>
  <c r="JG9" i="4" s="1"/>
  <c r="AK35" i="1"/>
  <c r="I35" i="1"/>
  <c r="AJ22" i="1"/>
  <c r="AK15" i="1"/>
  <c r="AM14" i="1"/>
  <c r="M32" i="1"/>
  <c r="AK39" i="1"/>
  <c r="P127" i="1"/>
  <c r="IP16" i="4" s="1"/>
  <c r="F23" i="1"/>
  <c r="HR9" i="4" s="1"/>
  <c r="BJ21" i="1"/>
  <c r="V32" i="1"/>
  <c r="K35" i="1"/>
  <c r="AM39" i="1"/>
  <c r="AK23" i="1"/>
  <c r="L20" i="1"/>
  <c r="W23" i="1"/>
  <c r="P51" i="1"/>
  <c r="V20" i="1"/>
  <c r="W47" i="1"/>
  <c r="D13" i="1"/>
  <c r="P32" i="1"/>
  <c r="HX14" i="4" s="1"/>
  <c r="IS9" i="4" s="1"/>
  <c r="S24" i="1"/>
  <c r="H24" i="1"/>
  <c r="O36" i="1"/>
  <c r="G47" i="1"/>
  <c r="C24" i="1"/>
  <c r="R22" i="1"/>
  <c r="U47" i="1"/>
  <c r="N21" i="1"/>
  <c r="JB16" i="4" s="1"/>
  <c r="JC16" i="4" s="1"/>
  <c r="V39" i="1"/>
  <c r="IY16" i="4" s="1"/>
  <c r="JI16" i="4" s="1"/>
  <c r="O45" i="1"/>
  <c r="I47" i="1"/>
  <c r="IQ15" i="4" s="1"/>
  <c r="P155" i="1"/>
  <c r="HR16" i="4" s="1"/>
  <c r="BX47" i="1"/>
  <c r="G32" i="1"/>
  <c r="AK8" i="1"/>
  <c r="K21" i="1"/>
  <c r="HX15" i="4" s="1"/>
  <c r="IQ14" i="4" s="1"/>
  <c r="AJ39" i="1"/>
  <c r="K45" i="1"/>
  <c r="K23" i="1"/>
  <c r="HX9" i="4" s="1"/>
  <c r="T47" i="1"/>
  <c r="P13" i="1"/>
  <c r="L36" i="1"/>
  <c r="F21" i="1"/>
  <c r="D46" i="1"/>
  <c r="HZ15" i="4" s="1"/>
  <c r="JA7" i="4" s="1"/>
  <c r="HP16" i="4" s="1"/>
  <c r="BJ24" i="1"/>
  <c r="HQ9" i="4" s="1"/>
  <c r="E15" i="1"/>
  <c r="JG16" i="4" s="1"/>
  <c r="M21" i="1"/>
  <c r="AK47" i="1"/>
  <c r="G163" i="1"/>
  <c r="U23" i="1"/>
  <c r="U24" i="1"/>
  <c r="JG14" i="4" s="1"/>
  <c r="AM32" i="1"/>
  <c r="IF14" i="4" s="1"/>
  <c r="O15" i="1"/>
  <c r="IQ16" i="4" s="1"/>
  <c r="AK13" i="1"/>
  <c r="AL15" i="1"/>
  <c r="R39" i="1"/>
  <c r="E39" i="1"/>
  <c r="P22" i="1"/>
  <c r="JB15" i="4" s="1"/>
  <c r="IV14" i="4" s="1"/>
  <c r="C32" i="1"/>
  <c r="C194" i="1" s="1"/>
  <c r="F45" i="1"/>
  <c r="L22" i="1"/>
  <c r="M24" i="1"/>
  <c r="E36" i="1"/>
  <c r="M22" i="1"/>
  <c r="HY14" i="4" s="1"/>
  <c r="D39" i="1"/>
  <c r="D35" i="1"/>
  <c r="R35" i="1"/>
  <c r="AJ24" i="1"/>
  <c r="E8" i="1"/>
  <c r="E231" i="1" s="1"/>
  <c r="O51" i="1"/>
  <c r="IW15" i="4" s="1"/>
  <c r="AJ20" i="1"/>
  <c r="O25" i="1"/>
  <c r="B36" i="1"/>
  <c r="T13" i="1"/>
  <c r="I23" i="1"/>
  <c r="Q39" i="1"/>
  <c r="W132" i="1"/>
  <c r="L8" i="1"/>
  <c r="L252" i="1" s="1"/>
  <c r="V35" i="1"/>
  <c r="B8" i="1"/>
  <c r="W39" i="1"/>
  <c r="IE9" i="4" s="1"/>
  <c r="J45" i="1"/>
  <c r="IJ9" i="4" s="1"/>
  <c r="AL39" i="1"/>
  <c r="HU9" i="4" s="1"/>
  <c r="BX51" i="1"/>
  <c r="G153" i="1"/>
  <c r="N15" i="1"/>
  <c r="R15" i="1"/>
  <c r="B51" i="1"/>
  <c r="AL22" i="1"/>
  <c r="AJ9" i="1"/>
  <c r="G15" i="1"/>
  <c r="B35" i="1"/>
  <c r="V45" i="1"/>
  <c r="P24" i="1"/>
  <c r="B46" i="1"/>
  <c r="R24" i="1"/>
  <c r="Q15" i="1"/>
  <c r="S25" i="1"/>
  <c r="HP14" i="4" s="1"/>
  <c r="IY9" i="4" s="1"/>
  <c r="D9" i="1"/>
  <c r="B24" i="1"/>
  <c r="AK51" i="1"/>
  <c r="N47" i="1"/>
  <c r="S23" i="1"/>
  <c r="IQ8" i="4" s="1"/>
  <c r="S22" i="1"/>
  <c r="I45" i="1"/>
  <c r="F25" i="1"/>
  <c r="K46" i="1"/>
  <c r="IZ16" i="4" s="1"/>
  <c r="IZ21" i="4" s="1"/>
  <c r="BT77" i="1" s="1"/>
  <c r="K47" i="1"/>
  <c r="J9" i="1"/>
  <c r="IW9" i="4" s="1"/>
  <c r="J25" i="1"/>
  <c r="IR14" i="4" s="1"/>
  <c r="W117" i="1"/>
  <c r="IU9" i="4" s="1"/>
  <c r="IU16" i="4" s="1"/>
  <c r="IU21" i="4" s="1"/>
  <c r="BO77" i="1" s="1"/>
  <c r="E24" i="1"/>
  <c r="W51" i="1"/>
  <c r="JB9" i="4" s="1"/>
  <c r="HV7" i="4" s="1"/>
  <c r="AL8" i="1"/>
  <c r="I9" i="1"/>
  <c r="N25" i="1"/>
  <c r="W9" i="1"/>
  <c r="Q23" i="1"/>
  <c r="Q35" i="1"/>
  <c r="I15" i="1"/>
  <c r="II9" i="4" s="1"/>
  <c r="AK9" i="1"/>
  <c r="AL46" i="1"/>
  <c r="J15" i="1"/>
  <c r="M20" i="1"/>
  <c r="AM24" i="1"/>
  <c r="IG9" i="4" s="1"/>
  <c r="M8" i="1"/>
  <c r="O46" i="1"/>
  <c r="F32" i="1"/>
  <c r="F194" i="1" s="1"/>
  <c r="N20" i="1"/>
  <c r="Q13" i="1"/>
  <c r="E45" i="1"/>
  <c r="AJ21" i="1"/>
  <c r="N23" i="1"/>
  <c r="E20" i="1"/>
  <c r="W32" i="1"/>
  <c r="D23" i="1"/>
  <c r="M36" i="1"/>
  <c r="BX36" i="1"/>
  <c r="AL23" i="1"/>
  <c r="BX21" i="1"/>
  <c r="AK117" i="1"/>
  <c r="U39" i="1"/>
  <c r="AJ23" i="1"/>
  <c r="HV9" i="4" s="1"/>
  <c r="U20" i="1"/>
  <c r="AK22" i="1"/>
  <c r="BJ22" i="1"/>
  <c r="H47" i="1"/>
  <c r="S45" i="1"/>
  <c r="L21" i="1"/>
  <c r="AM15" i="1"/>
  <c r="H13" i="1"/>
  <c r="J20" i="1"/>
  <c r="S20" i="1"/>
  <c r="BX14" i="1"/>
  <c r="D51" i="1"/>
  <c r="S21" i="1"/>
  <c r="K32" i="1"/>
  <c r="O13" i="1"/>
  <c r="J119" i="1"/>
  <c r="JH16" i="4" s="1"/>
  <c r="N51" i="1"/>
  <c r="IF16" i="4" s="1"/>
  <c r="AL36" i="1"/>
  <c r="HQ16" i="4" s="1"/>
  <c r="IB9" i="4" s="1"/>
  <c r="J21" i="1"/>
  <c r="AK32" i="1"/>
  <c r="F15" i="1"/>
  <c r="IZ9" i="4" s="1"/>
  <c r="IX16" i="4" s="1"/>
  <c r="JH9" i="4" s="1"/>
  <c r="II16" i="4" s="1"/>
  <c r="Q51" i="1"/>
  <c r="O23" i="1"/>
  <c r="HU16" i="4" s="1"/>
  <c r="AL9" i="1"/>
  <c r="R23" i="1"/>
  <c r="D8" i="1"/>
  <c r="V23" i="1"/>
  <c r="G45" i="1"/>
  <c r="M15" i="1"/>
  <c r="HV16" i="4" s="1"/>
  <c r="P39" i="1"/>
  <c r="J22" i="1"/>
  <c r="B20" i="1"/>
  <c r="T51" i="1"/>
  <c r="P45" i="1"/>
  <c r="E22" i="1"/>
  <c r="V25" i="1"/>
  <c r="N32" i="1"/>
  <c r="C13" i="1"/>
  <c r="G22" i="1"/>
  <c r="P15" i="1"/>
  <c r="S9" i="1"/>
  <c r="B15" i="1"/>
  <c r="I51" i="1"/>
  <c r="L24" i="1"/>
  <c r="L23" i="1"/>
  <c r="C23" i="1"/>
  <c r="Q47" i="1"/>
  <c r="T22" i="1"/>
  <c r="K39" i="1"/>
  <c r="H35" i="1"/>
  <c r="CF39" i="1"/>
  <c r="Z7" i="6" s="1"/>
  <c r="CD45" i="1"/>
  <c r="CC22" i="1"/>
  <c r="CD51" i="1"/>
  <c r="CB36" i="1"/>
  <c r="BZ23" i="1"/>
  <c r="BL51" i="1"/>
  <c r="CB20" i="1"/>
  <c r="CI163" i="1"/>
  <c r="CJ163" i="1" s="1"/>
  <c r="CK163" i="1" s="1"/>
  <c r="J51" i="1"/>
  <c r="L46" i="1"/>
  <c r="I39" i="1"/>
  <c r="J36" i="1"/>
  <c r="S46" i="1"/>
  <c r="U32" i="1"/>
  <c r="R8" i="1"/>
  <c r="V46" i="1"/>
  <c r="C20" i="1"/>
  <c r="HT16" i="4" s="1"/>
  <c r="HT21" i="4" s="1"/>
  <c r="AN77" i="1" s="1"/>
  <c r="J39" i="1"/>
  <c r="G35" i="1"/>
  <c r="P46" i="1"/>
  <c r="F22" i="1"/>
  <c r="B23" i="1"/>
  <c r="G24" i="1"/>
  <c r="CA14" i="1"/>
  <c r="BY14" i="1"/>
  <c r="CD13" i="1"/>
  <c r="CB47" i="1"/>
  <c r="CF32" i="1"/>
  <c r="Y35" i="1"/>
  <c r="BX15" i="1"/>
  <c r="M51" i="1"/>
  <c r="G23" i="1"/>
  <c r="IX9" i="4" s="1"/>
  <c r="IC9" i="4" s="1"/>
  <c r="L39" i="1"/>
  <c r="IJ16" i="4" s="1"/>
  <c r="E47" i="1"/>
  <c r="D36" i="1"/>
  <c r="D252" i="1" s="1"/>
  <c r="W25" i="1"/>
  <c r="R45" i="1"/>
  <c r="N9" i="1"/>
  <c r="G20" i="1"/>
  <c r="H36" i="1"/>
  <c r="IP9" i="4" s="1"/>
  <c r="E13" i="1"/>
  <c r="U46" i="1"/>
  <c r="G36" i="1"/>
  <c r="G8" i="1"/>
  <c r="J35" i="1"/>
  <c r="G51" i="1"/>
  <c r="S47" i="1"/>
  <c r="N36" i="1"/>
  <c r="T20" i="1"/>
  <c r="E9" i="1"/>
  <c r="I8" i="1"/>
  <c r="BJ20" i="1"/>
  <c r="F36" i="1"/>
  <c r="C51" i="1"/>
  <c r="U21" i="1"/>
  <c r="C15" i="1"/>
  <c r="N46" i="1"/>
  <c r="O32" i="1"/>
  <c r="N24" i="1"/>
  <c r="J23" i="1"/>
  <c r="D32" i="1"/>
  <c r="CC160" i="1"/>
  <c r="CA146" i="1"/>
  <c r="CB146" i="1" s="1"/>
  <c r="CF24" i="1"/>
  <c r="AE7" i="6" s="1"/>
  <c r="CD35" i="1"/>
  <c r="CA51" i="1"/>
  <c r="BY22" i="1"/>
  <c r="T7" i="6" s="1"/>
  <c r="CD39" i="1"/>
  <c r="BZ8" i="1"/>
  <c r="BZ252" i="1" s="1"/>
  <c r="CC32" i="1"/>
  <c r="CI159" i="1"/>
  <c r="Y125" i="1"/>
  <c r="W45" i="1"/>
  <c r="JA16" i="4" s="1"/>
  <c r="P35" i="1"/>
  <c r="N13" i="1"/>
  <c r="I22" i="1"/>
  <c r="U15" i="1"/>
  <c r="B32" i="1"/>
  <c r="H21" i="1"/>
  <c r="W13" i="1"/>
  <c r="R36" i="1"/>
  <c r="O8" i="1"/>
  <c r="M23" i="1"/>
  <c r="M45" i="1"/>
  <c r="HU15" i="4" s="1"/>
  <c r="Q9" i="1"/>
  <c r="B22" i="1"/>
  <c r="T21" i="1"/>
  <c r="J32" i="1"/>
  <c r="J47" i="1"/>
  <c r="I13" i="1"/>
  <c r="O35" i="1"/>
  <c r="H20" i="1"/>
  <c r="G9" i="1"/>
  <c r="E51" i="1"/>
  <c r="K13" i="1"/>
  <c r="AI117" i="1"/>
  <c r="CA153" i="1"/>
  <c r="CE22" i="1"/>
  <c r="D7" i="6" s="1"/>
  <c r="CB46" i="1"/>
  <c r="CA13" i="1"/>
  <c r="BY32" i="1"/>
  <c r="BY194" i="1" s="1"/>
  <c r="CF47" i="1"/>
  <c r="BZ51" i="1"/>
  <c r="G46" i="1"/>
  <c r="BX20" i="1"/>
  <c r="M46" i="1"/>
  <c r="R32" i="1"/>
  <c r="W24" i="1"/>
  <c r="R25" i="1"/>
  <c r="T45" i="1"/>
  <c r="CA151" i="1"/>
  <c r="CB151" i="1" s="1"/>
  <c r="CE46" i="1"/>
  <c r="BY9" i="1"/>
  <c r="AJ7" i="6" s="1"/>
  <c r="BL15" i="1"/>
  <c r="CA21" i="1"/>
  <c r="CC35" i="1"/>
  <c r="AX7" i="6" s="1"/>
  <c r="CD15" i="1"/>
  <c r="CF14" i="1"/>
  <c r="CH23" i="1"/>
  <c r="L32" i="1"/>
  <c r="V13" i="1"/>
  <c r="W20" i="1"/>
  <c r="H23" i="1"/>
  <c r="F47" i="1"/>
  <c r="M35" i="1"/>
  <c r="U51" i="1"/>
  <c r="S39" i="1"/>
  <c r="I32" i="1"/>
  <c r="Q20" i="1"/>
  <c r="U9" i="1"/>
  <c r="S35" i="1"/>
  <c r="N22" i="1"/>
  <c r="R46" i="1"/>
  <c r="Q21" i="1"/>
  <c r="O20" i="1"/>
  <c r="C22" i="1"/>
  <c r="G25" i="1"/>
  <c r="D20" i="1"/>
  <c r="V24" i="1"/>
  <c r="F24" i="1"/>
  <c r="HT7" i="4" s="1"/>
  <c r="M9" i="1"/>
  <c r="J24" i="1"/>
  <c r="P153" i="1"/>
  <c r="CA46" i="1"/>
  <c r="CA126" i="1"/>
  <c r="CB126" i="1" s="1"/>
  <c r="CC21" i="1"/>
  <c r="N7" i="6" s="1"/>
  <c r="CA15" i="1"/>
  <c r="CF23" i="1"/>
  <c r="CD20" i="1"/>
  <c r="CI144" i="1"/>
  <c r="BZ14" i="1"/>
  <c r="BL23" i="1"/>
  <c r="AF7" i="6" s="1"/>
  <c r="Y143" i="1"/>
  <c r="C124" i="1"/>
  <c r="BJ13" i="1"/>
  <c r="BX45" i="1"/>
  <c r="T23" i="1"/>
  <c r="E159" i="1"/>
  <c r="D24" i="1"/>
  <c r="I46" i="1"/>
  <c r="C45" i="1"/>
  <c r="Q24" i="1"/>
  <c r="W35" i="1"/>
  <c r="T15" i="1"/>
  <c r="IN9" i="4" s="1"/>
  <c r="V15" i="1"/>
  <c r="S15" i="1"/>
  <c r="T35" i="1"/>
  <c r="V47" i="1"/>
  <c r="K20" i="1"/>
  <c r="AL13" i="1"/>
  <c r="T32" i="1"/>
  <c r="T194" i="1" s="1"/>
  <c r="B21" i="1"/>
  <c r="H39" i="1"/>
  <c r="C47" i="1"/>
  <c r="B13" i="1"/>
  <c r="CF22" i="1"/>
  <c r="X7" i="6" s="1"/>
  <c r="AS7" i="6" s="1"/>
  <c r="AC7" i="6" s="1"/>
  <c r="CE35" i="1"/>
  <c r="CF20" i="1"/>
  <c r="CF26" i="1" s="1"/>
  <c r="G7" i="6" s="1"/>
  <c r="CC46" i="1"/>
  <c r="CB22" i="1"/>
  <c r="O7" i="6" s="1"/>
  <c r="Q7" i="6" s="1"/>
  <c r="CD24" i="1"/>
  <c r="I7" i="6" s="1"/>
  <c r="BY15" i="1"/>
  <c r="Z23" i="1"/>
  <c r="E25" i="1"/>
  <c r="U35" i="1"/>
  <c r="Q22" i="1"/>
  <c r="F20" i="1"/>
  <c r="H32" i="1"/>
  <c r="R9" i="1"/>
  <c r="R10" i="1" s="1"/>
  <c r="L25" i="1"/>
  <c r="K9" i="1"/>
  <c r="N45" i="1"/>
  <c r="S13" i="1"/>
  <c r="T39" i="1"/>
  <c r="I36" i="1"/>
  <c r="K24" i="1"/>
  <c r="R21" i="1"/>
  <c r="M25" i="1"/>
  <c r="N39" i="1"/>
  <c r="R13" i="1"/>
  <c r="W36" i="1"/>
  <c r="K25" i="1"/>
  <c r="Q8" i="1"/>
  <c r="BY51" i="1"/>
  <c r="AU7" i="6" s="1"/>
  <c r="CF51" i="1"/>
  <c r="L7" i="6" s="1"/>
  <c r="AT7" i="6" s="1"/>
  <c r="BL36" i="1"/>
  <c r="JK16" i="4" s="1"/>
  <c r="Y79" i="1"/>
  <c r="U22" i="1"/>
  <c r="U25" i="1"/>
  <c r="F9" i="1"/>
  <c r="N35" i="1"/>
  <c r="M39" i="1"/>
  <c r="K36" i="1"/>
  <c r="K15" i="1"/>
  <c r="V36" i="1"/>
  <c r="P36" i="1"/>
  <c r="I21" i="1"/>
  <c r="J8" i="1"/>
  <c r="T24" i="1"/>
  <c r="Q32" i="1"/>
  <c r="Q194" i="1" s="1"/>
  <c r="N8" i="1"/>
  <c r="C8" i="1"/>
  <c r="S51" i="1"/>
  <c r="D47" i="1"/>
  <c r="H15" i="1"/>
  <c r="H45" i="1"/>
  <c r="T36" i="1"/>
  <c r="JL16" i="4" s="1"/>
  <c r="JL21" i="4" s="1"/>
  <c r="CF77" i="1" s="1"/>
  <c r="CA159" i="1"/>
  <c r="AV7" i="6" s="1"/>
  <c r="JM9" i="4" s="1"/>
  <c r="AO7" i="6" s="1"/>
  <c r="BL46" i="1"/>
  <c r="CA47" i="1"/>
  <c r="E7" i="6" s="1"/>
  <c r="JK9" i="4" s="1"/>
  <c r="R47" i="1"/>
  <c r="G21" i="1"/>
  <c r="F8" i="1"/>
  <c r="IF9" i="4" s="1"/>
  <c r="F46" i="1"/>
  <c r="H25" i="1"/>
  <c r="O47" i="1"/>
  <c r="R51" i="1"/>
  <c r="C35" i="1"/>
  <c r="B45" i="1"/>
  <c r="V9" i="1"/>
  <c r="HZ9" i="4" s="1"/>
  <c r="P25" i="1"/>
  <c r="S8" i="1"/>
  <c r="S231" i="1" s="1"/>
  <c r="AK21" i="1"/>
  <c r="L9" i="1"/>
  <c r="E21" i="1"/>
  <c r="C25" i="1"/>
  <c r="K22" i="1"/>
  <c r="J46" i="1"/>
  <c r="S36" i="1"/>
  <c r="F35" i="1"/>
  <c r="H9" i="1"/>
  <c r="K8" i="1"/>
  <c r="K231" i="1" s="1"/>
  <c r="S32" i="1"/>
  <c r="O24" i="1"/>
  <c r="E23" i="1"/>
  <c r="F39" i="1"/>
  <c r="E32" i="1"/>
  <c r="E194" i="1" s="1"/>
  <c r="AH7" i="6" s="1"/>
  <c r="CC24" i="1"/>
  <c r="CA39" i="1"/>
  <c r="CD46" i="1"/>
  <c r="CD14" i="1"/>
  <c r="BL14" i="1"/>
  <c r="CE13" i="1"/>
  <c r="CE23" i="1"/>
  <c r="CD23" i="1"/>
  <c r="Y171" i="1"/>
  <c r="X136" i="1"/>
  <c r="Q46" i="1"/>
  <c r="D45" i="1"/>
  <c r="BZ24" i="1"/>
  <c r="P7" i="6" s="1"/>
  <c r="CA22" i="1"/>
  <c r="CA24" i="1"/>
  <c r="BY24" i="1"/>
  <c r="BL24" i="1"/>
  <c r="IR16" i="4" s="1"/>
  <c r="AL51" i="1"/>
  <c r="L51" i="1"/>
  <c r="V21" i="1"/>
  <c r="Q45" i="1"/>
  <c r="U36" i="1"/>
  <c r="T9" i="1"/>
  <c r="R20" i="1"/>
  <c r="C39" i="1"/>
  <c r="F51" i="1"/>
  <c r="I25" i="1"/>
  <c r="W15" i="1"/>
  <c r="W21" i="1"/>
  <c r="W22" i="1"/>
  <c r="D22" i="1"/>
  <c r="T25" i="1"/>
  <c r="H46" i="1"/>
  <c r="F13" i="1"/>
  <c r="W46" i="1"/>
  <c r="V22" i="1"/>
  <c r="U45" i="1"/>
  <c r="JD16" i="4" s="1"/>
  <c r="P21" i="1"/>
  <c r="AL45" i="1"/>
  <c r="D15" i="1"/>
  <c r="I24" i="1"/>
  <c r="B25" i="1"/>
  <c r="B39" i="1"/>
  <c r="H51" i="1"/>
  <c r="M47" i="1"/>
  <c r="Q36" i="1"/>
  <c r="U13" i="1"/>
  <c r="J13" i="1"/>
  <c r="BY13" i="1"/>
  <c r="JM16" i="4" s="1"/>
  <c r="BL9" i="1"/>
  <c r="W7" i="6" s="1"/>
  <c r="CE45" i="1"/>
  <c r="CB15" i="1"/>
  <c r="CC15" i="1"/>
  <c r="CE15" i="1"/>
  <c r="BL39" i="1"/>
  <c r="S7" i="6" s="1"/>
  <c r="BZ15" i="1"/>
  <c r="AI7" i="6" s="1"/>
  <c r="JN16" i="4" s="1"/>
  <c r="X36" i="1"/>
  <c r="CJ46" i="1"/>
  <c r="X143" i="1"/>
  <c r="CA36" i="1"/>
  <c r="CJ21" i="1"/>
  <c r="X146" i="1"/>
  <c r="Z118" i="1"/>
  <c r="CG118" i="1" s="1"/>
  <c r="CH118" i="1" s="1"/>
  <c r="AA7" i="6" s="1"/>
  <c r="CH45" i="1"/>
  <c r="Z172" i="1"/>
  <c r="CH39" i="1"/>
  <c r="Y46" i="1"/>
  <c r="X35" i="1"/>
  <c r="Y135" i="1"/>
  <c r="Y131" i="1" s="1"/>
  <c r="Z13" i="1"/>
  <c r="CG20" i="1"/>
  <c r="CB13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51" i="1"/>
  <c r="CJ36" i="1"/>
  <c r="CJ252" i="1" s="1"/>
  <c r="CH22" i="1"/>
  <c r="V8" i="1"/>
  <c r="V231" i="1" s="1"/>
  <c r="Y146" i="1"/>
  <c r="CI8" i="1"/>
  <c r="CL98" i="1" s="1"/>
  <c r="CL99" i="1" s="1"/>
  <c r="CL102" i="1" s="1"/>
  <c r="CI46" i="1"/>
  <c r="Z146" i="1"/>
  <c r="CG146" i="1" s="1"/>
  <c r="CH146" i="1" s="1"/>
  <c r="Z119" i="1"/>
  <c r="CG119" i="1" s="1"/>
  <c r="C7" i="6" s="1"/>
  <c r="CC8" i="1"/>
  <c r="CC231" i="1" s="1"/>
  <c r="BL21" i="1"/>
  <c r="CD9" i="1"/>
  <c r="BY39" i="1"/>
  <c r="CE51" i="1"/>
  <c r="CF21" i="1"/>
  <c r="CE47" i="1"/>
  <c r="BZ20" i="1"/>
  <c r="CC45" i="1"/>
  <c r="CE9" i="1"/>
  <c r="CB21" i="1"/>
  <c r="Y147" i="1"/>
  <c r="BY20" i="1"/>
  <c r="BY26" i="1" s="1"/>
  <c r="CE21" i="1"/>
  <c r="JN15" i="4" s="1"/>
  <c r="Y45" i="1"/>
  <c r="CG46" i="1"/>
  <c r="BZ35" i="1"/>
  <c r="Z153" i="1"/>
  <c r="CG21" i="1"/>
  <c r="Z155" i="1"/>
  <c r="CG155" i="1" s="1"/>
  <c r="CH155" i="1" s="1"/>
  <c r="X164" i="1"/>
  <c r="CI51" i="1"/>
  <c r="X144" i="1"/>
  <c r="Z127" i="1"/>
  <c r="CG127" i="1" s="1"/>
  <c r="CH127" i="1" s="1"/>
  <c r="Y15" i="1"/>
  <c r="X126" i="1"/>
  <c r="X154" i="1" s="1"/>
  <c r="X160" i="1"/>
  <c r="Z21" i="1"/>
  <c r="Y159" i="1"/>
  <c r="CG36" i="1"/>
  <c r="Z171" i="1"/>
  <c r="CG8" i="1"/>
  <c r="Y24" i="1"/>
  <c r="CI23" i="1"/>
  <c r="CM23" i="1" s="1"/>
  <c r="CQ23" i="1" s="1"/>
  <c r="CU23" i="1" s="1"/>
  <c r="CY23" i="1" s="1"/>
  <c r="Y172" i="1"/>
  <c r="Y51" i="1"/>
  <c r="BY35" i="1"/>
  <c r="BY36" i="1"/>
  <c r="CD8" i="1"/>
  <c r="CE8" i="1"/>
  <c r="R7" i="6" s="1"/>
  <c r="BL47" i="1"/>
  <c r="CC14" i="1"/>
  <c r="AK7" i="6" s="1"/>
  <c r="CA23" i="1"/>
  <c r="AM7" i="6" s="1"/>
  <c r="CC23" i="1"/>
  <c r="JP16" i="4" s="1"/>
  <c r="Z142" i="1"/>
  <c r="CG142" i="1" s="1"/>
  <c r="CF15" i="1"/>
  <c r="CB32" i="1"/>
  <c r="CB194" i="1" s="1"/>
  <c r="X140" i="1"/>
  <c r="CJ24" i="1"/>
  <c r="Y155" i="1"/>
  <c r="Z140" i="1"/>
  <c r="CF45" i="1"/>
  <c r="Z170" i="1"/>
  <c r="Z173" i="1" s="1"/>
  <c r="CJ51" i="1"/>
  <c r="Z73" i="1"/>
  <c r="CG9" i="1"/>
  <c r="CG24" i="1"/>
  <c r="CI21" i="1"/>
  <c r="JP8" i="4" s="1"/>
  <c r="CJ47" i="1"/>
  <c r="Z133" i="1"/>
  <c r="CG133" i="1" s="1"/>
  <c r="X122" i="1"/>
  <c r="CG32" i="1"/>
  <c r="CI47" i="1"/>
  <c r="CI14" i="1"/>
  <c r="Z67" i="1"/>
  <c r="JP9" i="4" s="1"/>
  <c r="CJ14" i="1"/>
  <c r="Y23" i="1"/>
  <c r="Y170" i="1"/>
  <c r="Y173" i="1" s="1"/>
  <c r="X8" i="1"/>
  <c r="X231" i="1" s="1"/>
  <c r="Z9" i="1"/>
  <c r="Z159" i="1"/>
  <c r="CG159" i="1" s="1"/>
  <c r="X163" i="1"/>
  <c r="Y9" i="1"/>
  <c r="Z125" i="1"/>
  <c r="CG125" i="1" s="1"/>
  <c r="CH125" i="1" s="1"/>
  <c r="X39" i="1"/>
  <c r="CJ35" i="1"/>
  <c r="X117" i="1"/>
  <c r="X142" i="1"/>
  <c r="CJ15" i="1"/>
  <c r="X127" i="1"/>
  <c r="X119" i="1"/>
  <c r="Z24" i="1"/>
  <c r="CD22" i="1"/>
  <c r="BZ9" i="1"/>
  <c r="BZ10" i="1" s="1"/>
  <c r="Z39" i="1"/>
  <c r="JO14" i="4" s="1"/>
  <c r="Z51" i="1"/>
  <c r="Z137" i="1"/>
  <c r="CG137" i="1" s="1"/>
  <c r="CH137" i="1" s="1"/>
  <c r="Y142" i="1"/>
  <c r="Y122" i="1"/>
  <c r="Y36" i="1"/>
  <c r="Y132" i="1"/>
  <c r="Y67" i="1"/>
  <c r="CG13" i="1"/>
  <c r="CE39" i="1"/>
  <c r="X150" i="1"/>
  <c r="Z46" i="1"/>
  <c r="Y127" i="1"/>
  <c r="X135" i="1"/>
  <c r="X131" i="1" s="1"/>
  <c r="CG14" i="1"/>
  <c r="CF13" i="1"/>
  <c r="CB35" i="1"/>
  <c r="V7" i="6" s="1"/>
  <c r="CE149" i="1"/>
  <c r="CG73" i="1"/>
  <c r="AY7" i="6" s="1"/>
  <c r="CE14" i="1"/>
  <c r="AG7" i="6" s="1"/>
  <c r="BL45" i="1"/>
  <c r="M7" i="6" s="1"/>
  <c r="H7" i="6" s="1"/>
  <c r="JL9" i="4" s="1"/>
  <c r="AL7" i="6" s="1"/>
  <c r="BY8" i="1"/>
  <c r="CD36" i="1"/>
  <c r="CC36" i="1"/>
  <c r="CC252" i="1" s="1"/>
  <c r="CE146" i="1"/>
  <c r="CF146" i="1" s="1"/>
  <c r="JJ9" i="4" s="1"/>
  <c r="CA8" i="1"/>
  <c r="AW7" i="6" s="1"/>
  <c r="CA32" i="1"/>
  <c r="CA194" i="1" s="1"/>
  <c r="X22" i="1"/>
  <c r="JN8" i="4" s="1"/>
  <c r="Z32" i="1"/>
  <c r="Z194" i="1" s="1"/>
  <c r="Y126" i="1"/>
  <c r="Y154" i="1" s="1"/>
  <c r="CG23" i="1"/>
  <c r="CO23" i="1" s="1"/>
  <c r="CS23" i="1" s="1"/>
  <c r="CW23" i="1" s="1"/>
  <c r="DA23" i="1" s="1"/>
  <c r="X32" i="1"/>
  <c r="X194" i="1" s="1"/>
  <c r="CE20" i="1"/>
  <c r="CC20" i="1"/>
  <c r="X125" i="1"/>
  <c r="X45" i="1"/>
  <c r="CI20" i="1"/>
  <c r="Z160" i="1"/>
  <c r="CG160" i="1" s="1"/>
  <c r="Z45" i="1"/>
  <c r="CJ45" i="1"/>
  <c r="X46" i="1"/>
  <c r="X51" i="1"/>
  <c r="Y47" i="1"/>
  <c r="CI13" i="1"/>
  <c r="CI36" i="1"/>
  <c r="Y164" i="1"/>
  <c r="CI32" i="1"/>
  <c r="Y32" i="1"/>
  <c r="CF36" i="1"/>
  <c r="JN9" i="4" s="1"/>
  <c r="U7" i="6" s="1"/>
  <c r="CD47" i="1"/>
  <c r="K7" i="6" s="1"/>
  <c r="BL35" i="1"/>
  <c r="CH36" i="1"/>
  <c r="CJ63" i="1"/>
  <c r="CI63" i="1" s="1"/>
  <c r="CI22" i="1"/>
  <c r="CF46" i="1"/>
  <c r="BZ45" i="1"/>
  <c r="Z163" i="1"/>
  <c r="Y8" i="1"/>
  <c r="Y231" i="1" s="1"/>
  <c r="CG35" i="1"/>
  <c r="Z117" i="1"/>
  <c r="U8" i="1"/>
  <c r="CJ32" i="1"/>
  <c r="CJ194" i="1" s="1"/>
  <c r="X153" i="1"/>
  <c r="Z15" i="1"/>
  <c r="CG47" i="1"/>
  <c r="X172" i="1"/>
  <c r="X13" i="1"/>
  <c r="CH24" i="1"/>
  <c r="CG22" i="1"/>
  <c r="X20" i="1"/>
  <c r="Y78" i="1"/>
  <c r="X9" i="1"/>
  <c r="Z35" i="1"/>
  <c r="CE122" i="1"/>
  <c r="CF122" i="1" s="1"/>
  <c r="CF9" i="1"/>
  <c r="CI15" i="1"/>
  <c r="Y149" i="1"/>
  <c r="X21" i="1"/>
  <c r="CB23" i="1"/>
  <c r="AR7" i="6" s="1"/>
  <c r="CI35" i="1"/>
  <c r="Z8" i="1"/>
  <c r="CB14" i="1"/>
  <c r="F7" i="6" s="1"/>
  <c r="Z149" i="1"/>
  <c r="CG149" i="1" s="1"/>
  <c r="Y22" i="1"/>
  <c r="CG39" i="1"/>
  <c r="Y137" i="1"/>
  <c r="CI39" i="1"/>
  <c r="Z36" i="1"/>
  <c r="Z252" i="1" s="1"/>
  <c r="X149" i="1"/>
  <c r="CJ23" i="1"/>
  <c r="CN23" i="1" s="1"/>
  <c r="CR23" i="1" s="1"/>
  <c r="CV23" i="1" s="1"/>
  <c r="CZ23" i="1" s="1"/>
  <c r="X155" i="1"/>
  <c r="Z124" i="1"/>
  <c r="CG124" i="1" s="1"/>
  <c r="Y25" i="1"/>
  <c r="X118" i="1"/>
  <c r="Y133" i="1"/>
  <c r="Z78" i="1"/>
  <c r="BY23" i="1"/>
  <c r="BZ13" i="1"/>
  <c r="CA9" i="1"/>
  <c r="BZ46" i="1"/>
  <c r="CD21" i="1"/>
  <c r="CB24" i="1"/>
  <c r="CC51" i="1"/>
  <c r="CE164" i="1"/>
  <c r="CF164" i="1" s="1"/>
  <c r="BZ32" i="1"/>
  <c r="BZ194" i="1" s="1"/>
  <c r="Z164" i="1"/>
  <c r="X79" i="1"/>
  <c r="Y77" i="1"/>
  <c r="BL8" i="1"/>
  <c r="X133" i="1"/>
  <c r="Y140" i="1"/>
  <c r="Y13" i="1"/>
  <c r="AQ7" i="6" s="1"/>
  <c r="X137" i="1"/>
  <c r="Z47" i="1"/>
  <c r="X67" i="1"/>
  <c r="X77" i="1"/>
  <c r="X78" i="1"/>
  <c r="Z145" i="1"/>
  <c r="Z180" i="1" s="1"/>
  <c r="CI9" i="1"/>
  <c r="CJ39" i="1"/>
  <c r="CH14" i="1"/>
  <c r="Y153" i="1"/>
  <c r="X24" i="1"/>
  <c r="CJ8" i="1"/>
  <c r="Y117" i="1"/>
  <c r="Z143" i="1"/>
  <c r="CG143" i="1" s="1"/>
  <c r="CH143" i="1" s="1"/>
  <c r="Y145" i="1"/>
  <c r="Y124" i="1"/>
  <c r="X159" i="1"/>
  <c r="X170" i="1"/>
  <c r="P20" i="1"/>
  <c r="L35" i="1"/>
  <c r="T8" i="1"/>
  <c r="B9" i="1"/>
  <c r="AL24" i="1"/>
  <c r="G39" i="1"/>
  <c r="P160" i="1"/>
  <c r="Q153" i="1"/>
  <c r="V51" i="1"/>
  <c r="D25" i="1"/>
  <c r="I20" i="1"/>
  <c r="CA20" i="1"/>
  <c r="BL32" i="1"/>
  <c r="BL253" i="1" s="1"/>
  <c r="BY46" i="1"/>
  <c r="AP7" i="6" s="1"/>
  <c r="CC13" i="1"/>
  <c r="CE24" i="1"/>
  <c r="BY45" i="1"/>
  <c r="BL20" i="1"/>
  <c r="BL22" i="1"/>
  <c r="CC39" i="1"/>
  <c r="BX8" i="1"/>
  <c r="BY47" i="1"/>
  <c r="BZ39" i="1"/>
  <c r="JJ16" i="4" s="1"/>
  <c r="BZ22" i="1"/>
  <c r="JO9" i="4" s="1"/>
  <c r="Z136" i="1"/>
  <c r="CG136" i="1" s="1"/>
  <c r="CH136" i="1" s="1"/>
  <c r="BL13" i="1"/>
  <c r="CJ13" i="1"/>
  <c r="CJ9" i="1"/>
  <c r="CH32" i="1"/>
  <c r="CH8" i="1"/>
  <c r="CH231" i="1" s="1"/>
  <c r="CJ20" i="1"/>
  <c r="X132" i="1"/>
  <c r="Y163" i="1"/>
  <c r="CI45" i="1"/>
  <c r="W8" i="1"/>
  <c r="Y21" i="1"/>
  <c r="Y160" i="1"/>
  <c r="CI24" i="1"/>
  <c r="Z25" i="1"/>
  <c r="Z20" i="1"/>
  <c r="X25" i="1"/>
  <c r="CB9" i="1"/>
  <c r="CB45" i="1"/>
  <c r="CF8" i="1"/>
  <c r="CF231" i="1" s="1"/>
  <c r="CE36" i="1"/>
  <c r="CC9" i="1"/>
  <c r="AB7" i="6" s="1"/>
  <c r="CB39" i="1"/>
  <c r="X171" i="1"/>
  <c r="Y118" i="1"/>
  <c r="X145" i="1"/>
  <c r="AD7" i="6" s="1"/>
  <c r="Z147" i="1"/>
  <c r="CG147" i="1" s="1"/>
  <c r="CH147" i="1" s="1"/>
  <c r="CH47" i="1"/>
  <c r="CB8" i="1"/>
  <c r="CC47" i="1"/>
  <c r="Z144" i="1"/>
  <c r="Y144" i="1"/>
  <c r="Y150" i="1"/>
  <c r="CJ22" i="1"/>
  <c r="X47" i="1"/>
  <c r="X15" i="1"/>
  <c r="Z151" i="1"/>
  <c r="CG151" i="1" s="1"/>
  <c r="CH151" i="1" s="1"/>
  <c r="X124" i="1"/>
  <c r="Y119" i="1"/>
  <c r="Z132" i="1"/>
  <c r="CG132" i="1" s="1"/>
  <c r="CH20" i="1"/>
  <c r="Z126" i="1"/>
  <c r="CG126" i="1" s="1"/>
  <c r="CH126" i="1" s="1"/>
  <c r="X147" i="1"/>
  <c r="Z22" i="1"/>
  <c r="CG45" i="1"/>
  <c r="Y20" i="1"/>
  <c r="CH21" i="1"/>
  <c r="CA35" i="1"/>
  <c r="BZ21" i="1"/>
  <c r="CA45" i="1"/>
  <c r="BZ47" i="1"/>
  <c r="J7" i="6" s="1"/>
  <c r="CD32" i="1"/>
  <c r="CD194" i="1" s="1"/>
  <c r="CE32" i="1"/>
  <c r="BY21" i="1"/>
  <c r="BZ36" i="1"/>
  <c r="CB51" i="1"/>
  <c r="CG15" i="1"/>
  <c r="Y151" i="1"/>
  <c r="CF35" i="1"/>
  <c r="CH15" i="1"/>
  <c r="CH9" i="1"/>
  <c r="Z79" i="1"/>
  <c r="Y136" i="1"/>
  <c r="Y39" i="1"/>
  <c r="CH51" i="1"/>
  <c r="CH13" i="1"/>
  <c r="X151" i="1"/>
  <c r="Z122" i="1"/>
  <c r="CG122" i="1" s="1"/>
  <c r="CH122" i="1" s="1"/>
  <c r="CH46" i="1"/>
  <c r="CH35" i="1"/>
  <c r="X23" i="1"/>
  <c r="Z135" i="1"/>
  <c r="CG135" i="1" s="1"/>
  <c r="CH135" i="1" s="1"/>
  <c r="Z77" i="1"/>
  <c r="Z150" i="1"/>
  <c r="CG150" i="1" s="1"/>
  <c r="CH150" i="1" s="1"/>
  <c r="A1" i="1"/>
  <c r="JQ15" i="4"/>
  <c r="JQ20" i="4" s="1"/>
  <c r="CK79" i="1" s="1"/>
  <c r="CK108" i="1" s="1"/>
  <c r="KF20" i="4"/>
  <c r="CK40" i="1"/>
  <c r="CK41" i="1"/>
  <c r="JS19" i="4"/>
  <c r="JQ19" i="4"/>
  <c r="CK78" i="1" s="1"/>
  <c r="JY20" i="4"/>
  <c r="JX20" i="4"/>
  <c r="JX19" i="4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CI160" i="1"/>
  <c r="Z74" i="1"/>
  <c r="CM45" i="1"/>
  <c r="CN45" i="1" s="1"/>
  <c r="CO45" i="1" s="1"/>
  <c r="CP45" i="1" s="1"/>
  <c r="CE194" i="1"/>
  <c r="Z154" i="1"/>
  <c r="CG154" i="1" s="1"/>
  <c r="CH154" i="1" s="1"/>
  <c r="CM46" i="1"/>
  <c r="CN46" i="1" s="1"/>
  <c r="CO46" i="1" s="1"/>
  <c r="CP46" i="1" s="1"/>
  <c r="BZ231" i="1"/>
  <c r="JI8" i="4"/>
  <c r="O194" i="1"/>
  <c r="O253" i="1"/>
  <c r="U194" i="1"/>
  <c r="N194" i="1"/>
  <c r="R252" i="1"/>
  <c r="IU8" i="4"/>
  <c r="HX8" i="4"/>
  <c r="JH7" i="4"/>
  <c r="CF194" i="1"/>
  <c r="D253" i="1"/>
  <c r="D194" i="1"/>
  <c r="I231" i="1"/>
  <c r="R231" i="1"/>
  <c r="I194" i="1"/>
  <c r="I253" i="1"/>
  <c r="O231" i="1"/>
  <c r="IR7" i="4"/>
  <c r="Z179" i="1"/>
  <c r="CG144" i="1"/>
  <c r="CB231" i="1"/>
  <c r="CB252" i="1"/>
  <c r="JK7" i="4"/>
  <c r="BL194" i="1"/>
  <c r="IA8" i="4"/>
  <c r="S194" i="1"/>
  <c r="S253" i="1"/>
  <c r="R194" i="1"/>
  <c r="R253" i="1"/>
  <c r="S252" i="1"/>
  <c r="J194" i="1"/>
  <c r="G252" i="1"/>
  <c r="U252" i="1"/>
  <c r="D231" i="1"/>
  <c r="HS7" i="4"/>
  <c r="BV1" i="1"/>
  <c r="BW1" i="1" s="1"/>
  <c r="BX1" i="1" s="1"/>
  <c r="AX89" i="3"/>
  <c r="BD67" i="3"/>
  <c r="BA59" i="3"/>
  <c r="D71" i="3"/>
  <c r="AM155" i="1" l="1"/>
  <c r="AN155" i="1" s="1"/>
  <c r="AM127" i="1"/>
  <c r="AN127" i="1" s="1"/>
  <c r="IC16" i="4" s="1"/>
  <c r="JI9" i="4" s="1"/>
  <c r="AK183" i="1"/>
  <c r="AL183" i="1" s="1"/>
  <c r="AM163" i="1"/>
  <c r="AN163" i="1" s="1"/>
  <c r="JE8" i="4" s="1"/>
  <c r="IX7" i="4" s="1"/>
  <c r="IF21" i="4"/>
  <c r="AZ77" i="1" s="1"/>
  <c r="IL16" i="4" s="1"/>
  <c r="IL21" i="4" s="1"/>
  <c r="BF77" i="1" s="1"/>
  <c r="AM117" i="1"/>
  <c r="AN117" i="1" s="1"/>
  <c r="JF16" i="4" s="1"/>
  <c r="AM135" i="1"/>
  <c r="AN135" i="1" s="1"/>
  <c r="ID9" i="4" s="1"/>
  <c r="CD142" i="1"/>
  <c r="AK194" i="1"/>
  <c r="AJ117" i="1"/>
  <c r="M194" i="1"/>
  <c r="IP21" i="4"/>
  <c r="BJ77" i="1" s="1"/>
  <c r="HX21" i="4"/>
  <c r="AR77" i="1" s="1"/>
  <c r="HQ21" i="4"/>
  <c r="AK77" i="1" s="1"/>
  <c r="CD117" i="1"/>
  <c r="CC202" i="1"/>
  <c r="AM131" i="1"/>
  <c r="AM143" i="1"/>
  <c r="AN143" i="1" s="1"/>
  <c r="CE159" i="1"/>
  <c r="CE161" i="1" s="1"/>
  <c r="CE74" i="1"/>
  <c r="CE153" i="1"/>
  <c r="CE137" i="1"/>
  <c r="CF137" i="1" s="1"/>
  <c r="CE124" i="1"/>
  <c r="CF124" i="1" s="1"/>
  <c r="X73" i="1"/>
  <c r="CC134" i="1"/>
  <c r="CG74" i="1"/>
  <c r="AN7" i="6" s="1"/>
  <c r="Y7" i="6" s="1"/>
  <c r="CE127" i="1"/>
  <c r="CF127" i="1" s="1"/>
  <c r="CC180" i="1"/>
  <c r="CD180" i="1" s="1"/>
  <c r="CC161" i="1"/>
  <c r="CE140" i="1"/>
  <c r="CF140" i="1" s="1"/>
  <c r="O252" i="1"/>
  <c r="IJ14" i="4" s="1"/>
  <c r="CE118" i="1"/>
  <c r="CE133" i="1"/>
  <c r="CE147" i="1"/>
  <c r="CF147" i="1" s="1"/>
  <c r="CG163" i="1"/>
  <c r="CH163" i="1" s="1"/>
  <c r="JO16" i="4" s="1"/>
  <c r="JO21" i="4" s="1"/>
  <c r="CI77" i="1" s="1"/>
  <c r="CG164" i="1"/>
  <c r="CH164" i="1" s="1"/>
  <c r="X74" i="1"/>
  <c r="CE98" i="1"/>
  <c r="CE252" i="1"/>
  <c r="CA202" i="1"/>
  <c r="BY183" i="1"/>
  <c r="BZ183" i="1" s="1"/>
  <c r="BY161" i="1"/>
  <c r="BY180" i="1"/>
  <c r="BZ180" i="1" s="1"/>
  <c r="AK161" i="1"/>
  <c r="CC179" i="1"/>
  <c r="CD179" i="1" s="1"/>
  <c r="IT21" i="4"/>
  <c r="BN77" i="1" s="1"/>
  <c r="HP21" i="4"/>
  <c r="AJ77" i="1" s="1"/>
  <c r="JG7" i="4" s="1"/>
  <c r="IC7" i="4" s="1"/>
  <c r="IF8" i="4" s="1"/>
  <c r="JF21" i="4"/>
  <c r="BZ77" i="1" s="1"/>
  <c r="N26" i="1"/>
  <c r="CA161" i="1"/>
  <c r="AM252" i="1"/>
  <c r="JE15" i="4" s="1"/>
  <c r="HQ20" i="4"/>
  <c r="AK79" i="1" s="1"/>
  <c r="IH16" i="4" s="1"/>
  <c r="IH21" i="4" s="1"/>
  <c r="BB77" i="1" s="1"/>
  <c r="IR8" i="4" s="1"/>
  <c r="IK16" i="4" s="1"/>
  <c r="ID21" i="4"/>
  <c r="AX77" i="1" s="1"/>
  <c r="IK9" i="4" s="1"/>
  <c r="O10" i="1"/>
  <c r="AI134" i="1"/>
  <c r="AJ33" i="1" s="1"/>
  <c r="JC21" i="4"/>
  <c r="BW77" i="1" s="1"/>
  <c r="JE9" i="4" s="1"/>
  <c r="JI21" i="4"/>
  <c r="CC77" i="1" s="1"/>
  <c r="M26" i="1"/>
  <c r="HV8" i="4" s="1"/>
  <c r="L26" i="1"/>
  <c r="IZ15" i="4" s="1"/>
  <c r="AJ26" i="1"/>
  <c r="HQ14" i="4" s="1"/>
  <c r="JH21" i="4"/>
  <c r="CB77" i="1" s="1"/>
  <c r="II21" i="4"/>
  <c r="BC77" i="1" s="1"/>
  <c r="F252" i="1"/>
  <c r="JA21" i="4"/>
  <c r="BU77" i="1" s="1"/>
  <c r="B253" i="1"/>
  <c r="B26" i="1"/>
  <c r="CA142" i="1"/>
  <c r="IR21" i="4"/>
  <c r="BL77" i="1" s="1"/>
  <c r="JJ21" i="4"/>
  <c r="CD77" i="1" s="1"/>
  <c r="W194" i="1"/>
  <c r="AL231" i="1"/>
  <c r="L194" i="1"/>
  <c r="L253" i="1"/>
  <c r="HU21" i="4"/>
  <c r="AO77" i="1" s="1"/>
  <c r="AL117" i="1"/>
  <c r="CJ149" i="1"/>
  <c r="CD163" i="1"/>
  <c r="J10" i="1"/>
  <c r="B231" i="1"/>
  <c r="N252" i="1"/>
  <c r="M253" i="1"/>
  <c r="IB21" i="4"/>
  <c r="AV77" i="1" s="1"/>
  <c r="AM231" i="1"/>
  <c r="AM10" i="1"/>
  <c r="AM16" i="1" s="1"/>
  <c r="AL252" i="1"/>
  <c r="JK21" i="4"/>
  <c r="CE77" i="1" s="1"/>
  <c r="CD252" i="1"/>
  <c r="J253" i="1"/>
  <c r="K10" i="1"/>
  <c r="L10" i="1"/>
  <c r="L231" i="1"/>
  <c r="F231" i="1"/>
  <c r="F10" i="1"/>
  <c r="B252" i="1"/>
  <c r="D10" i="1"/>
  <c r="M231" i="1"/>
  <c r="M10" i="1"/>
  <c r="M252" i="1"/>
  <c r="AM154" i="1"/>
  <c r="AN154" i="1" s="1"/>
  <c r="CG140" i="1"/>
  <c r="AA202" i="1"/>
  <c r="IL8" i="4"/>
  <c r="AM180" i="1"/>
  <c r="AN180" i="1" s="1"/>
  <c r="IN14" i="4"/>
  <c r="JI15" i="4"/>
  <c r="HS15" i="4"/>
  <c r="JG21" i="4"/>
  <c r="CA77" i="1" s="1"/>
  <c r="IC8" i="4"/>
  <c r="HR21" i="4"/>
  <c r="AL77" i="1" s="1"/>
  <c r="JF15" i="4"/>
  <c r="HR15" i="4"/>
  <c r="IE8" i="4"/>
  <c r="IU14" i="4"/>
  <c r="JD8" i="4"/>
  <c r="IS15" i="4"/>
  <c r="IH8" i="4"/>
  <c r="HP8" i="4"/>
  <c r="IO15" i="4"/>
  <c r="HS14" i="4"/>
  <c r="IE7" i="4"/>
  <c r="IP15" i="4"/>
  <c r="HZ7" i="4"/>
  <c r="HW14" i="4"/>
  <c r="HP15" i="4"/>
  <c r="IM8" i="4"/>
  <c r="IK15" i="4"/>
  <c r="HP7" i="4"/>
  <c r="HQ7" i="4"/>
  <c r="IC21" i="4"/>
  <c r="AW77" i="1" s="1"/>
  <c r="IG7" i="4"/>
  <c r="H252" i="1"/>
  <c r="IW8" i="4"/>
  <c r="BX26" i="1"/>
  <c r="IK8" i="4"/>
  <c r="IR15" i="4"/>
  <c r="IR20" i="4" s="1"/>
  <c r="BL79" i="1" s="1"/>
  <c r="H26" i="1"/>
  <c r="IN8" i="4"/>
  <c r="P183" i="1"/>
  <c r="IZ8" i="4"/>
  <c r="HV14" i="4"/>
  <c r="IN21" i="4"/>
  <c r="BH77" i="1" s="1"/>
  <c r="HY7" i="4"/>
  <c r="IP8" i="4"/>
  <c r="HR7" i="4"/>
  <c r="P252" i="1"/>
  <c r="JI14" i="4"/>
  <c r="HX7" i="4"/>
  <c r="IU15" i="4"/>
  <c r="AK26" i="1"/>
  <c r="IM7" i="4"/>
  <c r="IA14" i="4"/>
  <c r="IB15" i="4"/>
  <c r="JB8" i="4"/>
  <c r="CI252" i="1"/>
  <c r="X10" i="1"/>
  <c r="X98" i="1" s="1"/>
  <c r="IX8" i="4"/>
  <c r="CL135" i="1"/>
  <c r="CM135" i="1" s="1"/>
  <c r="CN135" i="1" s="1"/>
  <c r="CO135" i="1" s="1"/>
  <c r="CI138" i="1"/>
  <c r="CJ134" i="1"/>
  <c r="CL125" i="1"/>
  <c r="CM125" i="1" s="1"/>
  <c r="CN125" i="1" s="1"/>
  <c r="CO125" i="1" s="1"/>
  <c r="CB124" i="1"/>
  <c r="CB128" i="1" s="1"/>
  <c r="CA128" i="1"/>
  <c r="BZ117" i="1"/>
  <c r="BY120" i="1"/>
  <c r="BY128" i="1"/>
  <c r="BZ124" i="1"/>
  <c r="BZ128" i="1" s="1"/>
  <c r="CB149" i="1"/>
  <c r="CA156" i="1"/>
  <c r="CA185" i="1" s="1"/>
  <c r="AJ118" i="1"/>
  <c r="AI120" i="1"/>
  <c r="CB117" i="1"/>
  <c r="CA120" i="1"/>
  <c r="AI202" i="1"/>
  <c r="AJ140" i="1"/>
  <c r="AK202" i="1" s="1"/>
  <c r="AI128" i="1"/>
  <c r="AJ124" i="1"/>
  <c r="AJ128" i="1" s="1"/>
  <c r="AJ206" i="1" s="1"/>
  <c r="CL127" i="1"/>
  <c r="CM127" i="1" s="1"/>
  <c r="CN127" i="1" s="1"/>
  <c r="CO127" i="1" s="1"/>
  <c r="AL194" i="1"/>
  <c r="AL253" i="1"/>
  <c r="CD143" i="1"/>
  <c r="CC148" i="1"/>
  <c r="CC182" i="1" s="1"/>
  <c r="CC128" i="1"/>
  <c r="CC168" i="1" s="1"/>
  <c r="CD124" i="1"/>
  <c r="CD128" i="1" s="1"/>
  <c r="AJ231" i="1"/>
  <c r="AJ10" i="1"/>
  <c r="AM98" i="1"/>
  <c r="CL122" i="1"/>
  <c r="CM122" i="1" s="1"/>
  <c r="CN122" i="1" s="1"/>
  <c r="CO122" i="1" s="1"/>
  <c r="P10" i="1"/>
  <c r="P231" i="1"/>
  <c r="CL133" i="1"/>
  <c r="CM133" i="1" s="1"/>
  <c r="CN133" i="1" s="1"/>
  <c r="CO133" i="1" s="1"/>
  <c r="P194" i="1"/>
  <c r="P253" i="1"/>
  <c r="G194" i="1"/>
  <c r="G253" i="1"/>
  <c r="AK231" i="1"/>
  <c r="AK10" i="1"/>
  <c r="AM253" i="1"/>
  <c r="AM194" i="1"/>
  <c r="JD21" i="4"/>
  <c r="BX77" i="1" s="1"/>
  <c r="IW21" i="4"/>
  <c r="BQ77" i="1" s="1"/>
  <c r="HZ21" i="4"/>
  <c r="AT77" i="1" s="1"/>
  <c r="IX14" i="4"/>
  <c r="IX19" i="4" s="1"/>
  <c r="BR78" i="1" s="1"/>
  <c r="JF7" i="4"/>
  <c r="AM134" i="1"/>
  <c r="HT8" i="4"/>
  <c r="HT20" i="4" s="1"/>
  <c r="AN79" i="1" s="1"/>
  <c r="JD14" i="4"/>
  <c r="V253" i="1"/>
  <c r="JE14" i="4"/>
  <c r="JE19" i="4" s="1"/>
  <c r="BY78" i="1" s="1"/>
  <c r="JB21" i="4"/>
  <c r="BV77" i="1" s="1"/>
  <c r="IY21" i="4"/>
  <c r="BS77" i="1" s="1"/>
  <c r="IS7" i="4"/>
  <c r="IW14" i="4"/>
  <c r="IW19" i="4" s="1"/>
  <c r="BQ78" i="1" s="1"/>
  <c r="HW8" i="4"/>
  <c r="JA14" i="4"/>
  <c r="JA19" i="4" s="1"/>
  <c r="BU78" i="1" s="1"/>
  <c r="IS20" i="4"/>
  <c r="BM79" i="1" s="1"/>
  <c r="I10" i="1"/>
  <c r="Y252" i="1"/>
  <c r="JM14" i="4"/>
  <c r="IY8" i="4"/>
  <c r="IH15" i="4"/>
  <c r="IH20" i="4" s="1"/>
  <c r="BB79" i="1" s="1"/>
  <c r="JC8" i="4"/>
  <c r="AL10" i="1"/>
  <c r="AL16" i="1" s="1"/>
  <c r="HY19" i="4"/>
  <c r="AS78" i="1" s="1"/>
  <c r="I252" i="1"/>
  <c r="R26" i="1"/>
  <c r="R27" i="1" s="1"/>
  <c r="JL7" i="4"/>
  <c r="JP15" i="4"/>
  <c r="JP20" i="4" s="1"/>
  <c r="CJ79" i="1" s="1"/>
  <c r="IB8" i="4"/>
  <c r="IZ14" i="4"/>
  <c r="IZ19" i="4" s="1"/>
  <c r="BT78" i="1" s="1"/>
  <c r="K252" i="1"/>
  <c r="J252" i="1"/>
  <c r="T26" i="1"/>
  <c r="JL8" i="4"/>
  <c r="JP7" i="4"/>
  <c r="JJ15" i="4"/>
  <c r="Y134" i="1"/>
  <c r="Y183" i="1"/>
  <c r="Y120" i="1"/>
  <c r="X173" i="1"/>
  <c r="P26" i="1"/>
  <c r="B10" i="1"/>
  <c r="AL26" i="1"/>
  <c r="AL27" i="1" s="1"/>
  <c r="I26" i="1"/>
  <c r="JM7" i="4"/>
  <c r="CH253" i="1"/>
  <c r="CJ26" i="1"/>
  <c r="Z26" i="1"/>
  <c r="JJ8" i="4"/>
  <c r="AK148" i="1"/>
  <c r="AL143" i="1"/>
  <c r="AL140" i="1"/>
  <c r="CF33" i="1"/>
  <c r="CE138" i="1"/>
  <c r="BY148" i="1"/>
  <c r="BZ147" i="1"/>
  <c r="CD10" i="1"/>
  <c r="CD231" i="1"/>
  <c r="CE231" i="1"/>
  <c r="CE10" i="1"/>
  <c r="BY231" i="1"/>
  <c r="BY179" i="1"/>
  <c r="BZ179" i="1" s="1"/>
  <c r="BZ144" i="1" s="1"/>
  <c r="CL40" i="1"/>
  <c r="CL41" i="1"/>
  <c r="CL103" i="1"/>
  <c r="CL107" i="1"/>
  <c r="CA134" i="1"/>
  <c r="AK120" i="1"/>
  <c r="AI156" i="1"/>
  <c r="AI197" i="1" s="1"/>
  <c r="JA8" i="4"/>
  <c r="ID7" i="4"/>
  <c r="IO7" i="4"/>
  <c r="IV15" i="4"/>
  <c r="IV20" i="4" s="1"/>
  <c r="BP79" i="1" s="1"/>
  <c r="IJ8" i="4"/>
  <c r="IJ20" i="4" s="1"/>
  <c r="BD79" i="1" s="1"/>
  <c r="JH15" i="4"/>
  <c r="IL14" i="4"/>
  <c r="IL19" i="4" s="1"/>
  <c r="BF78" i="1" s="1"/>
  <c r="CD26" i="1"/>
  <c r="HS8" i="4"/>
  <c r="HS20" i="4" s="1"/>
  <c r="AM79" i="1" s="1"/>
  <c r="HS21" i="4"/>
  <c r="AM77" i="1" s="1"/>
  <c r="JF8" i="4"/>
  <c r="JF20" i="4" s="1"/>
  <c r="BZ79" i="1" s="1"/>
  <c r="HV15" i="4"/>
  <c r="HV20" i="4" s="1"/>
  <c r="AP79" i="1" s="1"/>
  <c r="IY7" i="4"/>
  <c r="IY19" i="4" s="1"/>
  <c r="BS78" i="1" s="1"/>
  <c r="AM26" i="1"/>
  <c r="AI148" i="1"/>
  <c r="JF14" i="4"/>
  <c r="IG14" i="4"/>
  <c r="IG19" i="4" s="1"/>
  <c r="BA78" i="1" s="1"/>
  <c r="JE21" i="4"/>
  <c r="BY77" i="1" s="1"/>
  <c r="IK21" i="4"/>
  <c r="BE77" i="1" s="1"/>
  <c r="IM21" i="4"/>
  <c r="BG77" i="1" s="1"/>
  <c r="ID14" i="4"/>
  <c r="ID15" i="4"/>
  <c r="CC156" i="1"/>
  <c r="IE15" i="4"/>
  <c r="IE20" i="4" s="1"/>
  <c r="AY79" i="1" s="1"/>
  <c r="IX15" i="4"/>
  <c r="IX20" i="4" s="1"/>
  <c r="BR79" i="1" s="1"/>
  <c r="Q26" i="1"/>
  <c r="IH14" i="4"/>
  <c r="IH19" i="4" s="1"/>
  <c r="BB78" i="1" s="1"/>
  <c r="IE14" i="4"/>
  <c r="IE19" i="4" s="1"/>
  <c r="AY78" i="1" s="1"/>
  <c r="HY8" i="4"/>
  <c r="JH14" i="4"/>
  <c r="JH19" i="4" s="1"/>
  <c r="CB78" i="1" s="1"/>
  <c r="IQ21" i="4"/>
  <c r="BK77" i="1" s="1"/>
  <c r="HY15" i="4"/>
  <c r="HY20" i="4" s="1"/>
  <c r="AS79" i="1" s="1"/>
  <c r="JC7" i="4"/>
  <c r="JC19" i="4" s="1"/>
  <c r="BW78" i="1" s="1"/>
  <c r="IE21" i="4"/>
  <c r="AY77" i="1" s="1"/>
  <c r="HT14" i="4"/>
  <c r="HT19" i="4" s="1"/>
  <c r="AN78" i="1" s="1"/>
  <c r="IO14" i="4"/>
  <c r="HW15" i="4"/>
  <c r="IG21" i="4"/>
  <c r="BA77" i="1" s="1"/>
  <c r="J26" i="1"/>
  <c r="J27" i="1" s="1"/>
  <c r="S26" i="1"/>
  <c r="JH8" i="4"/>
  <c r="IT7" i="4"/>
  <c r="JB14" i="4"/>
  <c r="JB19" i="4" s="1"/>
  <c r="BV78" i="1" s="1"/>
  <c r="JD7" i="4"/>
  <c r="IT15" i="4"/>
  <c r="IT8" i="4"/>
  <c r="C26" i="1"/>
  <c r="JK15" i="4"/>
  <c r="IY15" i="4"/>
  <c r="IY20" i="4" s="1"/>
  <c r="BS79" i="1" s="1"/>
  <c r="IX21" i="4"/>
  <c r="BR77" i="1" s="1"/>
  <c r="N10" i="1"/>
  <c r="BJ26" i="1"/>
  <c r="CE134" i="1"/>
  <c r="CF134" i="1" s="1"/>
  <c r="IA7" i="4"/>
  <c r="JJ14" i="4"/>
  <c r="JJ19" i="4" s="1"/>
  <c r="CD78" i="1" s="1"/>
  <c r="JG15" i="4"/>
  <c r="JG20" i="4" s="1"/>
  <c r="CA79" i="1" s="1"/>
  <c r="W26" i="1"/>
  <c r="IG15" i="4"/>
  <c r="JN21" i="4"/>
  <c r="CH77" i="1" s="1"/>
  <c r="JO7" i="4"/>
  <c r="JO19" i="4" s="1"/>
  <c r="CI78" i="1" s="1"/>
  <c r="X148" i="1"/>
  <c r="CK98" i="1"/>
  <c r="CK99" i="1" s="1"/>
  <c r="JL15" i="4"/>
  <c r="JL20" i="4" s="1"/>
  <c r="CF79" i="1" s="1"/>
  <c r="JP21" i="4"/>
  <c r="CJ77" i="1" s="1"/>
  <c r="CG161" i="1"/>
  <c r="CH209" i="1" s="1"/>
  <c r="X120" i="1"/>
  <c r="X175" i="1" s="1"/>
  <c r="CE26" i="1"/>
  <c r="X26" i="1"/>
  <c r="CB10" i="1"/>
  <c r="CC10" i="1"/>
  <c r="Y179" i="1"/>
  <c r="X128" i="1"/>
  <c r="CH26" i="1"/>
  <c r="JL14" i="4"/>
  <c r="JL19" i="4" s="1"/>
  <c r="CF78" i="1" s="1"/>
  <c r="JK14" i="4"/>
  <c r="JK19" i="4" s="1"/>
  <c r="CE78" i="1" s="1"/>
  <c r="CE253" i="1"/>
  <c r="JN7" i="4"/>
  <c r="JP14" i="4"/>
  <c r="JP19" i="4" s="1"/>
  <c r="CJ78" i="1" s="1"/>
  <c r="CI161" i="1"/>
  <c r="CL126" i="1"/>
  <c r="CM126" i="1" s="1"/>
  <c r="CN126" i="1" s="1"/>
  <c r="CO126" i="1" s="1"/>
  <c r="H10" i="1"/>
  <c r="H231" i="1"/>
  <c r="K194" i="1"/>
  <c r="K253" i="1"/>
  <c r="CL163" i="1"/>
  <c r="CM163" i="1" s="1"/>
  <c r="CN163" i="1" s="1"/>
  <c r="CO163" i="1" s="1"/>
  <c r="G231" i="1"/>
  <c r="G183" i="1"/>
  <c r="CC194" i="1"/>
  <c r="CC253" i="1"/>
  <c r="CB142" i="1"/>
  <c r="H253" i="1"/>
  <c r="H194" i="1"/>
  <c r="N253" i="1"/>
  <c r="N231" i="1"/>
  <c r="C10" i="1"/>
  <c r="C252" i="1"/>
  <c r="C231" i="1"/>
  <c r="CG153" i="1"/>
  <c r="Z183" i="1"/>
  <c r="CG252" i="1"/>
  <c r="CG231" i="1"/>
  <c r="CE156" i="1"/>
  <c r="CF149" i="1"/>
  <c r="CA231" i="1"/>
  <c r="CA183" i="1"/>
  <c r="CB183" i="1" s="1"/>
  <c r="CI132" i="1"/>
  <c r="CI194" i="1"/>
  <c r="Y253" i="1"/>
  <c r="Y194" i="1"/>
  <c r="CG117" i="1"/>
  <c r="Z120" i="1"/>
  <c r="AA207" i="1" s="1"/>
  <c r="U231" i="1"/>
  <c r="U253" i="1"/>
  <c r="Z231" i="1"/>
  <c r="Z10" i="1"/>
  <c r="CJ231" i="1"/>
  <c r="CJ10" i="1"/>
  <c r="T231" i="1"/>
  <c r="T10" i="1"/>
  <c r="CA98" i="1"/>
  <c r="BX231" i="1"/>
  <c r="BX253" i="1"/>
  <c r="W231" i="1"/>
  <c r="W253" i="1"/>
  <c r="W252" i="1"/>
  <c r="CL104" i="1"/>
  <c r="CL108" i="1"/>
  <c r="CI120" i="1"/>
  <c r="CG202" i="1"/>
  <c r="AK156" i="1"/>
  <c r="AK185" i="1" s="1"/>
  <c r="AK184" i="1" s="1"/>
  <c r="AL184" i="1" s="1"/>
  <c r="AL185" i="1" s="1"/>
  <c r="CI156" i="1"/>
  <c r="CI185" i="1" s="1"/>
  <c r="BY156" i="1"/>
  <c r="BY185" i="1" s="1"/>
  <c r="BY184" i="1" s="1"/>
  <c r="BZ184" i="1" s="1"/>
  <c r="BZ185" i="1" s="1"/>
  <c r="CF128" i="1"/>
  <c r="HU8" i="4"/>
  <c r="HU20" i="4" s="1"/>
  <c r="AO79" i="1" s="1"/>
  <c r="JB7" i="4"/>
  <c r="IS21" i="4"/>
  <c r="BM77" i="1" s="1"/>
  <c r="AM120" i="1"/>
  <c r="IK14" i="4"/>
  <c r="IK19" i="4" s="1"/>
  <c r="BE78" i="1" s="1"/>
  <c r="IQ7" i="4"/>
  <c r="IQ19" i="4" s="1"/>
  <c r="BK78" i="1" s="1"/>
  <c r="IM14" i="4"/>
  <c r="IM19" i="4" s="1"/>
  <c r="BG78" i="1" s="1"/>
  <c r="HR8" i="4"/>
  <c r="HR20" i="4" s="1"/>
  <c r="AL79" i="1" s="1"/>
  <c r="IN7" i="4"/>
  <c r="IN19" i="4" s="1"/>
  <c r="BH78" i="1" s="1"/>
  <c r="ID8" i="4"/>
  <c r="IP7" i="4"/>
  <c r="IP19" i="4" s="1"/>
  <c r="BJ78" i="1" s="1"/>
  <c r="JA15" i="4"/>
  <c r="BL252" i="1"/>
  <c r="CF252" i="1"/>
  <c r="JC15" i="4"/>
  <c r="CB26" i="1"/>
  <c r="CA26" i="1"/>
  <c r="CA252" i="1"/>
  <c r="CF98" i="1"/>
  <c r="CG98" i="1"/>
  <c r="C253" i="1"/>
  <c r="V194" i="1"/>
  <c r="Y128" i="1"/>
  <c r="CF10" i="1"/>
  <c r="BL26" i="1"/>
  <c r="CF253" i="1"/>
  <c r="F253" i="1"/>
  <c r="T253" i="1"/>
  <c r="BY10" i="1"/>
  <c r="IL15" i="4"/>
  <c r="IL20" i="4" s="1"/>
  <c r="BF79" i="1" s="1"/>
  <c r="IF15" i="4"/>
  <c r="IF20" i="4" s="1"/>
  <c r="AZ79" i="1" s="1"/>
  <c r="IJ21" i="4"/>
  <c r="BD77" i="1" s="1"/>
  <c r="IF7" i="4"/>
  <c r="IF19" i="4" s="1"/>
  <c r="AZ78" i="1" s="1"/>
  <c r="IT14" i="4"/>
  <c r="IC15" i="4"/>
  <c r="IC20" i="4" s="1"/>
  <c r="AW79" i="1" s="1"/>
  <c r="IG8" i="4"/>
  <c r="HU7" i="4"/>
  <c r="HU19" i="4" s="1"/>
  <c r="AO78" i="1" s="1"/>
  <c r="II14" i="4"/>
  <c r="V26" i="1"/>
  <c r="CI183" i="1"/>
  <c r="CJ183" i="1" s="1"/>
  <c r="CE128" i="1"/>
  <c r="IU7" i="4"/>
  <c r="IU19" i="4" s="1"/>
  <c r="BO78" i="1" s="1"/>
  <c r="CJ98" i="1"/>
  <c r="JN14" i="4"/>
  <c r="D26" i="1"/>
  <c r="D27" i="1" s="1"/>
  <c r="CI10" i="1"/>
  <c r="Y26" i="1"/>
  <c r="CI26" i="1"/>
  <c r="CI27" i="1" s="1"/>
  <c r="Q183" i="1"/>
  <c r="CI179" i="1"/>
  <c r="CJ179" i="1" s="1"/>
  <c r="CG179" i="1"/>
  <c r="CH179" i="1" s="1"/>
  <c r="CI128" i="1"/>
  <c r="V10" i="1"/>
  <c r="V27" i="1" s="1"/>
  <c r="Z161" i="1"/>
  <c r="AA209" i="1" s="1"/>
  <c r="CG10" i="1"/>
  <c r="CI148" i="1"/>
  <c r="AL128" i="1"/>
  <c r="V252" i="1"/>
  <c r="CI253" i="1"/>
  <c r="CI231" i="1"/>
  <c r="CI180" i="1"/>
  <c r="CJ180" i="1" s="1"/>
  <c r="AK128" i="1"/>
  <c r="Y180" i="1"/>
  <c r="JO8" i="4"/>
  <c r="CC120" i="1"/>
  <c r="CC183" i="1"/>
  <c r="CD183" i="1" s="1"/>
  <c r="BZ253" i="1"/>
  <c r="CJ33" i="1"/>
  <c r="CA10" i="1"/>
  <c r="CJ65" i="1"/>
  <c r="X134" i="1"/>
  <c r="X138" i="1" s="1"/>
  <c r="CF202" i="1"/>
  <c r="Z253" i="1"/>
  <c r="CA179" i="1"/>
  <c r="CB179" i="1" s="1"/>
  <c r="CA180" i="1"/>
  <c r="CB180" i="1" s="1"/>
  <c r="Y148" i="1"/>
  <c r="Y182" i="1" s="1"/>
  <c r="CD98" i="1"/>
  <c r="CA253" i="1"/>
  <c r="CB253" i="1"/>
  <c r="CG145" i="1"/>
  <c r="CG180" i="1" s="1"/>
  <c r="CH180" i="1" s="1"/>
  <c r="JO15" i="4"/>
  <c r="Y10" i="1"/>
  <c r="Z148" i="1"/>
  <c r="AA196" i="1" s="1"/>
  <c r="G26" i="1"/>
  <c r="JJ7" i="4"/>
  <c r="JM15" i="4"/>
  <c r="S10" i="1"/>
  <c r="S16" i="1" s="1"/>
  <c r="S17" i="1" s="1"/>
  <c r="E26" i="1"/>
  <c r="II7" i="4"/>
  <c r="U26" i="1"/>
  <c r="BX252" i="1"/>
  <c r="W10" i="1"/>
  <c r="W16" i="1" s="1"/>
  <c r="O26" i="1"/>
  <c r="O27" i="1" s="1"/>
  <c r="IA15" i="4"/>
  <c r="IA20" i="4" s="1"/>
  <c r="AU79" i="1" s="1"/>
  <c r="F26" i="1"/>
  <c r="F27" i="1" s="1"/>
  <c r="CE202" i="1"/>
  <c r="CJ253" i="1"/>
  <c r="CB98" i="1"/>
  <c r="CH10" i="1"/>
  <c r="BZ26" i="1"/>
  <c r="BZ27" i="1" s="1"/>
  <c r="Z202" i="1"/>
  <c r="JM8" i="4"/>
  <c r="X183" i="1"/>
  <c r="CC26" i="1"/>
  <c r="X156" i="1"/>
  <c r="X185" i="1" s="1"/>
  <c r="X184" i="1" s="1"/>
  <c r="CG253" i="1"/>
  <c r="BY252" i="1"/>
  <c r="Y161" i="1"/>
  <c r="JM21" i="4"/>
  <c r="CG77" i="1" s="1"/>
  <c r="K26" i="1"/>
  <c r="K27" i="1" s="1"/>
  <c r="S188" i="1"/>
  <c r="JK8" i="4"/>
  <c r="CH252" i="1"/>
  <c r="J231" i="1"/>
  <c r="U10" i="1"/>
  <c r="BL231" i="1"/>
  <c r="X252" i="1"/>
  <c r="X161" i="1"/>
  <c r="Y209" i="1" s="1"/>
  <c r="Q10" i="1"/>
  <c r="S98" i="1"/>
  <c r="G10" i="1"/>
  <c r="CC98" i="1"/>
  <c r="CD253" i="1"/>
  <c r="BL10" i="1"/>
  <c r="BL16" i="1" s="1"/>
  <c r="Q231" i="1"/>
  <c r="E10" i="1"/>
  <c r="CH98" i="1"/>
  <c r="CG194" i="1"/>
  <c r="CI98" i="1"/>
  <c r="X179" i="1"/>
  <c r="Q252" i="1"/>
  <c r="HZ14" i="4"/>
  <c r="Y156" i="1"/>
  <c r="Y185" i="1" s="1"/>
  <c r="Y184" i="1" s="1"/>
  <c r="X180" i="1"/>
  <c r="CG26" i="1"/>
  <c r="IW20" i="4"/>
  <c r="BQ79" i="1" s="1"/>
  <c r="Y202" i="1"/>
  <c r="JD20" i="4"/>
  <c r="BX79" i="1" s="1"/>
  <c r="BY253" i="1"/>
  <c r="X253" i="1"/>
  <c r="Z131" i="1"/>
  <c r="CG131" i="1" s="1"/>
  <c r="CG134" i="1" s="1"/>
  <c r="Z128" i="1"/>
  <c r="HV21" i="4"/>
  <c r="AP77" i="1" s="1"/>
  <c r="AM179" i="1"/>
  <c r="AN179" i="1" s="1"/>
  <c r="IQ20" i="4"/>
  <c r="BK79" i="1" s="1"/>
  <c r="Q253" i="1"/>
  <c r="T252" i="1"/>
  <c r="CH194" i="1"/>
  <c r="CK48" i="1"/>
  <c r="CK42" i="1"/>
  <c r="CK107" i="1"/>
  <c r="JB20" i="4"/>
  <c r="BV79" i="1" s="1"/>
  <c r="CD33" i="1"/>
  <c r="CD134" i="1"/>
  <c r="CC138" i="1"/>
  <c r="HX20" i="4"/>
  <c r="AR79" i="1" s="1"/>
  <c r="IN20" i="4"/>
  <c r="BH79" i="1" s="1"/>
  <c r="BZ33" i="1"/>
  <c r="BZ134" i="1"/>
  <c r="BY138" i="1"/>
  <c r="HP19" i="4"/>
  <c r="AJ78" i="1" s="1"/>
  <c r="BZ145" i="1"/>
  <c r="AL33" i="1"/>
  <c r="AL134" i="1"/>
  <c r="AK138" i="1"/>
  <c r="IR19" i="4"/>
  <c r="BL78" i="1" s="1"/>
  <c r="II20" i="4"/>
  <c r="BC79" i="1" s="1"/>
  <c r="IB19" i="4"/>
  <c r="AV78" i="1" s="1"/>
  <c r="IP20" i="4"/>
  <c r="BJ79" i="1" s="1"/>
  <c r="CD202" i="1"/>
  <c r="BZ202" i="1"/>
  <c r="HZ20" i="4"/>
  <c r="AT79" i="1" s="1"/>
  <c r="CB202" i="1"/>
  <c r="AB45" i="1"/>
  <c r="IV19" i="4"/>
  <c r="BP78" i="1" s="1"/>
  <c r="JN20" i="4"/>
  <c r="CH79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M77" i="1"/>
  <c r="CN77" i="1" s="1"/>
  <c r="CO77" i="1" s="1"/>
  <c r="CH142" i="1"/>
  <c r="CG128" i="1"/>
  <c r="CH124" i="1"/>
  <c r="CH128" i="1" s="1"/>
  <c r="IJ19" i="4"/>
  <c r="BD78" i="1" s="1"/>
  <c r="CP164" i="1"/>
  <c r="CQ164" i="1" s="1"/>
  <c r="CR164" i="1" s="1"/>
  <c r="CS164" i="1" s="1"/>
  <c r="AB164" i="1"/>
  <c r="CH140" i="1"/>
  <c r="CI202" i="1" s="1"/>
  <c r="CH63" i="1"/>
  <c r="CI65" i="1"/>
  <c r="CQ45" i="1"/>
  <c r="CR45" i="1" s="1"/>
  <c r="CS45" i="1" s="1"/>
  <c r="CT45" i="1" s="1"/>
  <c r="BZ153" i="1"/>
  <c r="BZ156" i="1" s="1"/>
  <c r="CJ128" i="1"/>
  <c r="CK124" i="1"/>
  <c r="CL124" i="1" s="1"/>
  <c r="O98" i="1"/>
  <c r="O16" i="1"/>
  <c r="R98" i="1"/>
  <c r="R16" i="1"/>
  <c r="AB137" i="1"/>
  <c r="CP137" i="1"/>
  <c r="CQ137" i="1" s="1"/>
  <c r="CR137" i="1" s="1"/>
  <c r="CS137" i="1" s="1"/>
  <c r="CP23" i="1"/>
  <c r="AB23" i="1"/>
  <c r="CQ46" i="1"/>
  <c r="CR46" i="1" s="1"/>
  <c r="CS46" i="1" s="1"/>
  <c r="CT46" i="1" s="1"/>
  <c r="AB118" i="1"/>
  <c r="CP118" i="1"/>
  <c r="CQ118" i="1" s="1"/>
  <c r="CR118" i="1" s="1"/>
  <c r="CS118" i="1" s="1"/>
  <c r="CH149" i="1"/>
  <c r="BX17" i="1"/>
  <c r="M16" i="1"/>
  <c r="M98" i="1"/>
  <c r="CM117" i="1"/>
  <c r="CN117" i="1" s="1"/>
  <c r="CO117" i="1" s="1"/>
  <c r="CK140" i="1"/>
  <c r="BZ16" i="1"/>
  <c r="AB46" i="1"/>
  <c r="Z156" i="1"/>
  <c r="BY1" i="1"/>
  <c r="AM156" i="1" l="1"/>
  <c r="AM185" i="1" s="1"/>
  <c r="AM184" i="1" s="1"/>
  <c r="AN184" i="1" s="1"/>
  <c r="AN185" i="1" s="1"/>
  <c r="AM128" i="1"/>
  <c r="AN128" i="1"/>
  <c r="AM148" i="1"/>
  <c r="CA148" i="1"/>
  <c r="CC129" i="1"/>
  <c r="CE148" i="1"/>
  <c r="HV19" i="4"/>
  <c r="AP78" i="1" s="1"/>
  <c r="IK20" i="4"/>
  <c r="BE79" i="1" s="1"/>
  <c r="JI20" i="4"/>
  <c r="CC79" i="1" s="1"/>
  <c r="HQ19" i="4"/>
  <c r="AK78" i="1" s="1"/>
  <c r="AL144" i="1"/>
  <c r="AL145" i="1"/>
  <c r="IU20" i="4"/>
  <c r="BO79" i="1" s="1"/>
  <c r="JI19" i="4"/>
  <c r="CC78" i="1" s="1"/>
  <c r="HS19" i="4"/>
  <c r="AM78" i="1" s="1"/>
  <c r="BX27" i="1"/>
  <c r="HP20" i="4"/>
  <c r="AJ79" i="1" s="1"/>
  <c r="AK27" i="1"/>
  <c r="M188" i="1"/>
  <c r="M11" i="1"/>
  <c r="CE120" i="1"/>
  <c r="CF118" i="1"/>
  <c r="S27" i="1"/>
  <c r="BL28" i="1"/>
  <c r="CH27" i="1"/>
  <c r="IT19" i="4"/>
  <c r="BN78" i="1" s="1"/>
  <c r="II19" i="4"/>
  <c r="BC78" i="1" s="1"/>
  <c r="CJ99" i="1"/>
  <c r="CJ102" i="1" s="1"/>
  <c r="CH144" i="1"/>
  <c r="CI157" i="1"/>
  <c r="HZ19" i="4"/>
  <c r="AT78" i="1" s="1"/>
  <c r="JJ20" i="4"/>
  <c r="CD79" i="1" s="1"/>
  <c r="IG20" i="4"/>
  <c r="BA79" i="1" s="1"/>
  <c r="JH20" i="4"/>
  <c r="CB79" i="1" s="1"/>
  <c r="CD27" i="1"/>
  <c r="JF19" i="4"/>
  <c r="BZ78" i="1" s="1"/>
  <c r="ID19" i="4"/>
  <c r="AX78" i="1" s="1"/>
  <c r="ID20" i="4"/>
  <c r="AX79" i="1" s="1"/>
  <c r="Q27" i="1"/>
  <c r="IO19" i="4"/>
  <c r="BI78" i="1" s="1"/>
  <c r="CB153" i="1"/>
  <c r="CB156" i="1" s="1"/>
  <c r="JE20" i="4"/>
  <c r="BY79" i="1" s="1"/>
  <c r="L27" i="1"/>
  <c r="JG19" i="4"/>
  <c r="CA78" i="1" s="1"/>
  <c r="IC19" i="4"/>
  <c r="AW78" i="1" s="1"/>
  <c r="AJ27" i="1"/>
  <c r="IZ20" i="4"/>
  <c r="BT79" i="1" s="1"/>
  <c r="IO20" i="4"/>
  <c r="BI79" i="1" s="1"/>
  <c r="F16" i="1"/>
  <c r="F98" i="1"/>
  <c r="L16" i="1"/>
  <c r="L98" i="1"/>
  <c r="L11" i="1"/>
  <c r="L188" i="1"/>
  <c r="AB133" i="1"/>
  <c r="CP133" i="1"/>
  <c r="CQ133" i="1" s="1"/>
  <c r="CR133" i="1" s="1"/>
  <c r="CS133" i="1" s="1"/>
  <c r="HR19" i="4"/>
  <c r="AL78" i="1" s="1"/>
  <c r="AK16" i="1"/>
  <c r="J16" i="1"/>
  <c r="J11" i="1"/>
  <c r="J188" i="1"/>
  <c r="J98" i="1"/>
  <c r="I16" i="1"/>
  <c r="I98" i="1"/>
  <c r="AJ134" i="1"/>
  <c r="AI138" i="1"/>
  <c r="AJ202" i="1"/>
  <c r="AB127" i="1"/>
  <c r="CP127" i="1"/>
  <c r="CQ127" i="1" s="1"/>
  <c r="CR127" i="1" s="1"/>
  <c r="CS127" i="1" s="1"/>
  <c r="IM20" i="4"/>
  <c r="BG79" i="1" s="1"/>
  <c r="IS19" i="4"/>
  <c r="BM78" i="1" s="1"/>
  <c r="AM12" i="1"/>
  <c r="CH16" i="1"/>
  <c r="CL18" i="1" s="1"/>
  <c r="Z209" i="1"/>
  <c r="CG148" i="1"/>
  <c r="M27" i="1"/>
  <c r="CP122" i="1"/>
  <c r="CQ122" i="1" s="1"/>
  <c r="CR122" i="1" s="1"/>
  <c r="CS122" i="1" s="1"/>
  <c r="AB122" i="1"/>
  <c r="CH145" i="1"/>
  <c r="D16" i="1"/>
  <c r="K98" i="1"/>
  <c r="K11" i="1"/>
  <c r="K188" i="1"/>
  <c r="K16" i="1"/>
  <c r="AM17" i="1"/>
  <c r="S11" i="1"/>
  <c r="HW19" i="4"/>
  <c r="AQ78" i="1" s="1"/>
  <c r="AB135" i="1"/>
  <c r="CP135" i="1"/>
  <c r="CQ135" i="1" s="1"/>
  <c r="CR135" i="1" s="1"/>
  <c r="CS135" i="1" s="1"/>
  <c r="BX28" i="1"/>
  <c r="BY12" i="1"/>
  <c r="HX19" i="4"/>
  <c r="AR78" i="1" s="1"/>
  <c r="Y157" i="1"/>
  <c r="BL17" i="1"/>
  <c r="X16" i="1"/>
  <c r="CP125" i="1"/>
  <c r="CQ125" i="1" s="1"/>
  <c r="CR125" i="1" s="1"/>
  <c r="CS125" i="1" s="1"/>
  <c r="AB125" i="1"/>
  <c r="Z182" i="1"/>
  <c r="JM19" i="4"/>
  <c r="CG78" i="1" s="1"/>
  <c r="CE16" i="1"/>
  <c r="AA58" i="1"/>
  <c r="AA11" i="1"/>
  <c r="AA188" i="1"/>
  <c r="Z37" i="1"/>
  <c r="AA249" i="1"/>
  <c r="AA206" i="1"/>
  <c r="AA205" i="1" s="1"/>
  <c r="Z185" i="1"/>
  <c r="AA197" i="1"/>
  <c r="AA198" i="1" s="1"/>
  <c r="AA199" i="1" s="1"/>
  <c r="IB20" i="4"/>
  <c r="AV79" i="1" s="1"/>
  <c r="I27" i="1"/>
  <c r="JD19" i="4"/>
  <c r="BX78" i="1" s="1"/>
  <c r="IA19" i="4"/>
  <c r="AU78" i="1" s="1"/>
  <c r="W27" i="1"/>
  <c r="X27" i="1"/>
  <c r="Y27" i="1"/>
  <c r="CK134" i="1"/>
  <c r="CK33" i="1"/>
  <c r="CA168" i="1"/>
  <c r="CA249" i="1"/>
  <c r="CA129" i="1"/>
  <c r="CA206" i="1"/>
  <c r="BY168" i="1"/>
  <c r="BY129" i="1"/>
  <c r="BZ249" i="1"/>
  <c r="BZ206" i="1"/>
  <c r="AI129" i="1"/>
  <c r="AI168" i="1"/>
  <c r="AJ37" i="1" s="1"/>
  <c r="AI206" i="1"/>
  <c r="CD249" i="1"/>
  <c r="CD206" i="1"/>
  <c r="AM225" i="1"/>
  <c r="AK12" i="1"/>
  <c r="AJ16" i="1"/>
  <c r="P16" i="1"/>
  <c r="P98" i="1"/>
  <c r="P188" i="1"/>
  <c r="P27" i="1"/>
  <c r="P11" i="1"/>
  <c r="AN134" i="1"/>
  <c r="AN138" i="1" s="1"/>
  <c r="AM138" i="1"/>
  <c r="Y168" i="1"/>
  <c r="Y109" i="1" s="1"/>
  <c r="Z249" i="1"/>
  <c r="Z206" i="1"/>
  <c r="Y16" i="1"/>
  <c r="Y11" i="1"/>
  <c r="HW20" i="4"/>
  <c r="AQ79" i="1" s="1"/>
  <c r="IT20" i="4"/>
  <c r="BN79" i="1" s="1"/>
  <c r="C27" i="1"/>
  <c r="CE27" i="1"/>
  <c r="JC20" i="4"/>
  <c r="BW79" i="1" s="1"/>
  <c r="CB27" i="1"/>
  <c r="CF12" i="1"/>
  <c r="AM129" i="1"/>
  <c r="CD153" i="1"/>
  <c r="CD156" i="1" s="1"/>
  <c r="CJ108" i="1"/>
  <c r="X246" i="1"/>
  <c r="CL128" i="1"/>
  <c r="AL12" i="1"/>
  <c r="AL153" i="1"/>
  <c r="AL156" i="1" s="1"/>
  <c r="Y138" i="1"/>
  <c r="Y33" i="1"/>
  <c r="Y175" i="1"/>
  <c r="Y246" i="1"/>
  <c r="Y248" i="1"/>
  <c r="B16" i="1"/>
  <c r="B27" i="1"/>
  <c r="AK157" i="1"/>
  <c r="AK165" i="1" s="1"/>
  <c r="AK182" i="1"/>
  <c r="AM202" i="1"/>
  <c r="AL202" i="1"/>
  <c r="BY182" i="1"/>
  <c r="BY157" i="1"/>
  <c r="BY165" i="1" s="1"/>
  <c r="BY166" i="1" s="1"/>
  <c r="CE12" i="1"/>
  <c r="CD16" i="1"/>
  <c r="CH11" i="1"/>
  <c r="CD144" i="1"/>
  <c r="CD148" i="1" s="1"/>
  <c r="CD157" i="1" s="1"/>
  <c r="CD145" i="1"/>
  <c r="CD11" i="1"/>
  <c r="CH117" i="1"/>
  <c r="CG120" i="1"/>
  <c r="Q188" i="1"/>
  <c r="Q98" i="1"/>
  <c r="Q11" i="1"/>
  <c r="Q16" i="1"/>
  <c r="R188" i="1"/>
  <c r="R11" i="1"/>
  <c r="E11" i="1"/>
  <c r="E16" i="1"/>
  <c r="F188" i="1"/>
  <c r="E98" i="1"/>
  <c r="E188" i="1"/>
  <c r="CB206" i="1"/>
  <c r="CC206" i="1"/>
  <c r="CC249" i="1"/>
  <c r="CB249" i="1"/>
  <c r="CL44" i="1"/>
  <c r="CL234" i="1"/>
  <c r="CL48" i="1"/>
  <c r="CL42" i="1"/>
  <c r="CL245" i="1" s="1"/>
  <c r="CA184" i="1"/>
  <c r="CB184" i="1" s="1"/>
  <c r="CB185" i="1" s="1"/>
  <c r="CI184" i="1"/>
  <c r="CJ184" i="1" s="1"/>
  <c r="CF206" i="1"/>
  <c r="JA20" i="4"/>
  <c r="BU79" i="1" s="1"/>
  <c r="CH225" i="1"/>
  <c r="CD188" i="1"/>
  <c r="JN19" i="4"/>
  <c r="CH78" i="1" s="1"/>
  <c r="CI165" i="1"/>
  <c r="JO20" i="4"/>
  <c r="CI79" i="1" s="1"/>
  <c r="CI108" i="1" s="1"/>
  <c r="S28" i="1"/>
  <c r="CC27" i="1"/>
  <c r="JK20" i="4"/>
  <c r="CE79" i="1" s="1"/>
  <c r="H11" i="1"/>
  <c r="CG27" i="1"/>
  <c r="CE157" i="1"/>
  <c r="CE165" i="1" s="1"/>
  <c r="Z184" i="1"/>
  <c r="CB134" i="1"/>
  <c r="CA138" i="1"/>
  <c r="CB33" i="1"/>
  <c r="AM28" i="1"/>
  <c r="AM27" i="1"/>
  <c r="AI157" i="1"/>
  <c r="AI196" i="1"/>
  <c r="AI198" i="1" s="1"/>
  <c r="CC185" i="1"/>
  <c r="CC184" i="1" s="1"/>
  <c r="CD184" i="1" s="1"/>
  <c r="CD185" i="1" s="1"/>
  <c r="CC157" i="1"/>
  <c r="CC165" i="1" s="1"/>
  <c r="CC166" i="1" s="1"/>
  <c r="O188" i="1"/>
  <c r="O11" i="1"/>
  <c r="N11" i="1"/>
  <c r="N16" i="1"/>
  <c r="N188" i="1"/>
  <c r="N27" i="1"/>
  <c r="N98" i="1"/>
  <c r="CG33" i="1"/>
  <c r="CF138" i="1"/>
  <c r="CF203" i="1" s="1"/>
  <c r="CF201" i="1" s="1"/>
  <c r="X182" i="1"/>
  <c r="Y196" i="1"/>
  <c r="CK102" i="1"/>
  <c r="CK104" i="1"/>
  <c r="CK103" i="1"/>
  <c r="CB11" i="1"/>
  <c r="CB144" i="1"/>
  <c r="CE225" i="1"/>
  <c r="CB16" i="1"/>
  <c r="CC12" i="1"/>
  <c r="CB145" i="1"/>
  <c r="CG11" i="1"/>
  <c r="CC188" i="1"/>
  <c r="CC16" i="1"/>
  <c r="CD12" i="1"/>
  <c r="X37" i="1"/>
  <c r="X129" i="1"/>
  <c r="X168" i="1"/>
  <c r="X109" i="1" s="1"/>
  <c r="CP126" i="1"/>
  <c r="CQ126" i="1" s="1"/>
  <c r="CR126" i="1" s="1"/>
  <c r="CS126" i="1" s="1"/>
  <c r="AB126" i="1"/>
  <c r="I188" i="1"/>
  <c r="I11" i="1"/>
  <c r="H98" i="1"/>
  <c r="H16" i="1"/>
  <c r="H27" i="1"/>
  <c r="H188" i="1"/>
  <c r="CA157" i="1"/>
  <c r="CA182" i="1"/>
  <c r="D11" i="1"/>
  <c r="C16" i="1"/>
  <c r="C188" i="1"/>
  <c r="C11" i="1"/>
  <c r="D188" i="1"/>
  <c r="CG183" i="1"/>
  <c r="CH183" i="1" s="1"/>
  <c r="CH153" i="1" s="1"/>
  <c r="CH156" i="1" s="1"/>
  <c r="CG156" i="1"/>
  <c r="CJ132" i="1"/>
  <c r="CJ131" i="1" s="1"/>
  <c r="CI131" i="1"/>
  <c r="Z175" i="1"/>
  <c r="Z129" i="1"/>
  <c r="Z11" i="1"/>
  <c r="Z16" i="1"/>
  <c r="AA18" i="1" s="1"/>
  <c r="Z27" i="1"/>
  <c r="Z58" i="1"/>
  <c r="Z188" i="1"/>
  <c r="Z98" i="1"/>
  <c r="CK12" i="1"/>
  <c r="CJ16" i="1"/>
  <c r="CK19" i="1" s="1"/>
  <c r="CJ27" i="1"/>
  <c r="T27" i="1"/>
  <c r="T11" i="1"/>
  <c r="T188" i="1"/>
  <c r="T98" i="1"/>
  <c r="T16" i="1"/>
  <c r="Y37" i="1"/>
  <c r="Y249" i="1"/>
  <c r="Y206" i="1"/>
  <c r="CC11" i="1"/>
  <c r="BY16" i="1"/>
  <c r="BY19" i="1" s="1"/>
  <c r="BY27" i="1"/>
  <c r="CJ153" i="1"/>
  <c r="CJ156" i="1" s="1"/>
  <c r="CK183" i="1"/>
  <c r="CL183" i="1" s="1"/>
  <c r="CE168" i="1"/>
  <c r="CE206" i="1"/>
  <c r="CI11" i="1"/>
  <c r="CL225" i="1"/>
  <c r="CK179" i="1"/>
  <c r="CL179" i="1" s="1"/>
  <c r="CJ144" i="1"/>
  <c r="CI129" i="1"/>
  <c r="CI206" i="1"/>
  <c r="Z248" i="1"/>
  <c r="Z168" i="1"/>
  <c r="Z109" i="1" s="1"/>
  <c r="CK11" i="1"/>
  <c r="CH12" i="1"/>
  <c r="CG16" i="1"/>
  <c r="CK18" i="1" s="1"/>
  <c r="CH188" i="1"/>
  <c r="CG12" i="1"/>
  <c r="AL249" i="1"/>
  <c r="AL206" i="1"/>
  <c r="CK180" i="1"/>
  <c r="CL180" i="1" s="1"/>
  <c r="CJ145" i="1"/>
  <c r="AK168" i="1"/>
  <c r="AK206" i="1"/>
  <c r="AK129" i="1"/>
  <c r="CE188" i="1"/>
  <c r="CC225" i="1"/>
  <c r="CB12" i="1"/>
  <c r="CE11" i="1"/>
  <c r="CL11" i="1"/>
  <c r="CL188" i="1"/>
  <c r="CK202" i="1"/>
  <c r="CL140" i="1"/>
  <c r="CL202" i="1" s="1"/>
  <c r="AB163" i="1"/>
  <c r="CP163" i="1"/>
  <c r="CQ163" i="1" s="1"/>
  <c r="CR163" i="1" s="1"/>
  <c r="CS163" i="1" s="1"/>
  <c r="AM249" i="1"/>
  <c r="V98" i="1"/>
  <c r="V16" i="1"/>
  <c r="AM206" i="1"/>
  <c r="CI182" i="1"/>
  <c r="CI168" i="1"/>
  <c r="CE129" i="1"/>
  <c r="CI249" i="1"/>
  <c r="CE249" i="1"/>
  <c r="CF249" i="1"/>
  <c r="CA27" i="1"/>
  <c r="CD225" i="1"/>
  <c r="W188" i="1"/>
  <c r="CF188" i="1"/>
  <c r="CF225" i="1"/>
  <c r="CJ11" i="1"/>
  <c r="Y188" i="1"/>
  <c r="CA225" i="1"/>
  <c r="Z196" i="1"/>
  <c r="Y58" i="1"/>
  <c r="Y129" i="1"/>
  <c r="CF27" i="1"/>
  <c r="CF16" i="1"/>
  <c r="CF19" i="1" s="1"/>
  <c r="Y98" i="1"/>
  <c r="CF11" i="1"/>
  <c r="BL27" i="1"/>
  <c r="X188" i="1"/>
  <c r="CA12" i="1"/>
  <c r="AM168" i="1"/>
  <c r="CG188" i="1"/>
  <c r="CB225" i="1"/>
  <c r="CG225" i="1"/>
  <c r="W11" i="1"/>
  <c r="CA16" i="1"/>
  <c r="BZ12" i="1"/>
  <c r="W98" i="1"/>
  <c r="CI12" i="1"/>
  <c r="X11" i="1"/>
  <c r="X157" i="1"/>
  <c r="Z134" i="1"/>
  <c r="Z138" i="1" s="1"/>
  <c r="AA203" i="1" s="1"/>
  <c r="AA201" i="1" s="1"/>
  <c r="G27" i="1"/>
  <c r="CI225" i="1"/>
  <c r="CJ12" i="1"/>
  <c r="CJ107" i="1"/>
  <c r="X248" i="1"/>
  <c r="E27" i="1"/>
  <c r="JM20" i="4"/>
  <c r="CG79" i="1" s="1"/>
  <c r="G188" i="1"/>
  <c r="G98" i="1"/>
  <c r="CI16" i="1"/>
  <c r="G16" i="1"/>
  <c r="CI188" i="1"/>
  <c r="AM157" i="1"/>
  <c r="CJ188" i="1"/>
  <c r="X33" i="1"/>
  <c r="V11" i="1"/>
  <c r="G11" i="1"/>
  <c r="CJ225" i="1"/>
  <c r="BZ148" i="1"/>
  <c r="BZ157" i="1" s="1"/>
  <c r="Y197" i="1"/>
  <c r="U27" i="1"/>
  <c r="U188" i="1"/>
  <c r="U11" i="1"/>
  <c r="V188" i="1"/>
  <c r="F11" i="1"/>
  <c r="U98" i="1"/>
  <c r="U16" i="1"/>
  <c r="AM182" i="1"/>
  <c r="AM186" i="1" s="1"/>
  <c r="X244" i="1"/>
  <c r="CK52" i="1"/>
  <c r="CK66" i="1"/>
  <c r="CD138" i="1"/>
  <c r="CE33" i="1"/>
  <c r="AM33" i="1"/>
  <c r="AL138" i="1"/>
  <c r="BZ138" i="1"/>
  <c r="CA33" i="1"/>
  <c r="CI92" i="1"/>
  <c r="CI99" i="1"/>
  <c r="CI103" i="1" s="1"/>
  <c r="CJ103" i="1"/>
  <c r="CI107" i="1"/>
  <c r="AC46" i="1"/>
  <c r="CH202" i="1"/>
  <c r="Z157" i="1"/>
  <c r="CU46" i="1"/>
  <c r="CV46" i="1" s="1"/>
  <c r="CW46" i="1" s="1"/>
  <c r="CX46" i="1" s="1"/>
  <c r="CT137" i="1"/>
  <c r="CU137" i="1" s="1"/>
  <c r="CV137" i="1" s="1"/>
  <c r="CW137" i="1" s="1"/>
  <c r="AC137" i="1"/>
  <c r="S18" i="1"/>
  <c r="R17" i="1"/>
  <c r="R28" i="1"/>
  <c r="CH206" i="1"/>
  <c r="CH249" i="1"/>
  <c r="CH134" i="1"/>
  <c r="CG138" i="1"/>
  <c r="CH33" i="1"/>
  <c r="AL17" i="1"/>
  <c r="AL28" i="1"/>
  <c r="AM19" i="1"/>
  <c r="BL29" i="1"/>
  <c r="BL34" i="1"/>
  <c r="BL38" i="1" s="1"/>
  <c r="BL232" i="1"/>
  <c r="BL233" i="1" s="1"/>
  <c r="Y181" i="1"/>
  <c r="Y186" i="1"/>
  <c r="BZ28" i="1"/>
  <c r="BZ17" i="1"/>
  <c r="CC181" i="1"/>
  <c r="CD181" i="1" s="1"/>
  <c r="CD182" i="1" s="1"/>
  <c r="AC45" i="1"/>
  <c r="W17" i="1"/>
  <c r="W28" i="1"/>
  <c r="AC164" i="1"/>
  <c r="CT164" i="1"/>
  <c r="CU164" i="1" s="1"/>
  <c r="CV164" i="1" s="1"/>
  <c r="CW164" i="1" s="1"/>
  <c r="CG168" i="1"/>
  <c r="CG206" i="1"/>
  <c r="CG249" i="1"/>
  <c r="AB77" i="1"/>
  <c r="CP77" i="1"/>
  <c r="CQ77" i="1" s="1"/>
  <c r="CR77" i="1" s="1"/>
  <c r="CS77" i="1" s="1"/>
  <c r="M17" i="1"/>
  <c r="M28" i="1"/>
  <c r="CT23" i="1"/>
  <c r="AC23" i="1"/>
  <c r="CJ104" i="1"/>
  <c r="O17" i="1"/>
  <c r="O28" i="1"/>
  <c r="CK128" i="1"/>
  <c r="CU45" i="1"/>
  <c r="CV45" i="1" s="1"/>
  <c r="CW45" i="1" s="1"/>
  <c r="CX45" i="1" s="1"/>
  <c r="CG63" i="1"/>
  <c r="CH65" i="1"/>
  <c r="Z197" i="1"/>
  <c r="CP117" i="1"/>
  <c r="CQ117" i="1" s="1"/>
  <c r="CR117" i="1" s="1"/>
  <c r="CS117" i="1" s="1"/>
  <c r="AB117" i="1"/>
  <c r="CT118" i="1"/>
  <c r="CU118" i="1" s="1"/>
  <c r="CV118" i="1" s="1"/>
  <c r="CW118" i="1" s="1"/>
  <c r="AC118" i="1"/>
  <c r="CJ206" i="1"/>
  <c r="CJ249" i="1"/>
  <c r="CM63" i="1"/>
  <c r="BZ1" i="1"/>
  <c r="AL148" i="1" l="1"/>
  <c r="CH148" i="1"/>
  <c r="AC163" i="1"/>
  <c r="M18" i="1"/>
  <c r="L28" i="1"/>
  <c r="F17" i="1"/>
  <c r="F28" i="1"/>
  <c r="AL19" i="1"/>
  <c r="AK28" i="1"/>
  <c r="AK17" i="1"/>
  <c r="AK166" i="1"/>
  <c r="CJ148" i="1"/>
  <c r="CJ157" i="1" s="1"/>
  <c r="T17" i="1"/>
  <c r="T28" i="1"/>
  <c r="CI186" i="1"/>
  <c r="CI181" i="1"/>
  <c r="CJ181" i="1" s="1"/>
  <c r="BY28" i="1"/>
  <c r="BY17" i="1"/>
  <c r="BZ19" i="1"/>
  <c r="CF17" i="1"/>
  <c r="CF28" i="1"/>
  <c r="CG19" i="1"/>
  <c r="CJ18" i="1"/>
  <c r="CC186" i="1"/>
  <c r="CE17" i="1"/>
  <c r="CE28" i="1"/>
  <c r="CJ28" i="1"/>
  <c r="CK31" i="1" s="1"/>
  <c r="CJ17" i="1"/>
  <c r="T18" i="1"/>
  <c r="W18" i="1"/>
  <c r="V17" i="1"/>
  <c r="V28" i="1"/>
  <c r="CG28" i="1"/>
  <c r="CK30" i="1" s="1"/>
  <c r="CG17" i="1"/>
  <c r="AA59" i="1"/>
  <c r="AI165" i="1"/>
  <c r="G18" i="1"/>
  <c r="J17" i="1"/>
  <c r="K18" i="1"/>
  <c r="Z186" i="1"/>
  <c r="AA189" i="1" s="1"/>
  <c r="AA190" i="1" s="1"/>
  <c r="CD18" i="1"/>
  <c r="CD28" i="1"/>
  <c r="CE19" i="1"/>
  <c r="X28" i="1"/>
  <c r="BX232" i="1"/>
  <c r="BX233" i="1" s="1"/>
  <c r="CT122" i="1"/>
  <c r="CU122" i="1" s="1"/>
  <c r="CV122" i="1" s="1"/>
  <c r="CW122" i="1" s="1"/>
  <c r="L17" i="1"/>
  <c r="CT125" i="1"/>
  <c r="CU125" i="1" s="1"/>
  <c r="CV125" i="1" s="1"/>
  <c r="CW125" i="1" s="1"/>
  <c r="D17" i="1"/>
  <c r="D28" i="1"/>
  <c r="AC135" i="1"/>
  <c r="CH18" i="1"/>
  <c r="Y18" i="1"/>
  <c r="BX29" i="1"/>
  <c r="AC122" i="1"/>
  <c r="CH28" i="1"/>
  <c r="CT133" i="1"/>
  <c r="CU133" i="1" s="1"/>
  <c r="CV133" i="1" s="1"/>
  <c r="CW133" i="1" s="1"/>
  <c r="AC125" i="1"/>
  <c r="Y17" i="1"/>
  <c r="CH19" i="1"/>
  <c r="X165" i="1"/>
  <c r="CH196" i="1"/>
  <c r="CT163" i="1"/>
  <c r="CU163" i="1" s="1"/>
  <c r="CV163" i="1" s="1"/>
  <c r="CW163" i="1" s="1"/>
  <c r="BY31" i="1"/>
  <c r="CT127" i="1"/>
  <c r="CU127" i="1" s="1"/>
  <c r="CV127" i="1" s="1"/>
  <c r="CW127" i="1" s="1"/>
  <c r="AC127" i="1"/>
  <c r="I17" i="1"/>
  <c r="J18" i="1"/>
  <c r="I28" i="1"/>
  <c r="J28" i="1"/>
  <c r="Z181" i="1"/>
  <c r="CT135" i="1"/>
  <c r="CU135" i="1" s="1"/>
  <c r="CV135" i="1" s="1"/>
  <c r="CW135" i="1" s="1"/>
  <c r="Y28" i="1"/>
  <c r="AJ138" i="1"/>
  <c r="AK203" i="1" s="1"/>
  <c r="AK201" i="1" s="1"/>
  <c r="Q17" i="1"/>
  <c r="R18" i="1"/>
  <c r="Q28" i="1"/>
  <c r="K17" i="1"/>
  <c r="L18" i="1"/>
  <c r="K28" i="1"/>
  <c r="X18" i="1"/>
  <c r="CG129" i="1"/>
  <c r="CD17" i="1"/>
  <c r="X17" i="1"/>
  <c r="BX34" i="1"/>
  <c r="BX38" i="1" s="1"/>
  <c r="CG182" i="1"/>
  <c r="CH17" i="1"/>
  <c r="AC133" i="1"/>
  <c r="AK33" i="1"/>
  <c r="AA210" i="1"/>
  <c r="AA211" i="1" s="1"/>
  <c r="AA213" i="1"/>
  <c r="CI166" i="1"/>
  <c r="AI166" i="1"/>
  <c r="CD186" i="1"/>
  <c r="AM165" i="1"/>
  <c r="AM166" i="1" s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AJ17" i="1"/>
  <c r="AK19" i="1"/>
  <c r="AJ28" i="1"/>
  <c r="P17" i="1"/>
  <c r="Q18" i="1"/>
  <c r="P28" i="1"/>
  <c r="P18" i="1"/>
  <c r="Y203" i="1"/>
  <c r="Y201" i="1" s="1"/>
  <c r="Y244" i="1"/>
  <c r="Y165" i="1"/>
  <c r="Y166" i="1" s="1"/>
  <c r="AK181" i="1"/>
  <c r="AL181" i="1" s="1"/>
  <c r="AL182" i="1" s="1"/>
  <c r="AL186" i="1" s="1"/>
  <c r="AK186" i="1"/>
  <c r="BY186" i="1"/>
  <c r="BY181" i="1"/>
  <c r="BZ181" i="1" s="1"/>
  <c r="BZ182" i="1" s="1"/>
  <c r="BZ186" i="1" s="1"/>
  <c r="E18" i="1"/>
  <c r="E17" i="1"/>
  <c r="E28" i="1"/>
  <c r="F18" i="1"/>
  <c r="B17" i="1"/>
  <c r="B28" i="1"/>
  <c r="Y198" i="1"/>
  <c r="CB148" i="1"/>
  <c r="CB157" i="1" s="1"/>
  <c r="CA165" i="1"/>
  <c r="CA166" i="1" s="1"/>
  <c r="CH197" i="1"/>
  <c r="CL52" i="1"/>
  <c r="CL66" i="1"/>
  <c r="CL193" i="1"/>
  <c r="CL195" i="1" s="1"/>
  <c r="CL153" i="1"/>
  <c r="CL144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E166" i="1"/>
  <c r="AM250" i="1"/>
  <c r="AM251" i="1" s="1"/>
  <c r="CK184" i="1"/>
  <c r="CJ185" i="1"/>
  <c r="S112" i="1"/>
  <c r="S232" i="1"/>
  <c r="S233" i="1" s="1"/>
  <c r="S29" i="1"/>
  <c r="S34" i="1"/>
  <c r="S38" i="1" s="1"/>
  <c r="S40" i="1" s="1"/>
  <c r="CB138" i="1"/>
  <c r="CC33" i="1"/>
  <c r="AM34" i="1"/>
  <c r="AM38" i="1" s="1"/>
  <c r="AM232" i="1"/>
  <c r="AM233" i="1" s="1"/>
  <c r="AM29" i="1"/>
  <c r="N17" i="1"/>
  <c r="O18" i="1"/>
  <c r="N18" i="1"/>
  <c r="N28" i="1"/>
  <c r="X181" i="1"/>
  <c r="X186" i="1"/>
  <c r="CB18" i="1"/>
  <c r="Y59" i="1"/>
  <c r="CB28" i="1"/>
  <c r="CF18" i="1"/>
  <c r="CC19" i="1"/>
  <c r="CB17" i="1"/>
  <c r="CG18" i="1"/>
  <c r="CD19" i="1"/>
  <c r="CC17" i="1"/>
  <c r="CC28" i="1"/>
  <c r="CC18" i="1"/>
  <c r="AC126" i="1"/>
  <c r="CT126" i="1"/>
  <c r="CU126" i="1" s="1"/>
  <c r="CV126" i="1" s="1"/>
  <c r="CW126" i="1" s="1"/>
  <c r="I18" i="1"/>
  <c r="H28" i="1"/>
  <c r="H17" i="1"/>
  <c r="CA186" i="1"/>
  <c r="CA181" i="1"/>
  <c r="CB181" i="1" s="1"/>
  <c r="CB182" i="1" s="1"/>
  <c r="CB186" i="1" s="1"/>
  <c r="C18" i="1"/>
  <c r="D18" i="1"/>
  <c r="C17" i="1"/>
  <c r="C28" i="1"/>
  <c r="CG185" i="1"/>
  <c r="CG184" i="1" s="1"/>
  <c r="CH184" i="1" s="1"/>
  <c r="CH185" i="1" s="1"/>
  <c r="CG157" i="1"/>
  <c r="Z17" i="1"/>
  <c r="Z59" i="1"/>
  <c r="Z28" i="1"/>
  <c r="Z18" i="1"/>
  <c r="CA17" i="1"/>
  <c r="CE18" i="1"/>
  <c r="CB19" i="1"/>
  <c r="CA28" i="1"/>
  <c r="CA19" i="1"/>
  <c r="CI17" i="1"/>
  <c r="CI28" i="1"/>
  <c r="CJ19" i="1"/>
  <c r="CI18" i="1"/>
  <c r="CI19" i="1"/>
  <c r="G28" i="1"/>
  <c r="G30" i="1" s="1"/>
  <c r="G17" i="1"/>
  <c r="H18" i="1"/>
  <c r="U18" i="1"/>
  <c r="U17" i="1"/>
  <c r="CL249" i="1"/>
  <c r="CL251" i="1" s="1"/>
  <c r="CL206" i="1"/>
  <c r="Z33" i="1"/>
  <c r="Z198" i="1"/>
  <c r="V18" i="1"/>
  <c r="U28" i="1"/>
  <c r="AM181" i="1"/>
  <c r="AN181" i="1" s="1"/>
  <c r="AN182" i="1" s="1"/>
  <c r="AN186" i="1" s="1"/>
  <c r="CE203" i="1"/>
  <c r="CE201" i="1" s="1"/>
  <c r="CD203" i="1"/>
  <c r="CD201" i="1" s="1"/>
  <c r="CM27" i="1"/>
  <c r="AM203" i="1"/>
  <c r="AM201" i="1" s="1"/>
  <c r="AL203" i="1"/>
  <c r="AL201" i="1" s="1"/>
  <c r="CA203" i="1"/>
  <c r="CA201" i="1" s="1"/>
  <c r="BZ203" i="1"/>
  <c r="BZ201" i="1" s="1"/>
  <c r="CI94" i="1"/>
  <c r="CI95" i="1"/>
  <c r="CI96" i="1"/>
  <c r="CI102" i="1"/>
  <c r="CI104" i="1"/>
  <c r="CH157" i="1"/>
  <c r="Y189" i="1"/>
  <c r="Y190" i="1" s="1"/>
  <c r="CG165" i="1"/>
  <c r="CG166" i="1" s="1"/>
  <c r="CM11" i="1"/>
  <c r="CA112" i="1"/>
  <c r="Z189" i="1"/>
  <c r="Z190" i="1" s="1"/>
  <c r="CH198" i="1"/>
  <c r="CM183" i="1"/>
  <c r="Z244" i="1"/>
  <c r="Z203" i="1"/>
  <c r="Z201" i="1" s="1"/>
  <c r="Z246" i="1"/>
  <c r="V29" i="1"/>
  <c r="W30" i="1"/>
  <c r="V112" i="1"/>
  <c r="V34" i="1"/>
  <c r="V38" i="1" s="1"/>
  <c r="V232" i="1"/>
  <c r="V233" i="1" s="1"/>
  <c r="Y29" i="1"/>
  <c r="Y34" i="1"/>
  <c r="Z30" i="1"/>
  <c r="Y60" i="1"/>
  <c r="Y232" i="1"/>
  <c r="Y233" i="1" s="1"/>
  <c r="Y250" i="1"/>
  <c r="Y251" i="1" s="1"/>
  <c r="Y112" i="1"/>
  <c r="CJ232" i="1"/>
  <c r="CJ233" i="1" s="1"/>
  <c r="CJ29" i="1"/>
  <c r="CJ250" i="1"/>
  <c r="CJ251" i="1" s="1"/>
  <c r="CJ34" i="1"/>
  <c r="CJ38" i="1" s="1"/>
  <c r="CX122" i="1"/>
  <c r="CY122" i="1" s="1"/>
  <c r="CZ122" i="1" s="1"/>
  <c r="DA122" i="1" s="1"/>
  <c r="AE122" i="1" s="1"/>
  <c r="AD122" i="1"/>
  <c r="CH107" i="1"/>
  <c r="CH99" i="1"/>
  <c r="CY45" i="1"/>
  <c r="CZ45" i="1" s="1"/>
  <c r="DA45" i="1" s="1"/>
  <c r="CK249" i="1"/>
  <c r="CK206" i="1"/>
  <c r="AD23" i="1"/>
  <c r="CX23" i="1"/>
  <c r="AE23" i="1" s="1"/>
  <c r="X29" i="1"/>
  <c r="X112" i="1"/>
  <c r="Y30" i="1"/>
  <c r="X34" i="1"/>
  <c r="X232" i="1"/>
  <c r="X233" i="1" s="1"/>
  <c r="X250" i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AM226" i="1"/>
  <c r="AM112" i="1"/>
  <c r="AK31" i="1"/>
  <c r="D250" i="1"/>
  <c r="D232" i="1"/>
  <c r="D233" i="1" s="1"/>
  <c r="D29" i="1"/>
  <c r="D112" i="1"/>
  <c r="D34" i="1"/>
  <c r="D38" i="1" s="1"/>
  <c r="E30" i="1"/>
  <c r="Z250" i="1"/>
  <c r="Z251" i="1" s="1"/>
  <c r="Z34" i="1"/>
  <c r="Z60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9" i="1"/>
  <c r="L34" i="1"/>
  <c r="L38" i="1" s="1"/>
  <c r="L112" i="1"/>
  <c r="M30" i="1"/>
  <c r="L232" i="1"/>
  <c r="L233" i="1" s="1"/>
  <c r="L250" i="1"/>
  <c r="CG186" i="1"/>
  <c r="CG181" i="1"/>
  <c r="CH181" i="1" s="1"/>
  <c r="CH182" i="1" s="1"/>
  <c r="CH186" i="1" s="1"/>
  <c r="CH189" i="1" s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X126" i="1"/>
  <c r="CY126" i="1" s="1"/>
  <c r="CZ126" i="1" s="1"/>
  <c r="DA126" i="1" s="1"/>
  <c r="AE126" i="1" s="1"/>
  <c r="AD126" i="1"/>
  <c r="CG65" i="1"/>
  <c r="CF63" i="1"/>
  <c r="CB34" i="1"/>
  <c r="CE112" i="1"/>
  <c r="CC31" i="1"/>
  <c r="CE226" i="1"/>
  <c r="CB29" i="1"/>
  <c r="CB250" i="1"/>
  <c r="CB251" i="1" s="1"/>
  <c r="CB232" i="1"/>
  <c r="CB233" i="1" s="1"/>
  <c r="CF30" i="1"/>
  <c r="CE31" i="1"/>
  <c r="CG226" i="1"/>
  <c r="CD232" i="1"/>
  <c r="CD233" i="1" s="1"/>
  <c r="CG112" i="1"/>
  <c r="CH30" i="1"/>
  <c r="CD29" i="1"/>
  <c r="CD250" i="1"/>
  <c r="CD251" i="1" s="1"/>
  <c r="CD34" i="1"/>
  <c r="CD38" i="1" s="1"/>
  <c r="AC77" i="1"/>
  <c r="CT77" i="1"/>
  <c r="CU77" i="1" s="1"/>
  <c r="CV77" i="1" s="1"/>
  <c r="CW77" i="1" s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CI226" i="1"/>
  <c r="CG31" i="1"/>
  <c r="CF232" i="1"/>
  <c r="CF233" i="1" s="1"/>
  <c r="CF34" i="1"/>
  <c r="CF29" i="1"/>
  <c r="CF250" i="1"/>
  <c r="CF251" i="1" s="1"/>
  <c r="CJ30" i="1"/>
  <c r="CI112" i="1"/>
  <c r="CC226" i="1"/>
  <c r="BZ34" i="1"/>
  <c r="BZ29" i="1"/>
  <c r="CD30" i="1"/>
  <c r="CA31" i="1"/>
  <c r="BZ250" i="1"/>
  <c r="BZ251" i="1" s="1"/>
  <c r="BZ232" i="1"/>
  <c r="BZ233" i="1" s="1"/>
  <c r="CC112" i="1"/>
  <c r="I232" i="1"/>
  <c r="I233" i="1" s="1"/>
  <c r="I34" i="1"/>
  <c r="I38" i="1" s="1"/>
  <c r="I250" i="1"/>
  <c r="I112" i="1"/>
  <c r="J30" i="1"/>
  <c r="I29" i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B112" i="1"/>
  <c r="CC30" i="1"/>
  <c r="BY250" i="1"/>
  <c r="AM40" i="1"/>
  <c r="AM41" i="1"/>
  <c r="T29" i="1"/>
  <c r="T250" i="1"/>
  <c r="T30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J112" i="1"/>
  <c r="CG29" i="1"/>
  <c r="CJ226" i="1"/>
  <c r="CH31" i="1"/>
  <c r="CG250" i="1"/>
  <c r="CG251" i="1" s="1"/>
  <c r="CG232" i="1"/>
  <c r="CG233" i="1" s="1"/>
  <c r="F250" i="1"/>
  <c r="F232" i="1"/>
  <c r="F233" i="1" s="1"/>
  <c r="F112" i="1"/>
  <c r="F34" i="1"/>
  <c r="F38" i="1" s="1"/>
  <c r="F29" i="1"/>
  <c r="AD133" i="1"/>
  <c r="CX133" i="1"/>
  <c r="CY133" i="1" s="1"/>
  <c r="CZ133" i="1" s="1"/>
  <c r="DA133" i="1" s="1"/>
  <c r="AE133" i="1" s="1"/>
  <c r="CH29" i="1"/>
  <c r="CH34" i="1"/>
  <c r="CH38" i="1" s="1"/>
  <c r="CH232" i="1"/>
  <c r="CH233" i="1" s="1"/>
  <c r="CH250" i="1"/>
  <c r="CH251" i="1" s="1"/>
  <c r="CM124" i="1"/>
  <c r="BX40" i="1"/>
  <c r="BX41" i="1"/>
  <c r="CG109" i="1"/>
  <c r="CH37" i="1"/>
  <c r="W29" i="1"/>
  <c r="W250" i="1"/>
  <c r="W112" i="1"/>
  <c r="X30" i="1"/>
  <c r="W34" i="1"/>
  <c r="W38" i="1" s="1"/>
  <c r="W232" i="1"/>
  <c r="W233" i="1" s="1"/>
  <c r="K112" i="1"/>
  <c r="K250" i="1"/>
  <c r="L30" i="1"/>
  <c r="K34" i="1"/>
  <c r="K38" i="1" s="1"/>
  <c r="K232" i="1"/>
  <c r="K233" i="1" s="1"/>
  <c r="K29" i="1"/>
  <c r="CD189" i="1"/>
  <c r="CM140" i="1"/>
  <c r="CM202" i="1" s="1"/>
  <c r="BL41" i="1"/>
  <c r="BL234" i="1" s="1"/>
  <c r="BL40" i="1"/>
  <c r="K3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CK181" i="1"/>
  <c r="CL181" i="1" s="1"/>
  <c r="CL182" i="1" s="1"/>
  <c r="CJ182" i="1"/>
  <c r="CJ186" i="1" s="1"/>
  <c r="S250" i="1"/>
  <c r="S30" i="1"/>
  <c r="R34" i="1"/>
  <c r="R38" i="1" s="1"/>
  <c r="R250" i="1"/>
  <c r="R232" i="1"/>
  <c r="R233" i="1" s="1"/>
  <c r="R112" i="1"/>
  <c r="R29" i="1"/>
  <c r="CX163" i="1"/>
  <c r="CY163" i="1" s="1"/>
  <c r="CZ163" i="1" s="1"/>
  <c r="DA163" i="1" s="1"/>
  <c r="AE163" i="1" s="1"/>
  <c r="AD163" i="1"/>
  <c r="CA250" i="1"/>
  <c r="CA251" i="1" s="1"/>
  <c r="CC34" i="1"/>
  <c r="CC38" i="1" s="1"/>
  <c r="CD31" i="1"/>
  <c r="CC232" i="1"/>
  <c r="CC233" i="1" s="1"/>
  <c r="Z165" i="1"/>
  <c r="Z166" i="1" s="1"/>
  <c r="AK34" i="1"/>
  <c r="AK38" i="1" s="1"/>
  <c r="AK232" i="1"/>
  <c r="AK233" i="1" s="1"/>
  <c r="AL31" i="1"/>
  <c r="AK29" i="1"/>
  <c r="CN63" i="1"/>
  <c r="CM65" i="1"/>
  <c r="E29" i="1"/>
  <c r="F30" i="1"/>
  <c r="E232" i="1"/>
  <c r="E233" i="1" s="1"/>
  <c r="E112" i="1"/>
  <c r="E34" i="1"/>
  <c r="E38" i="1" s="1"/>
  <c r="AJ203" i="1"/>
  <c r="AJ201" i="1" s="1"/>
  <c r="AD45" i="1"/>
  <c r="O112" i="1"/>
  <c r="P30" i="1"/>
  <c r="O232" i="1"/>
  <c r="O233" i="1" s="1"/>
  <c r="O29" i="1"/>
  <c r="O34" i="1"/>
  <c r="O38" i="1" s="1"/>
  <c r="O250" i="1"/>
  <c r="C29" i="1"/>
  <c r="D30" i="1"/>
  <c r="C250" i="1"/>
  <c r="C34" i="1"/>
  <c r="C38" i="1" s="1"/>
  <c r="C112" i="1"/>
  <c r="C232" i="1"/>
  <c r="C233" i="1" s="1"/>
  <c r="CB30" i="1"/>
  <c r="M112" i="1"/>
  <c r="M29" i="1"/>
  <c r="M250" i="1"/>
  <c r="N30" i="1"/>
  <c r="M232" i="1"/>
  <c r="M233" i="1" s="1"/>
  <c r="M34" i="1"/>
  <c r="M38" i="1" s="1"/>
  <c r="CH108" i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H250" i="1"/>
  <c r="N34" i="1"/>
  <c r="N38" i="1" s="1"/>
  <c r="N250" i="1"/>
  <c r="O30" i="1"/>
  <c r="N112" i="1"/>
  <c r="N29" i="1"/>
  <c r="N232" i="1"/>
  <c r="N233" i="1" s="1"/>
  <c r="CM179" i="1"/>
  <c r="H30" i="1"/>
  <c r="G250" i="1"/>
  <c r="G232" i="1"/>
  <c r="G233" i="1" s="1"/>
  <c r="G29" i="1"/>
  <c r="G34" i="1"/>
  <c r="G38" i="1" s="1"/>
  <c r="G41" i="1" s="1"/>
  <c r="G42" i="1" s="1"/>
  <c r="G245" i="1" s="1"/>
  <c r="G112" i="1"/>
  <c r="AL29" i="1"/>
  <c r="AL232" i="1"/>
  <c r="AL233" i="1" s="1"/>
  <c r="AL34" i="1"/>
  <c r="AL38" i="1" s="1"/>
  <c r="AM31" i="1"/>
  <c r="AL250" i="1"/>
  <c r="AL251" i="1" s="1"/>
  <c r="CH138" i="1"/>
  <c r="CI203" i="1" s="1"/>
  <c r="CI201" i="1" s="1"/>
  <c r="CI33" i="1"/>
  <c r="AD46" i="1"/>
  <c r="CA1" i="1"/>
  <c r="CB1" i="1" s="1"/>
  <c r="S41" i="1"/>
  <c r="AL157" i="1" l="1"/>
  <c r="C30" i="1"/>
  <c r="CB203" i="1"/>
  <c r="CB201" i="1" s="1"/>
  <c r="CC203" i="1"/>
  <c r="CC201" i="1" s="1"/>
  <c r="AA60" i="1"/>
  <c r="CL30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X166" i="1"/>
  <c r="AA250" i="1"/>
  <c r="AA251" i="1" s="1"/>
  <c r="AA30" i="1"/>
  <c r="B232" i="1"/>
  <c r="B233" i="1" s="1"/>
  <c r="B112" i="1"/>
  <c r="B29" i="1"/>
  <c r="B34" i="1"/>
  <c r="B38" i="1" s="1"/>
  <c r="CA29" i="1"/>
  <c r="CA34" i="1"/>
  <c r="CA38" i="1" s="1"/>
  <c r="CA232" i="1"/>
  <c r="CA233" i="1" s="1"/>
  <c r="CB31" i="1"/>
  <c r="CE30" i="1"/>
  <c r="CD226" i="1"/>
  <c r="CD112" i="1"/>
  <c r="CI31" i="1"/>
  <c r="CI250" i="1"/>
  <c r="CI251" i="1" s="1"/>
  <c r="CI232" i="1"/>
  <c r="CI233" i="1" s="1"/>
  <c r="CI29" i="1"/>
  <c r="CJ31" i="1"/>
  <c r="CI34" i="1"/>
  <c r="CI38" i="1" s="1"/>
  <c r="V30" i="1"/>
  <c r="U250" i="1"/>
  <c r="U29" i="1"/>
  <c r="U232" i="1"/>
  <c r="U233" i="1" s="1"/>
  <c r="CL184" i="1"/>
  <c r="CK185" i="1"/>
  <c r="CL226" i="1"/>
  <c r="CL112" i="1"/>
  <c r="CK112" i="1"/>
  <c r="CC29" i="1"/>
  <c r="CF112" i="1"/>
  <c r="CC250" i="1"/>
  <c r="CC251" i="1" s="1"/>
  <c r="CF226" i="1"/>
  <c r="CG30" i="1"/>
  <c r="U112" i="1"/>
  <c r="V250" i="1"/>
  <c r="U34" i="1"/>
  <c r="U38" i="1" s="1"/>
  <c r="CN27" i="1"/>
  <c r="CO27" i="1" s="1"/>
  <c r="CP27" i="1" s="1"/>
  <c r="G234" i="1"/>
  <c r="G48" i="1"/>
  <c r="G193" i="1" s="1"/>
  <c r="G195" i="1" s="1"/>
  <c r="G40" i="1"/>
  <c r="E41" i="1"/>
  <c r="E234" i="1" s="1"/>
  <c r="E40" i="1"/>
  <c r="C41" i="1"/>
  <c r="C40" i="1"/>
  <c r="Q41" i="1"/>
  <c r="Q40" i="1"/>
  <c r="L40" i="1"/>
  <c r="L41" i="1"/>
  <c r="I40" i="1"/>
  <c r="I41" i="1"/>
  <c r="T41" i="1"/>
  <c r="T40" i="1"/>
  <c r="F40" i="1"/>
  <c r="F41" i="1"/>
  <c r="K41" i="1"/>
  <c r="K40" i="1"/>
  <c r="J40" i="1"/>
  <c r="J41" i="1"/>
  <c r="R41" i="1"/>
  <c r="S43" i="1" s="1"/>
  <c r="R40" i="1"/>
  <c r="O41" i="1"/>
  <c r="O40" i="1"/>
  <c r="M40" i="1"/>
  <c r="M41" i="1"/>
  <c r="P41" i="1"/>
  <c r="P40" i="1"/>
  <c r="H41" i="1"/>
  <c r="H43" i="1" s="1"/>
  <c r="H40" i="1"/>
  <c r="N41" i="1"/>
  <c r="N40" i="1"/>
  <c r="AD77" i="1"/>
  <c r="CX77" i="1"/>
  <c r="CY77" i="1" s="1"/>
  <c r="CM17" i="1"/>
  <c r="CN17" i="1" s="1"/>
  <c r="CN11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K44" i="1" s="1"/>
  <c r="CJ40" i="1"/>
  <c r="CN179" i="1"/>
  <c r="CO63" i="1"/>
  <c r="CN65" i="1"/>
  <c r="AK40" i="1"/>
  <c r="AK41" i="1"/>
  <c r="CA41" i="1"/>
  <c r="CA40" i="1"/>
  <c r="CN140" i="1"/>
  <c r="CO140" i="1" s="1"/>
  <c r="BX48" i="1"/>
  <c r="BX234" i="1"/>
  <c r="BX42" i="1"/>
  <c r="BX245" i="1" s="1"/>
  <c r="CI41" i="1"/>
  <c r="CL227" i="1" s="1"/>
  <c r="CI40" i="1"/>
  <c r="CG40" i="1"/>
  <c r="CG41" i="1"/>
  <c r="CK43" i="1" s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D40" i="1"/>
  <c r="D41" i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AM234" i="1"/>
  <c r="AM42" i="1"/>
  <c r="AM245" i="1" s="1"/>
  <c r="Z38" i="1"/>
  <c r="Z55" i="1"/>
  <c r="X55" i="1"/>
  <c r="X38" i="1"/>
  <c r="AE45" i="1"/>
  <c r="AL41" i="1"/>
  <c r="AL40" i="1"/>
  <c r="CK182" i="1"/>
  <c r="CK186" i="1" s="1"/>
  <c r="BL48" i="1"/>
  <c r="BL42" i="1"/>
  <c r="BL245" i="1" s="1"/>
  <c r="BY38" i="1"/>
  <c r="CA55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S42" i="1"/>
  <c r="S245" i="1" s="1"/>
  <c r="CC1" i="1"/>
  <c r="G52" i="1"/>
  <c r="S48" i="1"/>
  <c r="S234" i="1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O82" i="2"/>
  <c r="G104" i="2"/>
  <c r="V42" i="2"/>
  <c r="Q98" i="2"/>
  <c r="O84" i="2"/>
  <c r="R50" i="2"/>
  <c r="N46" i="2"/>
  <c r="K81" i="2"/>
  <c r="G40" i="2"/>
  <c r="H90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V73" i="2"/>
  <c r="W53" i="2"/>
  <c r="I99" i="2"/>
  <c r="X64" i="2"/>
  <c r="Q52" i="2"/>
  <c r="V63" i="2"/>
  <c r="F68" i="2"/>
  <c r="O55" i="2"/>
  <c r="K107" i="2"/>
  <c r="V53" i="2"/>
  <c r="U76" i="2"/>
  <c r="G76" i="2"/>
  <c r="I82" i="2"/>
  <c r="M73" i="2"/>
  <c r="E85" i="2"/>
  <c r="M107" i="2"/>
  <c r="O113" i="2"/>
  <c r="C108" i="2"/>
  <c r="G61" i="2"/>
  <c r="U51" i="2"/>
  <c r="F86" i="2"/>
  <c r="K96" i="2"/>
  <c r="J43" i="2"/>
  <c r="R45" i="2"/>
  <c r="J53" i="2"/>
  <c r="Q47" i="2"/>
  <c r="F74" i="2"/>
  <c r="F54" i="2"/>
  <c r="J99" i="2"/>
  <c r="U54" i="2"/>
  <c r="X84" i="2"/>
  <c r="R88" i="2"/>
  <c r="N47" i="2"/>
  <c r="U83" i="2"/>
  <c r="T89" i="2"/>
  <c r="L75" i="2"/>
  <c r="O88" i="2"/>
  <c r="W43" i="2"/>
  <c r="I73" i="2"/>
  <c r="V80" i="2"/>
  <c r="K41" i="2"/>
  <c r="J79" i="2"/>
  <c r="G94" i="2"/>
  <c r="I108" i="2"/>
  <c r="D42" i="2"/>
  <c r="I66" i="2"/>
  <c r="N77" i="2"/>
  <c r="R112" i="2"/>
  <c r="D77" i="2"/>
  <c r="I74" i="2"/>
  <c r="E73" i="2"/>
  <c r="G99" i="2"/>
  <c r="N57" i="2"/>
  <c r="R61" i="2"/>
  <c r="O53" i="2"/>
  <c r="E69" i="2"/>
  <c r="G109" i="2"/>
  <c r="W113" i="2"/>
  <c r="N104" i="2"/>
  <c r="V82" i="2"/>
  <c r="C90" i="2"/>
  <c r="U72" i="2"/>
  <c r="V97" i="2"/>
  <c r="P106" i="2"/>
  <c r="V79" i="2"/>
  <c r="J94" i="2"/>
  <c r="O76" i="2"/>
  <c r="H81" i="2"/>
  <c r="U78" i="2"/>
  <c r="C94" i="2"/>
  <c r="W97" i="2"/>
  <c r="D110" i="2"/>
  <c r="C41" i="2"/>
  <c r="M47" i="2"/>
  <c r="T74" i="2"/>
  <c r="G80" i="2"/>
  <c r="X44" i="2"/>
  <c r="X51" i="2"/>
  <c r="D111" i="2"/>
  <c r="D92" i="2"/>
  <c r="C42" i="2"/>
  <c r="R63" i="2"/>
  <c r="K56" i="2"/>
  <c r="T113" i="2"/>
  <c r="L112" i="2"/>
  <c r="Q96" i="2"/>
  <c r="Q70" i="2"/>
  <c r="I105" i="2"/>
  <c r="F110" i="2"/>
  <c r="F44" i="2"/>
  <c r="L94" i="2"/>
  <c r="T90" i="2"/>
  <c r="R75" i="2"/>
  <c r="H78" i="2"/>
  <c r="C58" i="2"/>
  <c r="P44" i="2"/>
  <c r="G63" i="2"/>
  <c r="E54" i="2"/>
  <c r="K105" i="2"/>
  <c r="Q95" i="2"/>
  <c r="D69" i="2"/>
  <c r="H69" i="2"/>
  <c r="X98" i="2"/>
  <c r="R111" i="2"/>
  <c r="X55" i="2"/>
  <c r="L65" i="2"/>
  <c r="N99" i="2"/>
  <c r="I58" i="2"/>
  <c r="Q107" i="2"/>
  <c r="W83" i="2"/>
  <c r="V92" i="2"/>
  <c r="M66" i="2"/>
  <c r="M62" i="2"/>
  <c r="S70" i="2"/>
  <c r="L45" i="2"/>
  <c r="D86" i="2"/>
  <c r="N83" i="2"/>
  <c r="U95" i="2"/>
  <c r="T69" i="2"/>
  <c r="W66" i="2"/>
  <c r="V108" i="2"/>
  <c r="S95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U73" i="2"/>
  <c r="H82" i="2"/>
  <c r="F97" i="2"/>
  <c r="X45" i="2"/>
  <c r="R49" i="2"/>
  <c r="P42" i="2"/>
  <c r="O96" i="2"/>
  <c r="T76" i="2"/>
  <c r="K112" i="2"/>
  <c r="N74" i="2"/>
  <c r="Q94" i="2"/>
  <c r="E79" i="2"/>
  <c r="N61" i="2"/>
  <c r="H55" i="2"/>
  <c r="O94" i="2"/>
  <c r="J67" i="2"/>
  <c r="U111" i="2"/>
  <c r="O58" i="2"/>
  <c r="R65" i="2"/>
  <c r="W108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D58" i="2"/>
  <c r="K90" i="2"/>
  <c r="M90" i="2"/>
  <c r="M113" i="2"/>
  <c r="K73" i="2"/>
  <c r="H72" i="2"/>
  <c r="Q42" i="2"/>
  <c r="L64" i="2"/>
  <c r="C51" i="2"/>
  <c r="J104" i="2"/>
  <c r="M106" i="2"/>
  <c r="R71" i="2"/>
  <c r="T111" i="2"/>
  <c r="O42" i="2"/>
  <c r="K67" i="2"/>
  <c r="R113" i="2"/>
  <c r="U42" i="2"/>
  <c r="V95" i="2"/>
  <c r="S99" i="2"/>
  <c r="S48" i="2"/>
  <c r="L52" i="2"/>
  <c r="T54" i="2"/>
  <c r="G91" i="2"/>
  <c r="J59" i="2"/>
  <c r="X113" i="2"/>
  <c r="I89" i="2"/>
  <c r="M96" i="2"/>
  <c r="W82" i="2"/>
  <c r="C69" i="2"/>
  <c r="K86" i="2"/>
  <c r="O85" i="2"/>
  <c r="I84" i="2"/>
  <c r="M79" i="2"/>
  <c r="F47" i="2"/>
  <c r="J90" i="2"/>
  <c r="J89" i="2"/>
  <c r="P107" i="2"/>
  <c r="I97" i="2"/>
  <c r="C53" i="2"/>
  <c r="M41" i="2"/>
  <c r="X53" i="2"/>
  <c r="U110" i="2"/>
  <c r="M108" i="2"/>
  <c r="U96" i="2"/>
  <c r="X96" i="2"/>
  <c r="I113" i="2"/>
  <c r="K104" i="2"/>
  <c r="E68" i="2"/>
  <c r="M67" i="2"/>
  <c r="K44" i="2"/>
  <c r="T93" i="2"/>
  <c r="G62" i="2"/>
  <c r="D40" i="2"/>
  <c r="O72" i="2"/>
  <c r="U84" i="2"/>
  <c r="G97" i="2"/>
  <c r="P58" i="2"/>
  <c r="W79" i="2"/>
  <c r="I54" i="2"/>
  <c r="N69" i="2"/>
  <c r="R57" i="2"/>
  <c r="N79" i="2"/>
  <c r="N106" i="2"/>
  <c r="I52" i="2"/>
  <c r="C80" i="2"/>
  <c r="F51" i="2"/>
  <c r="W42" i="2"/>
  <c r="L55" i="2"/>
  <c r="L50" i="2"/>
  <c r="W87" i="2"/>
  <c r="G85" i="2"/>
  <c r="E107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N56" i="2"/>
  <c r="J108" i="2"/>
  <c r="R94" i="2"/>
  <c r="H92" i="2"/>
  <c r="K89" i="2"/>
  <c r="K69" i="2"/>
  <c r="K74" i="2"/>
  <c r="W61" i="2"/>
  <c r="C77" i="2"/>
  <c r="V76" i="2"/>
  <c r="F77" i="2"/>
  <c r="K80" i="2"/>
  <c r="N76" i="2"/>
  <c r="G57" i="2"/>
  <c r="Q90" i="2"/>
  <c r="M71" i="2"/>
  <c r="H65" i="2"/>
  <c r="F94" i="2"/>
  <c r="E56" i="2"/>
  <c r="D106" i="2"/>
  <c r="Q89" i="2"/>
  <c r="V83" i="2"/>
  <c r="S112" i="2"/>
  <c r="F48" i="2"/>
  <c r="P97" i="2"/>
  <c r="D76" i="2"/>
  <c r="T49" i="2"/>
  <c r="G87" i="2"/>
  <c r="E93" i="2"/>
  <c r="R77" i="2"/>
  <c r="U107" i="2"/>
  <c r="X106" i="2"/>
  <c r="F85" i="2"/>
  <c r="H56" i="2"/>
  <c r="M91" i="2"/>
  <c r="S113" i="2"/>
  <c r="L62" i="2"/>
  <c r="Q84" i="2"/>
  <c r="I112" i="2"/>
  <c r="R98" i="2"/>
  <c r="D113" i="2"/>
  <c r="O43" i="2"/>
  <c r="O99" i="2"/>
  <c r="I46" i="2"/>
  <c r="X76" i="2"/>
  <c r="K54" i="2"/>
  <c r="X109" i="2"/>
  <c r="N95" i="2"/>
  <c r="M59" i="2"/>
  <c r="P86" i="2"/>
  <c r="M88" i="2"/>
  <c r="L67" i="2"/>
  <c r="V71" i="2"/>
  <c r="F91" i="2"/>
  <c r="R107" i="2"/>
  <c r="H86" i="2"/>
  <c r="J54" i="2"/>
  <c r="F111" i="2"/>
  <c r="L63" i="2"/>
  <c r="F52" i="2"/>
  <c r="L51" i="2"/>
  <c r="O97" i="2"/>
  <c r="O50" i="2"/>
  <c r="J63" i="2"/>
  <c r="N92" i="2"/>
  <c r="U112" i="2"/>
  <c r="N58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S88" i="2"/>
  <c r="S74" i="2"/>
  <c r="E112" i="2"/>
  <c r="E111" i="2"/>
  <c r="I86" i="2"/>
  <c r="G68" i="2"/>
  <c r="O56" i="2"/>
  <c r="L70" i="2"/>
  <c r="U62" i="2"/>
  <c r="K94" i="2"/>
  <c r="J68" i="2"/>
  <c r="P113" i="2"/>
  <c r="D57" i="2"/>
  <c r="L44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I96" i="2"/>
  <c r="K88" i="2"/>
  <c r="P68" i="2"/>
  <c r="K99" i="2"/>
  <c r="H89" i="2"/>
  <c r="N44" i="2"/>
  <c r="P85" i="2"/>
  <c r="T50" i="2"/>
  <c r="R69" i="2"/>
  <c r="P43" i="2"/>
  <c r="T106" i="2"/>
  <c r="X62" i="2"/>
  <c r="X61" i="2"/>
  <c r="S85" i="2"/>
  <c r="U113" i="2"/>
  <c r="V77" i="2"/>
  <c r="E97" i="2"/>
  <c r="J111" i="2"/>
  <c r="E76" i="2"/>
  <c r="G60" i="2"/>
  <c r="S42" i="2"/>
  <c r="M57" i="2"/>
  <c r="X77" i="2"/>
  <c r="N62" i="2"/>
  <c r="L43" i="2"/>
  <c r="X58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S84" i="2"/>
  <c r="R72" i="2"/>
  <c r="P104" i="2"/>
  <c r="K57" i="2"/>
  <c r="O75" i="2"/>
  <c r="O111" i="2"/>
  <c r="R56" i="2"/>
  <c r="I61" i="2"/>
  <c r="W105" i="2"/>
  <c r="W80" i="2"/>
  <c r="F58" i="2"/>
  <c r="W92" i="2"/>
  <c r="I85" i="2"/>
  <c r="E43" i="2"/>
  <c r="K48" i="2"/>
  <c r="O65" i="2"/>
  <c r="D51" i="2"/>
  <c r="Q111" i="2"/>
  <c r="S89" i="2"/>
  <c r="Q88" i="2"/>
  <c r="T80" i="2"/>
  <c r="G41" i="2"/>
  <c r="V43" i="2"/>
  <c r="K66" i="2"/>
  <c r="L91" i="2"/>
  <c r="S110" i="2"/>
  <c r="J82" i="2"/>
  <c r="W76" i="2"/>
  <c r="W109" i="2"/>
  <c r="O89" i="2"/>
  <c r="I111" i="2"/>
  <c r="D91" i="2"/>
  <c r="G92" i="2"/>
  <c r="V54" i="2"/>
  <c r="C67" i="2"/>
  <c r="V56" i="2"/>
  <c r="R46" i="2"/>
  <c r="M95" i="2"/>
  <c r="I79" i="2"/>
  <c r="M58" i="2"/>
  <c r="W56" i="2"/>
  <c r="N98" i="2"/>
  <c r="K98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W65" i="2"/>
  <c r="M83" i="2"/>
  <c r="G66" i="2"/>
  <c r="N50" i="2"/>
  <c r="N96" i="2"/>
  <c r="D74" i="2"/>
  <c r="N90" i="2"/>
  <c r="K92" i="2"/>
  <c r="V93" i="2"/>
  <c r="I47" i="2"/>
  <c r="U79" i="2"/>
  <c r="C99" i="2"/>
  <c r="I62" i="2"/>
  <c r="P53" i="2"/>
  <c r="E95" i="2"/>
  <c r="X112" i="2"/>
  <c r="I63" i="2"/>
  <c r="R47" i="2"/>
  <c r="F63" i="2"/>
  <c r="T45" i="2"/>
  <c r="C70" i="2"/>
  <c r="U60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F80" i="2"/>
  <c r="U85" i="2"/>
  <c r="W94" i="2"/>
  <c r="U58" i="2"/>
  <c r="W107" i="2"/>
  <c r="F108" i="2"/>
  <c r="O45" i="2"/>
  <c r="H48" i="2"/>
  <c r="W75" i="2"/>
  <c r="M111" i="2"/>
  <c r="N60" i="2"/>
  <c r="U97" i="2"/>
  <c r="Q74" i="2"/>
  <c r="L87" i="2"/>
  <c r="V112" i="2"/>
  <c r="I80" i="2"/>
  <c r="L111" i="2"/>
  <c r="J86" i="2"/>
  <c r="W111" i="2"/>
  <c r="Q77" i="2"/>
  <c r="B40" i="1" l="1"/>
  <c r="B41" i="1"/>
  <c r="CL185" i="1"/>
  <c r="CL186" i="1" s="1"/>
  <c r="CL189" i="1" s="1"/>
  <c r="CM184" i="1"/>
  <c r="L43" i="1"/>
  <c r="E48" i="1"/>
  <c r="E193" i="1" s="1"/>
  <c r="E195" i="1" s="1"/>
  <c r="E42" i="1"/>
  <c r="E245" i="1" s="1"/>
  <c r="E52" i="1"/>
  <c r="C42" i="1"/>
  <c r="C43" i="1"/>
  <c r="C234" i="1"/>
  <c r="C48" i="1"/>
  <c r="C193" i="1" s="1"/>
  <c r="C195" i="1" s="1"/>
  <c r="CO17" i="1"/>
  <c r="E43" i="1"/>
  <c r="D43" i="1"/>
  <c r="Q42" i="1"/>
  <c r="Q245" i="1" s="1"/>
  <c r="R43" i="1"/>
  <c r="Q48" i="1"/>
  <c r="Q234" i="1"/>
  <c r="N43" i="1"/>
  <c r="I43" i="1"/>
  <c r="M43" i="1"/>
  <c r="L234" i="1"/>
  <c r="L48" i="1"/>
  <c r="L52" i="1" s="1"/>
  <c r="L42" i="1"/>
  <c r="L245" i="1" s="1"/>
  <c r="J43" i="1"/>
  <c r="I48" i="1"/>
  <c r="I193" i="1" s="1"/>
  <c r="I195" i="1" s="1"/>
  <c r="I42" i="1"/>
  <c r="I245" i="1" s="1"/>
  <c r="I234" i="1"/>
  <c r="T43" i="1"/>
  <c r="T234" i="1"/>
  <c r="G43" i="1"/>
  <c r="F43" i="1"/>
  <c r="F48" i="1"/>
  <c r="F52" i="1" s="1"/>
  <c r="F42" i="1"/>
  <c r="F245" i="1" s="1"/>
  <c r="F234" i="1"/>
  <c r="K43" i="1"/>
  <c r="J48" i="1"/>
  <c r="J52" i="1" s="1"/>
  <c r="J42" i="1"/>
  <c r="J245" i="1" s="1"/>
  <c r="J234" i="1"/>
  <c r="M48" i="1"/>
  <c r="M42" i="1"/>
  <c r="M245" i="1" s="1"/>
  <c r="M234" i="1"/>
  <c r="T42" i="1"/>
  <c r="T245" i="1" s="1"/>
  <c r="T48" i="1"/>
  <c r="K48" i="1"/>
  <c r="K234" i="1"/>
  <c r="K42" i="1"/>
  <c r="K245" i="1" s="1"/>
  <c r="R234" i="1"/>
  <c r="R48" i="1"/>
  <c r="R42" i="1"/>
  <c r="R245" i="1" s="1"/>
  <c r="O234" i="1"/>
  <c r="O42" i="1"/>
  <c r="O245" i="1" s="1"/>
  <c r="O48" i="1"/>
  <c r="P43" i="1"/>
  <c r="P48" i="1"/>
  <c r="P234" i="1"/>
  <c r="P42" i="1"/>
  <c r="P245" i="1" s="1"/>
  <c r="Q43" i="1"/>
  <c r="H48" i="1"/>
  <c r="H234" i="1"/>
  <c r="H42" i="1"/>
  <c r="H245" i="1" s="1"/>
  <c r="N234" i="1"/>
  <c r="O43" i="1"/>
  <c r="N48" i="1"/>
  <c r="N42" i="1"/>
  <c r="N245" i="1" s="1"/>
  <c r="CQ27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CK1" i="1" s="1"/>
  <c r="J193" i="1"/>
  <c r="J195" i="1" s="1"/>
  <c r="M193" i="1"/>
  <c r="M195" i="1" s="1"/>
  <c r="C52" i="1"/>
  <c r="S52" i="1"/>
  <c r="S193" i="1"/>
  <c r="S195" i="1" s="1"/>
  <c r="M52" i="1"/>
  <c r="AP93" i="3"/>
  <c r="AB80" i="3"/>
  <c r="AB30" i="3"/>
  <c r="L21" i="3"/>
  <c r="R23" i="3"/>
  <c r="J5" i="3"/>
  <c r="Q34" i="3"/>
  <c r="R21" i="3"/>
  <c r="AH26" i="3"/>
  <c r="AL26" i="3"/>
  <c r="I27" i="3"/>
  <c r="M37" i="3"/>
  <c r="X12" i="3"/>
  <c r="S26" i="3"/>
  <c r="V26" i="3"/>
  <c r="Z7" i="3"/>
  <c r="Y17" i="3"/>
  <c r="AP42" i="3"/>
  <c r="Z28" i="3"/>
  <c r="Y38" i="3"/>
  <c r="AD36" i="3"/>
  <c r="AO26" i="3"/>
  <c r="S23" i="3"/>
  <c r="AJ23" i="3"/>
  <c r="AQ31" i="3"/>
  <c r="N34" i="3"/>
  <c r="Q15" i="3"/>
  <c r="AP57" i="3"/>
  <c r="AB47" i="3"/>
  <c r="AP66" i="3"/>
  <c r="AA33" i="3"/>
  <c r="L11" i="3"/>
  <c r="C35" i="3"/>
  <c r="K35" i="3"/>
  <c r="AL38" i="3"/>
  <c r="O14" i="3"/>
  <c r="L13" i="3"/>
  <c r="AO38" i="3"/>
  <c r="AP18" i="3"/>
  <c r="X35" i="3"/>
  <c r="C32" i="3"/>
  <c r="AI22" i="3"/>
  <c r="J35" i="3"/>
  <c r="I23" i="3"/>
  <c r="R39" i="3"/>
  <c r="V20" i="3"/>
  <c r="L30" i="3"/>
  <c r="X31" i="3"/>
  <c r="X11" i="3"/>
  <c r="W5" i="3"/>
  <c r="AL28" i="3"/>
  <c r="AO13" i="3"/>
  <c r="Q36" i="3"/>
  <c r="K20" i="3"/>
  <c r="O12" i="3"/>
  <c r="AP75" i="3"/>
  <c r="AB84" i="3"/>
  <c r="AP91" i="3"/>
  <c r="C15" i="3"/>
  <c r="J33" i="3"/>
  <c r="Y16" i="3"/>
  <c r="AC11" i="3"/>
  <c r="AJ28" i="3"/>
  <c r="O41" i="3"/>
  <c r="AE23" i="3"/>
  <c r="Y35" i="3"/>
  <c r="M34" i="3"/>
  <c r="AH7" i="3"/>
  <c r="AK14" i="3"/>
  <c r="AP37" i="3"/>
  <c r="H32" i="3"/>
  <c r="S12" i="3"/>
  <c r="J93" i="3"/>
  <c r="AJ37" i="3"/>
  <c r="R27" i="3"/>
  <c r="AP27" i="3"/>
  <c r="H31" i="3"/>
  <c r="AK29" i="3"/>
  <c r="H22" i="3"/>
  <c r="AL17" i="3"/>
  <c r="V7" i="3"/>
  <c r="C14" i="3"/>
  <c r="AQ36" i="3"/>
  <c r="T31" i="3"/>
  <c r="AN22" i="3"/>
  <c r="P30" i="3"/>
  <c r="AB67" i="3"/>
  <c r="AB77" i="3"/>
  <c r="R8" i="3"/>
  <c r="C12" i="3"/>
  <c r="AC7" i="3"/>
  <c r="I6" i="3"/>
  <c r="Q38" i="3"/>
  <c r="Q20" i="3"/>
  <c r="P20" i="3"/>
  <c r="R35" i="3"/>
  <c r="AB13" i="3"/>
  <c r="AM40" i="3"/>
  <c r="AM13" i="3"/>
  <c r="M32" i="3"/>
  <c r="T18" i="3"/>
  <c r="P8" i="3"/>
  <c r="P23" i="3"/>
  <c r="AQ9" i="3"/>
  <c r="J30" i="3"/>
  <c r="AP38" i="3"/>
  <c r="AO29" i="3"/>
  <c r="AJ6" i="3"/>
  <c r="N14" i="3"/>
  <c r="S28" i="3"/>
  <c r="H24" i="3"/>
  <c r="AC16" i="3"/>
  <c r="AQ8" i="3"/>
  <c r="J28" i="3"/>
  <c r="AC5" i="3"/>
  <c r="AC79" i="3" s="1"/>
  <c r="AB40" i="3"/>
  <c r="U40" i="3"/>
  <c r="AM17" i="3"/>
  <c r="AN30" i="3"/>
  <c r="Y36" i="3"/>
  <c r="AL19" i="3"/>
  <c r="R11" i="3"/>
  <c r="AI31" i="3"/>
  <c r="AJ36" i="3"/>
  <c r="AM6" i="3"/>
  <c r="AP23" i="3"/>
  <c r="AK33" i="3"/>
  <c r="U7" i="3"/>
  <c r="Z32" i="3"/>
  <c r="T7" i="3"/>
  <c r="AP32" i="3"/>
  <c r="AO18" i="3"/>
  <c r="AM38" i="3"/>
  <c r="AB68" i="3"/>
  <c r="AP65" i="3"/>
  <c r="AE36" i="3"/>
  <c r="N36" i="3"/>
  <c r="AE5" i="3"/>
  <c r="AM15" i="3"/>
  <c r="AK10" i="3"/>
  <c r="AE8" i="3"/>
  <c r="I36" i="3"/>
  <c r="AG5" i="3"/>
  <c r="AA31" i="3"/>
  <c r="K32" i="3"/>
  <c r="AC14" i="3"/>
  <c r="U38" i="3"/>
  <c r="AL30" i="3"/>
  <c r="H21" i="3"/>
  <c r="U8" i="3"/>
  <c r="K7" i="3"/>
  <c r="AC28" i="3"/>
  <c r="AC13" i="3"/>
  <c r="J20" i="3"/>
  <c r="S39" i="3"/>
  <c r="AN23" i="3"/>
  <c r="AQ35" i="3"/>
  <c r="AK19" i="3"/>
  <c r="C33" i="3"/>
  <c r="AG14" i="3"/>
  <c r="E50" i="3"/>
  <c r="G49" i="3"/>
  <c r="AO33" i="3"/>
  <c r="M16" i="3"/>
  <c r="AA32" i="3"/>
  <c r="N23" i="3"/>
  <c r="AM29" i="3"/>
  <c r="L39" i="3"/>
  <c r="S9" i="3"/>
  <c r="U23" i="3"/>
  <c r="AH35" i="3"/>
  <c r="AO35" i="3"/>
  <c r="S22" i="3"/>
  <c r="AQ19" i="3"/>
  <c r="Z12" i="3"/>
  <c r="N21" i="3"/>
  <c r="AM18" i="3"/>
  <c r="Y42" i="3"/>
  <c r="O40" i="3"/>
  <c r="AP11" i="3"/>
  <c r="Z29" i="3"/>
  <c r="S5" i="3"/>
  <c r="S90" i="3" s="1"/>
  <c r="I16" i="3"/>
  <c r="L35" i="3"/>
  <c r="S57" i="3"/>
  <c r="R37" i="3"/>
  <c r="AH6" i="3"/>
  <c r="R5" i="3"/>
  <c r="AB60" i="3"/>
  <c r="AP50" i="3"/>
  <c r="AB48" i="3"/>
  <c r="AI23" i="3"/>
  <c r="C10" i="3"/>
  <c r="AG39" i="3"/>
  <c r="M25" i="3"/>
  <c r="K26" i="3"/>
  <c r="X5" i="3"/>
  <c r="AA19" i="3"/>
  <c r="L22" i="3"/>
  <c r="AN7" i="3"/>
  <c r="AB26" i="3"/>
  <c r="AM33" i="3"/>
  <c r="AK13" i="3"/>
  <c r="C38" i="3"/>
  <c r="AA36" i="3"/>
  <c r="U6" i="3"/>
  <c r="P33" i="3"/>
  <c r="AK18" i="3"/>
  <c r="AN31" i="3"/>
  <c r="AA5" i="3"/>
  <c r="M36" i="3"/>
  <c r="R14" i="3"/>
  <c r="Y29" i="3"/>
  <c r="O31" i="3"/>
  <c r="D50" i="3"/>
  <c r="AJ42" i="3"/>
  <c r="S29" i="3"/>
  <c r="AB89" i="3"/>
  <c r="AB75" i="3"/>
  <c r="U21" i="3"/>
  <c r="W9" i="3"/>
  <c r="AJ12" i="3"/>
  <c r="V23" i="3"/>
  <c r="H38" i="3"/>
  <c r="AL15" i="3"/>
  <c r="J36" i="3"/>
  <c r="AH19" i="3"/>
  <c r="X17" i="3"/>
  <c r="N22" i="3"/>
  <c r="AN24" i="3"/>
  <c r="M38" i="3"/>
  <c r="Q22" i="3"/>
  <c r="AP33" i="3"/>
  <c r="K19" i="3"/>
  <c r="AQ32" i="3"/>
  <c r="C19" i="3"/>
  <c r="T28" i="3"/>
  <c r="H23" i="3"/>
  <c r="X28" i="3"/>
  <c r="AP9" i="3"/>
  <c r="P13" i="3"/>
  <c r="U14" i="3"/>
  <c r="AA39" i="3"/>
  <c r="P7" i="3"/>
  <c r="Q24" i="3"/>
  <c r="O7" i="3"/>
  <c r="AA17" i="3"/>
  <c r="AI16" i="3"/>
  <c r="AA27" i="3"/>
  <c r="H8" i="3"/>
  <c r="U10" i="3"/>
  <c r="I15" i="3"/>
  <c r="AN42" i="3"/>
  <c r="T29" i="3"/>
  <c r="L8" i="3"/>
  <c r="C11" i="3"/>
  <c r="AG27" i="3"/>
  <c r="C31" i="3"/>
  <c r="AD48" i="3"/>
  <c r="AB87" i="3"/>
  <c r="AB90" i="3"/>
  <c r="AO9" i="3"/>
  <c r="N35" i="3"/>
  <c r="I12" i="3"/>
  <c r="AD39" i="3"/>
  <c r="K31" i="3"/>
  <c r="AP12" i="3"/>
  <c r="U11" i="3"/>
  <c r="AO28" i="3"/>
  <c r="Q23" i="3"/>
  <c r="L18" i="3"/>
  <c r="H36" i="3"/>
  <c r="M5" i="3"/>
  <c r="AE25" i="3"/>
  <c r="AM28" i="3"/>
  <c r="X13" i="3"/>
  <c r="AK26" i="3"/>
  <c r="AJ11" i="3"/>
  <c r="W33" i="3"/>
  <c r="AG28" i="3"/>
  <c r="I41" i="3"/>
  <c r="N25" i="3"/>
  <c r="AI24" i="3"/>
  <c r="X23" i="3"/>
  <c r="N29" i="3"/>
  <c r="C48" i="3"/>
  <c r="E48" i="3"/>
  <c r="H5" i="3"/>
  <c r="I8" i="3"/>
  <c r="AQ12" i="3"/>
  <c r="AI11" i="3"/>
  <c r="AA15" i="3"/>
  <c r="AI10" i="3"/>
  <c r="AQ21" i="3"/>
  <c r="AH10" i="3"/>
  <c r="H17" i="3"/>
  <c r="Y41" i="3"/>
  <c r="H40" i="3"/>
  <c r="Y7" i="3"/>
  <c r="G34" i="3"/>
  <c r="AH28" i="3"/>
  <c r="U20" i="3"/>
  <c r="C7" i="3"/>
  <c r="AD32" i="3"/>
  <c r="P24" i="3"/>
  <c r="AQ40" i="3"/>
  <c r="H97" i="3"/>
  <c r="L16" i="3"/>
  <c r="W27" i="3"/>
  <c r="W68" i="3"/>
  <c r="M15" i="3"/>
  <c r="L33" i="3"/>
  <c r="AB73" i="3"/>
  <c r="AB59" i="3"/>
  <c r="AH22" i="3"/>
  <c r="AB16" i="3"/>
  <c r="AD35" i="3"/>
  <c r="AC27" i="3"/>
  <c r="AM22" i="3"/>
  <c r="AM16" i="3"/>
  <c r="P39" i="3"/>
  <c r="C40" i="3"/>
  <c r="AJ13" i="3"/>
  <c r="I20" i="3"/>
  <c r="AH31" i="3"/>
  <c r="T38" i="3"/>
  <c r="H65" i="3"/>
  <c r="J9" i="3"/>
  <c r="AI29" i="3"/>
  <c r="K36" i="3"/>
  <c r="AP22" i="3"/>
  <c r="O30" i="3"/>
  <c r="AN12" i="3"/>
  <c r="L7" i="3"/>
  <c r="AG33" i="3"/>
  <c r="AA40" i="3"/>
  <c r="P17" i="3"/>
  <c r="J13" i="3"/>
  <c r="AB83" i="3"/>
  <c r="AB66" i="3"/>
  <c r="AP89" i="3"/>
  <c r="AQ18" i="3"/>
  <c r="AM37" i="3"/>
  <c r="AP16" i="3"/>
  <c r="T41" i="3"/>
  <c r="AB32" i="3"/>
  <c r="AG38" i="3"/>
  <c r="AQ10" i="3"/>
  <c r="AG15" i="3"/>
  <c r="R19" i="3"/>
  <c r="H6" i="3"/>
  <c r="AJ29" i="3"/>
  <c r="AD40" i="3"/>
  <c r="AB81" i="3"/>
  <c r="AP80" i="3"/>
  <c r="O16" i="3"/>
  <c r="AP28" i="3"/>
  <c r="AK6" i="3"/>
  <c r="R18" i="3"/>
  <c r="AN21" i="3"/>
  <c r="AG17" i="3"/>
  <c r="R33" i="3"/>
  <c r="V11" i="3"/>
  <c r="AL16" i="3"/>
  <c r="AL8" i="3"/>
  <c r="AJ9" i="3"/>
  <c r="R17" i="3"/>
  <c r="AI36" i="3"/>
  <c r="C6" i="3"/>
  <c r="T32" i="3"/>
  <c r="AK17" i="3"/>
  <c r="AJ14" i="3"/>
  <c r="AC24" i="3"/>
  <c r="R25" i="3"/>
  <c r="K10" i="3"/>
  <c r="N32" i="3"/>
  <c r="AM7" i="3"/>
  <c r="K22" i="3"/>
  <c r="AP84" i="3"/>
  <c r="AB72" i="3"/>
  <c r="AG18" i="3"/>
  <c r="C25" i="3"/>
  <c r="Q39" i="3"/>
  <c r="V25" i="3"/>
  <c r="AC12" i="3"/>
  <c r="AO20" i="3"/>
  <c r="AG31" i="3"/>
  <c r="G38" i="3"/>
  <c r="AH14" i="3"/>
  <c r="AD49" i="3"/>
  <c r="Y40" i="3"/>
  <c r="J24" i="3"/>
  <c r="AQ17" i="3"/>
  <c r="C39" i="3"/>
  <c r="Z35" i="3"/>
  <c r="M26" i="3"/>
  <c r="AE14" i="3"/>
  <c r="AO5" i="3"/>
  <c r="J7" i="3"/>
  <c r="AK7" i="3"/>
  <c r="AQ33" i="3"/>
  <c r="Z17" i="3"/>
  <c r="AM36" i="3"/>
  <c r="M40" i="3"/>
  <c r="AL34" i="3"/>
  <c r="AP76" i="3"/>
  <c r="AB58" i="3"/>
  <c r="AE38" i="3"/>
  <c r="AB22" i="3"/>
  <c r="AL27" i="3"/>
  <c r="U33" i="3"/>
  <c r="AQ15" i="3"/>
  <c r="Q33" i="3"/>
  <c r="AA34" i="3"/>
  <c r="AM26" i="3"/>
  <c r="AA35" i="3"/>
  <c r="P5" i="3"/>
  <c r="AG36" i="3"/>
  <c r="U39" i="3"/>
  <c r="AH38" i="3"/>
  <c r="Q28" i="3"/>
  <c r="Y18" i="3"/>
  <c r="M8" i="3"/>
  <c r="V28" i="3"/>
  <c r="AG20" i="3"/>
  <c r="AL36" i="3"/>
  <c r="O34" i="3"/>
  <c r="O8" i="3"/>
  <c r="H13" i="3"/>
  <c r="Q8" i="3"/>
  <c r="AB42" i="3"/>
  <c r="AC15" i="3"/>
  <c r="M50" i="3"/>
  <c r="Y37" i="3"/>
  <c r="AP61" i="3"/>
  <c r="AP97" i="3"/>
  <c r="AB85" i="3"/>
  <c r="J15" i="3"/>
  <c r="H72" i="3"/>
  <c r="S35" i="3"/>
  <c r="X34" i="3"/>
  <c r="AH18" i="3"/>
  <c r="T14" i="3"/>
  <c r="AA28" i="3"/>
  <c r="AB10" i="3"/>
  <c r="Q14" i="3"/>
  <c r="AJ16" i="3"/>
  <c r="U41" i="3"/>
  <c r="Y6" i="3"/>
  <c r="L31" i="3"/>
  <c r="AO22" i="3"/>
  <c r="P27" i="3"/>
  <c r="K34" i="3"/>
  <c r="S15" i="3"/>
  <c r="Y32" i="3"/>
  <c r="H18" i="3"/>
  <c r="H55" i="3"/>
  <c r="AA20" i="3"/>
  <c r="AN14" i="3"/>
  <c r="AQ5" i="3"/>
  <c r="T6" i="3"/>
  <c r="AI6" i="3"/>
  <c r="AH42" i="3"/>
  <c r="AP81" i="3"/>
  <c r="AP69" i="3"/>
  <c r="AN35" i="3"/>
  <c r="U37" i="3"/>
  <c r="AO41" i="3"/>
  <c r="AL39" i="3"/>
  <c r="S36" i="3"/>
  <c r="I33" i="3"/>
  <c r="AK34" i="3"/>
  <c r="O20" i="3"/>
  <c r="AD21" i="3"/>
  <c r="K17" i="3"/>
  <c r="S18" i="3"/>
  <c r="W42" i="3"/>
  <c r="Z31" i="3"/>
  <c r="C18" i="3"/>
  <c r="AM19" i="3"/>
  <c r="AQ42" i="3"/>
  <c r="X33" i="3"/>
  <c r="AE28" i="3"/>
  <c r="X38" i="3"/>
  <c r="AB34" i="3"/>
  <c r="AO37" i="3"/>
  <c r="AD37" i="3"/>
  <c r="AP36" i="3"/>
  <c r="P6" i="3"/>
  <c r="K12" i="3"/>
  <c r="AP59" i="3"/>
  <c r="AB57" i="3"/>
  <c r="C13" i="3"/>
  <c r="AL41" i="3"/>
  <c r="AB14" i="3"/>
  <c r="U34" i="3"/>
  <c r="C37" i="3"/>
  <c r="Z13" i="3"/>
  <c r="H34" i="3"/>
  <c r="AA24" i="3"/>
  <c r="U28" i="3"/>
  <c r="AD33" i="3"/>
  <c r="L42" i="3"/>
  <c r="AJ8" i="3"/>
  <c r="AE39" i="3"/>
  <c r="AH13" i="3"/>
  <c r="AJ24" i="3"/>
  <c r="AJ5" i="3"/>
  <c r="AG12" i="3"/>
  <c r="AH34" i="3"/>
  <c r="L24" i="3"/>
  <c r="AM14" i="3"/>
  <c r="U9" i="3"/>
  <c r="AC21" i="3"/>
  <c r="X20" i="3"/>
  <c r="G39" i="3"/>
  <c r="AE24" i="3"/>
  <c r="AJ27" i="3"/>
  <c r="Z39" i="3"/>
  <c r="AL22" i="3"/>
  <c r="AP68" i="3"/>
  <c r="C49" i="3"/>
  <c r="AI35" i="3"/>
  <c r="U18" i="3"/>
  <c r="AC23" i="3"/>
  <c r="J6" i="3"/>
  <c r="AO16" i="3"/>
  <c r="U36" i="3"/>
  <c r="M14" i="3"/>
  <c r="AC33" i="3"/>
  <c r="AC22" i="3"/>
  <c r="S10" i="3"/>
  <c r="AE11" i="3"/>
  <c r="AQ28" i="3"/>
  <c r="AD25" i="3"/>
  <c r="AL20" i="3"/>
  <c r="AI26" i="3"/>
  <c r="G40" i="3"/>
  <c r="AQ39" i="3"/>
  <c r="AD29" i="3"/>
  <c r="J76" i="3"/>
  <c r="P35" i="3"/>
  <c r="AP40" i="3"/>
  <c r="AN16" i="3"/>
  <c r="AJ20" i="3"/>
  <c r="AO94" i="3"/>
  <c r="AP19" i="3"/>
  <c r="AP30" i="3"/>
  <c r="H79" i="3"/>
  <c r="AP83" i="3"/>
  <c r="AB88" i="3"/>
  <c r="M22" i="3"/>
  <c r="AD30" i="3"/>
  <c r="G41" i="3"/>
  <c r="S27" i="3"/>
  <c r="P29" i="3"/>
  <c r="N10" i="3"/>
  <c r="AG30" i="3"/>
  <c r="AC10" i="3"/>
  <c r="AG10" i="3"/>
  <c r="AE33" i="3"/>
  <c r="H69" i="3"/>
  <c r="AC39" i="3"/>
  <c r="AG73" i="3"/>
  <c r="Z20" i="3"/>
  <c r="AE41" i="3"/>
  <c r="AQ16" i="3"/>
  <c r="AJ17" i="3"/>
  <c r="AK11" i="3"/>
  <c r="X10" i="3"/>
  <c r="AI20" i="3"/>
  <c r="AE69" i="3"/>
  <c r="AC20" i="3"/>
  <c r="V5" i="3"/>
  <c r="S47" i="3"/>
  <c r="H61" i="3"/>
  <c r="AM25" i="3"/>
  <c r="I31" i="3"/>
  <c r="AJ48" i="3"/>
  <c r="Q21" i="3"/>
  <c r="AB9" i="3"/>
  <c r="V27" i="3"/>
  <c r="I28" i="3"/>
  <c r="AO56" i="3"/>
  <c r="R95" i="3"/>
  <c r="X19" i="3"/>
  <c r="AO90" i="3"/>
  <c r="AG91" i="3"/>
  <c r="AE73" i="3"/>
  <c r="AC50" i="3"/>
  <c r="J29" i="3"/>
  <c r="AH33" i="3"/>
  <c r="W60" i="3"/>
  <c r="AO36" i="3"/>
  <c r="G50" i="3"/>
  <c r="AB97" i="3"/>
  <c r="AB7" i="3"/>
  <c r="AJ40" i="3"/>
  <c r="AE90" i="3"/>
  <c r="S14" i="3"/>
  <c r="Q16" i="3"/>
  <c r="AO31" i="3"/>
  <c r="W21" i="3"/>
  <c r="AG7" i="3"/>
  <c r="H20" i="3"/>
  <c r="AC34" i="3"/>
  <c r="P38" i="3"/>
  <c r="AB24" i="3"/>
  <c r="Z26" i="3"/>
  <c r="N11" i="3"/>
  <c r="Y34" i="3"/>
  <c r="AH40" i="3"/>
  <c r="S21" i="3"/>
  <c r="AJ34" i="3"/>
  <c r="AO23" i="3"/>
  <c r="W22" i="3"/>
  <c r="AJ35" i="3"/>
  <c r="L34" i="3"/>
  <c r="J21" i="3"/>
  <c r="AJ32" i="3"/>
  <c r="AQ25" i="3"/>
  <c r="AB70" i="3"/>
  <c r="AB56" i="3"/>
  <c r="AP10" i="3"/>
  <c r="H16" i="3"/>
  <c r="AM41" i="3"/>
  <c r="AI33" i="3"/>
  <c r="S17" i="3"/>
  <c r="X32" i="3"/>
  <c r="P34" i="3"/>
  <c r="AK24" i="3"/>
  <c r="T27" i="3"/>
  <c r="N26" i="3"/>
  <c r="L41" i="3"/>
  <c r="AN15" i="3"/>
  <c r="X14" i="3"/>
  <c r="N40" i="3"/>
  <c r="O27" i="3"/>
  <c r="P9" i="3"/>
  <c r="AE37" i="3"/>
  <c r="J12" i="3"/>
  <c r="AP34" i="3"/>
  <c r="H41" i="3"/>
  <c r="AG29" i="3"/>
  <c r="AQ11" i="3"/>
  <c r="I38" i="3"/>
  <c r="AG89" i="3"/>
  <c r="K25" i="3"/>
  <c r="AE79" i="3"/>
  <c r="AB61" i="3"/>
  <c r="G48" i="3"/>
  <c r="P32" i="3"/>
  <c r="AM8" i="3"/>
  <c r="AG32" i="3"/>
  <c r="Y15" i="3"/>
  <c r="AN8" i="3"/>
  <c r="Y20" i="3"/>
  <c r="AH37" i="3"/>
  <c r="AQ26" i="3"/>
  <c r="T33" i="3"/>
  <c r="V12" i="3"/>
  <c r="AI14" i="3"/>
  <c r="J31" i="3"/>
  <c r="AJ39" i="3"/>
  <c r="I25" i="3"/>
  <c r="D49" i="3"/>
  <c r="AE17" i="3"/>
  <c r="Z22" i="3"/>
  <c r="AI41" i="3"/>
  <c r="C21" i="3"/>
  <c r="AB33" i="3"/>
  <c r="Y30" i="3"/>
  <c r="AC40" i="3"/>
  <c r="AB25" i="3"/>
  <c r="AK9" i="3"/>
  <c r="V37" i="3"/>
  <c r="J17" i="3"/>
  <c r="K21" i="3"/>
  <c r="AP74" i="3"/>
  <c r="AP79" i="3"/>
  <c r="Z10" i="3"/>
  <c r="AP72" i="3"/>
  <c r="AP87" i="3"/>
  <c r="AE13" i="3"/>
  <c r="J16" i="3"/>
  <c r="H11" i="3"/>
  <c r="P16" i="3"/>
  <c r="H12" i="3"/>
  <c r="L23" i="3"/>
  <c r="AG41" i="3"/>
  <c r="AE19" i="3"/>
  <c r="N19" i="3"/>
  <c r="AK38" i="3"/>
  <c r="AB20" i="3"/>
  <c r="Y11" i="3"/>
  <c r="AJ22" i="3"/>
  <c r="S11" i="3"/>
  <c r="K16" i="3"/>
  <c r="AE27" i="3"/>
  <c r="Q25" i="3"/>
  <c r="AC42" i="3"/>
  <c r="AL33" i="3"/>
  <c r="Z33" i="3"/>
  <c r="M17" i="3"/>
  <c r="AQ29" i="3"/>
  <c r="U17" i="3"/>
  <c r="AP62" i="3"/>
  <c r="AP86" i="3"/>
  <c r="AO32" i="3"/>
  <c r="T21" i="3"/>
  <c r="Y13" i="3"/>
  <c r="I26" i="3"/>
  <c r="AB12" i="3"/>
  <c r="AG13" i="3"/>
  <c r="V6" i="3"/>
  <c r="AI17" i="3"/>
  <c r="S33" i="3"/>
  <c r="G37" i="3"/>
  <c r="AJ31" i="3"/>
  <c r="AH30" i="3"/>
  <c r="L38" i="3"/>
  <c r="AP88" i="3"/>
  <c r="AB65" i="3"/>
  <c r="AG24" i="3"/>
  <c r="U12" i="3"/>
  <c r="N15" i="3"/>
  <c r="Q17" i="3"/>
  <c r="C27" i="3"/>
  <c r="O39" i="3"/>
  <c r="AK41" i="3"/>
  <c r="Z41" i="3"/>
  <c r="P31" i="3"/>
  <c r="AO21" i="3"/>
  <c r="Z24" i="3"/>
  <c r="AE15" i="3"/>
  <c r="P26" i="3"/>
  <c r="AE42" i="3"/>
  <c r="U19" i="3"/>
  <c r="AB21" i="3"/>
  <c r="AL29" i="3"/>
  <c r="Z6" i="3"/>
  <c r="AG11" i="3"/>
  <c r="Y9" i="3"/>
  <c r="W24" i="3"/>
  <c r="T16" i="3"/>
  <c r="Q11" i="3"/>
  <c r="AO34" i="3"/>
  <c r="AE80" i="3"/>
  <c r="AB50" i="3"/>
  <c r="AB54" i="3"/>
  <c r="AO30" i="3"/>
  <c r="I22" i="3"/>
  <c r="AO12" i="3"/>
  <c r="AP8" i="3"/>
  <c r="R13" i="3"/>
  <c r="R15" i="3"/>
  <c r="AE20" i="3"/>
  <c r="Y8" i="3"/>
  <c r="H19" i="3"/>
  <c r="AE21" i="3"/>
  <c r="C22" i="3"/>
  <c r="S16" i="3"/>
  <c r="AI18" i="3"/>
  <c r="AG6" i="3"/>
  <c r="K42" i="3"/>
  <c r="V39" i="3"/>
  <c r="H75" i="3"/>
  <c r="W41" i="3"/>
  <c r="D48" i="3"/>
  <c r="V35" i="3"/>
  <c r="AL40" i="3"/>
  <c r="Y31" i="3"/>
  <c r="P36" i="3"/>
  <c r="S37" i="3"/>
  <c r="AJ19" i="3"/>
  <c r="L26" i="3"/>
  <c r="C4" i="3"/>
  <c r="AB69" i="3"/>
  <c r="AB74" i="3"/>
  <c r="AA10" i="3"/>
  <c r="X21" i="3"/>
  <c r="AD28" i="3"/>
  <c r="Y25" i="3"/>
  <c r="Q6" i="3"/>
  <c r="AJ33" i="3"/>
  <c r="AI32" i="3"/>
  <c r="AN27" i="3"/>
  <c r="S41" i="3"/>
  <c r="M28" i="3"/>
  <c r="AK23" i="3"/>
  <c r="T35" i="3"/>
  <c r="S42" i="3"/>
  <c r="Z30" i="3"/>
  <c r="X41" i="3"/>
  <c r="AI42" i="3"/>
  <c r="K37" i="3"/>
  <c r="Y5" i="3"/>
  <c r="AL21" i="3"/>
  <c r="AB39" i="3"/>
  <c r="W31" i="3"/>
  <c r="AK31" i="3"/>
  <c r="AA30" i="3"/>
  <c r="R22" i="3"/>
  <c r="AC9" i="3"/>
  <c r="J22" i="3"/>
  <c r="AE95" i="3"/>
  <c r="E49" i="3"/>
  <c r="AP92" i="3"/>
  <c r="AG8" i="3"/>
  <c r="AM21" i="3"/>
  <c r="AO25" i="3"/>
  <c r="V16" i="3"/>
  <c r="W6" i="3"/>
  <c r="R9" i="3"/>
  <c r="AH27" i="3"/>
  <c r="W16" i="3"/>
  <c r="AI37" i="3"/>
  <c r="Y23" i="3"/>
  <c r="Z21" i="3"/>
  <c r="M39" i="3"/>
  <c r="L40" i="3"/>
  <c r="N39" i="3"/>
  <c r="O37" i="3"/>
  <c r="AK15" i="3"/>
  <c r="AG9" i="3"/>
  <c r="AI13" i="3"/>
  <c r="S32" i="3"/>
  <c r="AN9" i="3"/>
  <c r="O6" i="3"/>
  <c r="AL31" i="3"/>
  <c r="V17" i="3"/>
  <c r="R38" i="3"/>
  <c r="AD23" i="3"/>
  <c r="P37" i="3"/>
  <c r="H83" i="3"/>
  <c r="K9" i="3"/>
  <c r="AO42" i="3"/>
  <c r="R50" i="3"/>
  <c r="V34" i="3"/>
  <c r="N33" i="3"/>
  <c r="J73" i="3"/>
  <c r="X37" i="3"/>
  <c r="L14" i="3"/>
  <c r="Y87" i="3"/>
  <c r="AE71" i="3"/>
  <c r="AL14" i="3"/>
  <c r="AB31" i="3"/>
  <c r="AP47" i="3"/>
  <c r="AP55" i="3"/>
  <c r="AB71" i="3"/>
  <c r="AH24" i="3"/>
  <c r="AN17" i="3"/>
  <c r="N42" i="3"/>
  <c r="G36" i="3"/>
  <c r="AN29" i="3"/>
  <c r="AP14" i="3"/>
  <c r="R16" i="3"/>
  <c r="I10" i="3"/>
  <c r="N18" i="3"/>
  <c r="AC36" i="3"/>
  <c r="AO17" i="3"/>
  <c r="W36" i="3"/>
  <c r="J23" i="3"/>
  <c r="AL6" i="3"/>
  <c r="Z38" i="3"/>
  <c r="AP24" i="3"/>
  <c r="AK35" i="3"/>
  <c r="U5" i="3"/>
  <c r="O9" i="3"/>
  <c r="P19" i="3"/>
  <c r="I18" i="3"/>
  <c r="T25" i="3"/>
  <c r="I14" i="3"/>
  <c r="J39" i="3"/>
  <c r="AB92" i="3"/>
  <c r="AB94" i="3"/>
  <c r="N6" i="3"/>
  <c r="O17" i="3"/>
  <c r="AL13" i="3"/>
  <c r="AA6" i="3"/>
  <c r="C9" i="3"/>
  <c r="T22" i="3"/>
  <c r="Z18" i="3"/>
  <c r="U30" i="3"/>
  <c r="H35" i="3"/>
  <c r="AD27" i="3"/>
  <c r="I34" i="3"/>
  <c r="C30" i="3"/>
  <c r="R32" i="3"/>
  <c r="T40" i="3"/>
  <c r="H7" i="3"/>
  <c r="M6" i="3"/>
  <c r="R12" i="3"/>
  <c r="R28" i="3"/>
  <c r="AA29" i="3"/>
  <c r="N9" i="3"/>
  <c r="AN5" i="3"/>
  <c r="AN79" i="3"/>
  <c r="I11" i="3"/>
  <c r="J42" i="3"/>
  <c r="Y21" i="3"/>
  <c r="AH9" i="3"/>
  <c r="D47" i="3"/>
  <c r="AP35" i="3"/>
  <c r="AB82" i="3"/>
  <c r="AB76" i="3"/>
  <c r="C20" i="3"/>
  <c r="M12" i="3"/>
  <c r="W32" i="3"/>
  <c r="S30" i="3"/>
  <c r="AJ26" i="3"/>
  <c r="AE6" i="3"/>
  <c r="X26" i="3"/>
  <c r="V10" i="3"/>
  <c r="R30" i="3"/>
  <c r="AD22" i="3"/>
  <c r="P22" i="3"/>
  <c r="I21" i="3"/>
  <c r="K30" i="3"/>
  <c r="W28" i="3"/>
  <c r="AQ34" i="3"/>
  <c r="Z19" i="3"/>
  <c r="M29" i="3"/>
  <c r="U24" i="3"/>
  <c r="AP17" i="3"/>
  <c r="O38" i="3"/>
  <c r="X25" i="3"/>
  <c r="AN6" i="3"/>
  <c r="H15" i="3"/>
  <c r="R40" i="3"/>
  <c r="AK25" i="3"/>
  <c r="K14" i="3"/>
  <c r="Z14" i="3"/>
  <c r="W25" i="3"/>
  <c r="AP48" i="3"/>
  <c r="AB79" i="3"/>
  <c r="AB18" i="3"/>
  <c r="P25" i="3"/>
  <c r="J14" i="3"/>
  <c r="AH21" i="3"/>
  <c r="J10" i="3"/>
  <c r="C28" i="3"/>
  <c r="AI15" i="3"/>
  <c r="AI7" i="3"/>
  <c r="W39" i="3"/>
  <c r="O19" i="3"/>
  <c r="K28" i="3"/>
  <c r="AG34" i="3"/>
  <c r="O21" i="3"/>
  <c r="M7" i="3"/>
  <c r="Q27" i="3"/>
  <c r="AD50" i="3"/>
  <c r="AD42" i="3"/>
  <c r="T10" i="3"/>
  <c r="C41" i="3"/>
  <c r="U59" i="3"/>
  <c r="AJ41" i="3"/>
  <c r="AG47" i="3"/>
  <c r="AP21" i="3"/>
  <c r="C29" i="3"/>
  <c r="S13" i="3"/>
  <c r="S71" i="3"/>
  <c r="P28" i="3"/>
  <c r="S97" i="3"/>
  <c r="AP41" i="3"/>
  <c r="AG64" i="3"/>
  <c r="V79" i="3"/>
  <c r="X87" i="3"/>
  <c r="V22" i="3"/>
  <c r="AE75" i="3"/>
  <c r="W50" i="3"/>
  <c r="AN40" i="3"/>
  <c r="V97" i="3"/>
  <c r="S25" i="3"/>
  <c r="AO49" i="3"/>
  <c r="J92" i="3"/>
  <c r="M58" i="3"/>
  <c r="U67" i="3"/>
  <c r="U32" i="3"/>
  <c r="AE31" i="3"/>
  <c r="M85" i="3"/>
  <c r="S34" i="3"/>
  <c r="AM20" i="3"/>
  <c r="U54" i="3"/>
  <c r="U83" i="3"/>
  <c r="Z27" i="3"/>
  <c r="V57" i="3"/>
  <c r="AN13" i="3"/>
  <c r="R76" i="3"/>
  <c r="AN84" i="3"/>
  <c r="R64" i="3"/>
  <c r="AD24" i="3"/>
  <c r="R75" i="3"/>
  <c r="AC82" i="3"/>
  <c r="H57" i="3"/>
  <c r="S61" i="3"/>
  <c r="P80" i="3"/>
  <c r="AQ69" i="3"/>
  <c r="W13" i="3"/>
  <c r="X72" i="3"/>
  <c r="M57" i="3"/>
  <c r="X65" i="3"/>
  <c r="AG93" i="3"/>
  <c r="U16" i="3"/>
  <c r="AP94" i="3"/>
  <c r="AP85" i="3"/>
  <c r="AB55" i="3"/>
  <c r="O5" i="3"/>
  <c r="U27" i="3"/>
  <c r="AK20" i="3"/>
  <c r="AD20" i="3"/>
  <c r="AJ7" i="3"/>
  <c r="Q30" i="3"/>
  <c r="AE32" i="3"/>
  <c r="U26" i="3"/>
  <c r="R7" i="3"/>
  <c r="R29" i="3"/>
  <c r="AI5" i="3"/>
  <c r="T36" i="3"/>
  <c r="T34" i="3"/>
  <c r="AC35" i="3"/>
  <c r="AM11" i="3"/>
  <c r="V32" i="3"/>
  <c r="H27" i="3"/>
  <c r="AL12" i="3"/>
  <c r="AN10" i="3"/>
  <c r="L6" i="3"/>
  <c r="T11" i="3"/>
  <c r="H9" i="3"/>
  <c r="N28" i="3"/>
  <c r="AN38" i="3"/>
  <c r="W17" i="3"/>
  <c r="AP90" i="3"/>
  <c r="G47" i="3"/>
  <c r="AJ25" i="3"/>
  <c r="AE18" i="3"/>
  <c r="M10" i="3"/>
  <c r="AH25" i="3"/>
  <c r="Q10" i="3"/>
  <c r="AI25" i="3"/>
  <c r="AJ38" i="3"/>
  <c r="AE16" i="3"/>
  <c r="I17" i="3"/>
  <c r="AQ22" i="3"/>
  <c r="AM27" i="3"/>
  <c r="AB6" i="3"/>
  <c r="AA21" i="3"/>
  <c r="AJ18" i="3"/>
  <c r="I9" i="3"/>
  <c r="K8" i="3"/>
  <c r="AC17" i="3"/>
  <c r="L9" i="3"/>
  <c r="AA16" i="3"/>
  <c r="I39" i="3"/>
  <c r="R42" i="3"/>
  <c r="Y27" i="3"/>
  <c r="O97" i="3"/>
  <c r="P40" i="3"/>
  <c r="T15" i="3"/>
  <c r="S31" i="3"/>
  <c r="AE40" i="3"/>
  <c r="Q37" i="3"/>
  <c r="C47" i="3"/>
  <c r="AB95" i="3"/>
  <c r="G33" i="3"/>
  <c r="M9" i="3"/>
  <c r="AK16" i="3"/>
  <c r="AI19" i="3"/>
  <c r="C23" i="3"/>
  <c r="T37" i="3"/>
  <c r="T8" i="3"/>
  <c r="J84" i="3"/>
  <c r="J38" i="3"/>
  <c r="Z11" i="3"/>
  <c r="K5" i="3"/>
  <c r="AQ30" i="3"/>
  <c r="M70" i="3"/>
  <c r="X22" i="3"/>
  <c r="Y26" i="3"/>
  <c r="AN37" i="3"/>
  <c r="L5" i="3"/>
  <c r="W8" i="3"/>
  <c r="L37" i="3"/>
  <c r="AG19" i="3"/>
  <c r="N31" i="3"/>
  <c r="R10" i="3"/>
  <c r="AN19" i="3"/>
  <c r="T9" i="3"/>
  <c r="V14" i="3"/>
  <c r="N24" i="3"/>
  <c r="I24" i="3"/>
  <c r="AK32" i="3"/>
  <c r="X82" i="3"/>
  <c r="AP56" i="3"/>
  <c r="AP64" i="3"/>
  <c r="AG26" i="3"/>
  <c r="AP20" i="3"/>
  <c r="AK37" i="3"/>
  <c r="R26" i="3"/>
  <c r="I32" i="3"/>
  <c r="Y28" i="3"/>
  <c r="V8" i="3"/>
  <c r="AG16" i="3"/>
  <c r="R31" i="3"/>
  <c r="C26" i="3"/>
  <c r="J82" i="3"/>
  <c r="K39" i="3"/>
  <c r="AH11" i="3"/>
  <c r="AL32" i="3"/>
  <c r="H30" i="3"/>
  <c r="AE30" i="3"/>
  <c r="AA25" i="3"/>
  <c r="AI30" i="3"/>
  <c r="H74" i="3"/>
  <c r="AP15" i="3"/>
  <c r="L32" i="3"/>
  <c r="AK39" i="3"/>
  <c r="J18" i="3"/>
  <c r="AI82" i="3"/>
  <c r="M54" i="3"/>
  <c r="AQ13" i="3"/>
  <c r="X79" i="3"/>
  <c r="S74" i="3"/>
  <c r="S79" i="3"/>
  <c r="Y63" i="3"/>
  <c r="T26" i="3"/>
  <c r="I19" i="3"/>
  <c r="AP73" i="3"/>
  <c r="AB86" i="3"/>
  <c r="AB49" i="3"/>
  <c r="L36" i="3"/>
  <c r="AO40" i="3"/>
  <c r="T30" i="3"/>
  <c r="V13" i="3"/>
  <c r="V18" i="3"/>
  <c r="T13" i="3"/>
  <c r="AN20" i="3"/>
  <c r="X15" i="3"/>
  <c r="P41" i="3"/>
  <c r="Y22" i="3"/>
  <c r="AE7" i="3"/>
  <c r="K38" i="3"/>
  <c r="W40" i="3"/>
  <c r="AQ27" i="3"/>
  <c r="W18" i="3"/>
  <c r="AD34" i="3"/>
  <c r="AP39" i="3"/>
  <c r="G32" i="3"/>
  <c r="Z37" i="3"/>
  <c r="AC19" i="3"/>
  <c r="AI27" i="3"/>
  <c r="AC30" i="3"/>
  <c r="P11" i="3"/>
  <c r="AC38" i="3"/>
  <c r="AP67" i="3"/>
  <c r="AB91" i="3"/>
  <c r="AB96" i="3"/>
  <c r="W26" i="3"/>
  <c r="M30" i="3"/>
  <c r="AC8" i="3"/>
  <c r="Q41" i="3"/>
  <c r="AP70" i="3"/>
  <c r="AP54" i="3"/>
  <c r="AB38" i="3"/>
  <c r="AP31" i="3"/>
  <c r="AN33" i="3"/>
  <c r="AM12" i="3"/>
  <c r="AA18" i="3"/>
  <c r="AA8" i="3"/>
  <c r="V15" i="3"/>
  <c r="O25" i="3"/>
  <c r="P14" i="3"/>
  <c r="Q19" i="3"/>
  <c r="K41" i="3"/>
  <c r="AA41" i="3"/>
  <c r="AC26" i="3"/>
  <c r="AD26" i="3"/>
  <c r="V40" i="3"/>
  <c r="AI12" i="3"/>
  <c r="W12" i="3"/>
  <c r="AN11" i="3"/>
  <c r="AC37" i="3"/>
  <c r="AH20" i="3"/>
  <c r="AQ41" i="3"/>
  <c r="AN39" i="3"/>
  <c r="H29" i="3"/>
  <c r="AN25" i="3"/>
  <c r="X9" i="3"/>
  <c r="AP71" i="3"/>
  <c r="AP60" i="3"/>
  <c r="AP49" i="3"/>
  <c r="AO10" i="3"/>
  <c r="AL11" i="3"/>
  <c r="AM34" i="3"/>
  <c r="U25" i="3"/>
  <c r="AN32" i="3"/>
  <c r="AK42" i="3"/>
  <c r="H37" i="3"/>
  <c r="V31" i="3"/>
  <c r="W20" i="3"/>
  <c r="Q9" i="3"/>
  <c r="AH17" i="3"/>
  <c r="L17" i="3"/>
  <c r="N13" i="3"/>
  <c r="AQ38" i="3"/>
  <c r="U35" i="3"/>
  <c r="M27" i="3"/>
  <c r="O26" i="3"/>
  <c r="AC18" i="3"/>
  <c r="T17" i="3"/>
  <c r="L15" i="3"/>
  <c r="R20" i="3"/>
  <c r="W23" i="3"/>
  <c r="M20" i="3"/>
  <c r="K23" i="3"/>
  <c r="AQ20" i="3"/>
  <c r="M49" i="3"/>
  <c r="M83" i="3"/>
  <c r="AP96" i="3"/>
  <c r="AP95" i="3"/>
  <c r="E47" i="3"/>
  <c r="AB37" i="3"/>
  <c r="AB36" i="3"/>
  <c r="H92" i="3"/>
  <c r="K29" i="3"/>
  <c r="AG21" i="3"/>
  <c r="Z34" i="3"/>
  <c r="W10" i="3"/>
  <c r="P10" i="3"/>
  <c r="AC32" i="3"/>
  <c r="O35" i="3"/>
  <c r="R36" i="3"/>
  <c r="AE93" i="3"/>
  <c r="S7" i="3"/>
  <c r="V36" i="3"/>
  <c r="AE82" i="3"/>
  <c r="AO15" i="3"/>
  <c r="O11" i="3"/>
  <c r="AB23" i="3"/>
  <c r="C8" i="3"/>
  <c r="W15" i="3"/>
  <c r="AL35" i="3"/>
  <c r="Y19" i="3"/>
  <c r="Q12" i="3"/>
  <c r="AG40" i="3"/>
  <c r="H10" i="3"/>
  <c r="AA7" i="3"/>
  <c r="AG70" i="3"/>
  <c r="AA26" i="3"/>
  <c r="P92" i="3"/>
  <c r="AP63" i="3"/>
  <c r="AB63" i="3"/>
  <c r="AI28" i="3"/>
  <c r="AB11" i="3"/>
  <c r="AO39" i="3"/>
  <c r="AM31" i="3"/>
  <c r="L20" i="3"/>
  <c r="T12" i="3"/>
  <c r="J32" i="3"/>
  <c r="J34" i="3"/>
  <c r="Q35" i="3"/>
  <c r="AE12" i="3"/>
  <c r="AO24" i="3"/>
  <c r="AH23" i="3"/>
  <c r="X24" i="3"/>
  <c r="L19" i="3"/>
  <c r="R24" i="3"/>
  <c r="S40" i="3"/>
  <c r="H91" i="3"/>
  <c r="R34" i="3"/>
  <c r="AB29" i="3"/>
  <c r="AL7" i="3"/>
  <c r="N17" i="3"/>
  <c r="AK12" i="3"/>
  <c r="AL42" i="3"/>
  <c r="AN34" i="3"/>
  <c r="V21" i="3"/>
  <c r="Z40" i="3"/>
  <c r="M19" i="3"/>
  <c r="AQ23" i="3"/>
  <c r="AP29" i="3"/>
  <c r="AE81" i="3"/>
  <c r="N30" i="3"/>
  <c r="H82" i="3"/>
  <c r="S6" i="3"/>
  <c r="X30" i="3"/>
  <c r="Y39" i="3"/>
  <c r="AB93" i="3"/>
  <c r="AO7" i="3"/>
  <c r="W37" i="3"/>
  <c r="AQ7" i="3"/>
  <c r="AA62" i="3"/>
  <c r="AP58" i="3"/>
  <c r="X8" i="3"/>
  <c r="T24" i="3"/>
  <c r="P21" i="3"/>
  <c r="O24" i="3"/>
  <c r="T39" i="3"/>
  <c r="AA22" i="3"/>
  <c r="H73" i="3"/>
  <c r="S88" i="3"/>
  <c r="Z36" i="3"/>
  <c r="S20" i="3"/>
  <c r="U61" i="3"/>
  <c r="AM10" i="3"/>
  <c r="Q18" i="3"/>
  <c r="Q5" i="3"/>
  <c r="J8" i="3"/>
  <c r="AL18" i="3"/>
  <c r="AN36" i="3"/>
  <c r="V24" i="3"/>
  <c r="AL23" i="3"/>
  <c r="C24" i="3"/>
  <c r="AB78" i="3"/>
  <c r="AK21" i="3"/>
  <c r="I7" i="3"/>
  <c r="AG22" i="3"/>
  <c r="AI21" i="3"/>
  <c r="AB64" i="3"/>
  <c r="AJ21" i="3"/>
  <c r="AD19" i="3"/>
  <c r="O22" i="3"/>
  <c r="T5" i="3"/>
  <c r="Z8" i="3"/>
  <c r="I37" i="3"/>
  <c r="S80" i="3"/>
  <c r="AK28" i="3"/>
  <c r="AH39" i="3"/>
  <c r="Z15" i="3"/>
  <c r="W7" i="3"/>
  <c r="AB17" i="3"/>
  <c r="X16" i="3"/>
  <c r="T89" i="3"/>
  <c r="AC86" i="3"/>
  <c r="AL37" i="3"/>
  <c r="M81" i="3"/>
  <c r="H94" i="3"/>
  <c r="X70" i="3"/>
  <c r="P91" i="3"/>
  <c r="X96" i="3"/>
  <c r="AE34" i="3"/>
  <c r="T90" i="3"/>
  <c r="AB15" i="3"/>
  <c r="T96" i="3"/>
  <c r="AL25" i="3"/>
  <c r="AB19" i="3"/>
  <c r="Q7" i="3"/>
  <c r="H48" i="3"/>
  <c r="L28" i="3"/>
  <c r="AI9" i="3"/>
  <c r="AE10" i="3"/>
  <c r="I30" i="3"/>
  <c r="Q31" i="3"/>
  <c r="AP78" i="3"/>
  <c r="Y14" i="3"/>
  <c r="O29" i="3"/>
  <c r="P12" i="3"/>
  <c r="T23" i="3"/>
  <c r="Q40" i="3"/>
  <c r="K18" i="3"/>
  <c r="AL24" i="3"/>
  <c r="T70" i="3"/>
  <c r="AL5" i="3"/>
  <c r="AL50" i="3" s="1"/>
  <c r="J11" i="3"/>
  <c r="AB27" i="3"/>
  <c r="W91" i="3"/>
  <c r="AK40" i="3"/>
  <c r="S89" i="3"/>
  <c r="AQ85" i="3"/>
  <c r="W30" i="3"/>
  <c r="AQ37" i="3"/>
  <c r="N27" i="3"/>
  <c r="Q13" i="3"/>
  <c r="K11" i="3"/>
  <c r="M33" i="3"/>
  <c r="T57" i="3"/>
  <c r="AP77" i="3"/>
  <c r="C34" i="3"/>
  <c r="AH41" i="3"/>
  <c r="U84" i="3"/>
  <c r="S49" i="3"/>
  <c r="P65" i="3"/>
  <c r="Y33" i="3"/>
  <c r="J80" i="3"/>
  <c r="Z16" i="3"/>
  <c r="M35" i="3"/>
  <c r="AD47" i="3"/>
  <c r="N5" i="3"/>
  <c r="N74" i="3" s="1"/>
  <c r="X42" i="3"/>
  <c r="M42" i="3"/>
  <c r="AB62" i="3"/>
  <c r="V38" i="3"/>
  <c r="P15" i="3"/>
  <c r="S19" i="3"/>
  <c r="AP13" i="3"/>
  <c r="AH32" i="3"/>
  <c r="C17" i="3"/>
  <c r="AO48" i="3"/>
  <c r="AK22" i="3"/>
  <c r="AI69" i="3"/>
  <c r="J26" i="3"/>
  <c r="I29" i="3"/>
  <c r="W83" i="3"/>
  <c r="AI38" i="3"/>
  <c r="P18" i="3"/>
  <c r="AI8" i="3"/>
  <c r="AA37" i="3"/>
  <c r="AE67" i="3"/>
  <c r="R6" i="3"/>
  <c r="S84" i="3"/>
  <c r="AN56" i="3"/>
  <c r="AC49" i="3"/>
  <c r="M67" i="3"/>
  <c r="AN74" i="3"/>
  <c r="Z23" i="3"/>
  <c r="W84" i="3"/>
  <c r="S76" i="3"/>
  <c r="W69" i="3"/>
  <c r="AQ24" i="3"/>
  <c r="V60" i="3"/>
  <c r="AA50" i="3"/>
  <c r="AJ56" i="3"/>
  <c r="P59" i="3"/>
  <c r="K67" i="3"/>
  <c r="Y91" i="3"/>
  <c r="AQ89" i="3"/>
  <c r="AO80" i="3"/>
  <c r="I5" i="3"/>
  <c r="S69" i="3"/>
  <c r="C36" i="3"/>
  <c r="V42" i="3"/>
  <c r="AJ65" i="3"/>
  <c r="P58" i="3"/>
  <c r="K77" i="3"/>
  <c r="AQ91" i="3"/>
  <c r="X76" i="3"/>
  <c r="N89" i="3"/>
  <c r="AJ15" i="3"/>
  <c r="AE9" i="3"/>
  <c r="Y59" i="3"/>
  <c r="Q32" i="3"/>
  <c r="L68" i="3"/>
  <c r="AJ81" i="3"/>
  <c r="J41" i="3"/>
  <c r="AA14" i="3"/>
  <c r="AE35" i="3"/>
  <c r="L63" i="3"/>
  <c r="M91" i="3"/>
  <c r="AL84" i="3"/>
  <c r="K15" i="3"/>
  <c r="U42" i="3"/>
  <c r="AI95" i="3"/>
  <c r="U64" i="3"/>
  <c r="T67" i="3"/>
  <c r="R67" i="3"/>
  <c r="AO19" i="3"/>
  <c r="Y49" i="3"/>
  <c r="M55" i="3"/>
  <c r="V59" i="3"/>
  <c r="N72" i="3"/>
  <c r="Q86" i="3"/>
  <c r="AK27" i="3"/>
  <c r="AH29" i="3"/>
  <c r="P73" i="3"/>
  <c r="O47" i="3"/>
  <c r="AC55" i="3"/>
  <c r="H89" i="3"/>
  <c r="K6" i="3"/>
  <c r="Y10" i="3"/>
  <c r="AD38" i="3"/>
  <c r="H28" i="3"/>
  <c r="R41" i="3"/>
  <c r="AH36" i="3"/>
  <c r="H70" i="3"/>
  <c r="AO11" i="3"/>
  <c r="AO14" i="3"/>
  <c r="AK5" i="3"/>
  <c r="O33" i="3"/>
  <c r="X40" i="3"/>
  <c r="AO27" i="3"/>
  <c r="M31" i="3"/>
  <c r="Q29" i="3"/>
  <c r="I35" i="3"/>
  <c r="U82" i="3"/>
  <c r="S77" i="3"/>
  <c r="V19" i="3"/>
  <c r="V81" i="3"/>
  <c r="AG25" i="3"/>
  <c r="P62" i="3"/>
  <c r="AD41" i="3"/>
  <c r="AK61" i="3"/>
  <c r="AO8" i="3"/>
  <c r="T79" i="3"/>
  <c r="J95" i="3"/>
  <c r="R82" i="3"/>
  <c r="O23" i="3"/>
  <c r="N12" i="3"/>
  <c r="AI40" i="3"/>
  <c r="W54" i="3"/>
  <c r="AJ58" i="3"/>
  <c r="AN60" i="3"/>
  <c r="AA86" i="3"/>
  <c r="AQ59" i="3"/>
  <c r="U31" i="3"/>
  <c r="T20" i="3"/>
  <c r="AQ48" i="3"/>
  <c r="U29" i="3"/>
  <c r="AI48" i="3"/>
  <c r="Q72" i="3"/>
  <c r="K27" i="3"/>
  <c r="L78" i="3"/>
  <c r="AN57" i="3"/>
  <c r="AJ80" i="3"/>
  <c r="P49" i="3"/>
  <c r="K64" i="3"/>
  <c r="AK85" i="3"/>
  <c r="AQ95" i="3"/>
  <c r="T73" i="3"/>
  <c r="AO75" i="3"/>
  <c r="K24" i="3"/>
  <c r="W67" i="3"/>
  <c r="X39" i="3"/>
  <c r="Q42" i="3"/>
  <c r="R90" i="3"/>
  <c r="AB28" i="3"/>
  <c r="U88" i="3"/>
  <c r="Q61" i="3"/>
  <c r="Q26" i="3"/>
  <c r="U13" i="3"/>
  <c r="W19" i="3"/>
  <c r="C42" i="3"/>
  <c r="K90" i="3"/>
  <c r="AI57" i="3"/>
  <c r="X18" i="3"/>
  <c r="AI34" i="3"/>
  <c r="AH5" i="3"/>
  <c r="J27" i="3"/>
  <c r="X36" i="3"/>
  <c r="N8" i="3"/>
  <c r="J70" i="3"/>
  <c r="AJ30" i="3"/>
  <c r="AC25" i="3"/>
  <c r="M21" i="3"/>
  <c r="O18" i="3"/>
  <c r="V29" i="3"/>
  <c r="O10" i="3"/>
  <c r="K13" i="3"/>
  <c r="X77" i="3"/>
  <c r="N7" i="3"/>
  <c r="L12" i="3"/>
  <c r="R79" i="3"/>
  <c r="AA13" i="3"/>
  <c r="AK59" i="3"/>
  <c r="AH15" i="3"/>
  <c r="AM42" i="3"/>
  <c r="X86" i="3"/>
  <c r="S68" i="3"/>
  <c r="AM30" i="3"/>
  <c r="AH63" i="3"/>
  <c r="M11" i="3"/>
  <c r="AI70" i="3"/>
  <c r="AI73" i="3"/>
  <c r="K33" i="3"/>
  <c r="AE29" i="3"/>
  <c r="AP26" i="3"/>
  <c r="M92" i="3"/>
  <c r="H26" i="3"/>
  <c r="AB8" i="3"/>
  <c r="N20" i="3"/>
  <c r="AH16" i="3"/>
  <c r="U22" i="3"/>
  <c r="O13" i="3"/>
  <c r="AN28" i="3"/>
  <c r="H42" i="3"/>
  <c r="AA12" i="3"/>
  <c r="X7" i="3"/>
  <c r="AH68" i="3"/>
  <c r="AA23" i="3"/>
  <c r="P82" i="3"/>
  <c r="AI85" i="3"/>
  <c r="V73" i="3"/>
  <c r="AN18" i="3"/>
  <c r="Y24" i="3"/>
  <c r="AJ85" i="3"/>
  <c r="AN50" i="3"/>
  <c r="K94" i="3"/>
  <c r="Q69" i="3"/>
  <c r="H33" i="3"/>
  <c r="AA9" i="3"/>
  <c r="AH88" i="3"/>
  <c r="M72" i="3"/>
  <c r="N58" i="3"/>
  <c r="Q90" i="3"/>
  <c r="AQ81" i="3"/>
  <c r="P76" i="3"/>
  <c r="L10" i="3"/>
  <c r="M97" i="3"/>
  <c r="S93" i="3"/>
  <c r="O36" i="3"/>
  <c r="V87" i="3"/>
  <c r="V41" i="3"/>
  <c r="G35" i="3"/>
  <c r="M41" i="3"/>
  <c r="M24" i="3"/>
  <c r="V33" i="3"/>
  <c r="AG23" i="3"/>
  <c r="X6" i="3"/>
  <c r="L25" i="3"/>
  <c r="N37" i="3"/>
  <c r="Z9" i="3"/>
  <c r="AL9" i="3"/>
  <c r="AG42" i="3"/>
  <c r="I13" i="3"/>
  <c r="AB41" i="3"/>
  <c r="S73" i="3"/>
  <c r="AQ67" i="3"/>
  <c r="M18" i="3"/>
  <c r="AH74" i="3"/>
  <c r="W14" i="3"/>
  <c r="AO68" i="3"/>
  <c r="AD31" i="3"/>
  <c r="AG94" i="3"/>
  <c r="L27" i="3"/>
  <c r="AH70" i="3"/>
  <c r="W62" i="3"/>
  <c r="W75" i="3"/>
  <c r="AE22" i="3"/>
  <c r="AN41" i="3"/>
  <c r="U96" i="3"/>
  <c r="M60" i="3"/>
  <c r="O28" i="3"/>
  <c r="O32" i="3"/>
  <c r="O15" i="3"/>
  <c r="AI39" i="3"/>
  <c r="S8" i="3"/>
  <c r="Z5" i="3"/>
  <c r="AK36" i="3"/>
  <c r="AQ14" i="3"/>
  <c r="AK8" i="3"/>
  <c r="S24" i="3"/>
  <c r="S38" i="3"/>
  <c r="V9" i="3"/>
  <c r="AJ74" i="3"/>
  <c r="T82" i="3"/>
  <c r="M23" i="3"/>
  <c r="P96" i="3"/>
  <c r="U50" i="3"/>
  <c r="U70" i="3"/>
  <c r="M75" i="3"/>
  <c r="Z84" i="3"/>
  <c r="H39" i="3"/>
  <c r="AG63" i="3"/>
  <c r="AO73" i="3"/>
  <c r="AC6" i="3"/>
  <c r="L64" i="3"/>
  <c r="L47" i="3"/>
  <c r="W29" i="3"/>
  <c r="AO65" i="3"/>
  <c r="Y12" i="3"/>
  <c r="AH12" i="3"/>
  <c r="L74" i="3"/>
  <c r="AQ76" i="3"/>
  <c r="J40" i="3"/>
  <c r="AH86" i="3"/>
  <c r="AH72" i="3"/>
  <c r="AL97" i="3"/>
  <c r="AC41" i="3"/>
  <c r="M96" i="3"/>
  <c r="S83" i="3"/>
  <c r="S55" i="3"/>
  <c r="P94" i="3"/>
  <c r="N90" i="3"/>
  <c r="K40" i="3"/>
  <c r="AJ64" i="3"/>
  <c r="X29" i="3"/>
  <c r="P63" i="3"/>
  <c r="AG85" i="3"/>
  <c r="U74" i="3"/>
  <c r="V84" i="3"/>
  <c r="T42" i="3"/>
  <c r="R93" i="3"/>
  <c r="AA38" i="3"/>
  <c r="N50" i="3"/>
  <c r="L29" i="3"/>
  <c r="AC31" i="3"/>
  <c r="AE26" i="3"/>
  <c r="AG37" i="3"/>
  <c r="N41" i="3"/>
  <c r="AM24" i="3"/>
  <c r="U15" i="3"/>
  <c r="N16" i="3"/>
  <c r="J79" i="3"/>
  <c r="AL10" i="3"/>
  <c r="AG35" i="3"/>
  <c r="M13" i="3"/>
  <c r="AJ10" i="3"/>
  <c r="V30" i="3"/>
  <c r="AH8" i="3"/>
  <c r="AN97" i="3"/>
  <c r="X27" i="3"/>
  <c r="AH66" i="3"/>
  <c r="Z42" i="3"/>
  <c r="AQ66" i="3"/>
  <c r="AQ61" i="3"/>
  <c r="AI88" i="3"/>
  <c r="H93" i="3"/>
  <c r="AI91" i="3"/>
  <c r="W35" i="3"/>
  <c r="AL73" i="3"/>
  <c r="Z56" i="3"/>
  <c r="I42" i="3"/>
  <c r="H25" i="3"/>
  <c r="J37" i="3"/>
  <c r="AB35" i="3"/>
  <c r="AK30" i="3"/>
  <c r="C16" i="3"/>
  <c r="W86" i="3"/>
  <c r="AP82" i="3"/>
  <c r="J25" i="3"/>
  <c r="W34" i="3"/>
  <c r="T19" i="3"/>
  <c r="AA11" i="3"/>
  <c r="AM23" i="3"/>
  <c r="AA42" i="3"/>
  <c r="P42" i="3"/>
  <c r="AP25" i="3"/>
  <c r="O42" i="3"/>
  <c r="AM32" i="3"/>
  <c r="AC29" i="3"/>
  <c r="G42" i="3"/>
  <c r="Z54" i="3"/>
  <c r="AN26" i="3"/>
  <c r="W11" i="3"/>
  <c r="AO79" i="3"/>
  <c r="AQ96" i="3"/>
  <c r="H14" i="3"/>
  <c r="J19" i="3"/>
  <c r="U48" i="3"/>
  <c r="R85" i="3"/>
  <c r="M82" i="3"/>
  <c r="AM39" i="3"/>
  <c r="O72" i="3"/>
  <c r="N38" i="3"/>
  <c r="Q76" i="3"/>
  <c r="T77" i="3"/>
  <c r="AN67" i="3"/>
  <c r="Z25" i="3"/>
  <c r="AM5" i="3"/>
  <c r="AE57" i="3"/>
  <c r="L71" i="3"/>
  <c r="AM9" i="3"/>
  <c r="R70" i="3"/>
  <c r="AO71" i="3"/>
  <c r="AM35" i="3"/>
  <c r="Y74" i="3"/>
  <c r="W78" i="3"/>
  <c r="AC75" i="3"/>
  <c r="X68" i="3"/>
  <c r="P61" i="3"/>
  <c r="N97" i="3"/>
  <c r="Z55" i="3"/>
  <c r="AQ94" i="3"/>
  <c r="AM96" i="3"/>
  <c r="I40" i="3"/>
  <c r="AN94" i="3"/>
  <c r="Q82" i="3"/>
  <c r="K68" i="3"/>
  <c r="AJ84" i="3"/>
  <c r="AH48" i="3"/>
  <c r="AJ97" i="3"/>
  <c r="W55" i="3"/>
  <c r="AA58" i="3"/>
  <c r="AM79" i="3"/>
  <c r="AO70" i="3"/>
  <c r="AI79" i="3"/>
  <c r="V83" i="3"/>
  <c r="H58" i="3"/>
  <c r="X88" i="3"/>
  <c r="P47" i="3"/>
  <c r="L73" i="3"/>
  <c r="AK49" i="3"/>
  <c r="AQ74" i="3"/>
  <c r="AM88" i="3"/>
  <c r="AJ59" i="3"/>
  <c r="W38" i="3"/>
  <c r="X57" i="3"/>
  <c r="Z80" i="3"/>
  <c r="AG69" i="3"/>
  <c r="AG56" i="3"/>
  <c r="S54" i="3"/>
  <c r="S82" i="3"/>
  <c r="R87" i="3"/>
  <c r="R71" i="3"/>
  <c r="R54" i="3"/>
  <c r="X59" i="3"/>
  <c r="X48" i="3"/>
  <c r="AA79" i="3"/>
  <c r="M86" i="3"/>
  <c r="M90" i="3"/>
  <c r="M93" i="3"/>
  <c r="M63" i="3"/>
  <c r="H76" i="3"/>
  <c r="H59" i="3"/>
  <c r="H95" i="3"/>
  <c r="H49" i="3"/>
  <c r="H80" i="3"/>
  <c r="H84" i="3"/>
  <c r="AO93" i="3"/>
  <c r="P64" i="3"/>
  <c r="P90" i="3"/>
  <c r="P72" i="3"/>
  <c r="AQ54" i="3"/>
  <c r="AQ87" i="3"/>
  <c r="AQ58" i="3"/>
  <c r="AQ97" i="3"/>
  <c r="AQ84" i="3"/>
  <c r="AJ72" i="3"/>
  <c r="V54" i="3"/>
  <c r="V92" i="3"/>
  <c r="V95" i="3"/>
  <c r="Y66" i="3"/>
  <c r="U80" i="3"/>
  <c r="U73" i="3"/>
  <c r="U75" i="3"/>
  <c r="U49" i="3"/>
  <c r="U60" i="3"/>
  <c r="U92" i="3"/>
  <c r="U58" i="3"/>
  <c r="U85" i="3"/>
  <c r="U47" i="3"/>
  <c r="AN93" i="3"/>
  <c r="O81" i="3"/>
  <c r="O64" i="3"/>
  <c r="AI50" i="3"/>
  <c r="K82" i="3"/>
  <c r="K65" i="3"/>
  <c r="T97" i="3"/>
  <c r="T69" i="3"/>
  <c r="T80" i="3"/>
  <c r="T60" i="3"/>
  <c r="T92" i="3"/>
  <c r="AL90" i="3"/>
  <c r="AK62" i="3"/>
  <c r="AM86" i="3"/>
  <c r="AG59" i="3" l="1"/>
  <c r="W81" i="3"/>
  <c r="J75" i="3"/>
  <c r="AG84" i="3"/>
  <c r="S85" i="3"/>
  <c r="J85" i="3"/>
  <c r="S56" i="3"/>
  <c r="AC89" i="3"/>
  <c r="Y81" i="3"/>
  <c r="S87" i="3"/>
  <c r="V74" i="3"/>
  <c r="P70" i="3"/>
  <c r="R56" i="3"/>
  <c r="AA75" i="3"/>
  <c r="AO96" i="3"/>
  <c r="P81" i="3"/>
  <c r="AQ63" i="3"/>
  <c r="AJ71" i="3"/>
  <c r="V82" i="3"/>
  <c r="Y89" i="3"/>
  <c r="AN72" i="3"/>
  <c r="O73" i="3"/>
  <c r="K92" i="3"/>
  <c r="T87" i="3"/>
  <c r="T76" i="3"/>
  <c r="N59" i="3"/>
  <c r="Z49" i="3"/>
  <c r="S50" i="3"/>
  <c r="AJ95" i="3"/>
  <c r="AJ66" i="3"/>
  <c r="AE76" i="3"/>
  <c r="Y48" i="3"/>
  <c r="P56" i="3"/>
  <c r="AA96" i="3"/>
  <c r="R73" i="3"/>
  <c r="R72" i="3"/>
  <c r="AA73" i="3"/>
  <c r="P85" i="3"/>
  <c r="AQ79" i="3"/>
  <c r="AQ56" i="3"/>
  <c r="V90" i="3"/>
  <c r="V68" i="3"/>
  <c r="AN82" i="3"/>
  <c r="O66" i="3"/>
  <c r="AI63" i="3"/>
  <c r="Q81" i="3"/>
  <c r="N79" i="3"/>
  <c r="AH55" i="3"/>
  <c r="AJ92" i="3"/>
  <c r="AN73" i="3"/>
  <c r="AO62" i="3"/>
  <c r="P60" i="3"/>
  <c r="AQ49" i="3"/>
  <c r="AJ75" i="3"/>
  <c r="O50" i="3"/>
  <c r="O92" i="3"/>
  <c r="L62" i="3"/>
  <c r="N61" i="3"/>
  <c r="AH78" i="3"/>
  <c r="AM82" i="3"/>
  <c r="O56" i="3"/>
  <c r="O79" i="3"/>
  <c r="O62" i="3"/>
  <c r="K91" i="3"/>
  <c r="N77" i="3"/>
  <c r="AK80" i="3"/>
  <c r="N55" i="3"/>
  <c r="AK60" i="3"/>
  <c r="AM54" i="3"/>
  <c r="CF227" i="1"/>
  <c r="AA61" i="1"/>
  <c r="B42" i="1"/>
  <c r="B234" i="1"/>
  <c r="B48" i="1"/>
  <c r="B52" i="1" s="1"/>
  <c r="CM185" i="1"/>
  <c r="CN184" i="1"/>
  <c r="J78" i="3"/>
  <c r="J81" i="3"/>
  <c r="W77" i="3"/>
  <c r="BC140" i="1" s="1"/>
  <c r="BD140" i="1" s="1"/>
  <c r="W92" i="3"/>
  <c r="BC155" i="1" s="1"/>
  <c r="BD155" i="1" s="1"/>
  <c r="W70" i="3"/>
  <c r="BC133" i="1" s="1"/>
  <c r="W56" i="3"/>
  <c r="BC117" i="1" s="1"/>
  <c r="AE92" i="3"/>
  <c r="BK155" i="1" s="1"/>
  <c r="BL155" i="1" s="1"/>
  <c r="AE60" i="3"/>
  <c r="BK122" i="1" s="1"/>
  <c r="BL122" i="1" s="1"/>
  <c r="AE48" i="3"/>
  <c r="AG74" i="3"/>
  <c r="BM137" i="1" s="1"/>
  <c r="BN137" i="1" s="1"/>
  <c r="AG96" i="3"/>
  <c r="BM163" i="1" s="1"/>
  <c r="BN163" i="1" s="1"/>
  <c r="AG50" i="3"/>
  <c r="BM74" i="1" s="1"/>
  <c r="AG72" i="3"/>
  <c r="BM135" i="1" s="1"/>
  <c r="BN135" i="1" s="1"/>
  <c r="AG87" i="3"/>
  <c r="BM152" i="1" s="1"/>
  <c r="BN152" i="1" s="1"/>
  <c r="X84" i="3"/>
  <c r="X81" i="3"/>
  <c r="AA93" i="3"/>
  <c r="AA68" i="3"/>
  <c r="BG131" i="1" s="1"/>
  <c r="AA95" i="3"/>
  <c r="BG164" i="1" s="1"/>
  <c r="BH164" i="1" s="1"/>
  <c r="M77" i="3"/>
  <c r="AS140" i="1" s="1"/>
  <c r="AT140" i="1" s="1"/>
  <c r="M47" i="3"/>
  <c r="H50" i="3"/>
  <c r="AN74" i="1" s="1"/>
  <c r="H81" i="3"/>
  <c r="H68" i="3"/>
  <c r="AO84" i="3"/>
  <c r="BU146" i="1" s="1"/>
  <c r="BV146" i="1" s="1"/>
  <c r="AO59" i="3"/>
  <c r="P50" i="3"/>
  <c r="AV74" i="1" s="1"/>
  <c r="P69" i="3"/>
  <c r="P68" i="3"/>
  <c r="P87" i="3"/>
  <c r="AQ86" i="3"/>
  <c r="AQ47" i="3"/>
  <c r="AQ73" i="3"/>
  <c r="AQ83" i="3"/>
  <c r="BW160" i="1" s="1"/>
  <c r="AQ78" i="3"/>
  <c r="BW142" i="1" s="1"/>
  <c r="AJ60" i="3"/>
  <c r="AJ91" i="3"/>
  <c r="V91" i="3"/>
  <c r="V80" i="3"/>
  <c r="U69" i="3"/>
  <c r="U62" i="3"/>
  <c r="BA124" i="1" s="1"/>
  <c r="U72" i="3"/>
  <c r="BA135" i="1" s="1"/>
  <c r="BB135" i="1" s="1"/>
  <c r="O69" i="3"/>
  <c r="O87" i="3"/>
  <c r="AU152" i="1" s="1"/>
  <c r="AV152" i="1" s="1"/>
  <c r="O80" i="3"/>
  <c r="AU159" i="1" s="1"/>
  <c r="O85" i="3"/>
  <c r="AU147" i="1" s="1"/>
  <c r="AV147" i="1" s="1"/>
  <c r="O54" i="3"/>
  <c r="O91" i="3"/>
  <c r="AU154" i="1" s="1"/>
  <c r="AV154" i="1" s="1"/>
  <c r="O63" i="3"/>
  <c r="AU125" i="1" s="1"/>
  <c r="AV125" i="1" s="1"/>
  <c r="O48" i="3"/>
  <c r="AI93" i="3"/>
  <c r="AI68" i="3"/>
  <c r="BO131" i="1" s="1"/>
  <c r="AI59" i="3"/>
  <c r="AI77" i="3"/>
  <c r="BO140" i="1" s="1"/>
  <c r="BP140" i="1" s="1"/>
  <c r="AI64" i="3"/>
  <c r="BO149" i="1" s="1"/>
  <c r="AI66" i="3"/>
  <c r="BO151" i="1" s="1"/>
  <c r="BP151" i="1" s="1"/>
  <c r="AI71" i="3"/>
  <c r="AI49" i="3"/>
  <c r="BO73" i="1" s="1"/>
  <c r="K73" i="3"/>
  <c r="K83" i="3"/>
  <c r="AQ160" i="1" s="1"/>
  <c r="K63" i="3"/>
  <c r="AQ125" i="1" s="1"/>
  <c r="AR125" i="1" s="1"/>
  <c r="K62" i="3"/>
  <c r="AQ124" i="1" s="1"/>
  <c r="K80" i="3"/>
  <c r="AQ159" i="1" s="1"/>
  <c r="K61" i="3"/>
  <c r="L61" i="3"/>
  <c r="L60" i="3"/>
  <c r="L81" i="3"/>
  <c r="L91" i="3"/>
  <c r="L57" i="3"/>
  <c r="L55" i="3"/>
  <c r="L82" i="3"/>
  <c r="L92" i="3"/>
  <c r="Q73" i="3"/>
  <c r="Q47" i="3"/>
  <c r="Q48" i="3"/>
  <c r="T59" i="3"/>
  <c r="T74" i="3"/>
  <c r="T54" i="3"/>
  <c r="AK70" i="3"/>
  <c r="BQ133" i="1" s="1"/>
  <c r="AK72" i="3"/>
  <c r="BQ135" i="1" s="1"/>
  <c r="BR135" i="1" s="1"/>
  <c r="AK75" i="3"/>
  <c r="AK87" i="3"/>
  <c r="BQ152" i="1" s="1"/>
  <c r="BR152" i="1" s="1"/>
  <c r="AK58" i="3"/>
  <c r="BQ119" i="1" s="1"/>
  <c r="AK92" i="3"/>
  <c r="BQ155" i="1" s="1"/>
  <c r="BR155" i="1" s="1"/>
  <c r="AK88" i="3"/>
  <c r="BQ127" i="1" s="1"/>
  <c r="BR127" i="1" s="1"/>
  <c r="AK83" i="3"/>
  <c r="BQ160" i="1" s="1"/>
  <c r="AH89" i="3"/>
  <c r="AH91" i="3"/>
  <c r="AH76" i="3"/>
  <c r="AH80" i="3"/>
  <c r="AH64" i="3"/>
  <c r="AH58" i="3"/>
  <c r="AH85" i="3"/>
  <c r="AH94" i="3"/>
  <c r="AH83" i="3"/>
  <c r="AH75" i="3"/>
  <c r="AH82" i="3"/>
  <c r="AH65" i="3"/>
  <c r="Z61" i="3"/>
  <c r="Z68" i="3"/>
  <c r="Z76" i="3"/>
  <c r="Z89" i="3"/>
  <c r="Z74" i="3"/>
  <c r="Z50" i="3"/>
  <c r="BF74" i="1" s="1"/>
  <c r="Z78" i="3"/>
  <c r="AM97" i="3"/>
  <c r="AM62" i="3"/>
  <c r="BS124" i="1" s="1"/>
  <c r="AM68" i="3"/>
  <c r="BS131" i="1" s="1"/>
  <c r="AM59" i="3"/>
  <c r="AM73" i="3"/>
  <c r="AM74" i="3"/>
  <c r="BS137" i="1" s="1"/>
  <c r="BT137" i="1" s="1"/>
  <c r="AM93" i="3"/>
  <c r="AM50" i="3"/>
  <c r="BS74" i="1" s="1"/>
  <c r="AM69" i="3"/>
  <c r="AM75" i="3"/>
  <c r="AM80" i="3"/>
  <c r="BS159" i="1" s="1"/>
  <c r="F193" i="1"/>
  <c r="F195" i="1" s="1"/>
  <c r="I52" i="1"/>
  <c r="L193" i="1"/>
  <c r="L195" i="1" s="1"/>
  <c r="B65" i="1"/>
  <c r="F161" i="1"/>
  <c r="Q193" i="1"/>
  <c r="Q195" i="1" s="1"/>
  <c r="Q52" i="1"/>
  <c r="T202" i="1"/>
  <c r="G202" i="1"/>
  <c r="T193" i="1"/>
  <c r="T195" i="1" s="1"/>
  <c r="T52" i="1"/>
  <c r="K193" i="1"/>
  <c r="K195" i="1" s="1"/>
  <c r="K52" i="1"/>
  <c r="R52" i="1"/>
  <c r="R193" i="1"/>
  <c r="R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M202" i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CL69" i="1" s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45" i="1"/>
  <c r="AW135" i="1"/>
  <c r="AX135" i="1" s="1"/>
  <c r="AW126" i="1"/>
  <c r="AX126" i="1" s="1"/>
  <c r="BI145" i="1"/>
  <c r="BS127" i="1"/>
  <c r="BT127" i="1" s="1"/>
  <c r="BS163" i="1"/>
  <c r="BT163" i="1" s="1"/>
  <c r="BA146" i="1"/>
  <c r="BB146" i="1" s="1"/>
  <c r="BU117" i="1"/>
  <c r="BU159" i="1"/>
  <c r="BC154" i="1"/>
  <c r="BD154" i="1" s="1"/>
  <c r="BC122" i="1"/>
  <c r="BD122" i="1" s="1"/>
  <c r="BO147" i="1"/>
  <c r="BP147" i="1" s="1"/>
  <c r="BO164" i="1"/>
  <c r="BP164" i="1" s="1"/>
  <c r="BO127" i="1"/>
  <c r="BP127" i="1" s="1"/>
  <c r="BO143" i="1"/>
  <c r="BP143" i="1" s="1"/>
  <c r="BO154" i="1"/>
  <c r="BP154" i="1" s="1"/>
  <c r="BW144" i="1"/>
  <c r="AY140" i="1"/>
  <c r="AZ140" i="1" s="1"/>
  <c r="AY145" i="1"/>
  <c r="BE137" i="1"/>
  <c r="BS143" i="1"/>
  <c r="BT143" i="1" s="1"/>
  <c r="AS144" i="1"/>
  <c r="AS154" i="1"/>
  <c r="AT154" i="1" s="1"/>
  <c r="BM125" i="1"/>
  <c r="BN125" i="1" s="1"/>
  <c r="BM147" i="1"/>
  <c r="BN147" i="1" s="1"/>
  <c r="AY159" i="1"/>
  <c r="BE152" i="1"/>
  <c r="BF152" i="1" s="1"/>
  <c r="BM154" i="1"/>
  <c r="BN154" i="1" s="1"/>
  <c r="AU135" i="1"/>
  <c r="AV135" i="1" s="1"/>
  <c r="BU143" i="1"/>
  <c r="BV143" i="1" s="1"/>
  <c r="BC160" i="1"/>
  <c r="BA147" i="1"/>
  <c r="BB147" i="1" s="1"/>
  <c r="BK118" i="1"/>
  <c r="BL118" i="1" s="1"/>
  <c r="BA122" i="1"/>
  <c r="BB122" i="1" s="1"/>
  <c r="BA119" i="1"/>
  <c r="BI143" i="1"/>
  <c r="BJ143" i="1" s="1"/>
  <c r="BW163" i="1"/>
  <c r="BX163" i="1" s="1"/>
  <c r="BW151" i="1"/>
  <c r="BX151" i="1" s="1"/>
  <c r="AY153" i="1"/>
  <c r="AY146" i="1"/>
  <c r="AZ146" i="1" s="1"/>
  <c r="BU133" i="1"/>
  <c r="BG143" i="1"/>
  <c r="BH143" i="1" s="1"/>
  <c r="AS118" i="1"/>
  <c r="AT118" i="1" s="1"/>
  <c r="AS125" i="1"/>
  <c r="AT125" i="1" s="1"/>
  <c r="BO118" i="1"/>
  <c r="BP118" i="1" s="1"/>
  <c r="AY131" i="1"/>
  <c r="AQ126" i="1"/>
  <c r="AR126" i="1" s="1"/>
  <c r="BG119" i="1"/>
  <c r="BC146" i="1"/>
  <c r="BD146" i="1" s="1"/>
  <c r="BU126" i="1"/>
  <c r="BV126" i="1" s="1"/>
  <c r="BE151" i="1"/>
  <c r="BF151" i="1" s="1"/>
  <c r="AS119" i="1"/>
  <c r="AY137" i="1"/>
  <c r="AZ137" i="1" s="1"/>
  <c r="BA145" i="1"/>
  <c r="BM117" i="1"/>
  <c r="BK159" i="1"/>
  <c r="BW153" i="1"/>
  <c r="BW147" i="1"/>
  <c r="BX147" i="1" s="1"/>
  <c r="AY127" i="1"/>
  <c r="AZ127" i="1" s="1"/>
  <c r="AQ150" i="1"/>
  <c r="AR150" i="1" s="1"/>
  <c r="BW146" i="1"/>
  <c r="BX146" i="1" s="1"/>
  <c r="BM149" i="1"/>
  <c r="BM133" i="1"/>
  <c r="AY143" i="1"/>
  <c r="AZ143" i="1" s="1"/>
  <c r="BK144" i="1"/>
  <c r="AS160" i="1"/>
  <c r="BW154" i="1"/>
  <c r="BX154" i="1" s="1"/>
  <c r="BA159" i="1"/>
  <c r="BU131" i="1"/>
  <c r="BE125" i="1"/>
  <c r="BF125" i="1" s="1"/>
  <c r="BM153" i="1"/>
  <c r="AQ149" i="1"/>
  <c r="BA155" i="1"/>
  <c r="BB155" i="1" s="1"/>
  <c r="BW137" i="1"/>
  <c r="BX137" i="1" s="1"/>
  <c r="AY160" i="1"/>
  <c r="AQ145" i="1"/>
  <c r="BO145" i="1"/>
  <c r="BW152" i="1"/>
  <c r="BX152" i="1" s="1"/>
  <c r="AU144" i="1"/>
  <c r="AY118" i="1"/>
  <c r="AZ118" i="1" s="1"/>
  <c r="BW164" i="1"/>
  <c r="BX164" i="1" s="1"/>
  <c r="AY126" i="1"/>
  <c r="AZ126" i="1" s="1"/>
  <c r="BW119" i="1"/>
  <c r="BX119" i="1" s="1"/>
  <c r="BK164" i="1"/>
  <c r="BL164" i="1" s="1"/>
  <c r="BC124" i="1"/>
  <c r="BA127" i="1"/>
  <c r="BB127" i="1" s="1"/>
  <c r="BA160" i="1"/>
  <c r="BA137" i="1"/>
  <c r="BB137" i="1" s="1"/>
  <c r="AS122" i="1"/>
  <c r="AT122" i="1" s="1"/>
  <c r="AQ131" i="1"/>
  <c r="BA133" i="1"/>
  <c r="BE154" i="1"/>
  <c r="BF154" i="1" s="1"/>
  <c r="AQ140" i="1"/>
  <c r="AR140" i="1" s="1"/>
  <c r="BG124" i="1"/>
  <c r="BA163" i="1"/>
  <c r="BA149" i="1"/>
  <c r="BK143" i="1"/>
  <c r="BL143" i="1" s="1"/>
  <c r="AS155" i="1"/>
  <c r="AT155" i="1" s="1"/>
  <c r="BQ124" i="1"/>
  <c r="BU150" i="1"/>
  <c r="BV150" i="1" s="1"/>
  <c r="BC142" i="1"/>
  <c r="BO133" i="1"/>
  <c r="BC131" i="1"/>
  <c r="AS135" i="1"/>
  <c r="AT135" i="1" s="1"/>
  <c r="AS126" i="1"/>
  <c r="AT126" i="1" s="1"/>
  <c r="BK145" i="1"/>
  <c r="AU149" i="1"/>
  <c r="AS147" i="1"/>
  <c r="AT147" i="1" s="1"/>
  <c r="AS163" i="1"/>
  <c r="AT163" i="1" s="1"/>
  <c r="BQ147" i="1"/>
  <c r="BR147" i="1" s="1"/>
  <c r="BK126" i="1"/>
  <c r="BL126" i="1" s="1"/>
  <c r="AS145" i="1"/>
  <c r="AS133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R37" i="1" s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N37" i="1" s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B107" i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BE73" i="1"/>
  <c r="AX74" i="1"/>
  <c r="BA73" i="1"/>
  <c r="AY73" i="1"/>
  <c r="BG74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AT74" i="1"/>
  <c r="BB24" i="1"/>
  <c r="BA74" i="1"/>
  <c r="AS74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BB47" i="1"/>
  <c r="BM22" i="1"/>
  <c r="BK46" i="1"/>
  <c r="AV73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AY32" i="1"/>
  <c r="AY194" i="1" s="1"/>
  <c r="AR14" i="1"/>
  <c r="AR9" i="1"/>
  <c r="BP39" i="1"/>
  <c r="BI73" i="1"/>
  <c r="BT74" i="1"/>
  <c r="BE46" i="1"/>
  <c r="AQ45" i="1"/>
  <c r="BB20" i="1"/>
  <c r="BW13" i="1"/>
  <c r="BC24" i="1"/>
  <c r="BD51" i="1"/>
  <c r="BO39" i="1"/>
  <c r="AI39" i="1"/>
  <c r="BI15" i="1"/>
  <c r="BQ8" i="1"/>
  <c r="BR74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BI74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U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T9" i="1"/>
  <c r="AY13" i="1"/>
  <c r="BI46" i="1"/>
  <c r="BN21" i="1"/>
  <c r="AS23" i="1"/>
  <c r="AW15" i="1"/>
  <c r="AU45" i="1"/>
  <c r="AI13" i="1"/>
  <c r="AT8" i="1"/>
  <c r="AT231" i="1" s="1"/>
  <c r="BT47" i="1"/>
  <c r="BE51" i="1"/>
  <c r="BR21" i="1"/>
  <c r="BA23" i="1"/>
  <c r="AI23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73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AS73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O74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B108" i="1"/>
  <c r="B66" i="1"/>
  <c r="B68" i="1" s="1"/>
  <c r="G209" i="1"/>
  <c r="DA77" i="1"/>
  <c r="AE77" i="1" s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J69" i="3"/>
  <c r="J67" i="3"/>
  <c r="AI47" i="3"/>
  <c r="AO91" i="3"/>
  <c r="AH59" i="3"/>
  <c r="N94" i="3"/>
  <c r="AK68" i="3"/>
  <c r="AC71" i="3"/>
  <c r="Q56" i="3"/>
  <c r="I94" i="3"/>
  <c r="AE89" i="3"/>
  <c r="M74" i="3"/>
  <c r="AJ61" i="3"/>
  <c r="K93" i="3"/>
  <c r="Q70" i="3"/>
  <c r="I65" i="3"/>
  <c r="AM83" i="3"/>
  <c r="O57" i="3"/>
  <c r="AE54" i="3"/>
  <c r="J54" i="3"/>
  <c r="AG77" i="3"/>
  <c r="AI75" i="3"/>
  <c r="M95" i="3"/>
  <c r="M59" i="3"/>
  <c r="AO50" i="3"/>
  <c r="W93" i="3"/>
  <c r="AN55" i="3"/>
  <c r="AH49" i="3"/>
  <c r="R78" i="3"/>
  <c r="R60" i="3"/>
  <c r="X75" i="3"/>
  <c r="P77" i="3"/>
  <c r="N70" i="3"/>
  <c r="L93" i="3"/>
  <c r="L67" i="3"/>
  <c r="AA70" i="3"/>
  <c r="Z65" i="3"/>
  <c r="V96" i="3"/>
  <c r="AC63" i="3"/>
  <c r="O89" i="3"/>
  <c r="AE84" i="3"/>
  <c r="J47" i="3"/>
  <c r="AI78" i="3"/>
  <c r="U91" i="3"/>
  <c r="H86" i="3"/>
  <c r="AJ87" i="3"/>
  <c r="AO82" i="3"/>
  <c r="AO86" i="3"/>
  <c r="S81" i="3"/>
  <c r="W82" i="3"/>
  <c r="AN81" i="3"/>
  <c r="AN66" i="3"/>
  <c r="AH61" i="3"/>
  <c r="X64" i="3"/>
  <c r="K78" i="3"/>
  <c r="K97" i="3"/>
  <c r="N78" i="3"/>
  <c r="N91" i="3"/>
  <c r="L75" i="3"/>
  <c r="Y60" i="3"/>
  <c r="Y72" i="3"/>
  <c r="AA91" i="3"/>
  <c r="AA60" i="3"/>
  <c r="Z70" i="3"/>
  <c r="Z82" i="3"/>
  <c r="AK91" i="3"/>
  <c r="AK56" i="3"/>
  <c r="T94" i="3"/>
  <c r="T85" i="3"/>
  <c r="V71" i="3"/>
  <c r="V49" i="3"/>
  <c r="AQ50" i="3"/>
  <c r="AC72" i="3"/>
  <c r="AC68" i="3"/>
  <c r="AL67" i="3"/>
  <c r="AL93" i="3"/>
  <c r="Q67" i="3"/>
  <c r="Q71" i="3"/>
  <c r="I85" i="3"/>
  <c r="I91" i="3"/>
  <c r="AM57" i="3"/>
  <c r="AM78" i="3"/>
  <c r="H60" i="3"/>
  <c r="J86" i="3"/>
  <c r="M80" i="3"/>
  <c r="AO66" i="3"/>
  <c r="AH62" i="3"/>
  <c r="N48" i="3"/>
  <c r="T63" i="3"/>
  <c r="AC84" i="3"/>
  <c r="Q91" i="3"/>
  <c r="I57" i="3"/>
  <c r="AE62" i="3"/>
  <c r="M64" i="3"/>
  <c r="W76" i="3"/>
  <c r="K70" i="3"/>
  <c r="Q93" i="3"/>
  <c r="I73" i="3"/>
  <c r="AM85" i="3"/>
  <c r="AE64" i="3"/>
  <c r="AE70" i="3"/>
  <c r="J63" i="3"/>
  <c r="AG79" i="3"/>
  <c r="AI54" i="3"/>
  <c r="M73" i="3"/>
  <c r="M76" i="3"/>
  <c r="AO88" i="3"/>
  <c r="W59" i="3"/>
  <c r="AN78" i="3"/>
  <c r="AH93" i="3"/>
  <c r="R62" i="3"/>
  <c r="X63" i="3"/>
  <c r="X83" i="3"/>
  <c r="P86" i="3"/>
  <c r="N96" i="3"/>
  <c r="L96" i="3"/>
  <c r="Y50" i="3"/>
  <c r="AA55" i="3"/>
  <c r="Z69" i="3"/>
  <c r="V64" i="3"/>
  <c r="AC59" i="3"/>
  <c r="O86" i="3"/>
  <c r="AE87" i="3"/>
  <c r="AG75" i="3"/>
  <c r="AI97" i="3"/>
  <c r="U68" i="3"/>
  <c r="H66" i="3"/>
  <c r="AJ68" i="3"/>
  <c r="AO85" i="3"/>
  <c r="AO64" i="3"/>
  <c r="S92" i="3"/>
  <c r="W58" i="3"/>
  <c r="AN90" i="3"/>
  <c r="AN68" i="3"/>
  <c r="R57" i="3"/>
  <c r="X91" i="3"/>
  <c r="K75" i="3"/>
  <c r="K81" i="3"/>
  <c r="N81" i="3"/>
  <c r="L58" i="3"/>
  <c r="L95" i="3"/>
  <c r="Y93" i="3"/>
  <c r="Y96" i="3"/>
  <c r="AA65" i="3"/>
  <c r="AA64" i="3"/>
  <c r="Z93" i="3"/>
  <c r="Z81" i="3"/>
  <c r="AK63" i="3"/>
  <c r="AK47" i="3"/>
  <c r="T86" i="3"/>
  <c r="T78" i="3"/>
  <c r="V63" i="3"/>
  <c r="V66" i="3"/>
  <c r="AQ92" i="3"/>
  <c r="AC54" i="3"/>
  <c r="AC76" i="3"/>
  <c r="AL91" i="3"/>
  <c r="AL49" i="3"/>
  <c r="Q66" i="3"/>
  <c r="Q87" i="3"/>
  <c r="I80" i="3"/>
  <c r="I95" i="3"/>
  <c r="AM47" i="3"/>
  <c r="AM77" i="3"/>
  <c r="AG66" i="3"/>
  <c r="AE49" i="3"/>
  <c r="J69" i="3"/>
  <c r="M61" i="3"/>
  <c r="AO72" i="3"/>
  <c r="AH96" i="3"/>
  <c r="L86" i="3"/>
  <c r="T72" i="3"/>
  <c r="AL48" i="3"/>
  <c r="Q58" i="3"/>
  <c r="I71" i="3"/>
  <c r="J87" i="3"/>
  <c r="U94" i="3"/>
  <c r="W57" i="3"/>
  <c r="N67" i="3"/>
  <c r="Q97" i="3"/>
  <c r="I76" i="3"/>
  <c r="AE88" i="3"/>
  <c r="AE97" i="3"/>
  <c r="J49" i="3"/>
  <c r="AG48" i="3"/>
  <c r="AI86" i="3"/>
  <c r="M68" i="3"/>
  <c r="M89" i="3"/>
  <c r="AO67" i="3"/>
  <c r="W61" i="3"/>
  <c r="AN87" i="3"/>
  <c r="AH79" i="3"/>
  <c r="R81" i="3"/>
  <c r="X78" i="3"/>
  <c r="X90" i="3"/>
  <c r="P48" i="3"/>
  <c r="N93" i="3"/>
  <c r="L89" i="3"/>
  <c r="Y85" i="3"/>
  <c r="AA77" i="3"/>
  <c r="Z95" i="3"/>
  <c r="V72" i="3"/>
  <c r="AC47" i="3"/>
  <c r="O93" i="3"/>
  <c r="AE55" i="3"/>
  <c r="AG58" i="3"/>
  <c r="AI60" i="3"/>
  <c r="U79" i="3"/>
  <c r="H88" i="3"/>
  <c r="AJ67" i="3"/>
  <c r="AO78" i="3"/>
  <c r="AO74" i="3"/>
  <c r="S75" i="3"/>
  <c r="W96" i="3"/>
  <c r="AN83" i="3"/>
  <c r="AN77" i="3"/>
  <c r="R68" i="3"/>
  <c r="X97" i="3"/>
  <c r="K96" i="3"/>
  <c r="K66" i="3"/>
  <c r="N71" i="3"/>
  <c r="L97" i="3"/>
  <c r="L69" i="3"/>
  <c r="Y71" i="3"/>
  <c r="Y58" i="3"/>
  <c r="AA76" i="3"/>
  <c r="Z83" i="3"/>
  <c r="Z71" i="3"/>
  <c r="Z77" i="3"/>
  <c r="AK76" i="3"/>
  <c r="AK65" i="3"/>
  <c r="T81" i="3"/>
  <c r="T64" i="3"/>
  <c r="V62" i="3"/>
  <c r="AQ55" i="3"/>
  <c r="AC56" i="3"/>
  <c r="AC88" i="3"/>
  <c r="AC81" i="3"/>
  <c r="AL74" i="3"/>
  <c r="AL82" i="3"/>
  <c r="Q75" i="3"/>
  <c r="Q60" i="3"/>
  <c r="I55" i="3"/>
  <c r="I56" i="3"/>
  <c r="AM92" i="3"/>
  <c r="AM90" i="3"/>
  <c r="O58" i="3"/>
  <c r="AG55" i="3"/>
  <c r="M69" i="3"/>
  <c r="AO63" i="3"/>
  <c r="AH56" i="3"/>
  <c r="L59" i="3"/>
  <c r="V85" i="3"/>
  <c r="AL85" i="3"/>
  <c r="Q68" i="3"/>
  <c r="I69" i="3"/>
  <c r="J61" i="3"/>
  <c r="U65" i="3"/>
  <c r="AN61" i="3"/>
  <c r="N85" i="3"/>
  <c r="Q95" i="3"/>
  <c r="I64" i="3"/>
  <c r="O60" i="3"/>
  <c r="AE86" i="3"/>
  <c r="AE78" i="3"/>
  <c r="J94" i="3"/>
  <c r="AG81" i="3"/>
  <c r="AI65" i="3"/>
  <c r="M88" i="3"/>
  <c r="M84" i="3"/>
  <c r="AO97" i="3"/>
  <c r="W95" i="3"/>
  <c r="AN96" i="3"/>
  <c r="AH97" i="3"/>
  <c r="R61" i="3"/>
  <c r="X49" i="3"/>
  <c r="X89" i="3"/>
  <c r="P89" i="3"/>
  <c r="N87" i="3"/>
  <c r="L70" i="3"/>
  <c r="Y80" i="3"/>
  <c r="AA69" i="3"/>
  <c r="Z72" i="3"/>
  <c r="V48" i="3"/>
  <c r="AC66" i="3"/>
  <c r="O67" i="3"/>
  <c r="AE91" i="3"/>
  <c r="AG71" i="3"/>
  <c r="AI76" i="3"/>
  <c r="U89" i="3"/>
  <c r="H71" i="3"/>
  <c r="AJ55" i="3"/>
  <c r="AO55" i="3"/>
  <c r="AO57" i="3"/>
  <c r="S95" i="3"/>
  <c r="W66" i="3"/>
  <c r="AN63" i="3"/>
  <c r="AN71" i="3"/>
  <c r="R94" i="3"/>
  <c r="X93" i="3"/>
  <c r="K88" i="3"/>
  <c r="K69" i="3"/>
  <c r="N92" i="3"/>
  <c r="L66" i="3"/>
  <c r="L65" i="3"/>
  <c r="Y83" i="3"/>
  <c r="Y86" i="3"/>
  <c r="AA61" i="3"/>
  <c r="Z67" i="3"/>
  <c r="Z94" i="3"/>
  <c r="Z58" i="3"/>
  <c r="AK86" i="3"/>
  <c r="AK84" i="3"/>
  <c r="T58" i="3"/>
  <c r="T93" i="3"/>
  <c r="V94" i="3"/>
  <c r="AQ68" i="3"/>
  <c r="AC92" i="3"/>
  <c r="AC96" i="3"/>
  <c r="AL75" i="3"/>
  <c r="AL71" i="3"/>
  <c r="AL92" i="3"/>
  <c r="Q84" i="3"/>
  <c r="Q94" i="3"/>
  <c r="I87" i="3"/>
  <c r="I84" i="3"/>
  <c r="AM63" i="3"/>
  <c r="AM81" i="3"/>
  <c r="AK66" i="3"/>
  <c r="O59" i="3"/>
  <c r="AG60" i="3"/>
  <c r="U93" i="3"/>
  <c r="S59" i="3"/>
  <c r="R97" i="3"/>
  <c r="Y67" i="3"/>
  <c r="V50" i="3"/>
  <c r="AL83" i="3"/>
  <c r="Q78" i="3"/>
  <c r="I67" i="3"/>
  <c r="J50" i="3"/>
  <c r="U95" i="3"/>
  <c r="AN48" i="3"/>
  <c r="Y90" i="3"/>
  <c r="Q57" i="3"/>
  <c r="I72" i="3"/>
  <c r="O96" i="3"/>
  <c r="AE85" i="3"/>
  <c r="AE94" i="3"/>
  <c r="J48" i="3"/>
  <c r="AG97" i="3"/>
  <c r="AI72" i="3"/>
  <c r="M87" i="3"/>
  <c r="H78" i="3"/>
  <c r="AO47" i="3"/>
  <c r="W94" i="3"/>
  <c r="AH50" i="3"/>
  <c r="AH69" i="3"/>
  <c r="R91" i="3"/>
  <c r="X62" i="3"/>
  <c r="P71" i="3"/>
  <c r="K71" i="3"/>
  <c r="N65" i="3"/>
  <c r="L76" i="3"/>
  <c r="Y82" i="3"/>
  <c r="AA82" i="3"/>
  <c r="AK93" i="3"/>
  <c r="V78" i="3"/>
  <c r="AC48" i="3"/>
  <c r="O71" i="3"/>
  <c r="J74" i="3"/>
  <c r="AG67" i="3"/>
  <c r="AI92" i="3"/>
  <c r="H64" i="3"/>
  <c r="AJ79" i="3"/>
  <c r="AJ90" i="3"/>
  <c r="AO83" i="3"/>
  <c r="S63" i="3"/>
  <c r="S58" i="3"/>
  <c r="W80" i="3"/>
  <c r="AN85" i="3"/>
  <c r="AN62" i="3"/>
  <c r="R69" i="3"/>
  <c r="X94" i="3"/>
  <c r="K49" i="3"/>
  <c r="K57" i="3"/>
  <c r="N54" i="3"/>
  <c r="L87" i="3"/>
  <c r="L49" i="3"/>
  <c r="Y62" i="3"/>
  <c r="Y97" i="3"/>
  <c r="AA59" i="3"/>
  <c r="Z91" i="3"/>
  <c r="Z79" i="3"/>
  <c r="Z86" i="3"/>
  <c r="AK48" i="3"/>
  <c r="AK54" i="3"/>
  <c r="T84" i="3"/>
  <c r="T95" i="3"/>
  <c r="V88" i="3"/>
  <c r="AQ57" i="3"/>
  <c r="AC60" i="3"/>
  <c r="AC69" i="3"/>
  <c r="AL94" i="3"/>
  <c r="AL78" i="3"/>
  <c r="AL79" i="3"/>
  <c r="Q65" i="3"/>
  <c r="Q54" i="3"/>
  <c r="I83" i="3"/>
  <c r="I47" i="3"/>
  <c r="AM67" i="3"/>
  <c r="AM72" i="3"/>
  <c r="O68" i="3"/>
  <c r="AG49" i="3"/>
  <c r="U76" i="3"/>
  <c r="S86" i="3"/>
  <c r="R74" i="3"/>
  <c r="Y68" i="3"/>
  <c r="V55" i="3"/>
  <c r="AL60" i="3"/>
  <c r="I96" i="3"/>
  <c r="I82" i="3"/>
  <c r="J59" i="3"/>
  <c r="U57" i="3"/>
  <c r="X67" i="3"/>
  <c r="Y65" i="3"/>
  <c r="Q63" i="3"/>
  <c r="AM89" i="3"/>
  <c r="O74" i="3"/>
  <c r="AE72" i="3"/>
  <c r="AE59" i="3"/>
  <c r="J90" i="3"/>
  <c r="AG86" i="3"/>
  <c r="AI81" i="3"/>
  <c r="M71" i="3"/>
  <c r="H85" i="3"/>
  <c r="AO81" i="3"/>
  <c r="AN75" i="3"/>
  <c r="AH71" i="3"/>
  <c r="R84" i="3"/>
  <c r="R59" i="3"/>
  <c r="X80" i="3"/>
  <c r="P54" i="3"/>
  <c r="K58" i="3"/>
  <c r="N68" i="3"/>
  <c r="L48" i="3"/>
  <c r="Y70" i="3"/>
  <c r="AA48" i="3"/>
  <c r="AK94" i="3"/>
  <c r="V69" i="3"/>
  <c r="AC65" i="3"/>
  <c r="O65" i="3"/>
  <c r="J83" i="3"/>
  <c r="AG78" i="3"/>
  <c r="U63" i="3"/>
  <c r="H47" i="3"/>
  <c r="AJ94" i="3"/>
  <c r="AJ57" i="3"/>
  <c r="AO89" i="3"/>
  <c r="S65" i="3"/>
  <c r="S94" i="3"/>
  <c r="W89" i="3"/>
  <c r="AN54" i="3"/>
  <c r="AH84" i="3"/>
  <c r="R58" i="3"/>
  <c r="X60" i="3"/>
  <c r="K86" i="3"/>
  <c r="K48" i="3"/>
  <c r="N76" i="3"/>
  <c r="L72" i="3"/>
  <c r="Y64" i="3"/>
  <c r="Y54" i="3"/>
  <c r="AA90" i="3"/>
  <c r="AA66" i="3"/>
  <c r="Z87" i="3"/>
  <c r="Z63" i="3"/>
  <c r="Z47" i="3"/>
  <c r="AK89" i="3"/>
  <c r="AK79" i="3"/>
  <c r="T61" i="3"/>
  <c r="T68" i="3"/>
  <c r="V67" i="3"/>
  <c r="AQ60" i="3"/>
  <c r="AC91" i="3"/>
  <c r="AC83" i="3"/>
  <c r="AL63" i="3"/>
  <c r="AL77" i="3"/>
  <c r="AL81" i="3"/>
  <c r="Q79" i="3"/>
  <c r="Q49" i="3"/>
  <c r="I66" i="3"/>
  <c r="I48" i="3"/>
  <c r="AM95" i="3"/>
  <c r="O76" i="3"/>
  <c r="AG54" i="3"/>
  <c r="U56" i="3"/>
  <c r="S91" i="3"/>
  <c r="X54" i="3"/>
  <c r="Y69" i="3"/>
  <c r="AQ90" i="3"/>
  <c r="AL62" i="3"/>
  <c r="I92" i="3"/>
  <c r="J72" i="3"/>
  <c r="U71" i="3"/>
  <c r="X47" i="3"/>
  <c r="Y47" i="3"/>
  <c r="I93" i="3"/>
  <c r="AM87" i="3"/>
  <c r="O70" i="3"/>
  <c r="AE63" i="3"/>
  <c r="AE83" i="3"/>
  <c r="J65" i="3"/>
  <c r="AG92" i="3"/>
  <c r="AI74" i="3"/>
  <c r="M94" i="3"/>
  <c r="AJ82" i="3"/>
  <c r="W87" i="3"/>
  <c r="AN88" i="3"/>
  <c r="AH73" i="3"/>
  <c r="R89" i="3"/>
  <c r="R66" i="3"/>
  <c r="X73" i="3"/>
  <c r="P95" i="3"/>
  <c r="K87" i="3"/>
  <c r="N63" i="3"/>
  <c r="L85" i="3"/>
  <c r="Y76" i="3"/>
  <c r="AA83" i="3"/>
  <c r="AK67" i="3"/>
  <c r="AQ64" i="3"/>
  <c r="AC93" i="3"/>
  <c r="O90" i="3"/>
  <c r="J58" i="3"/>
  <c r="AG57" i="3"/>
  <c r="U55" i="3"/>
  <c r="H96" i="3"/>
  <c r="AJ63" i="3"/>
  <c r="AJ54" i="3"/>
  <c r="AO60" i="3"/>
  <c r="S72" i="3"/>
  <c r="S62" i="3"/>
  <c r="W65" i="3"/>
  <c r="AN95" i="3"/>
  <c r="AH92" i="3"/>
  <c r="R55" i="3"/>
  <c r="X58" i="3"/>
  <c r="K84" i="3"/>
  <c r="K56" i="3"/>
  <c r="N88" i="3"/>
  <c r="L79" i="3"/>
  <c r="Y77" i="3"/>
  <c r="Y57" i="3"/>
  <c r="AA71" i="3"/>
  <c r="AA63" i="3"/>
  <c r="Z59" i="3"/>
  <c r="Z85" i="3"/>
  <c r="AK96" i="3"/>
  <c r="AK71" i="3"/>
  <c r="AK55" i="3"/>
  <c r="T50" i="3"/>
  <c r="T55" i="3"/>
  <c r="V89" i="3"/>
  <c r="AQ72" i="3"/>
  <c r="AC64" i="3"/>
  <c r="AC95" i="3"/>
  <c r="AL54" i="3"/>
  <c r="AL88" i="3"/>
  <c r="AL61" i="3"/>
  <c r="Q96" i="3"/>
  <c r="Q59" i="3"/>
  <c r="I63" i="3"/>
  <c r="I74" i="3"/>
  <c r="AM58" i="3"/>
  <c r="O95" i="3"/>
  <c r="AG76" i="3"/>
  <c r="U77" i="3"/>
  <c r="W90" i="3"/>
  <c r="X95" i="3"/>
  <c r="AA85" i="3"/>
  <c r="AQ77" i="3"/>
  <c r="AL58" i="3"/>
  <c r="I49" i="3"/>
  <c r="O78" i="3"/>
  <c r="AG95" i="3"/>
  <c r="H63" i="3"/>
  <c r="P83" i="3"/>
  <c r="AL76" i="3"/>
  <c r="I86" i="3"/>
  <c r="AM70" i="3"/>
  <c r="O49" i="3"/>
  <c r="AE58" i="3"/>
  <c r="J62" i="3"/>
  <c r="J68" i="3"/>
  <c r="AG62" i="3"/>
  <c r="AI55" i="3"/>
  <c r="M66" i="3"/>
  <c r="AJ47" i="3"/>
  <c r="W79" i="3"/>
  <c r="AN58" i="3"/>
  <c r="AH77" i="3"/>
  <c r="R63" i="3"/>
  <c r="R92" i="3"/>
  <c r="X66" i="3"/>
  <c r="P66" i="3"/>
  <c r="K74" i="3"/>
  <c r="N73" i="3"/>
  <c r="L90" i="3"/>
  <c r="Y61" i="3"/>
  <c r="AA81" i="3"/>
  <c r="AK74" i="3"/>
  <c r="AQ82" i="3"/>
  <c r="AC73" i="3"/>
  <c r="AE61" i="3"/>
  <c r="J55" i="3"/>
  <c r="AG80" i="3"/>
  <c r="U66" i="3"/>
  <c r="H56" i="3"/>
  <c r="AJ76" i="3"/>
  <c r="AJ77" i="3"/>
  <c r="AO92" i="3"/>
  <c r="S96" i="3"/>
  <c r="S64" i="3"/>
  <c r="W73" i="3"/>
  <c r="AN89" i="3"/>
  <c r="AH67" i="3"/>
  <c r="R83" i="3"/>
  <c r="P88" i="3"/>
  <c r="K59" i="3"/>
  <c r="K50" i="3"/>
  <c r="N69" i="3"/>
  <c r="L77" i="3"/>
  <c r="Y94" i="3"/>
  <c r="Y92" i="3"/>
  <c r="AA88" i="3"/>
  <c r="AA47" i="3"/>
  <c r="Z62" i="3"/>
  <c r="Z75" i="3"/>
  <c r="AK69" i="3"/>
  <c r="AK81" i="3"/>
  <c r="T83" i="3"/>
  <c r="T71" i="3"/>
  <c r="T48" i="3"/>
  <c r="V61" i="3"/>
  <c r="AQ65" i="3"/>
  <c r="AC77" i="3"/>
  <c r="AC67" i="3"/>
  <c r="AL86" i="3"/>
  <c r="AL55" i="3"/>
  <c r="AL47" i="3"/>
  <c r="Q92" i="3"/>
  <c r="Q88" i="3"/>
  <c r="I81" i="3"/>
  <c r="I62" i="3"/>
  <c r="AM91" i="3"/>
  <c r="AL56" i="3"/>
  <c r="AM65" i="3"/>
  <c r="O82" i="3"/>
  <c r="AG68" i="3"/>
  <c r="U97" i="3"/>
  <c r="W48" i="3"/>
  <c r="X55" i="3"/>
  <c r="AA74" i="3"/>
  <c r="AQ62" i="3"/>
  <c r="Q80" i="3"/>
  <c r="I61" i="3"/>
  <c r="O94" i="3"/>
  <c r="AG65" i="3"/>
  <c r="H87" i="3"/>
  <c r="P84" i="3"/>
  <c r="AL65" i="3"/>
  <c r="I60" i="3"/>
  <c r="AM61" i="3"/>
  <c r="O61" i="3"/>
  <c r="AE56" i="3"/>
  <c r="J64" i="3"/>
  <c r="J66" i="3"/>
  <c r="AI58" i="3"/>
  <c r="AI90" i="3"/>
  <c r="M78" i="3"/>
  <c r="AJ70" i="3"/>
  <c r="W47" i="3"/>
  <c r="AN49" i="3"/>
  <c r="AH47" i="3"/>
  <c r="R65" i="3"/>
  <c r="R96" i="3"/>
  <c r="X56" i="3"/>
  <c r="P79" i="3"/>
  <c r="N75" i="3"/>
  <c r="N47" i="3"/>
  <c r="L80" i="3"/>
  <c r="Y56" i="3"/>
  <c r="AA54" i="3"/>
  <c r="AK97" i="3"/>
  <c r="AQ71" i="3"/>
  <c r="AE47" i="3"/>
  <c r="J57" i="3"/>
  <c r="AG61" i="3"/>
  <c r="U81" i="3"/>
  <c r="H62" i="3"/>
  <c r="AJ73" i="3"/>
  <c r="AJ83" i="3"/>
  <c r="AO54" i="3"/>
  <c r="S66" i="3"/>
  <c r="S48" i="3"/>
  <c r="W49" i="3"/>
  <c r="AN76" i="3"/>
  <c r="AH54" i="3"/>
  <c r="R47" i="3"/>
  <c r="P74" i="3"/>
  <c r="K54" i="3"/>
  <c r="K55" i="3"/>
  <c r="N83" i="3"/>
  <c r="L84" i="3"/>
  <c r="Y55" i="3"/>
  <c r="Y78" i="3"/>
  <c r="AA92" i="3"/>
  <c r="AA78" i="3"/>
  <c r="Z64" i="3"/>
  <c r="Z96" i="3"/>
  <c r="AK73" i="3"/>
  <c r="AK57" i="3"/>
  <c r="T65" i="3"/>
  <c r="T91" i="3"/>
  <c r="T75" i="3"/>
  <c r="V65" i="3"/>
  <c r="AQ80" i="3"/>
  <c r="AC87" i="3"/>
  <c r="AC58" i="3"/>
  <c r="AL66" i="3"/>
  <c r="AL72" i="3"/>
  <c r="AL68" i="3"/>
  <c r="Q83" i="3"/>
  <c r="I50" i="3"/>
  <c r="I88" i="3"/>
  <c r="AM84" i="3"/>
  <c r="O88" i="3"/>
  <c r="AI84" i="3"/>
  <c r="U87" i="3"/>
  <c r="AN59" i="3"/>
  <c r="X85" i="3"/>
  <c r="Z57" i="3"/>
  <c r="AQ93" i="3"/>
  <c r="Q64" i="3"/>
  <c r="I77" i="3"/>
  <c r="O84" i="3"/>
  <c r="AG83" i="3"/>
  <c r="H67" i="3"/>
  <c r="P57" i="3"/>
  <c r="AL59" i="3"/>
  <c r="I58" i="3"/>
  <c r="AM66" i="3"/>
  <c r="O75" i="3"/>
  <c r="AE68" i="3"/>
  <c r="J91" i="3"/>
  <c r="J60" i="3"/>
  <c r="AI89" i="3"/>
  <c r="AI56" i="3"/>
  <c r="M65" i="3"/>
  <c r="AJ89" i="3"/>
  <c r="W64" i="3"/>
  <c r="AN92" i="3"/>
  <c r="AH57" i="3"/>
  <c r="R49" i="3"/>
  <c r="R48" i="3"/>
  <c r="X71" i="3"/>
  <c r="P67" i="3"/>
  <c r="N66" i="3"/>
  <c r="N80" i="3"/>
  <c r="L50" i="3"/>
  <c r="AA56" i="3"/>
  <c r="AA97" i="3"/>
  <c r="V70" i="3"/>
  <c r="AC97" i="3"/>
  <c r="AE66" i="3"/>
  <c r="J97" i="3"/>
  <c r="AG90" i="3"/>
  <c r="U90" i="3"/>
  <c r="H54" i="3"/>
  <c r="AJ93" i="3"/>
  <c r="AJ86" i="3"/>
  <c r="AO61" i="3"/>
  <c r="S70" i="3"/>
  <c r="W97" i="3"/>
  <c r="W63" i="3"/>
  <c r="AN86" i="3"/>
  <c r="AH95" i="3"/>
  <c r="X50" i="3"/>
  <c r="P75" i="3"/>
  <c r="K79" i="3"/>
  <c r="N64" i="3"/>
  <c r="N86" i="3"/>
  <c r="L54" i="3"/>
  <c r="Y95" i="3"/>
  <c r="Y75" i="3"/>
  <c r="AA84" i="3"/>
  <c r="AA87" i="3"/>
  <c r="Z90" i="3"/>
  <c r="Z92" i="3"/>
  <c r="AK64" i="3"/>
  <c r="AK95" i="3"/>
  <c r="T47" i="3"/>
  <c r="T49" i="3"/>
  <c r="V56" i="3"/>
  <c r="V58" i="3"/>
  <c r="AQ75" i="3"/>
  <c r="AC61" i="3"/>
  <c r="AC70" i="3"/>
  <c r="AL95" i="3"/>
  <c r="AL96" i="3"/>
  <c r="AL70" i="3"/>
  <c r="Q55" i="3"/>
  <c r="I70" i="3"/>
  <c r="I90" i="3"/>
  <c r="AM60" i="3"/>
  <c r="AM48" i="3"/>
  <c r="AM71" i="3"/>
  <c r="AK78" i="3"/>
  <c r="AK90" i="3"/>
  <c r="T62" i="3"/>
  <c r="T56" i="3"/>
  <c r="V47" i="3"/>
  <c r="V93" i="3"/>
  <c r="AQ88" i="3"/>
  <c r="AC78" i="3"/>
  <c r="AC74" i="3"/>
  <c r="AL69" i="3"/>
  <c r="AL87" i="3"/>
  <c r="AL64" i="3"/>
  <c r="Q89" i="3"/>
  <c r="I97" i="3"/>
  <c r="I54" i="3"/>
  <c r="AM55" i="3"/>
  <c r="AM94" i="3"/>
  <c r="J77" i="3"/>
  <c r="AI96" i="3"/>
  <c r="AO58" i="3"/>
  <c r="AN70" i="3"/>
  <c r="K47" i="3"/>
  <c r="Z48" i="3"/>
  <c r="AC62" i="3"/>
  <c r="Q85" i="3"/>
  <c r="I68" i="3"/>
  <c r="O83" i="3"/>
  <c r="AI80" i="3"/>
  <c r="AJ78" i="3"/>
  <c r="K95" i="3"/>
  <c r="Q62" i="3"/>
  <c r="I78" i="3"/>
  <c r="AM56" i="3"/>
  <c r="O77" i="3"/>
  <c r="AE96" i="3"/>
  <c r="J96" i="3"/>
  <c r="AG88" i="3"/>
  <c r="AI67" i="3"/>
  <c r="M79" i="3"/>
  <c r="M62" i="3"/>
  <c r="AO77" i="3"/>
  <c r="W71" i="3"/>
  <c r="AN80" i="3"/>
  <c r="AH87" i="3"/>
  <c r="R86" i="3"/>
  <c r="R88" i="3"/>
  <c r="X69" i="3"/>
  <c r="P78" i="3"/>
  <c r="N49" i="3"/>
  <c r="N62" i="3"/>
  <c r="L94" i="3"/>
  <c r="AA89" i="3"/>
  <c r="AA67" i="3"/>
  <c r="V75" i="3"/>
  <c r="AC57" i="3"/>
  <c r="AE65" i="3"/>
  <c r="J89" i="3"/>
  <c r="AI87" i="3"/>
  <c r="U78" i="3"/>
  <c r="H90" i="3"/>
  <c r="AJ50" i="3"/>
  <c r="AJ96" i="3"/>
  <c r="AO95" i="3"/>
  <c r="S60" i="3"/>
  <c r="W74" i="3"/>
  <c r="W85" i="3"/>
  <c r="AN91" i="3"/>
  <c r="AH81" i="3"/>
  <c r="X61" i="3"/>
  <c r="P93" i="3"/>
  <c r="K85" i="3"/>
  <c r="N82" i="3"/>
  <c r="N57" i="3"/>
  <c r="L56" i="3"/>
  <c r="Y73" i="3"/>
  <c r="Y79" i="3"/>
  <c r="AA49" i="3"/>
  <c r="AA80" i="3"/>
  <c r="Z73" i="3"/>
  <c r="Z66" i="3"/>
  <c r="J56" i="3"/>
  <c r="AI83" i="3"/>
  <c r="AO87" i="3"/>
  <c r="AN47" i="3"/>
  <c r="K76" i="3"/>
  <c r="AK77" i="3"/>
  <c r="AC94" i="3"/>
  <c r="Q74" i="3"/>
  <c r="I75" i="3"/>
  <c r="AE74" i="3"/>
  <c r="AI62" i="3"/>
  <c r="AJ62" i="3"/>
  <c r="K72" i="3"/>
  <c r="Q50" i="3"/>
  <c r="I59" i="3"/>
  <c r="AM64" i="3"/>
  <c r="O55" i="3"/>
  <c r="AE77" i="3"/>
  <c r="J88" i="3"/>
  <c r="AG82" i="3"/>
  <c r="AI94" i="3"/>
  <c r="M48" i="3"/>
  <c r="M56" i="3"/>
  <c r="AO69" i="3"/>
  <c r="W88" i="3"/>
  <c r="AN69" i="3"/>
  <c r="AH90" i="3"/>
  <c r="R77" i="3"/>
  <c r="R80" i="3"/>
  <c r="X92" i="3"/>
  <c r="P97" i="3"/>
  <c r="N60" i="3"/>
  <c r="N95" i="3"/>
  <c r="L88" i="3"/>
  <c r="AA94" i="3"/>
  <c r="Z60" i="3"/>
  <c r="V77" i="3"/>
  <c r="AC85" i="3"/>
  <c r="AE50" i="3"/>
  <c r="J71" i="3"/>
  <c r="AI61" i="3"/>
  <c r="U86" i="3"/>
  <c r="H77" i="3"/>
  <c r="AJ49" i="3"/>
  <c r="AJ88" i="3"/>
  <c r="AO76" i="3"/>
  <c r="S78" i="3"/>
  <c r="W72" i="3"/>
  <c r="AN65" i="3"/>
  <c r="AN64" i="3"/>
  <c r="AH60" i="3"/>
  <c r="X74" i="3"/>
  <c r="P55" i="3"/>
  <c r="K60" i="3"/>
  <c r="N56" i="3"/>
  <c r="N84" i="3"/>
  <c r="L83" i="3"/>
  <c r="Y84" i="3"/>
  <c r="Y88" i="3"/>
  <c r="AA57" i="3"/>
  <c r="AA72" i="3"/>
  <c r="Z88" i="3"/>
  <c r="Z97" i="3"/>
  <c r="AK82" i="3"/>
  <c r="AK50" i="3"/>
  <c r="T88" i="3"/>
  <c r="T66" i="3"/>
  <c r="V86" i="3"/>
  <c r="V76" i="3"/>
  <c r="AQ70" i="3"/>
  <c r="AC80" i="3"/>
  <c r="AC90" i="3"/>
  <c r="AL89" i="3"/>
  <c r="AL57" i="3"/>
  <c r="AL80" i="3"/>
  <c r="Q77" i="3"/>
  <c r="I79" i="3"/>
  <c r="I89" i="3"/>
  <c r="AM49" i="3"/>
  <c r="AM76" i="3"/>
  <c r="S67" i="3"/>
  <c r="K89" i="3"/>
  <c r="BS145" i="1" l="1"/>
  <c r="BG163" i="1"/>
  <c r="BH163" i="1" s="1"/>
  <c r="BI153" i="1"/>
  <c r="AY147" i="1"/>
  <c r="AZ147" i="1" s="1"/>
  <c r="BE144" i="1"/>
  <c r="AW144" i="1"/>
  <c r="BO125" i="1"/>
  <c r="BP125" i="1" s="1"/>
  <c r="AU117" i="1"/>
  <c r="AU155" i="1"/>
  <c r="AV155" i="1" s="1"/>
  <c r="AQ154" i="1"/>
  <c r="AR154" i="1" s="1"/>
  <c r="AU143" i="1"/>
  <c r="AV143" i="1" s="1"/>
  <c r="AY152" i="1"/>
  <c r="AZ152" i="1" s="1"/>
  <c r="AY117" i="1"/>
  <c r="BE153" i="1"/>
  <c r="BQ122" i="1"/>
  <c r="BR122" i="1" s="1"/>
  <c r="BC144" i="1"/>
  <c r="BM146" i="1"/>
  <c r="BN146" i="1" s="1"/>
  <c r="BW143" i="1"/>
  <c r="BX143" i="1" s="1"/>
  <c r="BW125" i="1"/>
  <c r="BX125" i="1" s="1"/>
  <c r="BW117" i="1"/>
  <c r="BQ159" i="1"/>
  <c r="BU124" i="1"/>
  <c r="BU163" i="1"/>
  <c r="BV163" i="1" s="1"/>
  <c r="AU151" i="1"/>
  <c r="AV151" i="1" s="1"/>
  <c r="AQ155" i="1"/>
  <c r="AR155" i="1" s="1"/>
  <c r="AU124" i="1"/>
  <c r="BW73" i="1"/>
  <c r="AY74" i="1"/>
  <c r="BF73" i="1"/>
  <c r="AU74" i="1"/>
  <c r="CN185" i="1"/>
  <c r="CO184" i="1"/>
  <c r="CL85" i="1"/>
  <c r="CL86" i="1"/>
  <c r="CL87" i="1"/>
  <c r="BS73" i="1"/>
  <c r="AO153" i="1"/>
  <c r="AO143" i="1"/>
  <c r="AP143" i="1" s="1"/>
  <c r="AW140" i="1"/>
  <c r="AX140" i="1" s="1"/>
  <c r="BI126" i="1"/>
  <c r="BJ126" i="1" s="1"/>
  <c r="BI159" i="1"/>
  <c r="BW133" i="1"/>
  <c r="BQ74" i="1"/>
  <c r="BQ145" i="1"/>
  <c r="BQ180" i="1" s="1"/>
  <c r="BG135" i="1"/>
  <c r="BH135" i="1" s="1"/>
  <c r="BG118" i="1"/>
  <c r="BH118" i="1" s="1"/>
  <c r="BE127" i="1"/>
  <c r="BF127" i="1" s="1"/>
  <c r="BE146" i="1"/>
  <c r="BF146" i="1" s="1"/>
  <c r="AQ122" i="1"/>
  <c r="AR122" i="1" s="1"/>
  <c r="BC135" i="1"/>
  <c r="BD135" i="1" s="1"/>
  <c r="AY142" i="1"/>
  <c r="BP73" i="1"/>
  <c r="BK74" i="1"/>
  <c r="BI147" i="1"/>
  <c r="BJ147" i="1" s="1"/>
  <c r="BC127" i="1"/>
  <c r="BD127" i="1" s="1"/>
  <c r="AS117" i="1"/>
  <c r="AS120" i="1" s="1"/>
  <c r="BM145" i="1"/>
  <c r="BM180" i="1" s="1"/>
  <c r="BK140" i="1"/>
  <c r="BS149" i="1"/>
  <c r="BT149" i="1" s="1"/>
  <c r="AW74" i="1"/>
  <c r="AQ135" i="1"/>
  <c r="AR135" i="1" s="1"/>
  <c r="BO124" i="1"/>
  <c r="BK137" i="1"/>
  <c r="BL137" i="1" s="1"/>
  <c r="AW137" i="1"/>
  <c r="AX137" i="1" s="1"/>
  <c r="BQ140" i="1"/>
  <c r="BR140" i="1" s="1"/>
  <c r="BU152" i="1"/>
  <c r="BV152" i="1" s="1"/>
  <c r="BO160" i="1"/>
  <c r="BG159" i="1"/>
  <c r="BG73" i="1"/>
  <c r="BE143" i="1"/>
  <c r="BF143" i="1" s="1"/>
  <c r="AQ147" i="1"/>
  <c r="AR147" i="1" s="1"/>
  <c r="BC147" i="1"/>
  <c r="BD147" i="1" s="1"/>
  <c r="BC137" i="1"/>
  <c r="BD137" i="1" s="1"/>
  <c r="AY122" i="1"/>
  <c r="AZ122" i="1" s="1"/>
  <c r="BU164" i="1"/>
  <c r="BV164" i="1" s="1"/>
  <c r="BP74" i="1"/>
  <c r="BA142" i="1"/>
  <c r="BO152" i="1"/>
  <c r="BP152" i="1" s="1"/>
  <c r="BK150" i="1"/>
  <c r="BL150" i="1" s="1"/>
  <c r="BI118" i="1"/>
  <c r="BJ118" i="1" s="1"/>
  <c r="BG153" i="1"/>
  <c r="BG183" i="1" s="1"/>
  <c r="AT73" i="1"/>
  <c r="BU140" i="1"/>
  <c r="BV140" i="1" s="1"/>
  <c r="AS124" i="1"/>
  <c r="AT124" i="1" s="1"/>
  <c r="AS143" i="1"/>
  <c r="AT143" i="1" s="1"/>
  <c r="BM127" i="1"/>
  <c r="BN127" i="1" s="1"/>
  <c r="BK163" i="1"/>
  <c r="BL163" i="1" s="1"/>
  <c r="AU140" i="1"/>
  <c r="BS117" i="1"/>
  <c r="BT117" i="1" s="1"/>
  <c r="AO142" i="1"/>
  <c r="AP142" i="1" s="1"/>
  <c r="AW124" i="1"/>
  <c r="AX124" i="1" s="1"/>
  <c r="AQ164" i="1"/>
  <c r="AR164" i="1" s="1"/>
  <c r="BO159" i="1"/>
  <c r="AU160" i="1"/>
  <c r="AU161" i="1" s="1"/>
  <c r="AO131" i="1"/>
  <c r="AW147" i="1"/>
  <c r="AX147" i="1" s="1"/>
  <c r="BI124" i="1"/>
  <c r="BJ124" i="1" s="1"/>
  <c r="BU119" i="1"/>
  <c r="BO163" i="1"/>
  <c r="BP163" i="1" s="1"/>
  <c r="AW153" i="1"/>
  <c r="AW183" i="1" s="1"/>
  <c r="BI137" i="1"/>
  <c r="BJ137" i="1" s="1"/>
  <c r="BI142" i="1"/>
  <c r="BJ142" i="1" s="1"/>
  <c r="BW127" i="1"/>
  <c r="BX127" i="1" s="1"/>
  <c r="BQ126" i="1"/>
  <c r="BR126" i="1" s="1"/>
  <c r="BQ142" i="1"/>
  <c r="BR142" i="1" s="1"/>
  <c r="BS122" i="1"/>
  <c r="BT122" i="1" s="1"/>
  <c r="AO126" i="1"/>
  <c r="AP126" i="1" s="1"/>
  <c r="AO133" i="1"/>
  <c r="BI133" i="1"/>
  <c r="AZ73" i="1"/>
  <c r="BQ164" i="1"/>
  <c r="BR164" i="1" s="1"/>
  <c r="BQ149" i="1"/>
  <c r="BR149" i="1" s="1"/>
  <c r="BG152" i="1"/>
  <c r="BH152" i="1" s="1"/>
  <c r="BG146" i="1"/>
  <c r="BH146" i="1" s="1"/>
  <c r="BE164" i="1"/>
  <c r="BF164" i="1" s="1"/>
  <c r="AQ143" i="1"/>
  <c r="AR143" i="1" s="1"/>
  <c r="BD74" i="1"/>
  <c r="BC125" i="1"/>
  <c r="BD125" i="1" s="1"/>
  <c r="AY133" i="1"/>
  <c r="AY134" i="1" s="1"/>
  <c r="BA126" i="1"/>
  <c r="BB126" i="1" s="1"/>
  <c r="BM126" i="1"/>
  <c r="BN126" i="1" s="1"/>
  <c r="BK151" i="1"/>
  <c r="BL151" i="1" s="1"/>
  <c r="BG117" i="1"/>
  <c r="BH117" i="1" s="1"/>
  <c r="AR74" i="1"/>
  <c r="AX73" i="1"/>
  <c r="BC149" i="1"/>
  <c r="BD149" i="1" s="1"/>
  <c r="AS150" i="1"/>
  <c r="AT150" i="1" s="1"/>
  <c r="BO117" i="1"/>
  <c r="BP117" i="1" s="1"/>
  <c r="BO153" i="1"/>
  <c r="BO183" i="1" s="1"/>
  <c r="BK131" i="1"/>
  <c r="BS151" i="1"/>
  <c r="BT151" i="1" s="1"/>
  <c r="AO119" i="1"/>
  <c r="BM160" i="1"/>
  <c r="AU146" i="1"/>
  <c r="AV146" i="1" s="1"/>
  <c r="AO140" i="1"/>
  <c r="AP140" i="1" s="1"/>
  <c r="AQ202" i="1" s="1"/>
  <c r="AW149" i="1"/>
  <c r="AX149" i="1" s="1"/>
  <c r="BA152" i="1"/>
  <c r="BB152" i="1" s="1"/>
  <c r="BO146" i="1"/>
  <c r="BP146" i="1" s="1"/>
  <c r="AU127" i="1"/>
  <c r="AV127" i="1" s="1"/>
  <c r="BS146" i="1"/>
  <c r="BT146" i="1" s="1"/>
  <c r="AO127" i="1"/>
  <c r="AP127" i="1" s="1"/>
  <c r="AO74" i="1"/>
  <c r="AW160" i="1"/>
  <c r="BI119" i="1"/>
  <c r="BI152" i="1"/>
  <c r="BJ152" i="1" s="1"/>
  <c r="BW159" i="1"/>
  <c r="BW161" i="1" s="1"/>
  <c r="BQ118" i="1"/>
  <c r="BR118" i="1" s="1"/>
  <c r="BG142" i="1"/>
  <c r="BH142" i="1" s="1"/>
  <c r="BG155" i="1"/>
  <c r="BH155" i="1" s="1"/>
  <c r="BE142" i="1"/>
  <c r="BF142" i="1" s="1"/>
  <c r="BC73" i="1"/>
  <c r="AY151" i="1"/>
  <c r="AZ151" i="1" s="1"/>
  <c r="BA144" i="1"/>
  <c r="BA179" i="1" s="1"/>
  <c r="BE117" i="1"/>
  <c r="BT73" i="1"/>
  <c r="AS142" i="1"/>
  <c r="AT142" i="1" s="1"/>
  <c r="BO126" i="1"/>
  <c r="BP126" i="1" s="1"/>
  <c r="BO119" i="1"/>
  <c r="BK117" i="1"/>
  <c r="BL117" i="1" s="1"/>
  <c r="AO122" i="1"/>
  <c r="AP122" i="1" s="1"/>
  <c r="BM150" i="1"/>
  <c r="BN150" i="1" s="1"/>
  <c r="AW159" i="1"/>
  <c r="BW124" i="1"/>
  <c r="BX124" i="1" s="1"/>
  <c r="BG137" i="1"/>
  <c r="BH137" i="1" s="1"/>
  <c r="BM131" i="1"/>
  <c r="BM134" i="1" s="1"/>
  <c r="BN134" i="1" s="1"/>
  <c r="AU145" i="1"/>
  <c r="AU180" i="1" s="1"/>
  <c r="BS150" i="1"/>
  <c r="BT150" i="1" s="1"/>
  <c r="BS154" i="1"/>
  <c r="BT154" i="1" s="1"/>
  <c r="AO124" i="1"/>
  <c r="AP124" i="1" s="1"/>
  <c r="AO144" i="1"/>
  <c r="AO179" i="1" s="1"/>
  <c r="AW127" i="1"/>
  <c r="AX127" i="1" s="1"/>
  <c r="AW155" i="1"/>
  <c r="AX155" i="1" s="1"/>
  <c r="BI140" i="1"/>
  <c r="BJ140" i="1" s="1"/>
  <c r="BW150" i="1"/>
  <c r="BX150" i="1" s="1"/>
  <c r="BQ144" i="1"/>
  <c r="BQ179" i="1" s="1"/>
  <c r="BG127" i="1"/>
  <c r="BH127" i="1" s="1"/>
  <c r="BE155" i="1"/>
  <c r="BF155" i="1" s="1"/>
  <c r="AQ74" i="1"/>
  <c r="AY149" i="1"/>
  <c r="AZ149" i="1" s="1"/>
  <c r="AY163" i="1"/>
  <c r="AZ163" i="1" s="1"/>
  <c r="BU155" i="1"/>
  <c r="BV155" i="1" s="1"/>
  <c r="BA151" i="1"/>
  <c r="BB151" i="1" s="1"/>
  <c r="BM159" i="1"/>
  <c r="BW145" i="1"/>
  <c r="BQ137" i="1"/>
  <c r="BR137" i="1" s="1"/>
  <c r="BG144" i="1"/>
  <c r="AQ137" i="1"/>
  <c r="AR137" i="1" s="1"/>
  <c r="BC143" i="1"/>
  <c r="BD143" i="1" s="1"/>
  <c r="AS151" i="1"/>
  <c r="AT151" i="1" s="1"/>
  <c r="BM124" i="1"/>
  <c r="BN124" i="1" s="1"/>
  <c r="BK119" i="1"/>
  <c r="BL119" i="1" s="1"/>
  <c r="AU73" i="1"/>
  <c r="BS133" i="1"/>
  <c r="BM164" i="1"/>
  <c r="BN164" i="1" s="1"/>
  <c r="AU142" i="1"/>
  <c r="AV142" i="1" s="1"/>
  <c r="AO73" i="1"/>
  <c r="BW140" i="1"/>
  <c r="BX140" i="1" s="1"/>
  <c r="BY202" i="1" s="1"/>
  <c r="BG147" i="1"/>
  <c r="BH147" i="1" s="1"/>
  <c r="BC126" i="1"/>
  <c r="BD126" i="1" s="1"/>
  <c r="BA140" i="1"/>
  <c r="BB140" i="1" s="1"/>
  <c r="BC202" i="1" s="1"/>
  <c r="AU164" i="1"/>
  <c r="AV164" i="1" s="1"/>
  <c r="BS119" i="1"/>
  <c r="AO137" i="1"/>
  <c r="AP137" i="1" s="1"/>
  <c r="AO125" i="1"/>
  <c r="AP125" i="1" s="1"/>
  <c r="AW163" i="1"/>
  <c r="AX163" i="1" s="1"/>
  <c r="BI164" i="1"/>
  <c r="BJ164" i="1" s="1"/>
  <c r="BI149" i="1"/>
  <c r="BJ149" i="1" s="1"/>
  <c r="BW135" i="1"/>
  <c r="BX135" i="1" s="1"/>
  <c r="AZ74" i="1"/>
  <c r="BQ163" i="1"/>
  <c r="BR163" i="1" s="1"/>
  <c r="BG125" i="1"/>
  <c r="BH125" i="1" s="1"/>
  <c r="BE118" i="1"/>
  <c r="BF118" i="1" s="1"/>
  <c r="BE140" i="1"/>
  <c r="BF140" i="1" s="1"/>
  <c r="AQ117" i="1"/>
  <c r="AQ146" i="1"/>
  <c r="AR146" i="1" s="1"/>
  <c r="BC150" i="1"/>
  <c r="BD150" i="1" s="1"/>
  <c r="AY124" i="1"/>
  <c r="AZ124" i="1" s="1"/>
  <c r="AY135" i="1"/>
  <c r="AZ135" i="1" s="1"/>
  <c r="BU122" i="1"/>
  <c r="BV122" i="1" s="1"/>
  <c r="BM118" i="1"/>
  <c r="BN118" i="1" s="1"/>
  <c r="AU126" i="1"/>
  <c r="AV126" i="1" s="1"/>
  <c r="BW149" i="1"/>
  <c r="BX149" i="1" s="1"/>
  <c r="BG160" i="1"/>
  <c r="AQ152" i="1"/>
  <c r="AR152" i="1" s="1"/>
  <c r="BC152" i="1"/>
  <c r="BD152" i="1" s="1"/>
  <c r="BO137" i="1"/>
  <c r="BP137" i="1" s="1"/>
  <c r="BM155" i="1"/>
  <c r="BN155" i="1" s="1"/>
  <c r="BK160" i="1"/>
  <c r="BK161" i="1" s="1"/>
  <c r="BK125" i="1"/>
  <c r="BL125" i="1" s="1"/>
  <c r="AU133" i="1"/>
  <c r="BS152" i="1"/>
  <c r="BT152" i="1" s="1"/>
  <c r="AO155" i="1"/>
  <c r="AP155" i="1" s="1"/>
  <c r="BW126" i="1"/>
  <c r="BX126" i="1" s="1"/>
  <c r="AY154" i="1"/>
  <c r="AZ154" i="1" s="1"/>
  <c r="BA117" i="1"/>
  <c r="BB117" i="1" s="1"/>
  <c r="BS164" i="1"/>
  <c r="BT164" i="1" s="1"/>
  <c r="AO151" i="1"/>
  <c r="AP151" i="1" s="1"/>
  <c r="AW73" i="1"/>
  <c r="AW143" i="1"/>
  <c r="AX143" i="1" s="1"/>
  <c r="BI160" i="1"/>
  <c r="BI154" i="1"/>
  <c r="BJ154" i="1" s="1"/>
  <c r="BW122" i="1"/>
  <c r="BX122" i="1" s="1"/>
  <c r="BQ143" i="1"/>
  <c r="BR143" i="1" s="1"/>
  <c r="BQ153" i="1"/>
  <c r="BQ183" i="1" s="1"/>
  <c r="BG151" i="1"/>
  <c r="BH151" i="1" s="1"/>
  <c r="BG126" i="1"/>
  <c r="BH126" i="1" s="1"/>
  <c r="BE149" i="1"/>
  <c r="BF149" i="1" s="1"/>
  <c r="BC153" i="1"/>
  <c r="BC183" i="1" s="1"/>
  <c r="AY150" i="1"/>
  <c r="AZ150" i="1" s="1"/>
  <c r="BU153" i="1"/>
  <c r="BU183" i="1" s="1"/>
  <c r="BA125" i="1"/>
  <c r="BB125" i="1" s="1"/>
  <c r="BM142" i="1"/>
  <c r="BN142" i="1" s="1"/>
  <c r="AU150" i="1"/>
  <c r="AV150" i="1" s="1"/>
  <c r="BI150" i="1"/>
  <c r="BJ150" i="1" s="1"/>
  <c r="BE133" i="1"/>
  <c r="AQ119" i="1"/>
  <c r="BU144" i="1"/>
  <c r="BU179" i="1" s="1"/>
  <c r="BO144" i="1"/>
  <c r="BO179" i="1" s="1"/>
  <c r="BK135" i="1"/>
  <c r="BL135" i="1" s="1"/>
  <c r="AU137" i="1"/>
  <c r="AV137" i="1" s="1"/>
  <c r="BS153" i="1"/>
  <c r="BS183" i="1" s="1"/>
  <c r="AW125" i="1"/>
  <c r="AX125" i="1" s="1"/>
  <c r="BE150" i="1"/>
  <c r="BF150" i="1" s="1"/>
  <c r="BA118" i="1"/>
  <c r="BB118" i="1" s="1"/>
  <c r="AO145" i="1"/>
  <c r="AO180" i="1" s="1"/>
  <c r="AO163" i="1"/>
  <c r="AP163" i="1" s="1"/>
  <c r="BE131" i="1"/>
  <c r="BE134" i="1" s="1"/>
  <c r="BF134" i="1" s="1"/>
  <c r="BG33" i="1" s="1"/>
  <c r="BM73" i="1"/>
  <c r="AU131" i="1"/>
  <c r="AU134" i="1" s="1"/>
  <c r="BS135" i="1"/>
  <c r="BT135" i="1" s="1"/>
  <c r="AO160" i="1"/>
  <c r="AW150" i="1"/>
  <c r="AX150" i="1" s="1"/>
  <c r="BI122" i="1"/>
  <c r="BJ122" i="1" s="1"/>
  <c r="BW118" i="1"/>
  <c r="BE124" i="1"/>
  <c r="AR73" i="1"/>
  <c r="AQ118" i="1"/>
  <c r="AR118" i="1" s="1"/>
  <c r="AQ73" i="1"/>
  <c r="BC159" i="1"/>
  <c r="BC161" i="1" s="1"/>
  <c r="AY119" i="1"/>
  <c r="AY120" i="1" s="1"/>
  <c r="AY125" i="1"/>
  <c r="AZ125" i="1" s="1"/>
  <c r="BU160" i="1"/>
  <c r="BU161" i="1" s="1"/>
  <c r="BO155" i="1"/>
  <c r="BP155" i="1" s="1"/>
  <c r="BG145" i="1"/>
  <c r="BG180" i="1" s="1"/>
  <c r="BE145" i="1"/>
  <c r="BE180" i="1" s="1"/>
  <c r="BN74" i="1"/>
  <c r="AS152" i="1"/>
  <c r="AT152" i="1" s="1"/>
  <c r="BO135" i="1"/>
  <c r="BP135" i="1" s="1"/>
  <c r="BK147" i="1"/>
  <c r="BL147" i="1" s="1"/>
  <c r="AU163" i="1"/>
  <c r="AV163" i="1" s="1"/>
  <c r="AO135" i="1"/>
  <c r="AP135" i="1" s="1"/>
  <c r="AW118" i="1"/>
  <c r="AX118" i="1" s="1"/>
  <c r="BE126" i="1"/>
  <c r="BF126" i="1" s="1"/>
  <c r="BA164" i="1"/>
  <c r="BB164" i="1" s="1"/>
  <c r="AP74" i="1"/>
  <c r="AW142" i="1"/>
  <c r="AX142" i="1" s="1"/>
  <c r="BB74" i="1"/>
  <c r="BM122" i="1"/>
  <c r="BN122" i="1" s="1"/>
  <c r="BS144" i="1"/>
  <c r="BS125" i="1"/>
  <c r="BT125" i="1" s="1"/>
  <c r="AO146" i="1"/>
  <c r="AP146" i="1" s="1"/>
  <c r="AO152" i="1"/>
  <c r="AP152" i="1" s="1"/>
  <c r="AW146" i="1"/>
  <c r="AX146" i="1" s="1"/>
  <c r="BI163" i="1"/>
  <c r="BJ163" i="1" s="1"/>
  <c r="BI155" i="1"/>
  <c r="BJ155" i="1" s="1"/>
  <c r="BW131" i="1"/>
  <c r="BQ146" i="1"/>
  <c r="BR146" i="1" s="1"/>
  <c r="BE160" i="1"/>
  <c r="AQ127" i="1"/>
  <c r="AR127" i="1" s="1"/>
  <c r="BC151" i="1"/>
  <c r="BD151" i="1" s="1"/>
  <c r="AY164" i="1"/>
  <c r="AZ164" i="1" s="1"/>
  <c r="BU118" i="1"/>
  <c r="BA153" i="1"/>
  <c r="BA183" i="1" s="1"/>
  <c r="BK154" i="1"/>
  <c r="BL154" i="1" s="1"/>
  <c r="BI151" i="1"/>
  <c r="BJ151" i="1" s="1"/>
  <c r="BE159" i="1"/>
  <c r="BD73" i="1"/>
  <c r="BC164" i="1"/>
  <c r="BD164" i="1" s="1"/>
  <c r="AS146" i="1"/>
  <c r="AT146" i="1" s="1"/>
  <c r="AS127" i="1"/>
  <c r="AT127" i="1" s="1"/>
  <c r="BO150" i="1"/>
  <c r="BP150" i="1" s="1"/>
  <c r="BM144" i="1"/>
  <c r="BK142" i="1"/>
  <c r="BL142" i="1" s="1"/>
  <c r="AU122" i="1"/>
  <c r="AV122" i="1" s="1"/>
  <c r="AO149" i="1"/>
  <c r="AP149" i="1" s="1"/>
  <c r="AW164" i="1"/>
  <c r="AX164" i="1" s="1"/>
  <c r="BA150" i="1"/>
  <c r="BB150" i="1" s="1"/>
  <c r="AW131" i="1"/>
  <c r="BU125" i="1"/>
  <c r="AU119" i="1"/>
  <c r="BS126" i="1"/>
  <c r="BT126" i="1" s="1"/>
  <c r="BS155" i="1"/>
  <c r="BT155" i="1" s="1"/>
  <c r="AO117" i="1"/>
  <c r="AP117" i="1" s="1"/>
  <c r="AW122" i="1"/>
  <c r="AX122" i="1" s="1"/>
  <c r="BI144" i="1"/>
  <c r="BI179" i="1" s="1"/>
  <c r="BI127" i="1"/>
  <c r="BJ127" i="1" s="1"/>
  <c r="BI117" i="1"/>
  <c r="BQ150" i="1"/>
  <c r="BR150" i="1" s="1"/>
  <c r="BE119" i="1"/>
  <c r="AQ151" i="1"/>
  <c r="AR151" i="1" s="1"/>
  <c r="AQ163" i="1"/>
  <c r="AR163" i="1" s="1"/>
  <c r="BC163" i="1"/>
  <c r="BD163" i="1" s="1"/>
  <c r="BU137" i="1"/>
  <c r="BV137" i="1" s="1"/>
  <c r="BU142" i="1"/>
  <c r="BV142" i="1" s="1"/>
  <c r="BA143" i="1"/>
  <c r="BB143" i="1" s="1"/>
  <c r="BO122" i="1"/>
  <c r="BP122" i="1" s="1"/>
  <c r="BM119" i="1"/>
  <c r="BG140" i="1"/>
  <c r="BE147" i="1"/>
  <c r="BF147" i="1" s="1"/>
  <c r="AS153" i="1"/>
  <c r="AS131" i="1"/>
  <c r="AS134" i="1" s="1"/>
  <c r="AP73" i="1"/>
  <c r="BK127" i="1"/>
  <c r="BL127" i="1" s="1"/>
  <c r="BC118" i="1"/>
  <c r="BD118" i="1" s="1"/>
  <c r="AW119" i="1"/>
  <c r="BU135" i="1"/>
  <c r="BV135" i="1" s="1"/>
  <c r="BK73" i="1"/>
  <c r="BS140" i="1"/>
  <c r="BT140" i="1" s="1"/>
  <c r="AO164" i="1"/>
  <c r="AP164" i="1" s="1"/>
  <c r="AO159" i="1"/>
  <c r="AW152" i="1"/>
  <c r="AX152" i="1" s="1"/>
  <c r="AW151" i="1"/>
  <c r="AX151" i="1" s="1"/>
  <c r="BR73" i="1"/>
  <c r="BW155" i="1"/>
  <c r="BX155" i="1" s="1"/>
  <c r="BQ125" i="1"/>
  <c r="BR125" i="1" s="1"/>
  <c r="BG149" i="1"/>
  <c r="BG150" i="1"/>
  <c r="BH150" i="1" s="1"/>
  <c r="BE163" i="1"/>
  <c r="BF163" i="1" s="1"/>
  <c r="AQ144" i="1"/>
  <c r="AQ179" i="1" s="1"/>
  <c r="BC119" i="1"/>
  <c r="AY155" i="1"/>
  <c r="AZ155" i="1" s="1"/>
  <c r="BU149" i="1"/>
  <c r="BV149" i="1" s="1"/>
  <c r="BU147" i="1"/>
  <c r="BV147" i="1" s="1"/>
  <c r="BA131" i="1"/>
  <c r="BA134" i="1" s="1"/>
  <c r="BK152" i="1"/>
  <c r="BL152" i="1" s="1"/>
  <c r="BE74" i="1"/>
  <c r="BU127" i="1"/>
  <c r="BV127" i="1" s="1"/>
  <c r="BM143" i="1"/>
  <c r="BN143" i="1" s="1"/>
  <c r="BK133" i="1"/>
  <c r="BK149" i="1"/>
  <c r="BL149" i="1" s="1"/>
  <c r="BS147" i="1"/>
  <c r="BT147" i="1" s="1"/>
  <c r="AQ133" i="1"/>
  <c r="AQ134" i="1" s="1"/>
  <c r="AS149" i="1"/>
  <c r="AT149" i="1" s="1"/>
  <c r="BK124" i="1"/>
  <c r="BL124" i="1" s="1"/>
  <c r="AO118" i="1"/>
  <c r="AP118" i="1" s="1"/>
  <c r="AW154" i="1"/>
  <c r="AX154" i="1" s="1"/>
  <c r="BI146" i="1"/>
  <c r="BJ146" i="1" s="1"/>
  <c r="BU151" i="1"/>
  <c r="BV151" i="1" s="1"/>
  <c r="AS159" i="1"/>
  <c r="AS161" i="1" s="1"/>
  <c r="BS142" i="1"/>
  <c r="BT142" i="1" s="1"/>
  <c r="BS118" i="1"/>
  <c r="BT118" i="1" s="1"/>
  <c r="AO154" i="1"/>
  <c r="AP154" i="1" s="1"/>
  <c r="AO147" i="1"/>
  <c r="AP147" i="1" s="1"/>
  <c r="BI131" i="1"/>
  <c r="BI135" i="1"/>
  <c r="BJ135" i="1" s="1"/>
  <c r="BW74" i="1"/>
  <c r="BB73" i="1"/>
  <c r="BQ117" i="1"/>
  <c r="BQ154" i="1"/>
  <c r="BR154" i="1" s="1"/>
  <c r="BG122" i="1"/>
  <c r="BH122" i="1" s="1"/>
  <c r="BG154" i="1"/>
  <c r="BH154" i="1" s="1"/>
  <c r="BE135" i="1"/>
  <c r="BF135" i="1" s="1"/>
  <c r="BE122" i="1"/>
  <c r="BF122" i="1" s="1"/>
  <c r="AQ142" i="1"/>
  <c r="AR142" i="1" s="1"/>
  <c r="BC145" i="1"/>
  <c r="BC180" i="1" s="1"/>
  <c r="AY144" i="1"/>
  <c r="BU145" i="1"/>
  <c r="BU180" i="1" s="1"/>
  <c r="BV180" i="1" s="1"/>
  <c r="BA154" i="1"/>
  <c r="BB154" i="1" s="1"/>
  <c r="BO142" i="1"/>
  <c r="BP142" i="1" s="1"/>
  <c r="BK146" i="1"/>
  <c r="BL146" i="1" s="1"/>
  <c r="AU153" i="1"/>
  <c r="BI125" i="1"/>
  <c r="BJ125" i="1" s="1"/>
  <c r="BG133" i="1"/>
  <c r="BG134" i="1" s="1"/>
  <c r="BN73" i="1"/>
  <c r="BU74" i="1"/>
  <c r="AS164" i="1"/>
  <c r="AT164" i="1" s="1"/>
  <c r="BM140" i="1"/>
  <c r="BN140" i="1" s="1"/>
  <c r="AU118" i="1"/>
  <c r="AV118" i="1" s="1"/>
  <c r="BS160" i="1"/>
  <c r="BS161" i="1" s="1"/>
  <c r="AO150" i="1"/>
  <c r="AP150" i="1" s="1"/>
  <c r="AW133" i="1"/>
  <c r="AS137" i="1"/>
  <c r="AT137" i="1" s="1"/>
  <c r="BK153" i="1"/>
  <c r="BK183" i="1" s="1"/>
  <c r="AW117" i="1"/>
  <c r="AX117" i="1" s="1"/>
  <c r="BQ131" i="1"/>
  <c r="BQ134" i="1" s="1"/>
  <c r="BU154" i="1"/>
  <c r="BV154" i="1" s="1"/>
  <c r="CK69" i="1"/>
  <c r="CK85" i="1" s="1"/>
  <c r="AI37" i="1"/>
  <c r="BN252" i="1"/>
  <c r="S249" i="1"/>
  <c r="S251" i="1" s="1"/>
  <c r="I157" i="1"/>
  <c r="F33" i="1"/>
  <c r="F138" i="1"/>
  <c r="G175" i="1"/>
  <c r="G54" i="1"/>
  <c r="M33" i="1"/>
  <c r="M138" i="1"/>
  <c r="N54" i="1"/>
  <c r="N175" i="1"/>
  <c r="BU10" i="1"/>
  <c r="I138" i="1"/>
  <c r="I33" i="1"/>
  <c r="H197" i="1"/>
  <c r="U138" i="1"/>
  <c r="CS17" i="1"/>
  <c r="CT17" i="1" s="1"/>
  <c r="CU17" i="1" s="1"/>
  <c r="J33" i="1"/>
  <c r="N249" i="1"/>
  <c r="N251" i="1" s="1"/>
  <c r="N248" i="1"/>
  <c r="BN253" i="1"/>
  <c r="CQ11" i="1"/>
  <c r="CN40" i="1"/>
  <c r="CO40" i="1" s="1"/>
  <c r="BK252" i="1"/>
  <c r="BM10" i="1"/>
  <c r="BM12" i="1" s="1"/>
  <c r="BU252" i="1"/>
  <c r="CJ69" i="1"/>
  <c r="CJ87" i="1" s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U134" i="1"/>
  <c r="BM151" i="1"/>
  <c r="AQ153" i="1"/>
  <c r="AQ161" i="1"/>
  <c r="V138" i="1"/>
  <c r="BC134" i="1"/>
  <c r="BQ151" i="1"/>
  <c r="BR151" i="1" s="1"/>
  <c r="N206" i="1"/>
  <c r="M206" i="1"/>
  <c r="D138" i="1"/>
  <c r="D203" i="1" s="1"/>
  <c r="D201" i="1" s="1"/>
  <c r="BF252" i="1"/>
  <c r="AV149" i="1"/>
  <c r="BH124" i="1"/>
  <c r="BX117" i="1"/>
  <c r="BA161" i="1"/>
  <c r="AV117" i="1"/>
  <c r="BB124" i="1"/>
  <c r="BT124" i="1"/>
  <c r="L138" i="1"/>
  <c r="AO253" i="1"/>
  <c r="BJ16" i="1"/>
  <c r="BJ28" i="1" s="1"/>
  <c r="BD142" i="1"/>
  <c r="BB149" i="1"/>
  <c r="BB163" i="1"/>
  <c r="BQ161" i="1"/>
  <c r="BO134" i="1"/>
  <c r="AR124" i="1"/>
  <c r="BN149" i="1"/>
  <c r="AZ117" i="1"/>
  <c r="BN117" i="1"/>
  <c r="AY161" i="1"/>
  <c r="AZ142" i="1"/>
  <c r="BD117" i="1"/>
  <c r="BD124" i="1"/>
  <c r="BV124" i="1"/>
  <c r="BX142" i="1"/>
  <c r="BV117" i="1"/>
  <c r="AV124" i="1"/>
  <c r="BR124" i="1"/>
  <c r="BP124" i="1"/>
  <c r="AR149" i="1"/>
  <c r="BF137" i="1"/>
  <c r="BP149" i="1"/>
  <c r="R54" i="1"/>
  <c r="BO180" i="1"/>
  <c r="BC231" i="1"/>
  <c r="BC179" i="1"/>
  <c r="AS231" i="1"/>
  <c r="AS180" i="1"/>
  <c r="AS179" i="1"/>
  <c r="AU179" i="1"/>
  <c r="BQ231" i="1"/>
  <c r="BD10" i="1"/>
  <c r="BD16" i="1" s="1"/>
  <c r="U129" i="1"/>
  <c r="U55" i="1" s="1"/>
  <c r="BW179" i="1"/>
  <c r="BW183" i="1"/>
  <c r="AO183" i="1"/>
  <c r="AW10" i="1"/>
  <c r="AW16" i="1" s="1"/>
  <c r="AW17" i="1" s="1"/>
  <c r="AW180" i="1"/>
  <c r="AW179" i="1"/>
  <c r="BS231" i="1"/>
  <c r="BS180" i="1"/>
  <c r="W138" i="1"/>
  <c r="X203" i="1" s="1"/>
  <c r="X201" i="1" s="1"/>
  <c r="BE231" i="1"/>
  <c r="BE183" i="1"/>
  <c r="BE179" i="1"/>
  <c r="AQ231" i="1"/>
  <c r="AQ180" i="1"/>
  <c r="BI231" i="1"/>
  <c r="BI183" i="1"/>
  <c r="BI180" i="1"/>
  <c r="BA231" i="1"/>
  <c r="BA180" i="1"/>
  <c r="AI179" i="1"/>
  <c r="AI180" i="1"/>
  <c r="AI183" i="1"/>
  <c r="AI185" i="1"/>
  <c r="AI182" i="1"/>
  <c r="BK179" i="1"/>
  <c r="BK180" i="1"/>
  <c r="BM231" i="1"/>
  <c r="BM183" i="1"/>
  <c r="AY252" i="1"/>
  <c r="AY180" i="1"/>
  <c r="AY183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BC98" i="1"/>
  <c r="BB253" i="1"/>
  <c r="AT202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L98" i="1"/>
  <c r="AT253" i="1"/>
  <c r="BT252" i="1"/>
  <c r="BM253" i="1"/>
  <c r="BM194" i="1"/>
  <c r="BP253" i="1"/>
  <c r="BP194" i="1"/>
  <c r="BR253" i="1"/>
  <c r="BR194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S26" i="1"/>
  <c r="AN10" i="1"/>
  <c r="AN231" i="1"/>
  <c r="AN98" i="1"/>
  <c r="AO98" i="1"/>
  <c r="E157" i="1"/>
  <c r="AU231" i="1"/>
  <c r="BO253" i="1"/>
  <c r="BF98" i="1"/>
  <c r="AR202" i="1"/>
  <c r="BF10" i="1"/>
  <c r="AV10" i="1"/>
  <c r="AY98" i="1"/>
  <c r="AW98" i="1"/>
  <c r="AV252" i="1"/>
  <c r="AP98" i="1"/>
  <c r="AV98" i="1"/>
  <c r="AS202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B69" i="1"/>
  <c r="B85" i="1" s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BS134" i="1" l="1"/>
  <c r="BJ117" i="1"/>
  <c r="AS183" i="1"/>
  <c r="AO161" i="1"/>
  <c r="BM161" i="1"/>
  <c r="BW134" i="1"/>
  <c r="BQ120" i="1"/>
  <c r="BR117" i="1"/>
  <c r="AU156" i="1"/>
  <c r="AU185" i="1" s="1"/>
  <c r="AU183" i="1"/>
  <c r="AW134" i="1"/>
  <c r="BS202" i="1"/>
  <c r="AV140" i="1"/>
  <c r="AW202" i="1" s="1"/>
  <c r="AU202" i="1"/>
  <c r="BH140" i="1"/>
  <c r="BH202" i="1"/>
  <c r="CO185" i="1"/>
  <c r="CP184" i="1"/>
  <c r="BI161" i="1"/>
  <c r="AO134" i="1"/>
  <c r="BN128" i="1"/>
  <c r="BM120" i="1"/>
  <c r="BK134" i="1"/>
  <c r="BI134" i="1"/>
  <c r="BP128" i="1"/>
  <c r="BW148" i="1"/>
  <c r="BW180" i="1"/>
  <c r="BX180" i="1" s="1"/>
  <c r="BX145" i="1" s="1"/>
  <c r="BX118" i="1"/>
  <c r="BW120" i="1"/>
  <c r="BV118" i="1"/>
  <c r="BU120" i="1"/>
  <c r="BV125" i="1"/>
  <c r="BU128" i="1"/>
  <c r="BW156" i="1"/>
  <c r="BW185" i="1" s="1"/>
  <c r="BE128" i="1"/>
  <c r="BW202" i="1"/>
  <c r="AV202" i="1"/>
  <c r="AW120" i="1"/>
  <c r="BO161" i="1"/>
  <c r="AO148" i="1"/>
  <c r="AO182" i="1" s="1"/>
  <c r="AO181" i="1" s="1"/>
  <c r="AP181" i="1" s="1"/>
  <c r="BJ128" i="1"/>
  <c r="BA148" i="1"/>
  <c r="BA182" i="1" s="1"/>
  <c r="AR128" i="1"/>
  <c r="BI128" i="1"/>
  <c r="BJ206" i="1" s="1"/>
  <c r="BX202" i="1"/>
  <c r="BI156" i="1"/>
  <c r="BI185" i="1" s="1"/>
  <c r="BI184" i="1" s="1"/>
  <c r="BJ184" i="1" s="1"/>
  <c r="BK148" i="1"/>
  <c r="BX128" i="1"/>
  <c r="AX128" i="1"/>
  <c r="AW161" i="1"/>
  <c r="BQ202" i="1"/>
  <c r="AQ156" i="1"/>
  <c r="AQ185" i="1" s="1"/>
  <c r="BK120" i="1"/>
  <c r="AS148" i="1"/>
  <c r="AS182" i="1" s="1"/>
  <c r="AO156" i="1"/>
  <c r="AO185" i="1" s="1"/>
  <c r="AO184" i="1" s="1"/>
  <c r="AP184" i="1" s="1"/>
  <c r="BC148" i="1"/>
  <c r="BC182" i="1" s="1"/>
  <c r="AT117" i="1"/>
  <c r="BF124" i="1"/>
  <c r="BF128" i="1" s="1"/>
  <c r="CK86" i="1"/>
  <c r="AY148" i="1"/>
  <c r="AY182" i="1" s="1"/>
  <c r="BC120" i="1"/>
  <c r="BU202" i="1"/>
  <c r="BM148" i="1"/>
  <c r="BM182" i="1" s="1"/>
  <c r="AQ120" i="1"/>
  <c r="BS120" i="1"/>
  <c r="AU148" i="1"/>
  <c r="BE120" i="1"/>
  <c r="BE129" i="1" s="1"/>
  <c r="BK202" i="1"/>
  <c r="BS148" i="1"/>
  <c r="BS182" i="1" s="1"/>
  <c r="AV128" i="1"/>
  <c r="CK87" i="1"/>
  <c r="AO120" i="1"/>
  <c r="BI120" i="1"/>
  <c r="BG161" i="1"/>
  <c r="BG156" i="1"/>
  <c r="BG185" i="1" s="1"/>
  <c r="BG184" i="1" s="1"/>
  <c r="BH184" i="1" s="1"/>
  <c r="BG148" i="1"/>
  <c r="BA202" i="1"/>
  <c r="AS128" i="1"/>
  <c r="AS129" i="1" s="1"/>
  <c r="BH149" i="1"/>
  <c r="BG138" i="1"/>
  <c r="BU148" i="1"/>
  <c r="BU182" i="1" s="1"/>
  <c r="BU181" i="1" s="1"/>
  <c r="BV181" i="1" s="1"/>
  <c r="AW156" i="1"/>
  <c r="AW185" i="1" s="1"/>
  <c r="AW184" i="1" s="1"/>
  <c r="AX184" i="1" s="1"/>
  <c r="BV128" i="1"/>
  <c r="BO120" i="1"/>
  <c r="AT128" i="1"/>
  <c r="BE161" i="1"/>
  <c r="BE168" i="1" s="1"/>
  <c r="BO128" i="1"/>
  <c r="BK128" i="1"/>
  <c r="BS128" i="1"/>
  <c r="BQ148" i="1"/>
  <c r="BQ182" i="1" s="1"/>
  <c r="BB202" i="1"/>
  <c r="BS156" i="1"/>
  <c r="BS185" i="1" s="1"/>
  <c r="BS186" i="1" s="1"/>
  <c r="BM179" i="1"/>
  <c r="BN179" i="1" s="1"/>
  <c r="BN144" i="1" s="1"/>
  <c r="BS179" i="1"/>
  <c r="BT179" i="1" s="1"/>
  <c r="BA156" i="1"/>
  <c r="BA185" i="1" s="1"/>
  <c r="BA184" i="1" s="1"/>
  <c r="BB184" i="1" s="1"/>
  <c r="AW128" i="1"/>
  <c r="BM128" i="1"/>
  <c r="AQ148" i="1"/>
  <c r="BC128" i="1"/>
  <c r="BC168" i="1" s="1"/>
  <c r="BX120" i="1"/>
  <c r="BY207" i="1" s="1"/>
  <c r="BR202" i="1"/>
  <c r="BG179" i="1"/>
  <c r="BH179" i="1" s="1"/>
  <c r="BH144" i="1" s="1"/>
  <c r="BO148" i="1"/>
  <c r="BO182" i="1" s="1"/>
  <c r="BD128" i="1"/>
  <c r="AQ128" i="1"/>
  <c r="BL140" i="1"/>
  <c r="BM202" i="1" s="1"/>
  <c r="BT128" i="1"/>
  <c r="BJ202" i="1"/>
  <c r="AR117" i="1"/>
  <c r="AS156" i="1"/>
  <c r="AS185" i="1" s="1"/>
  <c r="AS184" i="1" s="1"/>
  <c r="AT184" i="1" s="1"/>
  <c r="AO128" i="1"/>
  <c r="AY179" i="1"/>
  <c r="BR128" i="1"/>
  <c r="BL128" i="1"/>
  <c r="AP128" i="1"/>
  <c r="BA120" i="1"/>
  <c r="BU156" i="1"/>
  <c r="BU185" i="1" s="1"/>
  <c r="BU184" i="1" s="1"/>
  <c r="BV184" i="1" s="1"/>
  <c r="BQ128" i="1"/>
  <c r="BG120" i="1"/>
  <c r="BE148" i="1"/>
  <c r="BB142" i="1"/>
  <c r="AY156" i="1"/>
  <c r="AY185" i="1" s="1"/>
  <c r="BE156" i="1"/>
  <c r="BE185" i="1" s="1"/>
  <c r="G203" i="1"/>
  <c r="G201" i="1" s="1"/>
  <c r="BF202" i="1"/>
  <c r="BV202" i="1"/>
  <c r="BW128" i="1"/>
  <c r="AW148" i="1"/>
  <c r="BA128" i="1"/>
  <c r="BG128" i="1"/>
  <c r="BE202" i="1"/>
  <c r="BI202" i="1"/>
  <c r="BO156" i="1"/>
  <c r="BO185" i="1" s="1"/>
  <c r="BO184" i="1" s="1"/>
  <c r="BP184" i="1" s="1"/>
  <c r="AY128" i="1"/>
  <c r="BI148" i="1"/>
  <c r="BI182" i="1" s="1"/>
  <c r="BC156" i="1"/>
  <c r="BC185" i="1" s="1"/>
  <c r="BC184" i="1" s="1"/>
  <c r="BD184" i="1" s="1"/>
  <c r="BB128" i="1"/>
  <c r="BF117" i="1"/>
  <c r="BH128" i="1"/>
  <c r="BL120" i="1"/>
  <c r="BN202" i="1"/>
  <c r="BT202" i="1"/>
  <c r="AU128" i="1"/>
  <c r="AZ128" i="1"/>
  <c r="AU120" i="1"/>
  <c r="AU129" i="1" s="1"/>
  <c r="BK156" i="1"/>
  <c r="BK185" i="1" s="1"/>
  <c r="BK184" i="1" s="1"/>
  <c r="BL184" i="1" s="1"/>
  <c r="I165" i="1"/>
  <c r="I166" i="1" s="1"/>
  <c r="M165" i="1"/>
  <c r="M166" i="1" s="1"/>
  <c r="F165" i="1"/>
  <c r="F166" i="1" s="1"/>
  <c r="U165" i="1"/>
  <c r="U166" i="1" s="1"/>
  <c r="H198" i="1"/>
  <c r="H199" i="1" s="1"/>
  <c r="BU27" i="1"/>
  <c r="AX202" i="1"/>
  <c r="AY202" i="1"/>
  <c r="F246" i="1"/>
  <c r="F244" i="1"/>
  <c r="N203" i="1"/>
  <c r="N201" i="1" s="1"/>
  <c r="M246" i="1"/>
  <c r="M244" i="1"/>
  <c r="I246" i="1"/>
  <c r="I244" i="1"/>
  <c r="J203" i="1"/>
  <c r="J201" i="1" s="1"/>
  <c r="U244" i="1"/>
  <c r="U246" i="1"/>
  <c r="U203" i="1"/>
  <c r="U201" i="1" s="1"/>
  <c r="AJ12" i="1"/>
  <c r="AI16" i="1"/>
  <c r="BX134" i="1"/>
  <c r="BW138" i="1"/>
  <c r="I203" i="1"/>
  <c r="I201" i="1" s="1"/>
  <c r="BM225" i="1"/>
  <c r="N166" i="1"/>
  <c r="BM27" i="1"/>
  <c r="V165" i="1"/>
  <c r="V166" i="1" s="1"/>
  <c r="AQ138" i="1"/>
  <c r="AR134" i="1"/>
  <c r="BV134" i="1"/>
  <c r="BU138" i="1"/>
  <c r="BN151" i="1"/>
  <c r="BM156" i="1"/>
  <c r="V203" i="1"/>
  <c r="V201" i="1" s="1"/>
  <c r="V244" i="1"/>
  <c r="V246" i="1"/>
  <c r="L246" i="1"/>
  <c r="M203" i="1"/>
  <c r="M201" i="1" s="1"/>
  <c r="N205" i="1"/>
  <c r="M205" i="1"/>
  <c r="E203" i="1"/>
  <c r="E201" i="1" s="1"/>
  <c r="AP134" i="1"/>
  <c r="AP138" i="1" s="1"/>
  <c r="AO138" i="1"/>
  <c r="AO203" i="1" s="1"/>
  <c r="BY11" i="1"/>
  <c r="BU16" i="1"/>
  <c r="BD134" i="1"/>
  <c r="BC138" i="1"/>
  <c r="AU138" i="1"/>
  <c r="AV134" i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BM16" i="1"/>
  <c r="Y210" i="1"/>
  <c r="Y211" i="1" s="1"/>
  <c r="CP40" i="1"/>
  <c r="CQ40" i="1" s="1"/>
  <c r="Q205" i="1"/>
  <c r="E244" i="1"/>
  <c r="BK182" i="1"/>
  <c r="CH69" i="1"/>
  <c r="CL70" i="1" s="1"/>
  <c r="CR11" i="1"/>
  <c r="CG69" i="1"/>
  <c r="CK70" i="1" s="1"/>
  <c r="CU27" i="1"/>
  <c r="CV27" i="1" s="1"/>
  <c r="BQ156" i="1"/>
  <c r="BQ185" i="1" s="1"/>
  <c r="BQ184" i="1" s="1"/>
  <c r="BR184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J95" i="1"/>
  <c r="CJ94" i="1"/>
  <c r="CP206" i="1"/>
  <c r="CP249" i="1"/>
  <c r="CP181" i="1"/>
  <c r="CO182" i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BM138" i="1"/>
  <c r="AM11" i="1"/>
  <c r="BF138" i="1"/>
  <c r="AW18" i="1"/>
  <c r="F203" i="1"/>
  <c r="F201" i="1" s="1"/>
  <c r="R244" i="1"/>
  <c r="N58" i="1"/>
  <c r="S58" i="1"/>
  <c r="BJ11" i="1"/>
  <c r="T58" i="1"/>
  <c r="W58" i="1"/>
  <c r="BD11" i="1"/>
  <c r="AZ134" i="1"/>
  <c r="AZ138" i="1" s="1"/>
  <c r="AY138" i="1"/>
  <c r="BP134" i="1"/>
  <c r="BO138" i="1"/>
  <c r="AT134" i="1"/>
  <c r="AT138" i="1" s="1"/>
  <c r="AS138" i="1"/>
  <c r="B165" i="1"/>
  <c r="AP16" i="1"/>
  <c r="V58" i="1"/>
  <c r="BV12" i="1"/>
  <c r="X58" i="1"/>
  <c r="R165" i="1"/>
  <c r="R166" i="1" s="1"/>
  <c r="BD27" i="1"/>
  <c r="BV145" i="1"/>
  <c r="BE138" i="1"/>
  <c r="BR134" i="1"/>
  <c r="BQ138" i="1"/>
  <c r="U58" i="1"/>
  <c r="BB134" i="1"/>
  <c r="BA138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BL183" i="1"/>
  <c r="AI184" i="1"/>
  <c r="AJ184" i="1" s="1"/>
  <c r="BB179" i="1"/>
  <c r="BJ180" i="1"/>
  <c r="BJ145" i="1" s="1"/>
  <c r="BF179" i="1"/>
  <c r="BF144" i="1" s="1"/>
  <c r="AP180" i="1"/>
  <c r="AP145" i="1" s="1"/>
  <c r="BR180" i="1"/>
  <c r="BR145" i="1" s="1"/>
  <c r="AT180" i="1"/>
  <c r="AT145" i="1" s="1"/>
  <c r="BD183" i="1"/>
  <c r="BP180" i="1"/>
  <c r="BP145" i="1" s="1"/>
  <c r="BH183" i="1"/>
  <c r="AJ179" i="1"/>
  <c r="BP179" i="1"/>
  <c r="AY27" i="1"/>
  <c r="BV179" i="1"/>
  <c r="AZ183" i="1"/>
  <c r="BL180" i="1"/>
  <c r="BL145" i="1" s="1"/>
  <c r="AJ183" i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AV179" i="1"/>
  <c r="BD180" i="1"/>
  <c r="BD145" i="1" s="1"/>
  <c r="AP179" i="1"/>
  <c r="R205" i="1"/>
  <c r="AN145" i="1"/>
  <c r="AN153" i="1"/>
  <c r="AN156" i="1" s="1"/>
  <c r="AN144" i="1"/>
  <c r="BV183" i="1"/>
  <c r="AZ180" i="1"/>
  <c r="AZ145" i="1" s="1"/>
  <c r="BN180" i="1"/>
  <c r="BN145" i="1" s="1"/>
  <c r="BL179" i="1"/>
  <c r="BL144" i="1" s="1"/>
  <c r="AJ180" i="1"/>
  <c r="AJ145" i="1" s="1"/>
  <c r="BB180" i="1"/>
  <c r="BB145" i="1" s="1"/>
  <c r="BJ183" i="1"/>
  <c r="AR180" i="1"/>
  <c r="AR145" i="1" s="1"/>
  <c r="BF183" i="1"/>
  <c r="AX180" i="1"/>
  <c r="AX145" i="1" s="1"/>
  <c r="BX179" i="1"/>
  <c r="BX144" i="1" s="1"/>
  <c r="BD179" i="1"/>
  <c r="BD144" i="1" s="1"/>
  <c r="BP183" i="1"/>
  <c r="BH180" i="1"/>
  <c r="BH145" i="1" s="1"/>
  <c r="AZ12" i="1"/>
  <c r="BA18" i="1"/>
  <c r="P205" i="1"/>
  <c r="L198" i="1"/>
  <c r="L199" i="1" s="1"/>
  <c r="G198" i="1"/>
  <c r="G199" i="1" s="1"/>
  <c r="BD188" i="1"/>
  <c r="AZ16" i="1"/>
  <c r="AZ28" i="1" s="1"/>
  <c r="B111" i="1"/>
  <c r="B114" i="1" s="1"/>
  <c r="AU27" i="1"/>
  <c r="BQ17" i="1"/>
  <c r="BQ11" i="1"/>
  <c r="BQ27" i="1"/>
  <c r="BH27" i="1"/>
  <c r="U198" i="1"/>
  <c r="U199" i="1" s="1"/>
  <c r="BA28" i="1"/>
  <c r="BA29" i="1" s="1"/>
  <c r="BO11" i="1"/>
  <c r="BC27" i="1"/>
  <c r="BC11" i="1"/>
  <c r="P166" i="1"/>
  <c r="D205" i="1"/>
  <c r="O205" i="1"/>
  <c r="AI27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BV33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E165" i="1"/>
  <c r="E166" i="1" s="1"/>
  <c r="U189" i="1"/>
  <c r="U190" i="1" s="1"/>
  <c r="AP27" i="1"/>
  <c r="BS12" i="1"/>
  <c r="BO28" i="1"/>
  <c r="BO232" i="1" s="1"/>
  <c r="BO233" i="1" s="1"/>
  <c r="H205" i="1"/>
  <c r="BE17" i="1"/>
  <c r="BR225" i="1"/>
  <c r="AM52" i="1"/>
  <c r="BO27" i="1"/>
  <c r="BV11" i="1"/>
  <c r="BE18" i="1"/>
  <c r="AT28" i="1"/>
  <c r="F198" i="1"/>
  <c r="F199" i="1" s="1"/>
  <c r="AY11" i="1"/>
  <c r="BL225" i="1"/>
  <c r="BE188" i="1"/>
  <c r="BJ188" i="1"/>
  <c r="C69" i="1"/>
  <c r="C87" i="1" s="1"/>
  <c r="AU12" i="1"/>
  <c r="D198" i="1"/>
  <c r="D199" i="1" s="1"/>
  <c r="D213" i="1" s="1"/>
  <c r="C205" i="1"/>
  <c r="C111" i="1"/>
  <c r="C114" i="1" s="1"/>
  <c r="BK27" i="1"/>
  <c r="BK12" i="1"/>
  <c r="BT12" i="1"/>
  <c r="AS225" i="1"/>
  <c r="BI188" i="1"/>
  <c r="BP188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BK225" i="1"/>
  <c r="BM11" i="1"/>
  <c r="BF12" i="1"/>
  <c r="AW225" i="1"/>
  <c r="BT225" i="1"/>
  <c r="BA27" i="1"/>
  <c r="BA12" i="1"/>
  <c r="BG225" i="1"/>
  <c r="BR27" i="1"/>
  <c r="AZ27" i="1"/>
  <c r="BA11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BF27" i="1"/>
  <c r="BR16" i="1"/>
  <c r="BG202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AT225" i="1"/>
  <c r="AQ16" i="1"/>
  <c r="AQ11" i="1"/>
  <c r="AR12" i="1"/>
  <c r="AX11" i="1"/>
  <c r="AR188" i="1"/>
  <c r="AP202" i="1"/>
  <c r="AO202" i="1"/>
  <c r="B87" i="1"/>
  <c r="BC12" i="1"/>
  <c r="BP225" i="1"/>
  <c r="M198" i="1"/>
  <c r="M199" i="1" s="1"/>
  <c r="BC225" i="1"/>
  <c r="BO225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BT134" i="1" l="1"/>
  <c r="BT138" i="1" s="1"/>
  <c r="BS138" i="1"/>
  <c r="AT183" i="1"/>
  <c r="AP33" i="1"/>
  <c r="BT33" i="1"/>
  <c r="AU184" i="1"/>
  <c r="AV184" i="1" s="1"/>
  <c r="AY181" i="1"/>
  <c r="AZ181" i="1" s="1"/>
  <c r="AV183" i="1"/>
  <c r="BO186" i="1"/>
  <c r="AP249" i="1"/>
  <c r="AY186" i="1"/>
  <c r="BG129" i="1"/>
  <c r="CL90" i="1"/>
  <c r="CO186" i="1"/>
  <c r="AX249" i="1"/>
  <c r="BC186" i="1"/>
  <c r="BM181" i="1"/>
  <c r="BN181" i="1" s="1"/>
  <c r="BN182" i="1" s="1"/>
  <c r="BS181" i="1"/>
  <c r="BT181" i="1" s="1"/>
  <c r="AX134" i="1"/>
  <c r="AW138" i="1"/>
  <c r="BL134" i="1"/>
  <c r="BL138" i="1" s="1"/>
  <c r="BM203" i="1" s="1"/>
  <c r="BM201" i="1" s="1"/>
  <c r="BK138" i="1"/>
  <c r="BL33" i="1"/>
  <c r="BJ134" i="1"/>
  <c r="BI138" i="1"/>
  <c r="BW182" i="1"/>
  <c r="BW181" i="1" s="1"/>
  <c r="BX181" i="1" s="1"/>
  <c r="BX182" i="1" s="1"/>
  <c r="BW157" i="1"/>
  <c r="BW165" i="1" s="1"/>
  <c r="BU129" i="1"/>
  <c r="BU168" i="1"/>
  <c r="BY249" i="1"/>
  <c r="BY251" i="1" s="1"/>
  <c r="BY206" i="1"/>
  <c r="AU182" i="1"/>
  <c r="AU186" i="1" s="1"/>
  <c r="AU157" i="1"/>
  <c r="AU165" i="1" s="1"/>
  <c r="AU166" i="1" s="1"/>
  <c r="BO129" i="1"/>
  <c r="BO168" i="1"/>
  <c r="BP249" i="1"/>
  <c r="BK168" i="1"/>
  <c r="BK129" i="1"/>
  <c r="AW168" i="1"/>
  <c r="AX206" i="1"/>
  <c r="BN249" i="1"/>
  <c r="BM129" i="1"/>
  <c r="BM168" i="1"/>
  <c r="BQ249" i="1"/>
  <c r="BQ129" i="1"/>
  <c r="BQ168" i="1"/>
  <c r="CP185" i="1"/>
  <c r="CQ184" i="1"/>
  <c r="AW129" i="1"/>
  <c r="BR206" i="1"/>
  <c r="BX206" i="1"/>
  <c r="AW157" i="1"/>
  <c r="AW165" i="1" s="1"/>
  <c r="AY206" i="1"/>
  <c r="BW186" i="1"/>
  <c r="BW184" i="1"/>
  <c r="BX184" i="1" s="1"/>
  <c r="BA181" i="1"/>
  <c r="BB181" i="1" s="1"/>
  <c r="BA186" i="1"/>
  <c r="BF249" i="1"/>
  <c r="BF206" i="1"/>
  <c r="BG206" i="1"/>
  <c r="BG182" i="1"/>
  <c r="BG157" i="1"/>
  <c r="BG165" i="1" s="1"/>
  <c r="BG166" i="1" s="1"/>
  <c r="BV249" i="1"/>
  <c r="BV206" i="1"/>
  <c r="BP206" i="1"/>
  <c r="BO206" i="1"/>
  <c r="BO249" i="1"/>
  <c r="BS129" i="1"/>
  <c r="BS249" i="1"/>
  <c r="BS206" i="1"/>
  <c r="AW206" i="1"/>
  <c r="AW249" i="1"/>
  <c r="AO168" i="1"/>
  <c r="AO249" i="1"/>
  <c r="AO206" i="1"/>
  <c r="BE182" i="1"/>
  <c r="BE157" i="1"/>
  <c r="BE165" i="1" s="1"/>
  <c r="BE166" i="1" s="1"/>
  <c r="BI186" i="1"/>
  <c r="BI181" i="1"/>
  <c r="BJ181" i="1" s="1"/>
  <c r="BC206" i="1"/>
  <c r="BJ249" i="1"/>
  <c r="BJ251" i="1" s="1"/>
  <c r="BI168" i="1"/>
  <c r="BI249" i="1"/>
  <c r="AS206" i="1"/>
  <c r="AU206" i="1"/>
  <c r="BI129" i="1"/>
  <c r="BS184" i="1"/>
  <c r="BT184" i="1" s="1"/>
  <c r="BA157" i="1"/>
  <c r="BA165" i="1" s="1"/>
  <c r="AO129" i="1"/>
  <c r="BL129" i="1"/>
  <c r="AO186" i="1"/>
  <c r="AU181" i="1"/>
  <c r="AV181" i="1" s="1"/>
  <c r="AV182" i="1" s="1"/>
  <c r="AS168" i="1"/>
  <c r="AQ157" i="1"/>
  <c r="AQ165" i="1" s="1"/>
  <c r="BC129" i="1"/>
  <c r="AS249" i="1"/>
  <c r="AO157" i="1"/>
  <c r="AO165" i="1" s="1"/>
  <c r="BI157" i="1"/>
  <c r="BS157" i="1"/>
  <c r="BR249" i="1"/>
  <c r="AZ179" i="1"/>
  <c r="AZ144" i="1" s="1"/>
  <c r="AZ148" i="1" s="1"/>
  <c r="BC249" i="1"/>
  <c r="BS168" i="1"/>
  <c r="BK206" i="1"/>
  <c r="BC181" i="1"/>
  <c r="BD181" i="1" s="1"/>
  <c r="BD182" i="1" s="1"/>
  <c r="BK249" i="1"/>
  <c r="BE184" i="1"/>
  <c r="BF184" i="1" s="1"/>
  <c r="BF185" i="1" s="1"/>
  <c r="BW129" i="1"/>
  <c r="BX129" i="1"/>
  <c r="AS157" i="1"/>
  <c r="AS165" i="1" s="1"/>
  <c r="AS166" i="1" s="1"/>
  <c r="BX249" i="1"/>
  <c r="AY129" i="1"/>
  <c r="AZ206" i="1"/>
  <c r="BK157" i="1"/>
  <c r="AP206" i="1"/>
  <c r="BH249" i="1"/>
  <c r="AY168" i="1"/>
  <c r="AY157" i="1"/>
  <c r="AY165" i="1" s="1"/>
  <c r="AY184" i="1"/>
  <c r="AZ184" i="1" s="1"/>
  <c r="AZ185" i="1" s="1"/>
  <c r="BW249" i="1"/>
  <c r="BW206" i="1"/>
  <c r="AT206" i="1"/>
  <c r="AZ249" i="1"/>
  <c r="AT249" i="1"/>
  <c r="BW168" i="1"/>
  <c r="BO157" i="1"/>
  <c r="BO165" i="1" s="1"/>
  <c r="AY249" i="1"/>
  <c r="BI206" i="1"/>
  <c r="AU249" i="1"/>
  <c r="BT249" i="1"/>
  <c r="BN206" i="1"/>
  <c r="AQ182" i="1"/>
  <c r="AQ186" i="1" s="1"/>
  <c r="BG168" i="1"/>
  <c r="BH206" i="1"/>
  <c r="BB249" i="1"/>
  <c r="AQ249" i="1"/>
  <c r="BD249" i="1"/>
  <c r="AQ129" i="1"/>
  <c r="U213" i="1"/>
  <c r="BA249" i="1"/>
  <c r="AQ168" i="1"/>
  <c r="AW182" i="1"/>
  <c r="AW186" i="1" s="1"/>
  <c r="G213" i="1"/>
  <c r="AU168" i="1"/>
  <c r="AQ33" i="1"/>
  <c r="AR249" i="1"/>
  <c r="BM249" i="1"/>
  <c r="BL206" i="1"/>
  <c r="BC157" i="1"/>
  <c r="BC165" i="1" s="1"/>
  <c r="BM206" i="1"/>
  <c r="BL249" i="1"/>
  <c r="AV206" i="1"/>
  <c r="AR206" i="1"/>
  <c r="AV249" i="1"/>
  <c r="BE249" i="1"/>
  <c r="BA129" i="1"/>
  <c r="BU157" i="1"/>
  <c r="BU165" i="1" s="1"/>
  <c r="AQ206" i="1"/>
  <c r="J213" i="1"/>
  <c r="BU249" i="1"/>
  <c r="BQ206" i="1"/>
  <c r="BG249" i="1"/>
  <c r="BA206" i="1"/>
  <c r="BO181" i="1"/>
  <c r="BP181" i="1" s="1"/>
  <c r="BA168" i="1"/>
  <c r="BL202" i="1"/>
  <c r="BD206" i="1"/>
  <c r="BU186" i="1"/>
  <c r="BU206" i="1"/>
  <c r="BT206" i="1"/>
  <c r="BB206" i="1"/>
  <c r="BE206" i="1"/>
  <c r="AI28" i="1"/>
  <c r="N59" i="1"/>
  <c r="AJ19" i="1"/>
  <c r="AI17" i="1"/>
  <c r="AM18" i="1"/>
  <c r="BM18" i="1"/>
  <c r="BM19" i="1"/>
  <c r="B244" i="1"/>
  <c r="B166" i="1"/>
  <c r="AT18" i="1"/>
  <c r="AP17" i="1"/>
  <c r="AP18" i="1"/>
  <c r="AP28" i="1"/>
  <c r="AP19" i="1"/>
  <c r="BN148" i="1"/>
  <c r="AR148" i="1"/>
  <c r="BX138" i="1"/>
  <c r="BY33" i="1"/>
  <c r="D244" i="1"/>
  <c r="D166" i="1"/>
  <c r="V213" i="1"/>
  <c r="N210" i="1"/>
  <c r="N211" i="1" s="1"/>
  <c r="M213" i="1"/>
  <c r="AR138" i="1"/>
  <c r="AS203" i="1" s="1"/>
  <c r="AS201" i="1" s="1"/>
  <c r="AS33" i="1"/>
  <c r="BV138" i="1"/>
  <c r="BV203" i="1" s="1"/>
  <c r="BV201" i="1" s="1"/>
  <c r="BW33" i="1"/>
  <c r="BM185" i="1"/>
  <c r="BM157" i="1"/>
  <c r="BM165" i="1" s="1"/>
  <c r="BU17" i="1"/>
  <c r="BU28" i="1"/>
  <c r="BU18" i="1"/>
  <c r="BY18" i="1"/>
  <c r="BD138" i="1"/>
  <c r="BE203" i="1" s="1"/>
  <c r="BE201" i="1" s="1"/>
  <c r="BE33" i="1"/>
  <c r="AR183" i="1"/>
  <c r="AR153" i="1" s="1"/>
  <c r="AR156" i="1" s="1"/>
  <c r="AQ184" i="1"/>
  <c r="AR184" i="1" s="1"/>
  <c r="L213" i="1"/>
  <c r="S59" i="1"/>
  <c r="BD185" i="1"/>
  <c r="F213" i="1"/>
  <c r="E210" i="1"/>
  <c r="E211" i="1" s="1"/>
  <c r="BN203" i="1"/>
  <c r="BN201" i="1" s="1"/>
  <c r="AW30" i="1"/>
  <c r="AT31" i="1"/>
  <c r="AV138" i="1"/>
  <c r="AW33" i="1"/>
  <c r="BE29" i="1"/>
  <c r="BE34" i="1"/>
  <c r="BE38" i="1" s="1"/>
  <c r="BE232" i="1"/>
  <c r="BE233" i="1" s="1"/>
  <c r="BE250" i="1"/>
  <c r="BH138" i="1"/>
  <c r="BH203" i="1" s="1"/>
  <c r="BH201" i="1" s="1"/>
  <c r="BI33" i="1"/>
  <c r="AS29" i="1"/>
  <c r="AS232" i="1"/>
  <c r="AS233" i="1" s="1"/>
  <c r="AS34" i="1"/>
  <c r="AS38" i="1" s="1"/>
  <c r="BM17" i="1"/>
  <c r="BQ18" i="1"/>
  <c r="BM28" i="1"/>
  <c r="BK186" i="1"/>
  <c r="BK181" i="1"/>
  <c r="BL181" i="1" s="1"/>
  <c r="BL182" i="1" s="1"/>
  <c r="BQ181" i="1"/>
  <c r="BR181" i="1" s="1"/>
  <c r="BR182" i="1" s="1"/>
  <c r="BQ186" i="1"/>
  <c r="AS186" i="1"/>
  <c r="AS181" i="1"/>
  <c r="AT181" i="1" s="1"/>
  <c r="AT182" i="1" s="1"/>
  <c r="CX17" i="1"/>
  <c r="CY17" i="1" s="1"/>
  <c r="CZ17" i="1" s="1"/>
  <c r="BJ185" i="1"/>
  <c r="R59" i="1"/>
  <c r="AP185" i="1"/>
  <c r="CH85" i="1"/>
  <c r="CH87" i="1"/>
  <c r="CH86" i="1"/>
  <c r="CK90" i="1" s="1"/>
  <c r="CG86" i="1"/>
  <c r="CJ90" i="1" s="1"/>
  <c r="CG87" i="1"/>
  <c r="CG85" i="1"/>
  <c r="CR40" i="1"/>
  <c r="S213" i="1"/>
  <c r="CW27" i="1"/>
  <c r="CX27" i="1" s="1"/>
  <c r="CS11" i="1"/>
  <c r="CT11" i="1" s="1"/>
  <c r="BQ157" i="1"/>
  <c r="BQ165" i="1" s="1"/>
  <c r="AU33" i="1"/>
  <c r="BV185" i="1"/>
  <c r="BH185" i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T63" i="1"/>
  <c r="CS65" i="1"/>
  <c r="CB94" i="1"/>
  <c r="CB95" i="1"/>
  <c r="CB96" i="1"/>
  <c r="CC102" i="1"/>
  <c r="CC104" i="1"/>
  <c r="CC103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BP185" i="1"/>
  <c r="BJ153" i="1"/>
  <c r="BJ156" i="1" s="1"/>
  <c r="BR144" i="1"/>
  <c r="BR148" i="1" s="1"/>
  <c r="BL185" i="1"/>
  <c r="U59" i="1"/>
  <c r="W59" i="1"/>
  <c r="BB138" i="1"/>
  <c r="BC203" i="1" s="1"/>
  <c r="BC201" i="1" s="1"/>
  <c r="BC33" i="1"/>
  <c r="D210" i="1"/>
  <c r="D211" i="1" s="1"/>
  <c r="BR138" i="1"/>
  <c r="BS33" i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BF153" i="1"/>
  <c r="BF156" i="1" s="1"/>
  <c r="BV153" i="1"/>
  <c r="BV156" i="1" s="1"/>
  <c r="AP182" i="1"/>
  <c r="AZ153" i="1"/>
  <c r="AZ156" i="1" s="1"/>
  <c r="AJ144" i="1"/>
  <c r="AJ148" i="1" s="1"/>
  <c r="BD153" i="1"/>
  <c r="BD156" i="1" s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AJ185" i="1"/>
  <c r="BV182" i="1"/>
  <c r="BT144" i="1"/>
  <c r="BT148" i="1" s="1"/>
  <c r="BB144" i="1"/>
  <c r="BB148" i="1" s="1"/>
  <c r="BL153" i="1"/>
  <c r="BL156" i="1" s="1"/>
  <c r="BR185" i="1"/>
  <c r="BB185" i="1"/>
  <c r="BF148" i="1"/>
  <c r="BD34" i="1"/>
  <c r="BD38" i="1" s="1"/>
  <c r="BD232" i="1"/>
  <c r="BD233" i="1" s="1"/>
  <c r="BD148" i="1"/>
  <c r="BL148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O210" i="1"/>
  <c r="O211" i="1" s="1"/>
  <c r="BO34" i="1"/>
  <c r="BO38" i="1" s="1"/>
  <c r="AY18" i="1"/>
  <c r="AU17" i="1"/>
  <c r="AU18" i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X18" i="1"/>
  <c r="BT17" i="1"/>
  <c r="BT18" i="1"/>
  <c r="AT203" i="1"/>
  <c r="AT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BS165" i="1" l="1"/>
  <c r="BU203" i="1"/>
  <c r="BU201" i="1" s="1"/>
  <c r="AT185" i="1"/>
  <c r="BU33" i="1"/>
  <c r="AV185" i="1"/>
  <c r="BT203" i="1"/>
  <c r="BT201" i="1" s="1"/>
  <c r="AT153" i="1"/>
  <c r="AT156" i="1" s="1"/>
  <c r="BS203" i="1"/>
  <c r="BS201" i="1" s="1"/>
  <c r="AO166" i="1"/>
  <c r="BP182" i="1"/>
  <c r="BA251" i="1"/>
  <c r="BI165" i="1"/>
  <c r="BI166" i="1" s="1"/>
  <c r="BS166" i="1"/>
  <c r="BM166" i="1"/>
  <c r="BM33" i="1"/>
  <c r="BJ138" i="1"/>
  <c r="BK203" i="1" s="1"/>
  <c r="BK201" i="1" s="1"/>
  <c r="BK33" i="1"/>
  <c r="BY205" i="1"/>
  <c r="AY33" i="1"/>
  <c r="AX138" i="1"/>
  <c r="AY203" i="1" s="1"/>
  <c r="AY201" i="1" s="1"/>
  <c r="AV153" i="1"/>
  <c r="AV156" i="1" s="1"/>
  <c r="BT182" i="1"/>
  <c r="BB182" i="1"/>
  <c r="BJ182" i="1"/>
  <c r="BT185" i="1"/>
  <c r="BX185" i="1"/>
  <c r="AS251" i="1"/>
  <c r="BQ251" i="1"/>
  <c r="AW166" i="1"/>
  <c r="BK165" i="1"/>
  <c r="BK166" i="1" s="1"/>
  <c r="BO166" i="1"/>
  <c r="BU166" i="1"/>
  <c r="BQ166" i="1"/>
  <c r="BP251" i="1"/>
  <c r="BG186" i="1"/>
  <c r="BG181" i="1"/>
  <c r="BH181" i="1" s="1"/>
  <c r="BH182" i="1" s="1"/>
  <c r="BE181" i="1"/>
  <c r="BF181" i="1" s="1"/>
  <c r="BF182" i="1" s="1"/>
  <c r="BF186" i="1" s="1"/>
  <c r="BE186" i="1"/>
  <c r="CQ185" i="1"/>
  <c r="CR184" i="1"/>
  <c r="CP186" i="1"/>
  <c r="AY166" i="1"/>
  <c r="AQ166" i="1"/>
  <c r="AT251" i="1"/>
  <c r="BW166" i="1"/>
  <c r="BT251" i="1"/>
  <c r="AZ182" i="1"/>
  <c r="AZ186" i="1" s="1"/>
  <c r="AZ251" i="1"/>
  <c r="BC166" i="1"/>
  <c r="BE251" i="1"/>
  <c r="AW181" i="1"/>
  <c r="AX181" i="1" s="1"/>
  <c r="AX182" i="1" s="1"/>
  <c r="AX186" i="1" s="1"/>
  <c r="AQ181" i="1"/>
  <c r="AR181" i="1" s="1"/>
  <c r="AR182" i="1" s="1"/>
  <c r="AR185" i="1"/>
  <c r="BA166" i="1"/>
  <c r="AR157" i="1"/>
  <c r="BH186" i="1"/>
  <c r="AP31" i="1"/>
  <c r="AS112" i="1"/>
  <c r="AM30" i="1"/>
  <c r="AI29" i="1"/>
  <c r="AJ31" i="1"/>
  <c r="N60" i="1"/>
  <c r="AI232" i="1"/>
  <c r="AI233" i="1" s="1"/>
  <c r="AI34" i="1"/>
  <c r="AL55" i="1" s="1"/>
  <c r="AL112" i="1"/>
  <c r="AL226" i="1"/>
  <c r="AP30" i="1"/>
  <c r="AP232" i="1"/>
  <c r="AP233" i="1" s="1"/>
  <c r="AT30" i="1"/>
  <c r="AP29" i="1"/>
  <c r="AP34" i="1"/>
  <c r="AP38" i="1" s="1"/>
  <c r="BN157" i="1"/>
  <c r="BR186" i="1"/>
  <c r="S60" i="1"/>
  <c r="BY203" i="1"/>
  <c r="BY201" i="1" s="1"/>
  <c r="BX203" i="1"/>
  <c r="BX201" i="1" s="1"/>
  <c r="AS40" i="1"/>
  <c r="AS41" i="1"/>
  <c r="BM184" i="1"/>
  <c r="BN184" i="1" s="1"/>
  <c r="BN185" i="1" s="1"/>
  <c r="BN186" i="1" s="1"/>
  <c r="BM186" i="1"/>
  <c r="CI90" i="1"/>
  <c r="BD186" i="1"/>
  <c r="BJ186" i="1"/>
  <c r="BP186" i="1"/>
  <c r="AT186" i="1"/>
  <c r="BD157" i="1"/>
  <c r="BL157" i="1"/>
  <c r="BJ157" i="1"/>
  <c r="BY30" i="1"/>
  <c r="BU29" i="1"/>
  <c r="BU30" i="1"/>
  <c r="BU34" i="1"/>
  <c r="BU38" i="1" s="1"/>
  <c r="BU232" i="1"/>
  <c r="BU233" i="1" s="1"/>
  <c r="BE41" i="1"/>
  <c r="BE234" i="1" s="1"/>
  <c r="BE40" i="1"/>
  <c r="BQ30" i="1"/>
  <c r="BM30" i="1"/>
  <c r="BM31" i="1"/>
  <c r="BM34" i="1"/>
  <c r="BM38" i="1" s="1"/>
  <c r="AT157" i="1"/>
  <c r="AP186" i="1"/>
  <c r="AV186" i="1"/>
  <c r="BM250" i="1"/>
  <c r="BM251" i="1" s="1"/>
  <c r="BM29" i="1"/>
  <c r="BM232" i="1"/>
  <c r="BM233" i="1" s="1"/>
  <c r="BC30" i="1"/>
  <c r="BC232" i="1"/>
  <c r="BC233" i="1" s="1"/>
  <c r="DA17" i="1"/>
  <c r="AV157" i="1"/>
  <c r="CS40" i="1"/>
  <c r="CT40" i="1" s="1"/>
  <c r="CY27" i="1"/>
  <c r="CZ27" i="1" s="1"/>
  <c r="DA27" i="1" s="1"/>
  <c r="CU11" i="1"/>
  <c r="BL186" i="1"/>
  <c r="BL203" i="1"/>
  <c r="BL201" i="1" s="1"/>
  <c r="BV186" i="1"/>
  <c r="BZ189" i="1" s="1"/>
  <c r="BY63" i="1"/>
  <c r="BZ65" i="1"/>
  <c r="CH110" i="1"/>
  <c r="CH113" i="1" s="1"/>
  <c r="CH111" i="1"/>
  <c r="CH114" i="1" s="1"/>
  <c r="CU140" i="1"/>
  <c r="CV140" i="1" s="1"/>
  <c r="CT183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AP157" i="1"/>
  <c r="BA226" i="1"/>
  <c r="R60" i="1"/>
  <c r="T60" i="1"/>
  <c r="BD31" i="1"/>
  <c r="BK31" i="1"/>
  <c r="U60" i="1"/>
  <c r="BV157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Q203" i="1"/>
  <c r="AQ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AI38" i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X186" i="1" l="1"/>
  <c r="CB189" i="1" s="1"/>
  <c r="BT186" i="1"/>
  <c r="AP40" i="1"/>
  <c r="AP41" i="1"/>
  <c r="CR185" i="1"/>
  <c r="CS184" i="1"/>
  <c r="AR186" i="1"/>
  <c r="AR189" i="1" s="1"/>
  <c r="AS48" i="1"/>
  <c r="AS42" i="1"/>
  <c r="AS245" i="1" s="1"/>
  <c r="AS234" i="1"/>
  <c r="BE48" i="1"/>
  <c r="BE42" i="1"/>
  <c r="BE245" i="1" s="1"/>
  <c r="AS193" i="1"/>
  <c r="AS195" i="1" s="1"/>
  <c r="AS52" i="1"/>
  <c r="BJ189" i="1"/>
  <c r="BT189" i="1"/>
  <c r="BF189" i="1"/>
  <c r="BH189" i="1"/>
  <c r="BD189" i="1"/>
  <c r="AX189" i="1"/>
  <c r="BU41" i="1"/>
  <c r="BU40" i="1"/>
  <c r="BR189" i="1"/>
  <c r="BN189" i="1"/>
  <c r="BM40" i="1"/>
  <c r="BM41" i="1"/>
  <c r="AV189" i="1"/>
  <c r="AZ189" i="1"/>
  <c r="BE52" i="1"/>
  <c r="BK41" i="1"/>
  <c r="BK40" i="1"/>
  <c r="BP189" i="1"/>
  <c r="BL189" i="1"/>
  <c r="AT189" i="1"/>
  <c r="AP189" i="1"/>
  <c r="BB189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U183" i="1"/>
  <c r="BX63" i="1"/>
  <c r="BY65" i="1"/>
  <c r="BC41" i="1"/>
  <c r="BC43" i="1" s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P44" i="1" s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AI41" i="1"/>
  <c r="AI40" i="1"/>
  <c r="AP234" i="1"/>
  <c r="AP48" i="1"/>
  <c r="AP119" i="1" s="1"/>
  <c r="AP120" i="1" s="1"/>
  <c r="AP42" i="1"/>
  <c r="AP245" i="1" s="1"/>
  <c r="AP43" i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BD43" i="1"/>
  <c r="BE44" i="1"/>
  <c r="AT48" i="1"/>
  <c r="AT43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BE193" i="1" l="1"/>
  <c r="BE195" i="1" s="1"/>
  <c r="U61" i="1"/>
  <c r="BE207" i="1"/>
  <c r="BE205" i="1" s="1"/>
  <c r="CR186" i="1"/>
  <c r="CS185" i="1"/>
  <c r="CT184" i="1"/>
  <c r="BU43" i="1"/>
  <c r="BU234" i="1"/>
  <c r="BU42" i="1"/>
  <c r="BU245" i="1" s="1"/>
  <c r="BU48" i="1"/>
  <c r="BY43" i="1"/>
  <c r="BV44" i="1"/>
  <c r="BM43" i="1"/>
  <c r="BM48" i="1"/>
  <c r="CX11" i="1"/>
  <c r="CY11" i="1" s="1"/>
  <c r="BM44" i="1"/>
  <c r="BM234" i="1"/>
  <c r="BQ43" i="1"/>
  <c r="BM42" i="1"/>
  <c r="BM245" i="1" s="1"/>
  <c r="BK44" i="1"/>
  <c r="BL227" i="1"/>
  <c r="BO43" i="1"/>
  <c r="BK48" i="1"/>
  <c r="BK42" i="1"/>
  <c r="BK245" i="1" s="1"/>
  <c r="BL44" i="1"/>
  <c r="BK234" i="1"/>
  <c r="BM227" i="1"/>
  <c r="BC42" i="1"/>
  <c r="BC245" i="1" s="1"/>
  <c r="BC234" i="1"/>
  <c r="BC48" i="1"/>
  <c r="BD44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P129" i="1"/>
  <c r="AP5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AI42" i="1"/>
  <c r="AI234" i="1"/>
  <c r="AJ44" i="1"/>
  <c r="AM43" i="1"/>
  <c r="AI48" i="1"/>
  <c r="AL227" i="1"/>
  <c r="BD207" i="1"/>
  <c r="BD205" i="1" s="1"/>
  <c r="BS234" i="1"/>
  <c r="BS42" i="1"/>
  <c r="BS245" i="1" s="1"/>
  <c r="BS48" i="1"/>
  <c r="AP193" i="1"/>
  <c r="AP195" i="1" s="1"/>
  <c r="AP52" i="1"/>
  <c r="BI193" i="1"/>
  <c r="BI195" i="1" s="1"/>
  <c r="BI52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CS186" i="1" l="1"/>
  <c r="CT185" i="1"/>
  <c r="CU184" i="1"/>
  <c r="CZ11" i="1"/>
  <c r="DA11" i="1" s="1"/>
  <c r="BU193" i="1"/>
  <c r="BU195" i="1" s="1"/>
  <c r="BU52" i="1"/>
  <c r="BK52" i="1"/>
  <c r="BK193" i="1"/>
  <c r="BK195" i="1" s="1"/>
  <c r="BL54" i="1"/>
  <c r="BC52" i="1"/>
  <c r="BC193" i="1"/>
  <c r="BC195" i="1" s="1"/>
  <c r="BM193" i="1"/>
  <c r="BM195" i="1" s="1"/>
  <c r="BM52" i="1"/>
  <c r="BF54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BX108" i="1"/>
  <c r="BX107" i="1"/>
  <c r="BX66" i="1"/>
  <c r="CA69" i="1" s="1"/>
  <c r="BX99" i="1"/>
  <c r="BX92" i="1"/>
  <c r="CW183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I52" i="1"/>
  <c r="AL54" i="1"/>
  <c r="N61" i="1"/>
  <c r="AI207" i="1"/>
  <c r="AI205" i="1" s="1"/>
  <c r="AI193" i="1"/>
  <c r="AI195" i="1" s="1"/>
  <c r="AI199" i="1" s="1"/>
  <c r="AI213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CU185" i="1" l="1"/>
  <c r="CV184" i="1"/>
  <c r="CT186" i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Y63" i="1"/>
  <c r="CX65" i="1"/>
  <c r="AD124" i="1"/>
  <c r="CW128" i="1"/>
  <c r="CX124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/>
  <c r="AI211" i="1" s="1"/>
  <c r="CV185" i="1" l="1"/>
  <c r="CW184" i="1"/>
  <c r="CU186" i="1"/>
  <c r="AV54" i="1"/>
  <c r="CX128" i="1"/>
  <c r="CY124" i="1"/>
  <c r="CY65" i="1"/>
  <c r="CZ63" i="1"/>
  <c r="DA140" i="1"/>
  <c r="AE140" i="1" s="1"/>
  <c r="AE202" i="1" s="1"/>
  <c r="CW249" i="1"/>
  <c r="CW206" i="1"/>
  <c r="CY179" i="1"/>
  <c r="CY183" i="1"/>
  <c r="CW181" i="1"/>
  <c r="CV182" i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CV186" i="1" l="1"/>
  <c r="CW185" i="1"/>
  <c r="CX184" i="1"/>
  <c r="DA202" i="1"/>
  <c r="BU108" i="1"/>
  <c r="BU107" i="1"/>
  <c r="BU99" i="1"/>
  <c r="BU66" i="1"/>
  <c r="BX69" i="1" s="1"/>
  <c r="BU92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X185" i="1" l="1"/>
  <c r="CY184" i="1"/>
  <c r="CW186" i="1"/>
  <c r="CB70" i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BU104" i="1"/>
  <c r="BU102" i="1"/>
  <c r="BU103" i="1"/>
  <c r="CY181" i="1"/>
  <c r="CX182" i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CY185" i="1" l="1"/>
  <c r="CZ184" i="1"/>
  <c r="CX186" i="1"/>
  <c r="DA128" i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BW85" i="1"/>
  <c r="BW87" i="1"/>
  <c r="BW86" i="1"/>
  <c r="BZ90" i="1" s="1"/>
  <c r="CA70" i="1"/>
  <c r="BS89" i="1"/>
  <c r="BT103" i="1"/>
  <c r="BT102" i="1"/>
  <c r="BT104" i="1"/>
  <c r="CA89" i="1"/>
  <c r="CY186" i="1" l="1"/>
  <c r="CZ185" i="1"/>
  <c r="DA184" i="1"/>
  <c r="DA185" i="1" s="1"/>
  <c r="BP63" i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CZ182" i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CZ186" i="1" l="1"/>
  <c r="DA186" i="1"/>
  <c r="BU86" i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I110" i="1" l="1"/>
  <c r="CI113" i="1" s="1"/>
  <c r="CN8" i="1" l="1"/>
  <c r="CM8" i="1"/>
  <c r="CM103" i="1" l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N231" i="1"/>
  <c r="CM231" i="1"/>
  <c r="CM98" i="1"/>
  <c r="CM99" i="1" s="1"/>
  <c r="CM102" i="1" s="1"/>
  <c r="CN98" i="1"/>
  <c r="CN99" i="1" s="1"/>
  <c r="CN102" i="1" s="1"/>
  <c r="CN145" i="1" l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152" i="1"/>
  <c r="CK225" i="1"/>
  <c r="CK146" i="1"/>
  <c r="CP8" i="1"/>
  <c r="CN225" i="1"/>
  <c r="CL152" i="1" l="1"/>
  <c r="CL156" i="1" s="1"/>
  <c r="CL146" i="1"/>
  <c r="CL148" i="1" s="1"/>
  <c r="CM156" i="1"/>
  <c r="CN28" i="1"/>
  <c r="CN18" i="1"/>
  <c r="CO10" i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M19" i="1"/>
  <c r="CP231" i="1"/>
  <c r="CP10" i="1"/>
  <c r="CQ98" i="1"/>
  <c r="CQ99" i="1" s="1"/>
  <c r="CQ102" i="1" s="1"/>
  <c r="CP98" i="1"/>
  <c r="CP99" i="1" s="1"/>
  <c r="CP102" i="1" s="1"/>
  <c r="CL157" i="1" l="1"/>
  <c r="CL197" i="1"/>
  <c r="CK196" i="1"/>
  <c r="CK198" i="1" s="1"/>
  <c r="CL196" i="1"/>
  <c r="CL198" i="1" s="1"/>
  <c r="CL199" i="1" s="1"/>
  <c r="CM157" i="1"/>
  <c r="CN30" i="1"/>
  <c r="CN232" i="1"/>
  <c r="CN233" i="1" s="1"/>
  <c r="CN29" i="1"/>
  <c r="CO225" i="1"/>
  <c r="CO144" i="1"/>
  <c r="CO16" i="1"/>
  <c r="CO152" i="1"/>
  <c r="CO153" i="1"/>
  <c r="AB153" i="1" s="1"/>
  <c r="CO26" i="1"/>
  <c r="CO22" i="1" s="1"/>
  <c r="AB22" i="1" s="1"/>
  <c r="CO145" i="1"/>
  <c r="AB145" i="1" s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250" i="1"/>
  <c r="CK251" i="1" s="1"/>
  <c r="CM250" i="1"/>
  <c r="CM251" i="1" s="1"/>
  <c r="CK232" i="1"/>
  <c r="CK233" i="1" s="1"/>
  <c r="CK226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N198" i="1" l="1"/>
  <c r="AB180" i="1"/>
  <c r="AB183" i="1"/>
  <c r="AB144" i="1"/>
  <c r="CO148" i="1"/>
  <c r="CO28" i="1"/>
  <c r="CO226" i="1" s="1"/>
  <c r="CO19" i="1"/>
  <c r="CO15" i="1"/>
  <c r="AB15" i="1" s="1"/>
  <c r="AB16" i="1" s="1"/>
  <c r="AB59" i="1" s="1"/>
  <c r="CO18" i="1"/>
  <c r="AB152" i="1"/>
  <c r="AB156" i="1" s="1"/>
  <c r="CO156" i="1"/>
  <c r="CO197" i="1" s="1"/>
  <c r="AC8" i="1"/>
  <c r="CS10" i="1"/>
  <c r="CS144" i="1" s="1"/>
  <c r="AC144" i="1" s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AB26" i="1"/>
  <c r="AB27" i="1" s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250" i="1" l="1"/>
  <c r="CO251" i="1" s="1"/>
  <c r="CO112" i="1"/>
  <c r="CO157" i="1"/>
  <c r="CO196" i="1"/>
  <c r="CO198" i="1" s="1"/>
  <c r="CO30" i="1"/>
  <c r="CO232" i="1"/>
  <c r="CO233" i="1" s="1"/>
  <c r="CO31" i="1"/>
  <c r="CO29" i="1"/>
  <c r="CS225" i="1"/>
  <c r="CS16" i="1"/>
  <c r="CS152" i="1"/>
  <c r="CW8" i="1"/>
  <c r="CW98" i="1" s="1"/>
  <c r="CW99" i="1" s="1"/>
  <c r="CW102" i="1" s="1"/>
  <c r="CS12" i="1"/>
  <c r="CS145" i="1"/>
  <c r="CS153" i="1"/>
  <c r="AC153" i="1" s="1"/>
  <c r="CS146" i="1"/>
  <c r="AC146" i="1" s="1"/>
  <c r="CS26" i="1"/>
  <c r="CS22" i="1" s="1"/>
  <c r="AC22" i="1" s="1"/>
  <c r="CQ30" i="1"/>
  <c r="CQ29" i="1"/>
  <c r="CV16" i="1"/>
  <c r="CV19" i="1" s="1"/>
  <c r="CV146" i="1"/>
  <c r="CR232" i="1"/>
  <c r="CR233" i="1" s="1"/>
  <c r="CR30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R198" i="1" l="1"/>
  <c r="AD8" i="1"/>
  <c r="CW231" i="1"/>
  <c r="CW10" i="1"/>
  <c r="CV15" i="1"/>
  <c r="CV18" i="1"/>
  <c r="AC145" i="1"/>
  <c r="AC180" i="1" s="1"/>
  <c r="CS148" i="1"/>
  <c r="CS196" i="1" s="1"/>
  <c r="AC183" i="1"/>
  <c r="CS15" i="1"/>
  <c r="AC15" i="1" s="1"/>
  <c r="AC16" i="1" s="1"/>
  <c r="AC59" i="1" s="1"/>
  <c r="CS28" i="1"/>
  <c r="CS18" i="1"/>
  <c r="CS19" i="1"/>
  <c r="AC152" i="1"/>
  <c r="AC156" i="1" s="1"/>
  <c r="CS156" i="1"/>
  <c r="CZ231" i="1"/>
  <c r="CZ10" i="1"/>
  <c r="CV148" i="1"/>
  <c r="CV196" i="1" s="1"/>
  <c r="AB250" i="1"/>
  <c r="AB251" i="1" s="1"/>
  <c r="AB60" i="1"/>
  <c r="CQ198" i="1"/>
  <c r="CV156" i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W16" i="1" l="1"/>
  <c r="CW15" i="1" s="1"/>
  <c r="CW152" i="1"/>
  <c r="AD152" i="1" s="1"/>
  <c r="CW144" i="1"/>
  <c r="AD144" i="1" s="1"/>
  <c r="CW12" i="1"/>
  <c r="CW145" i="1"/>
  <c r="AD145" i="1" s="1"/>
  <c r="CW153" i="1"/>
  <c r="DA8" i="1"/>
  <c r="DA98" i="1" s="1"/>
  <c r="DA99" i="1" s="1"/>
  <c r="DA102" i="1" s="1"/>
  <c r="CW26" i="1"/>
  <c r="CW225" i="1"/>
  <c r="CW146" i="1"/>
  <c r="AD146" i="1" s="1"/>
  <c r="AD15" i="1"/>
  <c r="CT196" i="1"/>
  <c r="CZ225" i="1"/>
  <c r="CS112" i="1"/>
  <c r="CS226" i="1"/>
  <c r="CS250" i="1"/>
  <c r="CS251" i="1" s="1"/>
  <c r="CS232" i="1"/>
  <c r="CS233" i="1" s="1"/>
  <c r="CS31" i="1"/>
  <c r="CS29" i="1"/>
  <c r="CS30" i="1"/>
  <c r="CS197" i="1"/>
  <c r="CS198" i="1" s="1"/>
  <c r="CS157" i="1"/>
  <c r="CZ153" i="1"/>
  <c r="CZ144" i="1"/>
  <c r="CZ12" i="1"/>
  <c r="CZ26" i="1"/>
  <c r="CZ22" i="1" s="1"/>
  <c r="CZ146" i="1"/>
  <c r="CZ152" i="1"/>
  <c r="CZ145" i="1"/>
  <c r="CZ16" i="1"/>
  <c r="CV197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W148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W19" i="1" l="1"/>
  <c r="CW18" i="1"/>
  <c r="AD153" i="1"/>
  <c r="CW156" i="1"/>
  <c r="AD180" i="1"/>
  <c r="AD183" i="1"/>
  <c r="AE8" i="1"/>
  <c r="DA231" i="1"/>
  <c r="DA10" i="1"/>
  <c r="CW22" i="1"/>
  <c r="AD22" i="1" s="1"/>
  <c r="AD26" i="1" s="1"/>
  <c r="AD27" i="1" s="1"/>
  <c r="CW28" i="1"/>
  <c r="CT198" i="1"/>
  <c r="CZ148" i="1"/>
  <c r="CZ196" i="1" s="1"/>
  <c r="CZ156" i="1"/>
  <c r="CZ15" i="1"/>
  <c r="CZ18" i="1"/>
  <c r="CZ28" i="1"/>
  <c r="CZ19" i="1"/>
  <c r="AC250" i="1"/>
  <c r="AC251" i="1" s="1"/>
  <c r="AC60" i="1"/>
  <c r="AD98" i="1"/>
  <c r="AD188" i="1"/>
  <c r="CU198" i="1"/>
  <c r="AC30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W196" i="1"/>
  <c r="CX148" i="1"/>
  <c r="AD11" i="1"/>
  <c r="CX15" i="1"/>
  <c r="CW226" i="1" l="1"/>
  <c r="AD156" i="1"/>
  <c r="CW197" i="1"/>
  <c r="CW198" i="1" s="1"/>
  <c r="CW157" i="1"/>
  <c r="DA152" i="1"/>
  <c r="DA153" i="1"/>
  <c r="AE153" i="1" s="1"/>
  <c r="AE183" i="1" s="1"/>
  <c r="DA145" i="1"/>
  <c r="AE145" i="1" s="1"/>
  <c r="AE180" i="1" s="1"/>
  <c r="DA16" i="1"/>
  <c r="DA15" i="1" s="1"/>
  <c r="AE15" i="1" s="1"/>
  <c r="DA144" i="1"/>
  <c r="DA26" i="1"/>
  <c r="DA22" i="1" s="1"/>
  <c r="AE22" i="1" s="1"/>
  <c r="CW250" i="1"/>
  <c r="CW251" i="1" s="1"/>
  <c r="CW232" i="1"/>
  <c r="CW233" i="1" s="1"/>
  <c r="CW112" i="1"/>
  <c r="CW31" i="1"/>
  <c r="CW30" i="1"/>
  <c r="CW29" i="1"/>
  <c r="DA225" i="1"/>
  <c r="DA12" i="1"/>
  <c r="DA146" i="1"/>
  <c r="AE146" i="1" s="1"/>
  <c r="CZ197" i="1"/>
  <c r="CZ198" i="1" s="1"/>
  <c r="CZ157" i="1"/>
  <c r="CZ250" i="1"/>
  <c r="CZ251" i="1" s="1"/>
  <c r="CZ232" i="1"/>
  <c r="CZ233" i="1" s="1"/>
  <c r="CZ29" i="1"/>
  <c r="CZ31" i="1"/>
  <c r="CZ30" i="1"/>
  <c r="AD16" i="1"/>
  <c r="AD18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D185" i="1" l="1"/>
  <c r="AD184" i="1" s="1"/>
  <c r="AD197" i="1"/>
  <c r="DA19" i="1"/>
  <c r="DA18" i="1"/>
  <c r="DA28" i="1"/>
  <c r="DA250" i="1" s="1"/>
  <c r="DA251" i="1" s="1"/>
  <c r="AE152" i="1"/>
  <c r="DA156" i="1"/>
  <c r="AE144" i="1"/>
  <c r="DA148" i="1"/>
  <c r="AD59" i="1"/>
  <c r="AD28" i="1"/>
  <c r="AD250" i="1" s="1"/>
  <c r="AD251" i="1" s="1"/>
  <c r="AD17" i="1"/>
  <c r="AE98" i="1"/>
  <c r="AE188" i="1"/>
  <c r="AE26" i="1"/>
  <c r="AE27" i="1" s="1"/>
  <c r="CX198" i="1"/>
  <c r="CY198" i="1"/>
  <c r="AD157" i="1"/>
  <c r="AD182" i="1"/>
  <c r="AD196" i="1"/>
  <c r="AD198" i="1" s="1"/>
  <c r="DA29" i="1"/>
  <c r="DA30" i="1"/>
  <c r="DA31" i="1"/>
  <c r="DA232" i="1"/>
  <c r="DA233" i="1" s="1"/>
  <c r="AE11" i="1"/>
  <c r="AE16" i="1"/>
  <c r="DA112" i="1"/>
  <c r="DA226" i="1"/>
  <c r="AE156" i="1"/>
  <c r="DA197" i="1"/>
  <c r="DA196" i="1" l="1"/>
  <c r="DA198" i="1" s="1"/>
  <c r="DA157" i="1"/>
  <c r="AD30" i="1"/>
  <c r="AD112" i="1"/>
  <c r="AD60" i="1"/>
  <c r="AD29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244" i="1"/>
  <c r="CE248" i="1"/>
  <c r="CE246" i="1"/>
  <c r="CE182" i="1"/>
  <c r="CE180" i="1"/>
  <c r="CE179" i="1"/>
  <c r="CE196" i="1"/>
  <c r="CF209" i="1"/>
  <c r="CE186" i="1" l="1"/>
  <c r="CE184" i="1"/>
  <c r="CF184" i="1" s="1"/>
  <c r="CF180" i="1"/>
  <c r="CF145" i="1" s="1"/>
  <c r="CE198" i="1"/>
  <c r="CE199" i="1" s="1"/>
  <c r="CE213" i="1" s="1"/>
  <c r="CF183" i="1"/>
  <c r="CF179" i="1"/>
  <c r="CE111" i="1"/>
  <c r="CE114" i="1" s="1"/>
  <c r="CE181" i="1"/>
  <c r="CF181" i="1" s="1"/>
  <c r="CI189" i="1" l="1"/>
  <c r="CE189" i="1"/>
  <c r="CF185" i="1"/>
  <c r="CF153" i="1"/>
  <c r="CF156" i="1" s="1"/>
  <c r="CF182" i="1"/>
  <c r="CF144" i="1"/>
  <c r="CF148" i="1" s="1"/>
  <c r="CF186" i="1" l="1"/>
  <c r="CF197" i="1"/>
  <c r="CG197" i="1"/>
  <c r="CF196" i="1"/>
  <c r="CF157" i="1"/>
  <c r="CG196" i="1"/>
  <c r="CF198" i="1" l="1"/>
  <c r="CF199" i="1" s="1"/>
  <c r="CF189" i="1"/>
  <c r="CJ189" i="1"/>
  <c r="CG198" i="1"/>
  <c r="CG199" i="1" s="1"/>
  <c r="CG213" i="1" s="1"/>
  <c r="CF213" i="1" l="1"/>
  <c r="CF210" i="1"/>
  <c r="CF160" i="1" l="1"/>
  <c r="CF161" i="1" s="1"/>
  <c r="CF211" i="1" s="1"/>
  <c r="CF168" i="1" l="1"/>
  <c r="CF244" i="1"/>
  <c r="CG209" i="1"/>
  <c r="CG210" i="1" s="1"/>
  <c r="CG211" i="1" s="1"/>
  <c r="CF248" i="1"/>
  <c r="CF246" i="1"/>
  <c r="CF165" i="1"/>
  <c r="CF166" i="1" s="1"/>
  <c r="CF109" i="1" l="1"/>
  <c r="CG37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C198" i="1" l="1"/>
  <c r="CC199" i="1" s="1"/>
  <c r="CF110" i="1"/>
  <c r="CF113" i="1" s="1"/>
  <c r="CF111" i="1"/>
  <c r="CF114" i="1" s="1"/>
  <c r="CD198" i="1"/>
  <c r="CD199" i="1" s="1"/>
  <c r="CC111" i="1"/>
  <c r="CC114" i="1" s="1"/>
  <c r="CC213" i="1" l="1"/>
  <c r="CC210" i="1"/>
  <c r="CC211" i="1" s="1"/>
  <c r="CD213" i="1"/>
  <c r="CD210" i="1"/>
  <c r="CD160" i="1" s="1"/>
  <c r="CD161" i="1" s="1"/>
  <c r="CD211" i="1" s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J138" i="1" l="1"/>
  <c r="CK132" i="1" l="1"/>
  <c r="CJ203" i="1"/>
  <c r="CJ201" i="1" s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K37" i="1" s="1"/>
  <c r="CJ244" i="1"/>
  <c r="CK209" i="1"/>
  <c r="CJ246" i="1"/>
  <c r="CJ211" i="1"/>
  <c r="CJ109" i="1" l="1"/>
  <c r="CJ110" i="1" l="1"/>
  <c r="CJ113" i="1" s="1"/>
  <c r="CJ111" i="1"/>
  <c r="CJ114" i="1" s="1"/>
  <c r="CK252" i="1"/>
  <c r="CK234" i="1" l="1"/>
  <c r="CK227" i="1"/>
  <c r="CK245" i="1"/>
  <c r="CK193" i="1" l="1"/>
  <c r="CK195" i="1" s="1"/>
  <c r="CK199" i="1" s="1"/>
  <c r="CK119" i="1"/>
  <c r="CL119" i="1" s="1"/>
  <c r="CL120" i="1" s="1"/>
  <c r="CL54" i="1" l="1"/>
  <c r="CL129" i="1"/>
  <c r="CL55" i="1" s="1"/>
  <c r="CL92" i="1"/>
  <c r="CK120" i="1"/>
  <c r="CL207" i="1" s="1"/>
  <c r="CL205" i="1" s="1"/>
  <c r="CG89" i="1"/>
  <c r="CL96" i="1" l="1"/>
  <c r="CL95" i="1"/>
  <c r="CL94" i="1"/>
  <c r="CK54" i="1"/>
  <c r="CK92" i="1"/>
  <c r="CK207" i="1"/>
  <c r="CK205" i="1" s="1"/>
  <c r="CK129" i="1"/>
  <c r="CK55" i="1" s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203" i="1" l="1"/>
  <c r="CK201" i="1" s="1"/>
  <c r="CL203" i="1"/>
  <c r="CL201" i="1" s="1"/>
  <c r="CL213" i="1" s="1"/>
  <c r="CK96" i="1"/>
  <c r="CK95" i="1"/>
  <c r="CK94" i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K210" i="1"/>
  <c r="CK213" i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N132" i="1" l="1"/>
  <c r="CM131" i="1"/>
  <c r="AB34" i="1"/>
  <c r="AB253" i="1"/>
  <c r="AB194" i="1"/>
  <c r="AD34" i="1"/>
  <c r="AD253" i="1"/>
  <c r="AD194" i="1"/>
  <c r="AE34" i="1"/>
  <c r="AE194" i="1"/>
  <c r="AE253" i="1"/>
  <c r="CK160" i="1"/>
  <c r="AC34" i="1"/>
  <c r="AC194" i="1"/>
  <c r="AC253" i="1"/>
  <c r="CK161" i="1" l="1"/>
  <c r="CL209" i="1" s="1"/>
  <c r="CL210" i="1" s="1"/>
  <c r="CL160" i="1" s="1"/>
  <c r="CL161" i="1" s="1"/>
  <c r="CN131" i="1"/>
  <c r="CO132" i="1"/>
  <c r="AB132" i="1" s="1"/>
  <c r="CL211" i="1" l="1"/>
  <c r="CL246" i="1"/>
  <c r="CL248" i="1"/>
  <c r="CL165" i="1"/>
  <c r="CL166" i="1" s="1"/>
  <c r="CL244" i="1"/>
  <c r="CL168" i="1"/>
  <c r="CL109" i="1" s="1"/>
  <c r="CK211" i="1"/>
  <c r="CK248" i="1"/>
  <c r="CK244" i="1"/>
  <c r="CK168" i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P131" i="1"/>
  <c r="CQ132" i="1"/>
  <c r="CK111" i="1" l="1"/>
  <c r="CK114" i="1" s="1"/>
  <c r="CK110" i="1"/>
  <c r="CK113" i="1" s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U131" i="1"/>
  <c r="CV132" i="1"/>
  <c r="CH89" i="1"/>
  <c r="AC138" i="1"/>
  <c r="AC33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V131" i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42" i="1" l="1"/>
  <c r="CM245" i="1" s="1"/>
  <c r="CM227" i="1"/>
  <c r="CM48" i="1"/>
  <c r="CM43" i="1"/>
  <c r="CM44" i="1"/>
  <c r="CM234" i="1"/>
  <c r="AE134" i="1"/>
  <c r="CM66" i="1" l="1"/>
  <c r="CM69" i="1" s="1"/>
  <c r="CM193" i="1"/>
  <c r="CM195" i="1" s="1"/>
  <c r="CM199" i="1" s="1"/>
  <c r="CM213" i="1" s="1"/>
  <c r="CM119" i="1"/>
  <c r="CM120" i="1" s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K89" i="1" s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CO246" i="1" s="1"/>
  <c r="AB160" i="1"/>
  <c r="CO211" i="1" l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CP227" i="1" s="1"/>
  <c r="AB48" i="1"/>
  <c r="AB42" i="1"/>
  <c r="AB245" i="1" s="1"/>
  <c r="AB43" i="1"/>
  <c r="AB40" i="1"/>
  <c r="CP44" i="1" l="1"/>
  <c r="CP23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193" i="1" s="1"/>
  <c r="CQ195" i="1" s="1"/>
  <c r="CQ199" i="1" s="1"/>
  <c r="CQ213" i="1" s="1"/>
  <c r="CQ66" i="1" l="1"/>
  <c r="CQ69" i="1" s="1"/>
  <c r="CQ119" i="1"/>
  <c r="CQ120" i="1" s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CS211" i="1" s="1"/>
  <c r="AC160" i="1"/>
  <c r="CS165" i="1" l="1"/>
  <c r="CS166" i="1" s="1"/>
  <c r="CS244" i="1"/>
  <c r="CS248" i="1"/>
  <c r="CT209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W248" i="1" l="1"/>
  <c r="CW244" i="1"/>
  <c r="CX209" i="1"/>
  <c r="CW165" i="1"/>
  <c r="CW166" i="1" s="1"/>
  <c r="CW168" i="1"/>
  <c r="CW211" i="1"/>
  <c r="CW246" i="1"/>
  <c r="CX36" i="1" l="1"/>
  <c r="CW109" i="1"/>
  <c r="CX38" i="1" l="1"/>
  <c r="CX39" i="1" s="1"/>
  <c r="CX41" i="1" s="1"/>
  <c r="CX252" i="1"/>
  <c r="CW110" i="1"/>
  <c r="CW113" i="1" s="1"/>
  <c r="CW111" i="1"/>
  <c r="CW114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244" i="1" l="1"/>
  <c r="DA168" i="1"/>
  <c r="DA109" i="1" s="1"/>
  <c r="DA246" i="1"/>
  <c r="DA211" i="1"/>
  <c r="DA165" i="1"/>
  <c r="DA166" i="1" s="1"/>
  <c r="DA248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85" i="1"/>
  <c r="AA86" i="1"/>
  <c r="AA108" i="1"/>
  <c r="AA111" i="1"/>
  <c r="AA114" i="1"/>
  <c r="AA87" i="1"/>
  <c r="AA107" i="1"/>
  <c r="AA110" i="1"/>
  <c r="AA113" i="1"/>
  <c r="AA92" i="1"/>
  <c r="AA99" i="1"/>
  <c r="AA94" i="1"/>
  <c r="AA96" i="1"/>
  <c r="AA95" i="1"/>
  <c r="AA102" i="1"/>
  <c r="AA104" i="1"/>
  <c r="AA103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Z65" i="1"/>
  <c r="AB65" i="1"/>
  <c r="AC63" i="1"/>
  <c r="Y63" i="1"/>
  <c r="AD63" i="1"/>
  <c r="Z107" i="1"/>
  <c r="Z110" i="1"/>
  <c r="Z113" i="1"/>
  <c r="Z99" i="1"/>
  <c r="Y65" i="1"/>
  <c r="AC65" i="1"/>
  <c r="X63" i="1"/>
  <c r="Z108" i="1"/>
  <c r="Z111" i="1"/>
  <c r="Z114" i="1"/>
  <c r="Z92" i="1"/>
  <c r="Z103" i="1"/>
  <c r="Z94" i="1"/>
  <c r="W63" i="1"/>
  <c r="AD65" i="1"/>
  <c r="Z102" i="1"/>
  <c r="Y107" i="1"/>
  <c r="Y110" i="1"/>
  <c r="Y113" i="1"/>
  <c r="Y99" i="1"/>
  <c r="Z96" i="1"/>
  <c r="Z95" i="1"/>
  <c r="X65" i="1"/>
  <c r="Z104" i="1"/>
  <c r="Y108" i="1"/>
  <c r="Y111" i="1"/>
  <c r="Y114" i="1"/>
  <c r="Y92" i="1"/>
  <c r="AE63" i="1"/>
  <c r="V63" i="1"/>
  <c r="U63" i="1"/>
  <c r="T63" i="1"/>
  <c r="S63" i="1"/>
  <c r="R63" i="1"/>
  <c r="Q63" i="1"/>
  <c r="Q65" i="1"/>
  <c r="Q66" i="1"/>
  <c r="Q69" i="1"/>
  <c r="Q87" i="1"/>
  <c r="P63" i="1"/>
  <c r="P65" i="1"/>
  <c r="P92" i="1"/>
  <c r="P94" i="1"/>
  <c r="AC99" i="1"/>
  <c r="AB108" i="1"/>
  <c r="AC92" i="1"/>
  <c r="AC107" i="1"/>
  <c r="AD108" i="1"/>
  <c r="P66" i="1"/>
  <c r="P68" i="1"/>
  <c r="P96" i="1"/>
  <c r="O63" i="1"/>
  <c r="N63" i="1"/>
  <c r="M63" i="1"/>
  <c r="L63" i="1"/>
  <c r="R65" i="1"/>
  <c r="R107" i="1"/>
  <c r="R110" i="1"/>
  <c r="R113" i="1"/>
  <c r="AC103" i="1"/>
  <c r="K63" i="1"/>
  <c r="J63" i="1"/>
  <c r="J65" i="1"/>
  <c r="J92" i="1"/>
  <c r="N65" i="1"/>
  <c r="N92" i="1"/>
  <c r="N94" i="1"/>
  <c r="X108" i="1"/>
  <c r="I63" i="1"/>
  <c r="I65" i="1"/>
  <c r="I99" i="1"/>
  <c r="I103" i="1"/>
  <c r="H63" i="1"/>
  <c r="G63" i="1"/>
  <c r="F63" i="1"/>
  <c r="E63" i="1"/>
  <c r="E65" i="1"/>
  <c r="E66" i="1"/>
  <c r="E69" i="1"/>
  <c r="E87" i="1"/>
  <c r="E85" i="1"/>
  <c r="AB99" i="1"/>
  <c r="AD99" i="1"/>
  <c r="Z89" i="1"/>
  <c r="AB103" i="1"/>
  <c r="AC66" i="1"/>
  <c r="AD107" i="1"/>
  <c r="V65" i="1"/>
  <c r="V99" i="1"/>
  <c r="V102" i="1"/>
  <c r="U65" i="1"/>
  <c r="U108" i="1"/>
  <c r="U111" i="1"/>
  <c r="U114" i="1"/>
  <c r="V103" i="1"/>
  <c r="U107" i="1"/>
  <c r="U110" i="1"/>
  <c r="U113" i="1"/>
  <c r="V104" i="1"/>
  <c r="U92" i="1"/>
  <c r="U96" i="1"/>
  <c r="U95" i="1"/>
  <c r="U94" i="1"/>
  <c r="T65" i="1"/>
  <c r="T107" i="1"/>
  <c r="T110" i="1"/>
  <c r="T113" i="1"/>
  <c r="T108" i="1"/>
  <c r="T111" i="1"/>
  <c r="T114" i="1"/>
  <c r="S65" i="1"/>
  <c r="S66" i="1"/>
  <c r="S99" i="1"/>
  <c r="S107" i="1"/>
  <c r="S110" i="1"/>
  <c r="S113" i="1"/>
  <c r="S92" i="1"/>
  <c r="U66" i="1"/>
  <c r="U69" i="1"/>
  <c r="T89" i="1"/>
  <c r="U85" i="1"/>
  <c r="U87" i="1"/>
  <c r="T66" i="1"/>
  <c r="T69" i="1"/>
  <c r="U70" i="1"/>
  <c r="T92" i="1"/>
  <c r="T96" i="1"/>
  <c r="T94" i="1"/>
  <c r="T95" i="1"/>
  <c r="T99" i="1"/>
  <c r="T102" i="1"/>
  <c r="T103" i="1"/>
  <c r="T104" i="1"/>
  <c r="T87" i="1"/>
  <c r="S102" i="1"/>
  <c r="Q108" i="1"/>
  <c r="Q111" i="1"/>
  <c r="Q114" i="1"/>
  <c r="R99" i="1"/>
  <c r="R103" i="1"/>
  <c r="R66" i="1"/>
  <c r="R69" i="1"/>
  <c r="R70" i="1"/>
  <c r="R85" i="1"/>
  <c r="R86" i="1"/>
  <c r="Q99" i="1"/>
  <c r="Q103" i="1"/>
  <c r="P107" i="1"/>
  <c r="P110" i="1"/>
  <c r="W65" i="1"/>
  <c r="X107" i="1"/>
  <c r="P113" i="1"/>
  <c r="P108" i="1"/>
  <c r="P111" i="1"/>
  <c r="P114" i="1"/>
  <c r="Q104" i="1"/>
  <c r="Q89" i="1"/>
  <c r="R87" i="1"/>
  <c r="Q86" i="1"/>
  <c r="Q85" i="1"/>
  <c r="O65" i="1"/>
  <c r="O107" i="1"/>
  <c r="O110" i="1"/>
  <c r="O113" i="1"/>
  <c r="P95" i="1"/>
  <c r="P89" i="1"/>
  <c r="P69" i="1"/>
  <c r="D89" i="1"/>
  <c r="Q92" i="1"/>
  <c r="Q96" i="1"/>
  <c r="O108" i="1"/>
  <c r="O111" i="1"/>
  <c r="L65" i="1"/>
  <c r="L99" i="1"/>
  <c r="L103" i="1"/>
  <c r="Y96" i="1"/>
  <c r="K65" i="1"/>
  <c r="K99" i="1"/>
  <c r="K103" i="1"/>
  <c r="V107" i="1"/>
  <c r="V110" i="1"/>
  <c r="R104" i="1"/>
  <c r="R68" i="1"/>
  <c r="O114" i="1"/>
  <c r="O92" i="1"/>
  <c r="O94" i="1"/>
  <c r="P87" i="1"/>
  <c r="J107" i="1"/>
  <c r="J110" i="1"/>
  <c r="J113" i="1"/>
  <c r="H65" i="1"/>
  <c r="J96" i="1"/>
  <c r="O66" i="1"/>
  <c r="O69" i="1"/>
  <c r="O86" i="1"/>
  <c r="N89" i="1"/>
  <c r="N95" i="1"/>
  <c r="N99" i="1"/>
  <c r="N104" i="1"/>
  <c r="I102" i="1"/>
  <c r="H108" i="1"/>
  <c r="H107" i="1"/>
  <c r="H92" i="1"/>
  <c r="W99" i="1"/>
  <c r="G65" i="1"/>
  <c r="G66" i="1"/>
  <c r="H96" i="1"/>
  <c r="M65" i="1"/>
  <c r="M108" i="1"/>
  <c r="M111" i="1"/>
  <c r="M114" i="1"/>
  <c r="N66" i="1"/>
  <c r="N69" i="1"/>
  <c r="N86" i="1"/>
  <c r="N87" i="1"/>
  <c r="M92" i="1"/>
  <c r="M95" i="1"/>
  <c r="M96" i="1"/>
  <c r="M94" i="1"/>
  <c r="M66" i="1"/>
  <c r="M69" i="1"/>
  <c r="M68" i="1"/>
  <c r="M99" i="1"/>
  <c r="M102" i="1"/>
  <c r="E92" i="1"/>
  <c r="E95" i="1"/>
  <c r="E86" i="1"/>
  <c r="E70" i="1"/>
  <c r="W107" i="1"/>
  <c r="W110" i="1"/>
  <c r="W113" i="1"/>
  <c r="W108" i="1"/>
  <c r="W111" i="1"/>
  <c r="W114" i="1"/>
  <c r="AB102" i="1"/>
  <c r="AD102" i="1"/>
  <c r="AB66" i="1"/>
  <c r="AB104" i="1"/>
  <c r="AB111" i="1"/>
  <c r="AB114" i="1"/>
  <c r="AC68" i="1"/>
  <c r="AC94" i="1"/>
  <c r="AC104" i="1"/>
  <c r="AD66" i="1"/>
  <c r="AD103" i="1"/>
  <c r="AD110" i="1"/>
  <c r="AD111" i="1"/>
  <c r="Q94" i="1"/>
  <c r="U68" i="1"/>
  <c r="E107" i="1"/>
  <c r="E110" i="1"/>
  <c r="L108" i="1"/>
  <c r="L111" i="1"/>
  <c r="L114" i="1"/>
  <c r="W66" i="1"/>
  <c r="W69" i="1"/>
  <c r="M89" i="1"/>
  <c r="M103" i="1"/>
  <c r="L107" i="1"/>
  <c r="Q107" i="1"/>
  <c r="AB107" i="1"/>
  <c r="S108" i="1"/>
  <c r="S111" i="1"/>
  <c r="U86" i="1"/>
  <c r="L110" i="1"/>
  <c r="L113" i="1"/>
  <c r="W68" i="1"/>
  <c r="M104" i="1"/>
  <c r="N85" i="1"/>
  <c r="K107" i="1"/>
  <c r="K110" i="1"/>
  <c r="K113" i="1"/>
  <c r="K92" i="1"/>
  <c r="L92" i="1"/>
  <c r="L95" i="1"/>
  <c r="L96" i="1"/>
  <c r="L102" i="1"/>
  <c r="L104" i="1"/>
  <c r="M87" i="1"/>
  <c r="L94" i="1"/>
  <c r="M86" i="1"/>
  <c r="L66" i="1"/>
  <c r="L68" i="1"/>
  <c r="Y102" i="1"/>
  <c r="W103" i="1"/>
  <c r="J94" i="1"/>
  <c r="K95" i="1"/>
  <c r="K66" i="1"/>
  <c r="K68" i="1"/>
  <c r="S69" i="1"/>
  <c r="T86" i="1"/>
  <c r="Q110" i="1"/>
  <c r="V113" i="1"/>
  <c r="S95" i="1"/>
  <c r="Q113" i="1"/>
  <c r="Q95" i="1"/>
  <c r="E94" i="1"/>
  <c r="T85" i="1"/>
  <c r="Z66" i="1"/>
  <c r="Z69" i="1"/>
  <c r="Z85" i="1"/>
  <c r="W85" i="1"/>
  <c r="W86" i="1"/>
  <c r="L69" i="1"/>
  <c r="M70" i="1"/>
  <c r="K108" i="1"/>
  <c r="K111" i="1"/>
  <c r="K114" i="1"/>
  <c r="L87" i="1"/>
  <c r="J99" i="1"/>
  <c r="J66" i="1"/>
  <c r="J108" i="1"/>
  <c r="J111" i="1"/>
  <c r="J114" i="1"/>
  <c r="J102" i="1"/>
  <c r="J104" i="1"/>
  <c r="K69" i="1"/>
  <c r="Y94" i="1"/>
  <c r="X110" i="1"/>
  <c r="J89" i="1"/>
  <c r="K86" i="1"/>
  <c r="K85" i="1"/>
  <c r="K87" i="1"/>
  <c r="I108" i="1"/>
  <c r="I111" i="1"/>
  <c r="I114" i="1"/>
  <c r="J103" i="1"/>
  <c r="J69" i="1"/>
  <c r="K70" i="1"/>
  <c r="I66" i="1"/>
  <c r="I68" i="1"/>
  <c r="H99" i="1"/>
  <c r="H95" i="1"/>
  <c r="H94" i="1"/>
  <c r="H103" i="1"/>
  <c r="F65" i="1"/>
  <c r="I69" i="1"/>
  <c r="I70" i="1"/>
  <c r="H89" i="1"/>
  <c r="I87" i="1"/>
  <c r="I85" i="1"/>
  <c r="G99" i="1"/>
  <c r="G107" i="1"/>
  <c r="G110" i="1"/>
  <c r="G113" i="1"/>
  <c r="H102" i="1"/>
  <c r="H104" i="1"/>
  <c r="J70" i="1"/>
  <c r="I86" i="1"/>
  <c r="G92" i="1"/>
  <c r="G108" i="1"/>
  <c r="G111" i="1"/>
  <c r="G114" i="1"/>
  <c r="F99" i="1"/>
  <c r="F66" i="1"/>
  <c r="F108" i="1"/>
  <c r="F111" i="1"/>
  <c r="F114" i="1"/>
  <c r="F107" i="1"/>
  <c r="F110" i="1"/>
  <c r="F113" i="1"/>
  <c r="F92" i="1"/>
  <c r="G104" i="1"/>
  <c r="G95" i="1"/>
  <c r="G69" i="1"/>
  <c r="F69" i="1"/>
  <c r="G87" i="1"/>
  <c r="E96" i="1"/>
  <c r="E99" i="1"/>
  <c r="F68" i="1"/>
  <c r="F96" i="1"/>
  <c r="F87" i="1"/>
  <c r="E89" i="1"/>
  <c r="AC102" i="1"/>
  <c r="AB69" i="1"/>
  <c r="AB92" i="1"/>
  <c r="AB70" i="1"/>
  <c r="AB95" i="1"/>
  <c r="AE65" i="1"/>
  <c r="R108" i="1"/>
  <c r="R111" i="1"/>
  <c r="R114" i="1"/>
  <c r="S94" i="1"/>
  <c r="AB110" i="1"/>
  <c r="AB113" i="1"/>
  <c r="AC95" i="1"/>
  <c r="AC110" i="1"/>
  <c r="AD92" i="1"/>
  <c r="AD96" i="1"/>
  <c r="AD104" i="1"/>
  <c r="AD113" i="1"/>
  <c r="J87" i="1"/>
  <c r="AD114" i="1"/>
  <c r="AE66" i="1"/>
  <c r="AE68" i="1"/>
  <c r="AE92" i="1"/>
  <c r="AE94" i="1"/>
  <c r="AE107" i="1"/>
  <c r="X111" i="1"/>
  <c r="X113" i="1"/>
  <c r="X92" i="1"/>
  <c r="Y103" i="1"/>
  <c r="Y104" i="1"/>
  <c r="Y95" i="1"/>
  <c r="AE99" i="1"/>
  <c r="AC96" i="1"/>
  <c r="AD69" i="1"/>
  <c r="AD87" i="1"/>
  <c r="Q68" i="1"/>
  <c r="G102" i="1"/>
  <c r="H66" i="1"/>
  <c r="H69" i="1"/>
  <c r="H86" i="1"/>
  <c r="AE69" i="1"/>
  <c r="AD89" i="1"/>
  <c r="AE87" i="1"/>
  <c r="X99" i="1"/>
  <c r="X96" i="1"/>
  <c r="J95" i="1"/>
  <c r="K104" i="1"/>
  <c r="L70" i="1"/>
  <c r="V108" i="1"/>
  <c r="S86" i="1"/>
  <c r="R89" i="1"/>
  <c r="R102" i="1"/>
  <c r="AA89" i="1"/>
  <c r="E102" i="1"/>
  <c r="G70" i="1"/>
  <c r="AB86" i="1"/>
  <c r="I92" i="1"/>
  <c r="G103" i="1"/>
  <c r="F102" i="1"/>
  <c r="I96" i="1"/>
  <c r="U99" i="1"/>
  <c r="Z86" i="1"/>
  <c r="Z70" i="1"/>
  <c r="U102" i="1"/>
  <c r="U103" i="1"/>
  <c r="U104" i="1"/>
  <c r="AE104" i="1"/>
  <c r="J68" i="1"/>
  <c r="AE86" i="1"/>
  <c r="AE95" i="1"/>
  <c r="AE108" i="1"/>
  <c r="AE111" i="1"/>
  <c r="AE114" i="1"/>
  <c r="Y89" i="1"/>
  <c r="Z87" i="1"/>
  <c r="AC69" i="1"/>
  <c r="AC108" i="1"/>
  <c r="AC111" i="1"/>
  <c r="AC114" i="1"/>
  <c r="E108" i="1"/>
  <c r="E111" i="1"/>
  <c r="O99" i="1"/>
  <c r="P99" i="1"/>
  <c r="Q70" i="1"/>
  <c r="O104" i="1"/>
  <c r="P86" i="1"/>
  <c r="N108" i="1"/>
  <c r="N107" i="1"/>
  <c r="O68" i="1"/>
  <c r="O70" i="1"/>
  <c r="I107" i="1"/>
  <c r="O87" i="1"/>
  <c r="N96" i="1"/>
  <c r="M107" i="1"/>
  <c r="M110" i="1"/>
  <c r="M113" i="1"/>
  <c r="N103" i="1"/>
  <c r="W92" i="1"/>
  <c r="I110" i="1"/>
  <c r="I113" i="1"/>
  <c r="H111" i="1"/>
  <c r="H110" i="1"/>
  <c r="I104" i="1"/>
  <c r="X102" i="1"/>
  <c r="X94" i="1"/>
  <c r="W104" i="1"/>
  <c r="Q102" i="1"/>
  <c r="P102" i="1"/>
  <c r="O95" i="1"/>
  <c r="O103" i="1"/>
  <c r="O89" i="1"/>
  <c r="P85" i="1"/>
  <c r="N111" i="1"/>
  <c r="N114" i="1"/>
  <c r="N110" i="1"/>
  <c r="N113" i="1"/>
  <c r="O96" i="1"/>
  <c r="O85" i="1"/>
  <c r="P70" i="1"/>
  <c r="N102" i="1"/>
  <c r="H114" i="1"/>
  <c r="H113" i="1"/>
  <c r="X104" i="1"/>
  <c r="AC85" i="1"/>
  <c r="E114" i="1"/>
  <c r="P103" i="1"/>
  <c r="P104" i="1"/>
  <c r="O102" i="1"/>
  <c r="W95" i="1"/>
  <c r="X103" i="1"/>
  <c r="W94" i="1"/>
  <c r="N68" i="1"/>
  <c r="AC86" i="1"/>
  <c r="H68" i="1"/>
  <c r="AC70" i="1"/>
  <c r="AC87" i="1"/>
  <c r="AE70" i="1"/>
  <c r="AE103" i="1"/>
  <c r="AE110" i="1"/>
  <c r="AE113" i="1"/>
  <c r="AB89" i="1"/>
  <c r="W96" i="1"/>
  <c r="X66" i="1"/>
  <c r="X69" i="1"/>
  <c r="X85" i="1"/>
  <c r="Y66" i="1"/>
  <c r="Y69" i="1"/>
  <c r="Y70" i="1"/>
  <c r="Y85" i="1"/>
  <c r="V66" i="1"/>
  <c r="T68" i="1"/>
  <c r="S103" i="1"/>
  <c r="S68" i="1"/>
  <c r="Y86" i="1"/>
  <c r="S96" i="1"/>
  <c r="Y68" i="1"/>
  <c r="Z68" i="1"/>
  <c r="V68" i="1"/>
  <c r="V69" i="1"/>
  <c r="U89" i="1"/>
  <c r="V86" i="1"/>
  <c r="V87" i="1"/>
  <c r="V85" i="1"/>
  <c r="V70" i="1"/>
  <c r="S114" i="1"/>
  <c r="AB87" i="1"/>
  <c r="W89" i="1"/>
  <c r="X70" i="1"/>
  <c r="X89" i="1"/>
  <c r="Y87" i="1"/>
  <c r="X68" i="1"/>
  <c r="X87" i="1"/>
  <c r="X86" i="1"/>
  <c r="V89" i="1"/>
  <c r="K96" i="1"/>
  <c r="L85" i="1"/>
  <c r="R92" i="1"/>
  <c r="S89" i="1"/>
  <c r="S87" i="1"/>
  <c r="S104" i="1"/>
  <c r="T70" i="1"/>
  <c r="AD70" i="1"/>
  <c r="G94" i="1"/>
  <c r="G68" i="1"/>
  <c r="E68" i="1"/>
  <c r="F70" i="1"/>
  <c r="AB68" i="1"/>
  <c r="R94" i="1"/>
  <c r="I89" i="1"/>
  <c r="F95" i="1"/>
  <c r="F89" i="1"/>
  <c r="F86" i="1"/>
  <c r="I95" i="1"/>
  <c r="V92" i="1"/>
  <c r="M85" i="1"/>
  <c r="N70" i="1"/>
  <c r="W87" i="1"/>
  <c r="AE96" i="1"/>
  <c r="K102" i="1"/>
  <c r="K94" i="1"/>
  <c r="K89" i="1"/>
  <c r="V111" i="1"/>
  <c r="V114" i="1"/>
  <c r="F94" i="1"/>
  <c r="AD95" i="1"/>
  <c r="E113" i="1"/>
  <c r="AD68" i="1"/>
  <c r="H70" i="1"/>
  <c r="G85" i="1"/>
  <c r="F85" i="1"/>
  <c r="S70" i="1"/>
  <c r="L89" i="1"/>
  <c r="W70" i="1"/>
  <c r="AE85" i="1"/>
  <c r="X114" i="1"/>
  <c r="W102" i="1"/>
  <c r="X95" i="1"/>
  <c r="S85" i="1"/>
  <c r="E104" i="1"/>
  <c r="AC89" i="1"/>
  <c r="J85" i="1"/>
  <c r="H87" i="1"/>
  <c r="H85" i="1"/>
  <c r="G86" i="1"/>
  <c r="F104" i="1"/>
  <c r="AE102" i="1"/>
  <c r="AB94" i="1"/>
  <c r="AD86" i="1"/>
  <c r="J86" i="1"/>
  <c r="AD85" i="1"/>
  <c r="R95" i="1"/>
  <c r="R96" i="1"/>
  <c r="L86" i="1"/>
  <c r="AB85" i="1"/>
  <c r="AC113" i="1"/>
  <c r="G96" i="1"/>
  <c r="F103" i="1"/>
  <c r="AD94" i="1"/>
  <c r="I94" i="1"/>
  <c r="E103" i="1"/>
  <c r="AB96" i="1"/>
  <c r="G89" i="1"/>
  <c r="V95" i="1"/>
  <c r="V94" i="1"/>
  <c r="V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<sst xmlns="http://schemas.openxmlformats.org/spreadsheetml/2006/main" count="664" uniqueCount="525">
  <si>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</si>
  <si>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</si>
  <si>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</si>
  <si>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</si>
  <si>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</si>
  <si>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</si>
  <si>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</si>
  <si>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</si>
  <si>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</si>
  <si>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</si>
  <si>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</si>
  <si>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</si>
  <si>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</si>
  <si>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</si>
  <si>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</si>
  <si>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</si>
  <si>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</si>
  <si>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</si>
  <si>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</si>
  <si>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</si>
  <si>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</si>
  <si>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</si>
  <si>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</si>
  <si>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</si>
  <si>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</si>
  <si>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</si>
  <si>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</si>
  <si>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</si>
  <si>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</si>
  <si>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</si>
  <si>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</si>
  <si>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</si>
  <si>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</si>
  <si>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</si>
  <si>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</si>
  <si>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</si>
  <si>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</si>
  <si>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</si>
  <si>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</si>
  <si>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</si>
  <si>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</si>
  <si>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</si>
  <si>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</si>
  <si>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</si>
  <si>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</si>
  <si>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</si>
  <si>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</si>
  <si>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</si>
  <si>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</si>
  <si>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</si>
  <si>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</si>
  <si>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</si>
  <si>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</si>
  <si>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</si>
  <si>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</si>
  <si>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</si>
  <si>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</si>
  <si>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</si>
  <si>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</si>
  <si>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</si>
  <si>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</si>
  <si>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</si>
  <si>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</si>
  <si>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</si>
  <si>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</si>
  <si>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</si>
  <si>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</si>
  <si>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</si>
  <si>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</si>
  <si>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</si>
  <si>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</si>
  <si>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</si>
  <si>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</si>
  <si>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</si>
  <si>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</si>
  <si>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</si>
  <si>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</si>
  <si>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</si>
  <si>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</si>
  <si>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</si>
  <si>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</si>
  <si>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</si>
  <si>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</si>
  <si>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</si>
  <si>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</si>
  <si>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</si>
  <si>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</si>
  <si>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</si>
  <si>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</si>
  <si>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</si>
  <si>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</si>
  <si>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</si>
  <si>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</si>
  <si>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</si>
  <si>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</si>
  <si>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</si>
  <si>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</si>
  <si>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</si>
  <si>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</si>
  <si>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</si>
  <si>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</si>
  <si>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</si>
  <si>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</si>
  <si>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</si>
  <si>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</si>
  <si>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</si>
  <si>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</si>
  <si>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</si>
  <si>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</si>
  <si>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</si>
  <si>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</si>
  <si>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</si>
  <si>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</si>
  <si>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</si>
  <si>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</si>
  <si>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</si>
  <si>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</si>
  <si>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</si>
  <si>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</si>
  <si>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</si>
  <si>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</si>
  <si>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</si>
  <si>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</si>
  <si>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</si>
  <si>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</si>
  <si>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</si>
  <si>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</si>
  <si>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</si>
  <si>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</si>
  <si>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</si>
  <si>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</si>
  <si>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</si>
  <si>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</si>
  <si>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</si>
  <si>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</si>
  <si>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</si>
  <si>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</si>
  <si>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</si>
  <si>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</si>
  <si>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</si>
  <si>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</si>
  <si>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</si>
  <si>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</si>
  <si>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</si>
  <si>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</si>
  <si>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</si>
  <si>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</si>
  <si>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</si>
  <si>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</si>
  <si>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</si>
  <si>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</si>
  <si>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</si>
  <si>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</si>
  <si>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</si>
  <si>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</si>
  <si>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</si>
  <si>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</si>
  <si>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</si>
  <si>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</si>
  <si>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</si>
  <si>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</si>
  <si>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</si>
  <si>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</si>
  <si>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</si>
  <si>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</si>
  <si>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</si>
  <si>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</si>
  <si>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</si>
  <si>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</si>
  <si>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</si>
  <si>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</si>
  <si>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</si>
  <si>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</si>
  <si>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</si>
  <si>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</si>
  <si>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</si>
  <si>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</si>
  <si>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</si>
  <si>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</si>
  <si>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</si>
  <si>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</si>
  <si>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</si>
  <si>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</si>
  <si>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</si>
  <si>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</si>
  <si>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</si>
  <si>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</si>
  <si>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</si>
  <si>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</si>
  <si>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</si>
  <si>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</si>
  <si>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</si>
  <si>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</si>
  <si>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</si>
  <si>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</si>
  <si>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</si>
  <si>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</si>
  <si>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</si>
  <si>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</si>
  <si>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</si>
  <si>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</si>
  <si>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</si>
  <si>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</si>
  <si>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</si>
  <si>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</si>
  <si>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</si>
  <si>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</si>
  <si>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</si>
  <si>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</si>
  <si>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</si>
  <si>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</si>
  <si>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</si>
  <si>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</si>
  <si>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</si>
  <si>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</si>
  <si>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</si>
  <si>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</si>
  <si>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</si>
  <si>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</si>
  <si>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</si>
  <si>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</si>
  <si>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</si>
  <si>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</si>
  <si>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</si>
  <si>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</si>
  <si>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</si>
  <si>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</si>
  <si>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</si>
  <si>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</si>
  <si>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</si>
  <si>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</si>
  <si>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</si>
  <si>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</si>
  <si>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</si>
  <si>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</si>
  <si>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</si>
  <si>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</si>
  <si>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</si>
  <si>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</si>
  <si>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</si>
  <si>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</si>
  <si>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</si>
  <si>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</si>
  <si>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</si>
  <si>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</si>
  <si>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</si>
  <si>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</si>
  <si>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</si>
  <si>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</si>
  <si>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</si>
  <si>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</si>
  <si>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</si>
  <si>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</si>
  <si>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</si>
  <si>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</si>
  <si>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</si>
  <si>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</si>
  <si>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</si>
  <si>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</si>
  <si>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</si>
  <si>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</si>
  <si>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</si>
  <si>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</si>
  <si>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</si>
  <si>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</si>
  <si>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</si>
  <si>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</si>
  <si>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</si>
  <si>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</si>
  <si>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</si>
  <si>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</si>
  <si>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</si>
  <si>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</si>
  <si>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</si>
  <si>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</si>
  <si>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</si>
  <si>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</si>
  <si>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</si>
  <si>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</si>
  <si>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</si>
  <si>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</si>
  <si>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</si>
  <si>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</si>
  <si>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</si>
  <si>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</si>
  <si>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</si>
  <si>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</si>
  <si>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</si>
  <si>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</si>
  <si>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</si>
  <si>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</si>
  <si>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</si>
  <si>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</si>
  <si>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</si>
  <si>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</si>
  <si>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</si>
  <si>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</si>
  <si>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</si>
  <si>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</si>
  <si>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</si>
  <si>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</si>
  <si>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</si>
  <si>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</si>
  <si>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</si>
  <si>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</si>
  <si>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</si>
  <si>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</si>
  <si>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</si>
  <si>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</si>
  <si>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</si>
  <si>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</si>
  <si>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</si>
  <si>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</si>
  <si>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</si>
  <si>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</si>
  <si>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</si>
  <si>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</si>
  <si>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</si>
  <si>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</si>
  <si>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</si>
  <si>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</si>
  <si>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</si>
  <si>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</si>
  <si>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</si>
  <si>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</si>
  <si>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</si>
  <si>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</si>
  <si>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</si>
  <si>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</si>
  <si>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</si>
  <si>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</si>
  <si>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</si>
  <si>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</si>
  <si>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</si>
  <si>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</si>
  <si>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</si>
  <si>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</si>
  <si>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</si>
  <si>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</si>
  <si>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</si>
  <si>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</si>
  <si>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</si>
  <si>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</si>
  <si>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</si>
  <si>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</si>
  <si>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</si>
  <si>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</si>
  <si>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</si>
  <si>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</si>
  <si>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</si>
  <si>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</si>
  <si>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</si>
  <si>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</si>
  <si>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</si>
  <si>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</si>
  <si>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</si>
  <si>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</si>
  <si>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</si>
  <si>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</si>
  <si>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</si>
  <si>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</si>
  <si>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</si>
  <si>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</si>
  <si>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</si>
  <si>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</si>
  <si>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</si>
  <si>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</si>
  <si>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</si>
  <si>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</si>
  <si>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</si>
  <si>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</si>
  <si>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</si>
  <si>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</si>
  <si>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</si>
  <si>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</si>
  <si>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</si>
  <si>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</si>
  <si>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</si>
  <si>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</si>
  <si>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</si>
  <si>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</si>
  <si>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</si>
  <si>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</si>
  <si>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</si>
  <si>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</si>
  <si>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</si>
  <si>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</si>
  <si>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</si>
  <si>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</si>
  <si>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</si>
  <si>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</si>
  <si>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</si>
  <si>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</si>
  <si>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</si>
  <si>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</si>
  <si>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</si>
  <si>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</si>
  <si>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</si>
  <si>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</si>
  <si>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</si>
  <si>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</si>
  <si>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</si>
  <si>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</si>
  <si>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</si>
  <si>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</si>
  <si>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</si>
  <si>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</si>
  <si>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</si>
  <si>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</si>
  <si>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</si>
  <si>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</si>
  <si>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</si>
  <si>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</si>
  <si>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</si>
  <si>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</si>
  <si>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</si>
  <si>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</si>
  <si>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</si>
  <si>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</si>
  <si>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</si>
  <si>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</si>
  <si>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</si>
  <si>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</si>
  <si>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</si>
  <si>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</si>
  <si>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</si>
  <si>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</si>
  <si>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</si>
  <si>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</si>
  <si>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</si>
  <si>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</si>
  <si>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</si>
  <si>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</si>
  <si>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</si>
  <si>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</si>
  <si>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</si>
  <si>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</si>
  <si>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</si>
  <si>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</si>
  <si>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</si>
  <si>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</si>
  <si>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</si>
  <si>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</si>
  <si>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</si>
  <si>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</si>
  <si>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</si>
  <si>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</si>
  <si>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</si>
  <si>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</si>
  <si>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</si>
  <si>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</si>
  <si>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</si>
  <si>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</si>
  <si>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</si>
  <si>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</si>
  <si>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</si>
  <si>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</si>
  <si>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</si>
  <si>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</si>
  <si>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</si>
  <si>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</si>
  <si>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</si>
  <si>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</si>
  <si>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</si>
  <si>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</si>
  <si>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</si>
  <si>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</si>
  <si>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</si>
  <si>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</si>
  <si>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</si>
  <si>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</si>
  <si>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</si>
  <si>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</si>
  <si>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</si>
  <si>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</si>
  <si>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</si>
  <si>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</si>
  <si>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</si>
  <si>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</si>
  <si>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</si>
  <si>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</si>
  <si>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</si>
  <si>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</si>
  <si>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</si>
  <si>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</si>
  <si>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</si>
  <si>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</si>
  <si>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</si>
  <si>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</si>
  <si>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</si>
  <si>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</si>
  <si>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</si>
  <si>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</si>
  <si>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</si>
  <si>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</si>
  <si>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</si>
  <si>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</si>
  <si>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</si>
  <si>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</si>
  <si>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</si>
  <si>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</si>
  <si>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</si>
  <si>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</si>
  <si>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</si>
  <si>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</si>
  <si>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</si>
  <si>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</si>
  <si>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</si>
  <si>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</si>
  <si>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</si>
  <si>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</si>
  <si>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</si>
  <si>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</si>
  <si>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</si>
  <si>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</si>
  <si>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</si>
  <si>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Huhtamaki India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</si>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</sst>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Huhtamaki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K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si="11"/>
        <v>46022</v>
      </c>
      <c r="CL1" s="79">
        <f t="shared" ref="CL1" si="12">EOMONTH(CK1,3)</f>
        <v>46112</v>
      </c>
      <c r="CM1" s="79">
        <f t="shared" ref="CM1" si="13">EOMONTH(CL1,3)</f>
        <v>46203</v>
      </c>
      <c r="CN1" s="79">
        <f t="shared" ref="CN1" si="14">EOMONTH(CM1,3)</f>
        <v>46295</v>
      </c>
      <c r="CO1" s="79">
        <f t="shared" ref="CO1" si="15">EOMONTH(CN1,3)</f>
        <v>46387</v>
      </c>
      <c r="CP1" s="79">
        <f t="shared" ref="CP1" si="16">EOMONTH(CO1,3)</f>
        <v>46477</v>
      </c>
      <c r="CQ1" s="79">
        <f t="shared" ref="CQ1" si="17">EOMONTH(CP1,3)</f>
        <v>46568</v>
      </c>
      <c r="CR1" s="79">
        <f t="shared" ref="CR1" si="18">EOMONTH(CQ1,3)</f>
        <v>46660</v>
      </c>
      <c r="CS1" s="79">
        <f t="shared" ref="CS1" si="19">EOMONTH(CR1,3)</f>
        <v>46752</v>
      </c>
      <c r="CT1" s="79">
        <f t="shared" ref="CT1" si="20">EOMONTH(CS1,3)</f>
        <v>46843</v>
      </c>
      <c r="CU1" s="79">
        <f t="shared" ref="CU1" si="21">EOMONTH(CT1,3)</f>
        <v>46934</v>
      </c>
      <c r="CV1" s="79">
        <f t="shared" ref="CV1" si="22">EOMONTH(CU1,3)</f>
        <v>47026</v>
      </c>
      <c r="CW1" s="79">
        <f t="shared" ref="CW1" si="23">EOMONTH(CV1,3)</f>
        <v>47118</v>
      </c>
      <c r="CX1" s="79">
        <f t="shared" ref="CX1" si="24">EOMONTH(CW1,3)</f>
        <v>47208</v>
      </c>
      <c r="CY1" s="79">
        <f t="shared" ref="CY1" si="25">EOMONTH(CX1,3)</f>
        <v>47299</v>
      </c>
      <c r="CZ1" s="79">
        <f t="shared" ref="CZ1" si="26">EOMONTH(CY1,3)</f>
        <v>47391</v>
      </c>
      <c r="DA1" s="79">
        <f t="shared" ref="DA1" si="27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59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354.2851</v>
      </c>
      <c r="E8" s="24">
        <f>'Annual Raw'!F6</f>
        <v>416.18239999999997</v>
      </c>
      <c r="F8" s="24">
        <f>'Annual Raw'!G6</f>
        <v>424.95269999999999</v>
      </c>
      <c r="G8" s="24">
        <f>'Annual Raw'!H6</f>
        <v>468.3587</v>
      </c>
      <c r="H8" s="24">
        <f>'Annual Raw'!I6</f>
        <v>547.36689999999999</v>
      </c>
      <c r="I8" s="24">
        <f>'Annual Raw'!J6</f>
        <v>607.7681</v>
      </c>
      <c r="J8" s="24">
        <f>'Annual Raw'!K6</f>
        <v>681.13829999999996</v>
      </c>
      <c r="K8" s="24">
        <f>'Annual Raw'!L6</f>
        <v>626.23069999999996</v>
      </c>
      <c r="L8" s="24">
        <f>'Annual Raw'!M6</f>
        <v>770.33429999999998</v>
      </c>
      <c r="M8" s="24">
        <f>'Annual Raw'!N6</f>
        <v>851.40409999999997</v>
      </c>
      <c r="N8" s="24">
        <f>'Annual Raw'!O6</f>
        <v>961.56740000000002</v>
      </c>
      <c r="O8" s="24">
        <f>'Annual Raw'!P6</f>
        <v>1158.7182</v>
      </c>
      <c r="P8" s="24">
        <f>'Annual Raw'!Q6</f>
        <v>1311.6132</v>
      </c>
      <c r="Q8" s="24">
        <f>'Annual Raw'!R6</f>
        <v>2196.2393000000002</v>
      </c>
      <c r="R8" s="24">
        <f>'Annual Raw'!S6</f>
        <v>2360.2952</v>
      </c>
      <c r="S8" s="24">
        <f>'Annual Raw'!T6</f>
        <v>2229.6860000000001</v>
      </c>
      <c r="T8" s="24">
        <f>'Annual Raw'!U6</f>
        <v>2388.1905000000002</v>
      </c>
      <c r="U8" s="24">
        <f>'Annual Raw'!V6</f>
        <v>2617.4499999999998</v>
      </c>
      <c r="V8" s="24">
        <f>'Annual Raw'!W6</f>
        <v>2482.9499999999998</v>
      </c>
      <c r="W8" s="24">
        <f>'Annual Raw'!X6</f>
        <v>2648.19</v>
      </c>
      <c r="X8" s="24">
        <f>'Annual Raw'!Y6</f>
        <v>3009.82</v>
      </c>
      <c r="Y8" s="24">
        <f>'Annual Raw'!Z6</f>
        <v>2580.7199999999998</v>
      </c>
      <c r="Z8" s="24">
        <f>'Annual Raw'!AA6</f>
        <v>2537.35</v>
      </c>
      <c r="AA8" s="24">
        <f>'Annual Raw'!AB6</f>
        <v>2488.1</v>
      </c>
      <c r="AB8" s="16">
        <f>+SUM(CL8:CO8)</f>
        <v>2450.1154605462816</v>
      </c>
      <c r="AC8" s="16">
        <f>+SUM(CP8:CS8)</f>
        <v>2427.948112435764</v>
      </c>
      <c r="AD8" s="16">
        <f>+SUM(CT8:CW8)</f>
        <v>2405.9096367741336</v>
      </c>
      <c r="AE8" s="16">
        <f>+SUM(CX8:DA8)</f>
        <v>2384.1382718026161</v>
      </c>
      <c r="AI8" s="24">
        <f>'QTR Raw'!C6+'QTR Raw'!C8</f>
        <v>255.54999999999998</v>
      </c>
      <c r="AJ8" s="24">
        <f>'QTR Raw'!D6+'QTR Raw'!D8</f>
        <v>237.39999999999998</v>
      </c>
      <c r="AK8" s="24">
        <f>'QTR Raw'!E6+'QTR Raw'!E8</f>
        <v>245.25</v>
      </c>
      <c r="AL8" s="24">
        <f>'QTR Raw'!F6+'QTR Raw'!F8</f>
        <v>275.28999999999996</v>
      </c>
      <c r="AM8" s="24">
        <f>'QTR Raw'!G6+'QTR Raw'!G8</f>
        <v>296.68</v>
      </c>
      <c r="AN8" s="24">
        <f>'QTR Raw'!H6+'QTR Raw'!H8</f>
        <v>286.89</v>
      </c>
      <c r="AO8" s="24">
        <f>'QTR Raw'!I6+'QTR Raw'!I8</f>
        <v>299.86</v>
      </c>
      <c r="AP8" s="24">
        <f>'QTR Raw'!J6+'QTR Raw'!J8</f>
        <v>312.14</v>
      </c>
      <c r="AQ8" s="24">
        <f>'QTR Raw'!K6+'QTR Raw'!K8</f>
        <v>331.56</v>
      </c>
      <c r="AR8" s="24">
        <f>'QTR Raw'!L6+'QTR Raw'!L8</f>
        <v>337.02</v>
      </c>
      <c r="AS8" s="24">
        <f>'QTR Raw'!M6+'QTR Raw'!M8</f>
        <v>310.14000000000004</v>
      </c>
      <c r="AT8" s="24">
        <f>'QTR Raw'!N6+'QTR Raw'!N8</f>
        <v>442.35999999999996</v>
      </c>
      <c r="AU8" s="24">
        <f>'QTR Raw'!O6+'QTR Raw'!O8</f>
        <v>544.84</v>
      </c>
      <c r="AV8" s="24">
        <f>'QTR Raw'!P6+'QTR Raw'!P8</f>
        <v>522.18999999999994</v>
      </c>
      <c r="AW8" s="24">
        <f>'QTR Raw'!Q6+'QTR Raw'!Q8</f>
        <v>527.99</v>
      </c>
      <c r="AX8" s="24">
        <f>'QTR Raw'!R6+'QTR Raw'!R8</f>
        <v>525.61</v>
      </c>
      <c r="AY8" s="24">
        <f>'QTR Raw'!S6+'QTR Raw'!S8</f>
        <v>572.18000000000006</v>
      </c>
      <c r="AZ8" s="24">
        <f>'QTR Raw'!T6+'QTR Raw'!T8</f>
        <v>557.46999999999991</v>
      </c>
      <c r="BA8" s="24">
        <f>'QTR Raw'!U6+'QTR Raw'!U8</f>
        <v>522.52</v>
      </c>
      <c r="BB8" s="24">
        <f>'QTR Raw'!V6+'QTR Raw'!V8</f>
        <v>562.18000000000006</v>
      </c>
      <c r="BC8" s="24">
        <f>'QTR Raw'!W6+'QTR Raw'!W8</f>
        <v>559.17999999999995</v>
      </c>
      <c r="BD8" s="24">
        <f>'QTR Raw'!X6+'QTR Raw'!X8</f>
        <v>546.41999999999996</v>
      </c>
      <c r="BE8" s="24">
        <f>'QTR Raw'!Y6+'QTR Raw'!Y8</f>
        <v>561.91</v>
      </c>
      <c r="BF8" s="24">
        <f>'QTR Raw'!Z6+'QTR Raw'!Z8</f>
        <v>553.0100000000001</v>
      </c>
      <c r="BG8" s="24">
        <f>'QTR Raw'!AA6+'QTR Raw'!AA8</f>
        <v>595.4799999999999</v>
      </c>
      <c r="BH8" s="24">
        <f>'QTR Raw'!AB6+'QTR Raw'!AB8</f>
        <v>607.51</v>
      </c>
      <c r="BI8" s="24">
        <f>'QTR Raw'!AC6+'QTR Raw'!AC8</f>
        <v>613.07000000000005</v>
      </c>
      <c r="BJ8" s="24">
        <f>'QTR Raw'!AD6+'QTR Raw'!AD8</f>
        <v>629.41000000000008</v>
      </c>
      <c r="BK8" s="24">
        <f>'QTR Raw'!AE6+'QTR Raw'!AE8</f>
        <v>633.75</v>
      </c>
      <c r="BL8" s="24">
        <f>'QTR Raw'!AF6+'QTR Raw'!AF8</f>
        <v>650.14</v>
      </c>
      <c r="BM8" s="24">
        <f>'QTR Raw'!AG6+'QTR Raw'!AG8</f>
        <v>677.66000000000008</v>
      </c>
      <c r="BN8" s="24">
        <f>'QTR Raw'!AH6+'QTR Raw'!AH8</f>
        <v>578.29999999999995</v>
      </c>
      <c r="BO8" s="24">
        <f>'QTR Raw'!AI6+'QTR Raw'!AI8</f>
        <v>640.79000000000008</v>
      </c>
      <c r="BP8" s="24">
        <f>'QTR Raw'!AJ6+'QTR Raw'!AJ8</f>
        <v>685.9</v>
      </c>
      <c r="BQ8" s="24">
        <f>'QTR Raw'!AK6+'QTR Raw'!AK8</f>
        <v>557.70999999999992</v>
      </c>
      <c r="BR8" s="24">
        <f>'QTR Raw'!AL6+'QTR Raw'!AL8</f>
        <v>632.34</v>
      </c>
      <c r="BS8" s="24">
        <f>'QTR Raw'!AM6+'QTR Raw'!AM8</f>
        <v>662.64</v>
      </c>
      <c r="BT8" s="24">
        <f>'QTR Raw'!AN6+'QTR Raw'!AN8</f>
        <v>668.7299999999999</v>
      </c>
      <c r="BU8" s="24">
        <f>'QTR Raw'!AO6+'QTR Raw'!AO8</f>
        <v>661.57</v>
      </c>
      <c r="BV8" s="24">
        <f>'QTR Raw'!AP6+'QTR Raw'!AP8</f>
        <v>728.5100000000001</v>
      </c>
      <c r="BW8" s="24">
        <f>'QTR Raw'!AQ6+'QTR Raw'!AQ8</f>
        <v>792.67000000000007</v>
      </c>
      <c r="BX8" s="24">
        <f>'QTR Raw'!AR6+'QTR Raw'!AR8</f>
        <v>769.03000000000009</v>
      </c>
      <c r="BY8" s="24">
        <f>'QTR Raw'!AS6+'QTR Raw'!AS8</f>
        <v>692.71</v>
      </c>
      <c r="BZ8" s="24">
        <f>'QTR Raw'!AT6+'QTR Raw'!AT8</f>
        <v>661.53</v>
      </c>
      <c r="CA8" s="24">
        <f>'QTR Raw'!AU6+'QTR Raw'!AU8</f>
        <v>621.70000000000005</v>
      </c>
      <c r="CB8" s="24">
        <f>'QTR Raw'!AV6+'QTR Raw'!AV8</f>
        <v>662.48</v>
      </c>
      <c r="CC8" s="24">
        <f>'QTR Raw'!AW6+'QTR Raw'!AW8</f>
        <v>603.73</v>
      </c>
      <c r="CD8" s="24">
        <f>'QTR Raw'!AX6+'QTR Raw'!AX8</f>
        <v>610.12</v>
      </c>
      <c r="CE8" s="24">
        <f>'QTR Raw'!AY6+'QTR Raw'!AY8</f>
        <v>639.45000000000005</v>
      </c>
      <c r="CF8" s="24">
        <f>'QTR Raw'!AZ6+'QTR Raw'!AZ8</f>
        <v>652.5</v>
      </c>
      <c r="CG8" s="24">
        <f>'QTR Raw'!BA6+'QTR Raw'!BA8</f>
        <v>619.11</v>
      </c>
      <c r="CH8" s="24">
        <f>'QTR Raw'!BB6+'QTR Raw'!BB8</f>
        <v>609.92999999999995</v>
      </c>
      <c r="CI8" s="24">
        <f>'QTR Raw'!BC6+'QTR Raw'!BC8</f>
        <v>612.23</v>
      </c>
      <c r="CJ8" s="24">
        <f>'QTR Raw'!BD6+'QTR Raw'!BD8</f>
        <v>624.7299999999999</v>
      </c>
      <c r="CK8" s="24">
        <f>'QTR Raw'!BE6+'QTR Raw'!BE8</f>
        <v>622.52</v>
      </c>
      <c r="CL8" s="24">
        <f>'QTR Raw'!BF6+'QTR Raw'!BF8</f>
        <v>613.1</v>
      </c>
      <c r="CM8" s="16">
        <f t="shared" ref="CM8:DA8" si="28">+CI10+(CM11*CI10)</f>
        <v>600.8391555817708</v>
      </c>
      <c r="CN8" s="16">
        <f t="shared" si="28"/>
        <v>616.8490839405564</v>
      </c>
      <c r="CO8" s="16">
        <f t="shared" si="28"/>
        <v>619.32722102395439</v>
      </c>
      <c r="CP8" s="16">
        <f t="shared" si="28"/>
        <v>608.32519349921245</v>
      </c>
      <c r="CQ8" s="16">
        <f t="shared" si="28"/>
        <v>594.20931837046339</v>
      </c>
      <c r="CR8" s="16">
        <f t="shared" si="28"/>
        <v>611.21016075637976</v>
      </c>
      <c r="CS8" s="16">
        <f t="shared" si="28"/>
        <v>614.20343980970813</v>
      </c>
      <c r="CT8" s="16">
        <f t="shared" si="28"/>
        <v>602.81423780521641</v>
      </c>
      <c r="CU8" s="16">
        <f t="shared" si="28"/>
        <v>588.63739398356302</v>
      </c>
      <c r="CV8" s="16">
        <f t="shared" si="28"/>
        <v>605.73205179318654</v>
      </c>
      <c r="CW8" s="16">
        <f t="shared" si="28"/>
        <v>608.72595319216771</v>
      </c>
      <c r="CX8" s="16">
        <f t="shared" si="28"/>
        <v>597.34113287946286</v>
      </c>
      <c r="CY8" s="16">
        <f t="shared" si="28"/>
        <v>583.29005668828836</v>
      </c>
      <c r="CZ8" s="16">
        <f t="shared" si="28"/>
        <v>600.2737580793995</v>
      </c>
      <c r="DA8" s="16">
        <f t="shared" si="28"/>
        <v>603.23332415546543</v>
      </c>
      <c r="DD8" s="118"/>
      <c r="DE8" s="24">
        <v>2469.41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32.097799999999999</v>
      </c>
      <c r="E9" s="91">
        <f>'Annual Raw'!F7+'Annual Raw'!F8+'Annual Raw'!F9</f>
        <v>33.564499999999995</v>
      </c>
      <c r="F9" s="91">
        <f>'Annual Raw'!G7+'Annual Raw'!G8+'Annual Raw'!G9</f>
        <v>30.931599999999996</v>
      </c>
      <c r="G9" s="91">
        <f>'Annual Raw'!H7+'Annual Raw'!H8+'Annual Raw'!H9</f>
        <v>35.4983</v>
      </c>
      <c r="H9" s="91">
        <f>'Annual Raw'!I7+'Annual Raw'!I8+'Annual Raw'!I9</f>
        <v>46.161999999999999</v>
      </c>
      <c r="I9" s="91">
        <f>'Annual Raw'!J7+'Annual Raw'!J8+'Annual Raw'!J9</f>
        <v>37.180700000000002</v>
      </c>
      <c r="J9" s="91">
        <f>'Annual Raw'!K7+'Annual Raw'!K8+'Annual Raw'!K9</f>
        <v>69.049899999999994</v>
      </c>
      <c r="K9" s="91">
        <f>'Annual Raw'!L7+'Annual Raw'!L8+'Annual Raw'!L9</f>
        <v>48.538400000000003</v>
      </c>
      <c r="L9" s="91">
        <f>'Annual Raw'!M7+'Annual Raw'!M8+'Annual Raw'!M9</f>
        <v>53.997900000000001</v>
      </c>
      <c r="M9" s="91">
        <f>'Annual Raw'!N7+'Annual Raw'!N8+'Annual Raw'!N9</f>
        <v>48.238999999999997</v>
      </c>
      <c r="N9" s="91">
        <f>'Annual Raw'!O7+'Annual Raw'!O8+'Annual Raw'!O9</f>
        <v>60.9801</v>
      </c>
      <c r="O9" s="91">
        <f>'Annual Raw'!P7+'Annual Raw'!P8+'Annual Raw'!P9</f>
        <v>73.217799999999997</v>
      </c>
      <c r="P9" s="91">
        <f>'Annual Raw'!Q7+'Annual Raw'!Q8+'Annual Raw'!Q9</f>
        <v>86.279399999999995</v>
      </c>
      <c r="Q9" s="91">
        <f>'Annual Raw'!R7+'Annual Raw'!R8+'Annual Raw'!R9</f>
        <v>158.85650000000001</v>
      </c>
      <c r="R9" s="91">
        <f>'Annual Raw'!S7+'Annual Raw'!S8+'Annual Raw'!S9</f>
        <v>179.13730000000001</v>
      </c>
      <c r="S9" s="91">
        <f>'Annual Raw'!T7+'Annual Raw'!T8+'Annual Raw'!T9</f>
        <v>98.743799999999993</v>
      </c>
      <c r="T9" s="91">
        <f>'Annual Raw'!U7+'Annual Raw'!U8+'Annual Raw'!U9</f>
        <v>19.1188</v>
      </c>
      <c r="U9" s="91">
        <f>'Annual Raw'!V7+'Annual Raw'!V8+'Annual Raw'!V9</f>
        <v>18.47</v>
      </c>
      <c r="V9" s="91">
        <f>'Annual Raw'!W7+'Annual Raw'!W8+'Annual Raw'!W9</f>
        <v>20.25</v>
      </c>
      <c r="W9" s="91">
        <f>'Annual Raw'!X7+'Annual Raw'!X8+'Annual Raw'!X9</f>
        <v>22.91</v>
      </c>
      <c r="X9" s="91">
        <f>'Annual Raw'!Y7+'Annual Raw'!Y8+'Annual Raw'!Y9</f>
        <v>26.9</v>
      </c>
      <c r="Y9" s="91">
        <f>'Annual Raw'!Z7+'Annual Raw'!Z8+'Annual Raw'!Z9</f>
        <v>31.28</v>
      </c>
      <c r="Z9" s="91">
        <f>'Annual Raw'!AA7+'Annual Raw'!AA8+'Annual Raw'!AA9</f>
        <v>16.170000000000002</v>
      </c>
      <c r="AA9" s="91">
        <f>'Annual Raw'!AB7+'Annual Raw'!AB8+'Annual Raw'!AB9</f>
        <v>18.690000000000001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18.07</v>
      </c>
      <c r="AJ9" s="91">
        <f>'QTR Raw'!D21+'QTR Raw'!D20+'QTR Raw'!D19+'QTR Raw'!D13+'QTR Raw'!D7</f>
        <v>14.6</v>
      </c>
      <c r="AK9" s="91">
        <f>'QTR Raw'!E21+'QTR Raw'!E20+'QTR Raw'!E19+'QTR Raw'!E13+'QTR Raw'!E7</f>
        <v>16.099999999999998</v>
      </c>
      <c r="AL9" s="91">
        <f>'QTR Raw'!F21+'QTR Raw'!F20+'QTR Raw'!F19+'QTR Raw'!F13+'QTR Raw'!F7</f>
        <v>18.48</v>
      </c>
      <c r="AM9" s="91">
        <f>'QTR Raw'!G21+'QTR Raw'!G20+'QTR Raw'!G19+'QTR Raw'!G13+'QTR Raw'!G7</f>
        <v>20.13</v>
      </c>
      <c r="AN9" s="91">
        <f>'QTR Raw'!H21+'QTR Raw'!H20+'QTR Raw'!H19+'QTR Raw'!H13+'QTR Raw'!H7</f>
        <v>18.52</v>
      </c>
      <c r="AO9" s="91">
        <f>'QTR Raw'!I21+'QTR Raw'!I20+'QTR Raw'!I19+'QTR Raw'!I13+'QTR Raw'!I7</f>
        <v>18.54</v>
      </c>
      <c r="AP9" s="91">
        <f>'QTR Raw'!J21+'QTR Raw'!J20+'QTR Raw'!J19+'QTR Raw'!J13+'QTR Raw'!J7</f>
        <v>21.08</v>
      </c>
      <c r="AQ9" s="91">
        <f>'QTR Raw'!K21+'QTR Raw'!K20+'QTR Raw'!K19+'QTR Raw'!K13+'QTR Raw'!K7</f>
        <v>22.29</v>
      </c>
      <c r="AR9" s="91">
        <f>'QTR Raw'!L21+'QTR Raw'!L20+'QTR Raw'!L19+'QTR Raw'!L13+'QTR Raw'!L7</f>
        <v>22.67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0</v>
      </c>
      <c r="AV9" s="91">
        <f>'QTR Raw'!P21+'QTR Raw'!P20+'QTR Raw'!P19+'QTR Raw'!P13+'QTR Raw'!P7</f>
        <v>2.6</v>
      </c>
      <c r="AW9" s="91">
        <f>'QTR Raw'!Q21+'QTR Raw'!Q20+'QTR Raw'!Q19+'QTR Raw'!Q13+'QTR Raw'!Q7</f>
        <v>0.83</v>
      </c>
      <c r="AX9" s="91">
        <f>'QTR Raw'!R21+'QTR Raw'!R20+'QTR Raw'!R19+'QTR Raw'!R13+'QTR Raw'!R7</f>
        <v>0</v>
      </c>
      <c r="AY9" s="91">
        <f>'QTR Raw'!S21+'QTR Raw'!S20+'QTR Raw'!S19+'QTR Raw'!S13+'QTR Raw'!S7</f>
        <v>0.48</v>
      </c>
      <c r="AZ9" s="91">
        <f>'QTR Raw'!T21+'QTR Raw'!T20+'QTR Raw'!T19+'QTR Raw'!T13+'QTR Raw'!T7</f>
        <v>0.45</v>
      </c>
      <c r="BA9" s="91">
        <f>'QTR Raw'!U21+'QTR Raw'!U20+'QTR Raw'!U19+'QTR Raw'!U13+'QTR Raw'!U7</f>
        <v>0</v>
      </c>
      <c r="BB9" s="91">
        <f>'QTR Raw'!V21+'QTR Raw'!V20+'QTR Raw'!V19+'QTR Raw'!V13+'QTR Raw'!V7</f>
        <v>51.74</v>
      </c>
      <c r="BC9" s="91">
        <f>'QTR Raw'!W21+'QTR Raw'!W20+'QTR Raw'!W19+'QTR Raw'!W13+'QTR Raw'!W7</f>
        <v>48.4</v>
      </c>
      <c r="BD9" s="91">
        <f>'QTR Raw'!X21+'QTR Raw'!X20+'QTR Raw'!X19+'QTR Raw'!X13+'QTR Raw'!X7</f>
        <v>-0.75</v>
      </c>
      <c r="BE9" s="91">
        <f>'QTR Raw'!Y21+'QTR Raw'!Y20+'QTR Raw'!Y19+'QTR Raw'!Y13+'QTR Raw'!Y7</f>
        <v>1.88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-2.08</v>
      </c>
      <c r="BI9" s="91">
        <f>'QTR Raw'!AC21+'QTR Raw'!AC20+'QTR Raw'!AC19+'QTR Raw'!AC13+'QTR Raw'!AC7</f>
        <v>1.17</v>
      </c>
      <c r="BJ9" s="91">
        <f>'QTR Raw'!AD21+'QTR Raw'!AD20+'QTR Raw'!AD19+'QTR Raw'!AD13+'QTR Raw'!AD7</f>
        <v>1.83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91">
        <f>'QTR Raw'!BE21+'QTR Raw'!BE20+'QTR Raw'!BE19+'QTR Raw'!BE13+'QTR Raw'!BE7</f>
        <v>0</v>
      </c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29">+D8-D9</f>
        <v>322.18729999999999</v>
      </c>
      <c r="E10" s="25">
        <f t="shared" si="29"/>
        <v>382.61789999999996</v>
      </c>
      <c r="F10" s="25">
        <f t="shared" si="29"/>
        <v>394.02109999999999</v>
      </c>
      <c r="G10" s="25">
        <f t="shared" si="29"/>
        <v>432.86040000000003</v>
      </c>
      <c r="H10" s="25">
        <f t="shared" si="29"/>
        <v>501.20490000000001</v>
      </c>
      <c r="I10" s="25">
        <f t="shared" si="29"/>
        <v>570.5874</v>
      </c>
      <c r="J10" s="25">
        <f t="shared" si="29"/>
        <v>612.08839999999998</v>
      </c>
      <c r="K10" s="25">
        <f t="shared" si="29"/>
        <v>577.69229999999993</v>
      </c>
      <c r="L10" s="25">
        <f t="shared" si="29"/>
        <v>716.33640000000003</v>
      </c>
      <c r="M10" s="25">
        <f t="shared" si="29"/>
        <v>803.16509999999994</v>
      </c>
      <c r="N10" s="25">
        <f t="shared" si="29"/>
        <v>900.58730000000003</v>
      </c>
      <c r="O10" s="25">
        <f t="shared" si="29"/>
        <v>1085.5004000000001</v>
      </c>
      <c r="P10" s="25">
        <f t="shared" si="29"/>
        <v>1225.3338000000001</v>
      </c>
      <c r="Q10" s="25">
        <f t="shared" si="29"/>
        <v>2037.3828000000001</v>
      </c>
      <c r="R10" s="25">
        <f t="shared" si="29"/>
        <v>2181.1579000000002</v>
      </c>
      <c r="S10" s="25">
        <f t="shared" si="29"/>
        <v>2130.9422</v>
      </c>
      <c r="T10" s="25">
        <f t="shared" si="29"/>
        <v>2369.0717</v>
      </c>
      <c r="U10" s="25">
        <f t="shared" si="29"/>
        <v>2598.98</v>
      </c>
      <c r="V10" s="25">
        <f>+V8-V9</f>
        <v>2462.6999999999998</v>
      </c>
      <c r="W10" s="25">
        <f>+W8-W9</f>
        <v>2625.28</v>
      </c>
      <c r="X10" s="25">
        <f>+X8-X9</f>
        <v>2982.92</v>
      </c>
      <c r="Y10" s="25">
        <f>+Y8-Y9</f>
        <v>2549.4399999999996</v>
      </c>
      <c r="Z10" s="25">
        <f>+Z8-Z9</f>
        <v>2521.1799999999998</v>
      </c>
      <c r="AA10" s="25">
        <f>+AA8-AA9</f>
        <v>2469.41</v>
      </c>
      <c r="AB10" s="26">
        <f t="shared" ref="AB10:AD10" si="30">+AB8-AB9</f>
        <v>2450.1154605462816</v>
      </c>
      <c r="AC10" s="26">
        <f t="shared" si="30"/>
        <v>2427.948112435764</v>
      </c>
      <c r="AD10" s="26">
        <f t="shared" si="30"/>
        <v>2405.9096367741336</v>
      </c>
      <c r="AE10" s="26">
        <f t="shared" ref="AE10" si="31">+AE8-AE9</f>
        <v>2384.1382718026161</v>
      </c>
      <c r="AI10" s="25">
        <f t="shared" ref="AI10" si="32">+AI8-AI9</f>
        <v>237.48</v>
      </c>
      <c r="AJ10" s="25">
        <f t="shared" ref="AJ10" si="33">+AJ8-AJ9</f>
        <v>222.79999999999998</v>
      </c>
      <c r="AK10" s="25">
        <f t="shared" ref="AK10:AM10" si="34">+AK8-AK9</f>
        <v>229.15</v>
      </c>
      <c r="AL10" s="25">
        <f t="shared" si="34"/>
        <v>256.80999999999995</v>
      </c>
      <c r="AM10" s="25">
        <f t="shared" si="34"/>
        <v>276.55</v>
      </c>
      <c r="AN10" s="25">
        <f t="shared" ref="AN10:AO10" si="35">+AN8-AN9</f>
        <v>268.37</v>
      </c>
      <c r="AO10" s="25">
        <f t="shared" si="35"/>
        <v>281.32</v>
      </c>
      <c r="AP10" s="25">
        <f t="shared" ref="AP10:AW10" si="36">+AP8-AP9</f>
        <v>291.06</v>
      </c>
      <c r="AQ10" s="25">
        <f t="shared" si="36"/>
        <v>309.27</v>
      </c>
      <c r="AR10" s="25">
        <f t="shared" si="36"/>
        <v>314.34999999999997</v>
      </c>
      <c r="AS10" s="25">
        <f t="shared" si="36"/>
        <v>310.14000000000004</v>
      </c>
      <c r="AT10" s="25">
        <f t="shared" si="36"/>
        <v>442.35999999999996</v>
      </c>
      <c r="AU10" s="25">
        <f t="shared" si="36"/>
        <v>544.84</v>
      </c>
      <c r="AV10" s="25">
        <f t="shared" si="36"/>
        <v>519.58999999999992</v>
      </c>
      <c r="AW10" s="25">
        <f t="shared" si="36"/>
        <v>527.16</v>
      </c>
      <c r="AX10" s="25">
        <f t="shared" ref="AX10:CF10" si="37">+AX8-AX9</f>
        <v>525.61</v>
      </c>
      <c r="AY10" s="25">
        <f t="shared" si="37"/>
        <v>571.70000000000005</v>
      </c>
      <c r="AZ10" s="25">
        <f t="shared" si="37"/>
        <v>557.01999999999987</v>
      </c>
      <c r="BA10" s="25">
        <f t="shared" si="37"/>
        <v>522.52</v>
      </c>
      <c r="BB10" s="25">
        <f t="shared" si="37"/>
        <v>510.44000000000005</v>
      </c>
      <c r="BC10" s="25">
        <f t="shared" si="37"/>
        <v>510.78</v>
      </c>
      <c r="BD10" s="25">
        <f t="shared" si="37"/>
        <v>547.16999999999996</v>
      </c>
      <c r="BE10" s="25">
        <f t="shared" si="37"/>
        <v>560.03</v>
      </c>
      <c r="BF10" s="25">
        <f t="shared" si="37"/>
        <v>553.0100000000001</v>
      </c>
      <c r="BG10" s="25">
        <f t="shared" si="37"/>
        <v>595.4799999999999</v>
      </c>
      <c r="BH10" s="25">
        <f t="shared" si="37"/>
        <v>609.59</v>
      </c>
      <c r="BI10" s="25">
        <f t="shared" si="37"/>
        <v>611.90000000000009</v>
      </c>
      <c r="BJ10" s="25">
        <f t="shared" si="37"/>
        <v>627.58000000000004</v>
      </c>
      <c r="BK10" s="25">
        <f t="shared" si="37"/>
        <v>633.75</v>
      </c>
      <c r="BL10" s="25">
        <f t="shared" si="37"/>
        <v>650.14</v>
      </c>
      <c r="BM10" s="25">
        <f t="shared" si="37"/>
        <v>677.66000000000008</v>
      </c>
      <c r="BN10" s="25">
        <f t="shared" si="37"/>
        <v>578.29999999999995</v>
      </c>
      <c r="BO10" s="25">
        <f t="shared" si="37"/>
        <v>640.79000000000008</v>
      </c>
      <c r="BP10" s="25">
        <f t="shared" si="37"/>
        <v>685.9</v>
      </c>
      <c r="BQ10" s="25">
        <f t="shared" si="37"/>
        <v>557.70999999999992</v>
      </c>
      <c r="BR10" s="25">
        <f t="shared" si="37"/>
        <v>632.34</v>
      </c>
      <c r="BS10" s="25">
        <f t="shared" si="37"/>
        <v>662.64</v>
      </c>
      <c r="BT10" s="25">
        <f t="shared" si="37"/>
        <v>668.7299999999999</v>
      </c>
      <c r="BU10" s="25">
        <f t="shared" si="37"/>
        <v>661.57</v>
      </c>
      <c r="BV10" s="25">
        <f t="shared" si="37"/>
        <v>728.5100000000001</v>
      </c>
      <c r="BW10" s="25">
        <f t="shared" si="37"/>
        <v>792.67000000000007</v>
      </c>
      <c r="BX10" s="25">
        <f t="shared" si="37"/>
        <v>769.03000000000009</v>
      </c>
      <c r="BY10" s="25">
        <f t="shared" si="37"/>
        <v>692.71</v>
      </c>
      <c r="BZ10" s="25">
        <f t="shared" si="37"/>
        <v>661.53</v>
      </c>
      <c r="CA10" s="25">
        <f t="shared" si="37"/>
        <v>621.70000000000005</v>
      </c>
      <c r="CB10" s="25">
        <f t="shared" si="37"/>
        <v>662.48</v>
      </c>
      <c r="CC10" s="25">
        <f t="shared" si="37"/>
        <v>603.73</v>
      </c>
      <c r="CD10" s="25">
        <f t="shared" si="37"/>
        <v>610.12</v>
      </c>
      <c r="CE10" s="25">
        <f t="shared" si="37"/>
        <v>639.45000000000005</v>
      </c>
      <c r="CF10" s="25">
        <f t="shared" si="37"/>
        <v>652.5</v>
      </c>
      <c r="CG10" s="25">
        <f t="shared" ref="CG10:CH10" si="38">+CG8-CG9</f>
        <v>619.11</v>
      </c>
      <c r="CH10" s="25">
        <f t="shared" si="38"/>
        <v>609.92999999999995</v>
      </c>
      <c r="CI10" s="25">
        <f t="shared" ref="CI10:CJ10" si="39">+CI8-CI9</f>
        <v>612.23</v>
      </c>
      <c r="CJ10" s="25">
        <f t="shared" si="39"/>
        <v>624.7299999999999</v>
      </c>
      <c r="CK10" s="25">
        <f t="shared" ref="CK10:CL10" si="40">+CK8-CK9</f>
        <v>622.52</v>
      </c>
      <c r="CL10" s="25">
        <f t="shared" si="40"/>
        <v>613.1</v>
      </c>
      <c r="CM10" s="26">
        <f t="shared" ref="CM10:DA10" si="41">+CM8-CM9</f>
        <v>600.8391555817708</v>
      </c>
      <c r="CN10" s="26">
        <f t="shared" si="41"/>
        <v>616.8490839405564</v>
      </c>
      <c r="CO10" s="26">
        <f t="shared" si="41"/>
        <v>619.32722102395439</v>
      </c>
      <c r="CP10" s="26">
        <f t="shared" si="41"/>
        <v>608.32519349921245</v>
      </c>
      <c r="CQ10" s="26">
        <f t="shared" si="41"/>
        <v>594.20931837046339</v>
      </c>
      <c r="CR10" s="26">
        <f t="shared" si="41"/>
        <v>611.21016075637976</v>
      </c>
      <c r="CS10" s="26">
        <f t="shared" si="41"/>
        <v>614.20343980970813</v>
      </c>
      <c r="CT10" s="26">
        <f t="shared" si="41"/>
        <v>602.81423780521641</v>
      </c>
      <c r="CU10" s="26">
        <f t="shared" si="41"/>
        <v>588.63739398356302</v>
      </c>
      <c r="CV10" s="26">
        <f t="shared" si="41"/>
        <v>605.73205179318654</v>
      </c>
      <c r="CW10" s="26">
        <f t="shared" si="41"/>
        <v>608.72595319216771</v>
      </c>
      <c r="CX10" s="26">
        <f t="shared" si="41"/>
        <v>597.34113287946286</v>
      </c>
      <c r="CY10" s="26">
        <f t="shared" si="41"/>
        <v>583.29005668828836</v>
      </c>
      <c r="CZ10" s="26">
        <f t="shared" si="41"/>
        <v>600.2737580793995</v>
      </c>
      <c r="DA10" s="26">
        <f t="shared" si="41"/>
        <v>603.23332415546543</v>
      </c>
      <c r="DD10" s="120"/>
      <c r="DE10" s="25">
        <v>2469.41</v>
      </c>
    </row>
    <row r="11" spans="1:109" s="38" customFormat="1" x14ac:dyDescent="0.2">
      <c r="A11" s="38" t="s">
        <v>484</v>
      </c>
      <c r="C11" s="38" t="e">
        <f t="shared" ref="C11" si="42">C10/B10-1</f>
        <v>#DIV/0!</v>
      </c>
      <c r="D11" s="38" t="e">
        <f t="shared" ref="D11" si="43">D10/C10-1</f>
        <v>#DIV/0!</v>
      </c>
      <c r="E11" s="38">
        <f t="shared" ref="E11" si="44">E10/D10-1</f>
        <v>0.1875635693896065</v>
      </c>
      <c r="F11" s="38">
        <f t="shared" ref="F11:R11" si="45">F10/E10-1</f>
        <v>2.980310121403118E-2</v>
      </c>
      <c r="G11" s="38">
        <f t="shared" si="45"/>
        <v>9.8571624717559647E-2</v>
      </c>
      <c r="H11" s="38">
        <f t="shared" si="45"/>
        <v>0.15789039607226707</v>
      </c>
      <c r="I11" s="38">
        <f t="shared" si="45"/>
        <v>0.13843140799301845</v>
      </c>
      <c r="J11" s="38">
        <f t="shared" si="45"/>
        <v>7.2733817816516666E-2</v>
      </c>
      <c r="K11" s="38">
        <f>K10/J10-1</f>
        <v>-5.6194660771222038E-2</v>
      </c>
      <c r="L11" s="38">
        <f t="shared" si="45"/>
        <v>0.23999644793603814</v>
      </c>
      <c r="M11" s="38">
        <f t="shared" si="45"/>
        <v>0.12121218466631034</v>
      </c>
      <c r="N11" s="38">
        <f t="shared" si="45"/>
        <v>0.12129785021784456</v>
      </c>
      <c r="O11" s="38">
        <f t="shared" si="45"/>
        <v>0.20532501402140602</v>
      </c>
      <c r="P11" s="38">
        <f t="shared" si="45"/>
        <v>0.12881929845442697</v>
      </c>
      <c r="Q11" s="38">
        <f t="shared" si="45"/>
        <v>0.66271655935713181</v>
      </c>
      <c r="R11" s="38">
        <f t="shared" si="45"/>
        <v>7.0568525463158061E-2</v>
      </c>
      <c r="S11" s="38">
        <f t="shared" ref="S11:AA11" si="46">S10/R10-1</f>
        <v>-2.3022496445580631E-2</v>
      </c>
      <c r="T11" s="38">
        <f t="shared" si="46"/>
        <v>0.11174845568312453</v>
      </c>
      <c r="U11" s="38">
        <f t="shared" si="46"/>
        <v>9.7045733145180835E-2</v>
      </c>
      <c r="V11" s="38">
        <f t="shared" si="46"/>
        <v>-5.2435955644137389E-2</v>
      </c>
      <c r="W11" s="38">
        <f t="shared" si="46"/>
        <v>6.6016973240752286E-2</v>
      </c>
      <c r="X11" s="38">
        <f t="shared" si="46"/>
        <v>0.13622927840078014</v>
      </c>
      <c r="Y11" s="38">
        <f t="shared" si="46"/>
        <v>-0.14532069247582924</v>
      </c>
      <c r="Z11" s="38">
        <f t="shared" si="46"/>
        <v>-1.1084787247395367E-2</v>
      </c>
      <c r="AA11" s="38">
        <f t="shared" si="46"/>
        <v>-2.053403564997347E-2</v>
      </c>
      <c r="AB11" s="39">
        <f t="shared" ref="AB11" si="47">AB10/AA10-1</f>
        <v>-7.8134207983762138E-3</v>
      </c>
      <c r="AC11" s="39">
        <f t="shared" ref="AC11" si="48">AC10/AB10-1</f>
        <v>-9.0474708100389822E-3</v>
      </c>
      <c r="AD11" s="39">
        <f t="shared" ref="AD11" si="49">AD10/AC10-1</f>
        <v>-9.0769961469732152E-3</v>
      </c>
      <c r="AE11" s="39">
        <f t="shared" ref="AE11" si="50">AE10/AD10-1</f>
        <v>-9.0491199830383673E-3</v>
      </c>
      <c r="AM11" s="38">
        <f t="shared" ref="AM11:CI11" si="51">+IF(AI10&lt;0,1-AM10/AI10,AM10/AI10-1)</f>
        <v>0.16451911739936009</v>
      </c>
      <c r="AN11" s="38">
        <f t="shared" si="51"/>
        <v>0.20453321364452437</v>
      </c>
      <c r="AO11" s="38">
        <f t="shared" si="51"/>
        <v>0.22766746672485261</v>
      </c>
      <c r="AP11" s="38">
        <f t="shared" si="51"/>
        <v>0.13336708072115599</v>
      </c>
      <c r="AQ11" s="38">
        <f t="shared" si="51"/>
        <v>0.11831495208822984</v>
      </c>
      <c r="AR11" s="38">
        <f t="shared" si="51"/>
        <v>0.17133062562879586</v>
      </c>
      <c r="AS11" s="38">
        <f t="shared" si="51"/>
        <v>0.10244561353618664</v>
      </c>
      <c r="AT11" s="38">
        <f t="shared" si="51"/>
        <v>0.5198240912526626</v>
      </c>
      <c r="AU11" s="38">
        <f t="shared" si="51"/>
        <v>0.76169689914961047</v>
      </c>
      <c r="AV11" s="38">
        <f t="shared" si="51"/>
        <v>0.65290281533322725</v>
      </c>
      <c r="AW11" s="38">
        <f t="shared" si="51"/>
        <v>0.69974850067711314</v>
      </c>
      <c r="AX11" s="38">
        <f t="shared" si="51"/>
        <v>0.18819513518401321</v>
      </c>
      <c r="AY11" s="38">
        <f t="shared" si="51"/>
        <v>4.9298876734454211E-2</v>
      </c>
      <c r="AZ11" s="38">
        <f t="shared" si="51"/>
        <v>7.2037568082526482E-2</v>
      </c>
      <c r="BA11" s="38">
        <f t="shared" si="51"/>
        <v>-8.8018817816222228E-3</v>
      </c>
      <c r="BB11" s="38">
        <f t="shared" si="51"/>
        <v>-2.8861703544453055E-2</v>
      </c>
      <c r="BC11" s="38">
        <f t="shared" si="51"/>
        <v>-0.10655938429246115</v>
      </c>
      <c r="BD11" s="38">
        <f t="shared" si="51"/>
        <v>-1.7683386592940886E-2</v>
      </c>
      <c r="BE11" s="38">
        <f t="shared" si="51"/>
        <v>7.178672586695245E-2</v>
      </c>
      <c r="BF11" s="38">
        <f t="shared" si="51"/>
        <v>8.3398636470496168E-2</v>
      </c>
      <c r="BG11" s="38">
        <f t="shared" si="51"/>
        <v>0.16582481694663054</v>
      </c>
      <c r="BH11" s="38">
        <f t="shared" si="51"/>
        <v>0.11407789169727889</v>
      </c>
      <c r="BI11" s="38">
        <f t="shared" si="51"/>
        <v>9.2620038212238853E-2</v>
      </c>
      <c r="BJ11" s="38">
        <f t="shared" si="51"/>
        <v>0.13484385454150916</v>
      </c>
      <c r="BK11" s="38">
        <f t="shared" si="51"/>
        <v>6.4267481695439166E-2</v>
      </c>
      <c r="BL11" s="38">
        <f t="shared" si="51"/>
        <v>6.6520120080709955E-2</v>
      </c>
      <c r="BM11" s="38">
        <f t="shared" si="51"/>
        <v>0.10746854061121103</v>
      </c>
      <c r="BN11" s="38">
        <f t="shared" si="51"/>
        <v>-7.8523853532617482E-2</v>
      </c>
      <c r="BO11" s="38">
        <f t="shared" si="51"/>
        <v>1.1108481262327441E-2</v>
      </c>
      <c r="BP11" s="38">
        <f t="shared" si="51"/>
        <v>5.5003537699572336E-2</v>
      </c>
      <c r="BQ11" s="38">
        <f t="shared" si="51"/>
        <v>-0.17700616828498084</v>
      </c>
      <c r="BR11" s="38">
        <f t="shared" si="51"/>
        <v>9.3446308144561785E-2</v>
      </c>
      <c r="BS11" s="38">
        <f t="shared" si="51"/>
        <v>3.4098534621326726E-2</v>
      </c>
      <c r="BT11" s="38">
        <f t="shared" si="51"/>
        <v>-2.5032803615687493E-2</v>
      </c>
      <c r="BU11" s="38">
        <f t="shared" si="51"/>
        <v>0.18622581628444923</v>
      </c>
      <c r="BV11" s="38">
        <f t="shared" si="51"/>
        <v>0.15208590315336701</v>
      </c>
      <c r="BW11" s="38">
        <f t="shared" si="51"/>
        <v>0.19623023059278055</v>
      </c>
      <c r="BX11" s="38">
        <f t="shared" si="51"/>
        <v>0.14998579396767031</v>
      </c>
      <c r="BY11" s="38">
        <f t="shared" si="51"/>
        <v>4.7069848995571206E-2</v>
      </c>
      <c r="BZ11" s="38">
        <f t="shared" si="51"/>
        <v>-9.1941085228754771E-2</v>
      </c>
      <c r="CA11" s="38">
        <f t="shared" si="51"/>
        <v>-0.21568874815496997</v>
      </c>
      <c r="CB11" s="38">
        <f t="shared" si="51"/>
        <v>-0.13855116185324379</v>
      </c>
      <c r="CC11" s="38">
        <f t="shared" si="51"/>
        <v>-0.12845202176957171</v>
      </c>
      <c r="CD11" s="38">
        <f t="shared" si="51"/>
        <v>-7.7713784711199718E-2</v>
      </c>
      <c r="CE11" s="38">
        <f t="shared" si="51"/>
        <v>2.8550747949171562E-2</v>
      </c>
      <c r="CF11" s="38">
        <f t="shared" si="51"/>
        <v>-1.5064605723946412E-2</v>
      </c>
      <c r="CG11" s="38">
        <f t="shared" si="51"/>
        <v>2.5474963973961762E-2</v>
      </c>
      <c r="CH11" s="38">
        <f t="shared" si="51"/>
        <v>-3.1141414803659284E-4</v>
      </c>
      <c r="CI11" s="38">
        <f t="shared" si="51"/>
        <v>-4.2567831730393357E-2</v>
      </c>
      <c r="CJ11" s="38">
        <f>+IF(CF10&lt;0,1-CJ10/CF10,CJ10/CF10-1)</f>
        <v>-4.255938697318018E-2</v>
      </c>
      <c r="CK11" s="38">
        <f>+IF(CG10&lt;0,1-CK10/CG10,CK10/CG10-1)</f>
        <v>5.5079065109593373E-3</v>
      </c>
      <c r="CL11" s="38">
        <f>+IF(CH10&lt;0,1-CL10/CH10,CL10/CH10-1)</f>
        <v>5.1973177249848845E-3</v>
      </c>
      <c r="CM11" s="39">
        <f t="shared" ref="CM11" si="52">+AVERAGE(CI11:CL11)</f>
        <v>-1.8605498616907329E-2</v>
      </c>
      <c r="CN11" s="39">
        <f t="shared" ref="CN11" si="53">+AVERAGE(CJ11:CM11)</f>
        <v>-1.2614915338535822E-2</v>
      </c>
      <c r="CO11" s="39">
        <f t="shared" ref="CO11" si="54">+AVERAGE(CK11:CN11)</f>
        <v>-5.1287974298747322E-3</v>
      </c>
      <c r="CP11" s="39">
        <f t="shared" ref="CP11" si="55">+AVERAGE(CL11:CO11)</f>
        <v>-7.7879734150832491E-3</v>
      </c>
      <c r="CQ11" s="39">
        <f t="shared" ref="CQ11" si="56">+AVERAGE(CM11:CP11)</f>
        <v>-1.1034296200100283E-2</v>
      </c>
      <c r="CR11" s="39">
        <f t="shared" ref="CR11" si="57">+AVERAGE(CN11:CQ11)</f>
        <v>-9.141495595898521E-3</v>
      </c>
      <c r="CS11" s="39">
        <f t="shared" ref="CS11" si="58">+AVERAGE(CO11:CR11)</f>
        <v>-8.2731406602391949E-3</v>
      </c>
      <c r="CT11" s="39">
        <f t="shared" ref="CT11" si="59">+AVERAGE(CP11:CS11)</f>
        <v>-9.0592264678303128E-3</v>
      </c>
      <c r="CU11" s="39">
        <f t="shared" ref="CU11" si="60">+AVERAGE(CQ11:CT11)</f>
        <v>-9.3770397310170769E-3</v>
      </c>
      <c r="CV11" s="39">
        <f t="shared" ref="CV11" si="61">+AVERAGE(CR11:CU11)</f>
        <v>-8.9627256137462773E-3</v>
      </c>
      <c r="CW11" s="39">
        <f t="shared" ref="CW11" si="62">+AVERAGE(CS11:CV11)</f>
        <v>-8.9180331182082163E-3</v>
      </c>
      <c r="CX11" s="39">
        <f t="shared" ref="CX11" si="63">+AVERAGE(CT11:CW11)</f>
        <v>-9.0792562327004708E-3</v>
      </c>
      <c r="CY11" s="39">
        <f t="shared" ref="CY11" si="64">+AVERAGE(CU11:CX11)</f>
        <v>-9.0842636739180103E-3</v>
      </c>
      <c r="CZ11" s="39">
        <f t="shared" ref="CZ11" si="65">+AVERAGE(CV11:CY11)</f>
        <v>-9.0110696596432428E-3</v>
      </c>
      <c r="DA11" s="39">
        <f t="shared" ref="DA11" si="66">+AVERAGE(CW11:CZ11)</f>
        <v>-9.023155671117486E-3</v>
      </c>
      <c r="DD11" s="121"/>
      <c r="DE11" s="38">
        <v>-2.053403564997347E-2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7">+IF(AI10&lt;0,1-AJ10/AI10,AJ10/AI10-1)</f>
        <v>-6.1815731851103228E-2</v>
      </c>
      <c r="AK12" s="38">
        <f t="shared" si="67"/>
        <v>2.8500897666068337E-2</v>
      </c>
      <c r="AL12" s="38">
        <f t="shared" si="67"/>
        <v>0.12070696050621832</v>
      </c>
      <c r="AM12" s="38">
        <f t="shared" ref="AM12:CI12" si="68">+IF(AL10&lt;0,1-AM10/AL10,AM10/AL10-1)</f>
        <v>7.6866165647755391E-2</v>
      </c>
      <c r="AN12" s="38">
        <f t="shared" si="68"/>
        <v>-2.9578738022057571E-2</v>
      </c>
      <c r="AO12" s="38">
        <f t="shared" si="68"/>
        <v>4.8254275813242931E-2</v>
      </c>
      <c r="AP12" s="38">
        <f t="shared" si="68"/>
        <v>3.462249395705963E-2</v>
      </c>
      <c r="AQ12" s="38">
        <f t="shared" si="68"/>
        <v>6.2564419707276775E-2</v>
      </c>
      <c r="AR12" s="38">
        <f t="shared" si="68"/>
        <v>1.6425776829307681E-2</v>
      </c>
      <c r="AS12" s="38">
        <f t="shared" si="68"/>
        <v>-1.3392715126451127E-2</v>
      </c>
      <c r="AT12" s="38">
        <f t="shared" si="68"/>
        <v>0.42632359579544699</v>
      </c>
      <c r="AU12" s="38">
        <f t="shared" si="68"/>
        <v>0.23166651595985188</v>
      </c>
      <c r="AV12" s="38">
        <f t="shared" si="68"/>
        <v>-4.6343880772337087E-2</v>
      </c>
      <c r="AW12" s="38">
        <f t="shared" si="68"/>
        <v>1.4569179545410815E-2</v>
      </c>
      <c r="AX12" s="38">
        <f t="shared" si="68"/>
        <v>-2.9402837848090391E-3</v>
      </c>
      <c r="AY12" s="38">
        <f t="shared" si="68"/>
        <v>8.7688590399725985E-2</v>
      </c>
      <c r="AZ12" s="38">
        <f t="shared" si="68"/>
        <v>-2.5677803043554603E-2</v>
      </c>
      <c r="BA12" s="38">
        <f t="shared" si="68"/>
        <v>-6.1936734767153556E-2</v>
      </c>
      <c r="BB12" s="38">
        <f t="shared" si="68"/>
        <v>-2.3118732297328193E-2</v>
      </c>
      <c r="BC12" s="38">
        <f t="shared" si="68"/>
        <v>6.6609199905953709E-4</v>
      </c>
      <c r="BD12" s="38">
        <f t="shared" si="68"/>
        <v>7.1243979795606593E-2</v>
      </c>
      <c r="BE12" s="38">
        <f t="shared" si="68"/>
        <v>2.3502750516293025E-2</v>
      </c>
      <c r="BF12" s="38">
        <f t="shared" si="68"/>
        <v>-1.253504276556594E-2</v>
      </c>
      <c r="BG12" s="38">
        <f t="shared" si="68"/>
        <v>7.6797887922460228E-2</v>
      </c>
      <c r="BH12" s="38">
        <f t="shared" si="68"/>
        <v>2.3695170282797218E-2</v>
      </c>
      <c r="BI12" s="38">
        <f t="shared" si="68"/>
        <v>3.7894322413425385E-3</v>
      </c>
      <c r="BJ12" s="38">
        <f t="shared" si="68"/>
        <v>2.5625102140872658E-2</v>
      </c>
      <c r="BK12" s="38">
        <f t="shared" si="68"/>
        <v>9.8314159151022817E-3</v>
      </c>
      <c r="BL12" s="38">
        <f t="shared" si="68"/>
        <v>2.586193293885608E-2</v>
      </c>
      <c r="BM12" s="38">
        <f t="shared" si="68"/>
        <v>4.232934444888814E-2</v>
      </c>
      <c r="BN12" s="38">
        <f t="shared" si="68"/>
        <v>-0.14662219992326553</v>
      </c>
      <c r="BO12" s="38">
        <f t="shared" si="68"/>
        <v>0.10805810133148896</v>
      </c>
      <c r="BP12" s="38">
        <f t="shared" si="68"/>
        <v>7.0397478112954159E-2</v>
      </c>
      <c r="BQ12" s="38">
        <f t="shared" si="68"/>
        <v>-0.18689313310978284</v>
      </c>
      <c r="BR12" s="38">
        <f t="shared" si="68"/>
        <v>0.13381506517724295</v>
      </c>
      <c r="BS12" s="38">
        <f t="shared" si="68"/>
        <v>4.7917259702058956E-2</v>
      </c>
      <c r="BT12" s="38">
        <f t="shared" si="68"/>
        <v>9.1905106845344697E-3</v>
      </c>
      <c r="BU12" s="38">
        <f t="shared" si="68"/>
        <v>-1.070686226130102E-2</v>
      </c>
      <c r="BV12" s="38">
        <f t="shared" si="68"/>
        <v>0.10118354822618936</v>
      </c>
      <c r="BW12" s="38">
        <f t="shared" si="68"/>
        <v>8.8070170622228883E-2</v>
      </c>
      <c r="BX12" s="38">
        <f t="shared" si="68"/>
        <v>-2.9823255579244812E-2</v>
      </c>
      <c r="BY12" s="38">
        <f t="shared" si="68"/>
        <v>-9.9241902136457671E-2</v>
      </c>
      <c r="BZ12" s="38">
        <f t="shared" si="68"/>
        <v>-4.5011621024671267E-2</v>
      </c>
      <c r="CA12" s="38">
        <f t="shared" si="68"/>
        <v>-6.0208909648844289E-2</v>
      </c>
      <c r="CB12" s="38">
        <f t="shared" si="68"/>
        <v>6.5594338105195327E-2</v>
      </c>
      <c r="CC12" s="38">
        <f t="shared" si="68"/>
        <v>-8.8681922473131225E-2</v>
      </c>
      <c r="CD12" s="38">
        <f t="shared" si="68"/>
        <v>1.0584201547049199E-2</v>
      </c>
      <c r="CE12" s="38">
        <f t="shared" si="68"/>
        <v>4.8072510325837703E-2</v>
      </c>
      <c r="CF12" s="38">
        <f t="shared" si="68"/>
        <v>2.0408163265306145E-2</v>
      </c>
      <c r="CG12" s="38">
        <f t="shared" si="68"/>
        <v>-5.1172413793103444E-2</v>
      </c>
      <c r="CH12" s="38">
        <f t="shared" si="68"/>
        <v>-1.4827736589620666E-2</v>
      </c>
      <c r="CI12" s="38">
        <f t="shared" si="68"/>
        <v>3.7709245323234164E-3</v>
      </c>
      <c r="CJ12" s="38">
        <f>+IF(CI10&lt;0,1-CJ10/CI10,CJ10/CI10-1)</f>
        <v>2.0417163484311329E-2</v>
      </c>
      <c r="CK12" s="38">
        <f>+IF(CJ10&lt;0,1-CK10/CJ10,CK10/CJ10-1)</f>
        <v>-3.5375282121875573E-3</v>
      </c>
      <c r="CL12" s="38">
        <f>+IF(CK10&lt;0,1-CL10/CK10,CL10/CK10-1)</f>
        <v>-1.5132043950395135E-2</v>
      </c>
      <c r="CM12" s="39">
        <f t="shared" ref="CM12" si="69">+CM10/CL10-1</f>
        <v>-1.9998115182236598E-2</v>
      </c>
      <c r="CN12" s="39">
        <f t="shared" ref="CN12" si="70">+CN10/CM10-1</f>
        <v>2.6645947105900181E-2</v>
      </c>
      <c r="CO12" s="39">
        <f t="shared" ref="CO12" si="71">+CO10/CN10-1</f>
        <v>4.017412277841359E-3</v>
      </c>
      <c r="CP12" s="39">
        <f t="shared" ref="CP12" si="72">+CP10/CO10-1</f>
        <v>-1.7764482411336546E-2</v>
      </c>
      <c r="CQ12" s="39">
        <f t="shared" ref="CQ12" si="73">+CQ10/CP10-1</f>
        <v>-2.320448878263881E-2</v>
      </c>
      <c r="CR12" s="39">
        <f t="shared" ref="CR12" si="74">+CR10/CQ10-1</f>
        <v>2.861086465715279E-2</v>
      </c>
      <c r="CS12" s="39">
        <f t="shared" ref="CS12" si="75">+CS10/CR10-1</f>
        <v>4.8972992360338807E-3</v>
      </c>
      <c r="CT12" s="39">
        <f t="shared" ref="CT12" si="76">+CT10/CS10-1</f>
        <v>-1.8543044968976963E-2</v>
      </c>
      <c r="CU12" s="39">
        <f t="shared" ref="CU12" si="77">+CU10/CT10-1</f>
        <v>-2.3517765395306145E-2</v>
      </c>
      <c r="CV12" s="39">
        <f t="shared" ref="CV12" si="78">+CV10/CU10-1</f>
        <v>2.9041066681028571E-2</v>
      </c>
      <c r="CW12" s="39">
        <f t="shared" ref="CW12" si="79">+CW10/CV10-1</f>
        <v>4.9426167727433246E-3</v>
      </c>
      <c r="CX12" s="39">
        <f t="shared" ref="CX12" si="80">+CX10/CW10-1</f>
        <v>-1.8702702345780864E-2</v>
      </c>
      <c r="CY12" s="39">
        <f t="shared" ref="CY12" si="81">+CY10/CX10-1</f>
        <v>-2.3522699874093278E-2</v>
      </c>
      <c r="CZ12" s="39">
        <f t="shared" ref="CZ12" si="82">+CZ10/CY10-1</f>
        <v>2.911707682373077E-2</v>
      </c>
      <c r="DA12" s="39">
        <f t="shared" ref="DA12" si="83">+DA10/CZ10-1</f>
        <v>4.9303605833697084E-3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1.5387</v>
      </c>
      <c r="E13" s="22">
        <f>'Annual Raw'!F11</f>
        <v>-3.5804999999999998</v>
      </c>
      <c r="F13" s="22">
        <f>'Annual Raw'!G11</f>
        <v>0.91349999999999998</v>
      </c>
      <c r="G13" s="22">
        <f>'Annual Raw'!H11</f>
        <v>-3.0594999999999999</v>
      </c>
      <c r="H13" s="22">
        <f>'Annual Raw'!I11</f>
        <v>0.1137</v>
      </c>
      <c r="I13" s="22">
        <f>'Annual Raw'!J11</f>
        <v>-7.5251000000000001</v>
      </c>
      <c r="J13" s="22">
        <f>'Annual Raw'!K11</f>
        <v>1.9458</v>
      </c>
      <c r="K13" s="22">
        <f>'Annual Raw'!L11</f>
        <v>-2.7652999999999999</v>
      </c>
      <c r="L13" s="22">
        <f>'Annual Raw'!M11</f>
        <v>-6.4180999999999999</v>
      </c>
      <c r="M13" s="22">
        <f>'Annual Raw'!N11</f>
        <v>0.91700000000000004</v>
      </c>
      <c r="N13" s="22">
        <f>'Annual Raw'!O11</f>
        <v>3.6709999999999998</v>
      </c>
      <c r="O13" s="22">
        <f>'Annual Raw'!P11</f>
        <v>2.4279999999999999</v>
      </c>
      <c r="P13" s="22">
        <f>'Annual Raw'!Q11</f>
        <v>-5.3442999999999996</v>
      </c>
      <c r="Q13" s="22">
        <f>'Annual Raw'!R11</f>
        <v>-19.28</v>
      </c>
      <c r="R13" s="22">
        <f>'Annual Raw'!S11</f>
        <v>-5.7445000000000004</v>
      </c>
      <c r="S13" s="22">
        <f>'Annual Raw'!T11</f>
        <v>3.2957000000000001</v>
      </c>
      <c r="T13" s="22">
        <f>'Annual Raw'!U11</f>
        <v>-11.6408</v>
      </c>
      <c r="U13" s="22">
        <f>'Annual Raw'!V11</f>
        <v>1.84</v>
      </c>
      <c r="V13" s="22">
        <f>'Annual Raw'!W11</f>
        <v>-10.77</v>
      </c>
      <c r="W13" s="22">
        <f>'Annual Raw'!X11</f>
        <v>-54.44</v>
      </c>
      <c r="X13" s="22">
        <f>'Annual Raw'!Y11</f>
        <v>15.84</v>
      </c>
      <c r="Y13" s="22">
        <f>'Annual Raw'!Z11</f>
        <v>16.489999999999998</v>
      </c>
      <c r="Z13" s="22">
        <f>'Annual Raw'!AA11</f>
        <v>17.5</v>
      </c>
      <c r="AA13" s="22">
        <f>'Annual Raw'!AB11</f>
        <v>10.15</v>
      </c>
      <c r="AB13" s="75">
        <f t="shared" ref="AB13:AB15" si="84">+SUM(CL13:CO13)</f>
        <v>-26.24</v>
      </c>
      <c r="AC13" s="75">
        <f t="shared" ref="AC13:AC15" si="85">+SUM(CP13:CS13)</f>
        <v>0</v>
      </c>
      <c r="AD13" s="75">
        <f t="shared" ref="AD13:AD15" si="86">+SUM(CT13:CW13)</f>
        <v>0</v>
      </c>
      <c r="AE13" s="75">
        <f t="shared" ref="AE13:AE15" si="87">+SUM(CX13:DA13)</f>
        <v>0</v>
      </c>
      <c r="AI13" s="22">
        <f>'QTR Raw'!C10</f>
        <v>-1.23</v>
      </c>
      <c r="AJ13" s="22">
        <f>'QTR Raw'!D10</f>
        <v>-2.4700000000000002</v>
      </c>
      <c r="AK13" s="22">
        <f>'QTR Raw'!E10</f>
        <v>2.4500000000000002</v>
      </c>
      <c r="AL13" s="22">
        <f>'QTR Raw'!F10</f>
        <v>-2.98</v>
      </c>
      <c r="AM13" s="22">
        <f>'QTR Raw'!G10</f>
        <v>-2.74</v>
      </c>
      <c r="AN13" s="22">
        <f>'QTR Raw'!H10</f>
        <v>3</v>
      </c>
      <c r="AO13" s="22">
        <f>'QTR Raw'!I10</f>
        <v>5.15</v>
      </c>
      <c r="AP13" s="22">
        <f>'QTR Raw'!J10</f>
        <v>-6.94</v>
      </c>
      <c r="AQ13" s="22">
        <f>'QTR Raw'!K10</f>
        <v>-1.4</v>
      </c>
      <c r="AR13" s="22">
        <f>'QTR Raw'!L10</f>
        <v>-4.7300000000000004</v>
      </c>
      <c r="AS13" s="22">
        <f>'QTR Raw'!M10</f>
        <v>7.73</v>
      </c>
      <c r="AT13" s="22">
        <f>'QTR Raw'!N10</f>
        <v>-1.32</v>
      </c>
      <c r="AU13" s="22">
        <f>'QTR Raw'!O10</f>
        <v>2.56</v>
      </c>
      <c r="AV13" s="22">
        <f>'QTR Raw'!P10</f>
        <v>3.38</v>
      </c>
      <c r="AW13" s="22">
        <f>'QTR Raw'!Q10</f>
        <v>-23.9</v>
      </c>
      <c r="AX13" s="22">
        <f>'QTR Raw'!R10</f>
        <v>-1.43</v>
      </c>
      <c r="AY13" s="22">
        <f>'QTR Raw'!S10</f>
        <v>-13.25</v>
      </c>
      <c r="AZ13" s="22">
        <f>'QTR Raw'!T10</f>
        <v>2.61</v>
      </c>
      <c r="BA13" s="22">
        <f>'QTR Raw'!U10</f>
        <v>6.32</v>
      </c>
      <c r="BB13" s="22">
        <f>'QTR Raw'!V10</f>
        <v>-0.45</v>
      </c>
      <c r="BC13" s="22">
        <f>'QTR Raw'!W10</f>
        <v>-14.8</v>
      </c>
      <c r="BD13" s="22">
        <f>'QTR Raw'!X10</f>
        <v>12.24</v>
      </c>
      <c r="BE13" s="22">
        <f>'QTR Raw'!Y10</f>
        <v>6.31</v>
      </c>
      <c r="BF13" s="22">
        <f>'QTR Raw'!Z10</f>
        <v>-10.31</v>
      </c>
      <c r="BG13" s="22">
        <f>'QTR Raw'!AA10</f>
        <v>-2.44</v>
      </c>
      <c r="BH13" s="22">
        <f>'QTR Raw'!AB10</f>
        <v>0.33</v>
      </c>
      <c r="BI13" s="22">
        <f>'QTR Raw'!AC10</f>
        <v>0.78</v>
      </c>
      <c r="BJ13" s="22">
        <f>'QTR Raw'!AD10</f>
        <v>-2.58</v>
      </c>
      <c r="BK13" s="22">
        <f>'QTR Raw'!AE10</f>
        <v>-12.65</v>
      </c>
      <c r="BL13" s="22">
        <f>'QTR Raw'!AF10</f>
        <v>-3.11</v>
      </c>
      <c r="BM13" s="22">
        <f>'QTR Raw'!AG10</f>
        <v>20.18</v>
      </c>
      <c r="BN13" s="22">
        <f>'QTR Raw'!AH10</f>
        <v>-39.35</v>
      </c>
      <c r="BO13" s="22">
        <f>'QTR Raw'!AI10</f>
        <v>-6.3</v>
      </c>
      <c r="BP13" s="22">
        <f>'QTR Raw'!AJ10</f>
        <v>14.96</v>
      </c>
      <c r="BQ13" s="22">
        <f>'QTR Raw'!AK10</f>
        <v>19.920000000000002</v>
      </c>
      <c r="BR13" s="22">
        <f>'QTR Raw'!AL10</f>
        <v>-42.49</v>
      </c>
      <c r="BS13" s="22">
        <f>'QTR Raw'!AM10</f>
        <v>-25.18</v>
      </c>
      <c r="BT13" s="22">
        <f>'QTR Raw'!AN10</f>
        <v>21.95</v>
      </c>
      <c r="BU13" s="22">
        <f>'QTR Raw'!AO10</f>
        <v>-8.7200000000000006</v>
      </c>
      <c r="BV13" s="22">
        <f>'QTR Raw'!AP10</f>
        <v>-9.6999999999999993</v>
      </c>
      <c r="BW13" s="22">
        <f>'QTR Raw'!AQ10</f>
        <v>-21.93</v>
      </c>
      <c r="BX13" s="22">
        <f>'QTR Raw'!AR10</f>
        <v>25</v>
      </c>
      <c r="BY13" s="22">
        <f>'QTR Raw'!AS10</f>
        <v>22.47</v>
      </c>
      <c r="BZ13" s="22">
        <f>'QTR Raw'!AT10</f>
        <v>-0.72</v>
      </c>
      <c r="CA13" s="22">
        <f>'QTR Raw'!AU10</f>
        <v>-1.3</v>
      </c>
      <c r="CB13" s="22">
        <f>'QTR Raw'!AV10</f>
        <v>16</v>
      </c>
      <c r="CC13" s="22">
        <f>'QTR Raw'!AW10</f>
        <v>2.5099999999999998</v>
      </c>
      <c r="CD13" s="22">
        <f>'QTR Raw'!AX10</f>
        <v>-25.65</v>
      </c>
      <c r="CE13" s="22">
        <f>'QTR Raw'!AY10</f>
        <v>1.18</v>
      </c>
      <c r="CF13" s="22">
        <f>'QTR Raw'!AZ10</f>
        <v>8.01</v>
      </c>
      <c r="CG13" s="22">
        <f>'QTR Raw'!BA10</f>
        <v>33.96</v>
      </c>
      <c r="CH13" s="22">
        <f>'QTR Raw'!BB10</f>
        <v>-22.73</v>
      </c>
      <c r="CI13" s="22">
        <f>'QTR Raw'!BC10</f>
        <v>-0.14000000000000001</v>
      </c>
      <c r="CJ13" s="22">
        <f>'QTR Raw'!BD10</f>
        <v>0.64</v>
      </c>
      <c r="CK13" s="22">
        <f>'QTR Raw'!BE10</f>
        <v>32.380000000000003</v>
      </c>
      <c r="CL13" s="22">
        <f>'QTR Raw'!BF10</f>
        <v>-26.24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10.150000000000002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4"/>
        <v>0</v>
      </c>
      <c r="AC14" s="75">
        <f t="shared" si="85"/>
        <v>0</v>
      </c>
      <c r="AD14" s="75">
        <f t="shared" si="86"/>
        <v>0</v>
      </c>
      <c r="AE14" s="75">
        <f t="shared" si="87"/>
        <v>0</v>
      </c>
      <c r="AI14" s="22">
        <f>'QTR Raw'!C12</f>
        <v>0</v>
      </c>
      <c r="AJ14" s="22">
        <f>'QTR Raw'!D12</f>
        <v>0</v>
      </c>
      <c r="AK14" s="22">
        <f>'QTR Raw'!E12</f>
        <v>0</v>
      </c>
      <c r="AL14" s="22">
        <f>'QTR Raw'!F12</f>
        <v>0</v>
      </c>
      <c r="AM14" s="22">
        <f>'QTR Raw'!G12</f>
        <v>0</v>
      </c>
      <c r="AN14" s="22">
        <f>'QTR Raw'!H12</f>
        <v>0</v>
      </c>
      <c r="AO14" s="22">
        <f>'QTR Raw'!I12</f>
        <v>0</v>
      </c>
      <c r="AP14" s="22">
        <f>'QTR Raw'!J12</f>
        <v>0</v>
      </c>
      <c r="AQ14" s="22">
        <f>'QTR Raw'!K12</f>
        <v>0</v>
      </c>
      <c r="AR14" s="22">
        <f>'QTR Raw'!L12</f>
        <v>0</v>
      </c>
      <c r="AS14" s="22">
        <f>'QTR Raw'!M12</f>
        <v>0</v>
      </c>
      <c r="AT14" s="22">
        <f>'QTR Raw'!N12</f>
        <v>0</v>
      </c>
      <c r="AU14" s="22">
        <f>'QTR Raw'!O12</f>
        <v>0</v>
      </c>
      <c r="AV14" s="22">
        <f>'QTR Raw'!P12</f>
        <v>0</v>
      </c>
      <c r="AW14" s="22">
        <f>'QTR Raw'!Q12</f>
        <v>0</v>
      </c>
      <c r="AX14" s="22">
        <f>'QTR Raw'!R12</f>
        <v>0</v>
      </c>
      <c r="AY14" s="22">
        <f>'QTR Raw'!S12</f>
        <v>0</v>
      </c>
      <c r="AZ14" s="22">
        <f>'QTR Raw'!T12</f>
        <v>0</v>
      </c>
      <c r="BA14" s="22">
        <f>'QTR Raw'!U12</f>
        <v>0</v>
      </c>
      <c r="BB14" s="22">
        <f>'QTR Raw'!V12</f>
        <v>0</v>
      </c>
      <c r="BC14" s="22">
        <f>'QTR Raw'!W12</f>
        <v>0</v>
      </c>
      <c r="BD14" s="22">
        <f>'QTR Raw'!X12</f>
        <v>0</v>
      </c>
      <c r="BE14" s="22">
        <f>'QTR Raw'!Y12</f>
        <v>0</v>
      </c>
      <c r="BF14" s="22">
        <f>'QTR Raw'!Z12</f>
        <v>0</v>
      </c>
      <c r="BG14" s="22">
        <f>'QTR Raw'!AA12</f>
        <v>0</v>
      </c>
      <c r="BH14" s="22">
        <f>'QTR Raw'!AB12</f>
        <v>0</v>
      </c>
      <c r="BI14" s="22">
        <f>'QTR Raw'!AC12</f>
        <v>0</v>
      </c>
      <c r="BJ14" s="22">
        <f>'QTR Raw'!AD12</f>
        <v>0</v>
      </c>
      <c r="BK14" s="22">
        <f>'QTR Raw'!AE12</f>
        <v>0</v>
      </c>
      <c r="BL14" s="22">
        <f>'QTR Raw'!AF12</f>
        <v>0</v>
      </c>
      <c r="BM14" s="22">
        <f>'QTR Raw'!AG12</f>
        <v>0</v>
      </c>
      <c r="BN14" s="22">
        <f>'QTR Raw'!AH12</f>
        <v>0</v>
      </c>
      <c r="BO14" s="22">
        <f>'QTR Raw'!AI12</f>
        <v>0</v>
      </c>
      <c r="BP14" s="22">
        <f>'QTR Raw'!AJ12</f>
        <v>0</v>
      </c>
      <c r="BQ14" s="22">
        <f>'QTR Raw'!AK12</f>
        <v>0</v>
      </c>
      <c r="BR14" s="22">
        <f>'QTR Raw'!AL12</f>
        <v>0</v>
      </c>
      <c r="BS14" s="22">
        <f>'QTR Raw'!AM12</f>
        <v>0</v>
      </c>
      <c r="BT14" s="22">
        <f>'QTR Raw'!AN12</f>
        <v>0</v>
      </c>
      <c r="BU14" s="22">
        <f>'QTR Raw'!AO12</f>
        <v>0</v>
      </c>
      <c r="BV14" s="22">
        <f>'QTR Raw'!AP12</f>
        <v>0</v>
      </c>
      <c r="BW14" s="22">
        <f>'QTR Raw'!AQ12</f>
        <v>0</v>
      </c>
      <c r="BX14" s="22">
        <f>'QTR Raw'!AR12</f>
        <v>0</v>
      </c>
      <c r="BY14" s="22">
        <f>'QTR Raw'!AS12</f>
        <v>0</v>
      </c>
      <c r="BZ14" s="22">
        <f>'QTR Raw'!AT12</f>
        <v>0</v>
      </c>
      <c r="CA14" s="22">
        <f>'QTR Raw'!AU12</f>
        <v>0</v>
      </c>
      <c r="CB14" s="22">
        <f>'QTR Raw'!AV12</f>
        <v>0</v>
      </c>
      <c r="CC14" s="22">
        <f>'QTR Raw'!AW12</f>
        <v>0</v>
      </c>
      <c r="CD14" s="22">
        <f>'QTR Raw'!AX12</f>
        <v>0</v>
      </c>
      <c r="CE14" s="22">
        <f>'QTR Raw'!AY12</f>
        <v>0</v>
      </c>
      <c r="CF14" s="22">
        <f>'QTR Raw'!AZ12</f>
        <v>0</v>
      </c>
      <c r="CG14" s="22">
        <f>'QTR Raw'!BA12</f>
        <v>0</v>
      </c>
      <c r="CH14" s="22">
        <f>'QTR Raw'!BB12</f>
        <v>0</v>
      </c>
      <c r="CI14" s="22">
        <f>'QTR Raw'!BC12</f>
        <v>0</v>
      </c>
      <c r="CJ14" s="22">
        <f>'QTR Raw'!BD12</f>
        <v>0</v>
      </c>
      <c r="CK14" s="22">
        <f>'QTR Raw'!BE12</f>
        <v>0</v>
      </c>
      <c r="CL14" s="22">
        <f>'QTR Raw'!BF12</f>
        <v>0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0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203.77359999999999</v>
      </c>
      <c r="E15" s="22">
        <f>'Annual Raw'!F12</f>
        <v>259.70679999999999</v>
      </c>
      <c r="F15" s="22">
        <f>'Annual Raw'!G12</f>
        <v>266.15499999999997</v>
      </c>
      <c r="G15" s="22">
        <f>'Annual Raw'!H12</f>
        <v>297.60019999999997</v>
      </c>
      <c r="H15" s="22">
        <f>'Annual Raw'!I12</f>
        <v>345.87540000000001</v>
      </c>
      <c r="I15" s="22">
        <f>'Annual Raw'!J12</f>
        <v>409.03739999999999</v>
      </c>
      <c r="J15" s="22">
        <f>'Annual Raw'!K12</f>
        <v>419.30669999999998</v>
      </c>
      <c r="K15" s="22">
        <f>'Annual Raw'!L12</f>
        <v>380.42419999999998</v>
      </c>
      <c r="L15" s="22">
        <f>'Annual Raw'!M12</f>
        <v>497.2276</v>
      </c>
      <c r="M15" s="22">
        <f>'Annual Raw'!N12</f>
        <v>556.51670000000001</v>
      </c>
      <c r="N15" s="22">
        <f>'Annual Raw'!O12</f>
        <v>621.23580000000004</v>
      </c>
      <c r="O15" s="22">
        <f>'Annual Raw'!P12</f>
        <v>749.87040000000002</v>
      </c>
      <c r="P15" s="22">
        <f>'Annual Raw'!Q12</f>
        <v>877.07100000000003</v>
      </c>
      <c r="Q15" s="22">
        <f>'Annual Raw'!R12</f>
        <v>1385.845</v>
      </c>
      <c r="R15" s="22">
        <f>'Annual Raw'!S12</f>
        <v>1472.8475000000001</v>
      </c>
      <c r="S15" s="22">
        <f>'Annual Raw'!T12</f>
        <v>1425</v>
      </c>
      <c r="T15" s="22">
        <f>'Annual Raw'!U12</f>
        <v>1619.336</v>
      </c>
      <c r="U15" s="22">
        <f>'Annual Raw'!V12</f>
        <v>1726.63</v>
      </c>
      <c r="V15" s="22">
        <f>'Annual Raw'!W12</f>
        <v>1623.21</v>
      </c>
      <c r="W15" s="22">
        <f>'Annual Raw'!X12</f>
        <v>1926.68</v>
      </c>
      <c r="X15" s="22">
        <f>'Annual Raw'!Y12</f>
        <v>2167.9</v>
      </c>
      <c r="Y15" s="22">
        <f>'Annual Raw'!Z12</f>
        <v>1720.22</v>
      </c>
      <c r="Z15" s="22">
        <f>'Annual Raw'!AA12</f>
        <v>1722.27</v>
      </c>
      <c r="AA15" s="22">
        <f>'Annual Raw'!AB12</f>
        <v>1620.07</v>
      </c>
      <c r="AB15" s="23">
        <f t="shared" si="84"/>
        <v>1640.2055576079206</v>
      </c>
      <c r="AC15" s="23">
        <f t="shared" si="85"/>
        <v>1600.5461303159525</v>
      </c>
      <c r="AD15" s="23">
        <f t="shared" si="86"/>
        <v>1586.207817881646</v>
      </c>
      <c r="AE15" s="23">
        <f t="shared" si="87"/>
        <v>1571.8795789702399</v>
      </c>
      <c r="AI15" s="22">
        <f>'QTR Raw'!C11</f>
        <v>167.83</v>
      </c>
      <c r="AJ15" s="22">
        <f>'QTR Raw'!D11</f>
        <v>161.33000000000001</v>
      </c>
      <c r="AK15" s="22">
        <f>'QTR Raw'!E11</f>
        <v>153.51</v>
      </c>
      <c r="AL15" s="22">
        <f>'QTR Raw'!F11</f>
        <v>177.39</v>
      </c>
      <c r="AM15" s="22">
        <f>'QTR Raw'!G11</f>
        <v>193.29</v>
      </c>
      <c r="AN15" s="22">
        <f>'QTR Raw'!H11</f>
        <v>184.36</v>
      </c>
      <c r="AO15" s="22">
        <f>'QTR Raw'!I11</f>
        <v>194.83</v>
      </c>
      <c r="AP15" s="22">
        <f>'QTR Raw'!J11</f>
        <v>212.07</v>
      </c>
      <c r="AQ15" s="22">
        <f>'QTR Raw'!K11</f>
        <v>222.12</v>
      </c>
      <c r="AR15" s="22">
        <f>'QTR Raw'!L11</f>
        <v>230.73</v>
      </c>
      <c r="AS15" s="22">
        <f>'QTR Raw'!M11</f>
        <v>212.15</v>
      </c>
      <c r="AT15" s="22">
        <f>'QTR Raw'!N11</f>
        <v>298.55</v>
      </c>
      <c r="AU15" s="22">
        <f>'QTR Raw'!O11</f>
        <v>366.62</v>
      </c>
      <c r="AV15" s="22">
        <f>'QTR Raw'!P11</f>
        <v>354.75</v>
      </c>
      <c r="AW15" s="22">
        <f>'QTR Raw'!Q11</f>
        <v>365.92</v>
      </c>
      <c r="AX15" s="22">
        <f>'QTR Raw'!R11</f>
        <v>339.53</v>
      </c>
      <c r="AY15" s="22">
        <f>'QTR Raw'!S11</f>
        <v>404.47</v>
      </c>
      <c r="AZ15" s="22">
        <f>'QTR Raw'!T11</f>
        <v>380.22</v>
      </c>
      <c r="BA15" s="22">
        <f>'QTR Raw'!U11</f>
        <v>348.56</v>
      </c>
      <c r="BB15" s="22">
        <f>'QTR Raw'!V11</f>
        <v>344.96</v>
      </c>
      <c r="BC15" s="22">
        <f>'QTR Raw'!W11</f>
        <v>359.98</v>
      </c>
      <c r="BD15" s="22">
        <f>'QTR Raw'!X11</f>
        <v>350.02</v>
      </c>
      <c r="BE15" s="22">
        <f>'QTR Raw'!Y11</f>
        <v>370.04</v>
      </c>
      <c r="BF15" s="22">
        <f>'QTR Raw'!Z11</f>
        <v>381.67</v>
      </c>
      <c r="BG15" s="22">
        <f>'QTR Raw'!AA11</f>
        <v>411.46</v>
      </c>
      <c r="BH15" s="22">
        <f>'QTR Raw'!AB11</f>
        <v>417.13</v>
      </c>
      <c r="BI15" s="22">
        <f>'QTR Raw'!AC11</f>
        <v>409.08</v>
      </c>
      <c r="BJ15" s="22">
        <f>'QTR Raw'!AD11</f>
        <v>412.17</v>
      </c>
      <c r="BK15" s="22">
        <f>'QTR Raw'!AE11</f>
        <v>427.87</v>
      </c>
      <c r="BL15" s="22">
        <f>'QTR Raw'!AF11</f>
        <v>436.61</v>
      </c>
      <c r="BM15" s="22">
        <f>'QTR Raw'!AG11</f>
        <v>441.96</v>
      </c>
      <c r="BN15" s="22">
        <f>'QTR Raw'!AH11</f>
        <v>411.51</v>
      </c>
      <c r="BO15" s="22">
        <f>'QTR Raw'!AI11</f>
        <v>425.45</v>
      </c>
      <c r="BP15" s="22">
        <f>'QTR Raw'!AJ11</f>
        <v>431.6</v>
      </c>
      <c r="BQ15" s="22">
        <f>'QTR Raw'!AK11</f>
        <v>354.65</v>
      </c>
      <c r="BR15" s="22">
        <f>'QTR Raw'!AL11</f>
        <v>466.19</v>
      </c>
      <c r="BS15" s="22">
        <f>'QTR Raw'!AM11</f>
        <v>502.48</v>
      </c>
      <c r="BT15" s="22">
        <f>'QTR Raw'!AN11</f>
        <v>459.77</v>
      </c>
      <c r="BU15" s="22">
        <f>'QTR Raw'!AO11</f>
        <v>498.24</v>
      </c>
      <c r="BV15" s="22">
        <f>'QTR Raw'!AP11</f>
        <v>532.16</v>
      </c>
      <c r="BW15" s="22">
        <f>'QTR Raw'!AQ11</f>
        <v>606.76</v>
      </c>
      <c r="BX15" s="22">
        <f>'QTR Raw'!AR11</f>
        <v>551.45000000000005</v>
      </c>
      <c r="BY15" s="22">
        <f>'QTR Raw'!AS11</f>
        <v>477.53</v>
      </c>
      <c r="BZ15" s="22">
        <f>'QTR Raw'!AT11</f>
        <v>461.49</v>
      </c>
      <c r="CA15" s="22">
        <f>'QTR Raw'!AU11</f>
        <v>425.82</v>
      </c>
      <c r="CB15" s="22">
        <f>'QTR Raw'!AV11</f>
        <v>437.62</v>
      </c>
      <c r="CC15" s="22">
        <f>'QTR Raw'!AW11</f>
        <v>395.29</v>
      </c>
      <c r="CD15" s="22">
        <f>'QTR Raw'!AX11</f>
        <v>430.35</v>
      </c>
      <c r="CE15" s="22">
        <f>'QTR Raw'!AY11</f>
        <v>441.82</v>
      </c>
      <c r="CF15" s="22">
        <f>'QTR Raw'!AZ11</f>
        <v>447.41</v>
      </c>
      <c r="CG15" s="22">
        <f>'QTR Raw'!BA11</f>
        <v>402.7</v>
      </c>
      <c r="CH15" s="22">
        <f>'QTR Raw'!BB11</f>
        <v>425.34</v>
      </c>
      <c r="CI15" s="22">
        <f>'QTR Raw'!BC11</f>
        <v>401.6</v>
      </c>
      <c r="CJ15" s="22">
        <f>'QTR Raw'!BD11</f>
        <v>412.49</v>
      </c>
      <c r="CK15" s="22">
        <f>'QTR Raw'!BE11</f>
        <v>380.64</v>
      </c>
      <c r="CL15" s="22">
        <f>'QTR Raw'!BF11</f>
        <v>428.49</v>
      </c>
      <c r="CM15" s="23">
        <f t="shared" ref="CM15:DA15" si="88">+CM10-CM16</f>
        <v>396.0407642319156</v>
      </c>
      <c r="CN15" s="23">
        <f t="shared" si="88"/>
        <v>407.11983431269232</v>
      </c>
      <c r="CO15" s="23">
        <f t="shared" si="88"/>
        <v>408.55495906331282</v>
      </c>
      <c r="CP15" s="23">
        <f t="shared" si="88"/>
        <v>400.72092760108592</v>
      </c>
      <c r="CQ15" s="23">
        <f t="shared" si="88"/>
        <v>391.81401039736352</v>
      </c>
      <c r="CR15" s="23">
        <f t="shared" si="88"/>
        <v>403.06099215755449</v>
      </c>
      <c r="CS15" s="23">
        <f t="shared" si="88"/>
        <v>404.95020015994851</v>
      </c>
      <c r="CT15" s="23">
        <f t="shared" si="88"/>
        <v>397.38605060057193</v>
      </c>
      <c r="CU15" s="23">
        <f t="shared" si="88"/>
        <v>388.11251838798876</v>
      </c>
      <c r="CV15" s="23">
        <f t="shared" si="88"/>
        <v>399.37666160149399</v>
      </c>
      <c r="CW15" s="23">
        <f t="shared" si="88"/>
        <v>401.3325872915911</v>
      </c>
      <c r="CX15" s="23">
        <f t="shared" si="88"/>
        <v>393.82504921646228</v>
      </c>
      <c r="CY15" s="23">
        <f t="shared" si="88"/>
        <v>384.57268667314122</v>
      </c>
      <c r="CZ15" s="23">
        <f t="shared" si="88"/>
        <v>395.76668757084906</v>
      </c>
      <c r="DA15" s="23">
        <f t="shared" si="88"/>
        <v>397.71515550978722</v>
      </c>
      <c r="DD15" s="122"/>
      <c r="DE15" s="22">
        <v>1620.0700000000002</v>
      </c>
    </row>
    <row r="16" spans="1:109" s="30" customFormat="1" x14ac:dyDescent="0.2">
      <c r="A16" s="30" t="s">
        <v>5</v>
      </c>
      <c r="B16" s="30">
        <f t="shared" ref="B16:T16" si="89">B10-B13-B15-B14</f>
        <v>0</v>
      </c>
      <c r="C16" s="30">
        <f t="shared" si="89"/>
        <v>0</v>
      </c>
      <c r="D16" s="30">
        <f t="shared" si="89"/>
        <v>116.875</v>
      </c>
      <c r="E16" s="30">
        <f t="shared" si="89"/>
        <v>126.49159999999995</v>
      </c>
      <c r="F16" s="30">
        <f t="shared" si="89"/>
        <v>126.95260000000002</v>
      </c>
      <c r="G16" s="30">
        <f t="shared" si="89"/>
        <v>138.31970000000007</v>
      </c>
      <c r="H16" s="30">
        <f t="shared" si="89"/>
        <v>155.2158</v>
      </c>
      <c r="I16" s="30">
        <f t="shared" si="89"/>
        <v>169.07509999999996</v>
      </c>
      <c r="J16" s="30">
        <f t="shared" si="89"/>
        <v>190.83590000000004</v>
      </c>
      <c r="K16" s="30">
        <f t="shared" si="89"/>
        <v>200.03339999999997</v>
      </c>
      <c r="L16" s="30">
        <f t="shared" si="89"/>
        <v>225.52690000000001</v>
      </c>
      <c r="M16" s="30">
        <f t="shared" si="89"/>
        <v>245.73139999999989</v>
      </c>
      <c r="N16" s="30">
        <f t="shared" si="89"/>
        <v>275.68049999999994</v>
      </c>
      <c r="O16" s="30">
        <f t="shared" si="89"/>
        <v>333.202</v>
      </c>
      <c r="P16" s="30">
        <f t="shared" si="89"/>
        <v>353.60710000000006</v>
      </c>
      <c r="Q16" s="30">
        <f t="shared" si="89"/>
        <v>670.81780000000003</v>
      </c>
      <c r="R16" s="30">
        <f t="shared" si="89"/>
        <v>714.05489999999986</v>
      </c>
      <c r="S16" s="30">
        <f t="shared" si="89"/>
        <v>702.64649999999983</v>
      </c>
      <c r="T16" s="30">
        <f t="shared" si="89"/>
        <v>761.37650000000008</v>
      </c>
      <c r="U16" s="30">
        <f t="shared" ref="U16:Z16" si="90">U10-U13-U15-U14</f>
        <v>870.50999999999976</v>
      </c>
      <c r="V16" s="30">
        <f t="shared" si="90"/>
        <v>850.25999999999976</v>
      </c>
      <c r="W16" s="30">
        <f t="shared" si="90"/>
        <v>753.04000000000019</v>
      </c>
      <c r="X16" s="30">
        <f t="shared" si="90"/>
        <v>799.17999999999984</v>
      </c>
      <c r="Y16" s="30">
        <f t="shared" si="90"/>
        <v>812.72999999999979</v>
      </c>
      <c r="Z16" s="30">
        <f t="shared" si="90"/>
        <v>781.40999999999985</v>
      </c>
      <c r="AA16" s="30">
        <f t="shared" ref="AA16" si="91">AA10-AA13-AA15-AA14</f>
        <v>839.18999999999983</v>
      </c>
      <c r="AB16" s="31">
        <f t="shared" ref="AA16:AD16" si="92">AB10-AB13-AB15-AB14</f>
        <v>836.14990293836081</v>
      </c>
      <c r="AC16" s="31">
        <f t="shared" si="92"/>
        <v>827.40198211981146</v>
      </c>
      <c r="AD16" s="31">
        <f t="shared" si="92"/>
        <v>819.70181889248761</v>
      </c>
      <c r="AE16" s="31">
        <f t="shared" ref="AE16" si="93">AE10-AE13-AE15-AE14</f>
        <v>812.25869283237625</v>
      </c>
      <c r="AI16" s="30">
        <f t="shared" ref="AI16" si="94">AI10-AI13-AI15-AI14</f>
        <v>70.879999999999967</v>
      </c>
      <c r="AJ16" s="30">
        <f t="shared" ref="AJ16" si="95">AJ10-AJ13-AJ15-AJ14</f>
        <v>63.939999999999969</v>
      </c>
      <c r="AK16" s="30">
        <f t="shared" ref="AK16:AM16" si="96">AK10-AK13-AK15-AK14</f>
        <v>73.190000000000026</v>
      </c>
      <c r="AL16" s="30">
        <f t="shared" si="96"/>
        <v>82.399999999999977</v>
      </c>
      <c r="AM16" s="30">
        <f t="shared" si="96"/>
        <v>86.000000000000028</v>
      </c>
      <c r="AN16" s="30">
        <f t="shared" ref="AN16:AO16" si="97">AN10-AN13-AN15-AN14</f>
        <v>81.009999999999991</v>
      </c>
      <c r="AO16" s="30">
        <f t="shared" si="97"/>
        <v>81.34</v>
      </c>
      <c r="AP16" s="30">
        <f t="shared" ref="AP16:CD16" si="98">AP10-AP13-AP15-AP14</f>
        <v>85.93</v>
      </c>
      <c r="AQ16" s="30">
        <f t="shared" si="98"/>
        <v>88.549999999999955</v>
      </c>
      <c r="AR16" s="30">
        <f t="shared" si="98"/>
        <v>88.35</v>
      </c>
      <c r="AS16" s="30">
        <f t="shared" si="98"/>
        <v>90.260000000000019</v>
      </c>
      <c r="AT16" s="30">
        <f t="shared" si="98"/>
        <v>145.12999999999994</v>
      </c>
      <c r="AU16" s="30">
        <f t="shared" si="98"/>
        <v>175.66000000000008</v>
      </c>
      <c r="AV16" s="30">
        <f t="shared" si="98"/>
        <v>161.45999999999992</v>
      </c>
      <c r="AW16" s="30">
        <f t="shared" si="98"/>
        <v>185.13999999999993</v>
      </c>
      <c r="AX16" s="30">
        <f t="shared" si="98"/>
        <v>187.51</v>
      </c>
      <c r="AY16" s="30">
        <f t="shared" si="98"/>
        <v>180.48000000000002</v>
      </c>
      <c r="AZ16" s="30">
        <f t="shared" si="98"/>
        <v>174.18999999999983</v>
      </c>
      <c r="BA16" s="30">
        <f t="shared" si="98"/>
        <v>167.63999999999993</v>
      </c>
      <c r="BB16" s="30">
        <f t="shared" si="98"/>
        <v>165.93000000000006</v>
      </c>
      <c r="BC16" s="30">
        <f t="shared" si="98"/>
        <v>165.59999999999991</v>
      </c>
      <c r="BD16" s="30">
        <f t="shared" si="98"/>
        <v>184.90999999999997</v>
      </c>
      <c r="BE16" s="30">
        <f t="shared" si="98"/>
        <v>183.68</v>
      </c>
      <c r="BF16" s="30">
        <f t="shared" si="98"/>
        <v>181.65000000000003</v>
      </c>
      <c r="BG16" s="30">
        <f t="shared" si="98"/>
        <v>186.45999999999998</v>
      </c>
      <c r="BH16" s="30">
        <f t="shared" si="98"/>
        <v>192.13</v>
      </c>
      <c r="BI16" s="30">
        <f t="shared" si="98"/>
        <v>202.04000000000013</v>
      </c>
      <c r="BJ16" s="30">
        <f t="shared" si="98"/>
        <v>217.99000000000007</v>
      </c>
      <c r="BK16" s="30">
        <f t="shared" si="98"/>
        <v>218.52999999999997</v>
      </c>
      <c r="BL16" s="30">
        <f t="shared" si="98"/>
        <v>216.64</v>
      </c>
      <c r="BM16" s="30">
        <f t="shared" si="98"/>
        <v>215.52000000000015</v>
      </c>
      <c r="BN16" s="30">
        <f t="shared" si="98"/>
        <v>206.14</v>
      </c>
      <c r="BO16" s="30">
        <f t="shared" si="98"/>
        <v>221.64000000000004</v>
      </c>
      <c r="BP16" s="30">
        <f t="shared" si="98"/>
        <v>239.33999999999992</v>
      </c>
      <c r="BQ16" s="30">
        <f t="shared" si="98"/>
        <v>183.14</v>
      </c>
      <c r="BR16" s="30">
        <f t="shared" si="98"/>
        <v>208.64000000000004</v>
      </c>
      <c r="BS16" s="30">
        <f t="shared" si="98"/>
        <v>185.33999999999992</v>
      </c>
      <c r="BT16" s="30">
        <f t="shared" si="98"/>
        <v>187.00999999999988</v>
      </c>
      <c r="BU16" s="30">
        <f t="shared" si="98"/>
        <v>172.05000000000007</v>
      </c>
      <c r="BV16" s="30">
        <f t="shared" si="98"/>
        <v>206.05000000000018</v>
      </c>
      <c r="BW16" s="30">
        <f t="shared" si="98"/>
        <v>207.84000000000003</v>
      </c>
      <c r="BX16" s="30">
        <f t="shared" si="98"/>
        <v>192.58000000000004</v>
      </c>
      <c r="BY16" s="30">
        <f t="shared" si="98"/>
        <v>192.71000000000004</v>
      </c>
      <c r="BZ16" s="30">
        <f t="shared" si="98"/>
        <v>200.76</v>
      </c>
      <c r="CA16" s="30">
        <f t="shared" si="98"/>
        <v>197.18</v>
      </c>
      <c r="CB16" s="30">
        <f t="shared" si="98"/>
        <v>208.86</v>
      </c>
      <c r="CC16" s="30">
        <f t="shared" si="98"/>
        <v>205.93</v>
      </c>
      <c r="CD16" s="30">
        <f t="shared" si="98"/>
        <v>205.41999999999996</v>
      </c>
      <c r="CE16" s="30">
        <f t="shared" ref="CE16:CF16" si="99">CE10-CE13-CE15-CE14</f>
        <v>196.4500000000001</v>
      </c>
      <c r="CF16" s="30">
        <f t="shared" si="99"/>
        <v>197.07999999999998</v>
      </c>
      <c r="CG16" s="30">
        <f t="shared" ref="CG16:CH16" si="100">CG10-CG13-CG15-CG14</f>
        <v>182.45</v>
      </c>
      <c r="CH16" s="30">
        <f t="shared" si="100"/>
        <v>207.32</v>
      </c>
      <c r="CI16" s="30">
        <f t="shared" ref="CI16:CJ16" si="101">CI10-CI13-CI15-CI14</f>
        <v>210.76999999999998</v>
      </c>
      <c r="CJ16" s="30">
        <f t="shared" si="101"/>
        <v>211.59999999999991</v>
      </c>
      <c r="CK16" s="30">
        <f t="shared" ref="CK16:CL16" si="102">CK10-CK13-CK15-CK14</f>
        <v>209.5</v>
      </c>
      <c r="CL16" s="30">
        <f t="shared" si="102"/>
        <v>210.85000000000002</v>
      </c>
      <c r="CM16" s="31">
        <f t="shared" ref="CM16:DA16" si="103">+CM17*CM10</f>
        <v>204.79839134985519</v>
      </c>
      <c r="CN16" s="31">
        <f t="shared" si="103"/>
        <v>209.72924962786408</v>
      </c>
      <c r="CO16" s="31">
        <f t="shared" si="103"/>
        <v>210.7722619606416</v>
      </c>
      <c r="CP16" s="31">
        <f t="shared" si="103"/>
        <v>207.60426589812656</v>
      </c>
      <c r="CQ16" s="31">
        <f t="shared" si="103"/>
        <v>202.39530797309988</v>
      </c>
      <c r="CR16" s="31">
        <f t="shared" si="103"/>
        <v>208.14916859882527</v>
      </c>
      <c r="CS16" s="31">
        <f t="shared" si="103"/>
        <v>209.25323964975959</v>
      </c>
      <c r="CT16" s="31">
        <f t="shared" si="103"/>
        <v>205.42818720464447</v>
      </c>
      <c r="CU16" s="31">
        <f t="shared" si="103"/>
        <v>200.52487559557429</v>
      </c>
      <c r="CV16" s="31">
        <f t="shared" si="103"/>
        <v>206.35539019169252</v>
      </c>
      <c r="CW16" s="31">
        <f t="shared" si="103"/>
        <v>207.39336590057661</v>
      </c>
      <c r="CX16" s="31">
        <f t="shared" si="103"/>
        <v>203.51608366300056</v>
      </c>
      <c r="CY16" s="31">
        <f t="shared" si="103"/>
        <v>198.71737001514711</v>
      </c>
      <c r="CZ16" s="31">
        <f t="shared" si="103"/>
        <v>204.50707050855041</v>
      </c>
      <c r="DA16" s="31">
        <f t="shared" si="103"/>
        <v>205.51816864567817</v>
      </c>
      <c r="DD16" s="123"/>
      <c r="DE16" s="30">
        <v>839.1899999999996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4">C16/C10</f>
        <v>#DIV/0!</v>
      </c>
      <c r="D17" s="40">
        <f t="shared" si="104"/>
        <v>0.36275483235993472</v>
      </c>
      <c r="E17" s="40">
        <f t="shared" si="104"/>
        <v>0.33059509238851598</v>
      </c>
      <c r="F17" s="40">
        <f t="shared" si="104"/>
        <v>0.32219746607478639</v>
      </c>
      <c r="G17" s="40">
        <f t="shared" si="104"/>
        <v>0.31954805752616794</v>
      </c>
      <c r="H17" s="40">
        <f t="shared" si="104"/>
        <v>0.30968532031510465</v>
      </c>
      <c r="I17" s="40">
        <f t="shared" si="104"/>
        <v>0.29631761935156642</v>
      </c>
      <c r="J17" s="40">
        <f t="shared" si="104"/>
        <v>0.31177833136520811</v>
      </c>
      <c r="K17" s="40">
        <f t="shared" si="104"/>
        <v>0.34626288077580397</v>
      </c>
      <c r="L17" s="40">
        <f t="shared" si="104"/>
        <v>0.31483378479719865</v>
      </c>
      <c r="M17" s="40">
        <f t="shared" si="104"/>
        <v>0.30595378210532292</v>
      </c>
      <c r="N17" s="40">
        <f t="shared" si="104"/>
        <v>0.30611191163810542</v>
      </c>
      <c r="O17" s="40">
        <f t="shared" si="104"/>
        <v>0.30695704948611713</v>
      </c>
      <c r="P17" s="40">
        <f t="shared" si="104"/>
        <v>0.28858022197706457</v>
      </c>
      <c r="Q17" s="40">
        <f t="shared" si="104"/>
        <v>0.32925466927471853</v>
      </c>
      <c r="R17" s="40">
        <f t="shared" si="104"/>
        <v>0.32737423549207501</v>
      </c>
      <c r="S17" s="40">
        <f t="shared" si="104"/>
        <v>0.32973512843285935</v>
      </c>
      <c r="T17" s="40">
        <f t="shared" si="104"/>
        <v>0.32138178848702642</v>
      </c>
      <c r="U17" s="40">
        <f t="shared" si="104"/>
        <v>0.33494293915305223</v>
      </c>
      <c r="V17" s="40">
        <f>V16/V10</f>
        <v>0.34525520769886703</v>
      </c>
      <c r="W17" s="40">
        <f>W16/W10</f>
        <v>0.28684178449536818</v>
      </c>
      <c r="X17" s="40">
        <f>X16/X10</f>
        <v>0.26791868370589883</v>
      </c>
      <c r="Y17" s="40">
        <f>Y16/Y10</f>
        <v>0.31878765532822889</v>
      </c>
      <c r="Z17" s="40">
        <f>Z16/Z10</f>
        <v>0.30993820353961238</v>
      </c>
      <c r="AA17" s="40">
        <f>AA16/AA10</f>
        <v>0.33983421141082276</v>
      </c>
      <c r="AB17" s="41">
        <f t="shared" ref="AA17:AD17" si="105">AB16/AB10</f>
        <v>0.34126959174076288</v>
      </c>
      <c r="AC17" s="41">
        <f t="shared" si="105"/>
        <v>0.34078239888320594</v>
      </c>
      <c r="AD17" s="41">
        <f t="shared" si="105"/>
        <v>0.34070349374864783</v>
      </c>
      <c r="AE17" s="41">
        <f t="shared" ref="AE17" si="106">AE16/AE10</f>
        <v>0.34069277878679327</v>
      </c>
      <c r="AI17" s="40">
        <f t="shared" ref="AI17" si="107">AI16/AI10</f>
        <v>0.29846723934647118</v>
      </c>
      <c r="AJ17" s="40">
        <f t="shared" ref="AJ17" si="108">AJ16/AJ10</f>
        <v>0.28698384201077187</v>
      </c>
      <c r="AK17" s="40">
        <f t="shared" ref="AK17:AM17" si="109">AK16/AK10</f>
        <v>0.31939777438359163</v>
      </c>
      <c r="AL17" s="40">
        <f t="shared" si="109"/>
        <v>0.32085977960359796</v>
      </c>
      <c r="AM17" s="40">
        <f t="shared" si="109"/>
        <v>0.31097450732236492</v>
      </c>
      <c r="AN17" s="40">
        <f t="shared" ref="AN17:AO17" si="110">AN16/AN10</f>
        <v>0.30185937325334422</v>
      </c>
      <c r="AO17" s="40">
        <f t="shared" si="110"/>
        <v>0.28913692592065976</v>
      </c>
      <c r="AP17" s="40">
        <f t="shared" ref="AP17:CD17" si="111">AP16/AP10</f>
        <v>0.29523122380265238</v>
      </c>
      <c r="AQ17" s="40">
        <f t="shared" si="111"/>
        <v>0.28631939729039335</v>
      </c>
      <c r="AR17" s="40">
        <f t="shared" si="111"/>
        <v>0.28105614760617148</v>
      </c>
      <c r="AS17" s="40">
        <f t="shared" si="111"/>
        <v>0.29102985748371707</v>
      </c>
      <c r="AT17" s="40">
        <f t="shared" si="111"/>
        <v>0.32808120083190151</v>
      </c>
      <c r="AU17" s="40">
        <f t="shared" si="111"/>
        <v>0.32240657807796796</v>
      </c>
      <c r="AV17" s="40">
        <f t="shared" si="111"/>
        <v>0.31074501048903935</v>
      </c>
      <c r="AW17" s="40">
        <f t="shared" si="111"/>
        <v>0.35120267091585089</v>
      </c>
      <c r="AX17" s="40">
        <f t="shared" si="111"/>
        <v>0.35674739826106805</v>
      </c>
      <c r="AY17" s="40">
        <f t="shared" si="111"/>
        <v>0.31569004722756694</v>
      </c>
      <c r="AZ17" s="40">
        <f t="shared" si="111"/>
        <v>0.31271767620552199</v>
      </c>
      <c r="BA17" s="40">
        <f t="shared" si="111"/>
        <v>0.32082982469570531</v>
      </c>
      <c r="BB17" s="40">
        <f t="shared" si="111"/>
        <v>0.32507248648225068</v>
      </c>
      <c r="BC17" s="40">
        <f t="shared" si="111"/>
        <v>0.32421003171619861</v>
      </c>
      <c r="BD17" s="40">
        <f t="shared" si="111"/>
        <v>0.33793884898660376</v>
      </c>
      <c r="BE17" s="40">
        <f t="shared" si="111"/>
        <v>0.32798242951270473</v>
      </c>
      <c r="BF17" s="40">
        <f t="shared" si="111"/>
        <v>0.32847507278349397</v>
      </c>
      <c r="BG17" s="40">
        <f t="shared" si="111"/>
        <v>0.31312554577819574</v>
      </c>
      <c r="BH17" s="40">
        <f t="shared" si="111"/>
        <v>0.31517905477452057</v>
      </c>
      <c r="BI17" s="40">
        <f t="shared" si="111"/>
        <v>0.33018467069782659</v>
      </c>
      <c r="BJ17" s="40">
        <f t="shared" si="111"/>
        <v>0.34735013862774478</v>
      </c>
      <c r="BK17" s="40">
        <f t="shared" si="111"/>
        <v>0.34482051282051279</v>
      </c>
      <c r="BL17" s="40">
        <f t="shared" si="111"/>
        <v>0.33322053711508287</v>
      </c>
      <c r="BM17" s="40">
        <f t="shared" si="111"/>
        <v>0.31803559307027141</v>
      </c>
      <c r="BN17" s="40">
        <f t="shared" si="111"/>
        <v>0.35645858550925125</v>
      </c>
      <c r="BO17" s="40">
        <f t="shared" si="111"/>
        <v>0.34588554752727108</v>
      </c>
      <c r="BP17" s="40">
        <f t="shared" si="111"/>
        <v>0.34894299460562755</v>
      </c>
      <c r="BQ17" s="40">
        <f t="shared" si="111"/>
        <v>0.32837854799089133</v>
      </c>
      <c r="BR17" s="40">
        <f t="shared" si="111"/>
        <v>0.32994907802764339</v>
      </c>
      <c r="BS17" s="40">
        <f t="shared" si="111"/>
        <v>0.27969938428105745</v>
      </c>
      <c r="BT17" s="40">
        <f t="shared" si="111"/>
        <v>0.27964948484440644</v>
      </c>
      <c r="BU17" s="40">
        <f t="shared" si="111"/>
        <v>0.26006318303429726</v>
      </c>
      <c r="BV17" s="40">
        <f t="shared" si="111"/>
        <v>0.28283757257964909</v>
      </c>
      <c r="BW17" s="40">
        <f t="shared" si="111"/>
        <v>0.26220242976270075</v>
      </c>
      <c r="BX17" s="40">
        <f t="shared" si="111"/>
        <v>0.25041935945281724</v>
      </c>
      <c r="BY17" s="40">
        <f t="shared" si="111"/>
        <v>0.27819722539013442</v>
      </c>
      <c r="BZ17" s="40">
        <f t="shared" si="111"/>
        <v>0.3034783003038411</v>
      </c>
      <c r="CA17" s="40">
        <f t="shared" si="111"/>
        <v>0.31716261862634709</v>
      </c>
      <c r="CB17" s="40">
        <f t="shared" si="111"/>
        <v>0.31526989494022462</v>
      </c>
      <c r="CC17" s="40">
        <f t="shared" si="111"/>
        <v>0.34109618538088221</v>
      </c>
      <c r="CD17" s="40">
        <f t="shared" si="111"/>
        <v>0.33668786468235751</v>
      </c>
      <c r="CE17" s="40">
        <f t="shared" ref="CE17:CF17" si="112">CE16/CE10</f>
        <v>0.30721713972945514</v>
      </c>
      <c r="CF17" s="40">
        <f t="shared" si="112"/>
        <v>0.30203831417624516</v>
      </c>
      <c r="CG17" s="40">
        <f t="shared" ref="CG17:CH17" si="113">CG16/CG10</f>
        <v>0.29469722666408227</v>
      </c>
      <c r="CH17" s="40">
        <f t="shared" si="113"/>
        <v>0.33990785827881892</v>
      </c>
      <c r="CI17" s="40">
        <f t="shared" ref="CI17:CJ17" si="114">CI16/CI10</f>
        <v>0.34426604380706594</v>
      </c>
      <c r="CJ17" s="40">
        <f t="shared" si="114"/>
        <v>0.3387063211307284</v>
      </c>
      <c r="CK17" s="40">
        <f t="shared" ref="CK17:CL17" si="115">CK16/CK10</f>
        <v>0.33653537235751463</v>
      </c>
      <c r="CL17" s="40">
        <f t="shared" si="115"/>
        <v>0.34390800848148756</v>
      </c>
      <c r="CM17" s="41">
        <f t="shared" ref="CM17:DA17" si="116">AVERAGE(CI17:CL17)</f>
        <v>0.34085393644419915</v>
      </c>
      <c r="CN17" s="41">
        <f t="shared" si="116"/>
        <v>0.34000090960348245</v>
      </c>
      <c r="CO17" s="41">
        <f t="shared" si="116"/>
        <v>0.34032455672167095</v>
      </c>
      <c r="CP17" s="41">
        <f t="shared" si="116"/>
        <v>0.34127185281271</v>
      </c>
      <c r="CQ17" s="41">
        <f t="shared" si="116"/>
        <v>0.34061281389551568</v>
      </c>
      <c r="CR17" s="41">
        <f t="shared" si="116"/>
        <v>0.34055253325834478</v>
      </c>
      <c r="CS17" s="41">
        <f t="shared" si="116"/>
        <v>0.34069043917206032</v>
      </c>
      <c r="CT17" s="41">
        <f t="shared" si="116"/>
        <v>0.34078190978465772</v>
      </c>
      <c r="CU17" s="41">
        <f t="shared" si="116"/>
        <v>0.3406594240276446</v>
      </c>
      <c r="CV17" s="41">
        <f t="shared" si="116"/>
        <v>0.34067107656067686</v>
      </c>
      <c r="CW17" s="41">
        <f t="shared" si="116"/>
        <v>0.34070071238625987</v>
      </c>
      <c r="CX17" s="41">
        <f t="shared" si="116"/>
        <v>0.34070328068980971</v>
      </c>
      <c r="CY17" s="41">
        <f t="shared" si="116"/>
        <v>0.3406836234160977</v>
      </c>
      <c r="CZ17" s="41">
        <f t="shared" si="116"/>
        <v>0.34068967326321103</v>
      </c>
      <c r="DA17" s="41">
        <f t="shared" si="116"/>
        <v>0.34069432243884457</v>
      </c>
      <c r="DD17" s="124"/>
      <c r="DE17" s="40">
        <v>0.33983421141082271</v>
      </c>
    </row>
    <row r="18" spans="1:109" s="38" customFormat="1" x14ac:dyDescent="0.2">
      <c r="A18" s="38" t="s">
        <v>447</v>
      </c>
      <c r="C18" s="38" t="e">
        <f t="shared" ref="C18:AE18" si="117">+IF(B16&lt;0,1-C16/B16,C16/B16-1)</f>
        <v>#DIV/0!</v>
      </c>
      <c r="D18" s="38" t="e">
        <f t="shared" si="117"/>
        <v>#DIV/0!</v>
      </c>
      <c r="E18" s="38">
        <f t="shared" si="117"/>
        <v>8.2281069518716166E-2</v>
      </c>
      <c r="F18" s="38">
        <f t="shared" si="117"/>
        <v>3.6445107817442146E-3</v>
      </c>
      <c r="G18" s="38">
        <f t="shared" si="117"/>
        <v>8.9538142582350044E-2</v>
      </c>
      <c r="H18" s="38">
        <f t="shared" si="117"/>
        <v>0.12215252057371373</v>
      </c>
      <c r="I18" s="38">
        <f t="shared" si="117"/>
        <v>8.9290523258585441E-2</v>
      </c>
      <c r="J18" s="38">
        <f t="shared" si="117"/>
        <v>0.12870493644540248</v>
      </c>
      <c r="K18" s="38">
        <f t="shared" si="117"/>
        <v>4.8195858326446572E-2</v>
      </c>
      <c r="L18" s="38">
        <f t="shared" si="117"/>
        <v>0.12744621648184773</v>
      </c>
      <c r="M18" s="38">
        <f t="shared" si="117"/>
        <v>8.958798263089629E-2</v>
      </c>
      <c r="N18" s="38">
        <f t="shared" si="117"/>
        <v>0.12187738319156627</v>
      </c>
      <c r="O18" s="38">
        <f t="shared" si="117"/>
        <v>0.20865277014515016</v>
      </c>
      <c r="P18" s="38">
        <f t="shared" si="117"/>
        <v>6.1239428334764145E-2</v>
      </c>
      <c r="Q18" s="38">
        <f t="shared" si="117"/>
        <v>0.89707107125394225</v>
      </c>
      <c r="R18" s="38">
        <f t="shared" si="117"/>
        <v>6.4454312333393382E-2</v>
      </c>
      <c r="S18" s="38">
        <f t="shared" si="117"/>
        <v>-1.597692278282814E-2</v>
      </c>
      <c r="T18" s="38">
        <f t="shared" si="117"/>
        <v>8.3583992804348028E-2</v>
      </c>
      <c r="U18" s="38">
        <f t="shared" si="117"/>
        <v>0.14333710063286653</v>
      </c>
      <c r="V18" s="38">
        <f t="shared" si="117"/>
        <v>-2.3262225591894392E-2</v>
      </c>
      <c r="W18" s="38">
        <f t="shared" si="117"/>
        <v>-0.11434149554253947</v>
      </c>
      <c r="X18" s="38">
        <f t="shared" si="117"/>
        <v>6.127164559651499E-2</v>
      </c>
      <c r="Y18" s="38">
        <f t="shared" si="117"/>
        <v>1.6954878750719438E-2</v>
      </c>
      <c r="Z18" s="38">
        <f t="shared" si="117"/>
        <v>-3.8536783433612554E-2</v>
      </c>
      <c r="AA18" s="38">
        <f t="shared" si="117"/>
        <v>7.3943256421084902E-2</v>
      </c>
      <c r="AB18" s="39">
        <f t="shared" si="117"/>
        <v>-3.6226564444750142E-3</v>
      </c>
      <c r="AC18" s="39">
        <f t="shared" si="117"/>
        <v>-1.0462144153587483E-2</v>
      </c>
      <c r="AD18" s="39">
        <f t="shared" si="117"/>
        <v>-9.3064355581986558E-3</v>
      </c>
      <c r="AE18" s="39">
        <f t="shared" si="117"/>
        <v>-9.080284914053105E-3</v>
      </c>
      <c r="AM18" s="38">
        <f>+IF(AI16&lt;0,1-AM16/AI16,AM16/AI16-1)</f>
        <v>0.21331828442438017</v>
      </c>
      <c r="AN18" s="38">
        <f t="shared" ref="AN18" si="118">+IF(AJ16&lt;0,1-AN16/AJ16,AN16/AJ16-1)</f>
        <v>0.26696903346887746</v>
      </c>
      <c r="AO18" s="38">
        <f t="shared" ref="AO18" si="119">+IF(AK16&lt;0,1-AO16/AK16,AO16/AK16-1)</f>
        <v>0.11135401011067048</v>
      </c>
      <c r="AP18" s="38">
        <f t="shared" ref="AP18" si="120">+IF(AL16&lt;0,1-AP16/AL16,AP16/AL16-1)</f>
        <v>4.2839805825243049E-2</v>
      </c>
      <c r="AQ18" s="38">
        <f t="shared" ref="AQ18" si="121">+IF(AM16&lt;0,1-AQ16/AM16,AQ16/AM16-1)</f>
        <v>2.9651162790696795E-2</v>
      </c>
      <c r="AR18" s="38">
        <f t="shared" ref="AR18" si="122">+IF(AN16&lt;0,1-AR16/AN16,AR16/AN16-1)</f>
        <v>9.0606098012591119E-2</v>
      </c>
      <c r="AS18" s="38">
        <f t="shared" ref="AS18" si="123">+IF(AO16&lt;0,1-AS16/AO16,AS16/AO16-1)</f>
        <v>0.10966314236538</v>
      </c>
      <c r="AT18" s="38">
        <f t="shared" ref="AT18" si="124">+IF(AP16&lt;0,1-AT16/AP16,AT16/AP16-1)</f>
        <v>0.68893285232165624</v>
      </c>
      <c r="AU18" s="38">
        <f t="shared" ref="AU18" si="125">+IF(AQ16&lt;0,1-AU16/AQ16,AU16/AQ16-1)</f>
        <v>0.98373800112930732</v>
      </c>
      <c r="AV18" s="38">
        <f t="shared" ref="AV18" si="126">+IF(AR16&lt;0,1-AV16/AR16,AV16/AR16-1)</f>
        <v>0.82750424448217252</v>
      </c>
      <c r="AW18" s="38">
        <f t="shared" ref="AW18" si="127">+IF(AS16&lt;0,1-AW16/AS16,AW16/AS16-1)</f>
        <v>1.0511854642144902</v>
      </c>
      <c r="AX18" s="38">
        <f t="shared" ref="AX18" si="128">+IF(AT16&lt;0,1-AX16/AT16,AX16/AT16-1)</f>
        <v>0.29201405636326094</v>
      </c>
      <c r="AY18" s="38">
        <f t="shared" ref="AY18" si="129">+IF(AU16&lt;0,1-AY16/AU16,AY16/AU16-1)</f>
        <v>2.7439371513150013E-2</v>
      </c>
      <c r="AZ18" s="38">
        <f t="shared" ref="AZ18" si="130">+IF(AV16&lt;0,1-AZ16/AV16,AZ16/AV16-1)</f>
        <v>7.8843057103926029E-2</v>
      </c>
      <c r="BA18" s="38">
        <f t="shared" ref="BA18" si="131">+IF(AW16&lt;0,1-BA16/AW16,BA16/AW16-1)</f>
        <v>-9.4523063627525161E-2</v>
      </c>
      <c r="BB18" s="38">
        <f t="shared" ref="BB18" si="132">+IF(AX16&lt;0,1-BB16/AX16,BB16/AX16-1)</f>
        <v>-0.11508719534958101</v>
      </c>
      <c r="BC18" s="38">
        <f t="shared" ref="BC18" si="133">+IF(AY16&lt;0,1-BC16/AY16,BC16/AY16-1)</f>
        <v>-8.2446808510638903E-2</v>
      </c>
      <c r="BD18" s="38">
        <f t="shared" ref="BD18" si="134">+IF(AZ16&lt;0,1-BD16/AZ16,BD16/AZ16-1)</f>
        <v>6.1541994373960351E-2</v>
      </c>
      <c r="BE18" s="38">
        <f t="shared" ref="BE18" si="135">+IF(BA16&lt;0,1-BE16/BA16,BE16/BA16-1)</f>
        <v>9.5681221665474103E-2</v>
      </c>
      <c r="BF18" s="38">
        <f t="shared" ref="BF18" si="136">+IF(BB16&lt;0,1-BF16/BB16,BF16/BB16-1)</f>
        <v>9.4738745254022483E-2</v>
      </c>
      <c r="BG18" s="38">
        <f t="shared" ref="BG18" si="137">+IF(BC16&lt;0,1-BG16/BC16,BG16/BC16-1)</f>
        <v>0.12596618357487976</v>
      </c>
      <c r="BH18" s="38">
        <f t="shared" ref="BH18" si="138">+IF(BD16&lt;0,1-BH16/BD16,BH16/BD16-1)</f>
        <v>3.9046022389270574E-2</v>
      </c>
      <c r="BI18" s="38">
        <f t="shared" ref="BI18" si="139">+IF(BE16&lt;0,1-BI16/BE16,BI16/BE16-1)</f>
        <v>9.9956445993031995E-2</v>
      </c>
      <c r="BJ18" s="38">
        <f t="shared" ref="BJ18" si="140">+IF(BF16&lt;0,1-BJ16/BF16,BJ16/BF16-1)</f>
        <v>0.20005505092210307</v>
      </c>
      <c r="BK18" s="38">
        <f t="shared" ref="BK18" si="141">+IF(BG16&lt;0,1-BK16/BG16,BK16/BG16-1)</f>
        <v>0.17199399334978005</v>
      </c>
      <c r="BL18" s="38">
        <f t="shared" ref="BL18" si="142">+IF(BH16&lt;0,1-BL16/BH16,BL16/BH16-1)</f>
        <v>0.12756987456409719</v>
      </c>
      <c r="BM18" s="38">
        <f t="shared" ref="BM18" si="143">+IF(BI16&lt;0,1-BM16/BI16,BM16/BI16-1)</f>
        <v>6.6719461492773746E-2</v>
      </c>
      <c r="BN18" s="38">
        <f t="shared" ref="BN18" si="144">+IF(BJ16&lt;0,1-BN16/BJ16,BN16/BJ16-1)</f>
        <v>-5.4360291756502921E-2</v>
      </c>
      <c r="BO18" s="38">
        <f t="shared" ref="BO18" si="145">+IF(BK16&lt;0,1-BO16/BK16,BO16/BK16-1)</f>
        <v>1.4231455635382195E-2</v>
      </c>
      <c r="BP18" s="38">
        <f t="shared" ref="BP18" si="146">+IF(BL16&lt;0,1-BP16/BL16,BP16/BL16-1)</f>
        <v>0.10478212703101897</v>
      </c>
      <c r="BQ18" s="38">
        <f t="shared" ref="BQ18" si="147">+IF(BM16&lt;0,1-BQ16/BM16,BQ16/BM16-1)</f>
        <v>-0.15024127691165623</v>
      </c>
      <c r="BR18" s="38">
        <f t="shared" ref="BR18" si="148">+IF(BN16&lt;0,1-BR16/BN16,BR16/BN16-1)</f>
        <v>1.2127680217328241E-2</v>
      </c>
      <c r="BS18" s="38">
        <f t="shared" ref="BS18" si="149">+IF(BO16&lt;0,1-BS16/BO16,BS16/BO16-1)</f>
        <v>-0.16377910124526307</v>
      </c>
      <c r="BT18" s="38">
        <f t="shared" ref="BT18" si="150">+IF(BP16&lt;0,1-BT16/BP16,BT16/BP16-1)</f>
        <v>-0.21864293473719421</v>
      </c>
      <c r="BU18" s="38">
        <f t="shared" ref="BU18" si="151">+IF(BQ16&lt;0,1-BU16/BQ16,BU16/BQ16-1)</f>
        <v>-6.0554766845036134E-2</v>
      </c>
      <c r="BV18" s="38">
        <f t="shared" ref="BV18" si="152">+IF(BR16&lt;0,1-BV16/BR16,BV16/BR16-1)</f>
        <v>-1.2413726993864338E-2</v>
      </c>
      <c r="BW18" s="38">
        <f t="shared" ref="BW18" si="153">+IF(BS16&lt;0,1-BW16/BS16,BW16/BS16-1)</f>
        <v>0.12139851084493425</v>
      </c>
      <c r="BX18" s="38">
        <f t="shared" ref="BX18" si="154">+IF(BT16&lt;0,1-BX16/BT16,BX16/BT16-1)</f>
        <v>2.9784503502487292E-2</v>
      </c>
      <c r="BY18" s="38">
        <f t="shared" ref="BY18" si="155">+IF(BU16&lt;0,1-BY16/BU16,BY16/BU16-1)</f>
        <v>0.1200813716942748</v>
      </c>
      <c r="BZ18" s="38">
        <f t="shared" ref="BZ18" si="156">+IF(BV16&lt;0,1-BZ16/BV16,BZ16/BV16-1)</f>
        <v>-2.5673380247513644E-2</v>
      </c>
      <c r="CA18" s="38">
        <f t="shared" ref="CA18" si="157">+IF(BW16&lt;0,1-CA16/BW16,CA16/BW16-1)</f>
        <v>-5.1289453425712228E-2</v>
      </c>
      <c r="CB18" s="38">
        <f t="shared" ref="CB18" si="158">+IF(BX16&lt;0,1-CB16/BX16,CB16/BX16-1)</f>
        <v>8.4536296604008632E-2</v>
      </c>
      <c r="CC18" s="38">
        <f t="shared" ref="CC18" si="159">+IF(BY16&lt;0,1-CC16/BY16,CC16/BY16-1)</f>
        <v>6.8600487779564956E-2</v>
      </c>
      <c r="CD18" s="38">
        <f t="shared" ref="CD18" si="160">+IF(BZ16&lt;0,1-CD16/BZ16,CD16/BZ16-1)</f>
        <v>2.321179517832217E-2</v>
      </c>
      <c r="CE18" s="38">
        <f t="shared" ref="CE18" si="161">+IF(CA16&lt;0,1-CE16/CA16,CE16/CA16-1)</f>
        <v>-3.7022010345871825E-3</v>
      </c>
      <c r="CF18" s="38">
        <f t="shared" ref="CF18" si="162">+IF(CB16&lt;0,1-CF16/CB16,CF16/CB16-1)</f>
        <v>-5.6401417217274874E-2</v>
      </c>
      <c r="CG18" s="38">
        <f t="shared" ref="CG18" si="163">+IF(CC16&lt;0,1-CG16/CC16,CG16/CC16-1)</f>
        <v>-0.11401932695576178</v>
      </c>
      <c r="CH18" s="38">
        <f t="shared" ref="CH18:CL18" si="164">+IF(CD16&lt;0,1-CH16/CD16,CH16/CD16-1)</f>
        <v>9.2493428098532338E-3</v>
      </c>
      <c r="CI18" s="38">
        <f t="shared" si="164"/>
        <v>7.2893866123694862E-2</v>
      </c>
      <c r="CJ18" s="38">
        <f t="shared" si="164"/>
        <v>7.3675664704688115E-2</v>
      </c>
      <c r="CK18" s="38">
        <f t="shared" si="164"/>
        <v>0.14825979720471372</v>
      </c>
      <c r="CL18" s="38">
        <f t="shared" si="164"/>
        <v>1.702681844491627E-2</v>
      </c>
      <c r="CM18" s="39">
        <f t="shared" ref="CM18" si="165">+CM16/CI16-1</f>
        <v>-2.8332346397232921E-2</v>
      </c>
      <c r="CN18" s="39">
        <f t="shared" ref="CN18" si="166">+CN16/CJ16-1</f>
        <v>-8.8409752936475794E-3</v>
      </c>
      <c r="CO18" s="39">
        <f t="shared" ref="CO18" si="167">+CO16/CK16-1</f>
        <v>6.0728494541364419E-3</v>
      </c>
      <c r="CP18" s="39">
        <f t="shared" ref="CP18" si="168">+CP16/CL16-1</f>
        <v>-1.5393569370991012E-2</v>
      </c>
      <c r="CQ18" s="39">
        <f t="shared" ref="CQ18" si="169">+CQ16/CM16-1</f>
        <v>-1.1733897717244091E-2</v>
      </c>
      <c r="CR18" s="39">
        <f t="shared" ref="CR18" si="170">+CR16/CN16-1</f>
        <v>-7.5339087506508529E-3</v>
      </c>
      <c r="CS18" s="39">
        <f t="shared" ref="CS18" si="171">+CS16/CO16-1</f>
        <v>-7.2069365140924324E-3</v>
      </c>
      <c r="CT18" s="39">
        <f t="shared" ref="CT18" si="172">+CT16/CP16-1</f>
        <v>-1.0481859243441138E-2</v>
      </c>
      <c r="CU18" s="39">
        <f t="shared" ref="CU18" si="173">+CU16/CQ16-1</f>
        <v>-9.2414809229380834E-3</v>
      </c>
      <c r="CV18" s="39">
        <f t="shared" ref="CV18" si="174">+CV16/CR16-1</f>
        <v>-8.6177543691753344E-3</v>
      </c>
      <c r="CW18" s="39">
        <f t="shared" ref="CW18" si="175">+CW16/CS16-1</f>
        <v>-8.8881479316448297E-3</v>
      </c>
      <c r="CX18" s="39">
        <f t="shared" ref="CX18" si="176">+CX16/CT16-1</f>
        <v>-9.3078927856141691E-3</v>
      </c>
      <c r="CY18" s="39">
        <f t="shared" ref="CY18" si="177">+CY16/CU16-1</f>
        <v>-9.0138720947151585E-3</v>
      </c>
      <c r="CZ18" s="39">
        <f t="shared" ref="CZ18" si="178">+CZ16/CV16-1</f>
        <v>-8.9569731201357694E-3</v>
      </c>
      <c r="DA18" s="39">
        <f t="shared" ref="DA18" si="179">+DA16/CW16-1</f>
        <v>-9.0417417488531937E-3</v>
      </c>
      <c r="DD18" s="121"/>
      <c r="DE18" s="38">
        <v>7.394325642108468E-2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-9.7911963882618469E-2</v>
      </c>
      <c r="AK19" s="38">
        <f t="shared" ref="AK19" si="180">+IF(AJ16&lt;0,1-AK16/AJ16,AK16/AJ16-1)</f>
        <v>0.1446668751954967</v>
      </c>
      <c r="AL19" s="38">
        <f t="shared" ref="AL19" si="181">+IF(AK16&lt;0,1-AL16/AK16,AL16/AK16-1)</f>
        <v>0.12583686295941998</v>
      </c>
      <c r="AM19" s="38">
        <f t="shared" ref="AM19" si="182">+IF(AL16&lt;0,1-AM16/AL16,AM16/AL16-1)</f>
        <v>4.3689320388350161E-2</v>
      </c>
      <c r="AN19" s="38">
        <f t="shared" ref="AN19" si="183">+IF(AM16&lt;0,1-AN16/AM16,AN16/AM16-1)</f>
        <v>-5.8023255813953956E-2</v>
      </c>
      <c r="AO19" s="38">
        <f t="shared" ref="AO19" si="184">+IF(AN16&lt;0,1-AO16/AN16,AO16/AN16-1)</f>
        <v>4.0735711640540462E-3</v>
      </c>
      <c r="AP19" s="38">
        <f t="shared" ref="AP19" si="185">+IF(AO16&lt;0,1-AP16/AO16,AP16/AO16-1)</f>
        <v>5.6429800835997135E-2</v>
      </c>
      <c r="AQ19" s="38">
        <f t="shared" ref="AQ19" si="186">+IF(AP16&lt;0,1-AQ16/AP16,AQ16/AP16-1)</f>
        <v>3.048993366693753E-2</v>
      </c>
      <c r="AR19" s="38">
        <f t="shared" ref="AR19" si="187">+IF(AQ16&lt;0,1-AR16/AQ16,AR16/AQ16-1)</f>
        <v>-2.2586109542627186E-3</v>
      </c>
      <c r="AS19" s="38">
        <f t="shared" ref="AS19" si="188">+IF(AR16&lt;0,1-AS16/AR16,AS16/AR16-1)</f>
        <v>2.1618562535370867E-2</v>
      </c>
      <c r="AT19" s="38">
        <f t="shared" ref="AT19" si="189">+IF(AS16&lt;0,1-AT16/AS16,AT16/AS16-1)</f>
        <v>0.60791048083314769</v>
      </c>
      <c r="AU19" s="38">
        <f t="shared" ref="AU19" si="190">+IF(AT16&lt;0,1-AU16/AT16,AU16/AT16-1)</f>
        <v>0.21036312271756463</v>
      </c>
      <c r="AV19" s="38">
        <f t="shared" ref="AV19" si="191">+IF(AU16&lt;0,1-AV16/AU16,AV16/AU16-1)</f>
        <v>-8.0837982466128611E-2</v>
      </c>
      <c r="AW19" s="38">
        <f t="shared" ref="AW19" si="192">+IF(AV16&lt;0,1-AW16/AV16,AW16/AV16-1)</f>
        <v>0.14666171187910337</v>
      </c>
      <c r="AX19" s="38">
        <f t="shared" ref="AX19" si="193">+IF(AW16&lt;0,1-AX16/AW16,AX16/AW16-1)</f>
        <v>1.2801123474128095E-2</v>
      </c>
      <c r="AY19" s="38">
        <f t="shared" ref="AY19" si="194">+IF(AX16&lt;0,1-AY16/AX16,AY16/AX16-1)</f>
        <v>-3.7491333795530712E-2</v>
      </c>
      <c r="AZ19" s="38">
        <f t="shared" ref="AZ19" si="195">+IF(AY16&lt;0,1-AZ16/AY16,AZ16/AY16-1)</f>
        <v>-3.4851507092199641E-2</v>
      </c>
      <c r="BA19" s="38">
        <f t="shared" ref="BA19" si="196">+IF(AZ16&lt;0,1-BA16/AZ16,BA16/AZ16-1)</f>
        <v>-3.7602617831103413E-2</v>
      </c>
      <c r="BB19" s="38">
        <f t="shared" ref="BB19" si="197">+IF(BA16&lt;0,1-BB16/BA16,BB16/BA16-1)</f>
        <v>-1.0200429491767249E-2</v>
      </c>
      <c r="BC19" s="38">
        <f t="shared" ref="BC19" si="198">+IF(BB16&lt;0,1-BC16/BB16,BC16/BB16-1)</f>
        <v>-1.9887904538067325E-3</v>
      </c>
      <c r="BD19" s="38">
        <f t="shared" ref="BD19" si="199">+IF(BC16&lt;0,1-BD16/BC16,BD16/BC16-1)</f>
        <v>0.11660628019323704</v>
      </c>
      <c r="BE19" s="38">
        <f t="shared" ref="BE19" si="200">+IF(BD16&lt;0,1-BE16/BD16,BE16/BD16-1)</f>
        <v>-6.6518847006650228E-3</v>
      </c>
      <c r="BF19" s="38">
        <f t="shared" ref="BF19" si="201">+IF(BE16&lt;0,1-BF16/BE16,BF16/BE16-1)</f>
        <v>-1.1051829268292512E-2</v>
      </c>
      <c r="BG19" s="38">
        <f t="shared" ref="BG19" si="202">+IF(BF16&lt;0,1-BG16/BF16,BG16/BF16-1)</f>
        <v>2.6479493531516241E-2</v>
      </c>
      <c r="BH19" s="38">
        <f t="shared" ref="BH19" si="203">+IF(BG16&lt;0,1-BH16/BG16,BH16/BG16-1)</f>
        <v>3.0408666738174439E-2</v>
      </c>
      <c r="BI19" s="38">
        <f t="shared" ref="BI19" si="204">+IF(BH16&lt;0,1-BI16/BH16,BI16/BH16-1)</f>
        <v>5.157965960547628E-2</v>
      </c>
      <c r="BJ19" s="38">
        <f t="shared" ref="BJ19" si="205">+IF(BI16&lt;0,1-BJ16/BI16,BJ16/BI16-1)</f>
        <v>7.8944763413185015E-2</v>
      </c>
      <c r="BK19" s="38">
        <f t="shared" ref="BK19" si="206">+IF(BJ16&lt;0,1-BK16/BJ16,BK16/BJ16-1)</f>
        <v>2.4771778521945897E-3</v>
      </c>
      <c r="BL19" s="38">
        <f t="shared" ref="BL19" si="207">+IF(BK16&lt;0,1-BL16/BK16,BL16/BK16-1)</f>
        <v>-8.6486981192512857E-3</v>
      </c>
      <c r="BM19" s="38">
        <f t="shared" ref="BM19" si="208">+IF(BL16&lt;0,1-BM16/BL16,BM16/BL16-1)</f>
        <v>-5.1698670605605512E-3</v>
      </c>
      <c r="BN19" s="38">
        <f t="shared" ref="BN19" si="209">+IF(BM16&lt;0,1-BN16/BM16,BN16/BM16-1)</f>
        <v>-4.3522642910171494E-2</v>
      </c>
      <c r="BO19" s="38">
        <f t="shared" ref="BO19" si="210">+IF(BN16&lt;0,1-BO16/BN16,BO16/BN16-1)</f>
        <v>7.519161734743407E-2</v>
      </c>
      <c r="BP19" s="38">
        <f t="shared" ref="BP19" si="211">+IF(BO16&lt;0,1-BP16/BO16,BP16/BO16-1)</f>
        <v>7.9859231185706037E-2</v>
      </c>
      <c r="BQ19" s="38">
        <f t="shared" ref="BQ19" si="212">+IF(BP16&lt;0,1-BQ16/BP16,BQ16/BP16-1)</f>
        <v>-0.23481240076878063</v>
      </c>
      <c r="BR19" s="38">
        <f t="shared" ref="BR19" si="213">+IF(BQ16&lt;0,1-BR16/BQ16,BR16/BQ16-1)</f>
        <v>0.13923774161843427</v>
      </c>
      <c r="BS19" s="38">
        <f t="shared" ref="BS19" si="214">+IF(BR16&lt;0,1-BS16/BR16,BS16/BR16-1)</f>
        <v>-0.11167561349693311</v>
      </c>
      <c r="BT19" s="38">
        <f t="shared" ref="BT19" si="215">+IF(BS16&lt;0,1-BT16/BS16,BT16/BS16-1)</f>
        <v>9.0104672493793725E-3</v>
      </c>
      <c r="BU19" s="38">
        <f t="shared" ref="BU19" si="216">+IF(BT16&lt;0,1-BU16/BT16,BU16/BT16-1)</f>
        <v>-7.99957221538945E-2</v>
      </c>
      <c r="BV19" s="38">
        <f t="shared" ref="BV19" si="217">+IF(BU16&lt;0,1-BV16/BU16,BV16/BU16-1)</f>
        <v>0.19761697181052074</v>
      </c>
      <c r="BW19" s="38">
        <f t="shared" ref="BW19" si="218">+IF(BV16&lt;0,1-BW16/BV16,BW16/BV16-1)</f>
        <v>8.6872118417853361E-3</v>
      </c>
      <c r="BX19" s="38">
        <f t="shared" ref="BX19" si="219">+IF(BW16&lt;0,1-BX16/BW16,BX16/BW16-1)</f>
        <v>-7.3421862971516538E-2</v>
      </c>
      <c r="BY19" s="38">
        <f t="shared" ref="BY19" si="220">+IF(BX16&lt;0,1-BY16/BX16,BY16/BX16-1)</f>
        <v>6.7504413750119063E-4</v>
      </c>
      <c r="BZ19" s="38">
        <f t="shared" ref="BZ19" si="221">+IF(BY16&lt;0,1-BZ16/BY16,BZ16/BY16-1)</f>
        <v>4.1772611696331063E-2</v>
      </c>
      <c r="CA19" s="38">
        <f t="shared" ref="CA19" si="222">+IF(BZ16&lt;0,1-CA16/BZ16,CA16/BZ16-1)</f>
        <v>-1.7832237497509396E-2</v>
      </c>
      <c r="CB19" s="38">
        <f t="shared" ref="CB19" si="223">+IF(CA16&lt;0,1-CB16/CA16,CB16/CA16-1)</f>
        <v>5.9235216553402914E-2</v>
      </c>
      <c r="CC19" s="38">
        <f t="shared" ref="CC19" si="224">+IF(CB16&lt;0,1-CC16/CB16,CC16/CB16-1)</f>
        <v>-1.4028535861342561E-2</v>
      </c>
      <c r="CD19" s="38">
        <f t="shared" ref="CD19" si="225">+IF(CC16&lt;0,1-CD16/CC16,CD16/CC16-1)</f>
        <v>-2.4765697081534643E-3</v>
      </c>
      <c r="CE19" s="38">
        <f t="shared" ref="CE19" si="226">+IF(CD16&lt;0,1-CE16/CD16,CE16/CD16-1)</f>
        <v>-4.3666634212831568E-2</v>
      </c>
      <c r="CF19" s="38">
        <f t="shared" ref="CF19" si="227">+IF(CE16&lt;0,1-CF16/CE16,CF16/CE16-1)</f>
        <v>3.2069228811395512E-3</v>
      </c>
      <c r="CG19" s="38">
        <f t="shared" ref="CG19" si="228">+IF(CF16&lt;0,1-CG16/CF16,CG16/CF16-1)</f>
        <v>-7.4233813679723926E-2</v>
      </c>
      <c r="CH19" s="38">
        <f t="shared" ref="CH19:CL19" si="229">+IF(CG16&lt;0,1-CH16/CG16,CH16/CG16-1)</f>
        <v>0.13631131816936159</v>
      </c>
      <c r="CI19" s="38">
        <f t="shared" si="229"/>
        <v>1.6640941539648901E-2</v>
      </c>
      <c r="CJ19" s="38">
        <f t="shared" si="229"/>
        <v>3.9379418323286508E-3</v>
      </c>
      <c r="CK19" s="38">
        <f t="shared" si="229"/>
        <v>-9.9243856332699165E-3</v>
      </c>
      <c r="CL19" s="38">
        <f t="shared" si="229"/>
        <v>6.4439140811456408E-3</v>
      </c>
      <c r="CM19" s="39">
        <f t="shared" ref="CM19" si="230">+CM16/CL16-1</f>
        <v>-2.8701013280269527E-2</v>
      </c>
      <c r="CN19" s="39">
        <f t="shared" ref="CN19" si="231">+CN16/CM16-1</f>
        <v>2.4076645551309728E-2</v>
      </c>
      <c r="CO19" s="39">
        <f t="shared" ref="CO19" si="232">+CO16/CN16-1</f>
        <v>4.973137197735733E-3</v>
      </c>
      <c r="CP19" s="39">
        <f t="shared" ref="CP19" si="233">+CP16/CO16-1</f>
        <v>-1.5030422091815043E-2</v>
      </c>
      <c r="CQ19" s="39">
        <f t="shared" ref="CQ19" si="234">+CQ16/CP16-1</f>
        <v>-2.5090803902761638E-2</v>
      </c>
      <c r="CR19" s="39">
        <f t="shared" ref="CR19" si="235">+CR16/CQ16-1</f>
        <v>2.8428824182476164E-2</v>
      </c>
      <c r="CS19" s="39">
        <f t="shared" ref="CS19" si="236">+CS16/CR16-1</f>
        <v>5.3042299345535948E-3</v>
      </c>
      <c r="CT19" s="39">
        <f t="shared" ref="CT19" si="237">+CT16/CS16-1</f>
        <v>-1.8279537518832933E-2</v>
      </c>
      <c r="CU19" s="39">
        <f t="shared" ref="CU19" si="238">+CU16/CT16-1</f>
        <v>-2.3868738150259694E-2</v>
      </c>
      <c r="CV19" s="39">
        <f t="shared" ref="CV19" si="239">+CV16/CU16-1</f>
        <v>2.9076265868766438E-2</v>
      </c>
      <c r="CW19" s="39">
        <f t="shared" ref="CW19" si="240">+CW16/CV16-1</f>
        <v>5.0300392343514133E-3</v>
      </c>
      <c r="CX19" s="39">
        <f t="shared" ref="CX19" si="241">+CX16/CW16-1</f>
        <v>-1.869530503417749E-2</v>
      </c>
      <c r="CY19" s="39">
        <f t="shared" ref="CY19" si="242">+CY16/CX16-1</f>
        <v>-2.3579038872424296E-2</v>
      </c>
      <c r="CZ19" s="39">
        <f t="shared" ref="CZ19" si="243">+CZ16/CY16-1</f>
        <v>2.9135351846504287E-2</v>
      </c>
      <c r="DA19" s="39">
        <f t="shared" ref="DA19" si="244">+DA16/CZ16-1</f>
        <v>4.9440742298711982E-3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10.013999999999999</v>
      </c>
      <c r="E20" s="22">
        <f>'Annual Raw'!F13</f>
        <v>12.0829</v>
      </c>
      <c r="F20" s="22">
        <f>'Annual Raw'!G13</f>
        <v>12.351900000000001</v>
      </c>
      <c r="G20" s="22">
        <f>'Annual Raw'!H13</f>
        <v>15.2928</v>
      </c>
      <c r="H20" s="22">
        <f>'Annual Raw'!I13</f>
        <v>17.808800000000002</v>
      </c>
      <c r="I20" s="22">
        <f>'Annual Raw'!J13</f>
        <v>16.944900000000001</v>
      </c>
      <c r="J20" s="22">
        <f>'Annual Raw'!K13</f>
        <v>19.994700000000002</v>
      </c>
      <c r="K20" s="22">
        <f>'Annual Raw'!L13</f>
        <v>19.994700000000002</v>
      </c>
      <c r="L20" s="22">
        <f>'Annual Raw'!M13</f>
        <v>21.624099999999999</v>
      </c>
      <c r="M20" s="22">
        <f>'Annual Raw'!N13</f>
        <v>24.309200000000001</v>
      </c>
      <c r="N20" s="22">
        <f>'Annual Raw'!O13</f>
        <v>32.919199999999996</v>
      </c>
      <c r="O20" s="22">
        <f>'Annual Raw'!P13</f>
        <v>38.2911</v>
      </c>
      <c r="P20" s="22">
        <f>'Annual Raw'!Q13</f>
        <v>39.007599999999996</v>
      </c>
      <c r="Q20" s="22">
        <f>'Annual Raw'!R13</f>
        <v>70.941500000000005</v>
      </c>
      <c r="R20" s="22">
        <f>'Annual Raw'!S13</f>
        <v>74.832999999999998</v>
      </c>
      <c r="S20" s="22">
        <f>'Annual Raw'!T13</f>
        <v>77.218699999999998</v>
      </c>
      <c r="T20" s="22">
        <f>'Annual Raw'!U13</f>
        <v>85.272300000000001</v>
      </c>
      <c r="U20" s="22">
        <f>'Annual Raw'!V13</f>
        <v>85.93</v>
      </c>
      <c r="V20" s="22">
        <f>'Annual Raw'!W13</f>
        <v>77.75</v>
      </c>
      <c r="W20" s="22">
        <f>'Annual Raw'!X13</f>
        <v>81.52</v>
      </c>
      <c r="X20" s="22">
        <f>'Annual Raw'!Y13</f>
        <v>90.82</v>
      </c>
      <c r="Y20" s="22">
        <f>'Annual Raw'!Z13</f>
        <v>87.64</v>
      </c>
      <c r="Z20" s="22">
        <f>'Annual Raw'!AA13</f>
        <v>82.99</v>
      </c>
      <c r="AA20" s="22">
        <f>'Annual Raw'!AB13</f>
        <v>81.59</v>
      </c>
      <c r="AB20" s="75">
        <f t="shared" ref="AB20:AB25" si="245">+SUM(CL20:CO20)</f>
        <v>0</v>
      </c>
      <c r="AC20" s="75">
        <f t="shared" ref="AC20:AC25" si="246">+SUM(CP20:CS20)</f>
        <v>0</v>
      </c>
      <c r="AD20" s="75">
        <f t="shared" ref="AD20:AD25" si="247">+SUM(CT20:CW20)</f>
        <v>0</v>
      </c>
      <c r="AE20" s="75">
        <f t="shared" ref="AE20:AE25" si="248">+SUM(CX20:DA20)</f>
        <v>0</v>
      </c>
      <c r="AI20" s="22">
        <f>'QTR Raw'!C15</f>
        <v>0</v>
      </c>
      <c r="AJ20" s="22">
        <f>'QTR Raw'!D15</f>
        <v>0</v>
      </c>
      <c r="AK20" s="22">
        <f>'QTR Raw'!E15</f>
        <v>0</v>
      </c>
      <c r="AL20" s="22">
        <f>'QTR Raw'!F15</f>
        <v>0</v>
      </c>
      <c r="AM20" s="22">
        <f>'QTR Raw'!G15</f>
        <v>0</v>
      </c>
      <c r="AN20" s="22">
        <f>'QTR Raw'!H15</f>
        <v>0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2">
        <f>'QTR Raw'!BE15</f>
        <v>0</v>
      </c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5.4635999999999996</v>
      </c>
      <c r="E21" s="22">
        <f>('Annual Raw'!F18)</f>
        <v>6.3055000000000003</v>
      </c>
      <c r="F21" s="22">
        <f>('Annual Raw'!G18)</f>
        <v>7.4863</v>
      </c>
      <c r="G21" s="22">
        <f>('Annual Raw'!H18)</f>
        <v>9.3988999999999994</v>
      </c>
      <c r="H21" s="22">
        <f>('Annual Raw'!I18)</f>
        <v>9.6156000000000006</v>
      </c>
      <c r="I21" s="22">
        <f>('Annual Raw'!J18)</f>
        <v>12.6259</v>
      </c>
      <c r="J21" s="22">
        <f>('Annual Raw'!K18)</f>
        <v>14.7325</v>
      </c>
      <c r="K21" s="22">
        <f>('Annual Raw'!L18)</f>
        <v>14.2819</v>
      </c>
      <c r="L21" s="22">
        <f>('Annual Raw'!M18)</f>
        <v>27.429200000000002</v>
      </c>
      <c r="M21" s="22">
        <f>('Annual Raw'!N18)</f>
        <v>15.5974</v>
      </c>
      <c r="N21" s="22">
        <f>('Annual Raw'!O18)</f>
        <v>16.131</v>
      </c>
      <c r="O21" s="22">
        <f>('Annual Raw'!P18)</f>
        <v>18.896899999999999</v>
      </c>
      <c r="P21" s="22">
        <f>('Annual Raw'!Q18)</f>
        <v>21.9819</v>
      </c>
      <c r="Q21" s="22">
        <f>('Annual Raw'!R18)</f>
        <v>29.3977</v>
      </c>
      <c r="R21" s="22">
        <f>('Annual Raw'!S18)</f>
        <v>36.451900000000002</v>
      </c>
      <c r="S21" s="22">
        <f>('Annual Raw'!T18)</f>
        <v>36.120199999999997</v>
      </c>
      <c r="T21" s="22">
        <f>('Annual Raw'!U18)</f>
        <v>42.965600000000002</v>
      </c>
      <c r="U21" s="22">
        <f>('Annual Raw'!V18)</f>
        <v>59.57</v>
      </c>
      <c r="V21" s="22">
        <f>('Annual Raw'!W18)</f>
        <v>63.56</v>
      </c>
      <c r="W21" s="22">
        <f>('Annual Raw'!X18)</f>
        <v>81.64</v>
      </c>
      <c r="X21" s="22">
        <f>('Annual Raw'!Y18)</f>
        <v>67.16</v>
      </c>
      <c r="Y21" s="22">
        <f>('Annual Raw'!Z18)</f>
        <v>45.75</v>
      </c>
      <c r="Z21" s="22">
        <f>('Annual Raw'!AA18)</f>
        <v>58.68</v>
      </c>
      <c r="AA21" s="22">
        <f>('Annual Raw'!AB18)</f>
        <v>48.11</v>
      </c>
      <c r="AB21" s="75">
        <f t="shared" si="245"/>
        <v>0</v>
      </c>
      <c r="AC21" s="75">
        <f t="shared" si="246"/>
        <v>0</v>
      </c>
      <c r="AD21" s="75">
        <f t="shared" si="247"/>
        <v>0</v>
      </c>
      <c r="AE21" s="75">
        <f t="shared" si="248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2">
        <f>'QTR Raw'!BE18</f>
        <v>0</v>
      </c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9.2348999999999997</v>
      </c>
      <c r="E22" s="22">
        <f>'Annual Raw'!F15+'Annual Raw'!F16</f>
        <v>11.8431</v>
      </c>
      <c r="F22" s="22">
        <f>'Annual Raw'!G15+'Annual Raw'!G16</f>
        <v>13.27</v>
      </c>
      <c r="G22" s="22">
        <f>'Annual Raw'!H15+'Annual Raw'!H16</f>
        <v>14.5692</v>
      </c>
      <c r="H22" s="22">
        <f>'Annual Raw'!I15+'Annual Raw'!I16</f>
        <v>20.029499999999999</v>
      </c>
      <c r="I22" s="22">
        <f>'Annual Raw'!J15+'Annual Raw'!J16</f>
        <v>22.350999999999999</v>
      </c>
      <c r="J22" s="22">
        <f>'Annual Raw'!K15+'Annual Raw'!K16</f>
        <v>24.403400000000001</v>
      </c>
      <c r="K22" s="22">
        <f>'Annual Raw'!L15+'Annual Raw'!L16</f>
        <v>26.564599999999999</v>
      </c>
      <c r="L22" s="22">
        <f>'Annual Raw'!M15+'Annual Raw'!M16</f>
        <v>28.903400000000001</v>
      </c>
      <c r="M22" s="22">
        <f>'Annual Raw'!N15+'Annual Raw'!N16</f>
        <v>27.5563</v>
      </c>
      <c r="N22" s="22">
        <f>'Annual Raw'!O15+'Annual Raw'!O16</f>
        <v>30.7821</v>
      </c>
      <c r="O22" s="22">
        <f>'Annual Raw'!P15+'Annual Raw'!P16</f>
        <v>35.703600000000002</v>
      </c>
      <c r="P22" s="22">
        <f>'Annual Raw'!Q15+'Annual Raw'!Q16</f>
        <v>37.591200000000001</v>
      </c>
      <c r="Q22" s="22">
        <f>'Annual Raw'!R15+'Annual Raw'!R16</f>
        <v>79.393100000000004</v>
      </c>
      <c r="R22" s="22">
        <f>'Annual Raw'!S15+'Annual Raw'!S16</f>
        <v>77.342100000000002</v>
      </c>
      <c r="S22" s="22">
        <f>'Annual Raw'!T15+'Annual Raw'!T16</f>
        <v>77.644900000000007</v>
      </c>
      <c r="T22" s="22">
        <f>'Annual Raw'!U15+'Annual Raw'!U16</f>
        <v>76.16</v>
      </c>
      <c r="U22" s="22">
        <f>'Annual Raw'!V15+'Annual Raw'!V16</f>
        <v>87.59</v>
      </c>
      <c r="V22" s="22">
        <f>'Annual Raw'!W15+'Annual Raw'!W16</f>
        <v>115.48</v>
      </c>
      <c r="W22" s="22">
        <f>'Annual Raw'!X15+'Annual Raw'!X16</f>
        <v>121.04</v>
      </c>
      <c r="X22" s="22">
        <f>'Annual Raw'!Y15+'Annual Raw'!Y16</f>
        <v>131.13</v>
      </c>
      <c r="Y22" s="22">
        <f>'Annual Raw'!Z15+'Annual Raw'!Z16</f>
        <v>131.80000000000001</v>
      </c>
      <c r="Z22" s="22">
        <f>'Annual Raw'!AA15+'Annual Raw'!AA16</f>
        <v>138.78</v>
      </c>
      <c r="AA22" s="22">
        <f>'Annual Raw'!AB15+'Annual Raw'!AB16</f>
        <v>130.13999999999999</v>
      </c>
      <c r="AB22" s="75">
        <f t="shared" si="245"/>
        <v>382.88039704028836</v>
      </c>
      <c r="AC22" s="75">
        <f t="shared" si="246"/>
        <v>352.91369066350723</v>
      </c>
      <c r="AD22" s="75">
        <f t="shared" si="247"/>
        <v>326.1189684543196</v>
      </c>
      <c r="AE22" s="75">
        <f t="shared" si="248"/>
        <v>298.66354697649689</v>
      </c>
      <c r="AI22" s="22">
        <f>'QTR Raw'!C14</f>
        <v>28.78</v>
      </c>
      <c r="AJ22" s="22">
        <f>'QTR Raw'!D14</f>
        <v>28.05</v>
      </c>
      <c r="AK22" s="22">
        <f>'QTR Raw'!E14</f>
        <v>31.03</v>
      </c>
      <c r="AL22" s="22">
        <f>'QTR Raw'!F14</f>
        <v>31.11</v>
      </c>
      <c r="AM22" s="22">
        <f>'QTR Raw'!G14</f>
        <v>32.840000000000003</v>
      </c>
      <c r="AN22" s="22">
        <f>'QTR Raw'!H14</f>
        <v>33.19</v>
      </c>
      <c r="AO22" s="22">
        <f>'QTR Raw'!I14</f>
        <v>35.19</v>
      </c>
      <c r="AP22" s="22">
        <f>'QTR Raw'!J14</f>
        <v>33.33</v>
      </c>
      <c r="AQ22" s="22">
        <f>'QTR Raw'!K14</f>
        <v>34.299999999999997</v>
      </c>
      <c r="AR22" s="22">
        <f>'QTR Raw'!L14</f>
        <v>37.020000000000003</v>
      </c>
      <c r="AS22" s="22">
        <f>'QTR Raw'!M14</f>
        <v>37.67</v>
      </c>
      <c r="AT22" s="22">
        <f>'QTR Raw'!N14</f>
        <v>55.3</v>
      </c>
      <c r="AU22" s="22">
        <f>'QTR Raw'!O14</f>
        <v>67.77</v>
      </c>
      <c r="AV22" s="22">
        <f>'QTR Raw'!P14</f>
        <v>65.34</v>
      </c>
      <c r="AW22" s="22">
        <f>'QTR Raw'!Q14</f>
        <v>69.73</v>
      </c>
      <c r="AX22" s="22">
        <f>'QTR Raw'!R14</f>
        <v>63.81</v>
      </c>
      <c r="AY22" s="22">
        <f>'QTR Raw'!S14</f>
        <v>70.83</v>
      </c>
      <c r="AZ22" s="22">
        <f>'QTR Raw'!T14</f>
        <v>68.55</v>
      </c>
      <c r="BA22" s="22">
        <f>'QTR Raw'!U14</f>
        <v>67.12</v>
      </c>
      <c r="BB22" s="22">
        <f>'QTR Raw'!V14</f>
        <v>64.41</v>
      </c>
      <c r="BC22" s="22">
        <f>'QTR Raw'!W14</f>
        <v>71.819999999999993</v>
      </c>
      <c r="BD22" s="22">
        <f>'QTR Raw'!X14</f>
        <v>66.12</v>
      </c>
      <c r="BE22" s="22">
        <f>'QTR Raw'!Y14</f>
        <v>70.25</v>
      </c>
      <c r="BF22" s="22">
        <f>'QTR Raw'!Z14</f>
        <v>70.510000000000005</v>
      </c>
      <c r="BG22" s="22">
        <f>'QTR Raw'!AA14</f>
        <v>78.209999999999994</v>
      </c>
      <c r="BH22" s="22">
        <f>'QTR Raw'!AB14</f>
        <v>77.37</v>
      </c>
      <c r="BI22" s="22">
        <f>'QTR Raw'!AC14</f>
        <v>78.7</v>
      </c>
      <c r="BJ22" s="22">
        <f>'QTR Raw'!AD14</f>
        <v>71.92</v>
      </c>
      <c r="BK22" s="22">
        <f>'QTR Raw'!AE14</f>
        <v>80.3</v>
      </c>
      <c r="BL22" s="22">
        <f>'QTR Raw'!AF14</f>
        <v>85.89</v>
      </c>
      <c r="BM22" s="22">
        <f>'QTR Raw'!AG14</f>
        <v>87.77</v>
      </c>
      <c r="BN22" s="22">
        <f>'QTR Raw'!AH14</f>
        <v>89.8</v>
      </c>
      <c r="BO22" s="22">
        <f>'QTR Raw'!AI14</f>
        <v>77.510000000000005</v>
      </c>
      <c r="BP22" s="22">
        <f>'QTR Raw'!AJ14</f>
        <v>90.8</v>
      </c>
      <c r="BQ22" s="22">
        <f>'QTR Raw'!AK14</f>
        <v>85.73</v>
      </c>
      <c r="BR22" s="22">
        <f>'QTR Raw'!AL14</f>
        <v>95.96</v>
      </c>
      <c r="BS22" s="22">
        <f>'QTR Raw'!AM14</f>
        <v>96.22</v>
      </c>
      <c r="BT22" s="22">
        <f>'QTR Raw'!AN14</f>
        <v>95.29</v>
      </c>
      <c r="BU22" s="22">
        <f>'QTR Raw'!AO14</f>
        <v>100.66</v>
      </c>
      <c r="BV22" s="22">
        <f>'QTR Raw'!AP14</f>
        <v>97.36</v>
      </c>
      <c r="BW22" s="22">
        <f>'QTR Raw'!AQ14</f>
        <v>105.78</v>
      </c>
      <c r="BX22" s="22">
        <f>'QTR Raw'!AR14</f>
        <v>103.91</v>
      </c>
      <c r="BY22" s="22">
        <f>'QTR Raw'!AS14</f>
        <v>81.510000000000005</v>
      </c>
      <c r="BZ22" s="22">
        <f>'QTR Raw'!AT14</f>
        <v>90.16</v>
      </c>
      <c r="CA22" s="22">
        <f>'QTR Raw'!AU14</f>
        <v>92.66</v>
      </c>
      <c r="CB22" s="22">
        <f>'QTR Raw'!AV14</f>
        <v>94.51</v>
      </c>
      <c r="CC22" s="22">
        <f>'QTR Raw'!AW14</f>
        <v>85.21</v>
      </c>
      <c r="CD22" s="22">
        <f>'QTR Raw'!AX14</f>
        <v>102.7</v>
      </c>
      <c r="CE22" s="22">
        <f>'QTR Raw'!AY14</f>
        <v>99.19</v>
      </c>
      <c r="CF22" s="22">
        <f>'QTR Raw'!AZ14</f>
        <v>114.84</v>
      </c>
      <c r="CG22" s="22">
        <f>'QTR Raw'!BA14</f>
        <v>93.1</v>
      </c>
      <c r="CH22" s="22">
        <f>'QTR Raw'!BB14</f>
        <v>101.24</v>
      </c>
      <c r="CI22" s="22">
        <f>'QTR Raw'!BC14</f>
        <v>97.01</v>
      </c>
      <c r="CJ22" s="22">
        <f>'QTR Raw'!BD14</f>
        <v>96.07</v>
      </c>
      <c r="CK22" s="22">
        <f>'QTR Raw'!BE14</f>
        <v>95.1</v>
      </c>
      <c r="CL22" s="22">
        <f>'QTR Raw'!BF14</f>
        <v>106.16</v>
      </c>
      <c r="CM22" s="23">
        <f t="shared" ref="CM22:DA22" si="249">CM26-CM23</f>
        <v>82.03263534474749</v>
      </c>
      <c r="CN22" s="23">
        <f t="shared" si="249"/>
        <v>96.383673753220108</v>
      </c>
      <c r="CO22" s="23">
        <f t="shared" si="249"/>
        <v>98.304087942320749</v>
      </c>
      <c r="CP22" s="23">
        <f t="shared" si="249"/>
        <v>92.776050189634688</v>
      </c>
      <c r="CQ22" s="23">
        <f t="shared" si="249"/>
        <v>74.957773024031468</v>
      </c>
      <c r="CR22" s="23">
        <f t="shared" si="249"/>
        <v>92.165268637806463</v>
      </c>
      <c r="CS22" s="23">
        <f t="shared" si="249"/>
        <v>93.014598812034649</v>
      </c>
      <c r="CT22" s="23">
        <f t="shared" si="249"/>
        <v>85.17014334897101</v>
      </c>
      <c r="CU22" s="23">
        <f t="shared" si="249"/>
        <v>68.032469704185146</v>
      </c>
      <c r="CV22" s="23">
        <f t="shared" si="249"/>
        <v>86.225803865125144</v>
      </c>
      <c r="CW22" s="23">
        <f t="shared" si="249"/>
        <v>86.690551536038313</v>
      </c>
      <c r="CX22" s="23">
        <f t="shared" si="249"/>
        <v>78.347293415765392</v>
      </c>
      <c r="CY22" s="23">
        <f t="shared" si="249"/>
        <v>60.60060286134761</v>
      </c>
      <c r="CZ22" s="23">
        <f t="shared" si="249"/>
        <v>79.678377178047938</v>
      </c>
      <c r="DA22" s="23">
        <f t="shared" si="249"/>
        <v>80.037273521335976</v>
      </c>
      <c r="DD22" s="122"/>
      <c r="DE22" s="22">
        <v>389.41999999999996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22.0504</v>
      </c>
      <c r="E23" s="22">
        <f>'Annual Raw'!F14</f>
        <v>26.011900000000001</v>
      </c>
      <c r="F23" s="22">
        <f>'Annual Raw'!G14</f>
        <v>28.753799999999998</v>
      </c>
      <c r="G23" s="22">
        <f>'Annual Raw'!H14</f>
        <v>30.764700000000001</v>
      </c>
      <c r="H23" s="22">
        <f>'Annual Raw'!I14</f>
        <v>36.058100000000003</v>
      </c>
      <c r="I23" s="22">
        <f>'Annual Raw'!J14</f>
        <v>41.7776</v>
      </c>
      <c r="J23" s="22">
        <f>'Annual Raw'!K14</f>
        <v>48.746400000000001</v>
      </c>
      <c r="K23" s="22">
        <f>'Annual Raw'!L14</f>
        <v>46.5242</v>
      </c>
      <c r="L23" s="22">
        <f>'Annual Raw'!M14</f>
        <v>55.240499999999997</v>
      </c>
      <c r="M23" s="22">
        <f>'Annual Raw'!N14</f>
        <v>63.929699999999997</v>
      </c>
      <c r="N23" s="22">
        <f>'Annual Raw'!O14</f>
        <v>70.983199999999997</v>
      </c>
      <c r="O23" s="22">
        <f>'Annual Raw'!P14</f>
        <v>84.098200000000006</v>
      </c>
      <c r="P23" s="22">
        <f>'Annual Raw'!Q14</f>
        <v>92.248400000000004</v>
      </c>
      <c r="Q23" s="22">
        <f>'Annual Raw'!R14</f>
        <v>177.03790000000001</v>
      </c>
      <c r="R23" s="22">
        <f>'Annual Raw'!S14</f>
        <v>194.25399999999999</v>
      </c>
      <c r="S23" s="22">
        <f>'Annual Raw'!T14</f>
        <v>209.1207</v>
      </c>
      <c r="T23" s="22">
        <f>'Annual Raw'!U14</f>
        <v>235.1711</v>
      </c>
      <c r="U23" s="22">
        <f>'Annual Raw'!V14</f>
        <v>251.73</v>
      </c>
      <c r="V23" s="22">
        <f>'Annual Raw'!W14</f>
        <v>276.05</v>
      </c>
      <c r="W23" s="22">
        <f>'Annual Raw'!X14</f>
        <v>257.77</v>
      </c>
      <c r="X23" s="22">
        <f>'Annual Raw'!Y14</f>
        <v>253.59</v>
      </c>
      <c r="Y23" s="22">
        <f>'Annual Raw'!Z14</f>
        <v>255.47</v>
      </c>
      <c r="Z23" s="22">
        <f>'Annual Raw'!AA14</f>
        <v>254.24</v>
      </c>
      <c r="AA23" s="22">
        <f>'Annual Raw'!AB14</f>
        <v>258.95</v>
      </c>
      <c r="AB23" s="75">
        <f t="shared" si="245"/>
        <v>269.74200000000002</v>
      </c>
      <c r="AC23" s="75">
        <f t="shared" si="246"/>
        <v>288.62394000000006</v>
      </c>
      <c r="AD23" s="75">
        <f t="shared" si="247"/>
        <v>308.82761580000005</v>
      </c>
      <c r="AE23" s="75">
        <f t="shared" si="248"/>
        <v>330.44554890600011</v>
      </c>
      <c r="AI23" s="22">
        <f>'QTR Raw'!C16</f>
        <v>17.920000000000002</v>
      </c>
      <c r="AJ23" s="22">
        <f>'QTR Raw'!D16</f>
        <v>18.190000000000001</v>
      </c>
      <c r="AK23" s="22">
        <f>'QTR Raw'!E16</f>
        <v>18.34</v>
      </c>
      <c r="AL23" s="22">
        <f>'QTR Raw'!F16</f>
        <v>20.18</v>
      </c>
      <c r="AM23" s="22">
        <f>'QTR Raw'!G16</f>
        <v>22.05</v>
      </c>
      <c r="AN23" s="22">
        <f>'QTR Raw'!H16</f>
        <v>22.89</v>
      </c>
      <c r="AO23" s="22">
        <f>'QTR Raw'!I16</f>
        <v>18.98</v>
      </c>
      <c r="AP23" s="22">
        <f>'QTR Raw'!J16</f>
        <v>21.1</v>
      </c>
      <c r="AQ23" s="22">
        <f>'QTR Raw'!K16</f>
        <v>22.83</v>
      </c>
      <c r="AR23" s="22">
        <f>'QTR Raw'!L16</f>
        <v>24.39</v>
      </c>
      <c r="AS23" s="22">
        <f>'QTR Raw'!M16</f>
        <v>23.93</v>
      </c>
      <c r="AT23" s="22">
        <f>'QTR Raw'!N16</f>
        <v>35.72</v>
      </c>
      <c r="AU23" s="22">
        <f>'QTR Raw'!O16</f>
        <v>45.16</v>
      </c>
      <c r="AV23" s="22">
        <f>'QTR Raw'!P16</f>
        <v>45.86</v>
      </c>
      <c r="AW23" s="22">
        <f>'QTR Raw'!Q16</f>
        <v>50.3</v>
      </c>
      <c r="AX23" s="22">
        <f>'QTR Raw'!R16</f>
        <v>44.74</v>
      </c>
      <c r="AY23" s="22">
        <f>'QTR Raw'!S16</f>
        <v>50.39</v>
      </c>
      <c r="AZ23" s="22">
        <f>'QTR Raw'!T16</f>
        <v>50.12</v>
      </c>
      <c r="BA23" s="22">
        <f>'QTR Raw'!U16</f>
        <v>47.54</v>
      </c>
      <c r="BB23" s="22">
        <f>'QTR Raw'!V16</f>
        <v>48.57</v>
      </c>
      <c r="BC23" s="22">
        <f>'QTR Raw'!W16</f>
        <v>52.44</v>
      </c>
      <c r="BD23" s="22">
        <f>'QTR Raw'!X16</f>
        <v>55.03</v>
      </c>
      <c r="BE23" s="22">
        <f>'QTR Raw'!Y16</f>
        <v>53.08</v>
      </c>
      <c r="BF23" s="22">
        <f>'QTR Raw'!Z16</f>
        <v>56.58</v>
      </c>
      <c r="BG23" s="22">
        <f>'QTR Raw'!AA16</f>
        <v>56.93</v>
      </c>
      <c r="BH23" s="22">
        <f>'QTR Raw'!AB16</f>
        <v>64.09</v>
      </c>
      <c r="BI23" s="22">
        <f>'QTR Raw'!AC16</f>
        <v>57.57</v>
      </c>
      <c r="BJ23" s="22">
        <f>'QTR Raw'!AD16</f>
        <v>58.82</v>
      </c>
      <c r="BK23" s="22">
        <f>'QTR Raw'!AE16</f>
        <v>66.61</v>
      </c>
      <c r="BL23" s="22">
        <f>'QTR Raw'!AF16</f>
        <v>64.58</v>
      </c>
      <c r="BM23" s="22">
        <f>'QTR Raw'!AG16</f>
        <v>61.72</v>
      </c>
      <c r="BN23" s="22">
        <f>'QTR Raw'!AH16</f>
        <v>66.38</v>
      </c>
      <c r="BO23" s="22">
        <f>'QTR Raw'!AI16</f>
        <v>76.64</v>
      </c>
      <c r="BP23" s="22">
        <f>'QTR Raw'!AJ16</f>
        <v>71.11</v>
      </c>
      <c r="BQ23" s="22">
        <f>'QTR Raw'!AK16</f>
        <v>61.92</v>
      </c>
      <c r="BR23" s="22">
        <f>'QTR Raw'!AL16</f>
        <v>70.38</v>
      </c>
      <c r="BS23" s="22">
        <f>'QTR Raw'!AM16</f>
        <v>66.41</v>
      </c>
      <c r="BT23" s="22">
        <f>'QTR Raw'!AN16</f>
        <v>60.44</v>
      </c>
      <c r="BU23" s="22">
        <f>'QTR Raw'!AO16</f>
        <v>60.54</v>
      </c>
      <c r="BV23" s="22">
        <f>'QTR Raw'!AP16</f>
        <v>57.98</v>
      </c>
      <c r="BW23" s="22">
        <f>'QTR Raw'!AQ16</f>
        <v>67.569999999999993</v>
      </c>
      <c r="BX23" s="22">
        <f>'QTR Raw'!AR16</f>
        <v>65.72</v>
      </c>
      <c r="BY23" s="22">
        <f>'QTR Raw'!AS16</f>
        <v>62.32</v>
      </c>
      <c r="BZ23" s="22">
        <f>'QTR Raw'!AT16</f>
        <v>59.32</v>
      </c>
      <c r="CA23" s="22">
        <f>'QTR Raw'!AU16</f>
        <v>64.55</v>
      </c>
      <c r="CB23" s="22">
        <f>'QTR Raw'!AV16</f>
        <v>68.599999999999994</v>
      </c>
      <c r="CC23" s="22">
        <f>'QTR Raw'!AW16</f>
        <v>63</v>
      </c>
      <c r="CD23" s="22">
        <f>'QTR Raw'!AX16</f>
        <v>61.67</v>
      </c>
      <c r="CE23" s="22">
        <f>'QTR Raw'!AY16</f>
        <v>65.3</v>
      </c>
      <c r="CF23" s="22">
        <f>'QTR Raw'!AZ16</f>
        <v>64.16</v>
      </c>
      <c r="CG23" s="22">
        <f>'QTR Raw'!BA16</f>
        <v>63.11</v>
      </c>
      <c r="CH23" s="22">
        <f>'QTR Raw'!BB16</f>
        <v>67.349999999999994</v>
      </c>
      <c r="CI23" s="22">
        <f>'QTR Raw'!BC16</f>
        <v>71.17</v>
      </c>
      <c r="CJ23" s="22">
        <f>'QTR Raw'!BD16</f>
        <v>60.05</v>
      </c>
      <c r="CK23" s="22">
        <f>'QTR Raw'!BE16</f>
        <v>60.38</v>
      </c>
      <c r="CL23" s="22">
        <f>'QTR Raw'!BF16</f>
        <v>64.73</v>
      </c>
      <c r="CM23" s="23">
        <f t="shared" ref="CM23:DA23" si="250">CI23*107%</f>
        <v>76.151900000000012</v>
      </c>
      <c r="CN23" s="23">
        <f t="shared" si="250"/>
        <v>64.253500000000003</v>
      </c>
      <c r="CO23" s="23">
        <f t="shared" si="250"/>
        <v>64.6066</v>
      </c>
      <c r="CP23" s="23">
        <f t="shared" si="250"/>
        <v>69.261100000000013</v>
      </c>
      <c r="CQ23" s="23">
        <f t="shared" si="250"/>
        <v>81.482533000000018</v>
      </c>
      <c r="CR23" s="23">
        <f t="shared" si="250"/>
        <v>68.751245000000011</v>
      </c>
      <c r="CS23" s="23">
        <f t="shared" si="250"/>
        <v>69.129062000000005</v>
      </c>
      <c r="CT23" s="23">
        <f t="shared" si="250"/>
        <v>74.109377000000023</v>
      </c>
      <c r="CU23" s="23">
        <f t="shared" si="250"/>
        <v>87.186310310000025</v>
      </c>
      <c r="CV23" s="23">
        <f t="shared" si="250"/>
        <v>73.56383215000001</v>
      </c>
      <c r="CW23" s="23">
        <f t="shared" si="250"/>
        <v>73.968096340000002</v>
      </c>
      <c r="CX23" s="23">
        <f t="shared" si="250"/>
        <v>79.297033390000024</v>
      </c>
      <c r="CY23" s="23">
        <f t="shared" si="250"/>
        <v>93.289352031700034</v>
      </c>
      <c r="CZ23" s="23">
        <f t="shared" si="250"/>
        <v>78.713300400500017</v>
      </c>
      <c r="DA23" s="23">
        <f t="shared" si="250"/>
        <v>79.145863083800009</v>
      </c>
      <c r="DD23" s="122"/>
      <c r="DE23" s="22">
        <v>258.95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9.5995000000000008</v>
      </c>
      <c r="E24" s="22">
        <f>'Annual Raw'!F17</f>
        <v>9.5274999999999999</v>
      </c>
      <c r="F24" s="22">
        <f>'Annual Raw'!G17</f>
        <v>9.9198000000000004</v>
      </c>
      <c r="G24" s="22">
        <f>'Annual Raw'!H17</f>
        <v>9.9044000000000008</v>
      </c>
      <c r="H24" s="22">
        <f>'Annual Raw'!I17</f>
        <v>11.817500000000001</v>
      </c>
      <c r="I24" s="22">
        <f>'Annual Raw'!J17</f>
        <v>13.9604</v>
      </c>
      <c r="J24" s="22">
        <f>'Annual Raw'!K17</f>
        <v>14.3689</v>
      </c>
      <c r="K24" s="22">
        <f>'Annual Raw'!L17</f>
        <v>14.265599999999999</v>
      </c>
      <c r="L24" s="22">
        <f>'Annual Raw'!M17</f>
        <v>17.081299999999999</v>
      </c>
      <c r="M24" s="22">
        <f>'Annual Raw'!N17</f>
        <v>15.887499999999999</v>
      </c>
      <c r="N24" s="22">
        <f>'Annual Raw'!O17</f>
        <v>18.5595</v>
      </c>
      <c r="O24" s="22">
        <f>'Annual Raw'!P17</f>
        <v>21.516200000000001</v>
      </c>
      <c r="P24" s="22">
        <f>'Annual Raw'!Q17</f>
        <v>23.921700000000001</v>
      </c>
      <c r="Q24" s="22">
        <f>'Annual Raw'!R17</f>
        <v>41.142800000000001</v>
      </c>
      <c r="R24" s="22">
        <f>'Annual Raw'!S17</f>
        <v>43.531999999999996</v>
      </c>
      <c r="S24" s="22">
        <f>'Annual Raw'!T17</f>
        <v>44.042499999999997</v>
      </c>
      <c r="T24" s="22">
        <f>'Annual Raw'!U17</f>
        <v>50.181899999999999</v>
      </c>
      <c r="U24" s="22">
        <f>'Annual Raw'!V17</f>
        <v>50.48</v>
      </c>
      <c r="V24" s="22">
        <f>'Annual Raw'!W17</f>
        <v>46.89</v>
      </c>
      <c r="W24" s="22">
        <f>'Annual Raw'!X17</f>
        <v>69.59</v>
      </c>
      <c r="X24" s="22">
        <f>'Annual Raw'!Y17</f>
        <v>62.15</v>
      </c>
      <c r="Y24" s="22">
        <f>'Annual Raw'!Z17</f>
        <v>62.23</v>
      </c>
      <c r="Z24" s="22">
        <f>'Annual Raw'!AA17</f>
        <v>80.06</v>
      </c>
      <c r="AA24" s="22">
        <f>'Annual Raw'!AB17</f>
        <v>97.36</v>
      </c>
      <c r="AB24" s="75">
        <f t="shared" si="245"/>
        <v>0</v>
      </c>
      <c r="AC24" s="75">
        <f t="shared" si="246"/>
        <v>0</v>
      </c>
      <c r="AD24" s="75">
        <f t="shared" si="247"/>
        <v>0</v>
      </c>
      <c r="AE24" s="75">
        <f t="shared" si="248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2">
        <f>'QTR Raw'!BE17</f>
        <v>0</v>
      </c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4.4305000000000003</v>
      </c>
      <c r="E25" s="22">
        <f>'Annual Raw'!F19-'Annual Raw'!F20</f>
        <v>4.4523000000000001</v>
      </c>
      <c r="F25" s="22">
        <f>'Annual Raw'!G19-'Annual Raw'!G20</f>
        <v>4.3216999999999999</v>
      </c>
      <c r="G25" s="22">
        <f>'Annual Raw'!H19-'Annual Raw'!H20</f>
        <v>3.7147000000000001</v>
      </c>
      <c r="H25" s="22">
        <f>'Annual Raw'!I19-'Annual Raw'!I20</f>
        <v>4.8745000000000003</v>
      </c>
      <c r="I25" s="22">
        <f>'Annual Raw'!J19-'Annual Raw'!J20</f>
        <v>5.5656999999999996</v>
      </c>
      <c r="J25" s="22">
        <f>'Annual Raw'!K19-'Annual Raw'!K20</f>
        <v>19.4236</v>
      </c>
      <c r="K25" s="22">
        <f>'Annual Raw'!L19-'Annual Raw'!L20</f>
        <v>7.1902999999999997</v>
      </c>
      <c r="L25" s="22">
        <f>'Annual Raw'!M19-'Annual Raw'!M20</f>
        <v>7.1105999999999998</v>
      </c>
      <c r="M25" s="22">
        <f>'Annual Raw'!N19-'Annual Raw'!N20</f>
        <v>11.739100000000001</v>
      </c>
      <c r="N25" s="22">
        <f>'Annual Raw'!O19-'Annual Raw'!O20</f>
        <v>15.8863</v>
      </c>
      <c r="O25" s="22">
        <f>'Annual Raw'!P19-'Annual Raw'!P20</f>
        <v>19.486699999999999</v>
      </c>
      <c r="P25" s="22">
        <f>'Annual Raw'!Q19-'Annual Raw'!Q20</f>
        <v>19.0581</v>
      </c>
      <c r="Q25" s="22">
        <f>'Annual Raw'!R19-'Annual Raw'!R20</f>
        <v>38.141199999999998</v>
      </c>
      <c r="R25" s="22">
        <f>'Annual Raw'!S19-'Annual Raw'!S20</f>
        <v>37.373699999999999</v>
      </c>
      <c r="S25" s="22">
        <f>'Annual Raw'!T19-'Annual Raw'!T20</f>
        <v>38.409300000000002</v>
      </c>
      <c r="T25" s="22">
        <f>'Annual Raw'!U19-'Annual Raw'!U20</f>
        <v>48.638500000000001</v>
      </c>
      <c r="U25" s="22">
        <f>'Annual Raw'!V19-'Annual Raw'!V20</f>
        <v>40.96</v>
      </c>
      <c r="V25" s="22">
        <f>'Annual Raw'!W19-'Annual Raw'!W20</f>
        <v>36.049999999999997</v>
      </c>
      <c r="W25" s="22">
        <f>'Annual Raw'!X19-'Annual Raw'!X20</f>
        <v>31.65</v>
      </c>
      <c r="X25" s="22">
        <f>'Annual Raw'!Y19-'Annual Raw'!Y20</f>
        <v>36.630000000000003</v>
      </c>
      <c r="Y25" s="22">
        <f>'Annual Raw'!Z19-'Annual Raw'!Z20</f>
        <v>36.81</v>
      </c>
      <c r="Z25" s="22">
        <f>'Annual Raw'!AA19-'Annual Raw'!AA20</f>
        <v>54.29</v>
      </c>
      <c r="AA25" s="22">
        <f>'Annual Raw'!AB19-'Annual Raw'!AB20</f>
        <v>31.47</v>
      </c>
      <c r="AB25" s="75">
        <f t="shared" si="245"/>
        <v>0</v>
      </c>
      <c r="AC25" s="75">
        <f t="shared" si="246"/>
        <v>0</v>
      </c>
      <c r="AD25" s="75">
        <f t="shared" si="247"/>
        <v>0</v>
      </c>
      <c r="AE25" s="75">
        <f t="shared" si="248"/>
        <v>0</v>
      </c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1">+SUM(B20:B25)</f>
        <v>0</v>
      </c>
      <c r="C26" s="21">
        <f t="shared" si="251"/>
        <v>0</v>
      </c>
      <c r="D26" s="21">
        <f t="shared" si="251"/>
        <v>60.792900000000003</v>
      </c>
      <c r="E26" s="21">
        <f t="shared" si="251"/>
        <v>70.223199999999991</v>
      </c>
      <c r="F26" s="21">
        <f t="shared" si="251"/>
        <v>76.103499999999997</v>
      </c>
      <c r="G26" s="21">
        <f t="shared" si="251"/>
        <v>83.644699999999986</v>
      </c>
      <c r="H26" s="21">
        <f t="shared" si="251"/>
        <v>100.20399999999999</v>
      </c>
      <c r="I26" s="21">
        <f t="shared" si="251"/>
        <v>113.22549999999998</v>
      </c>
      <c r="J26" s="21">
        <f t="shared" si="251"/>
        <v>141.6695</v>
      </c>
      <c r="K26" s="21">
        <f t="shared" si="251"/>
        <v>128.82130000000001</v>
      </c>
      <c r="L26" s="21">
        <f t="shared" si="251"/>
        <v>157.38910000000001</v>
      </c>
      <c r="M26" s="21">
        <f t="shared" si="251"/>
        <v>159.01919999999998</v>
      </c>
      <c r="N26" s="21">
        <f t="shared" si="251"/>
        <v>185.26130000000001</v>
      </c>
      <c r="O26" s="21">
        <f t="shared" si="251"/>
        <v>217.99270000000001</v>
      </c>
      <c r="P26" s="21">
        <f t="shared" si="251"/>
        <v>233.80889999999997</v>
      </c>
      <c r="Q26" s="21">
        <f t="shared" si="251"/>
        <v>436.05420000000004</v>
      </c>
      <c r="R26" s="21">
        <f t="shared" si="251"/>
        <v>463.78669999999994</v>
      </c>
      <c r="S26" s="21">
        <f t="shared" si="251"/>
        <v>482.55630000000008</v>
      </c>
      <c r="T26" s="21">
        <f t="shared" si="251"/>
        <v>538.38939999999991</v>
      </c>
      <c r="U26" s="21">
        <f t="shared" si="251"/>
        <v>576.26</v>
      </c>
      <c r="V26" s="21">
        <f t="shared" si="251"/>
        <v>615.78</v>
      </c>
      <c r="W26" s="21">
        <f t="shared" si="251"/>
        <v>643.21</v>
      </c>
      <c r="X26" s="21">
        <f t="shared" si="251"/>
        <v>641.48</v>
      </c>
      <c r="Y26" s="21">
        <f t="shared" si="251"/>
        <v>619.70000000000005</v>
      </c>
      <c r="Z26" s="21">
        <f t="shared" si="251"/>
        <v>669.04</v>
      </c>
      <c r="AA26" s="21">
        <f t="shared" ref="AA26" si="252">+SUM(AA20:AA25)</f>
        <v>647.62</v>
      </c>
      <c r="AB26" s="20">
        <f t="shared" si="251"/>
        <v>652.62239704028843</v>
      </c>
      <c r="AC26" s="20">
        <f t="shared" si="251"/>
        <v>641.53763066350734</v>
      </c>
      <c r="AD26" s="20">
        <f t="shared" si="251"/>
        <v>634.94658425431965</v>
      </c>
      <c r="AE26" s="20">
        <f t="shared" si="251"/>
        <v>629.10909588249706</v>
      </c>
      <c r="AI26" s="21">
        <f t="shared" ref="AI26:BN26" si="253">+SUM(AI20:AI25)</f>
        <v>46.7</v>
      </c>
      <c r="AJ26" s="21">
        <f t="shared" si="253"/>
        <v>46.24</v>
      </c>
      <c r="AK26" s="21">
        <f t="shared" si="253"/>
        <v>49.370000000000005</v>
      </c>
      <c r="AL26" s="21">
        <f t="shared" si="253"/>
        <v>51.29</v>
      </c>
      <c r="AM26" s="21">
        <f t="shared" si="253"/>
        <v>54.89</v>
      </c>
      <c r="AN26" s="21">
        <f t="shared" si="253"/>
        <v>56.08</v>
      </c>
      <c r="AO26" s="21">
        <f t="shared" si="253"/>
        <v>54.17</v>
      </c>
      <c r="AP26" s="21">
        <f t="shared" si="253"/>
        <v>54.43</v>
      </c>
      <c r="AQ26" s="21">
        <f t="shared" si="253"/>
        <v>57.129999999999995</v>
      </c>
      <c r="AR26" s="21">
        <f t="shared" si="253"/>
        <v>61.410000000000004</v>
      </c>
      <c r="AS26" s="21">
        <f t="shared" si="253"/>
        <v>61.6</v>
      </c>
      <c r="AT26" s="21">
        <f t="shared" si="253"/>
        <v>91.02</v>
      </c>
      <c r="AU26" s="21">
        <f t="shared" si="253"/>
        <v>112.92999999999999</v>
      </c>
      <c r="AV26" s="21">
        <f t="shared" si="253"/>
        <v>111.2</v>
      </c>
      <c r="AW26" s="21">
        <f t="shared" si="253"/>
        <v>120.03</v>
      </c>
      <c r="AX26" s="21">
        <f t="shared" si="253"/>
        <v>108.55000000000001</v>
      </c>
      <c r="AY26" s="21">
        <f t="shared" si="253"/>
        <v>121.22</v>
      </c>
      <c r="AZ26" s="21">
        <f t="shared" si="253"/>
        <v>118.66999999999999</v>
      </c>
      <c r="BA26" s="21">
        <f t="shared" si="253"/>
        <v>114.66</v>
      </c>
      <c r="BB26" s="21">
        <f t="shared" si="253"/>
        <v>112.97999999999999</v>
      </c>
      <c r="BC26" s="21">
        <f t="shared" si="253"/>
        <v>124.25999999999999</v>
      </c>
      <c r="BD26" s="21">
        <f t="shared" si="253"/>
        <v>121.15</v>
      </c>
      <c r="BE26" s="21">
        <f t="shared" si="253"/>
        <v>123.33</v>
      </c>
      <c r="BF26" s="21">
        <f t="shared" si="253"/>
        <v>127.09</v>
      </c>
      <c r="BG26" s="21">
        <f t="shared" si="253"/>
        <v>135.13999999999999</v>
      </c>
      <c r="BH26" s="21">
        <f t="shared" si="253"/>
        <v>141.46</v>
      </c>
      <c r="BI26" s="21">
        <f t="shared" si="253"/>
        <v>136.27000000000001</v>
      </c>
      <c r="BJ26" s="21">
        <f t="shared" si="253"/>
        <v>130.74</v>
      </c>
      <c r="BK26" s="21">
        <f t="shared" si="253"/>
        <v>146.91</v>
      </c>
      <c r="BL26" s="21">
        <f t="shared" si="253"/>
        <v>150.47</v>
      </c>
      <c r="BM26" s="21">
        <f t="shared" si="253"/>
        <v>149.49</v>
      </c>
      <c r="BN26" s="21">
        <f t="shared" si="253"/>
        <v>156.18</v>
      </c>
      <c r="BO26" s="21">
        <f t="shared" ref="BO26:CJ26" si="254">+SUM(BO20:BO25)</f>
        <v>154.15</v>
      </c>
      <c r="BP26" s="21">
        <f t="shared" si="254"/>
        <v>161.91</v>
      </c>
      <c r="BQ26" s="21">
        <f t="shared" si="254"/>
        <v>147.65</v>
      </c>
      <c r="BR26" s="21">
        <f t="shared" si="254"/>
        <v>166.33999999999997</v>
      </c>
      <c r="BS26" s="21">
        <f t="shared" si="254"/>
        <v>162.63</v>
      </c>
      <c r="BT26" s="21">
        <f t="shared" si="254"/>
        <v>155.73000000000002</v>
      </c>
      <c r="BU26" s="21">
        <f t="shared" si="254"/>
        <v>161.19999999999999</v>
      </c>
      <c r="BV26" s="21">
        <f t="shared" si="254"/>
        <v>155.34</v>
      </c>
      <c r="BW26" s="21">
        <f t="shared" si="254"/>
        <v>173.35</v>
      </c>
      <c r="BX26" s="21">
        <f t="shared" si="254"/>
        <v>169.63</v>
      </c>
      <c r="BY26" s="21">
        <f t="shared" si="254"/>
        <v>143.83000000000001</v>
      </c>
      <c r="BZ26" s="21">
        <f t="shared" si="254"/>
        <v>149.47999999999999</v>
      </c>
      <c r="CA26" s="21">
        <f t="shared" si="254"/>
        <v>157.20999999999998</v>
      </c>
      <c r="CB26" s="21">
        <f t="shared" si="254"/>
        <v>163.11000000000001</v>
      </c>
      <c r="CC26" s="21">
        <f t="shared" si="254"/>
        <v>148.20999999999998</v>
      </c>
      <c r="CD26" s="21">
        <f t="shared" si="254"/>
        <v>164.37</v>
      </c>
      <c r="CE26" s="21">
        <f t="shared" si="254"/>
        <v>164.49</v>
      </c>
      <c r="CF26" s="21">
        <f t="shared" si="254"/>
        <v>179</v>
      </c>
      <c r="CG26" s="21">
        <f t="shared" si="254"/>
        <v>156.20999999999998</v>
      </c>
      <c r="CH26" s="21">
        <f t="shared" si="254"/>
        <v>168.58999999999997</v>
      </c>
      <c r="CI26" s="21">
        <f t="shared" si="254"/>
        <v>168.18</v>
      </c>
      <c r="CJ26" s="21">
        <f t="shared" si="254"/>
        <v>156.12</v>
      </c>
      <c r="CK26" s="21">
        <f t="shared" ref="CK26:CL26" si="255">+SUM(CK20:CK25)</f>
        <v>155.47999999999999</v>
      </c>
      <c r="CL26" s="21">
        <f t="shared" si="255"/>
        <v>170.89</v>
      </c>
      <c r="CM26" s="20">
        <f t="shared" ref="CM26:DA26" si="256">CM27*CM10</f>
        <v>158.1845353447475</v>
      </c>
      <c r="CN26" s="20">
        <f t="shared" si="256"/>
        <v>160.63717375322011</v>
      </c>
      <c r="CO26" s="20">
        <f t="shared" si="256"/>
        <v>162.91068794232075</v>
      </c>
      <c r="CP26" s="20">
        <f t="shared" si="256"/>
        <v>162.0371501896347</v>
      </c>
      <c r="CQ26" s="20">
        <f t="shared" si="256"/>
        <v>156.44030602403149</v>
      </c>
      <c r="CR26" s="20">
        <f t="shared" si="256"/>
        <v>160.91651363780647</v>
      </c>
      <c r="CS26" s="20">
        <f t="shared" si="256"/>
        <v>162.14366081203465</v>
      </c>
      <c r="CT26" s="20">
        <f t="shared" si="256"/>
        <v>159.27952034897103</v>
      </c>
      <c r="CU26" s="20">
        <f t="shared" si="256"/>
        <v>155.21878001418517</v>
      </c>
      <c r="CV26" s="20">
        <f t="shared" si="256"/>
        <v>159.78963601512515</v>
      </c>
      <c r="CW26" s="20">
        <f t="shared" si="256"/>
        <v>160.65864787603832</v>
      </c>
      <c r="CX26" s="20">
        <f t="shared" si="256"/>
        <v>157.64432680576542</v>
      </c>
      <c r="CY26" s="20">
        <f t="shared" si="256"/>
        <v>153.88995489304764</v>
      </c>
      <c r="CZ26" s="20">
        <f t="shared" si="256"/>
        <v>158.39167757854796</v>
      </c>
      <c r="DA26" s="20">
        <f t="shared" si="256"/>
        <v>159.18313660513599</v>
      </c>
      <c r="DD26" s="125"/>
      <c r="DE26" s="21">
        <v>648.36999999999989</v>
      </c>
    </row>
    <row r="27" spans="1:109" s="43" customFormat="1" x14ac:dyDescent="0.2">
      <c r="A27" s="42" t="s">
        <v>349</v>
      </c>
      <c r="B27" s="43" t="e">
        <f t="shared" ref="B27:AE27" si="257">B26/B10</f>
        <v>#DIV/0!</v>
      </c>
      <c r="C27" s="43" t="e">
        <f t="shared" si="257"/>
        <v>#DIV/0!</v>
      </c>
      <c r="D27" s="43">
        <f t="shared" si="257"/>
        <v>0.18868807057261414</v>
      </c>
      <c r="E27" s="43">
        <f t="shared" si="257"/>
        <v>0.18353349385901704</v>
      </c>
      <c r="F27" s="43">
        <f t="shared" si="257"/>
        <v>0.19314574777848192</v>
      </c>
      <c r="G27" s="43">
        <f t="shared" si="257"/>
        <v>0.19323712679653759</v>
      </c>
      <c r="H27" s="43">
        <f t="shared" si="257"/>
        <v>0.19992621780034472</v>
      </c>
      <c r="I27" s="43">
        <f t="shared" si="257"/>
        <v>0.19843673379398141</v>
      </c>
      <c r="J27" s="43">
        <f t="shared" si="257"/>
        <v>0.2314526790574695</v>
      </c>
      <c r="K27" s="43">
        <f t="shared" si="257"/>
        <v>0.2229929323967102</v>
      </c>
      <c r="L27" s="43">
        <f t="shared" si="257"/>
        <v>0.21971395003799893</v>
      </c>
      <c r="M27" s="43">
        <f t="shared" si="257"/>
        <v>0.19799067464460296</v>
      </c>
      <c r="N27" s="43">
        <f t="shared" si="257"/>
        <v>0.20571165060844185</v>
      </c>
      <c r="O27" s="43">
        <f t="shared" si="257"/>
        <v>0.2008223119954631</v>
      </c>
      <c r="P27" s="43">
        <f t="shared" si="257"/>
        <v>0.19081241372758995</v>
      </c>
      <c r="Q27" s="43">
        <f t="shared" si="257"/>
        <v>0.21402664241594657</v>
      </c>
      <c r="R27" s="43">
        <f t="shared" si="257"/>
        <v>0.21263325319088541</v>
      </c>
      <c r="S27" s="43">
        <f t="shared" si="257"/>
        <v>0.22645208302693526</v>
      </c>
      <c r="T27" s="43">
        <f t="shared" si="257"/>
        <v>0.22725753720328512</v>
      </c>
      <c r="U27" s="43">
        <f t="shared" si="257"/>
        <v>0.22172544613656126</v>
      </c>
      <c r="V27" s="43">
        <f t="shared" si="257"/>
        <v>0.25004263613107564</v>
      </c>
      <c r="W27" s="43">
        <f t="shared" si="257"/>
        <v>0.24500624695270598</v>
      </c>
      <c r="X27" s="43">
        <f t="shared" si="257"/>
        <v>0.21505102382899977</v>
      </c>
      <c r="Y27" s="43">
        <f t="shared" si="257"/>
        <v>0.24307298857788381</v>
      </c>
      <c r="Z27" s="43">
        <f t="shared" si="257"/>
        <v>0.26536780396481013</v>
      </c>
      <c r="AA27" s="43">
        <f t="shared" ref="AA27" si="258">AA26/AA10</f>
        <v>0.26225697636277495</v>
      </c>
      <c r="AB27" s="51">
        <f t="shared" si="257"/>
        <v>0.26636393572031036</v>
      </c>
      <c r="AC27" s="51">
        <f t="shared" si="257"/>
        <v>0.26423037106007363</v>
      </c>
      <c r="AD27" s="51">
        <f t="shared" si="257"/>
        <v>0.26391123529712529</v>
      </c>
      <c r="AE27" s="51">
        <f t="shared" si="257"/>
        <v>0.26387273897785962</v>
      </c>
      <c r="AI27" s="43">
        <f t="shared" ref="AI27:BN27" si="259">AI26/AI10</f>
        <v>0.19664813879063503</v>
      </c>
      <c r="AJ27" s="43">
        <f t="shared" si="259"/>
        <v>0.20754039497307003</v>
      </c>
      <c r="AK27" s="43">
        <f t="shared" si="259"/>
        <v>0.2154483962469998</v>
      </c>
      <c r="AL27" s="43">
        <f t="shared" si="259"/>
        <v>0.1997196370857833</v>
      </c>
      <c r="AM27" s="43">
        <f t="shared" si="259"/>
        <v>0.19848128728982101</v>
      </c>
      <c r="AN27" s="43">
        <f t="shared" si="259"/>
        <v>0.20896523456422103</v>
      </c>
      <c r="AO27" s="43">
        <f t="shared" si="259"/>
        <v>0.19255651926631595</v>
      </c>
      <c r="AP27" s="43">
        <f t="shared" si="259"/>
        <v>0.18700611557754415</v>
      </c>
      <c r="AQ27" s="43">
        <f t="shared" si="259"/>
        <v>0.18472532091699809</v>
      </c>
      <c r="AR27" s="43">
        <f t="shared" si="259"/>
        <v>0.19535549546683637</v>
      </c>
      <c r="AS27" s="43">
        <f t="shared" si="259"/>
        <v>0.19861997807441797</v>
      </c>
      <c r="AT27" s="43">
        <f t="shared" si="259"/>
        <v>0.20576001446785425</v>
      </c>
      <c r="AU27" s="43">
        <f t="shared" si="259"/>
        <v>0.20727185962851477</v>
      </c>
      <c r="AV27" s="43">
        <f t="shared" si="259"/>
        <v>0.21401489636059204</v>
      </c>
      <c r="AW27" s="43">
        <f t="shared" si="259"/>
        <v>0.2276917823810608</v>
      </c>
      <c r="AX27" s="43">
        <f t="shared" si="259"/>
        <v>0.20652194592949147</v>
      </c>
      <c r="AY27" s="43">
        <f t="shared" si="259"/>
        <v>0.21203428371523525</v>
      </c>
      <c r="AZ27" s="43">
        <f t="shared" si="259"/>
        <v>0.21304441492226495</v>
      </c>
      <c r="BA27" s="43">
        <f t="shared" si="259"/>
        <v>0.21943657659036975</v>
      </c>
      <c r="BB27" s="43">
        <f t="shared" si="259"/>
        <v>0.22133845309928685</v>
      </c>
      <c r="BC27" s="43">
        <f t="shared" si="259"/>
        <v>0.24327499118994478</v>
      </c>
      <c r="BD27" s="43">
        <f t="shared" si="259"/>
        <v>0.22141199261655431</v>
      </c>
      <c r="BE27" s="43">
        <f t="shared" si="259"/>
        <v>0.22022034533864257</v>
      </c>
      <c r="BF27" s="43">
        <f t="shared" si="259"/>
        <v>0.22981501238675608</v>
      </c>
      <c r="BG27" s="43">
        <f t="shared" si="259"/>
        <v>0.22694297037683886</v>
      </c>
      <c r="BH27" s="43">
        <f t="shared" si="259"/>
        <v>0.23205761249364326</v>
      </c>
      <c r="BI27" s="43">
        <f t="shared" si="259"/>
        <v>0.22269978754698477</v>
      </c>
      <c r="BJ27" s="43">
        <f t="shared" si="259"/>
        <v>0.20832403836961025</v>
      </c>
      <c r="BK27" s="43">
        <f t="shared" si="259"/>
        <v>0.23181065088757397</v>
      </c>
      <c r="BL27" s="43">
        <f t="shared" si="259"/>
        <v>0.23144245854738979</v>
      </c>
      <c r="BM27" s="43">
        <f t="shared" si="259"/>
        <v>0.22059734970339107</v>
      </c>
      <c r="BN27" s="43">
        <f t="shared" si="259"/>
        <v>0.27006743904547814</v>
      </c>
      <c r="BO27" s="43">
        <f t="shared" ref="BO27:CJ27" si="260">BO26/BO10</f>
        <v>0.2405624307495435</v>
      </c>
      <c r="BP27" s="43">
        <f t="shared" si="260"/>
        <v>0.23605481848665988</v>
      </c>
      <c r="BQ27" s="43">
        <f t="shared" si="260"/>
        <v>0.26474332538416029</v>
      </c>
      <c r="BR27" s="43">
        <f t="shared" si="260"/>
        <v>0.26305468577031338</v>
      </c>
      <c r="BS27" s="43">
        <f t="shared" si="260"/>
        <v>0.24542738138355669</v>
      </c>
      <c r="BT27" s="43">
        <f t="shared" si="260"/>
        <v>0.23287425418330274</v>
      </c>
      <c r="BU27" s="43">
        <f t="shared" si="260"/>
        <v>0.24366280212222438</v>
      </c>
      <c r="BV27" s="43">
        <f t="shared" si="260"/>
        <v>0.21322974289989152</v>
      </c>
      <c r="BW27" s="43">
        <f t="shared" si="260"/>
        <v>0.21869125865744884</v>
      </c>
      <c r="BX27" s="43">
        <f t="shared" si="260"/>
        <v>0.22057657048489654</v>
      </c>
      <c r="BY27" s="43">
        <f t="shared" si="260"/>
        <v>0.20763378614427394</v>
      </c>
      <c r="BZ27" s="43">
        <f t="shared" si="260"/>
        <v>0.22596102973410123</v>
      </c>
      <c r="CA27" s="43">
        <f t="shared" si="260"/>
        <v>0.25287115972333918</v>
      </c>
      <c r="CB27" s="43">
        <f t="shared" si="260"/>
        <v>0.24621120637604155</v>
      </c>
      <c r="CC27" s="43">
        <f t="shared" si="260"/>
        <v>0.24549053384791211</v>
      </c>
      <c r="CD27" s="43">
        <f t="shared" si="260"/>
        <v>0.26940601848816625</v>
      </c>
      <c r="CE27" s="43">
        <f t="shared" si="260"/>
        <v>0.25723668777855968</v>
      </c>
      <c r="CF27" s="43">
        <f t="shared" si="260"/>
        <v>0.27432950191570882</v>
      </c>
      <c r="CG27" s="43">
        <f t="shared" si="260"/>
        <v>0.2523138053011581</v>
      </c>
      <c r="CH27" s="43">
        <f t="shared" si="260"/>
        <v>0.27640876821930382</v>
      </c>
      <c r="CI27" s="43">
        <f t="shared" si="260"/>
        <v>0.27470068438332002</v>
      </c>
      <c r="CJ27" s="43">
        <f t="shared" si="260"/>
        <v>0.24989995678132959</v>
      </c>
      <c r="CK27" s="43">
        <f t="shared" ref="CK27:CL27" si="261">CK26/CK10</f>
        <v>0.2497590438861402</v>
      </c>
      <c r="CL27" s="43">
        <f t="shared" si="261"/>
        <v>0.27873103898222146</v>
      </c>
      <c r="CM27" s="51">
        <f t="shared" ref="CM27:DA27" si="262">AVERAGE(CI27:CL27)</f>
        <v>0.2632726810082528</v>
      </c>
      <c r="CN27" s="51">
        <f t="shared" si="262"/>
        <v>0.26041568016448602</v>
      </c>
      <c r="CO27" s="51">
        <f t="shared" si="262"/>
        <v>0.2630446110102751</v>
      </c>
      <c r="CP27" s="51">
        <f t="shared" si="262"/>
        <v>0.26636600279130884</v>
      </c>
      <c r="CQ27" s="51">
        <f t="shared" si="262"/>
        <v>0.26327474374358067</v>
      </c>
      <c r="CR27" s="51">
        <f t="shared" si="262"/>
        <v>0.26327525942741264</v>
      </c>
      <c r="CS27" s="51">
        <f t="shared" si="262"/>
        <v>0.26399015424314431</v>
      </c>
      <c r="CT27" s="51">
        <f t="shared" si="262"/>
        <v>0.26422654005136159</v>
      </c>
      <c r="CU27" s="51">
        <f t="shared" si="262"/>
        <v>0.26369167436637481</v>
      </c>
      <c r="CV27" s="51">
        <f t="shared" si="262"/>
        <v>0.26379590702207334</v>
      </c>
      <c r="CW27" s="51">
        <f t="shared" si="262"/>
        <v>0.26392606892073855</v>
      </c>
      <c r="CX27" s="51">
        <f t="shared" si="262"/>
        <v>0.26391004759013703</v>
      </c>
      <c r="CY27" s="51">
        <f t="shared" si="262"/>
        <v>0.26383092447483092</v>
      </c>
      <c r="CZ27" s="51">
        <f t="shared" si="262"/>
        <v>0.26386573700194493</v>
      </c>
      <c r="DA27" s="51">
        <f t="shared" si="262"/>
        <v>0.26388319449691289</v>
      </c>
      <c r="DD27" s="127"/>
      <c r="DE27" s="43">
        <v>0.26256069263508286</v>
      </c>
    </row>
    <row r="28" spans="1:109" s="25" customFormat="1" x14ac:dyDescent="0.2">
      <c r="A28" s="33" t="s">
        <v>13</v>
      </c>
      <c r="B28" s="25">
        <f t="shared" ref="B28:AE28" si="263">B16-B26</f>
        <v>0</v>
      </c>
      <c r="C28" s="25">
        <f t="shared" si="263"/>
        <v>0</v>
      </c>
      <c r="D28" s="25">
        <f t="shared" si="263"/>
        <v>56.082099999999997</v>
      </c>
      <c r="E28" s="25">
        <f t="shared" si="263"/>
        <v>56.268399999999957</v>
      </c>
      <c r="F28" s="25">
        <f t="shared" si="263"/>
        <v>50.849100000000021</v>
      </c>
      <c r="G28" s="25">
        <f t="shared" si="263"/>
        <v>54.675000000000082</v>
      </c>
      <c r="H28" s="25">
        <f t="shared" si="263"/>
        <v>55.011800000000008</v>
      </c>
      <c r="I28" s="25">
        <f t="shared" si="263"/>
        <v>55.849599999999981</v>
      </c>
      <c r="J28" s="25">
        <f t="shared" si="263"/>
        <v>49.166400000000039</v>
      </c>
      <c r="K28" s="25">
        <f t="shared" si="263"/>
        <v>71.212099999999964</v>
      </c>
      <c r="L28" s="25">
        <f t="shared" si="263"/>
        <v>68.137799999999999</v>
      </c>
      <c r="M28" s="25">
        <f t="shared" si="263"/>
        <v>86.71219999999991</v>
      </c>
      <c r="N28" s="25">
        <f t="shared" si="263"/>
        <v>90.419199999999933</v>
      </c>
      <c r="O28" s="25">
        <f t="shared" si="263"/>
        <v>115.20929999999998</v>
      </c>
      <c r="P28" s="25">
        <f t="shared" si="263"/>
        <v>119.79820000000009</v>
      </c>
      <c r="Q28" s="25">
        <f t="shared" si="263"/>
        <v>234.7636</v>
      </c>
      <c r="R28" s="25">
        <f t="shared" si="263"/>
        <v>250.26819999999992</v>
      </c>
      <c r="S28" s="25">
        <f t="shared" si="263"/>
        <v>220.09019999999975</v>
      </c>
      <c r="T28" s="25">
        <f t="shared" si="263"/>
        <v>222.98710000000017</v>
      </c>
      <c r="U28" s="25">
        <f t="shared" si="263"/>
        <v>294.24999999999977</v>
      </c>
      <c r="V28" s="25">
        <f t="shared" si="263"/>
        <v>234.47999999999979</v>
      </c>
      <c r="W28" s="25">
        <f t="shared" si="263"/>
        <v>109.83000000000015</v>
      </c>
      <c r="X28" s="25">
        <f t="shared" si="263"/>
        <v>157.69999999999982</v>
      </c>
      <c r="Y28" s="25">
        <f t="shared" si="263"/>
        <v>193.02999999999975</v>
      </c>
      <c r="Z28" s="25">
        <f t="shared" si="263"/>
        <v>112.36999999999989</v>
      </c>
      <c r="AA28" s="25">
        <f t="shared" ref="AA28" si="264">AA16-AA26</f>
        <v>191.56999999999982</v>
      </c>
      <c r="AB28" s="26">
        <f t="shared" si="263"/>
        <v>183.52750589807238</v>
      </c>
      <c r="AC28" s="26">
        <f t="shared" si="263"/>
        <v>185.86435145630412</v>
      </c>
      <c r="AD28" s="26">
        <f t="shared" si="263"/>
        <v>184.75523463816796</v>
      </c>
      <c r="AE28" s="26">
        <f t="shared" si="263"/>
        <v>183.1495969498792</v>
      </c>
      <c r="AI28" s="25">
        <f t="shared" ref="AI28:BN28" si="265">AI16-AI26</f>
        <v>24.179999999999964</v>
      </c>
      <c r="AJ28" s="25">
        <f t="shared" si="265"/>
        <v>17.699999999999967</v>
      </c>
      <c r="AK28" s="25">
        <f t="shared" si="265"/>
        <v>23.820000000000022</v>
      </c>
      <c r="AL28" s="25">
        <f t="shared" si="265"/>
        <v>31.109999999999978</v>
      </c>
      <c r="AM28" s="25">
        <f t="shared" si="265"/>
        <v>31.110000000000028</v>
      </c>
      <c r="AN28" s="25">
        <f t="shared" si="265"/>
        <v>24.929999999999993</v>
      </c>
      <c r="AO28" s="25">
        <f t="shared" si="265"/>
        <v>27.17</v>
      </c>
      <c r="AP28" s="25">
        <f t="shared" si="265"/>
        <v>31.500000000000007</v>
      </c>
      <c r="AQ28" s="25">
        <f t="shared" si="265"/>
        <v>31.419999999999959</v>
      </c>
      <c r="AR28" s="25">
        <f t="shared" si="265"/>
        <v>26.939999999999991</v>
      </c>
      <c r="AS28" s="25">
        <f t="shared" si="265"/>
        <v>28.660000000000018</v>
      </c>
      <c r="AT28" s="25">
        <f t="shared" si="265"/>
        <v>54.109999999999943</v>
      </c>
      <c r="AU28" s="25">
        <f t="shared" si="265"/>
        <v>62.730000000000089</v>
      </c>
      <c r="AV28" s="25">
        <f t="shared" si="265"/>
        <v>50.25999999999992</v>
      </c>
      <c r="AW28" s="25">
        <f t="shared" si="265"/>
        <v>65.109999999999928</v>
      </c>
      <c r="AX28" s="25">
        <f t="shared" si="265"/>
        <v>78.95999999999998</v>
      </c>
      <c r="AY28" s="25">
        <f t="shared" si="265"/>
        <v>59.260000000000019</v>
      </c>
      <c r="AZ28" s="25">
        <f t="shared" si="265"/>
        <v>55.51999999999984</v>
      </c>
      <c r="BA28" s="25">
        <f t="shared" si="265"/>
        <v>52.979999999999933</v>
      </c>
      <c r="BB28" s="25">
        <f t="shared" si="265"/>
        <v>52.950000000000074</v>
      </c>
      <c r="BC28" s="25">
        <f t="shared" si="265"/>
        <v>41.339999999999918</v>
      </c>
      <c r="BD28" s="25">
        <f t="shared" si="265"/>
        <v>63.759999999999962</v>
      </c>
      <c r="BE28" s="25">
        <f t="shared" si="265"/>
        <v>60.350000000000009</v>
      </c>
      <c r="BF28" s="25">
        <f t="shared" si="265"/>
        <v>54.560000000000031</v>
      </c>
      <c r="BG28" s="25">
        <f t="shared" si="265"/>
        <v>51.319999999999993</v>
      </c>
      <c r="BH28" s="25">
        <f t="shared" si="265"/>
        <v>50.669999999999987</v>
      </c>
      <c r="BI28" s="25">
        <f t="shared" si="265"/>
        <v>65.770000000000124</v>
      </c>
      <c r="BJ28" s="25">
        <f t="shared" si="265"/>
        <v>87.250000000000057</v>
      </c>
      <c r="BK28" s="25">
        <f t="shared" si="265"/>
        <v>71.619999999999976</v>
      </c>
      <c r="BL28" s="25">
        <f t="shared" si="265"/>
        <v>66.169999999999987</v>
      </c>
      <c r="BM28" s="25">
        <f t="shared" si="265"/>
        <v>66.030000000000143</v>
      </c>
      <c r="BN28" s="25">
        <f t="shared" si="265"/>
        <v>49.95999999999998</v>
      </c>
      <c r="BO28" s="25">
        <f t="shared" ref="BO28:CT28" si="266">BO16-BO26</f>
        <v>67.490000000000038</v>
      </c>
      <c r="BP28" s="25">
        <f t="shared" si="266"/>
        <v>77.429999999999922</v>
      </c>
      <c r="BQ28" s="25">
        <f t="shared" si="266"/>
        <v>35.489999999999981</v>
      </c>
      <c r="BR28" s="25">
        <f t="shared" si="266"/>
        <v>42.300000000000068</v>
      </c>
      <c r="BS28" s="25">
        <f t="shared" si="266"/>
        <v>22.709999999999923</v>
      </c>
      <c r="BT28" s="25">
        <f t="shared" si="266"/>
        <v>31.279999999999859</v>
      </c>
      <c r="BU28" s="25">
        <f t="shared" si="266"/>
        <v>10.85000000000008</v>
      </c>
      <c r="BV28" s="25">
        <f t="shared" si="266"/>
        <v>50.710000000000178</v>
      </c>
      <c r="BW28" s="25">
        <f t="shared" si="266"/>
        <v>34.490000000000038</v>
      </c>
      <c r="BX28" s="25">
        <f t="shared" si="266"/>
        <v>22.950000000000045</v>
      </c>
      <c r="BY28" s="25">
        <f t="shared" si="266"/>
        <v>48.880000000000024</v>
      </c>
      <c r="BZ28" s="25">
        <f t="shared" si="266"/>
        <v>51.28</v>
      </c>
      <c r="CA28" s="25">
        <f t="shared" si="266"/>
        <v>39.970000000000027</v>
      </c>
      <c r="CB28" s="25">
        <f t="shared" si="266"/>
        <v>45.75</v>
      </c>
      <c r="CC28" s="25">
        <f t="shared" si="266"/>
        <v>57.720000000000027</v>
      </c>
      <c r="CD28" s="25">
        <f t="shared" si="266"/>
        <v>41.049999999999955</v>
      </c>
      <c r="CE28" s="25">
        <f t="shared" si="266"/>
        <v>31.960000000000093</v>
      </c>
      <c r="CF28" s="25">
        <f t="shared" si="266"/>
        <v>18.079999999999984</v>
      </c>
      <c r="CG28" s="25">
        <f t="shared" si="266"/>
        <v>26.240000000000009</v>
      </c>
      <c r="CH28" s="25">
        <f t="shared" si="266"/>
        <v>38.730000000000018</v>
      </c>
      <c r="CI28" s="25">
        <f t="shared" si="266"/>
        <v>42.589999999999975</v>
      </c>
      <c r="CJ28" s="25">
        <f t="shared" si="266"/>
        <v>55.479999999999905</v>
      </c>
      <c r="CK28" s="25">
        <f t="shared" ref="CK28:CL28" si="267">CK16-CK26</f>
        <v>54.02000000000001</v>
      </c>
      <c r="CL28" s="25">
        <f t="shared" si="267"/>
        <v>39.960000000000036</v>
      </c>
      <c r="CM28" s="26">
        <f t="shared" si="266"/>
        <v>46.613856005107692</v>
      </c>
      <c r="CN28" s="26">
        <f t="shared" si="266"/>
        <v>49.092075874643967</v>
      </c>
      <c r="CO28" s="26">
        <f t="shared" si="266"/>
        <v>47.861574018320852</v>
      </c>
      <c r="CP28" s="26">
        <f t="shared" si="266"/>
        <v>45.567115708491855</v>
      </c>
      <c r="CQ28" s="26">
        <f t="shared" si="266"/>
        <v>45.955001949068389</v>
      </c>
      <c r="CR28" s="26">
        <f t="shared" si="266"/>
        <v>47.232654961018795</v>
      </c>
      <c r="CS28" s="26">
        <f t="shared" si="266"/>
        <v>47.109578837724939</v>
      </c>
      <c r="CT28" s="26">
        <f t="shared" si="266"/>
        <v>46.14866685567344</v>
      </c>
      <c r="CU28" s="26">
        <f t="shared" ref="CU28:DA28" si="268">CU16-CU26</f>
        <v>45.306095581389116</v>
      </c>
      <c r="CV28" s="26">
        <f t="shared" si="268"/>
        <v>46.565754176567367</v>
      </c>
      <c r="CW28" s="26">
        <f t="shared" si="268"/>
        <v>46.734718024538296</v>
      </c>
      <c r="CX28" s="26">
        <f t="shared" si="268"/>
        <v>45.871756857235141</v>
      </c>
      <c r="CY28" s="26">
        <f t="shared" si="268"/>
        <v>44.827415122099467</v>
      </c>
      <c r="CZ28" s="26">
        <f t="shared" si="268"/>
        <v>46.115392930002457</v>
      </c>
      <c r="DA28" s="26">
        <f t="shared" si="268"/>
        <v>46.335032040542188</v>
      </c>
      <c r="DD28" s="120"/>
      <c r="DE28" s="25">
        <v>190.81999999999971</v>
      </c>
    </row>
    <row r="29" spans="1:109" s="167" customFormat="1" x14ac:dyDescent="0.2">
      <c r="A29" s="164" t="s">
        <v>14</v>
      </c>
      <c r="B29" s="165" t="e">
        <f t="shared" ref="B29:AE29" si="269">B28/B10</f>
        <v>#DIV/0!</v>
      </c>
      <c r="C29" s="165" t="e">
        <f t="shared" si="269"/>
        <v>#DIV/0!</v>
      </c>
      <c r="D29" s="165">
        <f t="shared" si="269"/>
        <v>0.17406676178732061</v>
      </c>
      <c r="E29" s="165">
        <f t="shared" si="269"/>
        <v>0.1470615985294989</v>
      </c>
      <c r="F29" s="165">
        <f t="shared" si="269"/>
        <v>0.12905171829630449</v>
      </c>
      <c r="G29" s="165">
        <f t="shared" si="269"/>
        <v>0.12631093072963034</v>
      </c>
      <c r="H29" s="165">
        <f t="shared" si="269"/>
        <v>0.10975910251475994</v>
      </c>
      <c r="I29" s="165">
        <f t="shared" si="269"/>
        <v>9.7880885557585007E-2</v>
      </c>
      <c r="J29" s="165">
        <f t="shared" si="269"/>
        <v>8.0325652307738624E-2</v>
      </c>
      <c r="K29" s="165">
        <f t="shared" si="269"/>
        <v>0.1232699483790938</v>
      </c>
      <c r="L29" s="165">
        <f t="shared" si="269"/>
        <v>9.5119834759199717E-2</v>
      </c>
      <c r="M29" s="165">
        <f t="shared" si="269"/>
        <v>0.10796310746071999</v>
      </c>
      <c r="N29" s="165">
        <f t="shared" si="269"/>
        <v>0.10040026102966357</v>
      </c>
      <c r="O29" s="165">
        <f t="shared" si="269"/>
        <v>0.10613473749065405</v>
      </c>
      <c r="P29" s="165">
        <f t="shared" si="269"/>
        <v>9.7767808249474619E-2</v>
      </c>
      <c r="Q29" s="165">
        <f t="shared" si="269"/>
        <v>0.11522802685877194</v>
      </c>
      <c r="R29" s="165">
        <f t="shared" si="269"/>
        <v>0.11474098230118962</v>
      </c>
      <c r="S29" s="165">
        <f t="shared" si="269"/>
        <v>0.10328304540592409</v>
      </c>
      <c r="T29" s="165">
        <f t="shared" si="269"/>
        <v>9.41242512837413E-2</v>
      </c>
      <c r="U29" s="165">
        <f t="shared" si="269"/>
        <v>0.11321749301649099</v>
      </c>
      <c r="V29" s="165">
        <f t="shared" si="269"/>
        <v>9.5212571567791365E-2</v>
      </c>
      <c r="W29" s="165">
        <f t="shared" si="269"/>
        <v>4.1835537542662171E-2</v>
      </c>
      <c r="X29" s="165">
        <f t="shared" si="269"/>
        <v>5.2867659876899085E-2</v>
      </c>
      <c r="Y29" s="165">
        <f t="shared" si="269"/>
        <v>7.5714666750345092E-2</v>
      </c>
      <c r="Z29" s="165">
        <f t="shared" si="269"/>
        <v>4.4570399574802237E-2</v>
      </c>
      <c r="AA29" s="165">
        <f t="shared" ref="AA29" si="270">AA28/AA10</f>
        <v>7.7577235048047852E-2</v>
      </c>
      <c r="AB29" s="166">
        <f t="shared" si="269"/>
        <v>7.4905656020452516E-2</v>
      </c>
      <c r="AC29" s="166">
        <f t="shared" si="269"/>
        <v>7.6552027823132293E-2</v>
      </c>
      <c r="AD29" s="166">
        <f t="shared" si="269"/>
        <v>7.679225845152253E-2</v>
      </c>
      <c r="AE29" s="166">
        <f t="shared" si="269"/>
        <v>7.6820039808933635E-2</v>
      </c>
      <c r="AI29" s="165">
        <f t="shared" ref="AI29:BN29" si="271">AI28/AI10</f>
        <v>0.10181910055583614</v>
      </c>
      <c r="AJ29" s="165">
        <f t="shared" si="271"/>
        <v>7.9443447037701828E-2</v>
      </c>
      <c r="AK29" s="165">
        <f t="shared" si="271"/>
        <v>0.10394937813659184</v>
      </c>
      <c r="AL29" s="165">
        <f t="shared" si="271"/>
        <v>0.12114014251781467</v>
      </c>
      <c r="AM29" s="165">
        <f t="shared" si="271"/>
        <v>0.11249322003254394</v>
      </c>
      <c r="AN29" s="165">
        <f t="shared" si="271"/>
        <v>9.289413868912319E-2</v>
      </c>
      <c r="AO29" s="165">
        <f t="shared" si="271"/>
        <v>9.6580406654343823E-2</v>
      </c>
      <c r="AP29" s="165">
        <f t="shared" si="271"/>
        <v>0.10822510822510825</v>
      </c>
      <c r="AQ29" s="165">
        <f t="shared" si="271"/>
        <v>0.10159407637339529</v>
      </c>
      <c r="AR29" s="165">
        <f t="shared" si="271"/>
        <v>8.5700652139335115E-2</v>
      </c>
      <c r="AS29" s="165">
        <f t="shared" si="271"/>
        <v>9.2409879409299067E-2</v>
      </c>
      <c r="AT29" s="165">
        <f t="shared" si="271"/>
        <v>0.12232118636404726</v>
      </c>
      <c r="AU29" s="165">
        <f t="shared" si="271"/>
        <v>0.11513471844945321</v>
      </c>
      <c r="AV29" s="165">
        <f t="shared" si="271"/>
        <v>9.6730114128447287E-2</v>
      </c>
      <c r="AW29" s="165">
        <f t="shared" si="271"/>
        <v>0.12351088853479007</v>
      </c>
      <c r="AX29" s="165">
        <f t="shared" si="271"/>
        <v>0.15022545233157661</v>
      </c>
      <c r="AY29" s="165">
        <f t="shared" si="271"/>
        <v>0.10365576351233166</v>
      </c>
      <c r="AZ29" s="165">
        <f t="shared" si="271"/>
        <v>9.967326128325707E-2</v>
      </c>
      <c r="BA29" s="165">
        <f t="shared" si="271"/>
        <v>0.10139324810533555</v>
      </c>
      <c r="BB29" s="165">
        <f t="shared" si="271"/>
        <v>0.10373403338296384</v>
      </c>
      <c r="BC29" s="165">
        <f t="shared" si="271"/>
        <v>8.0935040526253804E-2</v>
      </c>
      <c r="BD29" s="165">
        <f t="shared" si="271"/>
        <v>0.11652685637004946</v>
      </c>
      <c r="BE29" s="165">
        <f t="shared" si="271"/>
        <v>0.10776208417406212</v>
      </c>
      <c r="BF29" s="165">
        <f t="shared" si="271"/>
        <v>9.8660060396737886E-2</v>
      </c>
      <c r="BG29" s="165">
        <f t="shared" si="271"/>
        <v>8.618257540135689E-2</v>
      </c>
      <c r="BH29" s="165">
        <f t="shared" si="271"/>
        <v>8.3121442280877283E-2</v>
      </c>
      <c r="BI29" s="165">
        <f t="shared" si="271"/>
        <v>0.10748488315084183</v>
      </c>
      <c r="BJ29" s="165">
        <f t="shared" si="271"/>
        <v>0.1390261002581345</v>
      </c>
      <c r="BK29" s="165">
        <f t="shared" si="271"/>
        <v>0.11300986193293881</v>
      </c>
      <c r="BL29" s="165">
        <f t="shared" si="271"/>
        <v>0.10177807856769309</v>
      </c>
      <c r="BM29" s="165">
        <f t="shared" si="271"/>
        <v>9.7438243366880339E-2</v>
      </c>
      <c r="BN29" s="165">
        <f t="shared" si="271"/>
        <v>8.6391146463773105E-2</v>
      </c>
      <c r="BO29" s="165">
        <f t="shared" ref="BO29:CT29" si="272">BO28/BO10</f>
        <v>0.10532311677772754</v>
      </c>
      <c r="BP29" s="165">
        <f t="shared" si="272"/>
        <v>0.11288817611896768</v>
      </c>
      <c r="BQ29" s="165">
        <f t="shared" si="272"/>
        <v>6.3635222606731073E-2</v>
      </c>
      <c r="BR29" s="165">
        <f t="shared" si="272"/>
        <v>6.6894392257330015E-2</v>
      </c>
      <c r="BS29" s="165">
        <f t="shared" si="272"/>
        <v>3.4272002897500792E-2</v>
      </c>
      <c r="BT29" s="165">
        <f t="shared" si="272"/>
        <v>4.677523066110368E-2</v>
      </c>
      <c r="BU29" s="165">
        <f t="shared" si="272"/>
        <v>1.6400380912072916E-2</v>
      </c>
      <c r="BV29" s="165">
        <f t="shared" si="272"/>
        <v>6.9607829679757552E-2</v>
      </c>
      <c r="BW29" s="165">
        <f t="shared" si="272"/>
        <v>4.3511171105251913E-2</v>
      </c>
      <c r="BX29" s="165">
        <f t="shared" si="272"/>
        <v>2.9842788967920683E-2</v>
      </c>
      <c r="BY29" s="165">
        <f t="shared" si="272"/>
        <v>7.056343924586049E-2</v>
      </c>
      <c r="BZ29" s="165">
        <f t="shared" si="272"/>
        <v>7.7517270569739852E-2</v>
      </c>
      <c r="CA29" s="165">
        <f t="shared" si="272"/>
        <v>6.4291458903007914E-2</v>
      </c>
      <c r="CB29" s="165">
        <f t="shared" si="272"/>
        <v>6.9058688564183068E-2</v>
      </c>
      <c r="CC29" s="165">
        <f t="shared" si="272"/>
        <v>9.5605651532970085E-2</v>
      </c>
      <c r="CD29" s="165">
        <f t="shared" si="272"/>
        <v>6.7281846194191225E-2</v>
      </c>
      <c r="CE29" s="165">
        <f t="shared" si="272"/>
        <v>4.9980451950895441E-2</v>
      </c>
      <c r="CF29" s="165">
        <f t="shared" si="272"/>
        <v>2.7708812260536373E-2</v>
      </c>
      <c r="CG29" s="165">
        <f t="shared" si="272"/>
        <v>4.2383421362924209E-2</v>
      </c>
      <c r="CH29" s="165">
        <f t="shared" si="272"/>
        <v>6.3499090059515068E-2</v>
      </c>
      <c r="CI29" s="165">
        <f t="shared" si="272"/>
        <v>6.9565359423745934E-2</v>
      </c>
      <c r="CJ29" s="165">
        <f t="shared" si="272"/>
        <v>8.88063643493988E-2</v>
      </c>
      <c r="CK29" s="165">
        <f t="shared" ref="CK29:CL29" si="273">CK28/CK10</f>
        <v>8.6776328471374439E-2</v>
      </c>
      <c r="CL29" s="165">
        <f t="shared" si="273"/>
        <v>6.5176969499266088E-2</v>
      </c>
      <c r="CM29" s="166">
        <f t="shared" si="272"/>
        <v>7.7581255435946392E-2</v>
      </c>
      <c r="CN29" s="166">
        <f t="shared" si="272"/>
        <v>7.9585229438996458E-2</v>
      </c>
      <c r="CO29" s="166">
        <f t="shared" si="272"/>
        <v>7.7279945711395848E-2</v>
      </c>
      <c r="CP29" s="166">
        <f t="shared" si="272"/>
        <v>7.4905850021401169E-2</v>
      </c>
      <c r="CQ29" s="166">
        <f t="shared" si="272"/>
        <v>7.7338070151935015E-2</v>
      </c>
      <c r="CR29" s="166">
        <f t="shared" si="272"/>
        <v>7.7277273830932108E-2</v>
      </c>
      <c r="CS29" s="166">
        <f t="shared" si="272"/>
        <v>7.6700284928916035E-2</v>
      </c>
      <c r="CT29" s="166">
        <f t="shared" si="272"/>
        <v>7.655536973329613E-2</v>
      </c>
      <c r="CU29" s="166">
        <f t="shared" ref="CU29:DA29" si="274">CU28/CU10</f>
        <v>7.6967749661269791E-2</v>
      </c>
      <c r="CV29" s="166">
        <f t="shared" si="274"/>
        <v>7.6875169538603488E-2</v>
      </c>
      <c r="CW29" s="166">
        <f t="shared" si="274"/>
        <v>7.6774643465521319E-2</v>
      </c>
      <c r="CX29" s="166">
        <f t="shared" si="274"/>
        <v>7.6793233099672675E-2</v>
      </c>
      <c r="CY29" s="166">
        <f t="shared" si="274"/>
        <v>7.6852698941266798E-2</v>
      </c>
      <c r="CZ29" s="166">
        <f t="shared" si="274"/>
        <v>7.6823936261266101E-2</v>
      </c>
      <c r="DA29" s="166">
        <f t="shared" si="274"/>
        <v>7.6811127941931664E-2</v>
      </c>
      <c r="DD29" s="168"/>
      <c r="DE29" s="167">
        <v>7.7273518775739847E-2</v>
      </c>
    </row>
    <row r="30" spans="1:109" s="37" customFormat="1" x14ac:dyDescent="0.2">
      <c r="A30" s="38" t="s">
        <v>449</v>
      </c>
      <c r="B30" s="38"/>
      <c r="C30" s="38" t="e">
        <f t="shared" ref="C30:E30" si="275">+IF(B28&lt;0,1-C28/B28,C28/B28-1)</f>
        <v>#DIV/0!</v>
      </c>
      <c r="D30" s="38" t="e">
        <f t="shared" si="275"/>
        <v>#DIV/0!</v>
      </c>
      <c r="E30" s="38">
        <f t="shared" si="275"/>
        <v>3.3219155488106722E-3</v>
      </c>
      <c r="F30" s="38">
        <f t="shared" ref="F30:Y30" si="276">+IF(E28&lt;0,1-F28/E28,F28/E28-1)</f>
        <v>-9.6311606514490222E-2</v>
      </c>
      <c r="G30" s="38">
        <f t="shared" si="276"/>
        <v>7.5240269739288657E-2</v>
      </c>
      <c r="H30" s="38">
        <f t="shared" si="276"/>
        <v>6.1600365797882528E-3</v>
      </c>
      <c r="I30" s="38">
        <f t="shared" si="276"/>
        <v>1.5229459861338279E-2</v>
      </c>
      <c r="J30" s="38">
        <f t="shared" si="276"/>
        <v>-0.1196642411046801</v>
      </c>
      <c r="K30" s="38">
        <f t="shared" si="276"/>
        <v>0.44838955058739116</v>
      </c>
      <c r="L30" s="38">
        <f t="shared" si="276"/>
        <v>-4.3171034136052278E-2</v>
      </c>
      <c r="M30" s="38">
        <f t="shared" si="276"/>
        <v>0.27260052423177616</v>
      </c>
      <c r="N30" s="38">
        <f t="shared" si="276"/>
        <v>4.2750616406918907E-2</v>
      </c>
      <c r="O30" s="38">
        <f t="shared" si="276"/>
        <v>0.27416853942525554</v>
      </c>
      <c r="P30" s="38">
        <f t="shared" si="276"/>
        <v>3.9830985866593283E-2</v>
      </c>
      <c r="Q30" s="38">
        <f t="shared" si="276"/>
        <v>0.95965882625949139</v>
      </c>
      <c r="R30" s="38">
        <f t="shared" si="276"/>
        <v>6.6043458185169879E-2</v>
      </c>
      <c r="S30" s="38">
        <f t="shared" si="276"/>
        <v>-0.12058263894494059</v>
      </c>
      <c r="T30" s="38">
        <f t="shared" si="276"/>
        <v>1.3162330717135129E-2</v>
      </c>
      <c r="U30" s="38">
        <f t="shared" si="276"/>
        <v>0.31958306108290357</v>
      </c>
      <c r="V30" s="38">
        <f t="shared" si="276"/>
        <v>-0.20312659303313518</v>
      </c>
      <c r="W30" s="38">
        <f t="shared" si="276"/>
        <v>-0.53160184237461516</v>
      </c>
      <c r="X30" s="38">
        <f t="shared" si="276"/>
        <v>0.4358554129108585</v>
      </c>
      <c r="Y30" s="38">
        <f t="shared" si="276"/>
        <v>0.22403297400126809</v>
      </c>
      <c r="Z30" s="38">
        <f t="shared" ref="Z30:AE30" si="277">+IF(Y28&lt;0,1-Z28/Y28,Z28/Y28-1)</f>
        <v>-0.41786250841838035</v>
      </c>
      <c r="AA30" s="38">
        <f t="shared" si="277"/>
        <v>0.7048144522559403</v>
      </c>
      <c r="AB30" s="39">
        <f t="shared" si="277"/>
        <v>-4.1982012329317975E-2</v>
      </c>
      <c r="AC30" s="39">
        <f t="shared" si="277"/>
        <v>1.2732944562160453E-2</v>
      </c>
      <c r="AD30" s="39">
        <f t="shared" si="277"/>
        <v>-5.9673455907273132E-3</v>
      </c>
      <c r="AE30" s="39">
        <f t="shared" si="277"/>
        <v>-8.6906208175011601E-3</v>
      </c>
      <c r="AI30" s="38"/>
      <c r="AJ30" s="38"/>
      <c r="AK30" s="38"/>
      <c r="AL30" s="38"/>
      <c r="AM30" s="38">
        <f>+IF(AI28&lt;0,1-AM28/AI28,AM28/AI28-1)</f>
        <v>0.28660049627791873</v>
      </c>
      <c r="AN30" s="38">
        <f t="shared" ref="AN30" si="278">+IF(AJ28&lt;0,1-AN28/AJ28,AN28/AJ28-1)</f>
        <v>0.40847457627118855</v>
      </c>
      <c r="AO30" s="38">
        <f t="shared" ref="AO30" si="279">+IF(AK28&lt;0,1-AO28/AK28,AO28/AK28-1)</f>
        <v>0.14063811922753899</v>
      </c>
      <c r="AP30" s="38">
        <f t="shared" ref="AP30" si="280">+IF(AL28&lt;0,1-AP28/AL28,AP28/AL28-1)</f>
        <v>1.2536162005786888E-2</v>
      </c>
      <c r="AQ30" s="38">
        <f t="shared" ref="AQ30" si="281">+IF(AM28&lt;0,1-AQ28/AM28,AQ28/AM28-1)</f>
        <v>9.9646415943404065E-3</v>
      </c>
      <c r="AR30" s="38">
        <f t="shared" ref="AR30" si="282">+IF(AN28&lt;0,1-AR28/AN28,AR28/AN28-1)</f>
        <v>8.0625752105896398E-2</v>
      </c>
      <c r="AS30" s="38">
        <f t="shared" ref="AS30" si="283">+IF(AO28&lt;0,1-AS28/AO28,AS28/AO28-1)</f>
        <v>5.4839896945160671E-2</v>
      </c>
      <c r="AT30" s="38">
        <f t="shared" ref="AT30" si="284">+IF(AP28&lt;0,1-AT28/AP28,AT28/AP28-1)</f>
        <v>0.71777777777777563</v>
      </c>
      <c r="AU30" s="38">
        <f t="shared" ref="AU30" si="285">+IF(AQ28&lt;0,1-AU28/AQ28,AU28/AQ28-1)</f>
        <v>0.99649904519414934</v>
      </c>
      <c r="AV30" s="38">
        <f t="shared" ref="AV30" si="286">+IF(AR28&lt;0,1-AV28/AR28,AV28/AR28-1)</f>
        <v>0.86562731997030196</v>
      </c>
      <c r="AW30" s="38">
        <f t="shared" ref="AW30" si="287">+IF(AS28&lt;0,1-AW28/AS28,AW28/AS28-1)</f>
        <v>1.271807397069082</v>
      </c>
      <c r="AX30" s="38">
        <f t="shared" ref="AX30" si="288">+IF(AT28&lt;0,1-AX28/AT28,AX28/AT28-1)</f>
        <v>0.45924967658473603</v>
      </c>
      <c r="AY30" s="38">
        <f t="shared" ref="AY30" si="289">+IF(AU28&lt;0,1-AY28/AU28,AY28/AU28-1)</f>
        <v>-5.5316435517297369E-2</v>
      </c>
      <c r="AZ30" s="38">
        <f t="shared" ref="AZ30" si="290">+IF(AV28&lt;0,1-AZ28/AV28,AZ28/AV28-1)</f>
        <v>0.1046557898925573</v>
      </c>
      <c r="BA30" s="38">
        <f t="shared" ref="BA30" si="291">+IF(AW28&lt;0,1-BA28/AW28,BA28/AW28-1)</f>
        <v>-0.18630010751036719</v>
      </c>
      <c r="BB30" s="38">
        <f t="shared" ref="BB30" si="292">+IF(AX28&lt;0,1-BB28/AX28,BB28/AX28-1)</f>
        <v>-0.3294072948328256</v>
      </c>
      <c r="BC30" s="38">
        <f t="shared" ref="BC30" si="293">+IF(AY28&lt;0,1-BC28/AY28,BC28/AY28-1)</f>
        <v>-0.30239622004725097</v>
      </c>
      <c r="BD30" s="38">
        <f t="shared" ref="BD30" si="294">+IF(AZ28&lt;0,1-BD28/AZ28,BD28/AZ28-1)</f>
        <v>0.14841498559078081</v>
      </c>
      <c r="BE30" s="38">
        <f t="shared" ref="BE30" si="295">+IF(BA28&lt;0,1-BE28/BA28,BE28/BA28-1)</f>
        <v>0.13910909777274605</v>
      </c>
      <c r="BF30" s="38">
        <f t="shared" ref="BF30" si="296">+IF(BB28&lt;0,1-BF28/BB28,BF28/BB28-1)</f>
        <v>3.0406043437203989E-2</v>
      </c>
      <c r="BG30" s="38">
        <f t="shared" ref="BG30" si="297">+IF(BC28&lt;0,1-BG28/BC28,BG28/BC28-1)</f>
        <v>0.24141267537494171</v>
      </c>
      <c r="BH30" s="38">
        <f t="shared" ref="BH30" si="298">+IF(BD28&lt;0,1-BH28/BD28,BH28/BD28-1)</f>
        <v>-0.20530112923462962</v>
      </c>
      <c r="BI30" s="38">
        <f t="shared" ref="BI30" si="299">+IF(BE28&lt;0,1-BI28/BE28,BI28/BE28-1)</f>
        <v>8.9809444904724423E-2</v>
      </c>
      <c r="BJ30" s="38">
        <f t="shared" ref="BJ30" si="300">+IF(BF28&lt;0,1-BJ28/BF28,BJ28/BF28-1)</f>
        <v>0.59915689149560136</v>
      </c>
      <c r="BK30" s="38">
        <f t="shared" ref="BK30" si="301">+IF(BG28&lt;0,1-BK28/BG28,BK28/BG28-1)</f>
        <v>0.39555728760717046</v>
      </c>
      <c r="BL30" s="38">
        <f t="shared" ref="BL30" si="302">+IF(BH28&lt;0,1-BL28/BH28,BL28/BH28-1)</f>
        <v>0.30590092757055465</v>
      </c>
      <c r="BM30" s="38">
        <f t="shared" ref="BM30" si="303">+IF(BI28&lt;0,1-BM28/BI28,BM28/BI28-1)</f>
        <v>3.9531701383612727E-3</v>
      </c>
      <c r="BN30" s="38">
        <f t="shared" ref="BN30" si="304">+IF(BJ28&lt;0,1-BN28/BJ28,BN28/BJ28-1)</f>
        <v>-0.42739255014326705</v>
      </c>
      <c r="BO30" s="38">
        <f t="shared" ref="BO30" si="305">+IF(BK28&lt;0,1-BO28/BK28,BO28/BK28-1)</f>
        <v>-5.7665456576374452E-2</v>
      </c>
      <c r="BP30" s="38">
        <f t="shared" ref="BP30" si="306">+IF(BL28&lt;0,1-BP28/BL28,BP28/BL28-1)</f>
        <v>0.17016774973552873</v>
      </c>
      <c r="BQ30" s="38">
        <f t="shared" ref="BQ30" si="307">+IF(BM28&lt;0,1-BQ28/BM28,BQ28/BM28-1)</f>
        <v>-0.46251703771013319</v>
      </c>
      <c r="BR30" s="38">
        <f t="shared" ref="BR30" si="308">+IF(BN28&lt;0,1-BR28/BN28,BR28/BN28-1)</f>
        <v>-0.15332265812649948</v>
      </c>
      <c r="BS30" s="38">
        <f t="shared" ref="BS30" si="309">+IF(BO28&lt;0,1-BS28/BO28,BS28/BO28-1)</f>
        <v>-0.66350570454882341</v>
      </c>
      <c r="BT30" s="38">
        <f t="shared" ref="BT30" si="310">+IF(BP28&lt;0,1-BT28/BP28,BT28/BP28-1)</f>
        <v>-0.59602221361229635</v>
      </c>
      <c r="BU30" s="38">
        <f t="shared" ref="BU30" si="311">+IF(BQ28&lt;0,1-BU28/BQ28,BU28/BQ28-1)</f>
        <v>-0.69428007889546106</v>
      </c>
      <c r="BV30" s="38">
        <f t="shared" ref="BV30" si="312">+IF(BR28&lt;0,1-BV28/BR28,BV28/BR28-1)</f>
        <v>0.19881796690307563</v>
      </c>
      <c r="BW30" s="38">
        <f t="shared" ref="BW30" si="313">+IF(BS28&lt;0,1-BW28/BS28,BW28/BS28-1)</f>
        <v>0.51871422280934198</v>
      </c>
      <c r="BX30" s="38">
        <f t="shared" ref="BX30" si="314">+IF(BT28&lt;0,1-BX28/BT28,BX28/BT28-1)</f>
        <v>-0.26630434782608214</v>
      </c>
      <c r="BY30" s="38">
        <f t="shared" ref="BY30" si="315">+IF(BU28&lt;0,1-BY28/BU28,BY28/BU28-1)</f>
        <v>3.5050691244239323</v>
      </c>
      <c r="BZ30" s="38">
        <f t="shared" ref="BZ30" si="316">+IF(BV28&lt;0,1-BZ28/BV28,BZ28/BV28-1)</f>
        <v>1.1240386511532696E-2</v>
      </c>
      <c r="CA30" s="38">
        <f t="shared" ref="CA30" si="317">+IF(BW28&lt;0,1-CA28/BW28,CA28/BW28-1)</f>
        <v>0.15888663380690016</v>
      </c>
      <c r="CB30" s="38">
        <f t="shared" ref="CB30" si="318">+IF(BX28&lt;0,1-CB28/BX28,CB28/BX28-1)</f>
        <v>0.99346405228757773</v>
      </c>
      <c r="CC30" s="38">
        <f t="shared" ref="CC30" si="319">+IF(BY28&lt;0,1-CC28/BY28,CC28/BY28-1)</f>
        <v>0.18085106382978711</v>
      </c>
      <c r="CD30" s="38">
        <f t="shared" ref="CD30" si="320">+IF(BZ28&lt;0,1-CD28/BZ28,CD28/BZ28-1)</f>
        <v>-0.19949297971918967</v>
      </c>
      <c r="CE30" s="38">
        <f t="shared" ref="CE30" si="321">+IF(CA28&lt;0,1-CE28/CA28,CE28/CA28-1)</f>
        <v>-0.20040030022516708</v>
      </c>
      <c r="CF30" s="38">
        <f t="shared" ref="CF30" si="322">+IF(CB28&lt;0,1-CF28/CB28,CF28/CB28-1)</f>
        <v>-0.60480874316939925</v>
      </c>
      <c r="CG30" s="38">
        <f t="shared" ref="CG30" si="323">+IF(CC28&lt;0,1-CG28/CC28,CG28/CC28-1)</f>
        <v>-0.54539154539154544</v>
      </c>
      <c r="CH30" s="38">
        <f t="shared" ref="CH30:CL30" si="324">+IF(CD28&lt;0,1-CH28/CD28,CH28/CD28-1)</f>
        <v>-5.6516443361752433E-2</v>
      </c>
      <c r="CI30" s="38">
        <f t="shared" si="324"/>
        <v>0.33260325406757985</v>
      </c>
      <c r="CJ30" s="38">
        <f t="shared" si="324"/>
        <v>2.0685840707964576</v>
      </c>
      <c r="CK30" s="38">
        <f t="shared" si="324"/>
        <v>1.0586890243902434</v>
      </c>
      <c r="CL30" s="38">
        <f t="shared" si="324"/>
        <v>3.1758326878389198E-2</v>
      </c>
      <c r="CM30" s="39">
        <f t="shared" ref="CM30" si="325">+CM28/CI28-1</f>
        <v>9.4478891878556404E-2</v>
      </c>
      <c r="CN30" s="39">
        <f t="shared" ref="CN30" si="326">+CN28/CJ28-1</f>
        <v>-0.11513922360050377</v>
      </c>
      <c r="CO30" s="39">
        <f t="shared" ref="CO30" si="327">+CO28/CK28-1</f>
        <v>-0.11400270236355348</v>
      </c>
      <c r="CP30" s="39">
        <f t="shared" ref="CP30" si="328">+CP28/CL28-1</f>
        <v>0.14031821092321861</v>
      </c>
      <c r="CQ30" s="39">
        <f t="shared" ref="CQ30" si="329">+CQ28/CM28-1</f>
        <v>-1.4134296376749234E-2</v>
      </c>
      <c r="CR30" s="39">
        <f t="shared" ref="CR30" si="330">+CR28/CN28-1</f>
        <v>-3.7876192450553181E-2</v>
      </c>
      <c r="CS30" s="39">
        <f t="shared" ref="CS30" si="331">+CS28/CO28-1</f>
        <v>-1.5711877346701097E-2</v>
      </c>
      <c r="CT30" s="39">
        <f t="shared" ref="CT30" si="332">+CT28/CP28-1</f>
        <v>1.2762518279672674E-2</v>
      </c>
      <c r="CU30" s="39">
        <f t="shared" ref="CU30" si="333">+CU28/CQ28-1</f>
        <v>-1.4120473074910378E-2</v>
      </c>
      <c r="CV30" s="39">
        <f t="shared" ref="CV30" si="334">+CV28/CR28-1</f>
        <v>-1.411948544924746E-2</v>
      </c>
      <c r="CW30" s="39">
        <f t="shared" ref="CW30" si="335">+CW28/CS28-1</f>
        <v>-7.9572100289391212E-3</v>
      </c>
      <c r="CX30" s="39">
        <f t="shared" ref="CX30" si="336">+CX28/CT28-1</f>
        <v>-6.0003899853556808E-3</v>
      </c>
      <c r="CY30" s="39">
        <f t="shared" ref="CY30" si="337">+CY28/CU28-1</f>
        <v>-1.0565475862508E-2</v>
      </c>
      <c r="CZ30" s="39">
        <f t="shared" ref="CZ30" si="338">+CZ28/CV28-1</f>
        <v>-9.6715119196231214E-3</v>
      </c>
      <c r="DA30" s="39">
        <f t="shared" ref="DA30" si="339">+DA28/CW28-1</f>
        <v>-8.5522284265467929E-3</v>
      </c>
      <c r="DD30" s="121"/>
      <c r="DE30" s="37">
        <v>0.69814007297321257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-0.26799007444168765</v>
      </c>
      <c r="AK31" s="38">
        <f t="shared" ref="AK31:AM31" si="340">+IF(AJ28&lt;0,1-AK28/AJ28,AK28/AJ28-1)</f>
        <v>0.34576271186441043</v>
      </c>
      <c r="AL31" s="38">
        <f t="shared" si="340"/>
        <v>0.30604534005037576</v>
      </c>
      <c r="AM31" s="38">
        <f t="shared" si="340"/>
        <v>1.5543122344752192E-15</v>
      </c>
      <c r="AN31" s="38">
        <f t="shared" ref="AN31" si="341">+IF(AM28&lt;0,1-AN28/AM28,AN28/AM28-1)</f>
        <v>-0.19864995178399325</v>
      </c>
      <c r="AO31" s="38">
        <f t="shared" ref="AO31" si="342">+IF(AN28&lt;0,1-AO28/AN28,AO28/AN28-1)</f>
        <v>8.9851584436422272E-2</v>
      </c>
      <c r="AP31" s="38">
        <f t="shared" ref="AP31" si="343">+IF(AO28&lt;0,1-AP28/AO28,AP28/AO28-1)</f>
        <v>0.15936694884063329</v>
      </c>
      <c r="AQ31" s="38">
        <f t="shared" ref="AQ31" si="344">+IF(AP28&lt;0,1-AQ28/AP28,AQ28/AP28-1)</f>
        <v>-2.5396825396840628E-3</v>
      </c>
      <c r="AR31" s="38">
        <f t="shared" ref="AR31" si="345">+IF(AQ28&lt;0,1-AR28/AQ28,AR28/AQ28-1)</f>
        <v>-0.14258434118395846</v>
      </c>
      <c r="AS31" s="38">
        <f t="shared" ref="AS31" si="346">+IF(AR28&lt;0,1-AS28/AR28,AS28/AR28-1)</f>
        <v>6.3845582776541399E-2</v>
      </c>
      <c r="AT31" s="38">
        <f t="shared" ref="AT31" si="347">+IF(AS28&lt;0,1-AT28/AS28,AT28/AS28-1)</f>
        <v>0.887997208653172</v>
      </c>
      <c r="AU31" s="38">
        <f t="shared" ref="AU31" si="348">+IF(AT28&lt;0,1-AU28/AT28,AU28/AT28-1)</f>
        <v>0.15930511920162926</v>
      </c>
      <c r="AV31" s="38">
        <f t="shared" ref="AV31" si="349">+IF(AU28&lt;0,1-AV28/AU28,AV28/AU28-1)</f>
        <v>-0.19878845847282245</v>
      </c>
      <c r="AW31" s="38">
        <f t="shared" ref="AW31" si="350">+IF(AV28&lt;0,1-AW28/AV28,AW28/AV28-1)</f>
        <v>0.29546358933545624</v>
      </c>
      <c r="AX31" s="38">
        <f t="shared" ref="AX31" si="351">+IF(AW28&lt;0,1-AX28/AW28,AX28/AW28-1)</f>
        <v>0.21271694056212676</v>
      </c>
      <c r="AY31" s="38">
        <f t="shared" ref="AY31" si="352">+IF(AX28&lt;0,1-AY28/AX28,AY28/AX28-1)</f>
        <v>-0.24949341438703099</v>
      </c>
      <c r="AZ31" s="38">
        <f t="shared" ref="AZ31" si="353">+IF(AY28&lt;0,1-AZ28/AY28,AZ28/AY28-1)</f>
        <v>-6.3111711103614243E-2</v>
      </c>
      <c r="BA31" s="38">
        <f t="shared" ref="BA31" si="354">+IF(AZ28&lt;0,1-BA28/AZ28,BA28/AZ28-1)</f>
        <v>-4.5749279538903398E-2</v>
      </c>
      <c r="BB31" s="38">
        <f t="shared" ref="BB31" si="355">+IF(BA28&lt;0,1-BB28/BA28,BB28/BA28-1)</f>
        <v>-5.6625141562582915E-4</v>
      </c>
      <c r="BC31" s="38">
        <f t="shared" ref="BC31" si="356">+IF(BB28&lt;0,1-BC28/BB28,BC28/BB28-1)</f>
        <v>-0.21926345609065423</v>
      </c>
      <c r="BD31" s="38">
        <f t="shared" ref="BD31" si="357">+IF(BC28&lt;0,1-BD28/BC28,BD28/BC28-1)</f>
        <v>0.54233188195452553</v>
      </c>
      <c r="BE31" s="38">
        <f t="shared" ref="BE31" si="358">+IF(BD28&lt;0,1-BE28/BD28,BE28/BD28-1)</f>
        <v>-5.3481806775407037E-2</v>
      </c>
      <c r="BF31" s="38">
        <f t="shared" ref="BF31" si="359">+IF(BE28&lt;0,1-BF28/BE28,BF28/BE28-1)</f>
        <v>-9.594034797017359E-2</v>
      </c>
      <c r="BG31" s="38">
        <f t="shared" ref="BG31" si="360">+IF(BF28&lt;0,1-BG28/BF28,BG28/BF28-1)</f>
        <v>-5.9384164222874514E-2</v>
      </c>
      <c r="BH31" s="38">
        <f t="shared" ref="BH31" si="361">+IF(BG28&lt;0,1-BH28/BG28,BH28/BG28-1)</f>
        <v>-1.2665627435697657E-2</v>
      </c>
      <c r="BI31" s="38">
        <f t="shared" ref="BI31" si="362">+IF(BH28&lt;0,1-BI28/BH28,BI28/BH28-1)</f>
        <v>0.29800671008486557</v>
      </c>
      <c r="BJ31" s="38">
        <f t="shared" ref="BJ31" si="363">+IF(BI28&lt;0,1-BJ28/BI28,BJ28/BI28-1)</f>
        <v>0.32659267143074189</v>
      </c>
      <c r="BK31" s="38">
        <f t="shared" ref="BK31" si="364">+IF(BJ28&lt;0,1-BK28/BJ28,BK28/BJ28-1)</f>
        <v>-0.17914040114613261</v>
      </c>
      <c r="BL31" s="38">
        <f t="shared" ref="BL31" si="365">+IF(BK28&lt;0,1-BL28/BK28,BL28/BK28-1)</f>
        <v>-7.6096062552359567E-2</v>
      </c>
      <c r="BM31" s="38">
        <f t="shared" ref="BM31" si="366">+IF(BL28&lt;0,1-BM28/BL28,BM28/BL28-1)</f>
        <v>-2.1157624301019196E-3</v>
      </c>
      <c r="BN31" s="38">
        <f t="shared" ref="BN31" si="367">+IF(BM28&lt;0,1-BN28/BM28,BN28/BM28-1)</f>
        <v>-0.2433742238376515</v>
      </c>
      <c r="BO31" s="38">
        <f t="shared" ref="BO31" si="368">+IF(BN28&lt;0,1-BO28/BN28,BO28/BN28-1)</f>
        <v>0.35088070456365217</v>
      </c>
      <c r="BP31" s="38">
        <f t="shared" ref="BP31" si="369">+IF(BO28&lt;0,1-BP28/BO28,BP28/BO28-1)</f>
        <v>0.14728107867832096</v>
      </c>
      <c r="BQ31" s="38">
        <f t="shared" ref="BQ31" si="370">+IF(BP28&lt;0,1-BQ28/BP28,BQ28/BP28-1)</f>
        <v>-0.54165052305307992</v>
      </c>
      <c r="BR31" s="38">
        <f t="shared" ref="BR31" si="371">+IF(BQ28&lt;0,1-BR28/BQ28,BR28/BQ28-1)</f>
        <v>0.19188503803888679</v>
      </c>
      <c r="BS31" s="38">
        <f t="shared" ref="BS31" si="372">+IF(BR28&lt;0,1-BS28/BR28,BS28/BR28-1)</f>
        <v>-0.46312056737588925</v>
      </c>
      <c r="BT31" s="38">
        <f t="shared" ref="BT31" si="373">+IF(BS28&lt;0,1-BT28/BS28,BT28/BS28-1)</f>
        <v>0.37736679876706147</v>
      </c>
      <c r="BU31" s="38">
        <f t="shared" ref="BU31" si="374">+IF(BT28&lt;0,1-BU28/BT28,BU28/BT28-1)</f>
        <v>-0.65313299232736166</v>
      </c>
      <c r="BV31" s="38">
        <f t="shared" ref="BV31" si="375">+IF(BU28&lt;0,1-BV28/BU28,BV28/BU28-1)</f>
        <v>3.6737327188939917</v>
      </c>
      <c r="BW31" s="38">
        <f t="shared" ref="BW31" si="376">+IF(BV28&lt;0,1-BW28/BV28,BW28/BV28-1)</f>
        <v>-0.31985801617038223</v>
      </c>
      <c r="BX31" s="38">
        <f t="shared" ref="BX31" si="377">+IF(BW28&lt;0,1-BX28/BW28,BX28/BW28-1)</f>
        <v>-0.33458973615540677</v>
      </c>
      <c r="BY31" s="38">
        <f t="shared" ref="BY31" si="378">+IF(BX28&lt;0,1-BY28/BX28,BY28/BX28-1)</f>
        <v>1.1298474945533736</v>
      </c>
      <c r="BZ31" s="38">
        <f t="shared" ref="BZ31" si="379">+IF(BY28&lt;0,1-BZ28/BY28,BZ28/BY28-1)</f>
        <v>4.9099836333878377E-2</v>
      </c>
      <c r="CA31" s="38">
        <f t="shared" ref="CA31" si="380">+IF(BZ28&lt;0,1-CA28/BZ28,CA28/BZ28-1)</f>
        <v>-0.22055382215288555</v>
      </c>
      <c r="CB31" s="38">
        <f t="shared" ref="CB31" si="381">+IF(CA28&lt;0,1-CB28/CA28,CB28/CA28-1)</f>
        <v>0.14460845634225583</v>
      </c>
      <c r="CC31" s="38">
        <f t="shared" ref="CC31" si="382">+IF(CB28&lt;0,1-CC28/CB28,CC28/CB28-1)</f>
        <v>0.26163934426229574</v>
      </c>
      <c r="CD31" s="38">
        <f t="shared" ref="CD31" si="383">+IF(CC28&lt;0,1-CD28/CC28,CD28/CC28-1)</f>
        <v>-0.28880803880803996</v>
      </c>
      <c r="CE31" s="38">
        <f t="shared" ref="CE31" si="384">+IF(CD28&lt;0,1-CE28/CD28,CE28/CD28-1)</f>
        <v>-0.22143727161997251</v>
      </c>
      <c r="CF31" s="38">
        <f t="shared" ref="CF31" si="385">+IF(CE28&lt;0,1-CF28/CE28,CF28/CE28-1)</f>
        <v>-0.43429286608260542</v>
      </c>
      <c r="CG31" s="38">
        <f t="shared" ref="CG31" si="386">+IF(CF28&lt;0,1-CG28/CF28,CG28/CF28-1)</f>
        <v>0.4513274336283204</v>
      </c>
      <c r="CH31" s="38">
        <f t="shared" ref="CH31:CI31" si="387">+IF(CG28&lt;0,1-CH28/CG28,CH28/CG28-1)</f>
        <v>0.47599085365853666</v>
      </c>
      <c r="CI31" s="38">
        <f t="shared" si="387"/>
        <v>9.9664342886649937E-2</v>
      </c>
      <c r="CJ31" s="38">
        <f>+IF(CI28&gt;1,CJ28/CI28-1,1-CJ28/CI28)</f>
        <v>0.30265320497769288</v>
      </c>
      <c r="CK31" s="38">
        <f>+IF(CJ28&gt;1,CK28/CJ28-1,1-CK28/CJ28)</f>
        <v>-2.6315789473682405E-2</v>
      </c>
      <c r="CL31" s="38">
        <f>+IF(CK28&gt;1,CL28/CK28-1,1-CL28/CK28)</f>
        <v>-0.26027397260273921</v>
      </c>
      <c r="CM31" s="39">
        <f t="shared" ref="CM31" si="388">+CM28/CL28-1</f>
        <v>0.1665129130407319</v>
      </c>
      <c r="CN31" s="39">
        <f t="shared" ref="CN31" si="389">+CN28/CM28-1</f>
        <v>5.3164875895800767E-2</v>
      </c>
      <c r="CO31" s="39">
        <f t="shared" ref="CO31" si="390">+CO28/CN28-1</f>
        <v>-2.5065182810056541E-2</v>
      </c>
      <c r="CP31" s="39">
        <f t="shared" ref="CP31" si="391">+CP28/CO28-1</f>
        <v>-4.7939466197887803E-2</v>
      </c>
      <c r="CQ31" s="39">
        <f t="shared" ref="CQ31" si="392">+CQ28/CP28-1</f>
        <v>8.5124159066369831E-3</v>
      </c>
      <c r="CR31" s="39">
        <f t="shared" ref="CR31" si="393">+CR28/CQ28-1</f>
        <v>2.7802262164332348E-2</v>
      </c>
      <c r="CS31" s="39">
        <f t="shared" ref="CS31" si="394">+CS28/CR28-1</f>
        <v>-2.6057422221010818E-3</v>
      </c>
      <c r="CT31" s="39">
        <f t="shared" ref="CT31" si="395">+CT28/CS28-1</f>
        <v>-2.0397380018222777E-2</v>
      </c>
      <c r="CU31" s="39">
        <f t="shared" ref="CU31" si="396">+CU28/CT28-1</f>
        <v>-1.8257759794435779E-2</v>
      </c>
      <c r="CV31" s="39">
        <f t="shared" ref="CV31" si="397">+CV28/CU28-1</f>
        <v>2.7803291786981932E-2</v>
      </c>
      <c r="CW31" s="39">
        <f t="shared" ref="CW31" si="398">+CW28/CV28-1</f>
        <v>3.6285001920135507E-3</v>
      </c>
      <c r="CX31" s="39">
        <f t="shared" ref="CX31" si="399">+CX28/CW28-1</f>
        <v>-1.8465098406072578E-2</v>
      </c>
      <c r="CY31" s="39">
        <f t="shared" ref="CY31" si="400">+CY28/CX28-1</f>
        <v>-2.2766551941447055E-2</v>
      </c>
      <c r="CZ31" s="39">
        <f t="shared" ref="CZ31" si="401">+CZ28/CY28-1</f>
        <v>2.873192229341881E-2</v>
      </c>
      <c r="DA31" s="39">
        <f t="shared" ref="DA31" si="402">+DA28/CZ28-1</f>
        <v>4.7628155499643832E-3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19.819700000000001</v>
      </c>
      <c r="E32" s="22">
        <f>'Annual Raw'!F27</f>
        <v>21.509799999999998</v>
      </c>
      <c r="F32" s="22">
        <f>'Annual Raw'!G27</f>
        <v>22.0886</v>
      </c>
      <c r="G32" s="22">
        <f>'Annual Raw'!H27</f>
        <v>24.936</v>
      </c>
      <c r="H32" s="22">
        <f>'Annual Raw'!I27</f>
        <v>23.059000000000001</v>
      </c>
      <c r="I32" s="22">
        <f>'Annual Raw'!J27</f>
        <v>28.8597</v>
      </c>
      <c r="J32" s="22">
        <f>'Annual Raw'!K27</f>
        <v>28.616399999999999</v>
      </c>
      <c r="K32" s="22">
        <f>'Annual Raw'!L27</f>
        <v>31.146699999999999</v>
      </c>
      <c r="L32" s="22">
        <f>'Annual Raw'!M27</f>
        <v>32.396700000000003</v>
      </c>
      <c r="M32" s="22">
        <f>'Annual Raw'!N27</f>
        <v>32.0456</v>
      </c>
      <c r="N32" s="22">
        <f>'Annual Raw'!O27</f>
        <v>35.652799999999999</v>
      </c>
      <c r="O32" s="22">
        <f>'Annual Raw'!P27</f>
        <v>42.017400000000002</v>
      </c>
      <c r="P32" s="22">
        <f>'Annual Raw'!Q27</f>
        <v>43.857799999999997</v>
      </c>
      <c r="Q32" s="22">
        <f>'Annual Raw'!R27</f>
        <v>90.530100000000004</v>
      </c>
      <c r="R32" s="22">
        <f>'Annual Raw'!S27</f>
        <v>92.757800000000003</v>
      </c>
      <c r="S32" s="22">
        <f>'Annual Raw'!T27</f>
        <v>85.245900000000006</v>
      </c>
      <c r="T32" s="22">
        <f>'Annual Raw'!U27</f>
        <v>85.363</v>
      </c>
      <c r="U32" s="22">
        <f>'Annual Raw'!V27</f>
        <v>86.93</v>
      </c>
      <c r="V32" s="22">
        <f>'Annual Raw'!W27</f>
        <v>97.93</v>
      </c>
      <c r="W32" s="22">
        <f>'Annual Raw'!X27</f>
        <v>92.16</v>
      </c>
      <c r="X32" s="22">
        <f>'Annual Raw'!Y27</f>
        <v>86.05</v>
      </c>
      <c r="Y32" s="22">
        <f>'Annual Raw'!Z27</f>
        <v>49.15</v>
      </c>
      <c r="Z32" s="22">
        <f>'Annual Raw'!AA27</f>
        <v>47.48</v>
      </c>
      <c r="AA32" s="22">
        <f>'Annual Raw'!AB27</f>
        <v>52.16</v>
      </c>
      <c r="AB32" s="75">
        <f>+SUM(CL32:CO32)</f>
        <v>94.04</v>
      </c>
      <c r="AC32" s="75">
        <f>+SUM(CP32:CS32)</f>
        <v>94.04</v>
      </c>
      <c r="AD32" s="75">
        <f>+SUM(CT32:CW32)</f>
        <v>94.04</v>
      </c>
      <c r="AE32" s="75">
        <f>+SUM(CX32:DA32)</f>
        <v>94.04</v>
      </c>
      <c r="AI32" s="22">
        <f>'QTR Raw'!C28</f>
        <v>8.64</v>
      </c>
      <c r="AJ32" s="22">
        <f>'QTR Raw'!D28</f>
        <v>8.74</v>
      </c>
      <c r="AK32" s="22">
        <f>'QTR Raw'!E28</f>
        <v>9.82</v>
      </c>
      <c r="AL32" s="22">
        <f>'QTR Raw'!F28</f>
        <v>10.26</v>
      </c>
      <c r="AM32" s="22">
        <f>'QTR Raw'!G28</f>
        <v>10.39</v>
      </c>
      <c r="AN32" s="22">
        <f>'QTR Raw'!H28</f>
        <v>10.6</v>
      </c>
      <c r="AO32" s="22">
        <f>'QTR Raw'!I28</f>
        <v>10.77</v>
      </c>
      <c r="AP32" s="22">
        <f>'QTR Raw'!J28</f>
        <v>10.93</v>
      </c>
      <c r="AQ32" s="22">
        <f>'QTR Raw'!K28</f>
        <v>10.91</v>
      </c>
      <c r="AR32" s="22">
        <f>'QTR Raw'!L28</f>
        <v>10.82</v>
      </c>
      <c r="AS32" s="22">
        <f>'QTR Raw'!M28</f>
        <v>11.2</v>
      </c>
      <c r="AT32" s="22">
        <f>'QTR Raw'!N28</f>
        <v>19.91</v>
      </c>
      <c r="AU32" s="22">
        <f>'QTR Raw'!O28</f>
        <v>23.7</v>
      </c>
      <c r="AV32" s="22">
        <f>'QTR Raw'!P28</f>
        <v>23.67</v>
      </c>
      <c r="AW32" s="22">
        <f>'QTR Raw'!Q28</f>
        <v>23.25</v>
      </c>
      <c r="AX32" s="22">
        <f>'QTR Raw'!R28</f>
        <v>23.18</v>
      </c>
      <c r="AY32" s="22">
        <f>'QTR Raw'!S28</f>
        <v>22.97</v>
      </c>
      <c r="AZ32" s="22">
        <f>'QTR Raw'!T28</f>
        <v>23.06</v>
      </c>
      <c r="BA32" s="22">
        <f>'QTR Raw'!U28</f>
        <v>21.77</v>
      </c>
      <c r="BB32" s="22">
        <f>'QTR Raw'!V28</f>
        <v>20.63</v>
      </c>
      <c r="BC32" s="22">
        <f>'QTR Raw'!W28</f>
        <v>22.1</v>
      </c>
      <c r="BD32" s="22">
        <f>'QTR Raw'!X28</f>
        <v>21.36</v>
      </c>
      <c r="BE32" s="22">
        <f>'QTR Raw'!Y28</f>
        <v>21.16</v>
      </c>
      <c r="BF32" s="22">
        <f>'QTR Raw'!Z28</f>
        <v>20.02</v>
      </c>
      <c r="BG32" s="22">
        <f>'QTR Raw'!AA28</f>
        <v>20.72</v>
      </c>
      <c r="BH32" s="22">
        <f>'QTR Raw'!AB28</f>
        <v>22.59</v>
      </c>
      <c r="BI32" s="22">
        <f>'QTR Raw'!AC28</f>
        <v>22.03</v>
      </c>
      <c r="BJ32" s="22">
        <f>'QTR Raw'!AD28</f>
        <v>21.6</v>
      </c>
      <c r="BK32" s="22">
        <f>'QTR Raw'!AE28</f>
        <v>21.44</v>
      </c>
      <c r="BL32" s="22">
        <f>'QTR Raw'!AF28</f>
        <v>21.86</v>
      </c>
      <c r="BM32" s="22">
        <f>'QTR Raw'!AG28</f>
        <v>22.03</v>
      </c>
      <c r="BN32" s="22">
        <f>'QTR Raw'!AH28</f>
        <v>24.81</v>
      </c>
      <c r="BO32" s="22">
        <f>'QTR Raw'!AI28</f>
        <v>24.74</v>
      </c>
      <c r="BP32" s="22">
        <f>'QTR Raw'!AJ28</f>
        <v>24.54</v>
      </c>
      <c r="BQ32" s="22">
        <f>'QTR Raw'!AK28</f>
        <v>23.84</v>
      </c>
      <c r="BR32" s="22">
        <f>'QTR Raw'!AL28</f>
        <v>23</v>
      </c>
      <c r="BS32" s="22">
        <f>'QTR Raw'!AM28</f>
        <v>23.53</v>
      </c>
      <c r="BT32" s="22">
        <f>'QTR Raw'!AN28</f>
        <v>23.04</v>
      </c>
      <c r="BU32" s="22">
        <f>'QTR Raw'!AO28</f>
        <v>22.59</v>
      </c>
      <c r="BV32" s="22">
        <f>'QTR Raw'!AP28</f>
        <v>22.09</v>
      </c>
      <c r="BW32" s="22">
        <f>'QTR Raw'!AQ28</f>
        <v>21.95</v>
      </c>
      <c r="BX32" s="22">
        <f>'QTR Raw'!AR28</f>
        <v>21.03</v>
      </c>
      <c r="BY32" s="22">
        <f>'QTR Raw'!AS28</f>
        <v>20.98</v>
      </c>
      <c r="BZ32" s="22">
        <f>'QTR Raw'!AT28</f>
        <v>15.59</v>
      </c>
      <c r="CA32" s="22">
        <f>'QTR Raw'!AU28</f>
        <v>11.55</v>
      </c>
      <c r="CB32" s="22">
        <f>'QTR Raw'!AV28</f>
        <v>10.83</v>
      </c>
      <c r="CC32" s="22">
        <f>'QTR Raw'!AW28</f>
        <v>11.18</v>
      </c>
      <c r="CD32" s="22">
        <f>'QTR Raw'!AX28</f>
        <v>9.52</v>
      </c>
      <c r="CE32" s="22">
        <f>'QTR Raw'!AY28</f>
        <v>11.95</v>
      </c>
      <c r="CF32" s="22">
        <f>'QTR Raw'!AZ28</f>
        <v>12.19</v>
      </c>
      <c r="CG32" s="22">
        <f>'QTR Raw'!BA28</f>
        <v>13.82</v>
      </c>
      <c r="CH32" s="22">
        <f>'QTR Raw'!BB28</f>
        <v>12.68</v>
      </c>
      <c r="CI32" s="22">
        <f>'QTR Raw'!BC28</f>
        <v>13.09</v>
      </c>
      <c r="CJ32" s="22">
        <f>'QTR Raw'!BD28</f>
        <v>12.81</v>
      </c>
      <c r="CK32" s="22">
        <f>'QTR Raw'!BE28</f>
        <v>13.58</v>
      </c>
      <c r="CL32" s="22">
        <f>'QTR Raw'!BF28</f>
        <v>23.51</v>
      </c>
      <c r="CM32" s="23">
        <f t="shared" ref="CM32:DA32" si="403">CM33*CL134</f>
        <v>23.51</v>
      </c>
      <c r="CN32" s="23">
        <f t="shared" si="403"/>
        <v>23.51</v>
      </c>
      <c r="CO32" s="23">
        <f t="shared" si="403"/>
        <v>23.51</v>
      </c>
      <c r="CP32" s="23">
        <f t="shared" si="403"/>
        <v>23.51</v>
      </c>
      <c r="CQ32" s="23">
        <f t="shared" si="403"/>
        <v>23.51</v>
      </c>
      <c r="CR32" s="23">
        <f t="shared" si="403"/>
        <v>23.51</v>
      </c>
      <c r="CS32" s="23">
        <f t="shared" si="403"/>
        <v>23.51</v>
      </c>
      <c r="CT32" s="23">
        <f t="shared" si="403"/>
        <v>23.51</v>
      </c>
      <c r="CU32" s="23">
        <f t="shared" si="403"/>
        <v>23.51</v>
      </c>
      <c r="CV32" s="23">
        <f t="shared" si="403"/>
        <v>23.51</v>
      </c>
      <c r="CW32" s="23">
        <f t="shared" si="403"/>
        <v>23.51</v>
      </c>
      <c r="CX32" s="23">
        <f t="shared" si="403"/>
        <v>23.51</v>
      </c>
      <c r="CY32" s="23">
        <f t="shared" si="403"/>
        <v>23.51</v>
      </c>
      <c r="CZ32" s="23">
        <f t="shared" si="403"/>
        <v>23.51</v>
      </c>
      <c r="DA32" s="23">
        <f t="shared" si="403"/>
        <v>23.51</v>
      </c>
      <c r="DD32" s="122"/>
      <c r="DE32" s="22">
        <v>52.16</v>
      </c>
    </row>
    <row r="33" spans="1:109" s="45" customFormat="1" x14ac:dyDescent="0.2">
      <c r="A33" s="45" t="s">
        <v>483</v>
      </c>
      <c r="B33" s="45" t="e">
        <f t="shared" ref="B33:D33" si="404">+B32/B134</f>
        <v>#DIV/0!</v>
      </c>
      <c r="C33" s="45" t="e">
        <f t="shared" si="404"/>
        <v>#DIV/0!</v>
      </c>
      <c r="D33" s="45">
        <f t="shared" si="404"/>
        <v>0.18376399228216639</v>
      </c>
      <c r="E33" s="45">
        <f t="shared" ref="E33:AE33" si="405">+E32/E134</f>
        <v>0.19669789537696206</v>
      </c>
      <c r="F33" s="45">
        <f t="shared" si="405"/>
        <v>0.16511396874969633</v>
      </c>
      <c r="G33" s="45">
        <f t="shared" si="405"/>
        <v>0.21377702754256717</v>
      </c>
      <c r="H33" s="45">
        <f t="shared" si="405"/>
        <v>0.20950804360427616</v>
      </c>
      <c r="I33" s="45">
        <f t="shared" si="405"/>
        <v>0.16230630318525216</v>
      </c>
      <c r="J33" s="45">
        <f t="shared" si="405"/>
        <v>0.17485381188935531</v>
      </c>
      <c r="K33" s="45">
        <f t="shared" si="405"/>
        <v>0.15668591533637216</v>
      </c>
      <c r="L33" s="45">
        <f t="shared" si="405"/>
        <v>0.18481151013800096</v>
      </c>
      <c r="M33" s="45">
        <f t="shared" si="405"/>
        <v>0.184248155684333</v>
      </c>
      <c r="N33" s="45">
        <f t="shared" si="405"/>
        <v>0.17021105946034204</v>
      </c>
      <c r="O33" s="45">
        <f t="shared" si="405"/>
        <v>0.21037173814758267</v>
      </c>
      <c r="P33" s="45">
        <f t="shared" si="405"/>
        <v>0.17929449432818834</v>
      </c>
      <c r="Q33" s="45">
        <f t="shared" si="405"/>
        <v>0.17481010927695545</v>
      </c>
      <c r="R33" s="45">
        <f t="shared" si="405"/>
        <v>0.20389399283188786</v>
      </c>
      <c r="S33" s="45">
        <f t="shared" si="405"/>
        <v>0.19936522800293552</v>
      </c>
      <c r="T33" s="45">
        <f t="shared" si="405"/>
        <v>0.18504263786611891</v>
      </c>
      <c r="U33" s="45">
        <f t="shared" si="405"/>
        <v>0.20213928612951981</v>
      </c>
      <c r="V33" s="45">
        <f t="shared" si="405"/>
        <v>0.19654002849860516</v>
      </c>
      <c r="W33" s="45">
        <f t="shared" si="405"/>
        <v>0.19416821169728637</v>
      </c>
      <c r="X33" s="45">
        <f t="shared" si="405"/>
        <v>0.20664233226069834</v>
      </c>
      <c r="Y33" s="45">
        <f t="shared" si="405"/>
        <v>0.11679022906567815</v>
      </c>
      <c r="Z33" s="45">
        <f t="shared" si="405"/>
        <v>8.871118418594226E-2</v>
      </c>
      <c r="AA33" s="45">
        <f t="shared" ref="AA33" si="406">+AA32/AA134</f>
        <v>9.6269910116092358E-2</v>
      </c>
      <c r="AB33" s="109">
        <f t="shared" si="405"/>
        <v>0.16860600627521291</v>
      </c>
      <c r="AC33" s="109">
        <f t="shared" si="405"/>
        <v>0.16860600627521291</v>
      </c>
      <c r="AD33" s="109">
        <f t="shared" si="405"/>
        <v>0.16860600627521291</v>
      </c>
      <c r="AE33" s="109">
        <f t="shared" si="405"/>
        <v>0.16860600627521291</v>
      </c>
      <c r="AI33" s="45" t="e">
        <f t="shared" ref="AI33:BN33" si="407">+AI32/AH134</f>
        <v>#DIV/0!</v>
      </c>
      <c r="AJ33" s="45">
        <f t="shared" si="407"/>
        <v>4.7319978343259343E-2</v>
      </c>
      <c r="AK33" s="45">
        <f t="shared" si="407"/>
        <v>5.31672983216026E-2</v>
      </c>
      <c r="AL33" s="45">
        <f t="shared" si="407"/>
        <v>4.5023696682464455E-2</v>
      </c>
      <c r="AM33" s="45">
        <f t="shared" si="407"/>
        <v>4.5594172371423561E-2</v>
      </c>
      <c r="AN33" s="45">
        <f t="shared" si="407"/>
        <v>4.6792919260142139E-2</v>
      </c>
      <c r="AO33" s="45">
        <f t="shared" si="407"/>
        <v>4.7543371738842537E-2</v>
      </c>
      <c r="AP33" s="45">
        <f t="shared" si="407"/>
        <v>4.8962953008108233E-2</v>
      </c>
      <c r="AQ33" s="45">
        <f t="shared" si="407"/>
        <v>4.887335931550419E-2</v>
      </c>
      <c r="AR33" s="45">
        <f t="shared" si="407"/>
        <v>4.5575165325807673E-2</v>
      </c>
      <c r="AS33" s="45">
        <f t="shared" si="407"/>
        <v>4.7175771871446018E-2</v>
      </c>
      <c r="AT33" s="45">
        <f t="shared" si="407"/>
        <v>7.6091110601543985E-2</v>
      </c>
      <c r="AU33" s="45">
        <f t="shared" si="407"/>
        <v>9.0575556065122673E-2</v>
      </c>
      <c r="AV33" s="45">
        <f t="shared" si="407"/>
        <v>4.1606609245913168E-2</v>
      </c>
      <c r="AW33" s="45">
        <f t="shared" si="407"/>
        <v>4.0868342415187206E-2</v>
      </c>
      <c r="AX33" s="45">
        <f t="shared" si="407"/>
        <v>4.3624729462689374E-2</v>
      </c>
      <c r="AY33" s="45">
        <f t="shared" si="407"/>
        <v>4.3229509739343176E-2</v>
      </c>
      <c r="AZ33" s="45">
        <f t="shared" si="407"/>
        <v>4.6634848729978966E-2</v>
      </c>
      <c r="BA33" s="45">
        <f t="shared" si="407"/>
        <v>4.4026047565118909E-2</v>
      </c>
      <c r="BB33" s="45">
        <f t="shared" si="407"/>
        <v>4.4971007542398744E-2</v>
      </c>
      <c r="BC33" s="45">
        <f t="shared" si="407"/>
        <v>4.8175437066748053E-2</v>
      </c>
      <c r="BD33" s="45">
        <f t="shared" si="407"/>
        <v>4.7069193477302776E-2</v>
      </c>
      <c r="BE33" s="45">
        <f t="shared" si="407"/>
        <v>4.6628470691934772E-2</v>
      </c>
      <c r="BF33" s="45">
        <f t="shared" si="407"/>
        <v>4.57830223197951E-2</v>
      </c>
      <c r="BG33" s="45">
        <f t="shared" si="407"/>
        <v>4.7383827296011712E-2</v>
      </c>
      <c r="BH33" s="45">
        <f t="shared" si="407"/>
        <v>4.3003179075212734E-2</v>
      </c>
      <c r="BI33" s="45">
        <f t="shared" si="407"/>
        <v>4.1937141878129108E-2</v>
      </c>
      <c r="BJ33" s="45">
        <f t="shared" si="407"/>
        <v>4.1721393803600404E-2</v>
      </c>
      <c r="BK33" s="45">
        <f t="shared" si="407"/>
        <v>4.1412346442092254E-2</v>
      </c>
      <c r="BL33" s="45">
        <f t="shared" si="407"/>
        <v>4.5180224867724869E-2</v>
      </c>
      <c r="BM33" s="45">
        <f t="shared" si="407"/>
        <v>4.553158068783069E-2</v>
      </c>
      <c r="BN33" s="45">
        <f t="shared" si="407"/>
        <v>5.1002158495220475E-2</v>
      </c>
      <c r="BO33" s="45">
        <f t="shared" ref="BO33:CL33" si="408">+BO32/BN134</f>
        <v>5.0858258813855479E-2</v>
      </c>
      <c r="BP33" s="45">
        <f t="shared" si="408"/>
        <v>4.6875E-2</v>
      </c>
      <c r="BQ33" s="45">
        <f t="shared" si="408"/>
        <v>4.5537897310513449E-2</v>
      </c>
      <c r="BR33" s="45">
        <f t="shared" si="408"/>
        <v>4.7709923664122141E-2</v>
      </c>
      <c r="BS33" s="45">
        <f t="shared" si="408"/>
        <v>4.8809326252904087E-2</v>
      </c>
      <c r="BT33" s="45">
        <f t="shared" si="408"/>
        <v>5.132546224103364E-2</v>
      </c>
      <c r="BU33" s="45">
        <f t="shared" si="408"/>
        <v>5.0323011806638451E-2</v>
      </c>
      <c r="BV33" s="45">
        <f t="shared" si="408"/>
        <v>4.9272840827980016E-2</v>
      </c>
      <c r="BW33" s="45">
        <f t="shared" si="408"/>
        <v>4.8960563882940754E-2</v>
      </c>
      <c r="BX33" s="45">
        <f t="shared" si="408"/>
        <v>4.381158725859878E-2</v>
      </c>
      <c r="BY33" s="45">
        <f t="shared" si="408"/>
        <v>4.3707422762025792E-2</v>
      </c>
      <c r="BZ33" s="45">
        <f t="shared" si="408"/>
        <v>3.7653366824461403E-2</v>
      </c>
      <c r="CA33" s="45">
        <f t="shared" si="408"/>
        <v>2.789585547290117E-2</v>
      </c>
      <c r="CB33" s="45">
        <f t="shared" si="408"/>
        <v>2.602489546787139E-2</v>
      </c>
      <c r="CC33" s="45">
        <f t="shared" si="408"/>
        <v>2.6865958571634548E-2</v>
      </c>
      <c r="CD33" s="45">
        <f t="shared" si="408"/>
        <v>2.3137121469887716E-2</v>
      </c>
      <c r="CE33" s="45">
        <f t="shared" si="408"/>
        <v>2.9042920332474603E-2</v>
      </c>
      <c r="CF33" s="45">
        <f>+CF32/CE131</f>
        <v>2.3465773465773464E-2</v>
      </c>
      <c r="CG33" s="45">
        <f t="shared" si="408"/>
        <v>2.6603526603526603E-2</v>
      </c>
      <c r="CH33" s="45">
        <f t="shared" si="408"/>
        <v>2.3691192406860739E-2</v>
      </c>
      <c r="CI33" s="45">
        <f t="shared" si="408"/>
        <v>2.4457232539890149E-2</v>
      </c>
      <c r="CJ33" s="45">
        <f t="shared" si="408"/>
        <v>2.2967279246974451E-2</v>
      </c>
      <c r="CK33" s="45">
        <f t="shared" si="408"/>
        <v>2.4347826086956521E-2</v>
      </c>
      <c r="CL33" s="45">
        <f t="shared" si="408"/>
        <v>4.2151501568803228E-2</v>
      </c>
      <c r="CM33" s="46">
        <f t="shared" ref="CM33" si="409">CL33</f>
        <v>4.2151501568803228E-2</v>
      </c>
      <c r="CN33" s="46">
        <f t="shared" ref="CN33" si="410">CM33</f>
        <v>4.2151501568803228E-2</v>
      </c>
      <c r="CO33" s="46">
        <f t="shared" ref="CO33" si="411">CN33</f>
        <v>4.2151501568803228E-2</v>
      </c>
      <c r="CP33" s="46">
        <f t="shared" ref="CP33" si="412">CO33</f>
        <v>4.2151501568803228E-2</v>
      </c>
      <c r="CQ33" s="46">
        <f t="shared" ref="CQ33" si="413">CP33</f>
        <v>4.2151501568803228E-2</v>
      </c>
      <c r="CR33" s="46">
        <f t="shared" ref="CR33" si="414">CQ33</f>
        <v>4.2151501568803228E-2</v>
      </c>
      <c r="CS33" s="46">
        <f t="shared" ref="CS33" si="415">CR33</f>
        <v>4.2151501568803228E-2</v>
      </c>
      <c r="CT33" s="46">
        <f t="shared" ref="CT33" si="416">CS33</f>
        <v>4.2151501568803228E-2</v>
      </c>
      <c r="CU33" s="46">
        <f t="shared" ref="CU33" si="417">CT33</f>
        <v>4.2151501568803228E-2</v>
      </c>
      <c r="CV33" s="46">
        <f t="shared" ref="CV33" si="418">CU33</f>
        <v>4.2151501568803228E-2</v>
      </c>
      <c r="CW33" s="46">
        <f t="shared" ref="CW33" si="419">CV33</f>
        <v>4.2151501568803228E-2</v>
      </c>
      <c r="CX33" s="46">
        <f t="shared" ref="CX33" si="420">CW33</f>
        <v>4.2151501568803228E-2</v>
      </c>
      <c r="CY33" s="46">
        <f t="shared" ref="CY33" si="421">CX33</f>
        <v>4.2151501568803228E-2</v>
      </c>
      <c r="CZ33" s="46">
        <f t="shared" ref="CZ33" si="422">CY33</f>
        <v>4.2151501568803228E-2</v>
      </c>
      <c r="DA33" s="46">
        <f t="shared" ref="DA33" si="423">CZ33</f>
        <v>4.2151501568803228E-2</v>
      </c>
      <c r="DD33" s="129"/>
      <c r="DE33" s="45">
        <v>9.3518601523980269E-2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24">C28-C32</f>
        <v>0</v>
      </c>
      <c r="D34" s="25">
        <f>D28-D32</f>
        <v>36.2624</v>
      </c>
      <c r="E34" s="25">
        <f t="shared" si="424"/>
        <v>34.758599999999959</v>
      </c>
      <c r="F34" s="25">
        <f t="shared" si="424"/>
        <v>28.760500000000022</v>
      </c>
      <c r="G34" s="25">
        <f t="shared" si="424"/>
        <v>29.739000000000082</v>
      </c>
      <c r="H34" s="25">
        <f t="shared" si="424"/>
        <v>31.952800000000007</v>
      </c>
      <c r="I34" s="25">
        <f t="shared" si="424"/>
        <v>26.989899999999981</v>
      </c>
      <c r="J34" s="25">
        <f t="shared" si="424"/>
        <v>20.55000000000004</v>
      </c>
      <c r="K34" s="25">
        <f t="shared" si="424"/>
        <v>40.065399999999968</v>
      </c>
      <c r="L34" s="25">
        <f t="shared" si="424"/>
        <v>35.741099999999996</v>
      </c>
      <c r="M34" s="25">
        <f t="shared" si="424"/>
        <v>54.66659999999991</v>
      </c>
      <c r="N34" s="25">
        <f t="shared" si="424"/>
        <v>54.766399999999933</v>
      </c>
      <c r="O34" s="25">
        <f t="shared" si="424"/>
        <v>73.191899999999976</v>
      </c>
      <c r="P34" s="25">
        <f t="shared" si="424"/>
        <v>75.940400000000096</v>
      </c>
      <c r="Q34" s="25">
        <f t="shared" si="424"/>
        <v>144.23349999999999</v>
      </c>
      <c r="R34" s="25">
        <f t="shared" si="424"/>
        <v>157.51039999999992</v>
      </c>
      <c r="S34" s="25">
        <f t="shared" si="424"/>
        <v>134.84429999999975</v>
      </c>
      <c r="T34" s="25">
        <f t="shared" si="424"/>
        <v>137.62410000000017</v>
      </c>
      <c r="U34" s="25">
        <f t="shared" ref="U34:Z34" si="425">U28-U32</f>
        <v>207.31999999999977</v>
      </c>
      <c r="V34" s="25">
        <f t="shared" si="425"/>
        <v>136.54999999999978</v>
      </c>
      <c r="W34" s="25">
        <f t="shared" si="425"/>
        <v>17.670000000000158</v>
      </c>
      <c r="X34" s="25">
        <f t="shared" si="425"/>
        <v>71.649999999999821</v>
      </c>
      <c r="Y34" s="25">
        <f t="shared" si="425"/>
        <v>143.87999999999974</v>
      </c>
      <c r="Z34" s="25">
        <f t="shared" si="425"/>
        <v>64.889999999999901</v>
      </c>
      <c r="AA34" s="25">
        <f t="shared" ref="AA34" si="426">AA28-AA32</f>
        <v>139.40999999999983</v>
      </c>
      <c r="AB34" s="26">
        <f t="shared" ref="AA34:AD34" si="427">AB28-AB32</f>
        <v>89.487505898072371</v>
      </c>
      <c r="AC34" s="26">
        <f t="shared" si="427"/>
        <v>91.824351456304115</v>
      </c>
      <c r="AD34" s="26">
        <f t="shared" si="427"/>
        <v>90.715234638167956</v>
      </c>
      <c r="AE34" s="26">
        <f t="shared" ref="AE34" si="428">AE28-AE32</f>
        <v>89.10959694987919</v>
      </c>
      <c r="AI34" s="25">
        <f t="shared" ref="AI34" si="429">AI28-AI32</f>
        <v>15.539999999999964</v>
      </c>
      <c r="AJ34" s="25">
        <f t="shared" ref="AJ34" si="430">AJ28-AJ32</f>
        <v>8.9599999999999671</v>
      </c>
      <c r="AK34" s="25">
        <f t="shared" ref="AK34:AM34" si="431">AK28-AK32</f>
        <v>14.000000000000021</v>
      </c>
      <c r="AL34" s="25">
        <f t="shared" si="431"/>
        <v>20.84999999999998</v>
      </c>
      <c r="AM34" s="25">
        <f t="shared" si="431"/>
        <v>20.720000000000027</v>
      </c>
      <c r="AN34" s="25">
        <f t="shared" ref="AN34:AO34" si="432">AN28-AN32</f>
        <v>14.329999999999993</v>
      </c>
      <c r="AO34" s="25">
        <f t="shared" si="432"/>
        <v>16.400000000000002</v>
      </c>
      <c r="AP34" s="25">
        <f t="shared" ref="AP34:CD34" si="433">AP28-AP32</f>
        <v>20.570000000000007</v>
      </c>
      <c r="AQ34" s="25">
        <f t="shared" si="433"/>
        <v>20.509999999999959</v>
      </c>
      <c r="AR34" s="25">
        <f t="shared" si="433"/>
        <v>16.11999999999999</v>
      </c>
      <c r="AS34" s="25">
        <f t="shared" si="433"/>
        <v>17.460000000000019</v>
      </c>
      <c r="AT34" s="25">
        <f t="shared" si="433"/>
        <v>34.199999999999946</v>
      </c>
      <c r="AU34" s="25">
        <f t="shared" si="433"/>
        <v>39.030000000000086</v>
      </c>
      <c r="AV34" s="25">
        <f t="shared" si="433"/>
        <v>26.589999999999918</v>
      </c>
      <c r="AW34" s="25">
        <f t="shared" si="433"/>
        <v>41.859999999999928</v>
      </c>
      <c r="AX34" s="25">
        <f t="shared" si="433"/>
        <v>55.77999999999998</v>
      </c>
      <c r="AY34" s="25">
        <f t="shared" si="433"/>
        <v>36.29000000000002</v>
      </c>
      <c r="AZ34" s="25">
        <f t="shared" si="433"/>
        <v>32.459999999999837</v>
      </c>
      <c r="BA34" s="25">
        <f t="shared" si="433"/>
        <v>31.209999999999933</v>
      </c>
      <c r="BB34" s="25">
        <f t="shared" si="433"/>
        <v>32.320000000000078</v>
      </c>
      <c r="BC34" s="25">
        <f t="shared" si="433"/>
        <v>19.239999999999917</v>
      </c>
      <c r="BD34" s="25">
        <f t="shared" si="433"/>
        <v>42.399999999999963</v>
      </c>
      <c r="BE34" s="25">
        <f t="shared" si="433"/>
        <v>39.190000000000012</v>
      </c>
      <c r="BF34" s="25">
        <f t="shared" si="433"/>
        <v>34.540000000000035</v>
      </c>
      <c r="BG34" s="25">
        <f t="shared" si="433"/>
        <v>30.599999999999994</v>
      </c>
      <c r="BH34" s="25">
        <f t="shared" si="433"/>
        <v>28.079999999999988</v>
      </c>
      <c r="BI34" s="25">
        <f t="shared" si="433"/>
        <v>43.740000000000123</v>
      </c>
      <c r="BJ34" s="25">
        <f t="shared" si="433"/>
        <v>65.650000000000063</v>
      </c>
      <c r="BK34" s="25">
        <f t="shared" si="433"/>
        <v>50.179999999999978</v>
      </c>
      <c r="BL34" s="25">
        <f t="shared" si="433"/>
        <v>44.309999999999988</v>
      </c>
      <c r="BM34" s="25">
        <f t="shared" si="433"/>
        <v>44.000000000000142</v>
      </c>
      <c r="BN34" s="25">
        <f t="shared" si="433"/>
        <v>25.149999999999981</v>
      </c>
      <c r="BO34" s="25">
        <f t="shared" si="433"/>
        <v>42.750000000000043</v>
      </c>
      <c r="BP34" s="25">
        <f t="shared" si="433"/>
        <v>52.889999999999922</v>
      </c>
      <c r="BQ34" s="25">
        <f t="shared" si="433"/>
        <v>11.649999999999981</v>
      </c>
      <c r="BR34" s="25">
        <f t="shared" si="433"/>
        <v>19.300000000000068</v>
      </c>
      <c r="BS34" s="25">
        <f t="shared" si="433"/>
        <v>-0.82000000000007844</v>
      </c>
      <c r="BT34" s="25">
        <f t="shared" si="433"/>
        <v>8.2399999999998599</v>
      </c>
      <c r="BU34" s="25">
        <f t="shared" si="433"/>
        <v>-11.73999999999992</v>
      </c>
      <c r="BV34" s="25">
        <f t="shared" si="433"/>
        <v>28.620000000000179</v>
      </c>
      <c r="BW34" s="25">
        <f t="shared" si="433"/>
        <v>12.540000000000038</v>
      </c>
      <c r="BX34" s="25">
        <f t="shared" si="433"/>
        <v>1.9200000000000443</v>
      </c>
      <c r="BY34" s="25">
        <f t="shared" si="433"/>
        <v>27.900000000000023</v>
      </c>
      <c r="BZ34" s="25">
        <f t="shared" si="433"/>
        <v>35.69</v>
      </c>
      <c r="CA34" s="25">
        <f t="shared" si="433"/>
        <v>28.420000000000027</v>
      </c>
      <c r="CB34" s="25">
        <f t="shared" si="433"/>
        <v>34.92</v>
      </c>
      <c r="CC34" s="25">
        <f t="shared" si="433"/>
        <v>46.540000000000028</v>
      </c>
      <c r="CD34" s="25">
        <f t="shared" si="433"/>
        <v>31.529999999999955</v>
      </c>
      <c r="CE34" s="25">
        <f t="shared" ref="CE34:CF34" si="434">CE28-CE32</f>
        <v>20.010000000000094</v>
      </c>
      <c r="CF34" s="25">
        <f t="shared" si="434"/>
        <v>5.8899999999999846</v>
      </c>
      <c r="CG34" s="25">
        <f t="shared" ref="CG34:CH34" si="435">CG28-CG32</f>
        <v>12.420000000000009</v>
      </c>
      <c r="CH34" s="25">
        <f t="shared" si="435"/>
        <v>26.050000000000018</v>
      </c>
      <c r="CI34" s="25">
        <f t="shared" ref="CI34:CJ34" si="436">CI28-CI32</f>
        <v>29.499999999999975</v>
      </c>
      <c r="CJ34" s="25">
        <f t="shared" si="436"/>
        <v>42.669999999999902</v>
      </c>
      <c r="CK34" s="25">
        <f t="shared" ref="CK34:CL34" si="437">CK28-CK32</f>
        <v>40.440000000000012</v>
      </c>
      <c r="CL34" s="25">
        <f t="shared" si="437"/>
        <v>16.450000000000035</v>
      </c>
      <c r="CM34" s="26">
        <f t="shared" ref="CM34:DA34" si="438">CM28-CM32</f>
        <v>23.103856005107691</v>
      </c>
      <c r="CN34" s="26">
        <f t="shared" si="438"/>
        <v>25.582075874643966</v>
      </c>
      <c r="CO34" s="26">
        <f t="shared" si="438"/>
        <v>24.35157401832085</v>
      </c>
      <c r="CP34" s="26">
        <f t="shared" si="438"/>
        <v>22.057115708491853</v>
      </c>
      <c r="CQ34" s="26">
        <f t="shared" si="438"/>
        <v>22.445001949068388</v>
      </c>
      <c r="CR34" s="26">
        <f t="shared" si="438"/>
        <v>23.722654961018794</v>
      </c>
      <c r="CS34" s="26">
        <f t="shared" si="438"/>
        <v>23.599578837724938</v>
      </c>
      <c r="CT34" s="26">
        <f t="shared" si="438"/>
        <v>22.638666855673439</v>
      </c>
      <c r="CU34" s="26">
        <f t="shared" si="438"/>
        <v>21.796095581389114</v>
      </c>
      <c r="CV34" s="26">
        <f t="shared" si="438"/>
        <v>23.055754176567365</v>
      </c>
      <c r="CW34" s="26">
        <f t="shared" si="438"/>
        <v>23.224718024538294</v>
      </c>
      <c r="CX34" s="26">
        <f t="shared" si="438"/>
        <v>22.36175685723514</v>
      </c>
      <c r="CY34" s="26">
        <f t="shared" si="438"/>
        <v>21.317415122099465</v>
      </c>
      <c r="CZ34" s="26">
        <f t="shared" si="438"/>
        <v>22.605392930002456</v>
      </c>
      <c r="DA34" s="26">
        <f t="shared" si="438"/>
        <v>22.825032040542187</v>
      </c>
      <c r="DD34" s="120"/>
      <c r="DE34" s="25">
        <v>138.65999999999971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3.4891000000000001</v>
      </c>
      <c r="E35" s="22">
        <f>'Annual Raw'!F23</f>
        <v>4.4457000000000004</v>
      </c>
      <c r="F35" s="22">
        <f>'Annual Raw'!G23</f>
        <v>5.6584000000000003</v>
      </c>
      <c r="G35" s="22">
        <f>'Annual Raw'!H23</f>
        <v>9.6563999999999997</v>
      </c>
      <c r="H35" s="22">
        <f>'Annual Raw'!I23</f>
        <v>11.476599999999999</v>
      </c>
      <c r="I35" s="22">
        <f>'Annual Raw'!J23</f>
        <v>11.821999999999999</v>
      </c>
      <c r="J35" s="22">
        <f>'Annual Raw'!K23</f>
        <v>11.733499999999999</v>
      </c>
      <c r="K35" s="22">
        <f>'Annual Raw'!L23</f>
        <v>10.6471</v>
      </c>
      <c r="L35" s="22">
        <f>'Annual Raw'!M23</f>
        <v>11.1257</v>
      </c>
      <c r="M35" s="22">
        <f>'Annual Raw'!N23</f>
        <v>8.3926999999999996</v>
      </c>
      <c r="N35" s="22">
        <f>'Annual Raw'!O23</f>
        <v>8.2586999999999993</v>
      </c>
      <c r="O35" s="22">
        <f>'Annual Raw'!P23</f>
        <v>4.9027000000000003</v>
      </c>
      <c r="P35" s="22">
        <f>'Annual Raw'!Q23</f>
        <v>9.2565000000000008</v>
      </c>
      <c r="Q35" s="22">
        <f>'Annual Raw'!R23</f>
        <v>14.238899999999999</v>
      </c>
      <c r="R35" s="22">
        <f>'Annual Raw'!S23</f>
        <v>17.564900000000002</v>
      </c>
      <c r="S35" s="22">
        <f>'Annual Raw'!T23</f>
        <v>13.5799</v>
      </c>
      <c r="T35" s="22">
        <f>'Annual Raw'!U23</f>
        <v>16.667400000000001</v>
      </c>
      <c r="U35" s="22">
        <f>'Annual Raw'!V23</f>
        <v>16.829999999999998</v>
      </c>
      <c r="V35" s="22">
        <f>'Annual Raw'!W23</f>
        <v>8.07</v>
      </c>
      <c r="W35" s="22">
        <f>'Annual Raw'!X23</f>
        <v>9.3699999999999992</v>
      </c>
      <c r="X35" s="22">
        <f>'Annual Raw'!Y23</f>
        <v>17.23</v>
      </c>
      <c r="Y35" s="22">
        <f>'Annual Raw'!Z23</f>
        <v>17.809999999999999</v>
      </c>
      <c r="Z35" s="22">
        <f>'Annual Raw'!AA23</f>
        <v>39.25</v>
      </c>
      <c r="AA35" s="22">
        <f>'Annual Raw'!AB23</f>
        <v>35.22</v>
      </c>
      <c r="AB35" s="75">
        <f t="shared" ref="AB35:AB36" si="439">+SUM(CL35:CO35)</f>
        <v>22.12</v>
      </c>
      <c r="AC35" s="75">
        <f t="shared" ref="AC35:AC36" si="440">+SUM(CP35:CS35)</f>
        <v>0</v>
      </c>
      <c r="AD35" s="75">
        <f t="shared" ref="AD35:AD36" si="441">+SUM(CT35:CW35)</f>
        <v>0</v>
      </c>
      <c r="AE35" s="75">
        <f t="shared" ref="AE35:AE36" si="442">+SUM(CX35:DA35)</f>
        <v>0</v>
      </c>
      <c r="AI35" s="22">
        <f>'QTR Raw'!C23</f>
        <v>2.59</v>
      </c>
      <c r="AJ35" s="22">
        <f>'QTR Raw'!D23</f>
        <v>1.78</v>
      </c>
      <c r="AK35" s="22">
        <f>'QTR Raw'!E23</f>
        <v>1.72</v>
      </c>
      <c r="AL35" s="22">
        <f>'QTR Raw'!F23</f>
        <v>1.69</v>
      </c>
      <c r="AM35" s="22">
        <f>'QTR Raw'!G23</f>
        <v>2.0099999999999998</v>
      </c>
      <c r="AN35" s="22">
        <f>'QTR Raw'!H23</f>
        <v>0.68</v>
      </c>
      <c r="AO35" s="22">
        <f>'QTR Raw'!I23</f>
        <v>0.77</v>
      </c>
      <c r="AP35" s="22">
        <f>'QTR Raw'!J23</f>
        <v>1.39</v>
      </c>
      <c r="AQ35" s="22">
        <f>'QTR Raw'!K23</f>
        <v>2.11</v>
      </c>
      <c r="AR35" s="22">
        <f>'QTR Raw'!L23</f>
        <v>2.5299999999999998</v>
      </c>
      <c r="AS35" s="22">
        <f>'QTR Raw'!M23</f>
        <v>3.75</v>
      </c>
      <c r="AT35" s="22">
        <f>'QTR Raw'!N23</f>
        <v>3.22</v>
      </c>
      <c r="AU35" s="22">
        <f>'QTR Raw'!O23</f>
        <v>2.99</v>
      </c>
      <c r="AV35" s="22">
        <f>'QTR Raw'!P23</f>
        <v>5.07</v>
      </c>
      <c r="AW35" s="22">
        <f>'QTR Raw'!Q23</f>
        <v>3.04</v>
      </c>
      <c r="AX35" s="22">
        <f>'QTR Raw'!R23</f>
        <v>4.1900000000000004</v>
      </c>
      <c r="AY35" s="22">
        <f>'QTR Raw'!S23</f>
        <v>4.22</v>
      </c>
      <c r="AZ35" s="22">
        <f>'QTR Raw'!T23</f>
        <v>4.42</v>
      </c>
      <c r="BA35" s="22">
        <f>'QTR Raw'!U23</f>
        <v>4.88</v>
      </c>
      <c r="BB35" s="22">
        <f>'QTR Raw'!V23</f>
        <v>5.51</v>
      </c>
      <c r="BC35" s="22">
        <f>'QTR Raw'!W23</f>
        <v>3.36</v>
      </c>
      <c r="BD35" s="22">
        <f>'QTR Raw'!X23</f>
        <v>1.69</v>
      </c>
      <c r="BE35" s="22">
        <f>'QTR Raw'!Y23</f>
        <v>3.03</v>
      </c>
      <c r="BF35" s="22">
        <f>'QTR Raw'!Z23</f>
        <v>5.39</v>
      </c>
      <c r="BG35" s="22">
        <f>'QTR Raw'!AA23</f>
        <v>2.9</v>
      </c>
      <c r="BH35" s="22">
        <f>'QTR Raw'!AB23</f>
        <v>3.56</v>
      </c>
      <c r="BI35" s="22">
        <f>'QTR Raw'!AC23</f>
        <v>3.91</v>
      </c>
      <c r="BJ35" s="22">
        <f>'QTR Raw'!AD23</f>
        <v>8.77</v>
      </c>
      <c r="BK35" s="22">
        <f>'QTR Raw'!AE23</f>
        <v>2.74</v>
      </c>
      <c r="BL35" s="22">
        <f>'QTR Raw'!AF23</f>
        <v>2.98</v>
      </c>
      <c r="BM35" s="22">
        <f>'QTR Raw'!AG23</f>
        <v>4.08</v>
      </c>
      <c r="BN35" s="22">
        <f>'QTR Raw'!AH23</f>
        <v>5.28</v>
      </c>
      <c r="BO35" s="22">
        <f>'QTR Raw'!AI23</f>
        <v>0.36</v>
      </c>
      <c r="BP35" s="22">
        <f>'QTR Raw'!AJ23</f>
        <v>2.88</v>
      </c>
      <c r="BQ35" s="22">
        <f>'QTR Raw'!AK23</f>
        <v>2.75</v>
      </c>
      <c r="BR35" s="22">
        <f>'QTR Raw'!AL23</f>
        <v>6.06</v>
      </c>
      <c r="BS35" s="22">
        <f>'QTR Raw'!AM23</f>
        <v>2.5</v>
      </c>
      <c r="BT35" s="22">
        <f>'QTR Raw'!AN23</f>
        <v>1.01</v>
      </c>
      <c r="BU35" s="22">
        <f>'QTR Raw'!AO23</f>
        <v>1.69</v>
      </c>
      <c r="BV35" s="22">
        <f>'QTR Raw'!AP23</f>
        <v>12.56</v>
      </c>
      <c r="BW35" s="22">
        <f>'QTR Raw'!AQ23</f>
        <v>5.84</v>
      </c>
      <c r="BX35" s="22">
        <f>'QTR Raw'!AR23</f>
        <v>2.11</v>
      </c>
      <c r="BY35" s="22">
        <f>'QTR Raw'!AS23</f>
        <v>-3.28</v>
      </c>
      <c r="BZ35" s="22">
        <f>'QTR Raw'!AT23</f>
        <v>6.28</v>
      </c>
      <c r="CA35" s="22">
        <f>'QTR Raw'!AU23</f>
        <v>2.12</v>
      </c>
      <c r="CB35" s="22">
        <f>'QTR Raw'!AV23</f>
        <v>3</v>
      </c>
      <c r="CC35" s="22">
        <f>'QTR Raw'!AW23</f>
        <v>4.07</v>
      </c>
      <c r="CD35" s="22">
        <f>'QTR Raw'!AX23</f>
        <v>8.32</v>
      </c>
      <c r="CE35" s="22">
        <f>'QTR Raw'!AY23</f>
        <v>6.32</v>
      </c>
      <c r="CF35" s="22">
        <f>'QTR Raw'!AZ23</f>
        <v>13.25</v>
      </c>
      <c r="CG35" s="22">
        <f>'QTR Raw'!BA23</f>
        <v>5.77</v>
      </c>
      <c r="CH35" s="22">
        <f>'QTR Raw'!BB23</f>
        <v>11.02</v>
      </c>
      <c r="CI35" s="22">
        <f>'QTR Raw'!BC23</f>
        <v>6.68</v>
      </c>
      <c r="CJ35" s="22">
        <f>'QTR Raw'!BD23</f>
        <v>9.4</v>
      </c>
      <c r="CK35" s="22">
        <f>'QTR Raw'!BE23</f>
        <v>8.1199999999999992</v>
      </c>
      <c r="CL35" s="22">
        <f>'QTR Raw'!BF23</f>
        <v>22.12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35.22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3.9830999999999999</v>
      </c>
      <c r="E36" s="22">
        <f>'Annual Raw'!F25</f>
        <v>1.2750999999999999</v>
      </c>
      <c r="F36" s="22">
        <f>'Annual Raw'!G25</f>
        <v>0.76959999999999995</v>
      </c>
      <c r="G36" s="22">
        <f>'Annual Raw'!H25</f>
        <v>0.70499999999999996</v>
      </c>
      <c r="H36" s="22">
        <f>'Annual Raw'!I25</f>
        <v>0.61150000000000004</v>
      </c>
      <c r="I36" s="22">
        <f>'Annual Raw'!J25</f>
        <v>1.8472999999999999</v>
      </c>
      <c r="J36" s="22">
        <f>'Annual Raw'!K25</f>
        <v>2.5177999999999998</v>
      </c>
      <c r="K36" s="22">
        <f>'Annual Raw'!L25</f>
        <v>1.1375999999999999</v>
      </c>
      <c r="L36" s="22">
        <f>'Annual Raw'!M25</f>
        <v>0.59699999999999998</v>
      </c>
      <c r="M36" s="22">
        <f>'Annual Raw'!N25</f>
        <v>0.59470000000000001</v>
      </c>
      <c r="N36" s="22">
        <f>'Annual Raw'!O25</f>
        <v>1.2959000000000001</v>
      </c>
      <c r="O36" s="22">
        <f>'Annual Raw'!P25</f>
        <v>4.3921999999999999</v>
      </c>
      <c r="P36" s="22">
        <f>'Annual Raw'!Q25</f>
        <v>3.8519000000000001</v>
      </c>
      <c r="Q36" s="22">
        <f>'Annual Raw'!R25</f>
        <v>42.846899999999998</v>
      </c>
      <c r="R36" s="22">
        <f>'Annual Raw'!S25</f>
        <v>39.191400000000002</v>
      </c>
      <c r="S36" s="22">
        <f>'Annual Raw'!T25</f>
        <v>33.453400000000002</v>
      </c>
      <c r="T36" s="22">
        <f>'Annual Raw'!U25</f>
        <v>40.716799999999999</v>
      </c>
      <c r="U36" s="22">
        <f>'Annual Raw'!V25</f>
        <v>22.57</v>
      </c>
      <c r="V36" s="22">
        <f>'Annual Raw'!W25</f>
        <v>27.03</v>
      </c>
      <c r="W36" s="22">
        <f>'Annual Raw'!X25</f>
        <v>27.63</v>
      </c>
      <c r="X36" s="22">
        <f>'Annual Raw'!Y25</f>
        <v>32.950000000000003</v>
      </c>
      <c r="Y36" s="22">
        <f>'Annual Raw'!Z25</f>
        <v>31.18</v>
      </c>
      <c r="Z36" s="22">
        <f>'Annual Raw'!AA25</f>
        <v>18.170000000000002</v>
      </c>
      <c r="AA36" s="22">
        <f>'Annual Raw'!AB25</f>
        <v>17.309999999999999</v>
      </c>
      <c r="AB36" s="75">
        <f t="shared" si="439"/>
        <v>-68.548743599588306</v>
      </c>
      <c r="AC36" s="75">
        <f t="shared" si="440"/>
        <v>-138.61988560461555</v>
      </c>
      <c r="AD36" s="75">
        <f t="shared" si="441"/>
        <v>-198.55659295425093</v>
      </c>
      <c r="AE36" s="75">
        <f t="shared" si="442"/>
        <v>-273.31788955670709</v>
      </c>
      <c r="AI36" s="22">
        <f>'QTR Raw'!C25</f>
        <v>0</v>
      </c>
      <c r="AJ36" s="22">
        <f>'QTR Raw'!D25</f>
        <v>0</v>
      </c>
      <c r="AK36" s="22">
        <f>'QTR Raw'!E25</f>
        <v>0.56999999999999995</v>
      </c>
      <c r="AL36" s="22">
        <f>'QTR Raw'!F25</f>
        <v>0.88</v>
      </c>
      <c r="AM36" s="22">
        <f>'QTR Raw'!G25</f>
        <v>0.95</v>
      </c>
      <c r="AN36" s="22">
        <f>'QTR Raw'!H25</f>
        <v>0.99</v>
      </c>
      <c r="AO36" s="22">
        <f>'QTR Raw'!I25</f>
        <v>0.93</v>
      </c>
      <c r="AP36" s="22">
        <f>'QTR Raw'!J25</f>
        <v>0.79</v>
      </c>
      <c r="AQ36" s="22">
        <f>'QTR Raw'!K25</f>
        <v>0.72</v>
      </c>
      <c r="AR36" s="22">
        <f>'QTR Raw'!L25</f>
        <v>0.7</v>
      </c>
      <c r="AS36" s="22">
        <f>'QTR Raw'!M25</f>
        <v>0.89</v>
      </c>
      <c r="AT36" s="22">
        <f>'QTR Raw'!N25</f>
        <v>8.61</v>
      </c>
      <c r="AU36" s="22">
        <f>'QTR Raw'!O25</f>
        <v>11.22</v>
      </c>
      <c r="AV36" s="22">
        <f>'QTR Raw'!P25</f>
        <v>10.62</v>
      </c>
      <c r="AW36" s="22">
        <f>'QTR Raw'!Q25</f>
        <v>9.93</v>
      </c>
      <c r="AX36" s="22">
        <f>'QTR Raw'!R25</f>
        <v>9.77</v>
      </c>
      <c r="AY36" s="22">
        <f>'QTR Raw'!S25</f>
        <v>8</v>
      </c>
      <c r="AZ36" s="22">
        <f>'QTR Raw'!T25</f>
        <v>7.79</v>
      </c>
      <c r="BA36" s="22">
        <f>'QTR Raw'!U25</f>
        <v>7.75</v>
      </c>
      <c r="BB36" s="22">
        <f>'QTR Raw'!V25</f>
        <v>8.5299999999999994</v>
      </c>
      <c r="BC36" s="22">
        <f>'QTR Raw'!W25</f>
        <v>8.48</v>
      </c>
      <c r="BD36" s="22">
        <f>'QTR Raw'!X25</f>
        <v>7.92</v>
      </c>
      <c r="BE36" s="22">
        <f>'QTR Raw'!Y25</f>
        <v>6.84</v>
      </c>
      <c r="BF36" s="22">
        <f>'QTR Raw'!Z25</f>
        <v>7.2</v>
      </c>
      <c r="BG36" s="22">
        <f>'QTR Raw'!AA25</f>
        <v>7.11</v>
      </c>
      <c r="BH36" s="22">
        <f>'QTR Raw'!AB25</f>
        <v>16.61</v>
      </c>
      <c r="BI36" s="22">
        <f>'QTR Raw'!AC25</f>
        <v>8.23</v>
      </c>
      <c r="BJ36" s="22">
        <f>'QTR Raw'!AD25</f>
        <v>6.8</v>
      </c>
      <c r="BK36" s="22">
        <f>'QTR Raw'!AE25</f>
        <v>6.87</v>
      </c>
      <c r="BL36" s="22">
        <f>'QTR Raw'!AF25</f>
        <v>8.1199999999999992</v>
      </c>
      <c r="BM36" s="22">
        <f>'QTR Raw'!AG25</f>
        <v>-0.66</v>
      </c>
      <c r="BN36" s="22">
        <f>'QTR Raw'!AH25</f>
        <v>6.25</v>
      </c>
      <c r="BO36" s="22">
        <f>'QTR Raw'!AI25</f>
        <v>7.07</v>
      </c>
      <c r="BP36" s="22">
        <f>'QTR Raw'!AJ25</f>
        <v>6.16</v>
      </c>
      <c r="BQ36" s="22">
        <f>'QTR Raw'!AK25</f>
        <v>6.64</v>
      </c>
      <c r="BR36" s="22">
        <f>'QTR Raw'!AL25</f>
        <v>5.5</v>
      </c>
      <c r="BS36" s="22">
        <f>'QTR Raw'!AM25</f>
        <v>6.29</v>
      </c>
      <c r="BT36" s="22">
        <f>'QTR Raw'!AN25</f>
        <v>6.98</v>
      </c>
      <c r="BU36" s="22">
        <f>'QTR Raw'!AO25</f>
        <v>8.06</v>
      </c>
      <c r="BV36" s="22">
        <f>'QTR Raw'!AP25</f>
        <v>7.23</v>
      </c>
      <c r="BW36" s="22">
        <f>'QTR Raw'!AQ25</f>
        <v>7.75</v>
      </c>
      <c r="BX36" s="22">
        <f>'QTR Raw'!AR25</f>
        <v>8.75</v>
      </c>
      <c r="BY36" s="22">
        <f>'QTR Raw'!AS25</f>
        <v>8.5500000000000007</v>
      </c>
      <c r="BZ36" s="22">
        <f>'QTR Raw'!AT25</f>
        <v>6.81</v>
      </c>
      <c r="CA36" s="22">
        <f>'QTR Raw'!AU25</f>
        <v>9.9499999999999993</v>
      </c>
      <c r="CB36" s="22">
        <f>'QTR Raw'!AV25</f>
        <v>7.52</v>
      </c>
      <c r="CC36" s="22">
        <f>'QTR Raw'!AW25</f>
        <v>6.24</v>
      </c>
      <c r="CD36" s="22">
        <f>'QTR Raw'!AX25</f>
        <v>4.7699999999999996</v>
      </c>
      <c r="CE36" s="22">
        <f>'QTR Raw'!AY25</f>
        <v>4.99</v>
      </c>
      <c r="CF36" s="22">
        <f>'QTR Raw'!AZ25</f>
        <v>4.82</v>
      </c>
      <c r="CG36" s="22">
        <f>'QTR Raw'!BA25</f>
        <v>2.96</v>
      </c>
      <c r="CH36" s="22">
        <f>'QTR Raw'!BB25</f>
        <v>3.02</v>
      </c>
      <c r="CI36" s="22">
        <f>'QTR Raw'!BC25</f>
        <v>3.06</v>
      </c>
      <c r="CJ36" s="22">
        <f>'QTR Raw'!BD25</f>
        <v>2.9</v>
      </c>
      <c r="CK36" s="22">
        <f>'QTR Raw'!BE25</f>
        <v>7.58</v>
      </c>
      <c r="CL36" s="22">
        <f>'QTR Raw'!BF25</f>
        <v>3.53</v>
      </c>
      <c r="CM36" s="23">
        <f t="shared" ref="CM36:DA36" si="443">CM37*CL168</f>
        <v>-21.137596454982667</v>
      </c>
      <c r="CN36" s="23">
        <f t="shared" si="443"/>
        <v>-24.487819990935815</v>
      </c>
      <c r="CO36" s="23">
        <f t="shared" si="443"/>
        <v>-26.453327153669818</v>
      </c>
      <c r="CP36" s="23">
        <f t="shared" si="443"/>
        <v>-29.26111366906008</v>
      </c>
      <c r="CQ36" s="23">
        <f t="shared" si="443"/>
        <v>-32.901449903018879</v>
      </c>
      <c r="CR36" s="23">
        <f t="shared" si="443"/>
        <v>-36.968917337065889</v>
      </c>
      <c r="CS36" s="23">
        <f t="shared" si="443"/>
        <v>-39.488404695470713</v>
      </c>
      <c r="CT36" s="23">
        <f t="shared" si="443"/>
        <v>-42.981768746426518</v>
      </c>
      <c r="CU36" s="23">
        <f t="shared" si="443"/>
        <v>-47.481388316104372</v>
      </c>
      <c r="CV36" s="23">
        <f t="shared" si="443"/>
        <v>-52.361490613680708</v>
      </c>
      <c r="CW36" s="23">
        <f t="shared" si="443"/>
        <v>-55.731945278039355</v>
      </c>
      <c r="CX36" s="23">
        <f t="shared" si="443"/>
        <v>-60.149809457664695</v>
      </c>
      <c r="CY36" s="23">
        <f t="shared" si="443"/>
        <v>-65.633044667622414</v>
      </c>
      <c r="CZ36" s="23">
        <f t="shared" si="443"/>
        <v>-71.534004099486253</v>
      </c>
      <c r="DA36" s="23">
        <f t="shared" si="443"/>
        <v>-76.001031331933717</v>
      </c>
      <c r="DD36" s="122"/>
      <c r="DE36" s="22">
        <v>16.560000000000002</v>
      </c>
    </row>
    <row r="37" spans="1:109" s="45" customFormat="1" x14ac:dyDescent="0.2">
      <c r="A37" s="45" t="s">
        <v>482</v>
      </c>
      <c r="B37" s="45" t="e">
        <f t="shared" ref="B37:D37" si="444">+B36/B128</f>
        <v>#DIV/0!</v>
      </c>
      <c r="C37" s="45" t="e">
        <f t="shared" si="444"/>
        <v>#DIV/0!</v>
      </c>
      <c r="D37" s="45">
        <f t="shared" si="444"/>
        <v>0.43410641497918345</v>
      </c>
      <c r="E37" s="45">
        <f t="shared" ref="E37:AE37" si="445">+E36/E128</f>
        <v>0.1242254783523635</v>
      </c>
      <c r="F37" s="45">
        <f t="shared" si="445"/>
        <v>5.9105885244264897E-2</v>
      </c>
      <c r="G37" s="45">
        <f t="shared" si="445"/>
        <v>4.3265601698711853E-2</v>
      </c>
      <c r="H37" s="45">
        <f t="shared" si="445"/>
        <v>1.810585782978421E-2</v>
      </c>
      <c r="I37" s="45">
        <f t="shared" si="445"/>
        <v>2.7508536387421689E-2</v>
      </c>
      <c r="J37" s="45">
        <f t="shared" si="445"/>
        <v>5.054260329135167E-2</v>
      </c>
      <c r="K37" s="45">
        <f t="shared" si="445"/>
        <v>4.75285250531646E-2</v>
      </c>
      <c r="L37" s="45">
        <f t="shared" si="445"/>
        <v>2.6496944196636618E-2</v>
      </c>
      <c r="M37" s="45">
        <f t="shared" si="445"/>
        <v>2.6854820501241813E-2</v>
      </c>
      <c r="N37" s="45">
        <f t="shared" si="445"/>
        <v>2.4987274017399891E-2</v>
      </c>
      <c r="O37" s="45">
        <f t="shared" si="445"/>
        <v>9.5060827935183237E-2</v>
      </c>
      <c r="P37" s="45">
        <f t="shared" si="445"/>
        <v>9.1852088544659816E-2</v>
      </c>
      <c r="Q37" s="45">
        <f t="shared" si="445"/>
        <v>8.1051111293970093E-2</v>
      </c>
      <c r="R37" s="45">
        <f t="shared" si="445"/>
        <v>8.9994750685097588E-2</v>
      </c>
      <c r="S37" s="45">
        <f t="shared" si="445"/>
        <v>8.2450723755052843E-2</v>
      </c>
      <c r="T37" s="45">
        <f t="shared" si="445"/>
        <v>0.10100604669912244</v>
      </c>
      <c r="U37" s="45">
        <f t="shared" si="445"/>
        <v>8.2795304475421855E-2</v>
      </c>
      <c r="V37" s="45">
        <f t="shared" si="445"/>
        <v>0.109084305258485</v>
      </c>
      <c r="W37" s="45">
        <f t="shared" si="445"/>
        <v>7.9234894324797106E-2</v>
      </c>
      <c r="X37" s="45">
        <f t="shared" si="445"/>
        <v>9.0748850147346391E-2</v>
      </c>
      <c r="Y37" s="45">
        <f t="shared" si="445"/>
        <v>0.15590000000000001</v>
      </c>
      <c r="Z37" s="45">
        <f t="shared" si="445"/>
        <v>0.18170000000000003</v>
      </c>
      <c r="AA37" s="45">
        <f t="shared" ref="AA37" si="446">+AA36/AA128</f>
        <v>0.17309999999999998</v>
      </c>
      <c r="AB37" s="109">
        <f t="shared" si="445"/>
        <v>-0.65672296991366463</v>
      </c>
      <c r="AC37" s="109">
        <f t="shared" si="445"/>
        <v>-1.3280310941235443</v>
      </c>
      <c r="AD37" s="109">
        <f t="shared" si="445"/>
        <v>-1.9022474895023083</v>
      </c>
      <c r="AE37" s="109">
        <f t="shared" si="445"/>
        <v>-2.6184890741205891</v>
      </c>
      <c r="AI37" s="45" t="e">
        <f t="shared" ref="AI37:BN37" si="447">(AI36-AI35)/AH168</f>
        <v>#DIV/0!</v>
      </c>
      <c r="AJ37" s="45">
        <f t="shared" si="447"/>
        <v>2.8200253485424587E-2</v>
      </c>
      <c r="AK37" s="45">
        <f t="shared" si="447"/>
        <v>1.1174154569166775E-2</v>
      </c>
      <c r="AL37" s="45">
        <f t="shared" si="447"/>
        <v>3.0201342281879193E-2</v>
      </c>
      <c r="AM37" s="45">
        <f t="shared" si="447"/>
        <v>2.8781233738835378E-2</v>
      </c>
      <c r="AN37" s="45">
        <f t="shared" si="447"/>
        <v>-4.5857988165680479E-2</v>
      </c>
      <c r="AO37" s="45">
        <f t="shared" si="447"/>
        <v>-3.5431148979999348E-3</v>
      </c>
      <c r="AP37" s="45">
        <f t="shared" si="447"/>
        <v>1.9940179461615148E-2</v>
      </c>
      <c r="AQ37" s="45">
        <f t="shared" si="447"/>
        <v>2.6980708900656087E-2</v>
      </c>
      <c r="AR37" s="45">
        <f t="shared" si="447"/>
        <v>9.7652081109925279E-2</v>
      </c>
      <c r="AS37" s="45">
        <f t="shared" si="447"/>
        <v>7.0889642126925237E-2</v>
      </c>
      <c r="AT37" s="45">
        <f t="shared" si="447"/>
        <v>-3.3632846624235609E-2</v>
      </c>
      <c r="AU37" s="45">
        <f t="shared" si="447"/>
        <v>-7.6035152568723757E-2</v>
      </c>
      <c r="AV37" s="45">
        <f t="shared" si="447"/>
        <v>1.4790928230685176E-2</v>
      </c>
      <c r="AW37" s="45">
        <f t="shared" si="447"/>
        <v>1.9972410299766995E-2</v>
      </c>
      <c r="AX37" s="45">
        <f t="shared" si="447"/>
        <v>2.1074099252209381E-2</v>
      </c>
      <c r="AY37" s="45">
        <f t="shared" si="447"/>
        <v>1.6492082408526249E-2</v>
      </c>
      <c r="AZ37" s="45">
        <f t="shared" si="447"/>
        <v>1.4491507202752095E-2</v>
      </c>
      <c r="BA37" s="45">
        <f t="shared" si="447"/>
        <v>1.38417618005141E-2</v>
      </c>
      <c r="BB37" s="45">
        <f t="shared" si="447"/>
        <v>1.6569735542631404E-2</v>
      </c>
      <c r="BC37" s="45">
        <f t="shared" si="447"/>
        <v>3.2303937193039832E-2</v>
      </c>
      <c r="BD37" s="45">
        <f t="shared" si="447"/>
        <v>3.152036428029345E-2</v>
      </c>
      <c r="BE37" s="45">
        <f t="shared" si="447"/>
        <v>2.2208378824803175E-2</v>
      </c>
      <c r="BF37" s="45">
        <f t="shared" si="447"/>
        <v>8.5357227069087493E-3</v>
      </c>
      <c r="BG37" s="45">
        <f t="shared" si="447"/>
        <v>2.2315407322568596E-2</v>
      </c>
      <c r="BH37" s="45">
        <f t="shared" si="447"/>
        <v>4.56708896199342E-2</v>
      </c>
      <c r="BI37" s="45">
        <f t="shared" si="447"/>
        <v>1.3980764696427405E-2</v>
      </c>
      <c r="BJ37" s="45">
        <f t="shared" si="447"/>
        <v>-5.9581417856278728E-3</v>
      </c>
      <c r="BK37" s="45">
        <f t="shared" si="447"/>
        <v>1.3832750588576111E-2</v>
      </c>
      <c r="BL37" s="45">
        <f t="shared" si="447"/>
        <v>-7.2506700521935377E-2</v>
      </c>
      <c r="BM37" s="45">
        <f t="shared" si="447"/>
        <v>5.1827024616706109E-2</v>
      </c>
      <c r="BN37" s="45">
        <f t="shared" si="447"/>
        <v>5.9356259943703317E-3</v>
      </c>
      <c r="BO37" s="45">
        <f t="shared" ref="BO37:CL37" si="448">(BO36-BO35)/BN168</f>
        <v>8.2078219941328578E-2</v>
      </c>
      <c r="BP37" s="45">
        <f t="shared" si="448"/>
        <v>2.841056734517107E-2</v>
      </c>
      <c r="BQ37" s="45">
        <f t="shared" si="448"/>
        <v>3.4823306255008825E-2</v>
      </c>
      <c r="BR37" s="45">
        <f t="shared" si="448"/>
        <v>-3.4875755122376509E-3</v>
      </c>
      <c r="BS37" s="45">
        <f t="shared" si="448"/>
        <v>1.9780594471725057E-2</v>
      </c>
      <c r="BT37" s="45">
        <f t="shared" si="448"/>
        <v>2.0888002519156085E-2</v>
      </c>
      <c r="BU37" s="45">
        <f t="shared" si="448"/>
        <v>2.0419580479255402E-2</v>
      </c>
      <c r="BV37" s="45">
        <f t="shared" si="448"/>
        <v>-1.6687016687016686E-2</v>
      </c>
      <c r="BW37" s="45">
        <f t="shared" si="448"/>
        <v>5.6912950591353068E-3</v>
      </c>
      <c r="BX37" s="45">
        <f t="shared" si="448"/>
        <v>1.3681694552048134E-2</v>
      </c>
      <c r="BY37" s="45">
        <f t="shared" si="448"/>
        <v>2.5318898660938585E-2</v>
      </c>
      <c r="BZ37" s="45">
        <f t="shared" si="448"/>
        <v>1.6410192897173095E-3</v>
      </c>
      <c r="CA37" s="45">
        <f t="shared" si="448"/>
        <v>2.9443712765499029E-2</v>
      </c>
      <c r="CB37" s="45">
        <f t="shared" si="448"/>
        <v>1.4076611647461851E-2</v>
      </c>
      <c r="CC37" s="45">
        <f t="shared" si="448"/>
        <v>6.7993176802111028E-3</v>
      </c>
      <c r="CD37" s="45">
        <f t="shared" si="448"/>
        <v>1.880097447304311E-2</v>
      </c>
      <c r="CE37" s="45">
        <f t="shared" si="448"/>
        <v>6.3000499495106006E-3</v>
      </c>
      <c r="CF37" s="45">
        <f t="shared" si="448"/>
        <v>7.6021282351880229E-2</v>
      </c>
      <c r="CG37" s="45">
        <f t="shared" si="448"/>
        <v>2.4554482989836961E-2</v>
      </c>
      <c r="CH37" s="45">
        <f t="shared" si="448"/>
        <v>3.5171019080277845E-2</v>
      </c>
      <c r="CI37" s="45">
        <f t="shared" si="448"/>
        <v>1.3993463683940235E-2</v>
      </c>
      <c r="CJ37" s="45">
        <f t="shared" si="448"/>
        <v>3.6850161573785366E-2</v>
      </c>
      <c r="CK37" s="45">
        <f t="shared" si="448"/>
        <v>2.6435182529913753E-3</v>
      </c>
      <c r="CL37" s="45">
        <f t="shared" si="448"/>
        <v>7.8880102527372126E-2</v>
      </c>
      <c r="CM37" s="46">
        <f t="shared" ref="CM37" si="449">+CL37</f>
        <v>7.8880102527372126E-2</v>
      </c>
      <c r="CN37" s="46">
        <f t="shared" ref="CN37" si="450">+CM37</f>
        <v>7.8880102527372126E-2</v>
      </c>
      <c r="CO37" s="46">
        <f t="shared" ref="CO37" si="451">+CN37</f>
        <v>7.8880102527372126E-2</v>
      </c>
      <c r="CP37" s="46">
        <f t="shared" ref="CP37" si="452">+CO37</f>
        <v>7.8880102527372126E-2</v>
      </c>
      <c r="CQ37" s="46">
        <f t="shared" ref="CQ37" si="453">+CP37</f>
        <v>7.8880102527372126E-2</v>
      </c>
      <c r="CR37" s="46">
        <f t="shared" ref="CR37" si="454">+CQ37</f>
        <v>7.8880102527372126E-2</v>
      </c>
      <c r="CS37" s="46">
        <f t="shared" ref="CS37" si="455">+CR37</f>
        <v>7.8880102527372126E-2</v>
      </c>
      <c r="CT37" s="46">
        <f t="shared" ref="CT37" si="456">+CS37</f>
        <v>7.8880102527372126E-2</v>
      </c>
      <c r="CU37" s="46">
        <f t="shared" ref="CU37" si="457">+CT37</f>
        <v>7.8880102527372126E-2</v>
      </c>
      <c r="CV37" s="46">
        <f t="shared" ref="CV37" si="458">+CU37</f>
        <v>7.8880102527372126E-2</v>
      </c>
      <c r="CW37" s="46">
        <f t="shared" ref="CW37" si="459">+CV37</f>
        <v>7.8880102527372126E-2</v>
      </c>
      <c r="CX37" s="46">
        <f t="shared" ref="CX37" si="460">+CW37</f>
        <v>7.8880102527372126E-2</v>
      </c>
      <c r="CY37" s="46">
        <f t="shared" ref="CY37" si="461">+CX37</f>
        <v>7.8880102527372126E-2</v>
      </c>
      <c r="CZ37" s="46">
        <f t="shared" ref="CZ37" si="462">+CY37</f>
        <v>7.8880102527372126E-2</v>
      </c>
      <c r="DA37" s="46">
        <f t="shared" ref="DA37" si="463">+CZ37</f>
        <v>7.8880102527372126E-2</v>
      </c>
      <c r="DD37" s="129"/>
      <c r="DE37" s="45">
        <v>0.15865108258287031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64">C34+C35-C36</f>
        <v>0</v>
      </c>
      <c r="D38" s="25">
        <f>D34+D35-D36</f>
        <v>35.7684</v>
      </c>
      <c r="E38" s="25">
        <f t="shared" si="464"/>
        <v>37.929199999999959</v>
      </c>
      <c r="F38" s="25">
        <f t="shared" si="464"/>
        <v>33.649300000000025</v>
      </c>
      <c r="G38" s="25">
        <f t="shared" si="464"/>
        <v>38.690400000000082</v>
      </c>
      <c r="H38" s="25">
        <f t="shared" si="464"/>
        <v>42.817900000000009</v>
      </c>
      <c r="I38" s="25">
        <f t="shared" si="464"/>
        <v>36.964599999999983</v>
      </c>
      <c r="J38" s="25">
        <f t="shared" si="464"/>
        <v>29.765700000000038</v>
      </c>
      <c r="K38" s="25">
        <f t="shared" si="464"/>
        <v>49.574899999999971</v>
      </c>
      <c r="L38" s="25">
        <f t="shared" si="464"/>
        <v>46.269799999999996</v>
      </c>
      <c r="M38" s="25">
        <f t="shared" si="464"/>
        <v>62.464599999999905</v>
      </c>
      <c r="N38" s="25">
        <f t="shared" si="464"/>
        <v>61.729199999999928</v>
      </c>
      <c r="O38" s="25">
        <f t="shared" si="464"/>
        <v>73.702399999999969</v>
      </c>
      <c r="P38" s="25">
        <f t="shared" si="464"/>
        <v>81.345000000000098</v>
      </c>
      <c r="Q38" s="25">
        <f t="shared" si="464"/>
        <v>115.62549999999999</v>
      </c>
      <c r="R38" s="25">
        <f t="shared" si="464"/>
        <v>135.88389999999993</v>
      </c>
      <c r="S38" s="25">
        <f t="shared" si="464"/>
        <v>114.97079999999976</v>
      </c>
      <c r="T38" s="25">
        <f t="shared" si="464"/>
        <v>113.57470000000015</v>
      </c>
      <c r="U38" s="25">
        <f t="shared" ref="U38:Z38" si="465">U34+U35-U36</f>
        <v>201.57999999999976</v>
      </c>
      <c r="V38" s="25">
        <f t="shared" si="465"/>
        <v>117.58999999999978</v>
      </c>
      <c r="W38" s="25">
        <f t="shared" si="465"/>
        <v>-0.58999999999984354</v>
      </c>
      <c r="X38" s="25">
        <f t="shared" si="465"/>
        <v>55.929999999999822</v>
      </c>
      <c r="Y38" s="25">
        <f t="shared" si="465"/>
        <v>130.50999999999974</v>
      </c>
      <c r="Z38" s="25">
        <f t="shared" si="465"/>
        <v>85.969999999999899</v>
      </c>
      <c r="AA38" s="25">
        <f t="shared" ref="AA38" si="466">AA34+AA35-AA36</f>
        <v>157.31999999999982</v>
      </c>
      <c r="AB38" s="26">
        <f t="shared" ref="AB38:AD38" si="467">AB34+AB35-AB36</f>
        <v>180.15624949766067</v>
      </c>
      <c r="AC38" s="26">
        <f t="shared" si="467"/>
        <v>230.44423706091965</v>
      </c>
      <c r="AD38" s="26">
        <f t="shared" si="467"/>
        <v>289.2718275924189</v>
      </c>
      <c r="AE38" s="26">
        <f t="shared" ref="AE38" si="468">AE34+AE35-AE36</f>
        <v>362.42748650658626</v>
      </c>
      <c r="AI38" s="25">
        <f>AI34+AI35-AI36</f>
        <v>18.129999999999963</v>
      </c>
      <c r="AJ38" s="25">
        <f t="shared" ref="AJ38" si="469">AJ34+AJ35-AJ36</f>
        <v>10.739999999999966</v>
      </c>
      <c r="AK38" s="25">
        <f t="shared" ref="AK38:AM38" si="470">AK34+AK35-AK36</f>
        <v>15.150000000000022</v>
      </c>
      <c r="AL38" s="25">
        <f t="shared" si="470"/>
        <v>21.659999999999982</v>
      </c>
      <c r="AM38" s="25">
        <f t="shared" si="470"/>
        <v>21.780000000000026</v>
      </c>
      <c r="AN38" s="25">
        <f t="shared" ref="AN38:AO38" si="471">AN34+AN35-AN36</f>
        <v>14.019999999999992</v>
      </c>
      <c r="AO38" s="25">
        <f t="shared" si="471"/>
        <v>16.240000000000002</v>
      </c>
      <c r="AP38" s="25">
        <f t="shared" ref="AP38:CD38" si="472">AP34+AP35-AP36</f>
        <v>21.170000000000009</v>
      </c>
      <c r="AQ38" s="25">
        <f t="shared" si="472"/>
        <v>21.899999999999959</v>
      </c>
      <c r="AR38" s="25">
        <f t="shared" si="472"/>
        <v>17.949999999999992</v>
      </c>
      <c r="AS38" s="25">
        <f t="shared" si="472"/>
        <v>20.320000000000018</v>
      </c>
      <c r="AT38" s="25">
        <f t="shared" si="472"/>
        <v>28.809999999999945</v>
      </c>
      <c r="AU38" s="25">
        <f t="shared" si="472"/>
        <v>30.80000000000009</v>
      </c>
      <c r="AV38" s="25">
        <f t="shared" si="472"/>
        <v>21.039999999999921</v>
      </c>
      <c r="AW38" s="25">
        <f t="shared" si="472"/>
        <v>34.969999999999928</v>
      </c>
      <c r="AX38" s="25">
        <f t="shared" si="472"/>
        <v>50.199999999999974</v>
      </c>
      <c r="AY38" s="25">
        <f t="shared" si="472"/>
        <v>32.510000000000019</v>
      </c>
      <c r="AZ38" s="25">
        <f t="shared" si="472"/>
        <v>29.08999999999984</v>
      </c>
      <c r="BA38" s="25">
        <f t="shared" si="472"/>
        <v>28.339999999999932</v>
      </c>
      <c r="BB38" s="25">
        <f t="shared" si="472"/>
        <v>29.300000000000075</v>
      </c>
      <c r="BC38" s="25">
        <f t="shared" si="472"/>
        <v>14.119999999999916</v>
      </c>
      <c r="BD38" s="25">
        <f t="shared" si="472"/>
        <v>36.169999999999959</v>
      </c>
      <c r="BE38" s="25">
        <f t="shared" si="472"/>
        <v>35.38000000000001</v>
      </c>
      <c r="BF38" s="25">
        <f t="shared" si="472"/>
        <v>32.730000000000032</v>
      </c>
      <c r="BG38" s="25">
        <f t="shared" si="472"/>
        <v>26.389999999999993</v>
      </c>
      <c r="BH38" s="25">
        <f t="shared" si="472"/>
        <v>15.029999999999987</v>
      </c>
      <c r="BI38" s="25">
        <f t="shared" si="472"/>
        <v>39.420000000000115</v>
      </c>
      <c r="BJ38" s="25">
        <f t="shared" si="472"/>
        <v>67.620000000000061</v>
      </c>
      <c r="BK38" s="25">
        <f t="shared" si="472"/>
        <v>46.049999999999983</v>
      </c>
      <c r="BL38" s="25">
        <f t="shared" si="472"/>
        <v>39.169999999999987</v>
      </c>
      <c r="BM38" s="25">
        <f t="shared" si="472"/>
        <v>48.740000000000137</v>
      </c>
      <c r="BN38" s="25">
        <f t="shared" si="472"/>
        <v>24.179999999999982</v>
      </c>
      <c r="BO38" s="25">
        <f t="shared" si="472"/>
        <v>36.040000000000042</v>
      </c>
      <c r="BP38" s="25">
        <f t="shared" si="472"/>
        <v>49.609999999999928</v>
      </c>
      <c r="BQ38" s="25">
        <f t="shared" si="472"/>
        <v>7.7599999999999811</v>
      </c>
      <c r="BR38" s="25">
        <f t="shared" si="472"/>
        <v>19.860000000000067</v>
      </c>
      <c r="BS38" s="25">
        <f t="shared" si="472"/>
        <v>-4.6100000000000785</v>
      </c>
      <c r="BT38" s="25">
        <f t="shared" si="472"/>
        <v>2.2699999999998592</v>
      </c>
      <c r="BU38" s="25">
        <f t="shared" si="472"/>
        <v>-18.109999999999921</v>
      </c>
      <c r="BV38" s="25">
        <f t="shared" si="472"/>
        <v>33.950000000000173</v>
      </c>
      <c r="BW38" s="25">
        <f t="shared" si="472"/>
        <v>10.630000000000038</v>
      </c>
      <c r="BX38" s="25">
        <f t="shared" si="472"/>
        <v>-4.7199999999999562</v>
      </c>
      <c r="BY38" s="25">
        <f t="shared" si="472"/>
        <v>16.070000000000022</v>
      </c>
      <c r="BZ38" s="25">
        <f t="shared" si="472"/>
        <v>35.159999999999997</v>
      </c>
      <c r="CA38" s="25">
        <f t="shared" si="472"/>
        <v>20.590000000000028</v>
      </c>
      <c r="CB38" s="25">
        <f t="shared" si="472"/>
        <v>30.400000000000002</v>
      </c>
      <c r="CC38" s="25">
        <f t="shared" si="472"/>
        <v>44.370000000000026</v>
      </c>
      <c r="CD38" s="25">
        <f t="shared" si="472"/>
        <v>35.079999999999956</v>
      </c>
      <c r="CE38" s="25">
        <f t="shared" ref="CE38:CF38" si="473">CE34+CE35-CE36</f>
        <v>21.340000000000096</v>
      </c>
      <c r="CF38" s="25">
        <f t="shared" si="473"/>
        <v>14.319999999999986</v>
      </c>
      <c r="CG38" s="25">
        <f t="shared" ref="CG38:CH38" si="474">CG34+CG35-CG36</f>
        <v>15.230000000000008</v>
      </c>
      <c r="CH38" s="25">
        <f t="shared" si="474"/>
        <v>34.050000000000018</v>
      </c>
      <c r="CI38" s="25">
        <f t="shared" ref="CI38:CJ38" si="475">CI34+CI35-CI36</f>
        <v>33.119999999999976</v>
      </c>
      <c r="CJ38" s="25">
        <f t="shared" si="475"/>
        <v>49.169999999999902</v>
      </c>
      <c r="CK38" s="25">
        <f t="shared" ref="CK38:CL38" si="476">CK34+CK35-CK36</f>
        <v>40.980000000000011</v>
      </c>
      <c r="CL38" s="25">
        <f t="shared" si="476"/>
        <v>35.040000000000035</v>
      </c>
      <c r="CM38" s="26">
        <f t="shared" ref="CM38:DA38" si="477">CM34+CM35-CM36</f>
        <v>44.241452460090358</v>
      </c>
      <c r="CN38" s="26">
        <f t="shared" si="477"/>
        <v>50.069895865579781</v>
      </c>
      <c r="CO38" s="26">
        <f t="shared" si="477"/>
        <v>50.804901171990664</v>
      </c>
      <c r="CP38" s="26">
        <f t="shared" si="477"/>
        <v>51.31822937755193</v>
      </c>
      <c r="CQ38" s="26">
        <f t="shared" si="477"/>
        <v>55.34645185208727</v>
      </c>
      <c r="CR38" s="26">
        <f t="shared" si="477"/>
        <v>60.691572298084679</v>
      </c>
      <c r="CS38" s="26">
        <f t="shared" si="477"/>
        <v>63.087983533195654</v>
      </c>
      <c r="CT38" s="26">
        <f t="shared" si="477"/>
        <v>65.62043560209996</v>
      </c>
      <c r="CU38" s="26">
        <f t="shared" si="477"/>
        <v>69.277483897493482</v>
      </c>
      <c r="CV38" s="26">
        <f t="shared" si="477"/>
        <v>75.417244790248077</v>
      </c>
      <c r="CW38" s="26">
        <f t="shared" si="477"/>
        <v>78.956663302577653</v>
      </c>
      <c r="CX38" s="26">
        <f t="shared" si="477"/>
        <v>82.511566314899838</v>
      </c>
      <c r="CY38" s="26">
        <f t="shared" si="477"/>
        <v>86.950459789721876</v>
      </c>
      <c r="CZ38" s="26">
        <f t="shared" si="477"/>
        <v>94.139397029488705</v>
      </c>
      <c r="DA38" s="26">
        <f t="shared" si="477"/>
        <v>98.8260633724759</v>
      </c>
      <c r="DD38" s="120"/>
      <c r="DE38" s="25">
        <v>157.31999999999971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10.6214</v>
      </c>
      <c r="E39" s="22">
        <f>'Annual Raw'!F30</f>
        <v>10.002800000000001</v>
      </c>
      <c r="F39" s="22">
        <f>'Annual Raw'!G30</f>
        <v>9.5394000000000005</v>
      </c>
      <c r="G39" s="22">
        <f>'Annual Raw'!H30</f>
        <v>10.2194</v>
      </c>
      <c r="H39" s="22">
        <f>'Annual Raw'!I30</f>
        <v>14.9674</v>
      </c>
      <c r="I39" s="22">
        <f>'Annual Raw'!J30</f>
        <v>5.4123000000000001</v>
      </c>
      <c r="J39" s="22">
        <f>'Annual Raw'!K30</f>
        <v>8.4779</v>
      </c>
      <c r="K39" s="22">
        <f>'Annual Raw'!L30</f>
        <v>12.196400000000001</v>
      </c>
      <c r="L39" s="22">
        <f>'Annual Raw'!M30</f>
        <v>13.4794</v>
      </c>
      <c r="M39" s="22">
        <f>'Annual Raw'!N30</f>
        <v>12.807399999999999</v>
      </c>
      <c r="N39" s="22">
        <f>'Annual Raw'!O30</f>
        <v>16.6084</v>
      </c>
      <c r="O39" s="22">
        <f>'Annual Raw'!P30</f>
        <v>22.9314</v>
      </c>
      <c r="P39" s="22">
        <f>'Annual Raw'!Q30</f>
        <v>19.112400000000001</v>
      </c>
      <c r="Q39" s="22">
        <f>'Annual Raw'!R30</f>
        <v>36.896900000000002</v>
      </c>
      <c r="R39" s="22">
        <f>'Annual Raw'!S30</f>
        <v>51.7928</v>
      </c>
      <c r="S39" s="22">
        <f>'Annual Raw'!T30</f>
        <v>51.354799999999997</v>
      </c>
      <c r="T39" s="22">
        <f>'Annual Raw'!U30</f>
        <v>78.689800000000005</v>
      </c>
      <c r="U39" s="22">
        <f>'Annual Raw'!V30</f>
        <v>31.54</v>
      </c>
      <c r="V39" s="22">
        <f>'Annual Raw'!W30</f>
        <v>21.6</v>
      </c>
      <c r="W39" s="22">
        <f>'Annual Raw'!X30</f>
        <v>-8.8800000000000008</v>
      </c>
      <c r="X39" s="22">
        <f>'Annual Raw'!Y30</f>
        <v>6.29</v>
      </c>
      <c r="Y39" s="22">
        <f>'Annual Raw'!Z30</f>
        <v>90.41</v>
      </c>
      <c r="Z39" s="22">
        <f>'Annual Raw'!AA30</f>
        <v>28.87</v>
      </c>
      <c r="AA39" s="22">
        <f>'Annual Raw'!AB30</f>
        <v>40.11</v>
      </c>
      <c r="AB39" s="23">
        <f>+SUM(CL39:CO39)</f>
        <v>47.289340377993767</v>
      </c>
      <c r="AC39" s="23">
        <f>+SUM(CP39:CS39)</f>
        <v>60.377944145632028</v>
      </c>
      <c r="AD39" s="23">
        <f>+SUM(CT39:CW39)</f>
        <v>75.769041535858122</v>
      </c>
      <c r="AE39" s="23">
        <f>+SUM(CX39:DA39)</f>
        <v>94.929271944877428</v>
      </c>
      <c r="AI39" s="22">
        <f>'QTR Raw'!C29</f>
        <v>4.7699999999999996</v>
      </c>
      <c r="AJ39" s="22">
        <f>'QTR Raw'!D29</f>
        <v>1.96</v>
      </c>
      <c r="AK39" s="22">
        <f>'QTR Raw'!E29</f>
        <v>5.08</v>
      </c>
      <c r="AL39" s="22">
        <f>'QTR Raw'!F29</f>
        <v>5.5</v>
      </c>
      <c r="AM39" s="22">
        <f>'QTR Raw'!G29</f>
        <v>6.71</v>
      </c>
      <c r="AN39" s="22">
        <f>'QTR Raw'!H29</f>
        <v>4.78</v>
      </c>
      <c r="AO39" s="22">
        <f>'QTR Raw'!I29</f>
        <v>5.94</v>
      </c>
      <c r="AP39" s="22">
        <f>'QTR Raw'!J29</f>
        <v>5.07</v>
      </c>
      <c r="AQ39" s="22">
        <f>'QTR Raw'!K29</f>
        <v>5.29</v>
      </c>
      <c r="AR39" s="22">
        <f>'QTR Raw'!L29</f>
        <v>4.17</v>
      </c>
      <c r="AS39" s="22">
        <f>'QTR Raw'!M29</f>
        <v>4.58</v>
      </c>
      <c r="AT39" s="22">
        <f>'QTR Raw'!N29</f>
        <v>7.53</v>
      </c>
      <c r="AU39" s="22">
        <f>'QTR Raw'!O29</f>
        <v>10.17</v>
      </c>
      <c r="AV39" s="22">
        <f>'QTR Raw'!P29</f>
        <v>4.72</v>
      </c>
      <c r="AW39" s="22">
        <f>'QTR Raw'!Q29</f>
        <v>14.47</v>
      </c>
      <c r="AX39" s="22">
        <f>'QTR Raw'!R29</f>
        <v>15.25</v>
      </c>
      <c r="AY39" s="22">
        <f>'QTR Raw'!S29</f>
        <v>12.56</v>
      </c>
      <c r="AZ39" s="22">
        <f>'QTR Raw'!T29</f>
        <v>11.57</v>
      </c>
      <c r="BA39" s="22">
        <f>'QTR Raw'!U29</f>
        <v>12.08</v>
      </c>
      <c r="BB39" s="22">
        <f>'QTR Raw'!V29</f>
        <v>12.98</v>
      </c>
      <c r="BC39" s="22">
        <f>'QTR Raw'!W29</f>
        <v>6.89</v>
      </c>
      <c r="BD39" s="22">
        <f>'QTR Raw'!X29</f>
        <v>17.04</v>
      </c>
      <c r="BE39" s="22">
        <f>'QTR Raw'!Y29</f>
        <v>14.44</v>
      </c>
      <c r="BF39" s="22">
        <f>'QTR Raw'!Z29</f>
        <v>14.93</v>
      </c>
      <c r="BG39" s="22">
        <f>'QTR Raw'!AA29</f>
        <v>12.14</v>
      </c>
      <c r="BH39" s="22">
        <f>'QTR Raw'!AB29</f>
        <v>30.15</v>
      </c>
      <c r="BI39" s="22">
        <f>'QTR Raw'!AC29</f>
        <v>21.46</v>
      </c>
      <c r="BJ39" s="22">
        <f>'QTR Raw'!AD29</f>
        <v>25.59</v>
      </c>
      <c r="BK39" s="22">
        <f>'QTR Raw'!AE29</f>
        <v>18.12</v>
      </c>
      <c r="BL39" s="22">
        <f>'QTR Raw'!AF29</f>
        <v>7.27</v>
      </c>
      <c r="BM39" s="22">
        <f>'QTR Raw'!AG29</f>
        <v>-19.440000000000001</v>
      </c>
      <c r="BN39" s="22">
        <f>'QTR Raw'!AH29</f>
        <v>-3.13</v>
      </c>
      <c r="BO39" s="22">
        <f>'QTR Raw'!AI29</f>
        <v>9.32</v>
      </c>
      <c r="BP39" s="22">
        <f>'QTR Raw'!AJ29</f>
        <v>12.73</v>
      </c>
      <c r="BQ39" s="22">
        <f>'QTR Raw'!AK29</f>
        <v>2.68</v>
      </c>
      <c r="BR39" s="22">
        <f>'QTR Raw'!AL29</f>
        <v>3.69</v>
      </c>
      <c r="BS39" s="22">
        <f>'QTR Raw'!AM29</f>
        <v>-1.1100000000000001</v>
      </c>
      <c r="BT39" s="22">
        <f>'QTR Raw'!AN29</f>
        <v>-6.87</v>
      </c>
      <c r="BU39" s="22">
        <f>'QTR Raw'!AO29</f>
        <v>-4.59</v>
      </c>
      <c r="BV39" s="22">
        <f>'QTR Raw'!AP29</f>
        <v>9.34</v>
      </c>
      <c r="BW39" s="22">
        <f>'QTR Raw'!AQ29</f>
        <v>2.48</v>
      </c>
      <c r="BX39" s="22">
        <f>'QTR Raw'!AR29</f>
        <v>-4.76</v>
      </c>
      <c r="BY39" s="22">
        <f>'QTR Raw'!AS29</f>
        <v>-0.77</v>
      </c>
      <c r="BZ39" s="22">
        <f>'QTR Raw'!AT29</f>
        <v>-0.33</v>
      </c>
      <c r="CA39" s="22">
        <f>'QTR Raw'!AU29</f>
        <v>4.01</v>
      </c>
      <c r="CB39" s="22">
        <f>'QTR Raw'!AV29</f>
        <v>-1.87</v>
      </c>
      <c r="CC39" s="22">
        <f>'QTR Raw'!AW29</f>
        <v>88.6</v>
      </c>
      <c r="CD39" s="22">
        <f>'QTR Raw'!AX29</f>
        <v>9.0500000000000007</v>
      </c>
      <c r="CE39" s="22">
        <f>'QTR Raw'!AY29</f>
        <v>12.28</v>
      </c>
      <c r="CF39" s="22">
        <f>'QTR Raw'!AZ29</f>
        <v>4.1399999999999997</v>
      </c>
      <c r="CG39" s="22">
        <f>'QTR Raw'!BA29</f>
        <v>3.4</v>
      </c>
      <c r="CH39" s="22">
        <f>'QTR Raw'!BB29</f>
        <v>8.57</v>
      </c>
      <c r="CI39" s="22">
        <f>'QTR Raw'!BC29</f>
        <v>8.4600000000000009</v>
      </c>
      <c r="CJ39" s="22">
        <f>'QTR Raw'!BD29</f>
        <v>12.4</v>
      </c>
      <c r="CK39" s="22">
        <f>'QTR Raw'!BE29</f>
        <v>10.68</v>
      </c>
      <c r="CL39" s="22">
        <f>'QTR Raw'!BF29</f>
        <v>9.44</v>
      </c>
      <c r="CM39" s="23">
        <f t="shared" ref="CM39:DA39" si="478">+CM38*CM40</f>
        <v>11.476701748245313</v>
      </c>
      <c r="CN39" s="23">
        <f t="shared" si="478"/>
        <v>13.038428948404722</v>
      </c>
      <c r="CO39" s="23">
        <f t="shared" si="478"/>
        <v>13.33420968134374</v>
      </c>
      <c r="CP39" s="23">
        <f t="shared" si="478"/>
        <v>13.492597446390459</v>
      </c>
      <c r="CQ39" s="23">
        <f t="shared" si="478"/>
        <v>14.461950980478331</v>
      </c>
      <c r="CR39" s="23">
        <f t="shared" si="478"/>
        <v>15.887270106030378</v>
      </c>
      <c r="CS39" s="23">
        <f t="shared" si="478"/>
        <v>16.536125612732864</v>
      </c>
      <c r="CT39" s="23">
        <f t="shared" si="478"/>
        <v>17.194219562249312</v>
      </c>
      <c r="CU39" s="23">
        <f t="shared" si="478"/>
        <v>18.136961876844904</v>
      </c>
      <c r="CV39" s="23">
        <f t="shared" si="478"/>
        <v>19.75384669145172</v>
      </c>
      <c r="CW39" s="23">
        <f t="shared" si="478"/>
        <v>20.684013405312186</v>
      </c>
      <c r="CX39" s="23">
        <f t="shared" si="478"/>
        <v>21.612278787499218</v>
      </c>
      <c r="CY39" s="23">
        <f t="shared" si="478"/>
        <v>22.772892510220444</v>
      </c>
      <c r="CZ39" s="23">
        <f t="shared" si="478"/>
        <v>24.658189430282231</v>
      </c>
      <c r="DA39" s="23">
        <f t="shared" si="478"/>
        <v>25.885911216875527</v>
      </c>
      <c r="DD39" s="122"/>
      <c r="DE39" s="22">
        <v>40.11</v>
      </c>
    </row>
    <row r="40" spans="1:109" s="89" customFormat="1" x14ac:dyDescent="0.2">
      <c r="A40" s="89" t="s">
        <v>106</v>
      </c>
      <c r="B40" s="89" t="e">
        <f t="shared" ref="B40:E40" si="479">B39/B38</f>
        <v>#DIV/0!</v>
      </c>
      <c r="C40" s="89" t="e">
        <f t="shared" si="479"/>
        <v>#DIV/0!</v>
      </c>
      <c r="D40" s="89">
        <f t="shared" si="479"/>
        <v>0.29694926247749409</v>
      </c>
      <c r="E40" s="89">
        <f t="shared" si="479"/>
        <v>0.26372293641837979</v>
      </c>
      <c r="F40" s="89">
        <f t="shared" ref="F40:T40" si="480">F39/F38</f>
        <v>0.28349475323409384</v>
      </c>
      <c r="G40" s="89">
        <f t="shared" si="480"/>
        <v>0.26413270475363343</v>
      </c>
      <c r="H40" s="89">
        <f t="shared" si="480"/>
        <v>0.34955941323605305</v>
      </c>
      <c r="I40" s="89">
        <f t="shared" si="480"/>
        <v>0.14641846523430532</v>
      </c>
      <c r="J40" s="89">
        <f t="shared" si="480"/>
        <v>0.28482111961082685</v>
      </c>
      <c r="K40" s="89">
        <f t="shared" si="480"/>
        <v>0.24601965914202564</v>
      </c>
      <c r="L40" s="89">
        <f t="shared" si="480"/>
        <v>0.29132176927499148</v>
      </c>
      <c r="M40" s="89">
        <f t="shared" si="480"/>
        <v>0.20503453155867513</v>
      </c>
      <c r="N40" s="89">
        <f t="shared" si="480"/>
        <v>0.26905257155446721</v>
      </c>
      <c r="O40" s="89">
        <f t="shared" si="480"/>
        <v>0.31113505123306717</v>
      </c>
      <c r="P40" s="89">
        <f t="shared" si="480"/>
        <v>0.23495482205421325</v>
      </c>
      <c r="Q40" s="89">
        <f t="shared" si="480"/>
        <v>0.31910694440240261</v>
      </c>
      <c r="R40" s="89">
        <f t="shared" si="480"/>
        <v>0.38115479464454605</v>
      </c>
      <c r="S40" s="89">
        <f t="shared" si="480"/>
        <v>0.44667689535082045</v>
      </c>
      <c r="T40" s="89">
        <f t="shared" si="480"/>
        <v>0.69284620606525837</v>
      </c>
      <c r="U40" s="89">
        <f t="shared" ref="U40:Z40" si="481">U39/U38</f>
        <v>0.15646393491417818</v>
      </c>
      <c r="V40" s="89">
        <f t="shared" si="481"/>
        <v>0.18368908920826638</v>
      </c>
      <c r="W40" s="89">
        <f t="shared" si="481"/>
        <v>15.050847457631111</v>
      </c>
      <c r="X40" s="89">
        <f t="shared" si="481"/>
        <v>0.11246200607902772</v>
      </c>
      <c r="Y40" s="89">
        <f t="shared" si="481"/>
        <v>0.6927438510458982</v>
      </c>
      <c r="Z40" s="89">
        <f t="shared" si="481"/>
        <v>0.33581481912295025</v>
      </c>
      <c r="AA40" s="89">
        <f t="shared" ref="AA40" si="482">AA39/AA38</f>
        <v>0.25495804729214366</v>
      </c>
      <c r="AB40" s="90">
        <f t="shared" ref="AA40:AD40" si="483">AB39/AB38</f>
        <v>0.26249070187602802</v>
      </c>
      <c r="AC40" s="90">
        <f t="shared" si="483"/>
        <v>0.26200674365170029</v>
      </c>
      <c r="AD40" s="90">
        <f t="shared" si="483"/>
        <v>0.2619302479832773</v>
      </c>
      <c r="AE40" s="90">
        <f t="shared" ref="AE40" si="484">AE39/AE38</f>
        <v>0.26192624864050512</v>
      </c>
      <c r="AI40" s="89">
        <f t="shared" ref="AI40" si="485">AI39/AI38</f>
        <v>0.26309983452840646</v>
      </c>
      <c r="AJ40" s="89">
        <f t="shared" ref="AJ40" si="486">AJ39/AJ38</f>
        <v>0.18249534450651825</v>
      </c>
      <c r="AK40" s="89">
        <f t="shared" ref="AK40:AM40" si="487">AK39/AK38</f>
        <v>0.33531353135313485</v>
      </c>
      <c r="AL40" s="89">
        <f t="shared" si="487"/>
        <v>0.25392428439519871</v>
      </c>
      <c r="AM40" s="89">
        <f t="shared" si="487"/>
        <v>0.30808080808080773</v>
      </c>
      <c r="AN40" s="89">
        <f t="shared" ref="AN40:AO40" si="488">AN39/AN38</f>
        <v>0.34094151212553514</v>
      </c>
      <c r="AO40" s="89">
        <f t="shared" si="488"/>
        <v>0.36576354679802953</v>
      </c>
      <c r="AP40" s="89">
        <f t="shared" ref="AP40:CD40" si="489">AP39/AP38</f>
        <v>0.23948984411903629</v>
      </c>
      <c r="AQ40" s="89">
        <f t="shared" si="489"/>
        <v>0.24155251141552556</v>
      </c>
      <c r="AR40" s="89">
        <f t="shared" si="489"/>
        <v>0.23231197771587753</v>
      </c>
      <c r="AS40" s="89">
        <f t="shared" si="489"/>
        <v>0.22539370078740137</v>
      </c>
      <c r="AT40" s="89">
        <f t="shared" si="489"/>
        <v>0.26136758070114596</v>
      </c>
      <c r="AU40" s="89">
        <f t="shared" si="489"/>
        <v>0.33019480519480421</v>
      </c>
      <c r="AV40" s="89">
        <f t="shared" si="489"/>
        <v>0.22433460076045711</v>
      </c>
      <c r="AW40" s="89">
        <f t="shared" si="489"/>
        <v>0.41378324277952616</v>
      </c>
      <c r="AX40" s="89">
        <f t="shared" si="489"/>
        <v>0.3037848605577691</v>
      </c>
      <c r="AY40" s="89">
        <f t="shared" si="489"/>
        <v>0.38634266379575494</v>
      </c>
      <c r="AZ40" s="89">
        <f t="shared" si="489"/>
        <v>0.39773117909934907</v>
      </c>
      <c r="BA40" s="89">
        <f t="shared" si="489"/>
        <v>0.4262526464361337</v>
      </c>
      <c r="BB40" s="89">
        <f t="shared" si="489"/>
        <v>0.44300341296928214</v>
      </c>
      <c r="BC40" s="89">
        <f t="shared" si="489"/>
        <v>0.48796033994334564</v>
      </c>
      <c r="BD40" s="89">
        <f t="shared" si="489"/>
        <v>0.47110865358031567</v>
      </c>
      <c r="BE40" s="89">
        <f t="shared" si="489"/>
        <v>0.40814019219898234</v>
      </c>
      <c r="BF40" s="89">
        <f t="shared" si="489"/>
        <v>0.45615643140849327</v>
      </c>
      <c r="BG40" s="89">
        <f t="shared" si="489"/>
        <v>0.46002273588480497</v>
      </c>
      <c r="BH40" s="89">
        <f t="shared" si="489"/>
        <v>2.0059880239520975</v>
      </c>
      <c r="BI40" s="89">
        <f t="shared" si="489"/>
        <v>0.54439370877726889</v>
      </c>
      <c r="BJ40" s="89">
        <f t="shared" si="489"/>
        <v>0.37843833185448056</v>
      </c>
      <c r="BK40" s="89">
        <f t="shared" si="489"/>
        <v>0.39348534201954416</v>
      </c>
      <c r="BL40" s="89">
        <f t="shared" si="489"/>
        <v>0.18560122542762322</v>
      </c>
      <c r="BM40" s="89">
        <f t="shared" si="489"/>
        <v>-0.39885104636848473</v>
      </c>
      <c r="BN40" s="89">
        <f t="shared" si="489"/>
        <v>-0.12944582299421017</v>
      </c>
      <c r="BO40" s="89">
        <f t="shared" si="489"/>
        <v>0.25860155382907851</v>
      </c>
      <c r="BP40" s="89">
        <f t="shared" si="489"/>
        <v>0.25660149163475143</v>
      </c>
      <c r="BQ40" s="89">
        <f t="shared" si="489"/>
        <v>0.34536082474226892</v>
      </c>
      <c r="BR40" s="89">
        <f t="shared" si="489"/>
        <v>0.18580060422960662</v>
      </c>
      <c r="BS40" s="89">
        <f t="shared" si="489"/>
        <v>0.24078091106290264</v>
      </c>
      <c r="BT40" s="89">
        <f t="shared" si="489"/>
        <v>-3.0264317180618616</v>
      </c>
      <c r="BU40" s="89">
        <f t="shared" si="489"/>
        <v>0.25345113197128766</v>
      </c>
      <c r="BV40" s="89">
        <f t="shared" si="489"/>
        <v>0.2751104565537541</v>
      </c>
      <c r="BW40" s="89">
        <f t="shared" si="489"/>
        <v>0.23330197554092108</v>
      </c>
      <c r="BX40" s="89">
        <f t="shared" si="489"/>
        <v>1.0084745762711957</v>
      </c>
      <c r="BY40" s="89">
        <f t="shared" si="489"/>
        <v>-4.7915370255133725E-2</v>
      </c>
      <c r="BZ40" s="89">
        <f t="shared" si="489"/>
        <v>-9.3856655290102398E-3</v>
      </c>
      <c r="CA40" s="89">
        <f t="shared" si="489"/>
        <v>0.19475473530840187</v>
      </c>
      <c r="CB40" s="89">
        <f t="shared" si="489"/>
        <v>-6.1513157894736839E-2</v>
      </c>
      <c r="CC40" s="89">
        <f t="shared" si="489"/>
        <v>1.996844714897452</v>
      </c>
      <c r="CD40" s="89">
        <f t="shared" si="489"/>
        <v>0.25798175598631734</v>
      </c>
      <c r="CE40" s="89">
        <f t="shared" ref="CE40:CF40" si="490">CE39/CE38</f>
        <v>0.57544517338331513</v>
      </c>
      <c r="CF40" s="89">
        <f t="shared" si="490"/>
        <v>0.28910614525139688</v>
      </c>
      <c r="CG40" s="89">
        <f t="shared" ref="CG40:CH40" si="491">CG39/CG38</f>
        <v>0.2232435981615232</v>
      </c>
      <c r="CH40" s="89">
        <f t="shared" si="491"/>
        <v>0.2516886930983846</v>
      </c>
      <c r="CI40" s="89">
        <f t="shared" ref="CI40:CJ40" si="492">CI39/CI38</f>
        <v>0.25543478260869584</v>
      </c>
      <c r="CJ40" s="89">
        <f t="shared" si="492"/>
        <v>0.25218629245474933</v>
      </c>
      <c r="CK40" s="89">
        <f t="shared" ref="CK40:CL40" si="493">CK39/CK38</f>
        <v>0.26061493411420195</v>
      </c>
      <c r="CL40" s="89">
        <f t="shared" si="493"/>
        <v>0.26940639269406363</v>
      </c>
      <c r="CM40" s="90">
        <f t="shared" ref="CM40:DA40" si="494">AVERAGE(CI40:CL40)</f>
        <v>0.25941060046792763</v>
      </c>
      <c r="CN40" s="90">
        <f t="shared" si="494"/>
        <v>0.26040455493273562</v>
      </c>
      <c r="CO40" s="90">
        <f t="shared" si="494"/>
        <v>0.26245912055223219</v>
      </c>
      <c r="CP40" s="90">
        <f t="shared" si="494"/>
        <v>0.26292016716173977</v>
      </c>
      <c r="CQ40" s="90">
        <f t="shared" si="494"/>
        <v>0.26129861077865879</v>
      </c>
      <c r="CR40" s="90">
        <f t="shared" si="494"/>
        <v>0.26177061335634161</v>
      </c>
      <c r="CS40" s="90">
        <f t="shared" si="494"/>
        <v>0.26211212796224309</v>
      </c>
      <c r="CT40" s="90">
        <f t="shared" si="494"/>
        <v>0.26202537981474583</v>
      </c>
      <c r="CU40" s="90">
        <f t="shared" si="494"/>
        <v>0.26180168297799733</v>
      </c>
      <c r="CV40" s="90">
        <f t="shared" si="494"/>
        <v>0.26192745102783199</v>
      </c>
      <c r="CW40" s="90">
        <f t="shared" si="494"/>
        <v>0.2619666604457046</v>
      </c>
      <c r="CX40" s="90">
        <f t="shared" si="494"/>
        <v>0.26193029356656994</v>
      </c>
      <c r="CY40" s="90">
        <f t="shared" si="494"/>
        <v>0.26190652200452597</v>
      </c>
      <c r="CZ40" s="90">
        <f t="shared" si="494"/>
        <v>0.26193273176115811</v>
      </c>
      <c r="DA40" s="90">
        <f t="shared" si="494"/>
        <v>0.26193405194448965</v>
      </c>
      <c r="DD40" s="126"/>
      <c r="DE40" s="89">
        <v>0.25495804729214389</v>
      </c>
    </row>
    <row r="41" spans="1:109" s="25" customFormat="1" x14ac:dyDescent="0.2">
      <c r="A41" s="25" t="s">
        <v>22</v>
      </c>
      <c r="B41" s="25">
        <f t="shared" ref="B41:E41" si="495">B38-B39</f>
        <v>0</v>
      </c>
      <c r="C41" s="25">
        <f t="shared" si="495"/>
        <v>0</v>
      </c>
      <c r="D41" s="25">
        <f t="shared" si="495"/>
        <v>25.146999999999998</v>
      </c>
      <c r="E41" s="25">
        <f t="shared" si="495"/>
        <v>27.926399999999958</v>
      </c>
      <c r="F41" s="25">
        <f t="shared" ref="F41:T41" si="496">F38-F39</f>
        <v>24.109900000000025</v>
      </c>
      <c r="G41" s="25">
        <f t="shared" si="496"/>
        <v>28.471000000000082</v>
      </c>
      <c r="H41" s="25">
        <f t="shared" si="496"/>
        <v>27.850500000000011</v>
      </c>
      <c r="I41" s="25">
        <f t="shared" si="496"/>
        <v>31.552299999999981</v>
      </c>
      <c r="J41" s="25">
        <f t="shared" si="496"/>
        <v>21.28780000000004</v>
      </c>
      <c r="K41" s="25">
        <f t="shared" si="496"/>
        <v>37.378499999999974</v>
      </c>
      <c r="L41" s="25">
        <f t="shared" si="496"/>
        <v>32.790399999999998</v>
      </c>
      <c r="M41" s="25">
        <f t="shared" si="496"/>
        <v>49.657199999999904</v>
      </c>
      <c r="N41" s="25">
        <f t="shared" si="496"/>
        <v>45.120799999999932</v>
      </c>
      <c r="O41" s="25">
        <f t="shared" si="496"/>
        <v>50.770999999999972</v>
      </c>
      <c r="P41" s="25">
        <f t="shared" si="496"/>
        <v>62.232600000000097</v>
      </c>
      <c r="Q41" s="25">
        <f t="shared" si="496"/>
        <v>78.728599999999986</v>
      </c>
      <c r="R41" s="25">
        <f t="shared" si="496"/>
        <v>84.091099999999926</v>
      </c>
      <c r="S41" s="25">
        <f t="shared" si="496"/>
        <v>63.615999999999758</v>
      </c>
      <c r="T41" s="25">
        <f t="shared" si="496"/>
        <v>34.884900000000144</v>
      </c>
      <c r="U41" s="25">
        <f t="shared" ref="U41:Z41" si="497">U38-U39</f>
        <v>170.03999999999976</v>
      </c>
      <c r="V41" s="25">
        <f t="shared" si="497"/>
        <v>95.989999999999782</v>
      </c>
      <c r="W41" s="25">
        <f t="shared" si="497"/>
        <v>8.2900000000001572</v>
      </c>
      <c r="X41" s="25">
        <f t="shared" si="497"/>
        <v>49.639999999999823</v>
      </c>
      <c r="Y41" s="25">
        <f t="shared" si="497"/>
        <v>40.099999999999739</v>
      </c>
      <c r="Z41" s="25">
        <f t="shared" si="497"/>
        <v>57.099999999999895</v>
      </c>
      <c r="AA41" s="25">
        <f t="shared" ref="AA41" si="498">AA38-AA39</f>
        <v>117.20999999999982</v>
      </c>
      <c r="AB41" s="26">
        <f t="shared" ref="AA41:AD41" si="499">AB38-AB39</f>
        <v>132.8669091196669</v>
      </c>
      <c r="AC41" s="26">
        <f t="shared" si="499"/>
        <v>170.06629291528762</v>
      </c>
      <c r="AD41" s="26">
        <f t="shared" si="499"/>
        <v>213.50278605656078</v>
      </c>
      <c r="AE41" s="26">
        <f t="shared" ref="AE41" si="500">AE38-AE39</f>
        <v>267.49821456170883</v>
      </c>
      <c r="AI41" s="25">
        <f>AI38-AI39</f>
        <v>13.359999999999964</v>
      </c>
      <c r="AJ41" s="25">
        <f t="shared" ref="AJ41" si="501">AJ38-AJ39</f>
        <v>8.7799999999999656</v>
      </c>
      <c r="AK41" s="25">
        <f t="shared" ref="AK41:AM41" si="502">AK38-AK39</f>
        <v>10.070000000000022</v>
      </c>
      <c r="AL41" s="25">
        <f t="shared" si="502"/>
        <v>16.159999999999982</v>
      </c>
      <c r="AM41" s="25">
        <f t="shared" si="502"/>
        <v>15.070000000000025</v>
      </c>
      <c r="AN41" s="25">
        <f t="shared" ref="AN41:AO41" si="503">AN38-AN39</f>
        <v>9.2399999999999913</v>
      </c>
      <c r="AO41" s="25">
        <f t="shared" si="503"/>
        <v>10.3</v>
      </c>
      <c r="AP41" s="25">
        <f t="shared" ref="AP41:CD41" si="504">AP38-AP39</f>
        <v>16.100000000000009</v>
      </c>
      <c r="AQ41" s="25">
        <f t="shared" si="504"/>
        <v>16.60999999999996</v>
      </c>
      <c r="AR41" s="25">
        <f t="shared" si="504"/>
        <v>13.779999999999992</v>
      </c>
      <c r="AS41" s="25">
        <f t="shared" si="504"/>
        <v>15.740000000000018</v>
      </c>
      <c r="AT41" s="25">
        <f t="shared" si="504"/>
        <v>21.279999999999944</v>
      </c>
      <c r="AU41" s="25">
        <f t="shared" si="504"/>
        <v>20.630000000000088</v>
      </c>
      <c r="AV41" s="25">
        <f t="shared" si="504"/>
        <v>16.319999999999922</v>
      </c>
      <c r="AW41" s="25">
        <f t="shared" si="504"/>
        <v>20.499999999999929</v>
      </c>
      <c r="AX41" s="25">
        <f t="shared" si="504"/>
        <v>34.949999999999974</v>
      </c>
      <c r="AY41" s="25">
        <f t="shared" si="504"/>
        <v>19.950000000000017</v>
      </c>
      <c r="AZ41" s="25">
        <f t="shared" si="504"/>
        <v>17.51999999999984</v>
      </c>
      <c r="BA41" s="25">
        <f t="shared" si="504"/>
        <v>16.259999999999934</v>
      </c>
      <c r="BB41" s="25">
        <f t="shared" si="504"/>
        <v>16.320000000000075</v>
      </c>
      <c r="BC41" s="25">
        <f t="shared" si="504"/>
        <v>7.229999999999916</v>
      </c>
      <c r="BD41" s="25">
        <f t="shared" si="504"/>
        <v>19.12999999999996</v>
      </c>
      <c r="BE41" s="25">
        <f t="shared" si="504"/>
        <v>20.940000000000012</v>
      </c>
      <c r="BF41" s="25">
        <f t="shared" si="504"/>
        <v>17.800000000000033</v>
      </c>
      <c r="BG41" s="25">
        <f t="shared" si="504"/>
        <v>14.249999999999993</v>
      </c>
      <c r="BH41" s="25">
        <f t="shared" si="504"/>
        <v>-15.120000000000012</v>
      </c>
      <c r="BI41" s="25">
        <f t="shared" si="504"/>
        <v>17.960000000000115</v>
      </c>
      <c r="BJ41" s="25">
        <f t="shared" si="504"/>
        <v>42.030000000000058</v>
      </c>
      <c r="BK41" s="25">
        <f t="shared" si="504"/>
        <v>27.929999999999982</v>
      </c>
      <c r="BL41" s="25">
        <f t="shared" si="504"/>
        <v>31.899999999999988</v>
      </c>
      <c r="BM41" s="25">
        <f t="shared" si="504"/>
        <v>68.180000000000135</v>
      </c>
      <c r="BN41" s="25">
        <f t="shared" si="504"/>
        <v>27.309999999999981</v>
      </c>
      <c r="BO41" s="25">
        <f t="shared" si="504"/>
        <v>26.720000000000041</v>
      </c>
      <c r="BP41" s="25">
        <f t="shared" si="504"/>
        <v>36.879999999999924</v>
      </c>
      <c r="BQ41" s="25">
        <f t="shared" si="504"/>
        <v>5.0799999999999805</v>
      </c>
      <c r="BR41" s="25">
        <f t="shared" si="504"/>
        <v>16.170000000000066</v>
      </c>
      <c r="BS41" s="25">
        <f t="shared" si="504"/>
        <v>-3.5000000000000782</v>
      </c>
      <c r="BT41" s="25">
        <f t="shared" si="504"/>
        <v>9.1399999999998585</v>
      </c>
      <c r="BU41" s="25">
        <f t="shared" si="504"/>
        <v>-13.519999999999921</v>
      </c>
      <c r="BV41" s="25">
        <f t="shared" si="504"/>
        <v>24.610000000000174</v>
      </c>
      <c r="BW41" s="25">
        <f t="shared" si="504"/>
        <v>8.1500000000000377</v>
      </c>
      <c r="BX41" s="25">
        <f t="shared" si="504"/>
        <v>4.0000000000043556E-2</v>
      </c>
      <c r="BY41" s="25">
        <f t="shared" si="504"/>
        <v>16.840000000000021</v>
      </c>
      <c r="BZ41" s="25">
        <f t="shared" si="504"/>
        <v>35.489999999999995</v>
      </c>
      <c r="CA41" s="25">
        <f t="shared" si="504"/>
        <v>16.580000000000027</v>
      </c>
      <c r="CB41" s="25">
        <f t="shared" si="504"/>
        <v>32.270000000000003</v>
      </c>
      <c r="CC41" s="25">
        <f t="shared" si="504"/>
        <v>-44.229999999999968</v>
      </c>
      <c r="CD41" s="25">
        <f t="shared" si="504"/>
        <v>26.029999999999955</v>
      </c>
      <c r="CE41" s="25">
        <f t="shared" ref="CE41:CF41" si="505">CE38-CE39</f>
        <v>9.0600000000000964</v>
      </c>
      <c r="CF41" s="25">
        <f t="shared" si="505"/>
        <v>10.179999999999986</v>
      </c>
      <c r="CG41" s="25">
        <f t="shared" ref="CG41:CH41" si="506">CG38-CG39</f>
        <v>11.830000000000007</v>
      </c>
      <c r="CH41" s="25">
        <f t="shared" si="506"/>
        <v>25.480000000000018</v>
      </c>
      <c r="CI41" s="25">
        <f t="shared" ref="CI41:CJ41" si="507">CI38-CI39</f>
        <v>24.659999999999975</v>
      </c>
      <c r="CJ41" s="25">
        <f t="shared" si="507"/>
        <v>36.769999999999904</v>
      </c>
      <c r="CK41" s="25">
        <f t="shared" ref="CK41:CL41" si="508">CK38-CK39</f>
        <v>30.300000000000011</v>
      </c>
      <c r="CL41" s="25">
        <f t="shared" si="508"/>
        <v>25.600000000000037</v>
      </c>
      <c r="CM41" s="26">
        <f t="shared" ref="CM41:DA41" si="509">CM38-CM39</f>
        <v>32.764750711845046</v>
      </c>
      <c r="CN41" s="26">
        <f t="shared" si="509"/>
        <v>37.031466917175059</v>
      </c>
      <c r="CO41" s="26">
        <f t="shared" si="509"/>
        <v>37.470691490646928</v>
      </c>
      <c r="CP41" s="26">
        <f t="shared" si="509"/>
        <v>37.825631931161467</v>
      </c>
      <c r="CQ41" s="26">
        <f t="shared" si="509"/>
        <v>40.884500871608935</v>
      </c>
      <c r="CR41" s="26">
        <f t="shared" si="509"/>
        <v>44.804302192054301</v>
      </c>
      <c r="CS41" s="26">
        <f t="shared" si="509"/>
        <v>46.551857920462794</v>
      </c>
      <c r="CT41" s="26">
        <f t="shared" si="509"/>
        <v>48.426216039850644</v>
      </c>
      <c r="CU41" s="26">
        <f t="shared" si="509"/>
        <v>51.140522020648575</v>
      </c>
      <c r="CV41" s="26">
        <f t="shared" si="509"/>
        <v>55.663398098796357</v>
      </c>
      <c r="CW41" s="26">
        <f t="shared" si="509"/>
        <v>58.272649897265467</v>
      </c>
      <c r="CX41" s="26">
        <f t="shared" si="509"/>
        <v>60.899287527400617</v>
      </c>
      <c r="CY41" s="26">
        <f t="shared" si="509"/>
        <v>64.177567279501432</v>
      </c>
      <c r="CZ41" s="26">
        <f t="shared" si="509"/>
        <v>69.481207599206471</v>
      </c>
      <c r="DA41" s="26">
        <f t="shared" si="509"/>
        <v>72.940152155600373</v>
      </c>
      <c r="DD41" s="120"/>
      <c r="DE41" s="25">
        <v>117.20999999999971</v>
      </c>
    </row>
    <row r="42" spans="1:109" s="44" customFormat="1" x14ac:dyDescent="0.2">
      <c r="A42" s="44" t="s">
        <v>107</v>
      </c>
      <c r="B42" s="44" t="e">
        <f t="shared" ref="B42:AE42" si="510">+B41/B10</f>
        <v>#DIV/0!</v>
      </c>
      <c r="C42" s="44" t="e">
        <f t="shared" si="510"/>
        <v>#DIV/0!</v>
      </c>
      <c r="D42" s="44">
        <f t="shared" si="510"/>
        <v>7.8050872892879389E-2</v>
      </c>
      <c r="E42" s="44">
        <f t="shared" si="510"/>
        <v>7.2987698693657455E-2</v>
      </c>
      <c r="F42" s="44">
        <f t="shared" si="510"/>
        <v>6.1189362701642186E-2</v>
      </c>
      <c r="G42" s="44">
        <f t="shared" si="510"/>
        <v>6.5774092524980524E-2</v>
      </c>
      <c r="H42" s="44">
        <f t="shared" si="510"/>
        <v>5.5567094415876643E-2</v>
      </c>
      <c r="I42" s="44">
        <f t="shared" si="510"/>
        <v>5.5297926312428178E-2</v>
      </c>
      <c r="J42" s="44">
        <f t="shared" si="510"/>
        <v>3.4778963300072407E-2</v>
      </c>
      <c r="K42" s="44">
        <f t="shared" si="510"/>
        <v>6.4703130022678121E-2</v>
      </c>
      <c r="L42" s="44">
        <f t="shared" si="510"/>
        <v>4.577514140004612E-2</v>
      </c>
      <c r="M42" s="44">
        <f t="shared" si="510"/>
        <v>6.1826889639502398E-2</v>
      </c>
      <c r="N42" s="44">
        <f t="shared" si="510"/>
        <v>5.0101528191658855E-2</v>
      </c>
      <c r="O42" s="44">
        <f t="shared" si="510"/>
        <v>4.6771977237410473E-2</v>
      </c>
      <c r="P42" s="44">
        <f t="shared" si="510"/>
        <v>5.0788283160066339E-2</v>
      </c>
      <c r="Q42" s="44">
        <f t="shared" si="510"/>
        <v>3.8642026427237915E-2</v>
      </c>
      <c r="R42" s="44">
        <f t="shared" si="510"/>
        <v>3.8553421556504423E-2</v>
      </c>
      <c r="S42" s="44">
        <f t="shared" si="510"/>
        <v>2.985346106525074E-2</v>
      </c>
      <c r="T42" s="44">
        <f t="shared" si="510"/>
        <v>1.4725134743705792E-2</v>
      </c>
      <c r="U42" s="44">
        <f t="shared" si="510"/>
        <v>6.5425666992435405E-2</v>
      </c>
      <c r="V42" s="44">
        <f t="shared" si="510"/>
        <v>3.897754497096674E-2</v>
      </c>
      <c r="W42" s="44">
        <f t="shared" si="510"/>
        <v>3.1577584105315078E-3</v>
      </c>
      <c r="X42" s="44">
        <f t="shared" si="510"/>
        <v>1.664141177101626E-2</v>
      </c>
      <c r="Y42" s="44">
        <f t="shared" si="510"/>
        <v>1.5728944395631883E-2</v>
      </c>
      <c r="Z42" s="44">
        <f t="shared" si="510"/>
        <v>2.2648125084285889E-2</v>
      </c>
      <c r="AA42" s="44">
        <f t="shared" ref="AA42" si="511">+AA41/AA10</f>
        <v>4.746477903628795E-2</v>
      </c>
      <c r="AB42" s="47">
        <f t="shared" si="510"/>
        <v>5.422883584843087E-2</v>
      </c>
      <c r="AC42" s="47">
        <f t="shared" si="510"/>
        <v>7.0045274873965016E-2</v>
      </c>
      <c r="AD42" s="47">
        <f t="shared" si="510"/>
        <v>8.8740982950144098E-2</v>
      </c>
      <c r="AE42" s="47">
        <f t="shared" si="510"/>
        <v>0.11219911937383434</v>
      </c>
      <c r="AI42" s="44">
        <f t="shared" ref="AI42:BN42" si="512">+AI41/AI10</f>
        <v>5.6257369041603354E-2</v>
      </c>
      <c r="AJ42" s="44">
        <f t="shared" si="512"/>
        <v>3.940754039497292E-2</v>
      </c>
      <c r="AK42" s="44">
        <f t="shared" si="512"/>
        <v>4.3945014182849754E-2</v>
      </c>
      <c r="AL42" s="44">
        <f t="shared" si="512"/>
        <v>6.2925898524200718E-2</v>
      </c>
      <c r="AM42" s="44">
        <f t="shared" si="512"/>
        <v>5.4492858434279604E-2</v>
      </c>
      <c r="AN42" s="44">
        <f t="shared" si="512"/>
        <v>3.4430077877557072E-2</v>
      </c>
      <c r="AO42" s="44">
        <f t="shared" si="512"/>
        <v>3.6613109626048634E-2</v>
      </c>
      <c r="AP42" s="44">
        <f t="shared" si="512"/>
        <v>5.5315055315055345E-2</v>
      </c>
      <c r="AQ42" s="44">
        <f t="shared" si="512"/>
        <v>5.3707116758819028E-2</v>
      </c>
      <c r="AR42" s="44">
        <f t="shared" si="512"/>
        <v>4.3836487991092708E-2</v>
      </c>
      <c r="AS42" s="44">
        <f t="shared" si="512"/>
        <v>5.0751273618365948E-2</v>
      </c>
      <c r="AT42" s="44">
        <f t="shared" si="512"/>
        <v>4.8105615335925368E-2</v>
      </c>
      <c r="AU42" s="44">
        <f t="shared" si="512"/>
        <v>3.786432714191338E-2</v>
      </c>
      <c r="AV42" s="44">
        <f t="shared" si="512"/>
        <v>3.1409380473065157E-2</v>
      </c>
      <c r="AW42" s="44">
        <f t="shared" si="512"/>
        <v>3.888762425070174E-2</v>
      </c>
      <c r="AX42" s="44">
        <f t="shared" si="512"/>
        <v>6.6494168680200097E-2</v>
      </c>
      <c r="AY42" s="44">
        <f t="shared" si="512"/>
        <v>3.4895924435892976E-2</v>
      </c>
      <c r="AZ42" s="44">
        <f t="shared" si="512"/>
        <v>3.1453089655667378E-2</v>
      </c>
      <c r="BA42" s="44">
        <f t="shared" si="512"/>
        <v>3.1118426088953408E-2</v>
      </c>
      <c r="BB42" s="44">
        <f t="shared" si="512"/>
        <v>3.1972415954862617E-2</v>
      </c>
      <c r="BC42" s="44">
        <f t="shared" si="512"/>
        <v>1.41548220368846E-2</v>
      </c>
      <c r="BD42" s="44">
        <f t="shared" si="512"/>
        <v>3.4961712082168174E-2</v>
      </c>
      <c r="BE42" s="44">
        <f t="shared" si="512"/>
        <v>3.7390854061389589E-2</v>
      </c>
      <c r="BF42" s="44">
        <f t="shared" si="512"/>
        <v>3.2187483047322885E-2</v>
      </c>
      <c r="BG42" s="44">
        <f t="shared" si="512"/>
        <v>2.3930274736347141E-2</v>
      </c>
      <c r="BH42" s="44">
        <f t="shared" si="512"/>
        <v>-2.4803556488787563E-2</v>
      </c>
      <c r="BI42" s="44">
        <f t="shared" si="512"/>
        <v>2.9351201176663035E-2</v>
      </c>
      <c r="BJ42" s="44">
        <f t="shared" si="512"/>
        <v>6.6971541476783927E-2</v>
      </c>
      <c r="BK42" s="44">
        <f t="shared" si="512"/>
        <v>4.4071005917159733E-2</v>
      </c>
      <c r="BL42" s="44">
        <f t="shared" si="512"/>
        <v>4.9066354938936213E-2</v>
      </c>
      <c r="BM42" s="44">
        <f t="shared" si="512"/>
        <v>0.10061092583301379</v>
      </c>
      <c r="BN42" s="44">
        <f t="shared" si="512"/>
        <v>4.7224623897630956E-2</v>
      </c>
      <c r="BO42" s="44">
        <f t="shared" ref="BO42:CT42" si="513">+BO41/BO10</f>
        <v>4.1698528379032193E-2</v>
      </c>
      <c r="BP42" s="44">
        <f t="shared" si="513"/>
        <v>5.3768770957865468E-2</v>
      </c>
      <c r="BQ42" s="44">
        <f t="shared" si="513"/>
        <v>9.1086765523300302E-3</v>
      </c>
      <c r="BR42" s="44">
        <f t="shared" si="513"/>
        <v>2.5571686118227639E-2</v>
      </c>
      <c r="BS42" s="44">
        <f t="shared" si="513"/>
        <v>-5.2819026922613765E-3</v>
      </c>
      <c r="BT42" s="44">
        <f t="shared" si="513"/>
        <v>1.3667698473225158E-2</v>
      </c>
      <c r="BU42" s="44">
        <f t="shared" si="513"/>
        <v>-2.043623501670257E-2</v>
      </c>
      <c r="BV42" s="44">
        <f t="shared" si="513"/>
        <v>3.3781279598083996E-2</v>
      </c>
      <c r="BW42" s="44">
        <f t="shared" si="513"/>
        <v>1.0281706132438515E-2</v>
      </c>
      <c r="BX42" s="44">
        <f t="shared" si="513"/>
        <v>5.2013575543273411E-5</v>
      </c>
      <c r="BY42" s="44">
        <f t="shared" si="513"/>
        <v>2.4310317448860301E-2</v>
      </c>
      <c r="BZ42" s="44">
        <f t="shared" si="513"/>
        <v>5.3648360618566045E-2</v>
      </c>
      <c r="CA42" s="44">
        <f t="shared" si="513"/>
        <v>2.6668811323789648E-2</v>
      </c>
      <c r="CB42" s="44">
        <f t="shared" si="513"/>
        <v>4.871090448013525E-2</v>
      </c>
      <c r="CC42" s="44">
        <f t="shared" si="513"/>
        <v>-7.3261226044755046E-2</v>
      </c>
      <c r="CD42" s="44">
        <f t="shared" si="513"/>
        <v>4.2663738280993832E-2</v>
      </c>
      <c r="CE42" s="44">
        <f t="shared" si="513"/>
        <v>1.4168425991086239E-2</v>
      </c>
      <c r="CF42" s="44">
        <f t="shared" si="513"/>
        <v>1.5601532567049787E-2</v>
      </c>
      <c r="CG42" s="44">
        <f t="shared" si="513"/>
        <v>1.9108074494031766E-2</v>
      </c>
      <c r="CH42" s="44">
        <f t="shared" si="513"/>
        <v>4.1775285688521666E-2</v>
      </c>
      <c r="CI42" s="44">
        <f t="shared" si="513"/>
        <v>4.0278980121849592E-2</v>
      </c>
      <c r="CJ42" s="44">
        <f t="shared" si="513"/>
        <v>5.8857426408208201E-2</v>
      </c>
      <c r="CK42" s="44">
        <f t="shared" ref="CK42:CL42" si="514">+CK41/CK10</f>
        <v>4.8673134999678742E-2</v>
      </c>
      <c r="CL42" s="44">
        <f t="shared" si="514"/>
        <v>4.175501549502534E-2</v>
      </c>
      <c r="CM42" s="47">
        <f t="shared" si="513"/>
        <v>5.4531650288537077E-2</v>
      </c>
      <c r="CN42" s="47">
        <f t="shared" si="513"/>
        <v>6.0033268884198673E-2</v>
      </c>
      <c r="CO42" s="47">
        <f t="shared" si="513"/>
        <v>6.0502251828517054E-2</v>
      </c>
      <c r="CP42" s="47">
        <f t="shared" si="513"/>
        <v>6.217995298465382E-2</v>
      </c>
      <c r="CQ42" s="47">
        <f t="shared" si="513"/>
        <v>6.8804880044171984E-2</v>
      </c>
      <c r="CR42" s="47">
        <f t="shared" si="513"/>
        <v>7.3304249616217843E-2</v>
      </c>
      <c r="CS42" s="47">
        <f t="shared" si="513"/>
        <v>7.5792245538197314E-2</v>
      </c>
      <c r="CT42" s="47">
        <f t="shared" si="513"/>
        <v>8.0333563812569245E-2</v>
      </c>
      <c r="CU42" s="47">
        <f t="shared" ref="CU42:DA42" si="515">+CU41/CU10</f>
        <v>8.6879499235613653E-2</v>
      </c>
      <c r="CV42" s="47">
        <f t="shared" si="515"/>
        <v>9.1894424166613795E-2</v>
      </c>
      <c r="CW42" s="47">
        <f t="shared" si="515"/>
        <v>9.5728873710218612E-2</v>
      </c>
      <c r="CX42" s="47">
        <f t="shared" si="515"/>
        <v>0.10195060104740761</v>
      </c>
      <c r="CY42" s="47">
        <f t="shared" si="515"/>
        <v>0.11002684949556422</v>
      </c>
      <c r="CZ42" s="47">
        <f t="shared" si="515"/>
        <v>0.11574920053396044</v>
      </c>
      <c r="DA42" s="47">
        <f t="shared" si="515"/>
        <v>0.12091532286900354</v>
      </c>
      <c r="DD42" s="128"/>
      <c r="DE42" s="44">
        <v>4.7464779036287909E-2</v>
      </c>
    </row>
    <row r="43" spans="1:109" s="38" customFormat="1" x14ac:dyDescent="0.2">
      <c r="A43" s="38" t="s">
        <v>451</v>
      </c>
      <c r="C43" s="38" t="e">
        <f t="shared" ref="C43:E43" si="516">+IF(B41&lt;0,1-C41/B41,C41/B41-1)</f>
        <v>#DIV/0!</v>
      </c>
      <c r="D43" s="38" t="e">
        <f t="shared" si="516"/>
        <v>#DIV/0!</v>
      </c>
      <c r="E43" s="38">
        <f t="shared" si="516"/>
        <v>0.11052610649381478</v>
      </c>
      <c r="F43" s="38">
        <f t="shared" ref="F43:AE43" si="517">+IF(E41&lt;0,1-F41/E41,F41/E41-1)</f>
        <v>-0.13666279935831116</v>
      </c>
      <c r="G43" s="38">
        <f t="shared" si="517"/>
        <v>0.1808842010958176</v>
      </c>
      <c r="H43" s="38">
        <f t="shared" si="517"/>
        <v>-2.1794106283589243E-2</v>
      </c>
      <c r="I43" s="38">
        <f t="shared" si="517"/>
        <v>0.13291682375540725</v>
      </c>
      <c r="J43" s="38">
        <f t="shared" si="517"/>
        <v>-0.32531701333975482</v>
      </c>
      <c r="K43" s="38">
        <f t="shared" si="517"/>
        <v>0.75586486156389587</v>
      </c>
      <c r="L43" s="38">
        <f t="shared" si="517"/>
        <v>-0.12274703372259399</v>
      </c>
      <c r="M43" s="38">
        <f t="shared" si="517"/>
        <v>0.51438225822191574</v>
      </c>
      <c r="N43" s="38">
        <f t="shared" si="517"/>
        <v>-9.1354325253940605E-2</v>
      </c>
      <c r="O43" s="38">
        <f t="shared" si="517"/>
        <v>0.12522384354887439</v>
      </c>
      <c r="P43" s="38">
        <f t="shared" si="517"/>
        <v>0.22575092080124737</v>
      </c>
      <c r="Q43" s="38">
        <f t="shared" si="517"/>
        <v>0.26507007581235342</v>
      </c>
      <c r="R43" s="38">
        <f t="shared" si="517"/>
        <v>6.8113747735891961E-2</v>
      </c>
      <c r="S43" s="38">
        <f t="shared" si="517"/>
        <v>-0.24348712289410157</v>
      </c>
      <c r="T43" s="38">
        <f t="shared" si="517"/>
        <v>-0.45163323692152479</v>
      </c>
      <c r="U43" s="38">
        <f t="shared" si="517"/>
        <v>3.8743152481445859</v>
      </c>
      <c r="V43" s="38">
        <f t="shared" si="517"/>
        <v>-0.43548576805457595</v>
      </c>
      <c r="W43" s="38">
        <f t="shared" si="517"/>
        <v>-0.91363683717053679</v>
      </c>
      <c r="X43" s="38">
        <f t="shared" si="517"/>
        <v>4.9879372738237491</v>
      </c>
      <c r="Y43" s="38">
        <f t="shared" si="517"/>
        <v>-0.1921837228041926</v>
      </c>
      <c r="Z43" s="38">
        <f t="shared" ref="Z43:AA43" si="518">+IF(Y41&lt;0,1-Z41/Y41,Z41/Y41-1)</f>
        <v>0.42394014962594184</v>
      </c>
      <c r="AA43" s="38">
        <f t="shared" si="518"/>
        <v>1.0527145359019272</v>
      </c>
      <c r="AB43" s="39">
        <f t="shared" si="517"/>
        <v>0.13357997713221659</v>
      </c>
      <c r="AC43" s="39">
        <f t="shared" si="517"/>
        <v>0.2799747810955473</v>
      </c>
      <c r="AD43" s="39">
        <f t="shared" si="517"/>
        <v>0.25540918424622494</v>
      </c>
      <c r="AE43" s="39">
        <f t="shared" si="517"/>
        <v>0.25290268807472938</v>
      </c>
      <c r="AM43" s="38">
        <f>+IF(AI41&lt;0,1-AM41/AI41,AM41/AI41-1)</f>
        <v>0.12799401197605276</v>
      </c>
      <c r="AN43" s="38">
        <f t="shared" ref="AN43" si="519">+IF(AJ41&lt;0,1-AN41/AJ41,AN41/AJ41-1)</f>
        <v>5.2391799544422302E-2</v>
      </c>
      <c r="AO43" s="38">
        <f t="shared" ref="AO43" si="520">+IF(AK41&lt;0,1-AO41/AK41,AO41/AK41-1)</f>
        <v>2.2840119165836947E-2</v>
      </c>
      <c r="AP43" s="38">
        <f t="shared" ref="AP43" si="521">+IF(AL41&lt;0,1-AP41/AL41,AP41/AL41-1)</f>
        <v>-3.7128712871270508E-3</v>
      </c>
      <c r="AQ43" s="38">
        <f t="shared" ref="AQ43" si="522">+IF(AM41&lt;0,1-AQ41/AM41,AQ41/AM41-1)</f>
        <v>0.10218978102189324</v>
      </c>
      <c r="AR43" s="38">
        <f t="shared" ref="AR43" si="523">+IF(AN41&lt;0,1-AR41/AN41,AR41/AN41-1)</f>
        <v>0.49134199134199186</v>
      </c>
      <c r="AS43" s="38">
        <f t="shared" ref="AS43" si="524">+IF(AO41&lt;0,1-AS41/AO41,AS41/AO41-1)</f>
        <v>0.52815533980582696</v>
      </c>
      <c r="AT43" s="38">
        <f t="shared" ref="AT43" si="525">+IF(AP41&lt;0,1-AT41/AP41,AT41/AP41-1)</f>
        <v>0.32173913043477853</v>
      </c>
      <c r="AU43" s="38">
        <f t="shared" ref="AU43" si="526">+IF(AQ41&lt;0,1-AU41/AQ41,AU41/AQ41-1)</f>
        <v>0.24202287778447551</v>
      </c>
      <c r="AV43" s="38">
        <f t="shared" ref="AV43" si="527">+IF(AR41&lt;0,1-AV41/AR41,AV41/AR41-1)</f>
        <v>0.18432510885340569</v>
      </c>
      <c r="AW43" s="38">
        <f t="shared" ref="AW43" si="528">+IF(AS41&lt;0,1-AW41/AS41,AW41/AS41-1)</f>
        <v>0.30241423125793565</v>
      </c>
      <c r="AX43" s="38">
        <f t="shared" ref="AX43" si="529">+IF(AT41&lt;0,1-AX41/AT41,AX41/AT41-1)</f>
        <v>0.64238721804511578</v>
      </c>
      <c r="AY43" s="38">
        <f t="shared" ref="AY43" si="530">+IF(AU41&lt;0,1-AY41/AU41,AY41/AU41-1)</f>
        <v>-3.2961706253032852E-2</v>
      </c>
      <c r="AZ43" s="38">
        <f t="shared" ref="AZ43" si="531">+IF(AV41&lt;0,1-AZ41/AV41,AZ41/AV41-1)</f>
        <v>7.352941176470118E-2</v>
      </c>
      <c r="BA43" s="38">
        <f t="shared" ref="BA43" si="532">+IF(AW41&lt;0,1-BA41/AW41,BA41/AW41-1)</f>
        <v>-0.20682926829268344</v>
      </c>
      <c r="BB43" s="38">
        <f t="shared" ref="BB43" si="533">+IF(AX41&lt;0,1-BB41/AX41,BB41/AX41-1)</f>
        <v>-0.53304721030042668</v>
      </c>
      <c r="BC43" s="38">
        <f t="shared" ref="BC43" si="534">+IF(AY41&lt;0,1-BC41/AY41,BC41/AY41-1)</f>
        <v>-0.6375939849624106</v>
      </c>
      <c r="BD43" s="38">
        <f t="shared" ref="BD43" si="535">+IF(AZ41&lt;0,1-BD41/AZ41,BD41/AZ41-1)</f>
        <v>9.1894977168957448E-2</v>
      </c>
      <c r="BE43" s="38">
        <f t="shared" ref="BE43" si="536">+IF(BA41&lt;0,1-BE41/BA41,BE41/BA41-1)</f>
        <v>0.28782287822878816</v>
      </c>
      <c r="BF43" s="38">
        <f t="shared" ref="BF43" si="537">+IF(BB41&lt;0,1-BF41/BB41,BF41/BB41-1)</f>
        <v>9.0686274509800935E-2</v>
      </c>
      <c r="BG43" s="38">
        <f t="shared" ref="BG43" si="538">+IF(BC41&lt;0,1-BG41/BC41,BG41/BC41-1)</f>
        <v>0.97095435684649489</v>
      </c>
      <c r="BH43" s="38">
        <f t="shared" ref="BH43" si="539">+IF(BD41&lt;0,1-BH41/BD41,BH41/BD41-1)</f>
        <v>-1.7903815995818109</v>
      </c>
      <c r="BI43" s="38">
        <f t="shared" ref="BI43" si="540">+IF(BE41&lt;0,1-BI41/BE41,BI41/BE41-1)</f>
        <v>-0.14231136580706283</v>
      </c>
      <c r="BJ43" s="38">
        <f t="shared" ref="BJ43" si="541">+IF(BF41&lt;0,1-BJ41/BF41,BJ41/BF41-1)</f>
        <v>1.3612359550561788</v>
      </c>
      <c r="BK43" s="38">
        <f t="shared" ref="BK43" si="542">+IF(BG41&lt;0,1-BK41/BG41,BK41/BG41-1)</f>
        <v>0.95999999999999974</v>
      </c>
      <c r="BL43" s="38">
        <f t="shared" ref="BL43" si="543">+IF(BH41&lt;0,1-BL41/BH41,BL41/BH41-1)</f>
        <v>3.1097883597883573</v>
      </c>
      <c r="BM43" s="38">
        <f t="shared" ref="BM43" si="544">+IF(BI41&lt;0,1-BM41/BI41,BM41/BI41-1)</f>
        <v>2.7962138084632349</v>
      </c>
      <c r="BN43" s="38">
        <f t="shared" ref="BN43" si="545">+IF(BJ41&lt;0,1-BN41/BJ41,BN41/BJ41-1)</f>
        <v>-0.35022602902688693</v>
      </c>
      <c r="BO43" s="38">
        <f t="shared" ref="BO43" si="546">+IF(BK41&lt;0,1-BO41/BK41,BO41/BK41-1)</f>
        <v>-4.3322592194770526E-2</v>
      </c>
      <c r="BP43" s="38">
        <f t="shared" ref="BP43" si="547">+IF(BL41&lt;0,1-BP41/BL41,BP41/BL41-1)</f>
        <v>0.15611285266457497</v>
      </c>
      <c r="BQ43" s="38">
        <f t="shared" ref="BQ43" si="548">+IF(BM41&lt;0,1-BQ41/BM41,BQ41/BM41-1)</f>
        <v>-0.92549134643590536</v>
      </c>
      <c r="BR43" s="38">
        <f t="shared" ref="BR43" si="549">+IF(BN41&lt;0,1-BR41/BN41,BR41/BN41-1)</f>
        <v>-0.4079091907726079</v>
      </c>
      <c r="BS43" s="38">
        <f t="shared" ref="BS43" si="550">+IF(BO41&lt;0,1-BS41/BO41,BS41/BO41-1)</f>
        <v>-1.1309880239520984</v>
      </c>
      <c r="BT43" s="38">
        <f t="shared" ref="BT43" si="551">+IF(BP41&lt;0,1-BT41/BP41,BT41/BP41-1)</f>
        <v>-0.75216919739696642</v>
      </c>
      <c r="BU43" s="38">
        <f t="shared" ref="BU43" si="552">+IF(BQ41&lt;0,1-BU41/BQ41,BU41/BQ41-1)</f>
        <v>-3.6614173228346405</v>
      </c>
      <c r="BV43" s="38">
        <f t="shared" ref="BV43" si="553">+IF(BR41&lt;0,1-BV41/BR41,BV41/BR41-1)</f>
        <v>0.52195423623995518</v>
      </c>
      <c r="BW43" s="38">
        <f t="shared" ref="BW43" si="554">+IF(BS41&lt;0,1-BW41/BS41,BW41/BS41-1)</f>
        <v>3.3285714285713874</v>
      </c>
      <c r="BX43" s="38">
        <f t="shared" ref="BX43" si="555">+IF(BT41&lt;0,1-BX41/BT41,BX41/BT41-1)</f>
        <v>-0.99562363238511553</v>
      </c>
      <c r="BY43" s="38">
        <f t="shared" ref="BY43" si="556">+IF(BU41&lt;0,1-BY41/BU41,BY41/BU41-1)</f>
        <v>2.2455621301775235</v>
      </c>
      <c r="BZ43" s="38">
        <f t="shared" ref="BZ43" si="557">+IF(BV41&lt;0,1-BZ41/BV41,BZ41/BV41-1)</f>
        <v>0.44209670865500783</v>
      </c>
      <c r="CA43" s="38">
        <f t="shared" ref="CA43" si="558">+IF(BW41&lt;0,1-CA41/BW41,CA41/BW41-1)</f>
        <v>1.0343558282208529</v>
      </c>
      <c r="CB43" s="38">
        <f t="shared" ref="CB43" si="559">+IF(BX41&lt;0,1-CB41/BX41,CB41/BX41-1)</f>
        <v>805.74999999912166</v>
      </c>
      <c r="CC43" s="38">
        <f t="shared" ref="CC43" si="560">+IF(BY41&lt;0,1-CC41/BY41,CC41/BY41-1)</f>
        <v>-3.626484560570066</v>
      </c>
      <c r="CD43" s="38">
        <f t="shared" ref="CD43" si="561">+IF(BZ41&lt;0,1-CD41/BZ41,CD41/BZ41-1)</f>
        <v>-0.26655395886165234</v>
      </c>
      <c r="CE43" s="38">
        <f t="shared" ref="CE43" si="562">+IF(CA41&lt;0,1-CE41/CA41,CE41/CA41-1)</f>
        <v>-0.45355850422194921</v>
      </c>
      <c r="CF43" s="38">
        <f t="shared" ref="CF43" si="563">+IF(CB41&lt;0,1-CF41/CB41,CF41/CB41-1)</f>
        <v>-0.68453672141307764</v>
      </c>
      <c r="CG43" s="38">
        <f t="shared" ref="CG43" si="564">+IF(CC41&lt;0,1-CG41/CC41,CG41/CC41-1)</f>
        <v>1.2674655211394985</v>
      </c>
      <c r="CH43" s="38">
        <f t="shared" ref="CH43:CL43" si="565">+IF(CD41&lt;0,1-CH41/CD41,CH41/CD41-1)</f>
        <v>-2.1129466000765929E-2</v>
      </c>
      <c r="CI43" s="38">
        <f t="shared" si="565"/>
        <v>1.72185430463573</v>
      </c>
      <c r="CJ43" s="38">
        <f t="shared" si="565"/>
        <v>2.6119842829076578</v>
      </c>
      <c r="CK43" s="38">
        <f t="shared" si="565"/>
        <v>1.5612848689771761</v>
      </c>
      <c r="CL43" s="38">
        <f t="shared" si="565"/>
        <v>4.7095761381483747E-3</v>
      </c>
      <c r="CM43" s="39">
        <f t="shared" ref="CM43" si="566">+CM41/CI41-1</f>
        <v>0.32865980177798382</v>
      </c>
      <c r="CN43" s="39">
        <f t="shared" ref="CN43" si="567">+CN41/CJ41-1</f>
        <v>7.1108761809941523E-3</v>
      </c>
      <c r="CO43" s="39">
        <f t="shared" ref="CO43" si="568">+CO41/CK41-1</f>
        <v>0.23665648483983204</v>
      </c>
      <c r="CP43" s="39">
        <f t="shared" ref="CP43" si="569">+CP41/CL41-1</f>
        <v>0.4775637473109926</v>
      </c>
      <c r="CQ43" s="39">
        <f t="shared" ref="CQ43" si="570">+CQ41/CM41-1</f>
        <v>0.24781968375631358</v>
      </c>
      <c r="CR43" s="39">
        <f t="shared" ref="CR43" si="571">+CR41/CN41-1</f>
        <v>0.20989811967924576</v>
      </c>
      <c r="CS43" s="39">
        <f t="shared" ref="CS43" si="572">+CS41/CO41-1</f>
        <v>0.24235385226564654</v>
      </c>
      <c r="CT43" s="39">
        <f t="shared" ref="CT43" si="573">+CT41/CP41-1</f>
        <v>0.2802486982367165</v>
      </c>
      <c r="CU43" s="39">
        <f t="shared" ref="CU43" si="574">+CU41/CQ41-1</f>
        <v>0.25085352469501809</v>
      </c>
      <c r="CV43" s="39">
        <f t="shared" ref="CV43" si="575">+CV41/CR41-1</f>
        <v>0.24236725884479537</v>
      </c>
      <c r="CW43" s="39">
        <f t="shared" ref="CW43" si="576">+CW41/CS41-1</f>
        <v>0.25177925222294006</v>
      </c>
      <c r="CX43" s="39">
        <f t="shared" ref="CX43" si="577">+CX41/CT41-1</f>
        <v>0.25756857560965951</v>
      </c>
      <c r="CY43" s="39">
        <f t="shared" ref="CY43" si="578">+CY41/CU41-1</f>
        <v>0.25492593238663064</v>
      </c>
      <c r="CZ43" s="39">
        <f t="shared" ref="CZ43" si="579">+CZ41/CV41-1</f>
        <v>0.24823869854091618</v>
      </c>
      <c r="DA43" s="39">
        <f t="shared" ref="DA43" si="580">+DA41/CW41-1</f>
        <v>0.251704741146896</v>
      </c>
      <c r="DD43" s="121"/>
      <c r="DE43" s="38">
        <v>1.052714535901925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-0.34281437125748582</v>
      </c>
      <c r="AK44" s="38">
        <f t="shared" ref="AK44:AM44" si="581">+IF(AJ41&lt;0,1-AK41/AJ41,AK41/AJ41-1)</f>
        <v>0.1469248291571823</v>
      </c>
      <c r="AL44" s="38">
        <f t="shared" si="581"/>
        <v>0.60476663356503946</v>
      </c>
      <c r="AM44" s="38">
        <f t="shared" si="581"/>
        <v>-6.7450495049502401E-2</v>
      </c>
      <c r="AN44" s="38">
        <f t="shared" ref="AN44" si="582">+IF(AM41&lt;0,1-AN41/AM41,AN41/AM41-1)</f>
        <v>-0.38686131386861478</v>
      </c>
      <c r="AO44" s="38">
        <f t="shared" ref="AO44" si="583">+IF(AN41&lt;0,1-AO41/AN41,AO41/AN41-1)</f>
        <v>0.11471861471861589</v>
      </c>
      <c r="AP44" s="38">
        <f t="shared" ref="AP44" si="584">+IF(AO41&lt;0,1-AP41/AO41,AP41/AO41-1)</f>
        <v>0.56310679611650549</v>
      </c>
      <c r="AQ44" s="38">
        <f t="shared" ref="AQ44" si="585">+IF(AP41&lt;0,1-AQ41/AP41,AQ41/AP41-1)</f>
        <v>3.1677018633537335E-2</v>
      </c>
      <c r="AR44" s="38">
        <f t="shared" ref="AR44" si="586">+IF(AQ41&lt;0,1-AR41/AQ41,AR41/AQ41-1)</f>
        <v>-0.17037928958458604</v>
      </c>
      <c r="AS44" s="38">
        <f t="shared" ref="AS44" si="587">+IF(AR41&lt;0,1-AS41/AR41,AS41/AR41-1)</f>
        <v>0.14223512336720079</v>
      </c>
      <c r="AT44" s="38">
        <f t="shared" ref="AT44" si="588">+IF(AS41&lt;0,1-AT41/AS41,AT41/AS41-1)</f>
        <v>0.35196950444726305</v>
      </c>
      <c r="AU44" s="38">
        <f t="shared" ref="AU44" si="589">+IF(AT41&lt;0,1-AU41/AT41,AU41/AT41-1)</f>
        <v>-3.0545112781948269E-2</v>
      </c>
      <c r="AV44" s="38">
        <f t="shared" ref="AV44" si="590">+IF(AU41&lt;0,1-AV41/AU41,AV41/AU41-1)</f>
        <v>-0.20891904992729748</v>
      </c>
      <c r="AW44" s="38">
        <f t="shared" ref="AW44" si="591">+IF(AV41&lt;0,1-AW41/AV41,AW41/AV41-1)</f>
        <v>0.25612745098039369</v>
      </c>
      <c r="AX44" s="38">
        <f t="shared" ref="AX44" si="592">+IF(AW41&lt;0,1-AX41/AW41,AX41/AW41-1)</f>
        <v>0.70487804878049243</v>
      </c>
      <c r="AY44" s="38">
        <f t="shared" ref="AY44" si="593">+IF(AX41&lt;0,1-AY41/AX41,AY41/AX41-1)</f>
        <v>-0.4291845493562223</v>
      </c>
      <c r="AZ44" s="38">
        <f t="shared" ref="AZ44" si="594">+IF(AY41&lt;0,1-AZ41/AY41,AZ41/AY41-1)</f>
        <v>-0.12180451127820424</v>
      </c>
      <c r="BA44" s="38">
        <f t="shared" ref="BA44" si="595">+IF(AZ41&lt;0,1-BA41/AZ41,BA41/AZ41-1)</f>
        <v>-7.1917808219173374E-2</v>
      </c>
      <c r="BB44" s="38">
        <f t="shared" ref="BB44" si="596">+IF(BA41&lt;0,1-BB41/BA41,BB41/BA41-1)</f>
        <v>3.6900369003776134E-3</v>
      </c>
      <c r="BC44" s="38">
        <f t="shared" ref="BC44" si="597">+IF(BB41&lt;0,1-BC41/BB41,BC41/BB41-1)</f>
        <v>-0.55698529411765429</v>
      </c>
      <c r="BD44" s="38">
        <f t="shared" ref="BD44" si="598">+IF(BC41&lt;0,1-BD41/BC41,BD41/BC41-1)</f>
        <v>1.6459197786998869</v>
      </c>
      <c r="BE44" s="38">
        <f t="shared" ref="BE44" si="599">+IF(BD41&lt;0,1-BE41/BD41,BE41/BD41-1)</f>
        <v>9.461578672242843E-2</v>
      </c>
      <c r="BF44" s="38">
        <f t="shared" ref="BF44" si="600">+IF(BE41&lt;0,1-BF41/BE41,BF41/BE41-1)</f>
        <v>-0.14995224450811739</v>
      </c>
      <c r="BG44" s="38">
        <f t="shared" ref="BG44" si="601">+IF(BF41&lt;0,1-BG41/BF41,BG41/BF41-1)</f>
        <v>-0.19943820224719289</v>
      </c>
      <c r="BH44" s="38">
        <f t="shared" ref="BH44" si="602">+IF(BG41&lt;0,1-BH41/BG41,BH41/BG41-1)</f>
        <v>-2.0610526315789488</v>
      </c>
      <c r="BI44" s="38">
        <f t="shared" ref="BI44" si="603">+IF(BH41&lt;0,1-BI41/BH41,BI41/BH41-1)</f>
        <v>2.1878306878306946</v>
      </c>
      <c r="BJ44" s="38">
        <f t="shared" ref="BJ44" si="604">+IF(BI41&lt;0,1-BJ41/BI41,BJ41/BI41-1)</f>
        <v>1.3402004454342866</v>
      </c>
      <c r="BK44" s="38">
        <f t="shared" ref="BK44" si="605">+IF(BJ41&lt;0,1-BK41/BJ41,BK41/BJ41-1)</f>
        <v>-0.33547466095646106</v>
      </c>
      <c r="BL44" s="38">
        <f t="shared" ref="BL44" si="606">+IF(BK41&lt;0,1-BL41/BK41,BL41/BK41-1)</f>
        <v>0.14214106695309736</v>
      </c>
      <c r="BM44" s="38">
        <f t="shared" ref="BM44" si="607">+IF(BL41&lt;0,1-BM41/BL41,BM41/BL41-1)</f>
        <v>1.1373040752351149</v>
      </c>
      <c r="BN44" s="38">
        <f t="shared" ref="BN44" si="608">+IF(BM41&lt;0,1-BN41/BM41,BN41/BM41-1)</f>
        <v>-0.59944265180404921</v>
      </c>
      <c r="BO44" s="38">
        <f t="shared" ref="BO44" si="609">+IF(BN41&lt;0,1-BO41/BN41,BO41/BN41-1)</f>
        <v>-2.1603808128888291E-2</v>
      </c>
      <c r="BP44" s="38">
        <f t="shared" ref="BP44" si="610">+IF(BO41&lt;0,1-BP41/BO41,BP41/BO41-1)</f>
        <v>0.38023952095807889</v>
      </c>
      <c r="BQ44" s="38">
        <f t="shared" ref="BQ44" si="611">+IF(BP41&lt;0,1-BQ41/BP41,BQ41/BP41-1)</f>
        <v>-0.86225596529284187</v>
      </c>
      <c r="BR44" s="38">
        <f t="shared" ref="BR44" si="612">+IF(BQ41&lt;0,1-BR41/BQ41,BR41/BQ41-1)</f>
        <v>2.1830708661417573</v>
      </c>
      <c r="BS44" s="38">
        <f t="shared" ref="BS44" si="613">+IF(BR41&lt;0,1-BS41/BR41,BS41/BR41-1)</f>
        <v>-1.2164502164502204</v>
      </c>
      <c r="BT44" s="38">
        <f t="shared" ref="BT44" si="614">+IF(BS41&lt;0,1-BT41/BS41,BT41/BS41-1)</f>
        <v>3.6114285714284726</v>
      </c>
      <c r="BU44" s="38">
        <f t="shared" ref="BU44" si="615">+IF(BT41&lt;0,1-BU41/BT41,BU41/BT41-1)</f>
        <v>-2.4792122538293357</v>
      </c>
      <c r="BV44" s="38">
        <f t="shared" ref="BV44" si="616">+IF(BU41&lt;0,1-BV41/BU41,BV41/BU41-1)</f>
        <v>2.8202662721893725</v>
      </c>
      <c r="BW44" s="38">
        <f t="shared" ref="BW44" si="617">+IF(BV41&lt;0,1-BW41/BV41,BW41/BV41-1)</f>
        <v>-0.66883380739536857</v>
      </c>
      <c r="BX44" s="38">
        <f t="shared" ref="BX44" si="618">+IF(BW41&lt;0,1-BX41/BW41,BX41/BW41-1)</f>
        <v>-0.995092024539872</v>
      </c>
      <c r="BY44" s="38">
        <f t="shared" ref="BY44" si="619">+IF(BX41&lt;0,1-BY41/BX41,BY41/BX41-1)</f>
        <v>419.99999999954213</v>
      </c>
      <c r="BZ44" s="38">
        <f t="shared" ref="BZ44" si="620">+IF(BY41&lt;0,1-BZ41/BY41,BZ41/BY41-1)</f>
        <v>1.107482185273156</v>
      </c>
      <c r="CA44" s="38">
        <f t="shared" ref="CA44" si="621">+IF(BZ41&lt;0,1-CA41/BZ41,CA41/BZ41-1)</f>
        <v>-0.5328261482107628</v>
      </c>
      <c r="CB44" s="38">
        <f t="shared" ref="CB44" si="622">+IF(CA41&lt;0,1-CB41/CA41,CB41/CA41-1)</f>
        <v>0.94632086851628183</v>
      </c>
      <c r="CC44" s="38">
        <f t="shared" ref="CC44" si="623">+IF(CB41&lt;0,1-CC41/CB41,CC41/CB41-1)</f>
        <v>-2.3706228695382698</v>
      </c>
      <c r="CD44" s="38">
        <f t="shared" ref="CD44" si="624">+IF(CC41&lt;0,1-CD41/CC41,CD41/CC41-1)</f>
        <v>1.58851458286231</v>
      </c>
      <c r="CE44" s="38">
        <f t="shared" ref="CE44" si="625">+IF(CD41&lt;0,1-CE41/CD41,CE41/CD41-1)</f>
        <v>-0.65194006915097535</v>
      </c>
      <c r="CF44" s="38">
        <f t="shared" ref="CF44" si="626">+IF(CE41&lt;0,1-CF41/CE41,CF41/CE41-1)</f>
        <v>0.12362030905075905</v>
      </c>
      <c r="CG44" s="38">
        <f t="shared" ref="CG44" si="627">+IF(CF41&lt;0,1-CG41/CF41,CG41/CF41-1)</f>
        <v>0.16208251473477642</v>
      </c>
      <c r="CH44" s="38">
        <f t="shared" ref="CH44:CL44" si="628">+IF(CG41&lt;0,1-CH41/CG41,CH41/CG41-1)</f>
        <v>1.1538461538461542</v>
      </c>
      <c r="CI44" s="38">
        <f t="shared" si="628"/>
        <v>-3.2182103610676749E-2</v>
      </c>
      <c r="CJ44" s="38">
        <f t="shared" si="628"/>
        <v>0.4910786699107843</v>
      </c>
      <c r="CK44" s="38">
        <f t="shared" si="628"/>
        <v>-0.1759586619526764</v>
      </c>
      <c r="CL44" s="38">
        <f t="shared" si="628"/>
        <v>-0.15511551155115422</v>
      </c>
      <c r="CM44" s="39">
        <f t="shared" ref="CM44" si="629">+CM41/CL41-1</f>
        <v>0.27987307468144529</v>
      </c>
      <c r="CN44" s="39">
        <f t="shared" ref="CN44" si="630">+CN41/CM41-1</f>
        <v>0.13022275807480876</v>
      </c>
      <c r="CO44" s="39">
        <f t="shared" ref="CO44" si="631">+CO41/CN41-1</f>
        <v>1.1860847274947073E-2</v>
      </c>
      <c r="CP44" s="39">
        <f t="shared" ref="CP44" si="632">+CP41/CO41-1</f>
        <v>9.4724817289035812E-3</v>
      </c>
      <c r="CQ44" s="39">
        <f t="shared" ref="CQ44" si="633">+CQ41/CP41-1</f>
        <v>8.0867622939235329E-2</v>
      </c>
      <c r="CR44" s="39">
        <f t="shared" ref="CR44" si="634">+CR41/CQ41-1</f>
        <v>9.5874995093002457E-2</v>
      </c>
      <c r="CS44" s="39">
        <f t="shared" ref="CS44" si="635">+CS41/CR41-1</f>
        <v>3.9004194751601551E-2</v>
      </c>
      <c r="CT44" s="39">
        <f t="shared" ref="CT44" si="636">+CT41/CS41-1</f>
        <v>4.0263873519083226E-2</v>
      </c>
      <c r="CU44" s="39">
        <f t="shared" ref="CU44" si="637">+CU41/CT41-1</f>
        <v>5.6050342206467096E-2</v>
      </c>
      <c r="CV44" s="39">
        <f t="shared" ref="CV44" si="638">+CV41/CU41-1</f>
        <v>8.8440162505998954E-2</v>
      </c>
      <c r="CW44" s="39">
        <f t="shared" ref="CW44" si="639">+CW41/CV41-1</f>
        <v>4.6875539179946912E-2</v>
      </c>
      <c r="CX44" s="39">
        <f t="shared" ref="CX44" si="640">+CX41/CW41-1</f>
        <v>4.5074964580569254E-2</v>
      </c>
      <c r="CY44" s="39">
        <f t="shared" ref="CY44" si="641">+CY41/CX41-1</f>
        <v>5.3831167575249639E-2</v>
      </c>
      <c r="CZ44" s="39">
        <f t="shared" ref="CZ44" si="642">+CZ41/CY41-1</f>
        <v>8.2640095979441108E-2</v>
      </c>
      <c r="DA44" s="39">
        <f t="shared" ref="DA44" si="643">+DA41/CZ41-1</f>
        <v>4.9782447310737332E-2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-4.5600000000000002E-2</v>
      </c>
      <c r="O45" s="74">
        <f>'Annual Raw'!P32</f>
        <v>-1.6102000000000001</v>
      </c>
      <c r="P45" s="74">
        <f>'Annual Raw'!Q32</f>
        <v>-1.9048</v>
      </c>
      <c r="Q45" s="74">
        <f>'Annual Raw'!R32</f>
        <v>-1.7968999999999999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44">+SUM(CL45:CO45)</f>
        <v>0</v>
      </c>
      <c r="AC45" s="75">
        <f t="shared" ref="AC45:AC47" si="645">+SUM(CP45:CS45)</f>
        <v>0</v>
      </c>
      <c r="AD45" s="75">
        <f t="shared" ref="AD45:AD47" si="646">+SUM(CT45:CW45)</f>
        <v>0</v>
      </c>
      <c r="AE45" s="75">
        <f t="shared" ref="AE45:AE47" si="647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-0.04</v>
      </c>
      <c r="AL45" s="74">
        <f>'QTR Raw'!F34</f>
        <v>-0.53</v>
      </c>
      <c r="AM45" s="74">
        <f>'QTR Raw'!G34</f>
        <v>-0.3</v>
      </c>
      <c r="AN45" s="74">
        <f>'QTR Raw'!H34</f>
        <v>-0.09</v>
      </c>
      <c r="AO45" s="74">
        <f>'QTR Raw'!I34</f>
        <v>-0.69</v>
      </c>
      <c r="AP45" s="74">
        <f>'QTR Raw'!J34</f>
        <v>-0.43</v>
      </c>
      <c r="AQ45" s="74">
        <f>'QTR Raw'!K34</f>
        <v>-0.57999999999999996</v>
      </c>
      <c r="AR45" s="74">
        <f>'QTR Raw'!L34</f>
        <v>-0.56000000000000005</v>
      </c>
      <c r="AS45" s="74">
        <f>'QTR Raw'!M34</f>
        <v>-0.33</v>
      </c>
      <c r="AT45" s="74">
        <f>'QTR Raw'!N34</f>
        <v>-0.8</v>
      </c>
      <c r="AU45" s="74">
        <f>'QTR Raw'!O34</f>
        <v>-0.71</v>
      </c>
      <c r="AV45" s="74">
        <f>'QTR Raw'!P34</f>
        <v>-0.35</v>
      </c>
      <c r="AW45" s="74">
        <f>'QTR Raw'!Q34</f>
        <v>0.06</v>
      </c>
      <c r="AX45" s="74">
        <f>'QTR Raw'!R34</f>
        <v>-0.67</v>
      </c>
      <c r="AY45" s="74">
        <f>'QTR Raw'!S34</f>
        <v>-1.69</v>
      </c>
      <c r="AZ45" s="74">
        <f>'QTR Raw'!T34</f>
        <v>-0.73</v>
      </c>
      <c r="BA45" s="74">
        <f>'QTR Raw'!U34</f>
        <v>-1.01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4">
        <f>'QTR Raw'!BE34</f>
        <v>0</v>
      </c>
      <c r="CL45" s="74">
        <f>'QTR Raw'!BF34</f>
        <v>0</v>
      </c>
      <c r="CM45" s="75">
        <f t="shared" ref="CM45:CM46" si="648">+CL45</f>
        <v>0</v>
      </c>
      <c r="CN45" s="75">
        <f t="shared" ref="CN45:CN46" si="649">+CM45</f>
        <v>0</v>
      </c>
      <c r="CO45" s="75">
        <f t="shared" ref="CO45:CO46" si="650">+CN45</f>
        <v>0</v>
      </c>
      <c r="CP45" s="75">
        <f t="shared" ref="CP45:CP46" si="651">+CO45</f>
        <v>0</v>
      </c>
      <c r="CQ45" s="75">
        <f t="shared" ref="CQ45:CQ46" si="652">+CP45</f>
        <v>0</v>
      </c>
      <c r="CR45" s="75">
        <f t="shared" ref="CR45:CR46" si="653">+CQ45</f>
        <v>0</v>
      </c>
      <c r="CS45" s="75">
        <f t="shared" ref="CS45:CS46" si="654">+CR45</f>
        <v>0</v>
      </c>
      <c r="CT45" s="75">
        <f t="shared" ref="CT45:CT46" si="655">+CS45</f>
        <v>0</v>
      </c>
      <c r="CU45" s="75">
        <f t="shared" ref="CU45:CU46" si="656">+CT45</f>
        <v>0</v>
      </c>
      <c r="CV45" s="75">
        <f t="shared" ref="CV45:CV46" si="657">+CU45</f>
        <v>0</v>
      </c>
      <c r="CW45" s="75">
        <f t="shared" ref="CW45:CW46" si="658">+CV45</f>
        <v>0</v>
      </c>
      <c r="CX45" s="75">
        <f t="shared" ref="CX45:CX46" si="659">+CW45</f>
        <v>0</v>
      </c>
      <c r="CY45" s="75">
        <f t="shared" ref="CY45:CY46" si="660">+CX45</f>
        <v>0</v>
      </c>
      <c r="CZ45" s="75">
        <f t="shared" ref="CZ45:CZ46" si="661">+CY45</f>
        <v>0</v>
      </c>
      <c r="DA45" s="75">
        <f t="shared" ref="DA45:DA46" si="662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0</v>
      </c>
      <c r="X46" s="74">
        <f>'Annual Raw'!Y33+'Annual Raw'!Y28</f>
        <v>0</v>
      </c>
      <c r="Y46" s="74">
        <f>'Annual Raw'!Z33+'Annual Raw'!Z28</f>
        <v>0</v>
      </c>
      <c r="Z46" s="74">
        <f>'Annual Raw'!AA33+'Annual Raw'!AA28</f>
        <v>0</v>
      </c>
      <c r="AA46" s="74">
        <f>'Annual Raw'!AB33+'Annual Raw'!AB28</f>
        <v>0</v>
      </c>
      <c r="AB46" s="75">
        <f t="shared" si="644"/>
        <v>0</v>
      </c>
      <c r="AC46" s="75">
        <f t="shared" si="645"/>
        <v>0</v>
      </c>
      <c r="AD46" s="75">
        <f t="shared" si="646"/>
        <v>0</v>
      </c>
      <c r="AE46" s="75">
        <f t="shared" si="647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0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0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0</v>
      </c>
      <c r="CH46" s="74">
        <f>'QTR Raw'!BB35</f>
        <v>0</v>
      </c>
      <c r="CI46" s="74">
        <f>'QTR Raw'!BC35</f>
        <v>0</v>
      </c>
      <c r="CJ46" s="74">
        <f>'QTR Raw'!BD35</f>
        <v>0</v>
      </c>
      <c r="CK46" s="74">
        <f>'QTR Raw'!BE35</f>
        <v>0</v>
      </c>
      <c r="CL46" s="74">
        <f>'QTR Raw'!BF35</f>
        <v>0</v>
      </c>
      <c r="CM46" s="75">
        <f t="shared" si="648"/>
        <v>0</v>
      </c>
      <c r="CN46" s="75">
        <f t="shared" si="649"/>
        <v>0</v>
      </c>
      <c r="CO46" s="75">
        <f t="shared" si="650"/>
        <v>0</v>
      </c>
      <c r="CP46" s="75">
        <f t="shared" si="651"/>
        <v>0</v>
      </c>
      <c r="CQ46" s="75">
        <f t="shared" si="652"/>
        <v>0</v>
      </c>
      <c r="CR46" s="75">
        <f t="shared" si="653"/>
        <v>0</v>
      </c>
      <c r="CS46" s="75">
        <f t="shared" si="654"/>
        <v>0</v>
      </c>
      <c r="CT46" s="75">
        <f t="shared" si="655"/>
        <v>0</v>
      </c>
      <c r="CU46" s="75">
        <f t="shared" si="656"/>
        <v>0</v>
      </c>
      <c r="CV46" s="75">
        <f t="shared" si="657"/>
        <v>0</v>
      </c>
      <c r="CW46" s="75">
        <f t="shared" si="658"/>
        <v>0</v>
      </c>
      <c r="CX46" s="75">
        <f t="shared" si="659"/>
        <v>0</v>
      </c>
      <c r="CY46" s="75">
        <f t="shared" si="660"/>
        <v>0</v>
      </c>
      <c r="CZ46" s="75">
        <f t="shared" si="661"/>
        <v>0</v>
      </c>
      <c r="DA46" s="75">
        <f t="shared" si="662"/>
        <v>0</v>
      </c>
      <c r="DD46" s="130"/>
      <c r="DE46" s="74">
        <v>0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-0.79590000000000005</v>
      </c>
      <c r="H47" s="74">
        <f>'Annual Raw'!I29+'Annual Raw'!I31+'Annual Raw'!I34+'Annual Raw'!I36</f>
        <v>12.0848</v>
      </c>
      <c r="I47" s="74">
        <f>'Annual Raw'!J29+'Annual Raw'!J31+'Annual Raw'!J34+'Annual Raw'!J36</f>
        <v>-3.1848000000000001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15.333600000000001</v>
      </c>
      <c r="M47" s="74">
        <f>'Annual Raw'!N29+'Annual Raw'!N31+'Annual Raw'!N34+'Annual Raw'!N36</f>
        <v>2.9417</v>
      </c>
      <c r="N47" s="74">
        <f>'Annual Raw'!O29+'Annual Raw'!O31+'Annual Raw'!O34+'Annual Raw'!O36</f>
        <v>0</v>
      </c>
      <c r="O47" s="74">
        <f>'Annual Raw'!P29+'Annual Raw'!P31+'Annual Raw'!P34+'Annual Raw'!P36</f>
        <v>7.0465999999999998</v>
      </c>
      <c r="P47" s="74">
        <f>'Annual Raw'!Q29+'Annual Raw'!Q31+'Annual Raw'!Q34+'Annual Raw'!Q36</f>
        <v>6.2752999999999997</v>
      </c>
      <c r="Q47" s="74">
        <f>'Annual Raw'!R29+'Annual Raw'!R31+'Annual Raw'!R34+'Annual Raw'!R36</f>
        <v>0</v>
      </c>
      <c r="R47" s="74">
        <f>'Annual Raw'!S29+'Annual Raw'!S31+'Annual Raw'!S34+'Annual Raw'!S36</f>
        <v>-2.5499999999999998</v>
      </c>
      <c r="S47" s="74">
        <f>'Annual Raw'!T29+'Annual Raw'!T31+'Annual Raw'!T34+'Annual Raw'!T36</f>
        <v>0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-30.98</v>
      </c>
      <c r="X47" s="74">
        <f>'Annual Raw'!Y29+'Annual Raw'!Y31+'Annual Raw'!Y34+'Annual Raw'!Y36</f>
        <v>0</v>
      </c>
      <c r="Y47" s="74">
        <f>'Annual Raw'!Z29+'Annual Raw'!Z31+'Annual Raw'!Z34+'Annual Raw'!Z36</f>
        <v>369.53</v>
      </c>
      <c r="Z47" s="74">
        <f>'Annual Raw'!AA29+'Annual Raw'!AA31+'Annual Raw'!AA34+'Annual Raw'!AA36</f>
        <v>30.87</v>
      </c>
      <c r="AA47" s="74">
        <f>'Annual Raw'!AB29+'Annual Raw'!AB31+'Annual Raw'!AB34+'Annual Raw'!AB36</f>
        <v>0.95</v>
      </c>
      <c r="AB47" s="75">
        <f t="shared" si="644"/>
        <v>0</v>
      </c>
      <c r="AC47" s="75">
        <f t="shared" si="645"/>
        <v>0</v>
      </c>
      <c r="AD47" s="75">
        <f t="shared" si="646"/>
        <v>0</v>
      </c>
      <c r="AE47" s="75">
        <f t="shared" si="647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7.05</v>
      </c>
      <c r="AP47" s="74">
        <f>'QTR Raw'!J26+'QTR Raw'!J31+'QTR Raw'!J32+'QTR Raw'!J33+'QTR Raw'!J36+'QTR Raw'!J37+'QTR Raw'!J39</f>
        <v>1.25</v>
      </c>
      <c r="AQ47" s="74">
        <f>'QTR Raw'!K26+'QTR Raw'!K31+'QTR Raw'!K32+'QTR Raw'!K33+'QTR Raw'!K36+'QTR Raw'!K37+'QTR Raw'!K39</f>
        <v>2.64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2.38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0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-30.98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-2.12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371.65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29.48</v>
      </c>
      <c r="CF47" s="74">
        <f>'QTR Raw'!AZ26+'QTR Raw'!AZ31+'QTR Raw'!AZ32+'QTR Raw'!AZ33+'QTR Raw'!AZ36+'QTR Raw'!AZ37+'QTR Raw'!AZ39</f>
        <v>1.53</v>
      </c>
      <c r="CG47" s="74">
        <f>'QTR Raw'!BA26+'QTR Raw'!BA31+'QTR Raw'!BA32+'QTR Raw'!BA33+'QTR Raw'!BA36+'QTR Raw'!BA37+'QTR Raw'!BA39</f>
        <v>-0.14000000000000001</v>
      </c>
      <c r="CH47" s="74">
        <f>'QTR Raw'!BB26+'QTR Raw'!BB31+'QTR Raw'!BB32+'QTR Raw'!BB33+'QTR Raw'!BB36+'QTR Raw'!BB37+'QTR Raw'!BB39</f>
        <v>0.67</v>
      </c>
      <c r="CI47" s="74">
        <f>'QTR Raw'!BC26+'QTR Raw'!BC31+'QTR Raw'!BC32+'QTR Raw'!BC33+'QTR Raw'!BC36+'QTR Raw'!BC37+'QTR Raw'!BC39</f>
        <v>0.28000000000000003</v>
      </c>
      <c r="CJ47" s="74">
        <f>'QTR Raw'!BD26+'QTR Raw'!BD31+'QTR Raw'!BD32+'QTR Raw'!BD33+'QTR Raw'!BD36+'QTR Raw'!BD37+'QTR Raw'!BD39</f>
        <v>0</v>
      </c>
      <c r="CK47" s="74">
        <f>'QTR Raw'!BE26+'QTR Raw'!BE31+'QTR Raw'!BE32+'QTR Raw'!BE33+'QTR Raw'!BE36+'QTR Raw'!BE37+'QTR Raw'!BE39</f>
        <v>0</v>
      </c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0.95000000000000007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25.146999999999998</v>
      </c>
      <c r="E48" s="25">
        <f t="shared" ref="E48:U48" si="663">E41+E45+E46+E47</f>
        <v>27.926399999999958</v>
      </c>
      <c r="F48" s="25">
        <f t="shared" si="663"/>
        <v>24.109900000000025</v>
      </c>
      <c r="G48" s="25">
        <f t="shared" si="663"/>
        <v>27.675100000000082</v>
      </c>
      <c r="H48" s="25">
        <f t="shared" si="663"/>
        <v>39.935300000000012</v>
      </c>
      <c r="I48" s="25">
        <f t="shared" si="663"/>
        <v>28.367499999999982</v>
      </c>
      <c r="J48" s="25">
        <f t="shared" si="663"/>
        <v>21.28780000000004</v>
      </c>
      <c r="K48" s="25">
        <f t="shared" si="663"/>
        <v>37.378499999999974</v>
      </c>
      <c r="L48" s="25">
        <f t="shared" si="663"/>
        <v>48.123999999999995</v>
      </c>
      <c r="M48" s="25">
        <f t="shared" si="663"/>
        <v>52.598899999999901</v>
      </c>
      <c r="N48" s="25">
        <f t="shared" si="663"/>
        <v>45.075199999999931</v>
      </c>
      <c r="O48" s="25">
        <f t="shared" si="663"/>
        <v>56.207399999999971</v>
      </c>
      <c r="P48" s="25">
        <f t="shared" si="663"/>
        <v>66.603100000000097</v>
      </c>
      <c r="Q48" s="25">
        <f t="shared" si="663"/>
        <v>76.931699999999992</v>
      </c>
      <c r="R48" s="25">
        <f t="shared" si="663"/>
        <v>81.541099999999929</v>
      </c>
      <c r="S48" s="25">
        <f t="shared" si="663"/>
        <v>63.615999999999758</v>
      </c>
      <c r="T48" s="25">
        <f t="shared" si="663"/>
        <v>34.884900000000144</v>
      </c>
      <c r="U48" s="25">
        <f t="shared" si="663"/>
        <v>170.03999999999976</v>
      </c>
      <c r="V48" s="25">
        <f>V41+V45+V46+V47</f>
        <v>95.989999999999782</v>
      </c>
      <c r="W48" s="25">
        <f>W41+W45+W46+W47</f>
        <v>-22.689999999999841</v>
      </c>
      <c r="X48" s="25">
        <f>X41+X45+X46+X47</f>
        <v>49.639999999999823</v>
      </c>
      <c r="Y48" s="25">
        <f>Y41+Y45+Y46+Y47</f>
        <v>409.62999999999971</v>
      </c>
      <c r="Z48" s="25">
        <f>Z41+Z45+Z46+Z47</f>
        <v>87.969999999999899</v>
      </c>
      <c r="AA48" s="25">
        <f>AA41+AA45+AA46+AA47</f>
        <v>118.15999999999983</v>
      </c>
      <c r="AB48" s="26">
        <f t="shared" ref="AA48:AD48" si="664">AB41+AB45+AB46+AB47</f>
        <v>132.8669091196669</v>
      </c>
      <c r="AC48" s="26">
        <f t="shared" si="664"/>
        <v>170.06629291528762</v>
      </c>
      <c r="AD48" s="26">
        <f t="shared" si="664"/>
        <v>213.50278605656078</v>
      </c>
      <c r="AE48" s="26">
        <f t="shared" ref="AE48" si="665">AE41+AE45+AE46+AE47</f>
        <v>267.49821456170883</v>
      </c>
      <c r="AI48" s="25">
        <f t="shared" ref="AI48" si="666">AI41+AI45+AI46+AI47</f>
        <v>13.359999999999964</v>
      </c>
      <c r="AJ48" s="25">
        <f t="shared" ref="AJ48" si="667">AJ41+AJ45+AJ46+AJ47</f>
        <v>8.7799999999999656</v>
      </c>
      <c r="AK48" s="25">
        <f t="shared" ref="AK48:AM48" si="668">AK41+AK45+AK46+AK47</f>
        <v>10.030000000000022</v>
      </c>
      <c r="AL48" s="25">
        <f t="shared" si="668"/>
        <v>15.629999999999983</v>
      </c>
      <c r="AM48" s="25">
        <f t="shared" si="668"/>
        <v>14.770000000000024</v>
      </c>
      <c r="AN48" s="25">
        <f t="shared" ref="AN48:AO48" si="669">AN41+AN45+AN46+AN47</f>
        <v>9.1499999999999915</v>
      </c>
      <c r="AO48" s="25">
        <f t="shared" si="669"/>
        <v>16.66</v>
      </c>
      <c r="AP48" s="25">
        <f t="shared" ref="AP48:CD48" si="670">AP41+AP45+AP46+AP47</f>
        <v>16.920000000000009</v>
      </c>
      <c r="AQ48" s="25">
        <f t="shared" si="670"/>
        <v>18.669999999999963</v>
      </c>
      <c r="AR48" s="25">
        <f t="shared" si="670"/>
        <v>13.219999999999992</v>
      </c>
      <c r="AS48" s="25">
        <f t="shared" si="670"/>
        <v>17.790000000000017</v>
      </c>
      <c r="AT48" s="25">
        <f t="shared" si="670"/>
        <v>20.479999999999944</v>
      </c>
      <c r="AU48" s="25">
        <f t="shared" si="670"/>
        <v>19.920000000000087</v>
      </c>
      <c r="AV48" s="25">
        <f t="shared" si="670"/>
        <v>15.969999999999922</v>
      </c>
      <c r="AW48" s="25">
        <f t="shared" si="670"/>
        <v>20.559999999999928</v>
      </c>
      <c r="AX48" s="25">
        <f t="shared" si="670"/>
        <v>34.279999999999973</v>
      </c>
      <c r="AY48" s="25">
        <f t="shared" si="670"/>
        <v>18.260000000000016</v>
      </c>
      <c r="AZ48" s="25">
        <f t="shared" si="670"/>
        <v>16.789999999999839</v>
      </c>
      <c r="BA48" s="25">
        <f t="shared" si="670"/>
        <v>15.249999999999934</v>
      </c>
      <c r="BB48" s="25">
        <f t="shared" si="670"/>
        <v>16.320000000000075</v>
      </c>
      <c r="BC48" s="25">
        <f t="shared" si="670"/>
        <v>7.229999999999916</v>
      </c>
      <c r="BD48" s="25">
        <f t="shared" si="670"/>
        <v>19.12999999999996</v>
      </c>
      <c r="BE48" s="25">
        <f t="shared" si="670"/>
        <v>20.940000000000012</v>
      </c>
      <c r="BF48" s="25">
        <f t="shared" si="670"/>
        <v>17.800000000000033</v>
      </c>
      <c r="BG48" s="25">
        <f t="shared" si="670"/>
        <v>14.249999999999993</v>
      </c>
      <c r="BH48" s="25">
        <f t="shared" si="670"/>
        <v>-15.120000000000012</v>
      </c>
      <c r="BI48" s="25">
        <f t="shared" si="670"/>
        <v>17.960000000000115</v>
      </c>
      <c r="BJ48" s="25">
        <f t="shared" si="670"/>
        <v>42.030000000000058</v>
      </c>
      <c r="BK48" s="25">
        <f t="shared" si="670"/>
        <v>27.929999999999982</v>
      </c>
      <c r="BL48" s="25">
        <f t="shared" si="670"/>
        <v>31.899999999999988</v>
      </c>
      <c r="BM48" s="25">
        <f t="shared" si="670"/>
        <v>68.180000000000135</v>
      </c>
      <c r="BN48" s="25">
        <f t="shared" si="670"/>
        <v>27.309999999999981</v>
      </c>
      <c r="BO48" s="25">
        <f t="shared" si="670"/>
        <v>26.720000000000041</v>
      </c>
      <c r="BP48" s="25">
        <f t="shared" si="670"/>
        <v>36.879999999999924</v>
      </c>
      <c r="BQ48" s="25">
        <f t="shared" si="670"/>
        <v>5.0799999999999805</v>
      </c>
      <c r="BR48" s="25">
        <f t="shared" si="670"/>
        <v>16.170000000000066</v>
      </c>
      <c r="BS48" s="25">
        <f t="shared" si="670"/>
        <v>-3.5000000000000782</v>
      </c>
      <c r="BT48" s="25">
        <f t="shared" si="670"/>
        <v>-21.840000000000142</v>
      </c>
      <c r="BU48" s="25">
        <f t="shared" si="670"/>
        <v>-13.519999999999921</v>
      </c>
      <c r="BV48" s="25">
        <f t="shared" si="670"/>
        <v>24.610000000000174</v>
      </c>
      <c r="BW48" s="25">
        <f t="shared" si="670"/>
        <v>8.1500000000000377</v>
      </c>
      <c r="BX48" s="25">
        <f t="shared" si="670"/>
        <v>4.0000000000043556E-2</v>
      </c>
      <c r="BY48" s="25">
        <f t="shared" si="670"/>
        <v>16.840000000000021</v>
      </c>
      <c r="BZ48" s="25">
        <f t="shared" si="670"/>
        <v>35.489999999999995</v>
      </c>
      <c r="CA48" s="25">
        <f t="shared" si="670"/>
        <v>14.460000000000026</v>
      </c>
      <c r="CB48" s="25">
        <f t="shared" si="670"/>
        <v>32.270000000000003</v>
      </c>
      <c r="CC48" s="25">
        <f t="shared" si="670"/>
        <v>327.42</v>
      </c>
      <c r="CD48" s="25">
        <f t="shared" si="670"/>
        <v>26.029999999999955</v>
      </c>
      <c r="CE48" s="25">
        <f t="shared" ref="CE48:CF48" si="671">CE41+CE45+CE46+CE47</f>
        <v>38.540000000000099</v>
      </c>
      <c r="CF48" s="25">
        <f t="shared" si="671"/>
        <v>11.709999999999985</v>
      </c>
      <c r="CG48" s="25">
        <f t="shared" ref="CG48:CH48" si="672">CG41+CG45+CG46+CG47</f>
        <v>11.690000000000007</v>
      </c>
      <c r="CH48" s="25">
        <f t="shared" si="672"/>
        <v>26.15000000000002</v>
      </c>
      <c r="CI48" s="25">
        <f t="shared" ref="CI48:CJ48" si="673">CI41+CI45+CI46+CI47</f>
        <v>24.939999999999976</v>
      </c>
      <c r="CJ48" s="25">
        <f t="shared" si="673"/>
        <v>36.769999999999904</v>
      </c>
      <c r="CK48" s="25">
        <f t="shared" ref="CK48:CL48" si="674">CK41+CK45+CK46+CK47</f>
        <v>30.300000000000011</v>
      </c>
      <c r="CL48" s="25">
        <f t="shared" si="674"/>
        <v>25.600000000000037</v>
      </c>
      <c r="CM48" s="26">
        <f t="shared" ref="CM48:DA48" si="675">CM41+CM45+CM46+CM47</f>
        <v>32.764750711845046</v>
      </c>
      <c r="CN48" s="26">
        <f t="shared" si="675"/>
        <v>37.031466917175059</v>
      </c>
      <c r="CO48" s="26">
        <f t="shared" si="675"/>
        <v>37.470691490646928</v>
      </c>
      <c r="CP48" s="26">
        <f t="shared" si="675"/>
        <v>37.825631931161467</v>
      </c>
      <c r="CQ48" s="26">
        <f t="shared" si="675"/>
        <v>40.884500871608935</v>
      </c>
      <c r="CR48" s="26">
        <f t="shared" si="675"/>
        <v>44.804302192054301</v>
      </c>
      <c r="CS48" s="26">
        <f t="shared" si="675"/>
        <v>46.551857920462794</v>
      </c>
      <c r="CT48" s="26">
        <f t="shared" si="675"/>
        <v>48.426216039850644</v>
      </c>
      <c r="CU48" s="26">
        <f t="shared" si="675"/>
        <v>51.140522020648575</v>
      </c>
      <c r="CV48" s="26">
        <f t="shared" si="675"/>
        <v>55.663398098796357</v>
      </c>
      <c r="CW48" s="26">
        <f t="shared" si="675"/>
        <v>58.272649897265467</v>
      </c>
      <c r="CX48" s="26">
        <f t="shared" si="675"/>
        <v>60.899287527400617</v>
      </c>
      <c r="CY48" s="26">
        <f t="shared" si="675"/>
        <v>64.177567279501432</v>
      </c>
      <c r="CZ48" s="26">
        <f t="shared" si="675"/>
        <v>69.481207599206471</v>
      </c>
      <c r="DA48" s="26">
        <f t="shared" si="675"/>
        <v>72.940152155600373</v>
      </c>
      <c r="DD48" s="120"/>
      <c r="DE48" s="25">
        <v>118.15999999999971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25.146999999999998</v>
      </c>
      <c r="E51" s="21">
        <f>'Annual Raw'!F35</f>
        <v>27.926400000000001</v>
      </c>
      <c r="F51" s="21">
        <f>'Annual Raw'!G35</f>
        <v>24.1099</v>
      </c>
      <c r="G51" s="21">
        <f>'Annual Raw'!H35</f>
        <v>27.6751</v>
      </c>
      <c r="H51" s="21">
        <f>'Annual Raw'!I35</f>
        <v>39.935299999999998</v>
      </c>
      <c r="I51" s="21">
        <f>'Annual Raw'!J35</f>
        <v>28.3675</v>
      </c>
      <c r="J51" s="21">
        <f>'Annual Raw'!K35</f>
        <v>21.287800000000001</v>
      </c>
      <c r="K51" s="21">
        <f>'Annual Raw'!L35</f>
        <v>37.378500000000003</v>
      </c>
      <c r="L51" s="21">
        <f>'Annual Raw'!M35</f>
        <v>45.071300000000001</v>
      </c>
      <c r="M51" s="21">
        <f>'Annual Raw'!N35</f>
        <v>52.5989</v>
      </c>
      <c r="N51" s="21">
        <f>'Annual Raw'!O35</f>
        <v>45.075200000000002</v>
      </c>
      <c r="O51" s="21">
        <f>'Annual Raw'!P35</f>
        <v>56.2074</v>
      </c>
      <c r="P51" s="21">
        <f>'Annual Raw'!Q35</f>
        <v>66.603099999999998</v>
      </c>
      <c r="Q51" s="21">
        <f>'Annual Raw'!R35</f>
        <v>76.931700000000006</v>
      </c>
      <c r="R51" s="21">
        <f>'Annual Raw'!S35</f>
        <v>81.5411</v>
      </c>
      <c r="S51" s="21">
        <f>'Annual Raw'!T35</f>
        <v>63.616</v>
      </c>
      <c r="T51" s="21">
        <f>'Annual Raw'!U35</f>
        <v>34.884900000000002</v>
      </c>
      <c r="U51" s="21">
        <f>'Annual Raw'!V35</f>
        <v>170.04</v>
      </c>
      <c r="V51" s="21">
        <f>'Annual Raw'!W35</f>
        <v>95.99</v>
      </c>
      <c r="W51" s="21">
        <f>'Annual Raw'!X35</f>
        <v>-22.69</v>
      </c>
      <c r="X51" s="21">
        <f>'Annual Raw'!Y35</f>
        <v>49.64</v>
      </c>
      <c r="Y51" s="21">
        <f>'Annual Raw'!Z35</f>
        <v>409.63</v>
      </c>
      <c r="Z51" s="21">
        <f>'Annual Raw'!AA35</f>
        <v>87.97</v>
      </c>
      <c r="AA51" s="21">
        <f>'Annual Raw'!AB35</f>
        <v>118.16</v>
      </c>
      <c r="AB51" s="20">
        <f t="shared" ref="AA51:AD51" si="676">+AB48</f>
        <v>132.8669091196669</v>
      </c>
      <c r="AC51" s="20">
        <f t="shared" si="676"/>
        <v>170.06629291528762</v>
      </c>
      <c r="AD51" s="20">
        <f t="shared" si="676"/>
        <v>213.50278605656078</v>
      </c>
      <c r="AE51" s="20">
        <f t="shared" ref="AE51" si="677">+AE48</f>
        <v>267.49821456170883</v>
      </c>
      <c r="AI51" s="21">
        <f>'QTR Raw'!C42</f>
        <v>13.36</v>
      </c>
      <c r="AJ51" s="21">
        <f>'QTR Raw'!D42</f>
        <v>8.7799999999999994</v>
      </c>
      <c r="AK51" s="21">
        <f>'QTR Raw'!E42</f>
        <v>10.029999999999999</v>
      </c>
      <c r="AL51" s="21">
        <f>'QTR Raw'!F42</f>
        <v>15.63</v>
      </c>
      <c r="AM51" s="21">
        <f>'QTR Raw'!G42</f>
        <v>14.77</v>
      </c>
      <c r="AN51" s="21">
        <f>'QTR Raw'!H42</f>
        <v>9.15</v>
      </c>
      <c r="AO51" s="21">
        <f>'QTR Raw'!I42</f>
        <v>16.66</v>
      </c>
      <c r="AP51" s="21">
        <f>'QTR Raw'!J42</f>
        <v>16.920000000000002</v>
      </c>
      <c r="AQ51" s="21">
        <f>'QTR Raw'!K42</f>
        <v>18.670000000000002</v>
      </c>
      <c r="AR51" s="21">
        <f>'QTR Raw'!L42</f>
        <v>13.22</v>
      </c>
      <c r="AS51" s="21">
        <f>'QTR Raw'!M42</f>
        <v>17.79</v>
      </c>
      <c r="AT51" s="21">
        <f>'QTR Raw'!N42</f>
        <v>20.48</v>
      </c>
      <c r="AU51" s="21">
        <f>'QTR Raw'!O42</f>
        <v>19.920000000000002</v>
      </c>
      <c r="AV51" s="21">
        <f>'QTR Raw'!P42</f>
        <v>15.97</v>
      </c>
      <c r="AW51" s="21">
        <f>'QTR Raw'!Q42</f>
        <v>20.56</v>
      </c>
      <c r="AX51" s="21">
        <f>'QTR Raw'!R42</f>
        <v>34.28</v>
      </c>
      <c r="AY51" s="21">
        <f>'QTR Raw'!S42</f>
        <v>18.260000000000002</v>
      </c>
      <c r="AZ51" s="21">
        <f>'QTR Raw'!T42</f>
        <v>16.79</v>
      </c>
      <c r="BA51" s="21">
        <f>'QTR Raw'!U42</f>
        <v>15.25</v>
      </c>
      <c r="BB51" s="21">
        <f>'QTR Raw'!V42</f>
        <v>16.32</v>
      </c>
      <c r="BC51" s="21">
        <f>'QTR Raw'!W42</f>
        <v>7.23</v>
      </c>
      <c r="BD51" s="21">
        <f>'QTR Raw'!X42</f>
        <v>19.13</v>
      </c>
      <c r="BE51" s="21">
        <f>'QTR Raw'!Y42</f>
        <v>20.94</v>
      </c>
      <c r="BF51" s="21">
        <f>'QTR Raw'!Z42</f>
        <v>17.8</v>
      </c>
      <c r="BG51" s="21">
        <f>'QTR Raw'!AA42</f>
        <v>14.25</v>
      </c>
      <c r="BH51" s="21">
        <f>'QTR Raw'!AB42</f>
        <v>-15.12</v>
      </c>
      <c r="BI51" s="21">
        <f>'QTR Raw'!AC42</f>
        <v>17.96</v>
      </c>
      <c r="BJ51" s="21">
        <f>'QTR Raw'!AD42</f>
        <v>42.030000000000101</v>
      </c>
      <c r="BK51" s="21">
        <f>'QTR Raw'!AE42</f>
        <v>27.9299999999999</v>
      </c>
      <c r="BL51" s="21">
        <f>'QTR Raw'!AF42</f>
        <v>31.9</v>
      </c>
      <c r="BM51" s="21">
        <f>'QTR Raw'!AG42</f>
        <v>68.180000000000007</v>
      </c>
      <c r="BN51" s="21">
        <f>'QTR Raw'!AH42</f>
        <v>27.31</v>
      </c>
      <c r="BO51" s="21">
        <f>'QTR Raw'!AI42</f>
        <v>26.72</v>
      </c>
      <c r="BP51" s="21">
        <f>'QTR Raw'!AJ42</f>
        <v>36.879999999999903</v>
      </c>
      <c r="BQ51" s="21">
        <f>'QTR Raw'!AK42</f>
        <v>5.0800000000000596</v>
      </c>
      <c r="BR51" s="21">
        <f>'QTR Raw'!AL42</f>
        <v>16.169999999999899</v>
      </c>
      <c r="BS51" s="21">
        <f>'QTR Raw'!AM42</f>
        <v>-3.50000000000006</v>
      </c>
      <c r="BT51" s="21">
        <f>'QTR Raw'!AN42</f>
        <v>-21.8399999999999</v>
      </c>
      <c r="BU51" s="21">
        <f>'QTR Raw'!AO42</f>
        <v>-13.5199999999999</v>
      </c>
      <c r="BV51" s="21">
        <f>'QTR Raw'!AP42</f>
        <v>24.6099999999999</v>
      </c>
      <c r="BW51" s="21">
        <f>'QTR Raw'!AQ42</f>
        <v>8.1500000000000199</v>
      </c>
      <c r="BX51" s="21">
        <f>'QTR Raw'!AR42</f>
        <v>3.9999999999944399E-2</v>
      </c>
      <c r="BY51" s="21">
        <f>'QTR Raw'!AS42</f>
        <v>16.84</v>
      </c>
      <c r="BZ51" s="21">
        <f>'QTR Raw'!AT42</f>
        <v>35.49</v>
      </c>
      <c r="CA51" s="21">
        <f>'QTR Raw'!AU42</f>
        <v>14.46</v>
      </c>
      <c r="CB51" s="21">
        <f>'QTR Raw'!AV42</f>
        <v>32.270000000000003</v>
      </c>
      <c r="CC51" s="21">
        <f>'QTR Raw'!AW42</f>
        <v>327.42</v>
      </c>
      <c r="CD51" s="21">
        <f>'QTR Raw'!AX42</f>
        <v>26.03</v>
      </c>
      <c r="CE51" s="21">
        <f>'QTR Raw'!AY42</f>
        <v>38.54</v>
      </c>
      <c r="CF51" s="21">
        <f>'QTR Raw'!AZ42</f>
        <v>11.7099999999999</v>
      </c>
      <c r="CG51" s="21">
        <f>'QTR Raw'!BA42</f>
        <v>11.6899999999999</v>
      </c>
      <c r="CH51" s="21">
        <f>'QTR Raw'!BB42</f>
        <v>26.150000000000102</v>
      </c>
      <c r="CI51" s="21">
        <f>'QTR Raw'!BC42</f>
        <v>24.940000000000101</v>
      </c>
      <c r="CJ51" s="21">
        <f>'QTR Raw'!BD42</f>
        <v>36.770000000000103</v>
      </c>
      <c r="CK51" s="21">
        <f>'QTR Raw'!BE42</f>
        <v>30.3</v>
      </c>
      <c r="CL51" s="21">
        <f>'QTR Raw'!BF42</f>
        <v>25.6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118.15999999999971</v>
      </c>
    </row>
    <row r="52" spans="1:109" s="24" customFormat="1" x14ac:dyDescent="0.2">
      <c r="A52" s="35" t="s">
        <v>435</v>
      </c>
      <c r="B52" s="24">
        <f t="shared" ref="B52:V52" si="678">B51-B48</f>
        <v>0</v>
      </c>
      <c r="C52" s="24">
        <f>C51-C48</f>
        <v>0</v>
      </c>
      <c r="D52" s="24">
        <f t="shared" si="678"/>
        <v>0</v>
      </c>
      <c r="E52" s="24">
        <f t="shared" si="678"/>
        <v>4.2632564145606011E-14</v>
      </c>
      <c r="F52" s="24">
        <f t="shared" si="678"/>
        <v>0</v>
      </c>
      <c r="G52" s="24">
        <f t="shared" si="678"/>
        <v>-8.1712414612411521E-14</v>
      </c>
      <c r="H52" s="24">
        <f t="shared" si="678"/>
        <v>0</v>
      </c>
      <c r="I52" s="24">
        <f t="shared" si="678"/>
        <v>0</v>
      </c>
      <c r="J52" s="24">
        <f t="shared" si="678"/>
        <v>-3.907985046680551E-14</v>
      </c>
      <c r="K52" s="24">
        <f t="shared" si="678"/>
        <v>0</v>
      </c>
      <c r="L52" s="24">
        <f t="shared" si="678"/>
        <v>-3.0526999999999944</v>
      </c>
      <c r="M52" s="24">
        <f t="shared" si="678"/>
        <v>9.9475983006414026E-14</v>
      </c>
      <c r="N52" s="24">
        <f t="shared" si="678"/>
        <v>7.1054273576010019E-14</v>
      </c>
      <c r="O52" s="24">
        <f t="shared" si="678"/>
        <v>0</v>
      </c>
      <c r="P52" s="24">
        <f t="shared" si="678"/>
        <v>0</v>
      </c>
      <c r="Q52" s="24">
        <f t="shared" si="678"/>
        <v>0</v>
      </c>
      <c r="R52" s="24">
        <f t="shared" si="678"/>
        <v>0</v>
      </c>
      <c r="S52" s="24">
        <f t="shared" si="678"/>
        <v>2.4158453015843406E-13</v>
      </c>
      <c r="T52" s="24">
        <f t="shared" si="678"/>
        <v>-1.4210854715202004E-13</v>
      </c>
      <c r="U52" s="24">
        <f t="shared" si="678"/>
        <v>2.2737367544323206E-13</v>
      </c>
      <c r="V52" s="24">
        <f t="shared" si="678"/>
        <v>2.1316282072803006E-13</v>
      </c>
      <c r="W52" s="24">
        <f t="shared" ref="W52" si="679">W51-W48</f>
        <v>-1.5987211554602254E-13</v>
      </c>
      <c r="X52" s="24">
        <f t="shared" ref="X52:Y52" si="680">X51-X48</f>
        <v>1.7763568394002505E-13</v>
      </c>
      <c r="Y52" s="24">
        <f t="shared" si="680"/>
        <v>0</v>
      </c>
      <c r="Z52" s="24">
        <f t="shared" ref="Z52:AA52" si="681">Z51-Z48</f>
        <v>0</v>
      </c>
      <c r="AA52" s="24">
        <f t="shared" si="681"/>
        <v>1.7053025658242404E-13</v>
      </c>
      <c r="AB52" s="16">
        <f t="shared" ref="AA52:AD52" si="682">AB51-AB48</f>
        <v>0</v>
      </c>
      <c r="AC52" s="16">
        <f t="shared" si="682"/>
        <v>0</v>
      </c>
      <c r="AD52" s="16">
        <f t="shared" si="682"/>
        <v>0</v>
      </c>
      <c r="AE52" s="16">
        <f t="shared" ref="AE52" si="683">AE51-AE48</f>
        <v>0</v>
      </c>
      <c r="AI52" s="24">
        <f t="shared" ref="AI52" si="684">AI51-AI48</f>
        <v>3.5527136788005009E-14</v>
      </c>
      <c r="AJ52" s="24">
        <f t="shared" ref="AJ52" si="685">AJ51-AJ48</f>
        <v>3.3750779948604759E-14</v>
      </c>
      <c r="AK52" s="24">
        <f t="shared" ref="AK52:AM52" si="686">AK51-AK48</f>
        <v>-2.3092638912203256E-14</v>
      </c>
      <c r="AL52" s="24">
        <f t="shared" si="686"/>
        <v>1.7763568394002505E-14</v>
      </c>
      <c r="AM52" s="24">
        <f t="shared" si="686"/>
        <v>-2.4868995751603507E-14</v>
      </c>
      <c r="AN52" s="24">
        <f t="shared" ref="AN52:AO52" si="687">AN51-AN48</f>
        <v>0</v>
      </c>
      <c r="AO52" s="24">
        <f t="shared" si="687"/>
        <v>0</v>
      </c>
      <c r="AP52" s="24">
        <f t="shared" ref="AP52:CD52" si="688">AP51-AP48</f>
        <v>0</v>
      </c>
      <c r="AQ52" s="24">
        <f t="shared" si="688"/>
        <v>3.907985046680551E-14</v>
      </c>
      <c r="AR52" s="24">
        <f t="shared" si="688"/>
        <v>0</v>
      </c>
      <c r="AS52" s="24">
        <f t="shared" si="688"/>
        <v>0</v>
      </c>
      <c r="AT52" s="24">
        <f t="shared" si="688"/>
        <v>5.6843418860808015E-14</v>
      </c>
      <c r="AU52" s="24">
        <f t="shared" si="688"/>
        <v>-8.5265128291212022E-14</v>
      </c>
      <c r="AV52" s="24">
        <f t="shared" si="688"/>
        <v>7.815970093361102E-14</v>
      </c>
      <c r="AW52" s="24">
        <f t="shared" si="688"/>
        <v>7.1054273576010019E-14</v>
      </c>
      <c r="AX52" s="24">
        <f t="shared" si="688"/>
        <v>0</v>
      </c>
      <c r="AY52" s="24">
        <f t="shared" si="688"/>
        <v>0</v>
      </c>
      <c r="AZ52" s="24">
        <f t="shared" si="688"/>
        <v>1.5987211554602254E-13</v>
      </c>
      <c r="BA52" s="24">
        <f t="shared" si="688"/>
        <v>6.5725203057809267E-14</v>
      </c>
      <c r="BB52" s="24">
        <f t="shared" si="688"/>
        <v>-7.460698725481052E-14</v>
      </c>
      <c r="BC52" s="24">
        <f t="shared" si="688"/>
        <v>8.4376949871511897E-14</v>
      </c>
      <c r="BD52" s="24">
        <f t="shared" si="688"/>
        <v>3.907985046680551E-14</v>
      </c>
      <c r="BE52" s="24">
        <f t="shared" si="688"/>
        <v>0</v>
      </c>
      <c r="BF52" s="24">
        <f t="shared" si="688"/>
        <v>-3.1974423109204508E-14</v>
      </c>
      <c r="BG52" s="24">
        <f t="shared" si="688"/>
        <v>0</v>
      </c>
      <c r="BH52" s="24">
        <f t="shared" si="688"/>
        <v>0</v>
      </c>
      <c r="BI52" s="24">
        <f t="shared" si="688"/>
        <v>-1.1368683772161603E-13</v>
      </c>
      <c r="BJ52" s="24">
        <f t="shared" si="688"/>
        <v>0</v>
      </c>
      <c r="BK52" s="24">
        <f t="shared" si="688"/>
        <v>-8.1712414612411521E-14</v>
      </c>
      <c r="BL52" s="24">
        <f t="shared" si="688"/>
        <v>0</v>
      </c>
      <c r="BM52" s="24">
        <f t="shared" si="688"/>
        <v>-1.2789769243681803E-13</v>
      </c>
      <c r="BN52" s="24">
        <f t="shared" si="688"/>
        <v>0</v>
      </c>
      <c r="BO52" s="24">
        <f t="shared" si="688"/>
        <v>-4.2632564145606011E-14</v>
      </c>
      <c r="BP52" s="24">
        <f t="shared" si="688"/>
        <v>0</v>
      </c>
      <c r="BQ52" s="24">
        <f t="shared" si="688"/>
        <v>7.9047879353311146E-14</v>
      </c>
      <c r="BR52" s="24">
        <f t="shared" si="688"/>
        <v>-1.6697754290362354E-13</v>
      </c>
      <c r="BS52" s="24">
        <f t="shared" si="688"/>
        <v>1.8207657603852567E-14</v>
      </c>
      <c r="BT52" s="24">
        <f t="shared" si="688"/>
        <v>2.4158453015843406E-13</v>
      </c>
      <c r="BU52" s="24">
        <f t="shared" si="688"/>
        <v>2.1316282072803006E-14</v>
      </c>
      <c r="BV52" s="24">
        <f t="shared" si="688"/>
        <v>-2.7355895326763857E-13</v>
      </c>
      <c r="BW52" s="24">
        <f t="shared" si="688"/>
        <v>-1.7763568394002505E-14</v>
      </c>
      <c r="BX52" s="24">
        <f t="shared" si="688"/>
        <v>-9.9156793886834294E-14</v>
      </c>
      <c r="BY52" s="24">
        <f t="shared" si="688"/>
        <v>0</v>
      </c>
      <c r="BZ52" s="24">
        <f t="shared" si="688"/>
        <v>0</v>
      </c>
      <c r="CA52" s="24">
        <f t="shared" si="688"/>
        <v>-2.4868995751603507E-14</v>
      </c>
      <c r="CB52" s="24">
        <f t="shared" si="688"/>
        <v>0</v>
      </c>
      <c r="CC52" s="24">
        <f t="shared" si="688"/>
        <v>0</v>
      </c>
      <c r="CD52" s="24">
        <f t="shared" si="688"/>
        <v>4.6185277824406512E-14</v>
      </c>
      <c r="CE52" s="24">
        <f t="shared" ref="CE52:CF52" si="689">CE51-CE48</f>
        <v>-9.9475983006414026E-14</v>
      </c>
      <c r="CF52" s="24">
        <f t="shared" si="689"/>
        <v>-8.5265128291212022E-14</v>
      </c>
      <c r="CG52" s="24">
        <f t="shared" ref="CG52:CH52" si="690">CG51-CG48</f>
        <v>-1.0658141036401503E-13</v>
      </c>
      <c r="CH52" s="24">
        <f t="shared" si="690"/>
        <v>8.1712414612411521E-14</v>
      </c>
      <c r="CI52" s="24">
        <f t="shared" ref="CI52:CJ52" si="691">CI51-CI48</f>
        <v>1.2434497875801753E-13</v>
      </c>
      <c r="CJ52" s="24">
        <f t="shared" si="691"/>
        <v>1.9895196601282805E-13</v>
      </c>
      <c r="CK52" s="24">
        <f t="shared" ref="CK52:CL52" si="692">CK51-CK48</f>
        <v>0</v>
      </c>
      <c r="CL52" s="24">
        <f t="shared" si="692"/>
        <v>-3.5527136788005009E-14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693">(B48-B47)/B120</f>
        <v>#DIV/0!</v>
      </c>
      <c r="C54" s="38" t="e">
        <f t="shared" si="693"/>
        <v>#DIV/0!</v>
      </c>
      <c r="D54" s="38">
        <f t="shared" si="693"/>
        <v>0.15473743800534109</v>
      </c>
      <c r="E54" s="38">
        <f t="shared" si="693"/>
        <v>0.1703220801367141</v>
      </c>
      <c r="F54" s="38">
        <f t="shared" si="693"/>
        <v>0.13430322462767064</v>
      </c>
      <c r="G54" s="38">
        <f t="shared" si="693"/>
        <v>0.14468368389224612</v>
      </c>
      <c r="H54" s="38">
        <f t="shared" si="693"/>
        <v>0.12441584792680464</v>
      </c>
      <c r="I54" s="38">
        <f t="shared" si="693"/>
        <v>0.13242312883600363</v>
      </c>
      <c r="J54" s="38">
        <f t="shared" si="693"/>
        <v>8.6476012511679093E-2</v>
      </c>
      <c r="K54" s="38">
        <f t="shared" si="693"/>
        <v>0.14291351091565804</v>
      </c>
      <c r="L54" s="38">
        <f t="shared" si="693"/>
        <v>0.11166064839345474</v>
      </c>
      <c r="M54" s="38">
        <f t="shared" si="693"/>
        <v>0.15101282525772586</v>
      </c>
      <c r="N54" s="38">
        <f t="shared" si="693"/>
        <v>0.12698663117724165</v>
      </c>
      <c r="O54" s="38">
        <f t="shared" si="693"/>
        <v>0.12579326382404782</v>
      </c>
      <c r="P54" s="38">
        <f t="shared" si="693"/>
        <v>0.10630805260440454</v>
      </c>
      <c r="Q54" s="38">
        <f t="shared" si="693"/>
        <v>0.1243466811661854</v>
      </c>
      <c r="R54" s="38">
        <f t="shared" si="693"/>
        <v>0.16514115859274614</v>
      </c>
      <c r="S54" s="38">
        <f t="shared" si="693"/>
        <v>0.1158622096432847</v>
      </c>
      <c r="T54" s="38">
        <f t="shared" si="693"/>
        <v>6.2688742895270669E-2</v>
      </c>
      <c r="U54" s="38">
        <f t="shared" si="693"/>
        <v>0.24383738438373809</v>
      </c>
      <c r="V54" s="38">
        <f t="shared" si="693"/>
        <v>0.12549188793452795</v>
      </c>
      <c r="W54" s="38">
        <f t="shared" si="693"/>
        <v>1.1599597022443833E-2</v>
      </c>
      <c r="X54" s="38">
        <f t="shared" si="693"/>
        <v>6.5578101881208814E-2</v>
      </c>
      <c r="Y54" s="38">
        <f t="shared" si="693"/>
        <v>3.4855622968203798E-2</v>
      </c>
      <c r="Z54" s="38">
        <f t="shared" si="693"/>
        <v>4.7840475891248707E-2</v>
      </c>
      <c r="AA54" s="38">
        <f t="shared" ref="AA54" si="694">(AA48-AA47)/AA120</f>
        <v>9.0612509953383241E-2</v>
      </c>
      <c r="AB54" s="39">
        <f t="shared" si="693"/>
        <v>9.2940770702416228E-2</v>
      </c>
      <c r="AC54" s="39">
        <f t="shared" si="693"/>
        <v>0.10631447659964205</v>
      </c>
      <c r="AD54" s="39">
        <f t="shared" si="693"/>
        <v>0.11775202324499874</v>
      </c>
      <c r="AE54" s="39">
        <f t="shared" si="693"/>
        <v>0.12856447468329835</v>
      </c>
      <c r="AF54" s="38"/>
      <c r="AG54" s="38"/>
      <c r="AH54" s="38"/>
      <c r="AI54" s="38"/>
      <c r="AJ54" s="38"/>
      <c r="AK54" s="38"/>
      <c r="AL54" s="38">
        <f t="shared" ref="AL54:BQ54" si="695">(SUM(AI48:AL48)-SUM(AI47:AL47))/AL120</f>
        <v>0.1289835127769231</v>
      </c>
      <c r="AM54" s="38">
        <f t="shared" si="695"/>
        <v>0.12773855259059286</v>
      </c>
      <c r="AN54" s="38">
        <f t="shared" si="695"/>
        <v>0.1257131266005731</v>
      </c>
      <c r="AO54" s="38">
        <f t="shared" si="695"/>
        <v>0.12579324462640737</v>
      </c>
      <c r="AP54" s="38">
        <f t="shared" si="695"/>
        <v>0.12067104875895225</v>
      </c>
      <c r="AQ54" s="38">
        <f t="shared" si="695"/>
        <v>0.11834236262576506</v>
      </c>
      <c r="AR54" s="38">
        <f t="shared" si="695"/>
        <v>0.12404176429107612</v>
      </c>
      <c r="AS54" s="38">
        <f t="shared" si="695"/>
        <v>0.10631211672658064</v>
      </c>
      <c r="AT54" s="38">
        <f t="shared" si="695"/>
        <v>0.1107898496496359</v>
      </c>
      <c r="AU54" s="38">
        <f t="shared" si="695"/>
        <v>0.11393909383510779</v>
      </c>
      <c r="AV54" s="38">
        <f t="shared" si="695"/>
        <v>0.11543533498440062</v>
      </c>
      <c r="AW54" s="38">
        <f t="shared" si="695"/>
        <v>0.1243453804874893</v>
      </c>
      <c r="AX54" s="38">
        <f t="shared" si="695"/>
        <v>0.13895185003675556</v>
      </c>
      <c r="AY54" s="38">
        <f t="shared" si="695"/>
        <v>0.13269669114908428</v>
      </c>
      <c r="AZ54" s="38">
        <f t="shared" si="695"/>
        <v>0.13065027179442426</v>
      </c>
      <c r="BA54" s="38">
        <f t="shared" si="695"/>
        <v>0.12496121740415124</v>
      </c>
      <c r="BB54" s="38">
        <f t="shared" si="695"/>
        <v>9.610917956633995E-2</v>
      </c>
      <c r="BC54" s="38">
        <f t="shared" si="695"/>
        <v>0.11096915859866205</v>
      </c>
      <c r="BD54" s="38">
        <f t="shared" si="695"/>
        <v>0.11138670973696334</v>
      </c>
      <c r="BE54" s="38">
        <f t="shared" si="695"/>
        <v>0.11586865062742448</v>
      </c>
      <c r="BF54" s="38">
        <f t="shared" si="695"/>
        <v>0.11484114523612098</v>
      </c>
      <c r="BG54" s="38">
        <f t="shared" si="695"/>
        <v>0.12988509887260025</v>
      </c>
      <c r="BH54" s="38">
        <f t="shared" si="695"/>
        <v>7.0111452586366543E-2</v>
      </c>
      <c r="BI54" s="38">
        <f t="shared" si="695"/>
        <v>6.2697671075330877E-2</v>
      </c>
      <c r="BJ54" s="38">
        <f t="shared" si="695"/>
        <v>9.8778633606790442E-2</v>
      </c>
      <c r="BK54" s="38">
        <f t="shared" si="695"/>
        <v>0.12155212716222558</v>
      </c>
      <c r="BL54" s="38">
        <f t="shared" si="695"/>
        <v>0.18994324847024532</v>
      </c>
      <c r="BM54" s="38">
        <f t="shared" si="695"/>
        <v>0.24383738438373867</v>
      </c>
      <c r="BN54" s="38">
        <f t="shared" si="695"/>
        <v>0.21433499848204687</v>
      </c>
      <c r="BO54" s="38">
        <f t="shared" si="695"/>
        <v>0.21160817268083723</v>
      </c>
      <c r="BP54" s="38">
        <f t="shared" si="695"/>
        <v>0.2079172983428304</v>
      </c>
      <c r="BQ54" s="38">
        <f t="shared" si="695"/>
        <v>0.12549188793452815</v>
      </c>
      <c r="BR54" s="38">
        <f t="shared" ref="BR54:CW54" si="696">(SUM(BO48:BR48)-SUM(BO47:BR47))/BR120</f>
        <v>0.10863163824448202</v>
      </c>
      <c r="BS54" s="38">
        <f t="shared" si="696"/>
        <v>7.2196011576735372E-2</v>
      </c>
      <c r="BT54" s="38">
        <f t="shared" si="696"/>
        <v>3.6592501871129932E-2</v>
      </c>
      <c r="BU54" s="38">
        <f t="shared" si="696"/>
        <v>1.1599597022443505E-2</v>
      </c>
      <c r="BV54" s="38">
        <f t="shared" si="696"/>
        <v>2.2629820503456057E-2</v>
      </c>
      <c r="BW54" s="38">
        <f t="shared" si="696"/>
        <v>3.8264996561813404E-2</v>
      </c>
      <c r="BX54" s="38">
        <f t="shared" si="696"/>
        <v>2.5993986868183432E-2</v>
      </c>
      <c r="BY54" s="38">
        <f t="shared" si="696"/>
        <v>6.5578101881209397E-2</v>
      </c>
      <c r="BZ54" s="38">
        <f t="shared" si="696"/>
        <v>7.6370748943151101E-2</v>
      </c>
      <c r="CA54" s="38">
        <f t="shared" si="696"/>
        <v>8.7000958966335348E-2</v>
      </c>
      <c r="CB54" s="38">
        <f t="shared" si="696"/>
        <v>0.12267365026249111</v>
      </c>
      <c r="CC54" s="38">
        <f t="shared" si="696"/>
        <v>3.4864315143507879E-2</v>
      </c>
      <c r="CD54" s="38">
        <f t="shared" si="696"/>
        <v>2.6052070140842709E-2</v>
      </c>
      <c r="CE54" s="38">
        <f t="shared" si="696"/>
        <v>1.9647817333911008E-2</v>
      </c>
      <c r="CF54" s="38">
        <f t="shared" si="696"/>
        <v>8.7472874997903804E-4</v>
      </c>
      <c r="CG54" s="38">
        <f t="shared" si="696"/>
        <v>4.7840475891248825E-2</v>
      </c>
      <c r="CH54" s="38">
        <f t="shared" si="696"/>
        <v>4.6363859965565392E-2</v>
      </c>
      <c r="CI54" s="38">
        <f t="shared" si="696"/>
        <v>5.8675232789818232E-2</v>
      </c>
      <c r="CJ54" s="38">
        <f t="shared" si="696"/>
        <v>7.7967814784984366E-2</v>
      </c>
      <c r="CK54" s="38">
        <f t="shared" si="696"/>
        <v>9.0389598371275165E-2</v>
      </c>
      <c r="CL54" s="38">
        <f t="shared" si="696"/>
        <v>8.8730413213140485E-2</v>
      </c>
      <c r="CM54" s="39">
        <f t="shared" si="696"/>
        <v>9.2565982050902995E-2</v>
      </c>
      <c r="CN54" s="39">
        <f t="shared" si="696"/>
        <v>9.029146851194611E-2</v>
      </c>
      <c r="CO54" s="39">
        <f t="shared" si="696"/>
        <v>9.2940770702416339E-2</v>
      </c>
      <c r="CP54" s="39">
        <f t="shared" si="696"/>
        <v>9.8876448845752904E-2</v>
      </c>
      <c r="CQ54" s="39">
        <f t="shared" si="696"/>
        <v>0.10157965371019483</v>
      </c>
      <c r="CR54" s="39">
        <f t="shared" si="696"/>
        <v>0.10365397409224321</v>
      </c>
      <c r="CS54" s="39">
        <f t="shared" si="696"/>
        <v>0.10631447659964197</v>
      </c>
      <c r="CT54" s="39">
        <f t="shared" si="696"/>
        <v>0.10962267657891249</v>
      </c>
      <c r="CU54" s="39">
        <f t="shared" si="696"/>
        <v>0.11235914413898135</v>
      </c>
      <c r="CV54" s="39">
        <f t="shared" si="696"/>
        <v>0.11498313858708648</v>
      </c>
      <c r="CW54" s="39">
        <f t="shared" si="696"/>
        <v>0.11775202324499888</v>
      </c>
      <c r="CX54" s="39">
        <f t="shared" ref="CX54:DA54" si="697">(SUM(CU48:CX48)-SUM(CU47:CX47))/CX120</f>
        <v>0.12058121256294395</v>
      </c>
      <c r="CY54" s="39">
        <f t="shared" si="697"/>
        <v>0.12331485542549467</v>
      </c>
      <c r="CZ54" s="39">
        <f t="shared" si="697"/>
        <v>0.12592964234160156</v>
      </c>
      <c r="DA54" s="39">
        <f t="shared" si="697"/>
        <v>0.12856447468329837</v>
      </c>
      <c r="DD54" s="121"/>
      <c r="DE54" s="37">
        <v>9.0389598371275012E-2</v>
      </c>
    </row>
    <row r="55" spans="1:109" s="37" customFormat="1" x14ac:dyDescent="0.2">
      <c r="A55" s="37" t="s">
        <v>351</v>
      </c>
      <c r="B55" s="38" t="e">
        <f t="shared" ref="B55:AE55" si="698">+B34/B129</f>
        <v>#DIV/0!</v>
      </c>
      <c r="C55" s="38" t="e">
        <f t="shared" si="698"/>
        <v>#DIV/0!</v>
      </c>
      <c r="D55" s="38">
        <f t="shared" si="698"/>
        <v>0.2112093116989168</v>
      </c>
      <c r="E55" s="38">
        <f t="shared" si="698"/>
        <v>0.19950214289773013</v>
      </c>
      <c r="F55" s="38">
        <f t="shared" si="698"/>
        <v>0.14937485425038355</v>
      </c>
      <c r="G55" s="38">
        <f t="shared" si="698"/>
        <v>0.13957011522196139</v>
      </c>
      <c r="H55" s="38">
        <f t="shared" si="698"/>
        <v>0.12402896162115523</v>
      </c>
      <c r="I55" s="38">
        <f t="shared" si="698"/>
        <v>8.8369062528137185E-2</v>
      </c>
      <c r="J55" s="38">
        <f t="shared" si="698"/>
        <v>6.9429100219132567E-2</v>
      </c>
      <c r="K55" s="38">
        <f t="shared" si="698"/>
        <v>0.14034329381879157</v>
      </c>
      <c r="L55" s="38">
        <f t="shared" si="698"/>
        <v>0.11303603094447963</v>
      </c>
      <c r="M55" s="38">
        <f t="shared" si="698"/>
        <v>0.15575741361080198</v>
      </c>
      <c r="N55" s="38">
        <f t="shared" si="698"/>
        <v>0.12875950389654159</v>
      </c>
      <c r="O55" s="38">
        <f t="shared" si="698"/>
        <v>0.16010943772398931</v>
      </c>
      <c r="P55" s="38">
        <f t="shared" si="698"/>
        <v>0.12026390138222007</v>
      </c>
      <c r="Q55" s="38">
        <f t="shared" si="698"/>
        <v>0.12315484610628628</v>
      </c>
      <c r="R55" s="38">
        <f t="shared" si="698"/>
        <v>0.16673187304910117</v>
      </c>
      <c r="S55" s="38">
        <f t="shared" si="698"/>
        <v>0.14122718995446265</v>
      </c>
      <c r="T55" s="38">
        <f t="shared" si="698"/>
        <v>0.14341962987541368</v>
      </c>
      <c r="U55" s="38">
        <f t="shared" si="698"/>
        <v>0.2137429764420844</v>
      </c>
      <c r="V55" s="38">
        <f t="shared" si="698"/>
        <v>0.13483756295052807</v>
      </c>
      <c r="W55" s="38">
        <f t="shared" si="698"/>
        <v>1.6616669331101626E-2</v>
      </c>
      <c r="X55" s="38">
        <f t="shared" si="698"/>
        <v>6.3970358466139729E-2</v>
      </c>
      <c r="Y55" s="38">
        <f t="shared" si="698"/>
        <v>0.10654147475674935</v>
      </c>
      <c r="Z55" s="38">
        <f t="shared" si="698"/>
        <v>5.0164276603146304E-2</v>
      </c>
      <c r="AA55" s="38">
        <f t="shared" ref="AA55" si="699">+AA34/AA129</f>
        <v>0.1000409033174742</v>
      </c>
      <c r="AB55" s="39">
        <f t="shared" si="698"/>
        <v>5.8337311819476365E-2</v>
      </c>
      <c r="AC55" s="39">
        <f t="shared" si="698"/>
        <v>5.3886480232103219E-2</v>
      </c>
      <c r="AD55" s="39">
        <f t="shared" si="698"/>
        <v>4.7308230563356986E-2</v>
      </c>
      <c r="AE55" s="39">
        <f t="shared" si="698"/>
        <v>4.0781785860228612E-2</v>
      </c>
      <c r="AF55" s="38"/>
      <c r="AG55" s="38"/>
      <c r="AH55" s="38"/>
      <c r="AI55" s="38"/>
      <c r="AJ55" s="38"/>
      <c r="AK55" s="38"/>
      <c r="AL55" s="38">
        <f t="shared" ref="AL55:BQ55" si="700">+SUM(AI34:AL34)/AL129</f>
        <v>0.13567885147337844</v>
      </c>
      <c r="AM55" s="38">
        <f t="shared" si="700"/>
        <v>0.14270549990048428</v>
      </c>
      <c r="AN55" s="38">
        <f t="shared" si="700"/>
        <v>0.15151515151515155</v>
      </c>
      <c r="AO55" s="38">
        <f t="shared" si="700"/>
        <v>0.16015772101987019</v>
      </c>
      <c r="AP55" s="38">
        <f t="shared" si="700"/>
        <v>0.15377388705028294</v>
      </c>
      <c r="AQ55" s="38">
        <f t="shared" si="700"/>
        <v>0.14539969223293098</v>
      </c>
      <c r="AR55" s="38">
        <f t="shared" si="700"/>
        <v>0.14513902583316893</v>
      </c>
      <c r="AS55" s="38">
        <f t="shared" si="700"/>
        <v>0.11902939863529109</v>
      </c>
      <c r="AT55" s="38">
        <f t="shared" si="700"/>
        <v>0.13630889890693498</v>
      </c>
      <c r="AU55" s="38">
        <f t="shared" si="700"/>
        <v>9.1155812345847631E-2</v>
      </c>
      <c r="AV55" s="38">
        <f t="shared" si="700"/>
        <v>9.8745474446409021E-2</v>
      </c>
      <c r="AW55" s="38">
        <f t="shared" si="700"/>
        <v>0.1254604703882119</v>
      </c>
      <c r="AX55" s="38">
        <f t="shared" si="700"/>
        <v>0.14031077039430706</v>
      </c>
      <c r="AY55" s="38">
        <f t="shared" si="700"/>
        <v>0.14250077677659889</v>
      </c>
      <c r="AZ55" s="38">
        <f t="shared" si="700"/>
        <v>0.1455424932647561</v>
      </c>
      <c r="BA55" s="38">
        <f t="shared" si="700"/>
        <v>0.13995955964951673</v>
      </c>
      <c r="BB55" s="38">
        <f t="shared" si="700"/>
        <v>0.11715836927736975</v>
      </c>
      <c r="BC55" s="38">
        <f t="shared" si="700"/>
        <v>0.12827134794563219</v>
      </c>
      <c r="BD55" s="38">
        <f t="shared" si="700"/>
        <v>0.13643101606609542</v>
      </c>
      <c r="BE55" s="38">
        <f t="shared" si="700"/>
        <v>0.1411519012837773</v>
      </c>
      <c r="BF55" s="38">
        <f t="shared" si="700"/>
        <v>0.14084756167348164</v>
      </c>
      <c r="BG55" s="38">
        <f t="shared" si="700"/>
        <v>0.15464960634070765</v>
      </c>
      <c r="BH55" s="38">
        <f t="shared" si="700"/>
        <v>0.14181670183255329</v>
      </c>
      <c r="BI55" s="38">
        <f t="shared" si="700"/>
        <v>0.14326359832635999</v>
      </c>
      <c r="BJ55" s="38">
        <f t="shared" si="700"/>
        <v>0.16840175145035735</v>
      </c>
      <c r="BK55" s="38">
        <f t="shared" si="700"/>
        <v>0.28880338591766086</v>
      </c>
      <c r="BL55" s="38">
        <f t="shared" si="700"/>
        <v>0.29909777745177168</v>
      </c>
      <c r="BM55" s="38">
        <f t="shared" si="700"/>
        <v>0.21128349496475868</v>
      </c>
      <c r="BN55" s="38">
        <f t="shared" si="700"/>
        <v>0.16471061902365386</v>
      </c>
      <c r="BO55" s="38">
        <f t="shared" si="700"/>
        <v>0.17673413511036709</v>
      </c>
      <c r="BP55" s="38">
        <f t="shared" si="700"/>
        <v>0.17897366277491186</v>
      </c>
      <c r="BQ55" s="38">
        <f t="shared" si="700"/>
        <v>0.13100678576374455</v>
      </c>
      <c r="BR55" s="38">
        <f t="shared" ref="BR55:CW55" si="701">+SUM(BO34:BR34)/BR129</f>
        <v>0.12324872701073886</v>
      </c>
      <c r="BS55" s="38">
        <f t="shared" si="701"/>
        <v>7.5387060158910238E-2</v>
      </c>
      <c r="BT55" s="38">
        <f t="shared" si="701"/>
        <v>3.5547197079886086E-2</v>
      </c>
      <c r="BU55" s="38">
        <f t="shared" si="701"/>
        <v>1.4040678601555842E-2</v>
      </c>
      <c r="BV55" s="38">
        <f t="shared" si="701"/>
        <v>2.2262736942400926E-2</v>
      </c>
      <c r="BW55" s="38">
        <f t="shared" si="701"/>
        <v>3.03511415929918E-2</v>
      </c>
      <c r="BX55" s="38">
        <f t="shared" si="701"/>
        <v>2.5256880364266706E-2</v>
      </c>
      <c r="BY55" s="38">
        <f t="shared" si="701"/>
        <v>6.3199508507626401E-2</v>
      </c>
      <c r="BZ55" s="38">
        <f t="shared" si="701"/>
        <v>6.7365786293802951E-2</v>
      </c>
      <c r="CA55" s="38">
        <f t="shared" si="701"/>
        <v>8.0613462182133458E-2</v>
      </c>
      <c r="CB55" s="38">
        <f t="shared" si="701"/>
        <v>0.10599936532326762</v>
      </c>
      <c r="CC55" s="38">
        <f t="shared" si="701"/>
        <v>0.10755794622472131</v>
      </c>
      <c r="CD55" s="38">
        <f t="shared" si="701"/>
        <v>0.10251261381430146</v>
      </c>
      <c r="CE55" s="38">
        <f t="shared" si="701"/>
        <v>9.5958903615414107E-2</v>
      </c>
      <c r="CF55" s="38">
        <f t="shared" si="701"/>
        <v>7.4385427696534404E-2</v>
      </c>
      <c r="CG55" s="38">
        <f t="shared" si="701"/>
        <v>5.3998685787174872E-2</v>
      </c>
      <c r="CH55" s="38">
        <f t="shared" si="701"/>
        <v>4.8776237023566038E-2</v>
      </c>
      <c r="CI55" s="38">
        <f t="shared" si="701"/>
        <v>5.5366071227783482E-2</v>
      </c>
      <c r="CJ55" s="38">
        <f t="shared" si="701"/>
        <v>8.0711992996790133E-2</v>
      </c>
      <c r="CK55" s="38">
        <f t="shared" si="701"/>
        <v>9.8965098850902808E-2</v>
      </c>
      <c r="CL55" s="38">
        <f t="shared" si="701"/>
        <v>9.0460503259269603E-2</v>
      </c>
      <c r="CM55" s="39">
        <f t="shared" si="701"/>
        <v>8.4047152180468293E-2</v>
      </c>
      <c r="CN55" s="39">
        <f t="shared" si="701"/>
        <v>7.054874622203948E-2</v>
      </c>
      <c r="CO55" s="39">
        <f t="shared" si="701"/>
        <v>5.8337311819476476E-2</v>
      </c>
      <c r="CP55" s="39">
        <f t="shared" si="701"/>
        <v>6.0500746200887599E-2</v>
      </c>
      <c r="CQ55" s="39">
        <f t="shared" si="701"/>
        <v>5.8558387758748172E-2</v>
      </c>
      <c r="CR55" s="39">
        <f t="shared" si="701"/>
        <v>5.5853628136224208E-2</v>
      </c>
      <c r="CS55" s="39">
        <f t="shared" si="701"/>
        <v>5.3886480232103136E-2</v>
      </c>
      <c r="CT55" s="39">
        <f t="shared" si="701"/>
        <v>5.2729268164737123E-2</v>
      </c>
      <c r="CU55" s="39">
        <f t="shared" si="701"/>
        <v>5.0874361989028526E-2</v>
      </c>
      <c r="CV55" s="39">
        <f t="shared" si="701"/>
        <v>4.8992573338117448E-2</v>
      </c>
      <c r="CW55" s="39">
        <f t="shared" si="701"/>
        <v>4.7308230563357118E-2</v>
      </c>
      <c r="CX55" s="39">
        <f t="shared" ref="CX55:DA55" si="702">+SUM(CU34:CX34)/CX129</f>
        <v>4.5712046158011409E-2</v>
      </c>
      <c r="CY55" s="39">
        <f t="shared" si="702"/>
        <v>4.4041456261867881E-2</v>
      </c>
      <c r="CZ55" s="39">
        <f t="shared" si="702"/>
        <v>4.2379402050200528E-2</v>
      </c>
      <c r="DA55" s="39">
        <f t="shared" si="702"/>
        <v>4.0781785860228639E-2</v>
      </c>
      <c r="DD55" s="121"/>
      <c r="DE55" s="37">
        <v>9.8965098850902669E-2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-45.652699999999868</v>
      </c>
      <c r="R58" s="9">
        <f>R10-SUM(AX10:BA10)</f>
        <v>4.3079000000002452</v>
      </c>
      <c r="S58" s="9">
        <f>S10-SUM(BB10:BE10)</f>
        <v>2.5221999999998843</v>
      </c>
      <c r="T58" s="9">
        <f>T10-SUM(BF10:BI10)</f>
        <v>-0.90830000000005384</v>
      </c>
      <c r="U58" s="9">
        <f>U10-SUM(BJ10:BM10)</f>
        <v>9.8499999999999091</v>
      </c>
      <c r="V58" s="9">
        <f>V10-SUM(BN10:BQ10)</f>
        <v>0</v>
      </c>
      <c r="W58" s="9">
        <f>W10-SUM(BR10:BU10)</f>
        <v>0</v>
      </c>
      <c r="X58" s="9">
        <f>X10-SUM(BV10:BY10)</f>
        <v>0</v>
      </c>
      <c r="Y58" s="9">
        <f>Y10-SUM(BZ10:CC10)</f>
        <v>0</v>
      </c>
      <c r="Z58" s="9">
        <f>Z10-SUM(CD10:CG10)</f>
        <v>0</v>
      </c>
      <c r="AA58" s="9">
        <f>AA10-SUM(CE10:CH10)</f>
        <v>-51.579999999999927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-14.72950000000003</v>
      </c>
      <c r="R59" s="9">
        <f>R16-SUM(AX16:BA16)</f>
        <v>4.2349000000001524</v>
      </c>
      <c r="S59" s="9">
        <f>S16-SUM(BB16:BE16)</f>
        <v>2.5264999999999418</v>
      </c>
      <c r="T59" s="9">
        <f>T16-SUM(BF16:BI16)</f>
        <v>-0.90350000000012187</v>
      </c>
      <c r="U59" s="9">
        <f>U16-SUM(BJ16:BM16)</f>
        <v>1.8299999999994725</v>
      </c>
      <c r="V59" s="9">
        <f>V16-SUM(BN16:BQ16)</f>
        <v>0</v>
      </c>
      <c r="W59" s="9">
        <f>W16-SUM(BR16:BU16)</f>
        <v>0</v>
      </c>
      <c r="X59" s="9">
        <f>X16-SUM(BV16:BY16)</f>
        <v>0</v>
      </c>
      <c r="Y59" s="9">
        <f>Y16-SUM(BZ16:CC16)</f>
        <v>0</v>
      </c>
      <c r="Z59" s="9">
        <f>Z16-SUM(CD16:CG16)</f>
        <v>9.9999999997635314E-3</v>
      </c>
      <c r="AA59" s="9">
        <f>AA16-SUM(CE16:CH16)</f>
        <v>55.889999999999873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-6.3908000000000129</v>
      </c>
      <c r="R60" s="9">
        <f>R28-SUM(AX28:BA28)</f>
        <v>3.5482000000001506</v>
      </c>
      <c r="S60" s="9">
        <f>S28-SUM(BB28:BE28)</f>
        <v>1.690199999999777</v>
      </c>
      <c r="T60" s="9">
        <f>T28-SUM(BF28:BI28)</f>
        <v>0.66710000000003333</v>
      </c>
      <c r="U60" s="9">
        <f>U28-SUM(BJ28:BM28)</f>
        <v>3.1799999999996089</v>
      </c>
      <c r="V60" s="9">
        <f>V28-SUM(BN28:BQ28)</f>
        <v>4.1099999999998715</v>
      </c>
      <c r="W60" s="9">
        <f>W28-SUM(BR28:BU28)</f>
        <v>2.6900000000002251</v>
      </c>
      <c r="X60" s="9">
        <f>X28-SUM(BV28:BY28)</f>
        <v>0.66999999999953275</v>
      </c>
      <c r="Y60" s="9">
        <f>Y28-SUM(BZ28:CC28)</f>
        <v>-1.6900000000003104</v>
      </c>
      <c r="Z60" s="9">
        <f>Z28-SUM(CD28:CG28)</f>
        <v>-4.9600000000001501</v>
      </c>
      <c r="AA60" s="9">
        <f>AA28-SUM(CE28:CH28)</f>
        <v>76.559999999999718</v>
      </c>
      <c r="AB60" s="71">
        <f>AB28-SUM(CL28:CO28)</f>
        <v>0</v>
      </c>
      <c r="AC60" s="71">
        <f>AC28-SUM(CP28:CS28)</f>
        <v>0</v>
      </c>
      <c r="AD60" s="71">
        <f>AD28-SUM(CT28:CW28)</f>
        <v>-2.5579538487363607E-13</v>
      </c>
      <c r="AE60" s="71">
        <f>AE28-SUM(CX28:DA28)</f>
        <v>0</v>
      </c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-2.7248000000000019</v>
      </c>
      <c r="R61" s="9">
        <f>R41-SUM(AX41:BA41)</f>
        <v>-4.588899999999839</v>
      </c>
      <c r="S61" s="9">
        <f>S41-SUM(BB41:BE41)</f>
        <v>-4.0000000002038405E-3</v>
      </c>
      <c r="T61" s="9">
        <f>T41-SUM(BF41:BI41)</f>
        <v>-5.0999999999845613E-3</v>
      </c>
      <c r="U61" s="9">
        <f>U41-SUM(BJ41:BM41)</f>
        <v>-3.979039320256561E-13</v>
      </c>
      <c r="V61" s="9">
        <f>V41-SUM(BN41:BQ41)</f>
        <v>-1.4210854715202004E-13</v>
      </c>
      <c r="W61" s="9">
        <f>W41-SUM(BR41:BU41)</f>
        <v>2.3270274596143281E-13</v>
      </c>
      <c r="X61" s="9">
        <f>X41-SUM(BV41:BY41)</f>
        <v>-4.4764192352886312E-13</v>
      </c>
      <c r="Y61" s="9">
        <f>Y41-SUM(BZ41:CC41)</f>
        <v>-1.000000000032486E-2</v>
      </c>
      <c r="Z61" s="9">
        <f>Z41-SUM(CD41:CG41)</f>
        <v>-1.4921397450962104E-13</v>
      </c>
      <c r="AA61" s="9">
        <f>AA41-SUM(CE41:CH41)</f>
        <v>60.659999999999719</v>
      </c>
      <c r="AB61" s="71">
        <f>AB41-SUM(CL41:CO41)</f>
        <v>0</v>
      </c>
      <c r="AC61" s="71">
        <f>AC41-SUM(CP41:CS41)</f>
        <v>0</v>
      </c>
      <c r="AD61" s="71">
        <f>AD41-SUM(CT41:CW41)</f>
        <v>-2.5579538487363607E-13</v>
      </c>
      <c r="AE61" s="71">
        <f>AE41-SUM(CX41:DA41)</f>
        <v>0</v>
      </c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-1.9895196601282805E-13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12.5374</v>
      </c>
      <c r="E63" s="3">
        <f t="shared" ref="E63:Y63" ca="1" si="703">+F63</f>
        <v>15.11</v>
      </c>
      <c r="F63" s="3">
        <f t="shared" ca="1" si="703"/>
        <v>15.11</v>
      </c>
      <c r="G63" s="3">
        <f t="shared" ca="1" si="703"/>
        <v>15.11</v>
      </c>
      <c r="H63" s="3">
        <f t="shared" ca="1" si="703"/>
        <v>15.11</v>
      </c>
      <c r="I63" s="3">
        <f t="shared" ca="1" si="703"/>
        <v>15.11</v>
      </c>
      <c r="J63" s="3">
        <f t="shared" ca="1" si="703"/>
        <v>15.11</v>
      </c>
      <c r="K63" s="3">
        <f t="shared" ca="1" si="703"/>
        <v>15.11</v>
      </c>
      <c r="L63" s="3">
        <f t="shared" ca="1" si="703"/>
        <v>15.11</v>
      </c>
      <c r="M63" s="3">
        <f t="shared" ca="1" si="703"/>
        <v>15.11</v>
      </c>
      <c r="N63" s="3">
        <f t="shared" ca="1" si="703"/>
        <v>15.11</v>
      </c>
      <c r="O63" s="3">
        <f t="shared" ca="1" si="703"/>
        <v>15.11</v>
      </c>
      <c r="P63" s="3">
        <f t="shared" ca="1" si="703"/>
        <v>15.11</v>
      </c>
      <c r="Q63" s="3">
        <f t="shared" ca="1" si="703"/>
        <v>15.11</v>
      </c>
      <c r="R63" s="3">
        <f t="shared" ca="1" si="703"/>
        <v>15.11</v>
      </c>
      <c r="S63" s="3">
        <f t="shared" ca="1" si="703"/>
        <v>15.11</v>
      </c>
      <c r="T63" s="3">
        <f t="shared" ca="1" si="703"/>
        <v>15.11</v>
      </c>
      <c r="U63" s="3">
        <f t="shared" ca="1" si="703"/>
        <v>15.11</v>
      </c>
      <c r="V63" s="3">
        <f t="shared" ca="1" si="703"/>
        <v>15.11</v>
      </c>
      <c r="W63" s="3">
        <f t="shared" ca="1" si="703"/>
        <v>15.11</v>
      </c>
      <c r="X63" s="3">
        <f t="shared" ca="1" si="703"/>
        <v>15.11</v>
      </c>
      <c r="Y63" s="3">
        <f t="shared" ca="1" si="703"/>
        <v>15.11</v>
      </c>
      <c r="Z63" s="3">
        <f ca="1">+AA63</f>
        <v>15.11</v>
      </c>
      <c r="AA63" s="3">
        <f ca="1">+AB63</f>
        <v>15.11</v>
      </c>
      <c r="AB63" s="36">
        <f t="shared" ref="AB63:AB64" ca="1" si="704">AA63</f>
        <v>15.11</v>
      </c>
      <c r="AC63" s="36">
        <f t="shared" ref="AC63:AC64" ca="1" si="705">AB63</f>
        <v>15.11</v>
      </c>
      <c r="AD63" s="36">
        <f t="shared" ref="AD63:AD64" ca="1" si="706">AC63</f>
        <v>15.11</v>
      </c>
      <c r="AE63" s="36">
        <f t="shared" ref="AE63:AE64" ca="1" si="707">AD63</f>
        <v>15.11</v>
      </c>
      <c r="AI63" s="3">
        <f t="shared" ref="AI63:CH63" si="708">+AJ63</f>
        <v>15.11</v>
      </c>
      <c r="AJ63" s="3">
        <f t="shared" si="708"/>
        <v>15.11</v>
      </c>
      <c r="AK63" s="3">
        <f t="shared" si="708"/>
        <v>15.11</v>
      </c>
      <c r="AL63" s="3">
        <f t="shared" si="708"/>
        <v>15.11</v>
      </c>
      <c r="AM63" s="3">
        <f t="shared" si="708"/>
        <v>15.11</v>
      </c>
      <c r="AN63" s="3">
        <f t="shared" si="708"/>
        <v>15.11</v>
      </c>
      <c r="AO63" s="3">
        <f t="shared" si="708"/>
        <v>15.11</v>
      </c>
      <c r="AP63" s="3">
        <f t="shared" si="708"/>
        <v>15.11</v>
      </c>
      <c r="AQ63" s="3">
        <f t="shared" si="708"/>
        <v>15.11</v>
      </c>
      <c r="AR63" s="3">
        <f t="shared" si="708"/>
        <v>15.11</v>
      </c>
      <c r="AS63" s="3">
        <f t="shared" si="708"/>
        <v>15.11</v>
      </c>
      <c r="AT63" s="3">
        <f t="shared" si="708"/>
        <v>15.11</v>
      </c>
      <c r="AU63" s="3">
        <f t="shared" si="708"/>
        <v>15.11</v>
      </c>
      <c r="AV63" s="3">
        <f t="shared" si="708"/>
        <v>15.11</v>
      </c>
      <c r="AW63" s="3">
        <f t="shared" si="708"/>
        <v>15.11</v>
      </c>
      <c r="AX63" s="3">
        <f t="shared" si="708"/>
        <v>15.11</v>
      </c>
      <c r="AY63" s="3">
        <f t="shared" si="708"/>
        <v>15.11</v>
      </c>
      <c r="AZ63" s="3">
        <f t="shared" si="708"/>
        <v>15.11</v>
      </c>
      <c r="BA63" s="3">
        <f t="shared" si="708"/>
        <v>15.11</v>
      </c>
      <c r="BB63" s="3">
        <f t="shared" si="708"/>
        <v>15.11</v>
      </c>
      <c r="BC63" s="3">
        <f t="shared" si="708"/>
        <v>15.11</v>
      </c>
      <c r="BD63" s="3">
        <f t="shared" si="708"/>
        <v>15.11</v>
      </c>
      <c r="BE63" s="3">
        <f t="shared" si="708"/>
        <v>15.11</v>
      </c>
      <c r="BF63" s="3">
        <f t="shared" si="708"/>
        <v>15.11</v>
      </c>
      <c r="BG63" s="3">
        <f t="shared" si="708"/>
        <v>15.11</v>
      </c>
      <c r="BH63" s="3">
        <f t="shared" si="708"/>
        <v>15.11</v>
      </c>
      <c r="BI63" s="3">
        <f t="shared" si="708"/>
        <v>15.11</v>
      </c>
      <c r="BJ63" s="3">
        <f t="shared" si="708"/>
        <v>15.11</v>
      </c>
      <c r="BK63" s="3">
        <f t="shared" si="708"/>
        <v>15.11</v>
      </c>
      <c r="BL63" s="3">
        <f t="shared" si="708"/>
        <v>15.11</v>
      </c>
      <c r="BM63" s="3">
        <f t="shared" si="708"/>
        <v>15.11</v>
      </c>
      <c r="BN63" s="3">
        <f t="shared" si="708"/>
        <v>15.11</v>
      </c>
      <c r="BO63" s="3">
        <f t="shared" si="708"/>
        <v>15.11</v>
      </c>
      <c r="BP63" s="3">
        <f t="shared" si="708"/>
        <v>15.11</v>
      </c>
      <c r="BQ63" s="3">
        <f t="shared" si="708"/>
        <v>15.11</v>
      </c>
      <c r="BR63" s="3">
        <f t="shared" si="708"/>
        <v>15.11</v>
      </c>
      <c r="BS63" s="3">
        <f t="shared" si="708"/>
        <v>15.11</v>
      </c>
      <c r="BT63" s="3">
        <f t="shared" si="708"/>
        <v>15.11</v>
      </c>
      <c r="BU63" s="3">
        <f t="shared" si="708"/>
        <v>15.11</v>
      </c>
      <c r="BV63" s="3">
        <f t="shared" si="708"/>
        <v>15.11</v>
      </c>
      <c r="BW63" s="3">
        <f t="shared" si="708"/>
        <v>15.11</v>
      </c>
      <c r="BX63" s="3">
        <f t="shared" si="708"/>
        <v>15.11</v>
      </c>
      <c r="BY63" s="3">
        <f t="shared" si="708"/>
        <v>15.11</v>
      </c>
      <c r="BZ63" s="3">
        <f t="shared" si="708"/>
        <v>15.11</v>
      </c>
      <c r="CA63" s="3">
        <f t="shared" si="708"/>
        <v>15.11</v>
      </c>
      <c r="CB63" s="3">
        <f t="shared" si="708"/>
        <v>15.11</v>
      </c>
      <c r="CC63" s="3">
        <f t="shared" si="708"/>
        <v>15.11</v>
      </c>
      <c r="CD63" s="3">
        <f t="shared" si="708"/>
        <v>15.11</v>
      </c>
      <c r="CE63" s="3">
        <f t="shared" si="708"/>
        <v>15.11</v>
      </c>
      <c r="CF63" s="3">
        <f t="shared" si="708"/>
        <v>15.11</v>
      </c>
      <c r="CG63" s="3">
        <f t="shared" si="708"/>
        <v>15.11</v>
      </c>
      <c r="CH63" s="3">
        <f t="shared" si="708"/>
        <v>15.11</v>
      </c>
      <c r="CI63" s="3">
        <f>+CJ63</f>
        <v>15.11</v>
      </c>
      <c r="CJ63" s="3">
        <f>'QTR Raw'!BD45</f>
        <v>15.11</v>
      </c>
      <c r="CK63" s="3">
        <f>'QTR Raw'!BE45</f>
        <v>15.11</v>
      </c>
      <c r="CL63" s="3">
        <f>'QTR Raw'!BF45</f>
        <v>15.11</v>
      </c>
      <c r="CM63" s="36">
        <f t="shared" ref="CM63:CM64" si="709">+CL63</f>
        <v>15.11</v>
      </c>
      <c r="CN63" s="36">
        <f t="shared" ref="CN63:CN64" si="710">+CM63</f>
        <v>15.11</v>
      </c>
      <c r="CO63" s="36">
        <f t="shared" ref="CO63:CO64" si="711">+CN63</f>
        <v>15.11</v>
      </c>
      <c r="CP63" s="36">
        <f t="shared" ref="CP63:CP64" si="712">+CO63</f>
        <v>15.11</v>
      </c>
      <c r="CQ63" s="36">
        <f t="shared" ref="CQ63:CQ64" si="713">+CP63</f>
        <v>15.11</v>
      </c>
      <c r="CR63" s="36">
        <f t="shared" ref="CR63:CR64" si="714">+CQ63</f>
        <v>15.11</v>
      </c>
      <c r="CS63" s="36">
        <f t="shared" ref="CS63:CS64" si="715">+CR63</f>
        <v>15.11</v>
      </c>
      <c r="CT63" s="36">
        <f t="shared" ref="CT63:CT64" si="716">+CS63</f>
        <v>15.11</v>
      </c>
      <c r="CU63" s="36">
        <f t="shared" ref="CU63:CU64" si="717">+CT63</f>
        <v>15.11</v>
      </c>
      <c r="CV63" s="36">
        <f t="shared" ref="CV63:CV64" si="718">+CU63</f>
        <v>15.11</v>
      </c>
      <c r="CW63" s="36">
        <f t="shared" ref="CW63:CW64" si="719">+CV63</f>
        <v>15.11</v>
      </c>
      <c r="CX63" s="36">
        <f t="shared" ref="CX63:CX64" si="720">+CW63</f>
        <v>15.11</v>
      </c>
      <c r="CY63" s="36">
        <f t="shared" ref="CY63:CY64" si="721">+CX63</f>
        <v>15.11</v>
      </c>
      <c r="CZ63" s="36">
        <f t="shared" ref="CZ63:CZ64" si="722">+CY63</f>
        <v>15.11</v>
      </c>
      <c r="DA63" s="36">
        <f t="shared" ref="DA63:DA64" si="723">+CZ63</f>
        <v>15.11</v>
      </c>
      <c r="DD63" s="133"/>
      <c r="DE63" s="3">
        <v>15.11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10</v>
      </c>
      <c r="E64" s="3">
        <f t="shared" ref="E64:Y64" ca="1" si="724">+F64</f>
        <v>2</v>
      </c>
      <c r="F64" s="3">
        <f t="shared" ca="1" si="724"/>
        <v>2</v>
      </c>
      <c r="G64" s="3">
        <f t="shared" ca="1" si="724"/>
        <v>2</v>
      </c>
      <c r="H64" s="3">
        <f t="shared" ca="1" si="724"/>
        <v>2</v>
      </c>
      <c r="I64" s="3">
        <f t="shared" ca="1" si="724"/>
        <v>2</v>
      </c>
      <c r="J64" s="3">
        <f t="shared" ca="1" si="724"/>
        <v>2</v>
      </c>
      <c r="K64" s="3">
        <f t="shared" ca="1" si="724"/>
        <v>2</v>
      </c>
      <c r="L64" s="3">
        <f t="shared" ca="1" si="724"/>
        <v>2</v>
      </c>
      <c r="M64" s="3">
        <f t="shared" ca="1" si="724"/>
        <v>2</v>
      </c>
      <c r="N64" s="3">
        <f t="shared" ca="1" si="724"/>
        <v>2</v>
      </c>
      <c r="O64" s="3">
        <f t="shared" ca="1" si="724"/>
        <v>2</v>
      </c>
      <c r="P64" s="3">
        <f t="shared" ca="1" si="724"/>
        <v>2</v>
      </c>
      <c r="Q64" s="3">
        <f t="shared" ca="1" si="724"/>
        <v>2</v>
      </c>
      <c r="R64" s="3">
        <f t="shared" ca="1" si="724"/>
        <v>2</v>
      </c>
      <c r="S64" s="3">
        <f t="shared" ca="1" si="724"/>
        <v>2</v>
      </c>
      <c r="T64" s="3">
        <f t="shared" ca="1" si="724"/>
        <v>2</v>
      </c>
      <c r="U64" s="3">
        <f t="shared" ca="1" si="724"/>
        <v>2</v>
      </c>
      <c r="V64" s="3">
        <f t="shared" ca="1" si="724"/>
        <v>2</v>
      </c>
      <c r="W64" s="3">
        <f t="shared" ca="1" si="724"/>
        <v>2</v>
      </c>
      <c r="X64" s="3">
        <f t="shared" ca="1" si="724"/>
        <v>2</v>
      </c>
      <c r="Y64" s="3">
        <f t="shared" ca="1" si="724"/>
        <v>2</v>
      </c>
      <c r="Z64" s="3">
        <f ca="1">+AA64</f>
        <v>2</v>
      </c>
      <c r="AA64" s="3">
        <f ca="1">+AB64</f>
        <v>2</v>
      </c>
      <c r="AB64" s="36">
        <f t="shared" ca="1" si="704"/>
        <v>2</v>
      </c>
      <c r="AC64" s="36">
        <f t="shared" ca="1" si="705"/>
        <v>2</v>
      </c>
      <c r="AD64" s="36">
        <f t="shared" ca="1" si="706"/>
        <v>2</v>
      </c>
      <c r="AE64" s="36">
        <f t="shared" ca="1" si="707"/>
        <v>2</v>
      </c>
      <c r="AI64" s="3">
        <f t="shared" ref="AI64:CH64" si="725">AJ64</f>
        <v>2</v>
      </c>
      <c r="AJ64" s="3">
        <f t="shared" si="725"/>
        <v>2</v>
      </c>
      <c r="AK64" s="3">
        <f t="shared" si="725"/>
        <v>2</v>
      </c>
      <c r="AL64" s="3">
        <f t="shared" si="725"/>
        <v>2</v>
      </c>
      <c r="AM64" s="3">
        <f t="shared" si="725"/>
        <v>2</v>
      </c>
      <c r="AN64" s="3">
        <f t="shared" si="725"/>
        <v>2</v>
      </c>
      <c r="AO64" s="3">
        <f t="shared" si="725"/>
        <v>2</v>
      </c>
      <c r="AP64" s="3">
        <f t="shared" si="725"/>
        <v>2</v>
      </c>
      <c r="AQ64" s="3">
        <f t="shared" si="725"/>
        <v>2</v>
      </c>
      <c r="AR64" s="3">
        <f t="shared" si="725"/>
        <v>2</v>
      </c>
      <c r="AS64" s="3">
        <f t="shared" si="725"/>
        <v>2</v>
      </c>
      <c r="AT64" s="3">
        <f t="shared" si="725"/>
        <v>2</v>
      </c>
      <c r="AU64" s="3">
        <f t="shared" si="725"/>
        <v>2</v>
      </c>
      <c r="AV64" s="3">
        <f t="shared" si="725"/>
        <v>2</v>
      </c>
      <c r="AW64" s="3">
        <f t="shared" si="725"/>
        <v>2</v>
      </c>
      <c r="AX64" s="3">
        <f t="shared" si="725"/>
        <v>2</v>
      </c>
      <c r="AY64" s="3">
        <f t="shared" si="725"/>
        <v>2</v>
      </c>
      <c r="AZ64" s="3">
        <f t="shared" si="725"/>
        <v>2</v>
      </c>
      <c r="BA64" s="3">
        <f t="shared" si="725"/>
        <v>2</v>
      </c>
      <c r="BB64" s="3">
        <f t="shared" si="725"/>
        <v>2</v>
      </c>
      <c r="BC64" s="3">
        <f t="shared" si="725"/>
        <v>2</v>
      </c>
      <c r="BD64" s="3">
        <f t="shared" si="725"/>
        <v>2</v>
      </c>
      <c r="BE64" s="3">
        <f t="shared" si="725"/>
        <v>2</v>
      </c>
      <c r="BF64" s="3">
        <f t="shared" si="725"/>
        <v>2</v>
      </c>
      <c r="BG64" s="3">
        <f t="shared" si="725"/>
        <v>2</v>
      </c>
      <c r="BH64" s="3">
        <f t="shared" si="725"/>
        <v>2</v>
      </c>
      <c r="BI64" s="3">
        <f t="shared" si="725"/>
        <v>2</v>
      </c>
      <c r="BJ64" s="3">
        <f t="shared" si="725"/>
        <v>2</v>
      </c>
      <c r="BK64" s="3">
        <f t="shared" si="725"/>
        <v>2</v>
      </c>
      <c r="BL64" s="3">
        <f t="shared" si="725"/>
        <v>2</v>
      </c>
      <c r="BM64" s="3">
        <f t="shared" si="725"/>
        <v>2</v>
      </c>
      <c r="BN64" s="3">
        <f t="shared" si="725"/>
        <v>2</v>
      </c>
      <c r="BO64" s="3">
        <f t="shared" si="725"/>
        <v>2</v>
      </c>
      <c r="BP64" s="3">
        <f t="shared" si="725"/>
        <v>2</v>
      </c>
      <c r="BQ64" s="3">
        <f t="shared" si="725"/>
        <v>2</v>
      </c>
      <c r="BR64" s="3">
        <f t="shared" si="725"/>
        <v>2</v>
      </c>
      <c r="BS64" s="3">
        <f t="shared" si="725"/>
        <v>2</v>
      </c>
      <c r="BT64" s="3">
        <f t="shared" si="725"/>
        <v>2</v>
      </c>
      <c r="BU64" s="3">
        <f t="shared" si="725"/>
        <v>2</v>
      </c>
      <c r="BV64" s="3">
        <f t="shared" si="725"/>
        <v>2</v>
      </c>
      <c r="BW64" s="3">
        <f t="shared" si="725"/>
        <v>2</v>
      </c>
      <c r="BX64" s="3">
        <f t="shared" si="725"/>
        <v>2</v>
      </c>
      <c r="BY64" s="3">
        <f t="shared" si="725"/>
        <v>2</v>
      </c>
      <c r="BZ64" s="3">
        <f t="shared" si="725"/>
        <v>2</v>
      </c>
      <c r="CA64" s="3">
        <f t="shared" si="725"/>
        <v>2</v>
      </c>
      <c r="CB64" s="3">
        <f t="shared" si="725"/>
        <v>2</v>
      </c>
      <c r="CC64" s="3">
        <f t="shared" si="725"/>
        <v>2</v>
      </c>
      <c r="CD64" s="3">
        <f t="shared" si="725"/>
        <v>2</v>
      </c>
      <c r="CE64" s="3">
        <f t="shared" si="725"/>
        <v>2</v>
      </c>
      <c r="CF64" s="3">
        <f t="shared" si="725"/>
        <v>2</v>
      </c>
      <c r="CG64" s="3">
        <f t="shared" si="725"/>
        <v>2</v>
      </c>
      <c r="CH64" s="3">
        <f t="shared" si="725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6">
        <f t="shared" si="709"/>
        <v>2</v>
      </c>
      <c r="CN64" s="36">
        <f t="shared" si="710"/>
        <v>2</v>
      </c>
      <c r="CO64" s="36">
        <f t="shared" si="711"/>
        <v>2</v>
      </c>
      <c r="CP64" s="36">
        <f t="shared" si="712"/>
        <v>2</v>
      </c>
      <c r="CQ64" s="36">
        <f t="shared" si="713"/>
        <v>2</v>
      </c>
      <c r="CR64" s="36">
        <f t="shared" si="714"/>
        <v>2</v>
      </c>
      <c r="CS64" s="36">
        <f t="shared" si="715"/>
        <v>2</v>
      </c>
      <c r="CT64" s="36">
        <f t="shared" si="716"/>
        <v>2</v>
      </c>
      <c r="CU64" s="36">
        <f t="shared" si="717"/>
        <v>2</v>
      </c>
      <c r="CV64" s="36">
        <f t="shared" si="718"/>
        <v>2</v>
      </c>
      <c r="CW64" s="36">
        <f t="shared" si="719"/>
        <v>2</v>
      </c>
      <c r="CX64" s="36">
        <f t="shared" si="720"/>
        <v>2</v>
      </c>
      <c r="CY64" s="36">
        <f t="shared" si="721"/>
        <v>2</v>
      </c>
      <c r="CZ64" s="36">
        <f t="shared" si="722"/>
        <v>2</v>
      </c>
      <c r="DA64" s="36">
        <f t="shared" si="723"/>
        <v>2</v>
      </c>
      <c r="DD64" s="133"/>
      <c r="DE64" s="3">
        <v>2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26">C63/C64</f>
        <v>#DIV/0!</v>
      </c>
      <c r="D65" s="3">
        <f t="shared" si="726"/>
        <v>1.2537400000000001</v>
      </c>
      <c r="E65" s="3">
        <f t="shared" ca="1" si="726"/>
        <v>7.5549999999999997</v>
      </c>
      <c r="F65" s="3">
        <f t="shared" ca="1" si="726"/>
        <v>7.5549999999999997</v>
      </c>
      <c r="G65" s="3">
        <f t="shared" ca="1" si="726"/>
        <v>7.5549999999999997</v>
      </c>
      <c r="H65" s="3">
        <f t="shared" ca="1" si="726"/>
        <v>7.5549999999999997</v>
      </c>
      <c r="I65" s="3">
        <f t="shared" ca="1" si="726"/>
        <v>7.5549999999999997</v>
      </c>
      <c r="J65" s="3">
        <f t="shared" ca="1" si="726"/>
        <v>7.5549999999999997</v>
      </c>
      <c r="K65" s="3">
        <f t="shared" ca="1" si="726"/>
        <v>7.5549999999999997</v>
      </c>
      <c r="L65" s="3">
        <f t="shared" ca="1" si="726"/>
        <v>7.5549999999999997</v>
      </c>
      <c r="M65" s="3">
        <f t="shared" ca="1" si="726"/>
        <v>7.5549999999999997</v>
      </c>
      <c r="N65" s="3">
        <f t="shared" ca="1" si="726"/>
        <v>7.5549999999999997</v>
      </c>
      <c r="O65" s="3">
        <f t="shared" ca="1" si="726"/>
        <v>7.5549999999999997</v>
      </c>
      <c r="P65" s="3">
        <f t="shared" ca="1" si="726"/>
        <v>7.5549999999999997</v>
      </c>
      <c r="Q65" s="3">
        <f t="shared" ca="1" si="726"/>
        <v>7.5549999999999997</v>
      </c>
      <c r="R65" s="3">
        <f t="shared" ca="1" si="726"/>
        <v>7.5549999999999997</v>
      </c>
      <c r="S65" s="3">
        <f t="shared" ca="1" si="726"/>
        <v>7.5549999999999997</v>
      </c>
      <c r="T65" s="3">
        <f t="shared" ca="1" si="726"/>
        <v>7.5549999999999997</v>
      </c>
      <c r="U65" s="3">
        <f t="shared" ca="1" si="726"/>
        <v>7.5549999999999997</v>
      </c>
      <c r="V65" s="3">
        <f ca="1">V63/V64</f>
        <v>7.5549999999999997</v>
      </c>
      <c r="W65" s="3">
        <f t="shared" ca="1" si="726"/>
        <v>7.5549999999999997</v>
      </c>
      <c r="X65" s="3">
        <f t="shared" ref="X65:Y65" ca="1" si="727">X63/X64</f>
        <v>7.5549999999999997</v>
      </c>
      <c r="Y65" s="3">
        <f t="shared" ca="1" si="727"/>
        <v>7.5549999999999997</v>
      </c>
      <c r="Z65" s="3">
        <f t="shared" ref="Z65:AA65" ca="1" si="728">Z63/Z64</f>
        <v>7.5549999999999997</v>
      </c>
      <c r="AA65" s="3">
        <f t="shared" ca="1" si="728"/>
        <v>7.5549999999999997</v>
      </c>
      <c r="AB65" s="36">
        <f t="shared" ref="AA65:AD65" ca="1" si="729">AB63/AB64</f>
        <v>7.5549999999999997</v>
      </c>
      <c r="AC65" s="36">
        <f t="shared" ca="1" si="729"/>
        <v>7.5549999999999997</v>
      </c>
      <c r="AD65" s="36">
        <f t="shared" ca="1" si="729"/>
        <v>7.5549999999999997</v>
      </c>
      <c r="AE65" s="36">
        <f t="shared" ref="AE65" ca="1" si="730">AE63/AE64</f>
        <v>7.5549999999999997</v>
      </c>
      <c r="AI65" s="3">
        <f t="shared" ref="AI65" si="731">AI63/AI64</f>
        <v>7.5549999999999997</v>
      </c>
      <c r="AJ65" s="3">
        <f t="shared" ref="AJ65" si="732">AJ63/AJ64</f>
        <v>7.5549999999999997</v>
      </c>
      <c r="AK65" s="3">
        <f t="shared" ref="AK65:AM65" si="733">AK63/AK64</f>
        <v>7.5549999999999997</v>
      </c>
      <c r="AL65" s="3">
        <f t="shared" si="733"/>
        <v>7.5549999999999997</v>
      </c>
      <c r="AM65" s="3">
        <f t="shared" si="733"/>
        <v>7.5549999999999997</v>
      </c>
      <c r="AN65" s="3">
        <f t="shared" ref="AN65:AO65" si="734">AN63/AN64</f>
        <v>7.5549999999999997</v>
      </c>
      <c r="AO65" s="3">
        <f t="shared" si="734"/>
        <v>7.5549999999999997</v>
      </c>
      <c r="AP65" s="3">
        <f t="shared" ref="AP65:CD65" si="735">AP63/AP64</f>
        <v>7.5549999999999997</v>
      </c>
      <c r="AQ65" s="3">
        <f t="shared" si="735"/>
        <v>7.5549999999999997</v>
      </c>
      <c r="AR65" s="3">
        <f t="shared" si="735"/>
        <v>7.5549999999999997</v>
      </c>
      <c r="AS65" s="3">
        <f t="shared" si="735"/>
        <v>7.5549999999999997</v>
      </c>
      <c r="AT65" s="3">
        <f t="shared" si="735"/>
        <v>7.5549999999999997</v>
      </c>
      <c r="AU65" s="3">
        <f t="shared" si="735"/>
        <v>7.5549999999999997</v>
      </c>
      <c r="AV65" s="3">
        <f t="shared" si="735"/>
        <v>7.5549999999999997</v>
      </c>
      <c r="AW65" s="3">
        <f t="shared" si="735"/>
        <v>7.5549999999999997</v>
      </c>
      <c r="AX65" s="3">
        <f t="shared" si="735"/>
        <v>7.5549999999999997</v>
      </c>
      <c r="AY65" s="3">
        <f t="shared" si="735"/>
        <v>7.5549999999999997</v>
      </c>
      <c r="AZ65" s="3">
        <f t="shared" si="735"/>
        <v>7.5549999999999997</v>
      </c>
      <c r="BA65" s="3">
        <f t="shared" si="735"/>
        <v>7.5549999999999997</v>
      </c>
      <c r="BB65" s="3">
        <f t="shared" si="735"/>
        <v>7.5549999999999997</v>
      </c>
      <c r="BC65" s="3">
        <f t="shared" si="735"/>
        <v>7.5549999999999997</v>
      </c>
      <c r="BD65" s="3">
        <f t="shared" si="735"/>
        <v>7.5549999999999997</v>
      </c>
      <c r="BE65" s="3">
        <f t="shared" si="735"/>
        <v>7.5549999999999997</v>
      </c>
      <c r="BF65" s="3">
        <f t="shared" si="735"/>
        <v>7.5549999999999997</v>
      </c>
      <c r="BG65" s="3">
        <f t="shared" si="735"/>
        <v>7.5549999999999997</v>
      </c>
      <c r="BH65" s="3">
        <f t="shared" si="735"/>
        <v>7.5549999999999997</v>
      </c>
      <c r="BI65" s="3">
        <f t="shared" si="735"/>
        <v>7.5549999999999997</v>
      </c>
      <c r="BJ65" s="3">
        <f t="shared" si="735"/>
        <v>7.5549999999999997</v>
      </c>
      <c r="BK65" s="3">
        <f t="shared" si="735"/>
        <v>7.5549999999999997</v>
      </c>
      <c r="BL65" s="3">
        <f t="shared" si="735"/>
        <v>7.5549999999999997</v>
      </c>
      <c r="BM65" s="3">
        <f t="shared" si="735"/>
        <v>7.5549999999999997</v>
      </c>
      <c r="BN65" s="3">
        <f t="shared" si="735"/>
        <v>7.5549999999999997</v>
      </c>
      <c r="BO65" s="3">
        <f t="shared" si="735"/>
        <v>7.5549999999999997</v>
      </c>
      <c r="BP65" s="3">
        <f t="shared" si="735"/>
        <v>7.5549999999999997</v>
      </c>
      <c r="BQ65" s="3">
        <f t="shared" si="735"/>
        <v>7.5549999999999997</v>
      </c>
      <c r="BR65" s="3">
        <f t="shared" si="735"/>
        <v>7.5549999999999997</v>
      </c>
      <c r="BS65" s="3">
        <f t="shared" si="735"/>
        <v>7.5549999999999997</v>
      </c>
      <c r="BT65" s="3">
        <f t="shared" si="735"/>
        <v>7.5549999999999997</v>
      </c>
      <c r="BU65" s="3">
        <f t="shared" si="735"/>
        <v>7.5549999999999997</v>
      </c>
      <c r="BV65" s="3">
        <f t="shared" si="735"/>
        <v>7.5549999999999997</v>
      </c>
      <c r="BW65" s="3">
        <f t="shared" si="735"/>
        <v>7.5549999999999997</v>
      </c>
      <c r="BX65" s="3">
        <f t="shared" si="735"/>
        <v>7.5549999999999997</v>
      </c>
      <c r="BY65" s="3">
        <f t="shared" si="735"/>
        <v>7.5549999999999997</v>
      </c>
      <c r="BZ65" s="3">
        <f t="shared" si="735"/>
        <v>7.5549999999999997</v>
      </c>
      <c r="CA65" s="3">
        <f t="shared" si="735"/>
        <v>7.5549999999999997</v>
      </c>
      <c r="CB65" s="3">
        <f t="shared" si="735"/>
        <v>7.5549999999999997</v>
      </c>
      <c r="CC65" s="3">
        <f t="shared" si="735"/>
        <v>7.5549999999999997</v>
      </c>
      <c r="CD65" s="3">
        <f t="shared" si="735"/>
        <v>7.5549999999999997</v>
      </c>
      <c r="CE65" s="3">
        <f t="shared" ref="CE65:CF65" si="736">CE63/CE64</f>
        <v>7.5549999999999997</v>
      </c>
      <c r="CF65" s="3">
        <f t="shared" si="736"/>
        <v>7.5549999999999997</v>
      </c>
      <c r="CG65" s="3">
        <f t="shared" ref="CG65:CH65" si="737">CG63/CG64</f>
        <v>7.5549999999999997</v>
      </c>
      <c r="CH65" s="3">
        <f t="shared" si="737"/>
        <v>7.5549999999999997</v>
      </c>
      <c r="CI65" s="3">
        <f t="shared" ref="CI65:CJ65" si="738">CI63/CI64</f>
        <v>7.5549999999999997</v>
      </c>
      <c r="CJ65" s="3">
        <f t="shared" si="738"/>
        <v>7.5549999999999997</v>
      </c>
      <c r="CK65" s="3">
        <f t="shared" ref="CK65:CL65" si="739">CK63/CK64</f>
        <v>7.5549999999999997</v>
      </c>
      <c r="CL65" s="3">
        <f t="shared" si="739"/>
        <v>7.5549999999999997</v>
      </c>
      <c r="CM65" s="36">
        <f t="shared" ref="CM65:DA65" si="740">CM63/CM64</f>
        <v>7.5549999999999997</v>
      </c>
      <c r="CN65" s="36">
        <f t="shared" si="740"/>
        <v>7.5549999999999997</v>
      </c>
      <c r="CO65" s="36">
        <f t="shared" si="740"/>
        <v>7.5549999999999997</v>
      </c>
      <c r="CP65" s="36">
        <f t="shared" si="740"/>
        <v>7.5549999999999997</v>
      </c>
      <c r="CQ65" s="36">
        <f t="shared" si="740"/>
        <v>7.5549999999999997</v>
      </c>
      <c r="CR65" s="36">
        <f t="shared" si="740"/>
        <v>7.5549999999999997</v>
      </c>
      <c r="CS65" s="36">
        <f t="shared" si="740"/>
        <v>7.5549999999999997</v>
      </c>
      <c r="CT65" s="36">
        <f t="shared" si="740"/>
        <v>7.5549999999999997</v>
      </c>
      <c r="CU65" s="36">
        <f t="shared" si="740"/>
        <v>7.5549999999999997</v>
      </c>
      <c r="CV65" s="36">
        <f t="shared" si="740"/>
        <v>7.5549999999999997</v>
      </c>
      <c r="CW65" s="36">
        <f t="shared" si="740"/>
        <v>7.5549999999999997</v>
      </c>
      <c r="CX65" s="36">
        <f t="shared" si="740"/>
        <v>7.5549999999999997</v>
      </c>
      <c r="CY65" s="36">
        <f t="shared" si="740"/>
        <v>7.5549999999999997</v>
      </c>
      <c r="CZ65" s="36">
        <f t="shared" si="740"/>
        <v>7.5549999999999997</v>
      </c>
      <c r="DA65" s="36">
        <f t="shared" si="740"/>
        <v>7.5549999999999997</v>
      </c>
      <c r="DD65" s="133"/>
      <c r="DE65" s="3">
        <v>7.5549999999999997</v>
      </c>
    </row>
    <row r="66" spans="1:109" s="52" customFormat="1" x14ac:dyDescent="0.2">
      <c r="A66" s="52" t="s">
        <v>30</v>
      </c>
      <c r="B66" s="52" t="e">
        <f t="shared" ref="B66:AE66" si="741">(B48-B47)/B65</f>
        <v>#DIV/0!</v>
      </c>
      <c r="C66" s="52" t="e">
        <f t="shared" si="741"/>
        <v>#DIV/0!</v>
      </c>
      <c r="D66" s="52">
        <f t="shared" si="741"/>
        <v>20.057587697608753</v>
      </c>
      <c r="E66" s="52">
        <f t="shared" ca="1" si="741"/>
        <v>3.6964129715420198</v>
      </c>
      <c r="F66" s="52">
        <f t="shared" ca="1" si="741"/>
        <v>3.1912508272667139</v>
      </c>
      <c r="G66" s="52">
        <f t="shared" ca="1" si="741"/>
        <v>3.7684976836532207</v>
      </c>
      <c r="H66" s="52">
        <f t="shared" ca="1" si="741"/>
        <v>3.6863666446062227</v>
      </c>
      <c r="I66" s="52">
        <f t="shared" ca="1" si="741"/>
        <v>4.1763467902051596</v>
      </c>
      <c r="J66" s="52">
        <f t="shared" ca="1" si="741"/>
        <v>2.8177101257445454</v>
      </c>
      <c r="K66" s="52">
        <f t="shared" ca="1" si="741"/>
        <v>4.9475181998676341</v>
      </c>
      <c r="L66" s="52">
        <f t="shared" ca="1" si="741"/>
        <v>4.3402250165453333</v>
      </c>
      <c r="M66" s="52">
        <f t="shared" ca="1" si="741"/>
        <v>6.5727597617471751</v>
      </c>
      <c r="N66" s="52">
        <f t="shared" ca="1" si="741"/>
        <v>5.9662739907346038</v>
      </c>
      <c r="O66" s="52">
        <f t="shared" ca="1" si="741"/>
        <v>6.507054930509593</v>
      </c>
      <c r="P66" s="52">
        <f t="shared" ca="1" si="741"/>
        <v>7.9851489080079547</v>
      </c>
      <c r="Q66" s="52">
        <f t="shared" ca="1" si="741"/>
        <v>10.182885506287226</v>
      </c>
      <c r="R66" s="52">
        <f t="shared" ca="1" si="741"/>
        <v>11.130522832561208</v>
      </c>
      <c r="S66" s="52">
        <f t="shared" ca="1" si="741"/>
        <v>8.4203838517537744</v>
      </c>
      <c r="T66" s="52">
        <f t="shared" ca="1" si="741"/>
        <v>4.6174586366644794</v>
      </c>
      <c r="U66" s="52">
        <f t="shared" ca="1" si="741"/>
        <v>22.506949040370586</v>
      </c>
      <c r="V66" s="52">
        <f t="shared" ca="1" si="741"/>
        <v>12.705493050959602</v>
      </c>
      <c r="W66" s="52">
        <f t="shared" ca="1" si="741"/>
        <v>1.0972865651886379</v>
      </c>
      <c r="X66" s="52">
        <f t="shared" ca="1" si="741"/>
        <v>6.5704831237590771</v>
      </c>
      <c r="Y66" s="52">
        <f t="shared" ca="1" si="741"/>
        <v>5.3077432164129368</v>
      </c>
      <c r="Z66" s="52">
        <f t="shared" ca="1" si="741"/>
        <v>7.5579086697551157</v>
      </c>
      <c r="AA66" s="52">
        <f t="shared" ref="AA66" ca="1" si="742">(AA48-AA47)/AA65</f>
        <v>7.5579086697551157</v>
      </c>
      <c r="AB66" s="53">
        <f t="shared" ca="1" si="741"/>
        <v>17.586619340789795</v>
      </c>
      <c r="AC66" s="53">
        <f t="shared" ca="1" si="741"/>
        <v>22.510429240938137</v>
      </c>
      <c r="AD66" s="53">
        <f t="shared" ca="1" si="741"/>
        <v>28.259799610398517</v>
      </c>
      <c r="AE66" s="53">
        <f t="shared" ca="1" si="741"/>
        <v>35.406778896321491</v>
      </c>
      <c r="AI66" s="52">
        <f t="shared" ref="AI66:BN66" si="743">(AI48-AI47)/AI65</f>
        <v>1.7683653209794792</v>
      </c>
      <c r="AJ66" s="52">
        <f t="shared" si="743"/>
        <v>1.1621442753143569</v>
      </c>
      <c r="AK66" s="52">
        <f t="shared" si="743"/>
        <v>1.327597617471876</v>
      </c>
      <c r="AL66" s="52">
        <f t="shared" si="743"/>
        <v>2.0688285903375228</v>
      </c>
      <c r="AM66" s="52">
        <f t="shared" si="743"/>
        <v>1.9549966909331602</v>
      </c>
      <c r="AN66" s="52">
        <f t="shared" si="743"/>
        <v>1.2111184645929838</v>
      </c>
      <c r="AO66" s="52">
        <f t="shared" si="743"/>
        <v>1.2720052945069491</v>
      </c>
      <c r="AP66" s="52">
        <f t="shared" si="743"/>
        <v>2.0741230972865665</v>
      </c>
      <c r="AQ66" s="52">
        <f t="shared" si="743"/>
        <v>2.1217736598279235</v>
      </c>
      <c r="AR66" s="52">
        <f t="shared" si="743"/>
        <v>1.7498345466578415</v>
      </c>
      <c r="AS66" s="52">
        <f t="shared" si="743"/>
        <v>2.0397088021178051</v>
      </c>
      <c r="AT66" s="52">
        <f t="shared" si="743"/>
        <v>2.7107875579086622</v>
      </c>
      <c r="AU66" s="52">
        <f t="shared" si="743"/>
        <v>2.6366644606221161</v>
      </c>
      <c r="AV66" s="52">
        <f t="shared" si="743"/>
        <v>2.1138318994043579</v>
      </c>
      <c r="AW66" s="52">
        <f t="shared" si="743"/>
        <v>2.7213765718067409</v>
      </c>
      <c r="AX66" s="52">
        <f t="shared" si="743"/>
        <v>4.5373924553275939</v>
      </c>
      <c r="AY66" s="52">
        <f t="shared" si="743"/>
        <v>2.4169424222369313</v>
      </c>
      <c r="AZ66" s="52">
        <f t="shared" si="743"/>
        <v>2.2223692918596742</v>
      </c>
      <c r="BA66" s="52">
        <f t="shared" si="743"/>
        <v>2.0185307743216327</v>
      </c>
      <c r="BB66" s="52">
        <f t="shared" si="743"/>
        <v>2.1601588352084811</v>
      </c>
      <c r="BC66" s="52">
        <f t="shared" si="743"/>
        <v>0.95698213103903595</v>
      </c>
      <c r="BD66" s="52">
        <f t="shared" si="743"/>
        <v>2.532097948378552</v>
      </c>
      <c r="BE66" s="52">
        <f t="shared" si="743"/>
        <v>2.7716743878226358</v>
      </c>
      <c r="BF66" s="52">
        <f t="shared" si="743"/>
        <v>2.3560555923229693</v>
      </c>
      <c r="BG66" s="52">
        <f t="shared" si="743"/>
        <v>1.8861681005956312</v>
      </c>
      <c r="BH66" s="52">
        <f t="shared" si="743"/>
        <v>-2.0013236267372618</v>
      </c>
      <c r="BI66" s="52">
        <f t="shared" si="743"/>
        <v>2.3772336201191417</v>
      </c>
      <c r="BJ66" s="52">
        <f t="shared" si="743"/>
        <v>5.5632031767041772</v>
      </c>
      <c r="BK66" s="52">
        <f t="shared" si="743"/>
        <v>3.6968894771674363</v>
      </c>
      <c r="BL66" s="52">
        <f t="shared" si="743"/>
        <v>4.2223692918596942</v>
      </c>
      <c r="BM66" s="52">
        <f t="shared" si="743"/>
        <v>9.0244870946393299</v>
      </c>
      <c r="BN66" s="52">
        <f t="shared" si="743"/>
        <v>3.6148246194573108</v>
      </c>
      <c r="BO66" s="52">
        <f t="shared" ref="BO66:CT66" si="744">(BO48-BO47)/BO65</f>
        <v>3.536730641958973</v>
      </c>
      <c r="BP66" s="52">
        <f t="shared" si="744"/>
        <v>4.8815354070152122</v>
      </c>
      <c r="BQ66" s="52">
        <f t="shared" si="744"/>
        <v>0.67240238252812456</v>
      </c>
      <c r="BR66" s="52">
        <f t="shared" si="744"/>
        <v>2.1403044341495785</v>
      </c>
      <c r="BS66" s="52">
        <f t="shared" si="744"/>
        <v>-0.4632693580410428</v>
      </c>
      <c r="BT66" s="52">
        <f t="shared" si="744"/>
        <v>1.209794837855706</v>
      </c>
      <c r="BU66" s="52">
        <f t="shared" si="744"/>
        <v>-1.7895433487756349</v>
      </c>
      <c r="BV66" s="52">
        <f t="shared" si="744"/>
        <v>3.2574454003971112</v>
      </c>
      <c r="BW66" s="52">
        <f t="shared" si="744"/>
        <v>1.0787557908669805</v>
      </c>
      <c r="BX66" s="52">
        <f t="shared" si="744"/>
        <v>5.294506949046136E-3</v>
      </c>
      <c r="BY66" s="52">
        <f t="shared" si="744"/>
        <v>2.2289874255459989</v>
      </c>
      <c r="BZ66" s="52">
        <f t="shared" si="744"/>
        <v>4.6975512905360679</v>
      </c>
      <c r="CA66" s="52">
        <f t="shared" si="744"/>
        <v>2.1945731303772371</v>
      </c>
      <c r="CB66" s="52">
        <f t="shared" si="744"/>
        <v>4.2713434811383193</v>
      </c>
      <c r="CC66" s="52">
        <f t="shared" si="744"/>
        <v>-5.8544010589013853</v>
      </c>
      <c r="CD66" s="52">
        <f t="shared" si="744"/>
        <v>3.4454003970880152</v>
      </c>
      <c r="CE66" s="52">
        <f t="shared" si="744"/>
        <v>1.1992058239576571</v>
      </c>
      <c r="CF66" s="52">
        <f t="shared" si="744"/>
        <v>1.3474520185307723</v>
      </c>
      <c r="CG66" s="52">
        <f t="shared" si="744"/>
        <v>1.5658504301786906</v>
      </c>
      <c r="CH66" s="52">
        <f t="shared" si="744"/>
        <v>3.3726009265387185</v>
      </c>
      <c r="CI66" s="52">
        <f t="shared" si="744"/>
        <v>3.2640635340833852</v>
      </c>
      <c r="CJ66" s="52">
        <f t="shared" si="744"/>
        <v>4.8669755129053485</v>
      </c>
      <c r="CK66" s="52">
        <f t="shared" ref="CK66:CL66" si="745">(CK48-CK47)/CK65</f>
        <v>4.0105890138980822</v>
      </c>
      <c r="CL66" s="52">
        <f t="shared" si="745"/>
        <v>3.3884844473858422</v>
      </c>
      <c r="CM66" s="53">
        <f t="shared" si="744"/>
        <v>4.3368300081859754</v>
      </c>
      <c r="CN66" s="53">
        <f t="shared" si="744"/>
        <v>4.9015839731535484</v>
      </c>
      <c r="CO66" s="53">
        <f t="shared" si="744"/>
        <v>4.9597209120644514</v>
      </c>
      <c r="CP66" s="53">
        <f t="shared" si="744"/>
        <v>5.0067017777844436</v>
      </c>
      <c r="CQ66" s="53">
        <f t="shared" si="744"/>
        <v>5.4115818493195151</v>
      </c>
      <c r="CR66" s="53">
        <f t="shared" si="744"/>
        <v>5.9304172325684057</v>
      </c>
      <c r="CS66" s="53">
        <f t="shared" si="744"/>
        <v>6.1617283812657568</v>
      </c>
      <c r="CT66" s="53">
        <f t="shared" si="744"/>
        <v>6.4098234334679871</v>
      </c>
      <c r="CU66" s="53">
        <f t="shared" ref="CU66:DA66" si="746">(CU48-CU47)/CU65</f>
        <v>6.7690962303969</v>
      </c>
      <c r="CV66" s="53">
        <f t="shared" si="746"/>
        <v>7.3677562010319466</v>
      </c>
      <c r="CW66" s="53">
        <f t="shared" si="746"/>
        <v>7.7131237455017168</v>
      </c>
      <c r="CX66" s="53">
        <f t="shared" si="746"/>
        <v>8.0607925251357528</v>
      </c>
      <c r="CY66" s="53">
        <f t="shared" si="746"/>
        <v>8.494714398345657</v>
      </c>
      <c r="CZ66" s="53">
        <f t="shared" si="746"/>
        <v>9.1967184115428822</v>
      </c>
      <c r="DA66" s="53">
        <f t="shared" si="746"/>
        <v>9.6545535612972042</v>
      </c>
      <c r="DD66" s="131"/>
      <c r="DE66" s="52">
        <v>15.514228987425508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1</v>
      </c>
      <c r="E67" s="3">
        <f>'Annual Raw'!F110</f>
        <v>3</v>
      </c>
      <c r="F67" s="3">
        <f>'Annual Raw'!G110</f>
        <v>1.2</v>
      </c>
      <c r="G67" s="3">
        <f>'Annual Raw'!H110</f>
        <v>1.4</v>
      </c>
      <c r="H67" s="3">
        <f>'Annual Raw'!I110</f>
        <v>1.8</v>
      </c>
      <c r="I67" s="3">
        <f>'Annual Raw'!J110</f>
        <v>1.8</v>
      </c>
      <c r="J67" s="3">
        <f>'Annual Raw'!K110</f>
        <v>1.8</v>
      </c>
      <c r="K67" s="3">
        <f>'Annual Raw'!L110</f>
        <v>3</v>
      </c>
      <c r="L67" s="3">
        <f>'Annual Raw'!M110</f>
        <v>2.2000000000000002</v>
      </c>
      <c r="M67" s="3">
        <f>'Annual Raw'!N110</f>
        <v>2.4</v>
      </c>
      <c r="N67" s="3">
        <f>'Annual Raw'!O110</f>
        <v>2.6</v>
      </c>
      <c r="O67" s="3">
        <f>'Annual Raw'!P110</f>
        <v>2.8</v>
      </c>
      <c r="P67" s="3">
        <f>'Annual Raw'!Q110</f>
        <v>2.8</v>
      </c>
      <c r="Q67" s="3">
        <f>'Annual Raw'!R110</f>
        <v>2.8</v>
      </c>
      <c r="R67" s="3">
        <f>'Annual Raw'!S110</f>
        <v>3</v>
      </c>
      <c r="S67" s="3">
        <f>'Annual Raw'!T110</f>
        <v>3</v>
      </c>
      <c r="T67" s="3">
        <f>'Annual Raw'!U110</f>
        <v>3</v>
      </c>
      <c r="U67" s="3">
        <f>'Annual Raw'!V110</f>
        <v>5</v>
      </c>
      <c r="V67" s="3">
        <f>'Annual Raw'!W110</f>
        <v>3</v>
      </c>
      <c r="W67" s="3">
        <f>'Annual Raw'!X110</f>
        <v>1</v>
      </c>
      <c r="X67" s="3">
        <f>'Annual Raw'!Y110</f>
        <v>2</v>
      </c>
      <c r="Y67" s="3">
        <f>'Annual Raw'!Z110</f>
        <v>5</v>
      </c>
      <c r="Z67" s="3">
        <f>'Annual Raw'!AA110</f>
        <v>2</v>
      </c>
      <c r="AA67" s="3">
        <f>'Annual Raw'!AB110</f>
        <v>2</v>
      </c>
      <c r="AB67" s="36"/>
      <c r="AC67" s="36"/>
      <c r="AD67" s="36"/>
      <c r="AE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47">C67/C66</f>
        <v>#DIV/0!</v>
      </c>
      <c r="D68" s="3">
        <f t="shared" si="747"/>
        <v>4.9856444108641193E-2</v>
      </c>
      <c r="E68" s="3">
        <f t="shared" ca="1" si="747"/>
        <v>0.81159762805087776</v>
      </c>
      <c r="F68" s="3">
        <f t="shared" ca="1" si="747"/>
        <v>0.37602810463751368</v>
      </c>
      <c r="G68" s="3">
        <f t="shared" ca="1" si="747"/>
        <v>0.37150082540128443</v>
      </c>
      <c r="H68" s="3">
        <f t="shared" ca="1" si="747"/>
        <v>0.48828566812085938</v>
      </c>
      <c r="I68" s="3">
        <f t="shared" ca="1" si="747"/>
        <v>0.43099869106214156</v>
      </c>
      <c r="J68" s="3">
        <f t="shared" ca="1" si="747"/>
        <v>0.63881659917887124</v>
      </c>
      <c r="K68" s="3">
        <f t="shared" ca="1" si="747"/>
        <v>0.60636462137324976</v>
      </c>
      <c r="L68" s="3">
        <f t="shared" ca="1" si="747"/>
        <v>0.5068861618034548</v>
      </c>
      <c r="M68" s="3">
        <f t="shared" ca="1" si="747"/>
        <v>0.36514342331021549</v>
      </c>
      <c r="N68" s="3">
        <f t="shared" ca="1" si="747"/>
        <v>0.43578286951583201</v>
      </c>
      <c r="O68" s="3">
        <f t="shared" ca="1" si="747"/>
        <v>0.43030219199036651</v>
      </c>
      <c r="P68" s="3">
        <f t="shared" ca="1" si="747"/>
        <v>0.35065094367770688</v>
      </c>
      <c r="Q68" s="3">
        <f t="shared" ca="1" si="747"/>
        <v>0.27497117573120056</v>
      </c>
      <c r="R68" s="3">
        <f t="shared" ca="1" si="747"/>
        <v>0.26952911782578676</v>
      </c>
      <c r="S68" s="3">
        <f t="shared" ca="1" si="747"/>
        <v>0.356278294768613</v>
      </c>
      <c r="T68" s="3">
        <f t="shared" ca="1" si="747"/>
        <v>0.64970803986824976</v>
      </c>
      <c r="U68" s="3">
        <f t="shared" ca="1" si="747"/>
        <v>0.2221536109150791</v>
      </c>
      <c r="V68" s="3">
        <f ca="1">V67/V66</f>
        <v>0.23611834566100687</v>
      </c>
      <c r="W68" s="3">
        <f t="shared" ref="W68" ca="1" si="748">W67/W66</f>
        <v>0.91133896260553138</v>
      </c>
      <c r="X68" s="3">
        <f t="shared" ref="X68:Y68" ca="1" si="749">X67/X66</f>
        <v>0.30439161966156431</v>
      </c>
      <c r="Y68" s="3">
        <f t="shared" ca="1" si="749"/>
        <v>0.94201995012469442</v>
      </c>
      <c r="Z68" s="3">
        <f t="shared" ref="Z68:AA68" ca="1" si="750">Z67/Z66</f>
        <v>0.26462346760070099</v>
      </c>
      <c r="AA68" s="3">
        <f t="shared" ca="1" si="750"/>
        <v>0.26462346760070099</v>
      </c>
      <c r="AB68" s="36">
        <f t="shared" ref="AA68:AD68" ca="1" si="751">AB67/AB66</f>
        <v>0</v>
      </c>
      <c r="AC68" s="36">
        <f t="shared" ca="1" si="751"/>
        <v>0</v>
      </c>
      <c r="AD68" s="36">
        <f t="shared" ca="1" si="751"/>
        <v>0</v>
      </c>
      <c r="AE68" s="36">
        <f t="shared" ref="AE68" ca="1" si="752">AE67/AE66</f>
        <v>0</v>
      </c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53">+C66</f>
        <v>#DIV/0!</v>
      </c>
      <c r="D69" s="3">
        <f t="shared" si="753"/>
        <v>20.057587697608753</v>
      </c>
      <c r="E69" s="3">
        <f t="shared" ca="1" si="753"/>
        <v>3.6964129715420198</v>
      </c>
      <c r="F69" s="3">
        <f t="shared" ca="1" si="753"/>
        <v>3.1912508272667139</v>
      </c>
      <c r="G69" s="3">
        <f t="shared" ca="1" si="753"/>
        <v>3.7684976836532207</v>
      </c>
      <c r="H69" s="3">
        <f t="shared" ca="1" si="753"/>
        <v>3.6863666446062227</v>
      </c>
      <c r="I69" s="3">
        <f t="shared" ca="1" si="753"/>
        <v>4.1763467902051596</v>
      </c>
      <c r="J69" s="3">
        <f t="shared" ca="1" si="753"/>
        <v>2.8177101257445454</v>
      </c>
      <c r="K69" s="3">
        <f t="shared" ca="1" si="753"/>
        <v>4.9475181998676341</v>
      </c>
      <c r="L69" s="3">
        <f t="shared" ca="1" si="753"/>
        <v>4.3402250165453333</v>
      </c>
      <c r="M69" s="3">
        <f t="shared" ca="1" si="753"/>
        <v>6.5727597617471751</v>
      </c>
      <c r="N69" s="3">
        <f t="shared" ca="1" si="753"/>
        <v>5.9662739907346038</v>
      </c>
      <c r="O69" s="3">
        <f t="shared" ca="1" si="753"/>
        <v>6.507054930509593</v>
      </c>
      <c r="P69" s="3">
        <f t="shared" ca="1" si="753"/>
        <v>7.9851489080079547</v>
      </c>
      <c r="Q69" s="3">
        <f t="shared" ca="1" si="753"/>
        <v>10.182885506287226</v>
      </c>
      <c r="R69" s="3">
        <f t="shared" ca="1" si="753"/>
        <v>11.130522832561208</v>
      </c>
      <c r="S69" s="3">
        <f t="shared" ca="1" si="753"/>
        <v>8.4203838517537744</v>
      </c>
      <c r="T69" s="3">
        <f ca="1">+T66</f>
        <v>4.6174586366644794</v>
      </c>
      <c r="U69" s="3">
        <f t="shared" ca="1" si="753"/>
        <v>22.506949040370586</v>
      </c>
      <c r="V69" s="3">
        <f ca="1">+V66</f>
        <v>12.705493050959602</v>
      </c>
      <c r="W69" s="3">
        <f t="shared" ref="W69" ca="1" si="754">+W66</f>
        <v>1.0972865651886379</v>
      </c>
      <c r="X69" s="3">
        <f t="shared" ref="X69:Y69" ca="1" si="755">+X66</f>
        <v>6.5704831237590771</v>
      </c>
      <c r="Y69" s="3">
        <f t="shared" ca="1" si="755"/>
        <v>5.3077432164129368</v>
      </c>
      <c r="Z69" s="3">
        <f t="shared" ref="Z69:AA69" ca="1" si="756">+Z66</f>
        <v>7.5579086697551157</v>
      </c>
      <c r="AA69" s="3">
        <f t="shared" ca="1" si="756"/>
        <v>7.5579086697551157</v>
      </c>
      <c r="AB69" s="36">
        <f t="shared" ref="AA69:AD69" ca="1" si="757">+AB66</f>
        <v>17.586619340789795</v>
      </c>
      <c r="AC69" s="36">
        <f t="shared" ca="1" si="757"/>
        <v>22.510429240938137</v>
      </c>
      <c r="AD69" s="36">
        <f t="shared" ca="1" si="757"/>
        <v>28.259799610398517</v>
      </c>
      <c r="AE69" s="36">
        <f t="shared" ref="AE69" ca="1" si="758">+AE66</f>
        <v>35.406778896321491</v>
      </c>
      <c r="AL69" s="3">
        <f>SUM(AI66:AL66)</f>
        <v>6.3269358041032353</v>
      </c>
      <c r="AM69" s="3">
        <f t="shared" ref="AM69" si="759">SUM(AJ66:AM66)</f>
        <v>6.5135671740569157</v>
      </c>
      <c r="AN69" s="3">
        <f t="shared" ref="AN69" si="760">SUM(AK66:AN66)</f>
        <v>6.5625413633355425</v>
      </c>
      <c r="AO69" s="3">
        <f t="shared" ref="AO69" si="761">SUM(AL66:AO66)</f>
        <v>6.5069490403706158</v>
      </c>
      <c r="AP69" s="3">
        <f t="shared" ref="AP69" si="762">SUM(AM66:AP66)</f>
        <v>6.5122435473196596</v>
      </c>
      <c r="AQ69" s="3">
        <f t="shared" ref="AQ69" si="763">SUM(AN66:AQ66)</f>
        <v>6.6790205162144236</v>
      </c>
      <c r="AR69" s="3">
        <f t="shared" ref="AR69" si="764">SUM(AO66:AR66)</f>
        <v>7.2177365982792807</v>
      </c>
      <c r="AS69" s="3">
        <f t="shared" ref="AS69" si="765">SUM(AP66:AS66)</f>
        <v>7.9854401058901363</v>
      </c>
      <c r="AT69" s="3">
        <f t="shared" ref="AT69" si="766">SUM(AQ66:AT66)</f>
        <v>8.6221045665122311</v>
      </c>
      <c r="AU69" s="3">
        <f t="shared" ref="AU69" si="767">SUM(AR66:AU66)</f>
        <v>9.1369953673064259</v>
      </c>
      <c r="AV69" s="3">
        <f t="shared" ref="AV69" si="768">SUM(AS66:AV66)</f>
        <v>9.5009927200529418</v>
      </c>
      <c r="AW69" s="3">
        <f t="shared" ref="AW69" si="769">SUM(AT66:AW66)</f>
        <v>10.182660489741878</v>
      </c>
      <c r="AX69" s="3">
        <f t="shared" ref="AX69" si="770">SUM(AU66:AX66)</f>
        <v>12.009265387160809</v>
      </c>
      <c r="AY69" s="3">
        <f t="shared" ref="AY69" si="771">SUM(AV66:AY66)</f>
        <v>11.789543348775624</v>
      </c>
      <c r="AZ69" s="3">
        <f t="shared" ref="AZ69" si="772">SUM(AW66:AZ66)</f>
        <v>11.898080741230942</v>
      </c>
      <c r="BA69" s="3">
        <f t="shared" ref="BA69" si="773">SUM(AX66:BA66)</f>
        <v>11.195234943745833</v>
      </c>
      <c r="BB69" s="3">
        <f t="shared" ref="BB69" si="774">SUM(AY66:BB66)</f>
        <v>8.818001323626719</v>
      </c>
      <c r="BC69" s="3">
        <f t="shared" ref="BC69" si="775">SUM(AZ66:BC66)</f>
        <v>7.3580410324288241</v>
      </c>
      <c r="BD69" s="3">
        <f t="shared" ref="BD69" si="776">SUM(BA66:BD66)</f>
        <v>7.6677696889477014</v>
      </c>
      <c r="BE69" s="3">
        <f t="shared" ref="BE69" si="777">SUM(BB66:BE66)</f>
        <v>8.4209133024487048</v>
      </c>
      <c r="BF69" s="3">
        <f t="shared" ref="BF69" si="778">SUM(BC66:BF66)</f>
        <v>8.6168100595631927</v>
      </c>
      <c r="BG69" s="3">
        <f t="shared" ref="BG69" si="779">SUM(BD66:BG66)</f>
        <v>9.5459960291197881</v>
      </c>
      <c r="BH69" s="3">
        <f t="shared" ref="BH69" si="780">SUM(BE66:BH66)</f>
        <v>5.0125744540039747</v>
      </c>
      <c r="BI69" s="3">
        <f t="shared" ref="BI69" si="781">SUM(BF66:BI66)</f>
        <v>4.6181336863004807</v>
      </c>
      <c r="BJ69" s="3">
        <f t="shared" ref="BJ69" si="782">SUM(BG66:BJ66)</f>
        <v>7.8252812706816881</v>
      </c>
      <c r="BK69" s="3">
        <f t="shared" ref="BK69" si="783">SUM(BH66:BK66)</f>
        <v>9.636002647253493</v>
      </c>
      <c r="BL69" s="3">
        <f t="shared" ref="BL69" si="784">SUM(BI66:BL66)</f>
        <v>15.859695565850449</v>
      </c>
      <c r="BM69" s="3">
        <f t="shared" ref="BM69" si="785">SUM(BJ66:BM66)</f>
        <v>22.506949040370635</v>
      </c>
      <c r="BN69" s="3">
        <f t="shared" ref="BN69" si="786">SUM(BK66:BN66)</f>
        <v>20.558570483123773</v>
      </c>
      <c r="BO69" s="3">
        <f t="shared" ref="BO69" si="787">SUM(BL66:BO66)</f>
        <v>20.398411647915307</v>
      </c>
      <c r="BP69" s="3">
        <f t="shared" ref="BP69" si="788">SUM(BM66:BP66)</f>
        <v>21.057577763070825</v>
      </c>
      <c r="BQ69" s="3">
        <f t="shared" ref="BQ69" si="789">SUM(BN66:BQ66)</f>
        <v>12.705493050959621</v>
      </c>
      <c r="BR69" s="3">
        <f t="shared" ref="BR69" si="790">SUM(BO66:BR66)</f>
        <v>11.230972865651889</v>
      </c>
      <c r="BS69" s="3">
        <f t="shared" ref="BS69" si="791">SUM(BP66:BS66)</f>
        <v>7.2309728656518732</v>
      </c>
      <c r="BT69" s="3">
        <f t="shared" ref="BT69" si="792">SUM(BQ66:BT66)</f>
        <v>3.5592322964923664</v>
      </c>
      <c r="BU69" s="3">
        <f t="shared" ref="BU69" si="793">SUM(BR66:BU66)</f>
        <v>1.0972865651886068</v>
      </c>
      <c r="BV69" s="3">
        <f t="shared" ref="BV69" si="794">SUM(BS66:BV66)</f>
        <v>2.2144275314361392</v>
      </c>
      <c r="BW69" s="3">
        <f t="shared" ref="BW69" si="795">SUM(BT66:BW66)</f>
        <v>3.7564526803441627</v>
      </c>
      <c r="BX69" s="3">
        <f t="shared" ref="BX69" si="796">SUM(BU66:BX66)</f>
        <v>2.5519523494375025</v>
      </c>
      <c r="BY69" s="3">
        <f t="shared" ref="BY69" si="797">SUM(BV66:BY66)</f>
        <v>6.5704831237591375</v>
      </c>
      <c r="BZ69" s="3">
        <f t="shared" ref="BZ69" si="798">SUM(BW66:BZ66)</f>
        <v>8.0105890138980946</v>
      </c>
      <c r="CA69" s="3">
        <f t="shared" ref="CA69" si="799">SUM(BX66:CA66)</f>
        <v>9.126406353408349</v>
      </c>
      <c r="CB69" s="3">
        <f t="shared" ref="CB69" si="800">SUM(BY66:CB66)</f>
        <v>13.392455327597624</v>
      </c>
      <c r="CC69" s="3">
        <f t="shared" ref="CC69" si="801">SUM(BZ66:CC66)</f>
        <v>5.3090668431502399</v>
      </c>
      <c r="CD69" s="3">
        <f t="shared" ref="CD69" si="802">SUM(CA66:CD66)</f>
        <v>4.0569159497021863</v>
      </c>
      <c r="CE69" s="3">
        <f t="shared" ref="CE69" si="803">SUM(CB66:CE66)</f>
        <v>3.061548643282606</v>
      </c>
      <c r="CF69" s="3">
        <f t="shared" ref="CF69" si="804">SUM(CC66:CF66)</f>
        <v>0.13765718067505928</v>
      </c>
      <c r="CG69" s="3">
        <f t="shared" ref="CG69" si="805">SUM(CD66:CG66)</f>
        <v>7.5579086697551343</v>
      </c>
      <c r="CH69" s="3">
        <f t="shared" ref="CH69:CL69" si="806">SUM(CE66:CH66)</f>
        <v>7.4851091992058389</v>
      </c>
      <c r="CI69" s="3">
        <f t="shared" si="806"/>
        <v>9.5499669093315678</v>
      </c>
      <c r="CJ69" s="3">
        <f t="shared" si="806"/>
        <v>13.069490403706142</v>
      </c>
      <c r="CK69" s="3">
        <f t="shared" si="806"/>
        <v>15.514228987425534</v>
      </c>
      <c r="CL69" s="3">
        <f t="shared" si="806"/>
        <v>15.530112508272659</v>
      </c>
      <c r="CM69" s="36">
        <f t="shared" ref="CM69" si="807">SUM(CJ66:CM66)</f>
        <v>16.602878982375248</v>
      </c>
      <c r="CN69" s="36">
        <f t="shared" ref="CN69" si="808">SUM(CK66:CN66)</f>
        <v>16.637487442623449</v>
      </c>
      <c r="CO69" s="36">
        <f t="shared" ref="CO69" si="809">SUM(CL66:CO66)</f>
        <v>17.586619340789817</v>
      </c>
      <c r="CP69" s="36">
        <f t="shared" ref="CP69" si="810">SUM(CM66:CP66)</f>
        <v>19.204836671188417</v>
      </c>
      <c r="CQ69" s="36">
        <f t="shared" ref="CQ69" si="811">SUM(CN66:CQ66)</f>
        <v>20.279588512321958</v>
      </c>
      <c r="CR69" s="36">
        <f t="shared" ref="CR69" si="812">SUM(CO66:CR66)</f>
        <v>21.308421771736814</v>
      </c>
      <c r="CS69" s="36">
        <f t="shared" ref="CS69" si="813">SUM(CP66:CS66)</f>
        <v>22.510429240938119</v>
      </c>
      <c r="CT69" s="36">
        <f t="shared" ref="CT69" si="814">SUM(CQ66:CT66)</f>
        <v>23.913550896621665</v>
      </c>
      <c r="CU69" s="36">
        <f t="shared" ref="CU69" si="815">SUM(CR66:CU66)</f>
        <v>25.271065277699051</v>
      </c>
      <c r="CV69" s="36">
        <f t="shared" ref="CV69" si="816">SUM(CS66:CV66)</f>
        <v>26.708404246162594</v>
      </c>
      <c r="CW69" s="36">
        <f t="shared" ref="CW69" si="817">SUM(CT66:CW66)</f>
        <v>28.259799610398552</v>
      </c>
      <c r="CX69" s="36">
        <f t="shared" ref="CX69" si="818">SUM(CU66:CX66)</f>
        <v>29.910768702066314</v>
      </c>
      <c r="CY69" s="36">
        <f t="shared" ref="CY69" si="819">SUM(CV66:CY66)</f>
        <v>31.636386870015073</v>
      </c>
      <c r="CZ69" s="36">
        <f t="shared" ref="CZ69" si="820">SUM(CW66:CZ66)</f>
        <v>33.465349080526011</v>
      </c>
      <c r="DA69" s="36">
        <f t="shared" ref="DA69" si="821">SUM(CX66:DA66)</f>
        <v>35.406778896321498</v>
      </c>
      <c r="DD69" s="133"/>
      <c r="DE69" s="3">
        <v>15.514228987425508</v>
      </c>
    </row>
    <row r="70" spans="1:109" s="96" customFormat="1" x14ac:dyDescent="0.2">
      <c r="A70" s="96" t="s">
        <v>425</v>
      </c>
      <c r="C70" s="100" t="e">
        <f t="shared" ref="C70:AA70" si="822">+C69/B69-1</f>
        <v>#DIV/0!</v>
      </c>
      <c r="D70" s="100" t="e">
        <f t="shared" si="822"/>
        <v>#DIV/0!</v>
      </c>
      <c r="E70" s="100">
        <f t="shared" ca="1" si="822"/>
        <v>-0.815709993281859</v>
      </c>
      <c r="F70" s="100">
        <f t="shared" ca="1" si="822"/>
        <v>-0.13666279935831116</v>
      </c>
      <c r="G70" s="100">
        <f t="shared" ca="1" si="822"/>
        <v>0.1808842010958176</v>
      </c>
      <c r="H70" s="100">
        <f t="shared" ca="1" si="822"/>
        <v>-2.1794106283589243E-2</v>
      </c>
      <c r="I70" s="100">
        <f t="shared" ca="1" si="822"/>
        <v>0.13291682375540725</v>
      </c>
      <c r="J70" s="100">
        <f t="shared" ca="1" si="822"/>
        <v>-0.32531701333975482</v>
      </c>
      <c r="K70" s="100">
        <f t="shared" ca="1" si="822"/>
        <v>0.75586486156389587</v>
      </c>
      <c r="L70" s="100">
        <f t="shared" ca="1" si="822"/>
        <v>-0.1227470337225941</v>
      </c>
      <c r="M70" s="100">
        <f t="shared" ca="1" si="822"/>
        <v>0.51438225822191619</v>
      </c>
      <c r="N70" s="100">
        <f t="shared" ca="1" si="822"/>
        <v>-9.2272621090194074E-2</v>
      </c>
      <c r="O70" s="100">
        <f t="shared" ca="1" si="822"/>
        <v>9.0639642197928083E-2</v>
      </c>
      <c r="P70" s="100">
        <f t="shared" ca="1" si="822"/>
        <v>0.22715252803046582</v>
      </c>
      <c r="Q70" s="100">
        <f t="shared" ca="1" si="822"/>
        <v>0.27522800433630712</v>
      </c>
      <c r="R70" s="100">
        <f t="shared" ca="1" si="822"/>
        <v>9.3061767775831417E-2</v>
      </c>
      <c r="S70" s="100">
        <f t="shared" ca="1" si="822"/>
        <v>-0.24348712289410157</v>
      </c>
      <c r="T70" s="100">
        <f t="shared" ca="1" si="822"/>
        <v>-0.45163323692152491</v>
      </c>
      <c r="U70" s="100">
        <f t="shared" ca="1" si="822"/>
        <v>3.8743152481445868</v>
      </c>
      <c r="V70" s="100">
        <f t="shared" ca="1" si="822"/>
        <v>-0.43548576805457584</v>
      </c>
      <c r="W70" s="100">
        <f t="shared" ca="1" si="822"/>
        <v>-0.91363683717053679</v>
      </c>
      <c r="X70" s="100">
        <f t="shared" ca="1" si="822"/>
        <v>4.9879372738237482</v>
      </c>
      <c r="Y70" s="100">
        <f t="shared" ca="1" si="822"/>
        <v>-0.1921837228041926</v>
      </c>
      <c r="Z70" s="100">
        <f t="shared" ca="1" si="822"/>
        <v>0.42394014962594206</v>
      </c>
      <c r="AA70" s="100">
        <f t="shared" ca="1" si="822"/>
        <v>0.42394014962594206</v>
      </c>
      <c r="AB70" s="173">
        <f t="shared" ref="AB70" ca="1" si="823">+AB69/AA69-1</f>
        <v>0.1335799771322177</v>
      </c>
      <c r="AC70" s="173">
        <f t="shared" ref="AC70" ca="1" si="824">+AC69/AB69-1</f>
        <v>0.2799747810955473</v>
      </c>
      <c r="AD70" s="173">
        <f t="shared" ref="AD70" ca="1" si="825">+AD69/AC69-1</f>
        <v>0.25540918424622494</v>
      </c>
      <c r="AE70" s="173">
        <f t="shared" ref="AE70" ca="1" si="826">+AE69/AD69-1</f>
        <v>0.25290268807472938</v>
      </c>
      <c r="AL70" s="175"/>
      <c r="AM70" s="175"/>
      <c r="AN70" s="175"/>
      <c r="AO70" s="175"/>
      <c r="AP70" s="175">
        <f t="shared" ref="AP70:CL70" si="827">+IF(AL69&lt;0,1-AP69/AL69,AP69/AL69-1)</f>
        <v>2.9288702928872201E-2</v>
      </c>
      <c r="AQ70" s="175">
        <f t="shared" si="827"/>
        <v>2.5401341190814275E-2</v>
      </c>
      <c r="AR70" s="175">
        <f t="shared" si="827"/>
        <v>9.9838644614762773E-2</v>
      </c>
      <c r="AS70" s="175">
        <f t="shared" si="827"/>
        <v>0.22721724979658209</v>
      </c>
      <c r="AT70" s="175">
        <f t="shared" si="827"/>
        <v>0.3239837398373957</v>
      </c>
      <c r="AU70" s="175">
        <f t="shared" si="827"/>
        <v>0.36801426872770682</v>
      </c>
      <c r="AV70" s="175">
        <f t="shared" si="827"/>
        <v>0.31633962956170958</v>
      </c>
      <c r="AW70" s="175">
        <f t="shared" si="827"/>
        <v>0.275153323388031</v>
      </c>
      <c r="AX70" s="175">
        <f t="shared" si="827"/>
        <v>0.39284617746392447</v>
      </c>
      <c r="AY70" s="175">
        <f t="shared" si="827"/>
        <v>0.29030856149499895</v>
      </c>
      <c r="AZ70" s="175">
        <f t="shared" si="827"/>
        <v>0.25229869044301756</v>
      </c>
      <c r="BA70" s="175">
        <f t="shared" si="827"/>
        <v>9.9441050305471013E-2</v>
      </c>
      <c r="BB70" s="175">
        <f t="shared" si="827"/>
        <v>-0.26573349498512155</v>
      </c>
      <c r="BC70" s="175">
        <f t="shared" si="827"/>
        <v>-0.37588413607275328</v>
      </c>
      <c r="BD70" s="175">
        <f t="shared" si="827"/>
        <v>-0.35554566692624279</v>
      </c>
      <c r="BE70" s="175">
        <f t="shared" si="827"/>
        <v>-0.24781272168361146</v>
      </c>
      <c r="BF70" s="175">
        <f t="shared" si="827"/>
        <v>-2.2815971179825034E-2</v>
      </c>
      <c r="BG70" s="175">
        <f t="shared" si="827"/>
        <v>0.29735563950351329</v>
      </c>
      <c r="BH70" s="175">
        <f t="shared" si="827"/>
        <v>-0.34627999309511304</v>
      </c>
      <c r="BI70" s="175">
        <f t="shared" si="827"/>
        <v>-0.45158755108456228</v>
      </c>
      <c r="BJ70" s="175">
        <f t="shared" si="827"/>
        <v>-9.1858678955449635E-2</v>
      </c>
      <c r="BK70" s="175">
        <f t="shared" si="827"/>
        <v>9.4287298946220677E-3</v>
      </c>
      <c r="BL70" s="175">
        <f t="shared" si="827"/>
        <v>2.1639820438341708</v>
      </c>
      <c r="BM70" s="175">
        <f t="shared" si="827"/>
        <v>3.8736027515047153</v>
      </c>
      <c r="BN70" s="175">
        <f t="shared" si="827"/>
        <v>1.6271989174560169</v>
      </c>
      <c r="BO70" s="175">
        <f t="shared" si="827"/>
        <v>1.1168956043956024</v>
      </c>
      <c r="BP70" s="175">
        <f t="shared" si="827"/>
        <v>0.32774161241862698</v>
      </c>
      <c r="BQ70" s="175">
        <f t="shared" si="827"/>
        <v>-0.43548576805457628</v>
      </c>
      <c r="BR70" s="175">
        <f t="shared" si="827"/>
        <v>-0.45370847283028615</v>
      </c>
      <c r="BS70" s="175">
        <f t="shared" si="827"/>
        <v>-0.64551294529881353</v>
      </c>
      <c r="BT70" s="175">
        <f t="shared" si="827"/>
        <v>-0.83097617700672688</v>
      </c>
      <c r="BU70" s="175">
        <f t="shared" si="827"/>
        <v>-0.91363683717053934</v>
      </c>
      <c r="BV70" s="175">
        <f t="shared" si="827"/>
        <v>-0.80282852091926893</v>
      </c>
      <c r="BW70" s="175">
        <f t="shared" si="827"/>
        <v>-0.48050521691378001</v>
      </c>
      <c r="BX70" s="175">
        <f t="shared" si="827"/>
        <v>-0.28300483451095371</v>
      </c>
      <c r="BY70" s="175">
        <f t="shared" si="827"/>
        <v>4.9879372738239729</v>
      </c>
      <c r="BZ70" s="175">
        <f t="shared" si="827"/>
        <v>2.6174536760310811</v>
      </c>
      <c r="CA70" s="175">
        <f t="shared" si="827"/>
        <v>1.4295278365045707</v>
      </c>
      <c r="CB70" s="175">
        <f t="shared" si="827"/>
        <v>4.2479253112032316</v>
      </c>
      <c r="CC70" s="175">
        <f t="shared" si="827"/>
        <v>-0.19198227236100252</v>
      </c>
      <c r="CD70" s="175">
        <f t="shared" si="827"/>
        <v>-0.49355584930601515</v>
      </c>
      <c r="CE70" s="175">
        <f t="shared" si="827"/>
        <v>-0.66453952139231243</v>
      </c>
      <c r="CF70" s="175">
        <f t="shared" si="827"/>
        <v>-0.98972128879225074</v>
      </c>
      <c r="CG70" s="175">
        <f t="shared" si="827"/>
        <v>0.42358514086262655</v>
      </c>
      <c r="CH70" s="175">
        <f t="shared" si="827"/>
        <v>0.84502446982055734</v>
      </c>
      <c r="CI70" s="175">
        <f t="shared" si="827"/>
        <v>2.119325551232154</v>
      </c>
      <c r="CJ70" s="175">
        <f t="shared" si="827"/>
        <v>93.942307692300957</v>
      </c>
      <c r="CK70" s="175">
        <f t="shared" si="827"/>
        <v>1.0527145359019237</v>
      </c>
      <c r="CL70" s="175">
        <f t="shared" si="827"/>
        <v>1.0748010610079524</v>
      </c>
      <c r="CM70" s="101">
        <f t="shared" ref="CM70:DA70" si="828">+IF(CI69&lt;0,1-CM69/CI69,CM69/CI69-1)</f>
        <v>0.73852738339355528</v>
      </c>
      <c r="CN70" s="101">
        <f t="shared" si="828"/>
        <v>0.27300200150921894</v>
      </c>
      <c r="CO70" s="101">
        <f t="shared" si="828"/>
        <v>0.13357997713221703</v>
      </c>
      <c r="CP70" s="101">
        <f t="shared" si="828"/>
        <v>0.23661928791296827</v>
      </c>
      <c r="CQ70" s="101">
        <f t="shared" si="828"/>
        <v>0.22145011921424662</v>
      </c>
      <c r="CR70" s="101">
        <f t="shared" si="828"/>
        <v>0.28074757953817797</v>
      </c>
      <c r="CS70" s="101">
        <f t="shared" si="828"/>
        <v>0.27997478109554486</v>
      </c>
      <c r="CT70" s="101">
        <f t="shared" si="828"/>
        <v>0.24518376834192912</v>
      </c>
      <c r="CU70" s="101">
        <f t="shared" si="828"/>
        <v>0.24613303974803302</v>
      </c>
      <c r="CV70" s="101">
        <f t="shared" si="828"/>
        <v>0.25342010460803999</v>
      </c>
      <c r="CW70" s="101">
        <f t="shared" si="828"/>
        <v>0.25540918424622761</v>
      </c>
      <c r="CX70" s="101">
        <f t="shared" si="828"/>
        <v>0.2507874230544278</v>
      </c>
      <c r="CY70" s="101">
        <f t="shared" si="828"/>
        <v>0.25188180721187181</v>
      </c>
      <c r="CZ70" s="101">
        <f t="shared" si="828"/>
        <v>0.25298946249603205</v>
      </c>
      <c r="DA70" s="101">
        <f t="shared" si="828"/>
        <v>0.25290268807472804</v>
      </c>
      <c r="DD70" s="134"/>
      <c r="DE70" s="96">
        <v>1.052714535901925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65.7</v>
      </c>
      <c r="E73" s="3">
        <f>'Annual Raw'!F112</f>
        <v>65.16</v>
      </c>
      <c r="F73" s="3">
        <f>'Annual Raw'!G112</f>
        <v>63.73</v>
      </c>
      <c r="G73" s="3">
        <f>'Annual Raw'!H112</f>
        <v>63.73</v>
      </c>
      <c r="H73" s="3">
        <f>'Annual Raw'!I112</f>
        <v>63.73</v>
      </c>
      <c r="I73" s="3">
        <f>'Annual Raw'!J112</f>
        <v>63.73</v>
      </c>
      <c r="J73" s="3">
        <f>'Annual Raw'!K112</f>
        <v>63.73</v>
      </c>
      <c r="K73" s="3">
        <f>'Annual Raw'!L112</f>
        <v>63.88</v>
      </c>
      <c r="L73" s="3">
        <f>'Annual Raw'!M112</f>
        <v>63.88</v>
      </c>
      <c r="M73" s="3">
        <f>'Annual Raw'!N112</f>
        <v>63.7</v>
      </c>
      <c r="N73" s="3">
        <f>'Annual Raw'!O112</f>
        <v>63.7</v>
      </c>
      <c r="O73" s="3">
        <f>'Annual Raw'!P112</f>
        <v>63.78</v>
      </c>
      <c r="P73" s="3">
        <f>'Annual Raw'!Q112</f>
        <v>68.77</v>
      </c>
      <c r="Q73" s="3">
        <f>'Annual Raw'!R112</f>
        <v>68.77</v>
      </c>
      <c r="R73" s="3">
        <f>'Annual Raw'!S112</f>
        <v>68.77</v>
      </c>
      <c r="S73" s="3">
        <f>'Annual Raw'!T112</f>
        <v>66.209999999999994</v>
      </c>
      <c r="T73" s="3">
        <f>'Annual Raw'!U112</f>
        <v>66.94</v>
      </c>
      <c r="U73" s="3">
        <f>'Annual Raw'!V112</f>
        <v>66.94</v>
      </c>
      <c r="V73" s="3">
        <f>'Annual Raw'!W112</f>
        <v>66.94</v>
      </c>
      <c r="W73" s="3">
        <f>'Annual Raw'!X112</f>
        <v>67.73</v>
      </c>
      <c r="X73" s="3">
        <f>'Annual Raw'!Y112</f>
        <v>67.73</v>
      </c>
      <c r="Y73" s="3">
        <f>'Annual Raw'!Z112</f>
        <v>67.73</v>
      </c>
      <c r="Z73" s="3">
        <f>'Annual Raw'!AA112</f>
        <v>67.73</v>
      </c>
      <c r="AA73" s="3">
        <f>'Annual Raw'!AB112</f>
        <v>67.73</v>
      </c>
      <c r="AB73" s="36"/>
      <c r="AC73" s="36"/>
      <c r="AD73" s="36"/>
      <c r="AE73" s="36"/>
      <c r="AI73" s="3">
        <f>'QTR Raw'!C49</f>
        <v>63.7</v>
      </c>
      <c r="AJ73" s="3">
        <f>'QTR Raw'!D49</f>
        <v>63.7</v>
      </c>
      <c r="AK73" s="3">
        <f>'QTR Raw'!E49</f>
        <v>63.7</v>
      </c>
      <c r="AL73" s="3">
        <f>'QTR Raw'!F49</f>
        <v>63.7</v>
      </c>
      <c r="AM73" s="3">
        <f>'QTR Raw'!G49</f>
        <v>63.7</v>
      </c>
      <c r="AN73" s="3">
        <f>'QTR Raw'!H49</f>
        <v>63.78</v>
      </c>
      <c r="AO73" s="3">
        <f>'QTR Raw'!I49</f>
        <v>63.78</v>
      </c>
      <c r="AP73" s="3">
        <f>'QTR Raw'!J49</f>
        <v>63.78</v>
      </c>
      <c r="AQ73" s="3">
        <f>'QTR Raw'!K49</f>
        <v>63.78</v>
      </c>
      <c r="AR73" s="3">
        <f>'QTR Raw'!L49</f>
        <v>68.77</v>
      </c>
      <c r="AS73" s="3">
        <f>'QTR Raw'!M49</f>
        <v>68.77</v>
      </c>
      <c r="AT73" s="3">
        <f>'QTR Raw'!N49</f>
        <v>68.77</v>
      </c>
      <c r="AU73" s="3">
        <f>'QTR Raw'!O49</f>
        <v>68.77</v>
      </c>
      <c r="AV73" s="3">
        <f>'QTR Raw'!P49</f>
        <v>68.77</v>
      </c>
      <c r="AW73" s="3">
        <f>'QTR Raw'!Q49</f>
        <v>68.77</v>
      </c>
      <c r="AX73" s="3">
        <f>'QTR Raw'!R49</f>
        <v>68.77</v>
      </c>
      <c r="AY73" s="3">
        <f>'QTR Raw'!S49</f>
        <v>68.77</v>
      </c>
      <c r="AZ73" s="3">
        <f>'QTR Raw'!T49</f>
        <v>68.77</v>
      </c>
      <c r="BA73" s="3">
        <f>'QTR Raw'!U49</f>
        <v>68.77</v>
      </c>
      <c r="BB73" s="3">
        <f>'QTR Raw'!V49</f>
        <v>68.77</v>
      </c>
      <c r="BC73" s="3">
        <f>'QTR Raw'!W49</f>
        <v>66.209999999999994</v>
      </c>
      <c r="BD73" s="3">
        <f>'QTR Raw'!X49</f>
        <v>66.209999999999994</v>
      </c>
      <c r="BE73" s="3">
        <f>'QTR Raw'!Y49</f>
        <v>66.209999999999994</v>
      </c>
      <c r="BF73" s="3">
        <f>'QTR Raw'!Z49</f>
        <v>66.209999999999994</v>
      </c>
      <c r="BG73" s="3">
        <f>'QTR Raw'!AA49</f>
        <v>66.94</v>
      </c>
      <c r="BH73" s="3">
        <f>'QTR Raw'!AB49</f>
        <v>66.94</v>
      </c>
      <c r="BI73" s="3">
        <f>'QTR Raw'!AC49</f>
        <v>66.94</v>
      </c>
      <c r="BJ73" s="3">
        <f>'QTR Raw'!AD49</f>
        <v>66.94</v>
      </c>
      <c r="BK73" s="3">
        <f>'QTR Raw'!AE49</f>
        <v>66.94</v>
      </c>
      <c r="BL73" s="3">
        <f>'QTR Raw'!AF49</f>
        <v>66.94</v>
      </c>
      <c r="BM73" s="3">
        <f>'QTR Raw'!AG49</f>
        <v>66.94</v>
      </c>
      <c r="BN73" s="3">
        <f>'QTR Raw'!AH49</f>
        <v>66.94</v>
      </c>
      <c r="BO73" s="3">
        <f>'QTR Raw'!AI49</f>
        <v>66.94</v>
      </c>
      <c r="BP73" s="3">
        <f>'QTR Raw'!AJ49</f>
        <v>66.94</v>
      </c>
      <c r="BQ73" s="3">
        <f>'QTR Raw'!AK49</f>
        <v>66.94</v>
      </c>
      <c r="BR73" s="3">
        <f>'QTR Raw'!AL49</f>
        <v>67.73</v>
      </c>
      <c r="BS73" s="3">
        <f>'QTR Raw'!AM49</f>
        <v>67.73</v>
      </c>
      <c r="BT73" s="3">
        <f>'QTR Raw'!AN49</f>
        <v>67.73</v>
      </c>
      <c r="BU73" s="3">
        <f>'QTR Raw'!AO49</f>
        <v>67.73</v>
      </c>
      <c r="BV73" s="3">
        <f>'QTR Raw'!AP49</f>
        <v>67.73</v>
      </c>
      <c r="BW73" s="3">
        <f>'QTR Raw'!AQ49</f>
        <v>67.73</v>
      </c>
      <c r="BX73" s="3">
        <f>'QTR Raw'!AR49</f>
        <v>67.73</v>
      </c>
      <c r="BY73" s="3">
        <f>'QTR Raw'!AS49</f>
        <v>67.73</v>
      </c>
      <c r="BZ73" s="3">
        <f>'QTR Raw'!AT49</f>
        <v>67.73</v>
      </c>
      <c r="CA73" s="3">
        <f>'QTR Raw'!AU49</f>
        <v>67.73</v>
      </c>
      <c r="CB73" s="3">
        <f>'QTR Raw'!AV49</f>
        <v>67.73</v>
      </c>
      <c r="CC73" s="3">
        <f>'QTR Raw'!AW49</f>
        <v>67.73</v>
      </c>
      <c r="CD73" s="3">
        <f>'QTR Raw'!AX49</f>
        <v>67.73</v>
      </c>
      <c r="CE73" s="3">
        <f>'QTR Raw'!AY49</f>
        <v>67.73</v>
      </c>
      <c r="CF73" s="3">
        <f>'QTR Raw'!AZ49</f>
        <v>67.73</v>
      </c>
      <c r="CG73" s="3">
        <f>'QTR Raw'!BA49</f>
        <v>67.73</v>
      </c>
      <c r="CH73" s="3">
        <f>'QTR Raw'!BB49</f>
        <v>67.73</v>
      </c>
      <c r="CI73" s="3">
        <f>'QTR Raw'!BC49</f>
        <v>67.73</v>
      </c>
      <c r="CJ73" s="3">
        <f>'QTR Raw'!BD49</f>
        <v>67.73</v>
      </c>
      <c r="CK73" s="3">
        <f>'QTR Raw'!BE49</f>
        <v>67.73</v>
      </c>
      <c r="CL73" s="3">
        <f>'QTR Raw'!BF49</f>
        <v>67.73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27</v>
      </c>
      <c r="E77" s="13">
        <f>'Annual Raw'!F106</f>
        <v>39.450000000000003</v>
      </c>
      <c r="F77" s="13">
        <f>'Annual Raw'!G106</f>
        <v>43.39</v>
      </c>
      <c r="G77" s="13">
        <f>'Annual Raw'!H106</f>
        <v>60.51</v>
      </c>
      <c r="H77" s="13">
        <f>'Annual Raw'!I106</f>
        <v>73.7</v>
      </c>
      <c r="I77" s="13">
        <f>'Annual Raw'!J106</f>
        <v>73.2</v>
      </c>
      <c r="J77" s="13">
        <f>'Annual Raw'!K106</f>
        <v>31.4</v>
      </c>
      <c r="K77" s="13">
        <f>'Annual Raw'!L106</f>
        <v>60.35</v>
      </c>
      <c r="L77" s="13">
        <f>'Annual Raw'!M106</f>
        <v>56.7</v>
      </c>
      <c r="M77" s="13">
        <f>'Annual Raw'!N106</f>
        <v>59.85</v>
      </c>
      <c r="N77" s="13">
        <f>'Annual Raw'!O106</f>
        <v>72.349999999999994</v>
      </c>
      <c r="O77" s="13">
        <f>'Annual Raw'!P106</f>
        <v>74.599999999999994</v>
      </c>
      <c r="P77" s="13">
        <f>'Annual Raw'!Q106</f>
        <v>180.7</v>
      </c>
      <c r="Q77" s="13">
        <f>'Annual Raw'!R106</f>
        <v>239.7</v>
      </c>
      <c r="R77" s="13">
        <f>'Annual Raw'!S106</f>
        <v>242</v>
      </c>
      <c r="S77" s="13">
        <f>'Annual Raw'!T106</f>
        <v>353.65</v>
      </c>
      <c r="T77" s="13">
        <f>'Annual Raw'!U106</f>
        <v>194</v>
      </c>
      <c r="U77" s="13">
        <f>'Annual Raw'!V106</f>
        <v>246.3</v>
      </c>
      <c r="V77" s="13">
        <f>'Annual Raw'!W106</f>
        <v>312.60000000000002</v>
      </c>
      <c r="W77" s="13">
        <f>'Annual Raw'!X106</f>
        <v>227.8</v>
      </c>
      <c r="X77" s="13">
        <f>'Annual Raw'!Y106</f>
        <v>198.85</v>
      </c>
      <c r="Y77" s="13">
        <f>'Annual Raw'!Z106</f>
        <v>286.60000000000002</v>
      </c>
      <c r="Z77" s="13">
        <f>'Annual Raw'!AA106</f>
        <v>272.39999999999998</v>
      </c>
      <c r="AA77" s="13">
        <f>'Annual Raw'!AB106</f>
        <v>211.65</v>
      </c>
      <c r="AB77" s="36">
        <f>+CO77</f>
        <v>150.15</v>
      </c>
      <c r="AC77" s="36">
        <f>+CS77</f>
        <v>150.15</v>
      </c>
      <c r="AD77" s="36">
        <f>+CW77</f>
        <v>150.15</v>
      </c>
      <c r="AE77" s="36">
        <f>+DA77</f>
        <v>150.15</v>
      </c>
      <c r="AJ77" s="13">
        <f>'QTR Share Price'!HP21</f>
        <v>71.650000000000006</v>
      </c>
      <c r="AK77" s="13">
        <f>'QTR Share Price'!HQ21</f>
        <v>72.349999999999994</v>
      </c>
      <c r="AL77" s="13">
        <f>'QTR Share Price'!HR21</f>
        <v>62.15</v>
      </c>
      <c r="AM77" s="13">
        <f>'QTR Share Price'!HS21</f>
        <v>62.85</v>
      </c>
      <c r="AN77" s="13">
        <f>'QTR Share Price'!HT21</f>
        <v>60.1</v>
      </c>
      <c r="AO77" s="13">
        <f>'QTR Share Price'!HU21</f>
        <v>74.599999999999994</v>
      </c>
      <c r="AP77" s="13">
        <f>'QTR Share Price'!HV21</f>
        <v>89.5</v>
      </c>
      <c r="AQ77" s="13">
        <f>'QTR Share Price'!HW21</f>
        <v>134.30000000000001</v>
      </c>
      <c r="AR77" s="13">
        <f>'QTR Share Price'!HX21</f>
        <v>192.05</v>
      </c>
      <c r="AS77" s="13">
        <f>'QTR Share Price'!HY21</f>
        <v>180.7</v>
      </c>
      <c r="AT77" s="13">
        <f>'QTR Share Price'!HZ21</f>
        <v>231.1</v>
      </c>
      <c r="AU77" s="13">
        <f>'QTR Share Price'!IA21</f>
        <v>236.7</v>
      </c>
      <c r="AV77" s="13">
        <f>'QTR Share Price'!IB21</f>
        <v>272.39999999999998</v>
      </c>
      <c r="AW77" s="13">
        <f>'QTR Share Price'!IC21</f>
        <v>239.7</v>
      </c>
      <c r="AX77" s="13">
        <f>'QTR Share Price'!ID21</f>
        <v>209.6</v>
      </c>
      <c r="AY77" s="13">
        <f>'QTR Share Price'!IE21</f>
        <v>297.7</v>
      </c>
      <c r="AZ77" s="13">
        <f>'QTR Share Price'!IF21</f>
        <v>257.5</v>
      </c>
      <c r="BA77" s="13">
        <f>'QTR Share Price'!IG21</f>
        <v>242</v>
      </c>
      <c r="BB77" s="13">
        <f>'QTR Share Price'!IH21</f>
        <v>237.4</v>
      </c>
      <c r="BC77" s="13">
        <f>'QTR Share Price'!II21</f>
        <v>259.75</v>
      </c>
      <c r="BD77" s="13">
        <f>'QTR Share Price'!IJ21</f>
        <v>218.35</v>
      </c>
      <c r="BE77" s="13">
        <f>'QTR Share Price'!IK21</f>
        <v>353.65</v>
      </c>
      <c r="BF77" s="13">
        <f>'QTR Share Price'!IL21</f>
        <v>320.10000000000002</v>
      </c>
      <c r="BG77" s="13">
        <f>'QTR Share Price'!IM21</f>
        <v>275.05</v>
      </c>
      <c r="BH77" s="13">
        <f>'QTR Share Price'!IN21</f>
        <v>237</v>
      </c>
      <c r="BI77" s="13">
        <f>'QTR Share Price'!IO21</f>
        <v>194</v>
      </c>
      <c r="BJ77" s="13">
        <f>'QTR Share Price'!IP21</f>
        <v>196.75</v>
      </c>
      <c r="BK77" s="13">
        <f>'QTR Share Price'!IQ21</f>
        <v>258.75</v>
      </c>
      <c r="BL77" s="13">
        <f>'QTR Share Price'!IR21</f>
        <v>244.1</v>
      </c>
      <c r="BM77" s="13">
        <f>'QTR Share Price'!IS21</f>
        <v>246.3</v>
      </c>
      <c r="BN77" s="13">
        <f>'QTR Share Price'!IT21</f>
        <v>195.75</v>
      </c>
      <c r="BO77" s="13">
        <f>'QTR Share Price'!IU21</f>
        <v>203.9</v>
      </c>
      <c r="BP77" s="13">
        <f>'QTR Share Price'!IV21</f>
        <v>310.5</v>
      </c>
      <c r="BQ77" s="13">
        <f>'QTR Share Price'!IW21</f>
        <v>312.60000000000002</v>
      </c>
      <c r="BR77" s="13">
        <f>'QTR Share Price'!IX21</f>
        <v>280.3</v>
      </c>
      <c r="BS77" s="13">
        <f>'QTR Share Price'!IY21</f>
        <v>293.10000000000002</v>
      </c>
      <c r="BT77" s="13">
        <f>'QTR Share Price'!IZ21</f>
        <v>265.5</v>
      </c>
      <c r="BU77" s="13">
        <f>'QTR Share Price'!JA21</f>
        <v>227.8</v>
      </c>
      <c r="BV77" s="13">
        <f>'QTR Share Price'!JB21</f>
        <v>151</v>
      </c>
      <c r="BW77" s="13">
        <f>'QTR Share Price'!JC21</f>
        <v>165</v>
      </c>
      <c r="BX77" s="13">
        <f>'QTR Share Price'!JD21</f>
        <v>217.75</v>
      </c>
      <c r="BY77" s="13">
        <f>'QTR Share Price'!JE21</f>
        <v>198.85</v>
      </c>
      <c r="BZ77" s="13">
        <f>'QTR Share Price'!JF21</f>
        <v>189.8</v>
      </c>
      <c r="CA77" s="13">
        <f>'QTR Share Price'!JG21</f>
        <v>273</v>
      </c>
      <c r="CB77" s="13">
        <f>'QTR Share Price'!JH21</f>
        <v>256.55</v>
      </c>
      <c r="CC77" s="13">
        <f>'QTR Share Price'!JI21</f>
        <v>286.60000000000002</v>
      </c>
      <c r="CD77" s="13">
        <f>'QTR Share Price'!JJ21</f>
        <v>299.5</v>
      </c>
      <c r="CE77" s="13">
        <f>'QTR Share Price'!JK21</f>
        <v>360.65</v>
      </c>
      <c r="CF77" s="13">
        <f>'QTR Share Price'!JL21</f>
        <v>385</v>
      </c>
      <c r="CG77" s="13">
        <f>'QTR Share Price'!JM21</f>
        <v>272.39999999999998</v>
      </c>
      <c r="CH77" s="13">
        <f>'QTR Share Price'!JN21</f>
        <v>180.95</v>
      </c>
      <c r="CI77" s="13">
        <f>'QTR Share Price'!JO21</f>
        <v>211.6</v>
      </c>
      <c r="CJ77" s="13">
        <f>'QTR Share Price'!JP21</f>
        <v>233.9</v>
      </c>
      <c r="CK77" s="13">
        <f>'QTR Share Price'!JQ21</f>
        <v>211.65</v>
      </c>
      <c r="CL77" s="13">
        <f>'QTR Share Price'!JR21</f>
        <v>150.15</v>
      </c>
      <c r="CM77" s="36">
        <f t="shared" ref="CM77" si="829">+CL77</f>
        <v>150.15</v>
      </c>
      <c r="CN77" s="36">
        <f t="shared" ref="CN77" si="830">+CM77</f>
        <v>150.15</v>
      </c>
      <c r="CO77" s="36">
        <f t="shared" ref="CO77" si="831">+CN77</f>
        <v>150.15</v>
      </c>
      <c r="CP77" s="36">
        <f t="shared" ref="CP77" si="832">+CO77</f>
        <v>150.15</v>
      </c>
      <c r="CQ77" s="36">
        <f t="shared" ref="CQ77" si="833">+CP77</f>
        <v>150.15</v>
      </c>
      <c r="CR77" s="36">
        <f t="shared" ref="CR77" si="834">+CQ77</f>
        <v>150.15</v>
      </c>
      <c r="CS77" s="36">
        <f t="shared" ref="CS77" si="835">+CR77</f>
        <v>150.15</v>
      </c>
      <c r="CT77" s="36">
        <f t="shared" ref="CT77" si="836">+CS77</f>
        <v>150.15</v>
      </c>
      <c r="CU77" s="36">
        <f t="shared" ref="CU77" si="837">+CT77</f>
        <v>150.15</v>
      </c>
      <c r="CV77" s="36">
        <f t="shared" ref="CV77" si="838">+CU77</f>
        <v>150.15</v>
      </c>
      <c r="CW77" s="36">
        <f t="shared" ref="CW77" si="839">+CV77</f>
        <v>150.15</v>
      </c>
      <c r="CX77" s="36">
        <f t="shared" ref="CX77" si="840">+CW77</f>
        <v>150.15</v>
      </c>
      <c r="CY77" s="36">
        <f t="shared" ref="CY77" si="841">+CX77</f>
        <v>150.15</v>
      </c>
      <c r="CZ77" s="36">
        <f t="shared" ref="CZ77" si="842">+CY77</f>
        <v>150.15</v>
      </c>
      <c r="DA77" s="36">
        <f t="shared" ref="DA77" si="843">+CZ77</f>
        <v>150.15</v>
      </c>
      <c r="DD77" s="133"/>
      <c r="DE77" s="13">
        <v>211.65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27.4</v>
      </c>
      <c r="E78" s="13">
        <f>'Annual Raw'!F107</f>
        <v>42.35</v>
      </c>
      <c r="F78" s="13">
        <f>'Annual Raw'!G107</f>
        <v>48.4</v>
      </c>
      <c r="G78" s="13">
        <f>'Annual Raw'!H107</f>
        <v>65.599999999999994</v>
      </c>
      <c r="H78" s="13">
        <f>'Annual Raw'!I107</f>
        <v>99.76</v>
      </c>
      <c r="I78" s="13">
        <f>'Annual Raw'!J107</f>
        <v>83.74</v>
      </c>
      <c r="J78" s="13">
        <f>'Annual Raw'!K107</f>
        <v>77.7</v>
      </c>
      <c r="K78" s="13">
        <f>'Annual Raw'!L107</f>
        <v>75.900000000000006</v>
      </c>
      <c r="L78" s="13">
        <f>'Annual Raw'!M107</f>
        <v>71.5</v>
      </c>
      <c r="M78" s="13">
        <f>'Annual Raw'!N107</f>
        <v>93.15</v>
      </c>
      <c r="N78" s="13">
        <f>'Annual Raw'!O107</f>
        <v>77</v>
      </c>
      <c r="O78" s="13">
        <f>'Annual Raw'!P107</f>
        <v>81.8</v>
      </c>
      <c r="P78" s="13">
        <f>'Annual Raw'!Q107</f>
        <v>212</v>
      </c>
      <c r="Q78" s="13">
        <f>'Annual Raw'!R107</f>
        <v>334</v>
      </c>
      <c r="R78" s="13">
        <f>'Annual Raw'!S107</f>
        <v>327</v>
      </c>
      <c r="S78" s="13">
        <f>'Annual Raw'!T107</f>
        <v>387</v>
      </c>
      <c r="T78" s="13">
        <f>'Annual Raw'!U107</f>
        <v>373.05</v>
      </c>
      <c r="U78" s="13">
        <f>'Annual Raw'!V107</f>
        <v>289.8</v>
      </c>
      <c r="V78" s="13">
        <f>'Annual Raw'!W107</f>
        <v>336</v>
      </c>
      <c r="W78" s="13">
        <f>'Annual Raw'!X107</f>
        <v>352.45</v>
      </c>
      <c r="X78" s="13">
        <f>'Annual Raw'!Y107</f>
        <v>236.95</v>
      </c>
      <c r="Y78" s="13">
        <f>'Annual Raw'!Z107</f>
        <v>323.39999999999998</v>
      </c>
      <c r="Z78" s="13">
        <f>'Annual Raw'!AA107</f>
        <v>451.5</v>
      </c>
      <c r="AA78" s="13">
        <f>'Annual Raw'!AB107</f>
        <v>284.89999999999998</v>
      </c>
      <c r="AB78" s="36">
        <f>+MAX(CL78:CO78)</f>
        <v>241.60193523123655</v>
      </c>
      <c r="AC78" s="36">
        <f>+MAX(CP78:CS78)</f>
        <v>309.24438415986197</v>
      </c>
      <c r="AD78" s="36">
        <f>+MAX(CT78:CW78)</f>
        <v>388.22824005085937</v>
      </c>
      <c r="AE78" s="36">
        <f>+MAX(CX78:DA78)</f>
        <v>486.41220554624249</v>
      </c>
      <c r="AJ78" s="13">
        <f>'QTR Share Price'!HP19</f>
        <v>75.45</v>
      </c>
      <c r="AK78" s="13">
        <f>'QTR Share Price'!HQ19</f>
        <v>77</v>
      </c>
      <c r="AL78" s="13">
        <f>'QTR Share Price'!HR19</f>
        <v>81.8</v>
      </c>
      <c r="AM78" s="13">
        <f>'QTR Share Price'!HS19</f>
        <v>74.3</v>
      </c>
      <c r="AN78" s="13">
        <f>'QTR Share Price'!HT19</f>
        <v>72</v>
      </c>
      <c r="AO78" s="13">
        <f>'QTR Share Price'!HU19</f>
        <v>77.099999999999994</v>
      </c>
      <c r="AP78" s="13">
        <f>'QTR Share Price'!HV19</f>
        <v>100.8</v>
      </c>
      <c r="AQ78" s="13">
        <f>'QTR Share Price'!HW19</f>
        <v>145</v>
      </c>
      <c r="AR78" s="13">
        <f>'QTR Share Price'!HX19</f>
        <v>212</v>
      </c>
      <c r="AS78" s="13">
        <f>'QTR Share Price'!HY19</f>
        <v>198.95</v>
      </c>
      <c r="AT78" s="13">
        <f>'QTR Share Price'!HZ19</f>
        <v>238.2</v>
      </c>
      <c r="AU78" s="13">
        <f>'QTR Share Price'!IA19</f>
        <v>259.60000000000002</v>
      </c>
      <c r="AV78" s="13">
        <f>'QTR Share Price'!IB19</f>
        <v>334</v>
      </c>
      <c r="AW78" s="13">
        <f>'QTR Share Price'!IC19</f>
        <v>294</v>
      </c>
      <c r="AX78" s="13">
        <f>'QTR Share Price'!ID19</f>
        <v>249</v>
      </c>
      <c r="AY78" s="13">
        <f>'QTR Share Price'!IE19</f>
        <v>315.10000000000002</v>
      </c>
      <c r="AZ78" s="13">
        <f>'QTR Share Price'!IF19</f>
        <v>327</v>
      </c>
      <c r="BA78" s="13">
        <f>'QTR Share Price'!IG19</f>
        <v>296</v>
      </c>
      <c r="BB78" s="13">
        <f>'QTR Share Price'!IH19</f>
        <v>258</v>
      </c>
      <c r="BC78" s="13">
        <f>'QTR Share Price'!II19</f>
        <v>277.39999999999998</v>
      </c>
      <c r="BD78" s="13">
        <f>'QTR Share Price'!IJ19</f>
        <v>273.3</v>
      </c>
      <c r="BE78" s="13">
        <f>'QTR Share Price'!IK19</f>
        <v>387</v>
      </c>
      <c r="BF78" s="13">
        <f>'QTR Share Price'!IL19</f>
        <v>373.05</v>
      </c>
      <c r="BG78" s="13">
        <f>'QTR Share Price'!IM19</f>
        <v>363.85</v>
      </c>
      <c r="BH78" s="13">
        <f>'QTR Share Price'!IN19</f>
        <v>298.10000000000002</v>
      </c>
      <c r="BI78" s="13">
        <f>'QTR Share Price'!IO19</f>
        <v>237.45</v>
      </c>
      <c r="BJ78" s="13">
        <f>'QTR Share Price'!IP19</f>
        <v>214</v>
      </c>
      <c r="BK78" s="13">
        <f>'QTR Share Price'!IQ19</f>
        <v>289.8</v>
      </c>
      <c r="BL78" s="13">
        <f>'QTR Share Price'!IR19</f>
        <v>271</v>
      </c>
      <c r="BM78" s="13">
        <f>'QTR Share Price'!IS19</f>
        <v>275</v>
      </c>
      <c r="BN78" s="13">
        <f>'QTR Share Price'!IT19</f>
        <v>303</v>
      </c>
      <c r="BO78" s="13">
        <f>'QTR Share Price'!IU19</f>
        <v>235</v>
      </c>
      <c r="BP78" s="13">
        <f>'QTR Share Price'!IV19</f>
        <v>336</v>
      </c>
      <c r="BQ78" s="13">
        <f>'QTR Share Price'!IW19</f>
        <v>320</v>
      </c>
      <c r="BR78" s="13">
        <f>'QTR Share Price'!IX19</f>
        <v>352.45</v>
      </c>
      <c r="BS78" s="13">
        <f>'QTR Share Price'!IY19</f>
        <v>309.75</v>
      </c>
      <c r="BT78" s="13">
        <f>'QTR Share Price'!IZ19</f>
        <v>328</v>
      </c>
      <c r="BU78" s="13">
        <f>'QTR Share Price'!JA19</f>
        <v>272.8</v>
      </c>
      <c r="BV78" s="13">
        <f>'QTR Share Price'!JB19</f>
        <v>230</v>
      </c>
      <c r="BW78" s="13">
        <f>'QTR Share Price'!JC19</f>
        <v>207.95</v>
      </c>
      <c r="BX78" s="13">
        <f>'QTR Share Price'!JD19</f>
        <v>223.6</v>
      </c>
      <c r="BY78" s="13">
        <f>'QTR Share Price'!JE19</f>
        <v>236.95</v>
      </c>
      <c r="BZ78" s="13">
        <f>'QTR Share Price'!JF19</f>
        <v>213.45</v>
      </c>
      <c r="CA78" s="13">
        <f>'QTR Share Price'!JG19</f>
        <v>300</v>
      </c>
      <c r="CB78" s="13">
        <f>'QTR Share Price'!JH19</f>
        <v>297.8</v>
      </c>
      <c r="CC78" s="13">
        <f>'QTR Share Price'!JI19</f>
        <v>323.39999999999998</v>
      </c>
      <c r="CD78" s="13">
        <f>'QTR Share Price'!JJ19</f>
        <v>371.3</v>
      </c>
      <c r="CE78" s="13">
        <f>'QTR Share Price'!JK19</f>
        <v>398.9</v>
      </c>
      <c r="CF78" s="13">
        <f>'QTR Share Price'!JL19</f>
        <v>451.5</v>
      </c>
      <c r="CG78" s="13">
        <f>'QTR Share Price'!JM19</f>
        <v>410</v>
      </c>
      <c r="CH78" s="13">
        <f>'QTR Share Price'!JN19</f>
        <v>284.89999999999998</v>
      </c>
      <c r="CI78" s="13">
        <f>'QTR Share Price'!JO19</f>
        <v>222.95</v>
      </c>
      <c r="CJ78" s="13">
        <f>'QTR Share Price'!JP19</f>
        <v>253.25</v>
      </c>
      <c r="CK78" s="13">
        <f>'QTR Share Price'!JQ19</f>
        <v>272.45</v>
      </c>
      <c r="CL78" s="13">
        <f>'QTR Share Price'!JR19</f>
        <v>213.35</v>
      </c>
      <c r="CM78" s="36">
        <f t="shared" ref="CM78:DA78" si="844">+CM69*CM86</f>
        <v>228.0874803065895</v>
      </c>
      <c r="CN78" s="36">
        <f t="shared" si="844"/>
        <v>228.56292534860194</v>
      </c>
      <c r="CO78" s="36">
        <f t="shared" si="844"/>
        <v>241.60193523123655</v>
      </c>
      <c r="CP78" s="36">
        <f t="shared" si="844"/>
        <v>263.83272507623178</v>
      </c>
      <c r="CQ78" s="36">
        <f t="shared" si="844"/>
        <v>278.59748001176087</v>
      </c>
      <c r="CR78" s="36">
        <f t="shared" si="844"/>
        <v>292.73141341238721</v>
      </c>
      <c r="CS78" s="36">
        <f t="shared" si="844"/>
        <v>309.24438415986197</v>
      </c>
      <c r="CT78" s="36">
        <f t="shared" si="844"/>
        <v>328.52022682234252</v>
      </c>
      <c r="CU78" s="36">
        <f t="shared" si="844"/>
        <v>347.16952463319745</v>
      </c>
      <c r="CV78" s="36">
        <f t="shared" si="844"/>
        <v>366.91543882141377</v>
      </c>
      <c r="CW78" s="36">
        <f t="shared" si="844"/>
        <v>388.22824005085937</v>
      </c>
      <c r="CX78" s="36">
        <f t="shared" si="844"/>
        <v>410.9089679283739</v>
      </c>
      <c r="CY78" s="36">
        <f t="shared" si="844"/>
        <v>434.61521190669367</v>
      </c>
      <c r="CZ78" s="36">
        <f t="shared" si="844"/>
        <v>459.74117847033898</v>
      </c>
      <c r="DA78" s="36">
        <f t="shared" si="844"/>
        <v>486.41220554624249</v>
      </c>
      <c r="DD78" s="133"/>
      <c r="DE78" s="13">
        <v>284.89999999999998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10.46</v>
      </c>
      <c r="E79" s="13">
        <f>'Annual Raw'!F108</f>
        <v>21</v>
      </c>
      <c r="F79" s="13">
        <f>'Annual Raw'!G108</f>
        <v>31.45</v>
      </c>
      <c r="G79" s="13">
        <f>'Annual Raw'!H108</f>
        <v>40.5</v>
      </c>
      <c r="H79" s="13">
        <f>'Annual Raw'!I108</f>
        <v>48</v>
      </c>
      <c r="I79" s="13">
        <f>'Annual Raw'!J108</f>
        <v>45.25</v>
      </c>
      <c r="J79" s="13">
        <f>'Annual Raw'!K108</f>
        <v>23</v>
      </c>
      <c r="K79" s="13">
        <f>'Annual Raw'!L108</f>
        <v>27.15</v>
      </c>
      <c r="L79" s="13">
        <f>'Annual Raw'!M108</f>
        <v>50</v>
      </c>
      <c r="M79" s="13">
        <f>'Annual Raw'!N108</f>
        <v>50.35</v>
      </c>
      <c r="N79" s="13">
        <f>'Annual Raw'!O108</f>
        <v>58</v>
      </c>
      <c r="O79" s="13">
        <f>'Annual Raw'!P108</f>
        <v>56.5</v>
      </c>
      <c r="P79" s="13">
        <f>'Annual Raw'!Q108</f>
        <v>68.5</v>
      </c>
      <c r="Q79" s="13">
        <f>'Annual Raw'!R108</f>
        <v>175.1</v>
      </c>
      <c r="R79" s="13">
        <f>'Annual Raw'!S108</f>
        <v>176.9</v>
      </c>
      <c r="S79" s="13">
        <f>'Annual Raw'!T108</f>
        <v>201</v>
      </c>
      <c r="T79" s="13">
        <f>'Annual Raw'!U108</f>
        <v>186</v>
      </c>
      <c r="U79" s="13">
        <f>'Annual Raw'!V108</f>
        <v>155</v>
      </c>
      <c r="V79" s="13">
        <f>'Annual Raw'!W108</f>
        <v>165</v>
      </c>
      <c r="W79" s="13">
        <f>'Annual Raw'!X108</f>
        <v>205.1</v>
      </c>
      <c r="X79" s="13">
        <f>'Annual Raw'!Y108</f>
        <v>148</v>
      </c>
      <c r="Y79" s="13">
        <f>'Annual Raw'!Z108</f>
        <v>186</v>
      </c>
      <c r="Z79" s="13">
        <f>'Annual Raw'!AA108</f>
        <v>259.8</v>
      </c>
      <c r="AA79" s="13">
        <f>'Annual Raw'!AB108</f>
        <v>170.4</v>
      </c>
      <c r="AB79" s="36">
        <f>+MIN(CL79:CO79)</f>
        <v>148.94999999999999</v>
      </c>
      <c r="AC79" s="36">
        <f>+MIN(CP79:CS79)</f>
        <v>184.19444293463661</v>
      </c>
      <c r="AD79" s="36">
        <f>+MIN(CT79:CW79)</f>
        <v>229.35593056099324</v>
      </c>
      <c r="AE79" s="36">
        <f>+MIN(CX79:DA79)</f>
        <v>286.87551334863502</v>
      </c>
      <c r="AJ79" s="13">
        <f>+'QTR Share Price'!HP20</f>
        <v>63.75</v>
      </c>
      <c r="AK79" s="13">
        <f>+'QTR Share Price'!HQ20</f>
        <v>65.25</v>
      </c>
      <c r="AL79" s="13">
        <f>+'QTR Share Price'!HR20</f>
        <v>61</v>
      </c>
      <c r="AM79" s="13">
        <f>+'QTR Share Price'!HS20</f>
        <v>56.5</v>
      </c>
      <c r="AN79" s="13">
        <f>+'QTR Share Price'!HT20</f>
        <v>56.85</v>
      </c>
      <c r="AO79" s="13">
        <f>+'QTR Share Price'!HU20</f>
        <v>60.1</v>
      </c>
      <c r="AP79" s="13">
        <f>+'QTR Share Price'!HV20</f>
        <v>68.5</v>
      </c>
      <c r="AQ79" s="13">
        <f>+'QTR Share Price'!HW20</f>
        <v>88.15</v>
      </c>
      <c r="AR79" s="13">
        <f>+'QTR Share Price'!HX20</f>
        <v>130.35</v>
      </c>
      <c r="AS79" s="13">
        <f>+'QTR Share Price'!HY20</f>
        <v>167.1</v>
      </c>
      <c r="AT79" s="13">
        <f>+'QTR Share Price'!HZ20</f>
        <v>175.1</v>
      </c>
      <c r="AU79" s="13">
        <f>+'QTR Share Price'!IA20</f>
        <v>213.1</v>
      </c>
      <c r="AV79" s="13">
        <f>+'QTR Share Price'!IB20</f>
        <v>222.1</v>
      </c>
      <c r="AW79" s="13">
        <f>+'QTR Share Price'!IC20</f>
        <v>227</v>
      </c>
      <c r="AX79" s="13">
        <f>+'QTR Share Price'!ID20</f>
        <v>176.9</v>
      </c>
      <c r="AY79" s="13">
        <f>+'QTR Share Price'!IE20</f>
        <v>210.6</v>
      </c>
      <c r="AZ79" s="13">
        <f>+'QTR Share Price'!IF20</f>
        <v>255.1</v>
      </c>
      <c r="BA79" s="13">
        <f>+'QTR Share Price'!IG20</f>
        <v>228.35</v>
      </c>
      <c r="BB79" s="13">
        <f>+'QTR Share Price'!IH20</f>
        <v>227</v>
      </c>
      <c r="BC79" s="13">
        <f>+'QTR Share Price'!II20</f>
        <v>232</v>
      </c>
      <c r="BD79" s="13">
        <f>+'QTR Share Price'!IJ20</f>
        <v>201</v>
      </c>
      <c r="BE79" s="13">
        <f>+'QTR Share Price'!IK20</f>
        <v>215.2</v>
      </c>
      <c r="BF79" s="13">
        <f>+'QTR Share Price'!IL20</f>
        <v>276</v>
      </c>
      <c r="BG79" s="13">
        <f>+'QTR Share Price'!IM20</f>
        <v>265</v>
      </c>
      <c r="BH79" s="13">
        <f>+'QTR Share Price'!IN20</f>
        <v>233.5</v>
      </c>
      <c r="BI79" s="13">
        <f>+'QTR Share Price'!IO20</f>
        <v>186</v>
      </c>
      <c r="BJ79" s="13">
        <f>+'QTR Share Price'!IP20</f>
        <v>155</v>
      </c>
      <c r="BK79" s="13">
        <f>+'QTR Share Price'!IQ20</f>
        <v>196.1</v>
      </c>
      <c r="BL79" s="13">
        <f>+'QTR Share Price'!IR20</f>
        <v>201.05</v>
      </c>
      <c r="BM79" s="13">
        <f>+'QTR Share Price'!IS20</f>
        <v>222.45</v>
      </c>
      <c r="BN79" s="13">
        <f>+'QTR Share Price'!IT20</f>
        <v>165</v>
      </c>
      <c r="BO79" s="13">
        <f>+'QTR Share Price'!IU20</f>
        <v>174.6</v>
      </c>
      <c r="BP79" s="13">
        <f>+'QTR Share Price'!IV20</f>
        <v>200</v>
      </c>
      <c r="BQ79" s="13">
        <f>+'QTR Share Price'!IW20</f>
        <v>268.14999999999998</v>
      </c>
      <c r="BR79" s="13">
        <f>+'QTR Share Price'!IX20</f>
        <v>262.05</v>
      </c>
      <c r="BS79" s="13">
        <f>+'QTR Share Price'!IY20</f>
        <v>260</v>
      </c>
      <c r="BT79" s="13">
        <f>+'QTR Share Price'!IZ20</f>
        <v>260.5</v>
      </c>
      <c r="BU79" s="13">
        <f>+'QTR Share Price'!JA20</f>
        <v>205.1</v>
      </c>
      <c r="BV79" s="13">
        <f>+'QTR Share Price'!JB20</f>
        <v>148</v>
      </c>
      <c r="BW79" s="13">
        <f>+'QTR Share Price'!JC20</f>
        <v>151.94999999999999</v>
      </c>
      <c r="BX79" s="13">
        <f>+'QTR Share Price'!JD20</f>
        <v>163</v>
      </c>
      <c r="BY79" s="13">
        <f>+'QTR Share Price'!JE20</f>
        <v>182.1</v>
      </c>
      <c r="BZ79" s="13">
        <f>+'QTR Share Price'!JF20</f>
        <v>186</v>
      </c>
      <c r="CA79" s="13">
        <f>+'QTR Share Price'!JG20</f>
        <v>189.75</v>
      </c>
      <c r="CB79" s="13">
        <f>+'QTR Share Price'!JH20</f>
        <v>243.9</v>
      </c>
      <c r="CC79" s="13">
        <f>+'QTR Share Price'!JI20</f>
        <v>251</v>
      </c>
      <c r="CD79" s="13">
        <f>+'QTR Share Price'!JJ20</f>
        <v>288.64999999999998</v>
      </c>
      <c r="CE79" s="13">
        <f>+'QTR Share Price'!JK20</f>
        <v>262.2</v>
      </c>
      <c r="CF79" s="13">
        <f>+'QTR Share Price'!JL20</f>
        <v>358.05</v>
      </c>
      <c r="CG79" s="13">
        <f>+'QTR Share Price'!JM20</f>
        <v>259.8</v>
      </c>
      <c r="CH79" s="13">
        <f>+'QTR Share Price'!JN20</f>
        <v>170.4</v>
      </c>
      <c r="CI79" s="13">
        <f>+'QTR Share Price'!JO20</f>
        <v>177.1</v>
      </c>
      <c r="CJ79" s="13">
        <f>+'QTR Share Price'!JP20</f>
        <v>203.1</v>
      </c>
      <c r="CK79" s="13">
        <f>+'QTR Share Price'!JQ20</f>
        <v>202.55</v>
      </c>
      <c r="CL79" s="13">
        <f>+'QTR Share Price'!JR20</f>
        <v>148.94999999999999</v>
      </c>
      <c r="CM79" s="36">
        <f t="shared" ref="CM79:DA79" si="845">+CM87*CM69</f>
        <v>159.23895098039139</v>
      </c>
      <c r="CN79" s="36">
        <f t="shared" si="845"/>
        <v>159.57088226235882</v>
      </c>
      <c r="CO79" s="36">
        <f t="shared" si="845"/>
        <v>168.67404852445597</v>
      </c>
      <c r="CP79" s="36">
        <f t="shared" si="845"/>
        <v>184.19444293463661</v>
      </c>
      <c r="CQ79" s="36">
        <f t="shared" si="845"/>
        <v>194.50243565855064</v>
      </c>
      <c r="CR79" s="36">
        <f t="shared" si="845"/>
        <v>204.37002122228765</v>
      </c>
      <c r="CS79" s="36">
        <f t="shared" si="845"/>
        <v>215.89852833658983</v>
      </c>
      <c r="CT79" s="36">
        <f t="shared" si="845"/>
        <v>229.35593056099324</v>
      </c>
      <c r="CU79" s="36">
        <f t="shared" si="845"/>
        <v>242.37591138558594</v>
      </c>
      <c r="CV79" s="36">
        <f t="shared" si="845"/>
        <v>256.16149337918716</v>
      </c>
      <c r="CW79" s="36">
        <f t="shared" si="845"/>
        <v>271.04099533899927</v>
      </c>
      <c r="CX79" s="36">
        <f t="shared" si="845"/>
        <v>286.87551334863502</v>
      </c>
      <c r="CY79" s="36">
        <f t="shared" si="845"/>
        <v>303.4259939700118</v>
      </c>
      <c r="CZ79" s="36">
        <f t="shared" si="845"/>
        <v>320.96765190136858</v>
      </c>
      <c r="DA79" s="36">
        <f t="shared" si="845"/>
        <v>339.58799163868201</v>
      </c>
      <c r="DD79" s="133"/>
      <c r="DE79" s="13">
        <v>170.4</v>
      </c>
    </row>
    <row r="80" spans="1:109" s="14" customFormat="1" x14ac:dyDescent="0.2">
      <c r="AB80" s="15"/>
      <c r="AC80" s="15"/>
      <c r="AD80" s="15"/>
      <c r="AE80" s="15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46">+AB78/AB77-1</f>
        <v>0.60907049771053301</v>
      </c>
      <c r="AC81" s="47">
        <f t="shared" si="846"/>
        <v>1.0595696580743388</v>
      </c>
      <c r="AD81" s="47">
        <f t="shared" si="846"/>
        <v>1.5856026643413879</v>
      </c>
      <c r="AE81" s="47">
        <f t="shared" ref="AE81" si="847">+AE78/AE77-1</f>
        <v>2.2395085284465033</v>
      </c>
      <c r="CM81" s="47">
        <f t="shared" ref="CM81:DA81" si="848">+CM78/CM77-1</f>
        <v>0.5190641379060239</v>
      </c>
      <c r="CN81" s="47">
        <f t="shared" si="848"/>
        <v>0.52223060505229379</v>
      </c>
      <c r="CO81" s="47">
        <f t="shared" si="848"/>
        <v>0.60907049771053301</v>
      </c>
      <c r="CP81" s="47">
        <f t="shared" si="848"/>
        <v>0.75712770613540981</v>
      </c>
      <c r="CQ81" s="47">
        <f t="shared" si="848"/>
        <v>0.85546107233939961</v>
      </c>
      <c r="CR81" s="47">
        <f t="shared" si="848"/>
        <v>0.94959316291966167</v>
      </c>
      <c r="CS81" s="47">
        <f t="shared" si="848"/>
        <v>1.0595696580743388</v>
      </c>
      <c r="CT81" s="47">
        <f t="shared" si="848"/>
        <v>1.1879468985836996</v>
      </c>
      <c r="CU81" s="47">
        <f t="shared" si="848"/>
        <v>1.3121513462084411</v>
      </c>
      <c r="CV81" s="47">
        <f t="shared" si="848"/>
        <v>1.4436592662098819</v>
      </c>
      <c r="CW81" s="47">
        <f t="shared" si="848"/>
        <v>1.5856026643413879</v>
      </c>
      <c r="CX81" s="47">
        <f t="shared" si="848"/>
        <v>1.736656463059433</v>
      </c>
      <c r="CY81" s="47">
        <f t="shared" si="848"/>
        <v>1.8945402058387857</v>
      </c>
      <c r="CZ81" s="47">
        <f t="shared" si="848"/>
        <v>2.0618793104917681</v>
      </c>
      <c r="DA81" s="47">
        <f t="shared" si="848"/>
        <v>2.2395085284465033</v>
      </c>
      <c r="DD81" s="128"/>
      <c r="DE81" s="50">
        <v>0.34609024332624605</v>
      </c>
    </row>
    <row r="82" spans="1:109" s="50" customFormat="1" x14ac:dyDescent="0.2">
      <c r="A82" s="50" t="s">
        <v>347</v>
      </c>
      <c r="AB82" s="47">
        <f t="shared" ref="AB82:AD82" si="849">+AB79/AB77-1</f>
        <v>-7.9920079920080545E-3</v>
      </c>
      <c r="AC82" s="47">
        <f t="shared" si="849"/>
        <v>0.22673621668089639</v>
      </c>
      <c r="AD82" s="47">
        <f t="shared" si="849"/>
        <v>0.52751202504823991</v>
      </c>
      <c r="AE82" s="47">
        <f t="shared" ref="AE82" si="850">+AE79/AE77-1</f>
        <v>0.91059282949473874</v>
      </c>
      <c r="CM82" s="47">
        <f t="shared" ref="CM82:DA82" si="851">+CM79/CM77-1</f>
        <v>6.053247406188067E-2</v>
      </c>
      <c r="CN82" s="47">
        <f t="shared" si="851"/>
        <v>6.2743138610448224E-2</v>
      </c>
      <c r="CO82" s="47">
        <f t="shared" si="851"/>
        <v>0.12337028654316318</v>
      </c>
      <c r="CP82" s="47">
        <f t="shared" si="851"/>
        <v>0.22673621668089639</v>
      </c>
      <c r="CQ82" s="47">
        <f t="shared" si="851"/>
        <v>0.2953875168734641</v>
      </c>
      <c r="CR82" s="47">
        <f t="shared" si="851"/>
        <v>0.36110570244613815</v>
      </c>
      <c r="CS82" s="47">
        <f t="shared" si="851"/>
        <v>0.43788563660732494</v>
      </c>
      <c r="CT82" s="47">
        <f t="shared" si="851"/>
        <v>0.52751202504823991</v>
      </c>
      <c r="CU82" s="47">
        <f t="shared" si="851"/>
        <v>0.61422518405318627</v>
      </c>
      <c r="CV82" s="47">
        <f t="shared" si="851"/>
        <v>0.70603725194263833</v>
      </c>
      <c r="CW82" s="47">
        <f t="shared" si="851"/>
        <v>0.80513483409256903</v>
      </c>
      <c r="CX82" s="47">
        <f t="shared" si="851"/>
        <v>0.91059282949473874</v>
      </c>
      <c r="CY82" s="47">
        <f t="shared" si="851"/>
        <v>1.0208191406594191</v>
      </c>
      <c r="CZ82" s="47">
        <f t="shared" si="851"/>
        <v>1.1376466993098142</v>
      </c>
      <c r="DA82" s="47">
        <f t="shared" si="851"/>
        <v>1.2616582859719081</v>
      </c>
      <c r="DD82" s="128"/>
      <c r="DE82" s="50">
        <v>-0.19489723600283482</v>
      </c>
    </row>
    <row r="83" spans="1:109" s="14" customFormat="1" x14ac:dyDescent="0.2">
      <c r="AB83" s="15"/>
      <c r="AC83" s="15"/>
      <c r="AD83" s="15"/>
      <c r="AE83" s="15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52">+B77/B69</f>
        <v>#DIV/0!</v>
      </c>
      <c r="C85" s="13" t="e">
        <f t="shared" si="852"/>
        <v>#DIV/0!</v>
      </c>
      <c r="D85" s="13">
        <f t="shared" si="852"/>
        <v>1.3461239909333123</v>
      </c>
      <c r="E85" s="13">
        <f t="shared" ref="E85:AE85" ca="1" si="853">+E77/E69</f>
        <v>10.672508808869043</v>
      </c>
      <c r="F85" s="13">
        <f t="shared" ca="1" si="853"/>
        <v>13.596549550184765</v>
      </c>
      <c r="G85" s="13">
        <f t="shared" ca="1" si="853"/>
        <v>16.056796389308371</v>
      </c>
      <c r="H85" s="13">
        <f t="shared" ca="1" si="853"/>
        <v>19.992585411392966</v>
      </c>
      <c r="I85" s="13">
        <f t="shared" ca="1" si="853"/>
        <v>17.527280103193757</v>
      </c>
      <c r="J85" s="13">
        <f t="shared" ca="1" si="853"/>
        <v>11.143800674564753</v>
      </c>
      <c r="K85" s="13">
        <f t="shared" ca="1" si="853"/>
        <v>12.198034966625208</v>
      </c>
      <c r="L85" s="13">
        <f t="shared" ca="1" si="853"/>
        <v>13.063838806479948</v>
      </c>
      <c r="M85" s="13">
        <f t="shared" ca="1" si="853"/>
        <v>9.1057641187984988</v>
      </c>
      <c r="N85" s="13">
        <f t="shared" ca="1" si="853"/>
        <v>12.126496388257863</v>
      </c>
      <c r="O85" s="13">
        <f t="shared" ca="1" si="853"/>
        <v>11.464479829457622</v>
      </c>
      <c r="P85" s="13">
        <f t="shared" ca="1" si="853"/>
        <v>22.629509115200584</v>
      </c>
      <c r="Q85" s="13">
        <f t="shared" ca="1" si="853"/>
        <v>23.539496722417418</v>
      </c>
      <c r="R85" s="13">
        <f t="shared" ca="1" si="853"/>
        <v>21.742015504613466</v>
      </c>
      <c r="S85" s="13">
        <f t="shared" ca="1" si="853"/>
        <v>41.99927298163999</v>
      </c>
      <c r="T85" s="13">
        <f t="shared" ca="1" si="853"/>
        <v>42.014453244813488</v>
      </c>
      <c r="U85" s="13">
        <f t="shared" ca="1" si="853"/>
        <v>10.943286873676797</v>
      </c>
      <c r="V85" s="13">
        <f t="shared" ca="1" si="853"/>
        <v>24.603531617876918</v>
      </c>
      <c r="W85" s="13">
        <f t="shared" ca="1" si="853"/>
        <v>207.60301568154006</v>
      </c>
      <c r="X85" s="13">
        <f t="shared" ca="1" si="853"/>
        <v>30.264136784851033</v>
      </c>
      <c r="Y85" s="13">
        <f t="shared" ca="1" si="853"/>
        <v>53.996583541147487</v>
      </c>
      <c r="Z85" s="13">
        <f t="shared" ref="Z85:AA85" ca="1" si="854">+Z77/Z69</f>
        <v>36.041716287215472</v>
      </c>
      <c r="AA85" s="13">
        <f t="shared" ca="1" si="854"/>
        <v>36.041716287215472</v>
      </c>
      <c r="AB85" s="36">
        <f t="shared" ca="1" si="853"/>
        <v>8.5377409432947307</v>
      </c>
      <c r="AC85" s="36">
        <f t="shared" ca="1" si="853"/>
        <v>6.6702415308426346</v>
      </c>
      <c r="AD85" s="36">
        <f t="shared" ca="1" si="853"/>
        <v>5.3132011574756746</v>
      </c>
      <c r="AE85" s="36">
        <f t="shared" ca="1" si="853"/>
        <v>4.2407133515214941</v>
      </c>
      <c r="AL85" s="13">
        <f t="shared" ref="AL85:BQ85" si="855">+AL77/AL69</f>
        <v>9.8230805439330666</v>
      </c>
      <c r="AM85" s="13">
        <f t="shared" si="855"/>
        <v>9.64909063198537</v>
      </c>
      <c r="AN85" s="13">
        <f t="shared" si="855"/>
        <v>9.158037515127063</v>
      </c>
      <c r="AO85" s="13">
        <f t="shared" si="855"/>
        <v>11.464666395443448</v>
      </c>
      <c r="AP85" s="13">
        <f t="shared" si="855"/>
        <v>13.743343495934951</v>
      </c>
      <c r="AQ85" s="13">
        <f t="shared" si="855"/>
        <v>20.1077388030123</v>
      </c>
      <c r="AR85" s="13">
        <f t="shared" si="855"/>
        <v>26.608064368237685</v>
      </c>
      <c r="AS85" s="13">
        <f t="shared" si="855"/>
        <v>22.628683905188137</v>
      </c>
      <c r="AT85" s="13">
        <f t="shared" si="855"/>
        <v>26.803200798280663</v>
      </c>
      <c r="AU85" s="13">
        <f t="shared" si="855"/>
        <v>25.905671447196852</v>
      </c>
      <c r="AV85" s="13">
        <f t="shared" si="855"/>
        <v>28.670688213987191</v>
      </c>
      <c r="AW85" s="13">
        <f t="shared" si="855"/>
        <v>23.54001689847917</v>
      </c>
      <c r="AX85" s="13">
        <f t="shared" si="855"/>
        <v>17.453190785848136</v>
      </c>
      <c r="AY85" s="13">
        <f t="shared" si="855"/>
        <v>25.251190075221782</v>
      </c>
      <c r="AZ85" s="13">
        <f t="shared" si="855"/>
        <v>21.642145956168708</v>
      </c>
      <c r="BA85" s="13">
        <f t="shared" si="855"/>
        <v>21.616339560179771</v>
      </c>
      <c r="BB85" s="13">
        <f t="shared" si="855"/>
        <v>26.92220054037832</v>
      </c>
      <c r="BC85" s="13">
        <f t="shared" si="855"/>
        <v>35.301515560352733</v>
      </c>
      <c r="BD85" s="13">
        <f t="shared" si="855"/>
        <v>28.476337821508775</v>
      </c>
      <c r="BE85" s="13">
        <f t="shared" si="855"/>
        <v>41.996632348318158</v>
      </c>
      <c r="BF85" s="13">
        <f t="shared" si="855"/>
        <v>37.148317972350277</v>
      </c>
      <c r="BG85" s="13">
        <f t="shared" si="855"/>
        <v>28.813127426511372</v>
      </c>
      <c r="BH85" s="13">
        <f t="shared" si="855"/>
        <v>47.281093213625525</v>
      </c>
      <c r="BI85" s="13">
        <f t="shared" si="855"/>
        <v>42.008311837202477</v>
      </c>
      <c r="BJ85" s="13">
        <f t="shared" si="855"/>
        <v>25.142866204330112</v>
      </c>
      <c r="BK85" s="13">
        <f t="shared" si="855"/>
        <v>26.852421016483465</v>
      </c>
      <c r="BL85" s="13">
        <f t="shared" si="855"/>
        <v>15.391215990652627</v>
      </c>
      <c r="BM85" s="13">
        <f t="shared" si="855"/>
        <v>10.943286873676772</v>
      </c>
      <c r="BN85" s="13">
        <f t="shared" si="855"/>
        <v>9.5215764228689093</v>
      </c>
      <c r="BO85" s="13">
        <f t="shared" si="855"/>
        <v>9.995876322107577</v>
      </c>
      <c r="BP85" s="13">
        <f t="shared" si="855"/>
        <v>14.745285687346778</v>
      </c>
      <c r="BQ85" s="13">
        <f t="shared" si="855"/>
        <v>24.603531617876879</v>
      </c>
      <c r="BR85" s="13">
        <f t="shared" ref="BR85:DA85" si="856">+BR77/BR69</f>
        <v>24.957766647024155</v>
      </c>
      <c r="BS85" s="13">
        <f t="shared" si="856"/>
        <v>40.533964854475641</v>
      </c>
      <c r="BT85" s="13">
        <f t="shared" si="856"/>
        <v>74.594737820751689</v>
      </c>
      <c r="BU85" s="13">
        <f t="shared" si="856"/>
        <v>207.60301568154594</v>
      </c>
      <c r="BV85" s="13">
        <f t="shared" si="856"/>
        <v>68.189181111775127</v>
      </c>
      <c r="BW85" s="13">
        <f t="shared" si="856"/>
        <v>43.924418604650931</v>
      </c>
      <c r="BX85" s="13">
        <f t="shared" si="856"/>
        <v>85.326828319500606</v>
      </c>
      <c r="BY85" s="13">
        <f t="shared" si="856"/>
        <v>30.264136784850752</v>
      </c>
      <c r="BZ85" s="13">
        <f t="shared" si="856"/>
        <v>23.693638466622563</v>
      </c>
      <c r="CA85" s="13">
        <f t="shared" si="856"/>
        <v>29.913197969543113</v>
      </c>
      <c r="CB85" s="13">
        <f t="shared" si="856"/>
        <v>19.156308064834938</v>
      </c>
      <c r="CC85" s="13">
        <f t="shared" si="856"/>
        <v>53.983121416105632</v>
      </c>
      <c r="CD85" s="13">
        <f t="shared" si="856"/>
        <v>73.824551386623128</v>
      </c>
      <c r="CE85" s="13">
        <f t="shared" si="856"/>
        <v>117.79985948983958</v>
      </c>
      <c r="CF85" s="13">
        <f t="shared" si="856"/>
        <v>2796.8028846151888</v>
      </c>
      <c r="CG85" s="13">
        <f t="shared" si="856"/>
        <v>36.041716287215387</v>
      </c>
      <c r="CH85" s="13">
        <f t="shared" si="856"/>
        <v>24.174664014146721</v>
      </c>
      <c r="CI85" s="13">
        <f t="shared" ref="CI85:CJ85" si="857">+CI77/CI69</f>
        <v>22.157144837144838</v>
      </c>
      <c r="CJ85" s="13">
        <f t="shared" si="857"/>
        <v>17.89664269799475</v>
      </c>
      <c r="CK85" s="13">
        <f t="shared" ref="CK85:CL85" si="858">+CK77/CK69</f>
        <v>13.642315075505513</v>
      </c>
      <c r="CL85" s="13">
        <f t="shared" si="858"/>
        <v>9.6683137305037139</v>
      </c>
      <c r="CM85" s="36">
        <f t="shared" si="856"/>
        <v>9.043612265040986</v>
      </c>
      <c r="CN85" s="36">
        <f t="shared" si="856"/>
        <v>9.0248002000188983</v>
      </c>
      <c r="CO85" s="36">
        <f t="shared" si="856"/>
        <v>8.53774094329472</v>
      </c>
      <c r="CP85" s="36">
        <f t="shared" si="856"/>
        <v>7.818342981549999</v>
      </c>
      <c r="CQ85" s="36">
        <f t="shared" si="856"/>
        <v>7.4039963832978302</v>
      </c>
      <c r="CR85" s="36">
        <f t="shared" si="856"/>
        <v>7.046509666856549</v>
      </c>
      <c r="CS85" s="36">
        <f t="shared" si="856"/>
        <v>6.6702415308426399</v>
      </c>
      <c r="CT85" s="36">
        <f t="shared" si="856"/>
        <v>6.2788667667590978</v>
      </c>
      <c r="CU85" s="36">
        <f t="shared" si="856"/>
        <v>5.9415777827341065</v>
      </c>
      <c r="CV85" s="36">
        <f t="shared" si="856"/>
        <v>5.6218259472230816</v>
      </c>
      <c r="CW85" s="36">
        <f t="shared" si="856"/>
        <v>5.3132011574756675</v>
      </c>
      <c r="CX85" s="36">
        <f t="shared" si="856"/>
        <v>5.0199311657820163</v>
      </c>
      <c r="CY85" s="36">
        <f t="shared" si="856"/>
        <v>4.7461172041208028</v>
      </c>
      <c r="CZ85" s="36">
        <f t="shared" si="856"/>
        <v>4.4867304279032467</v>
      </c>
      <c r="DA85" s="36">
        <f t="shared" si="856"/>
        <v>4.2407133515214932</v>
      </c>
      <c r="DD85" s="133"/>
      <c r="DE85" s="13">
        <v>13.642315075505538</v>
      </c>
    </row>
    <row r="86" spans="1:109" s="13" customFormat="1" x14ac:dyDescent="0.2">
      <c r="A86" s="13" t="s">
        <v>461</v>
      </c>
      <c r="B86" s="13" t="e">
        <f t="shared" ref="B86:D86" si="859">+B78/B69</f>
        <v>#DIV/0!</v>
      </c>
      <c r="C86" s="13" t="e">
        <f t="shared" si="859"/>
        <v>#DIV/0!</v>
      </c>
      <c r="D86" s="13">
        <f t="shared" si="859"/>
        <v>1.3660665685767686</v>
      </c>
      <c r="E86" s="13">
        <f t="shared" ref="E86:AE86" ca="1" si="860">+E78/E69</f>
        <v>11.457053182651558</v>
      </c>
      <c r="F86" s="13">
        <f t="shared" ca="1" si="860"/>
        <v>15.166466887046385</v>
      </c>
      <c r="G86" s="13">
        <f t="shared" ca="1" si="860"/>
        <v>17.40746724737447</v>
      </c>
      <c r="H86" s="13">
        <f t="shared" ca="1" si="860"/>
        <v>27.06187680652052</v>
      </c>
      <c r="I86" s="13">
        <f t="shared" ca="1" si="860"/>
        <v>20.05101688307985</v>
      </c>
      <c r="J86" s="13">
        <f t="shared" ca="1" si="860"/>
        <v>27.575583197887941</v>
      </c>
      <c r="K86" s="13">
        <f t="shared" ca="1" si="860"/>
        <v>15.341024920743219</v>
      </c>
      <c r="L86" s="13">
        <f t="shared" ca="1" si="860"/>
        <v>16.473800258612279</v>
      </c>
      <c r="M86" s="13">
        <f t="shared" ca="1" si="860"/>
        <v>14.17212911722774</v>
      </c>
      <c r="N86" s="13">
        <f t="shared" ca="1" si="860"/>
        <v>12.905877289507332</v>
      </c>
      <c r="O86" s="13">
        <f t="shared" ca="1" si="860"/>
        <v>12.570971180289993</v>
      </c>
      <c r="P86" s="13">
        <f t="shared" ca="1" si="860"/>
        <v>26.549285735597806</v>
      </c>
      <c r="Q86" s="13">
        <f t="shared" ca="1" si="860"/>
        <v>32.80013310507892</v>
      </c>
      <c r="R86" s="13">
        <f t="shared" ca="1" si="860"/>
        <v>29.378673843010759</v>
      </c>
      <c r="S86" s="13">
        <f t="shared" ca="1" si="860"/>
        <v>45.959900025151072</v>
      </c>
      <c r="T86" s="13">
        <f t="shared" ca="1" si="860"/>
        <v>80.791194757616864</v>
      </c>
      <c r="U86" s="13">
        <f t="shared" ca="1" si="860"/>
        <v>12.876023288637985</v>
      </c>
      <c r="V86" s="13">
        <f t="shared" ca="1" si="860"/>
        <v>26.445254714032771</v>
      </c>
      <c r="W86" s="13">
        <f t="shared" ca="1" si="860"/>
        <v>321.20141737031952</v>
      </c>
      <c r="X86" s="13">
        <f t="shared" ca="1" si="860"/>
        <v>36.062797139403834</v>
      </c>
      <c r="Y86" s="13">
        <f t="shared" ca="1" si="860"/>
        <v>60.929850374065232</v>
      </c>
      <c r="Z86" s="13">
        <f t="shared" ref="Z86:AA86" ca="1" si="861">+Z78/Z69</f>
        <v>59.73874781085825</v>
      </c>
      <c r="AA86" s="13">
        <f t="shared" ca="1" si="861"/>
        <v>59.73874781085825</v>
      </c>
      <c r="AB86" s="59">
        <f t="shared" ca="1" si="860"/>
        <v>13.737827068950848</v>
      </c>
      <c r="AC86" s="59">
        <f t="shared" ca="1" si="860"/>
        <v>13.737827068950818</v>
      </c>
      <c r="AD86" s="59">
        <f t="shared" ca="1" si="860"/>
        <v>13.737827068950848</v>
      </c>
      <c r="AE86" s="59">
        <f t="shared" ca="1" si="860"/>
        <v>13.737827068950834</v>
      </c>
      <c r="AL86" s="13">
        <f t="shared" ref="AL86:BQ86" si="862">+AL78/AL69</f>
        <v>12.928849372384953</v>
      </c>
      <c r="AM86" s="13">
        <f t="shared" si="862"/>
        <v>11.406959967486284</v>
      </c>
      <c r="AN86" s="13">
        <f t="shared" si="862"/>
        <v>10.971359419120608</v>
      </c>
      <c r="AO86" s="13">
        <f t="shared" si="862"/>
        <v>11.848871033360455</v>
      </c>
      <c r="AP86" s="13">
        <f t="shared" si="862"/>
        <v>15.478536585365845</v>
      </c>
      <c r="AQ86" s="13">
        <f t="shared" si="862"/>
        <v>21.70977011494254</v>
      </c>
      <c r="AR86" s="13">
        <f t="shared" si="862"/>
        <v>29.372088758481588</v>
      </c>
      <c r="AS86" s="13">
        <f t="shared" si="862"/>
        <v>24.91409332007294</v>
      </c>
      <c r="AT86" s="13">
        <f t="shared" si="862"/>
        <v>27.626665643230005</v>
      </c>
      <c r="AU86" s="13">
        <f t="shared" si="862"/>
        <v>28.411965811965796</v>
      </c>
      <c r="AV86" s="13">
        <f t="shared" si="862"/>
        <v>35.154221231540831</v>
      </c>
      <c r="AW86" s="13">
        <f t="shared" si="862"/>
        <v>28.872611464968195</v>
      </c>
      <c r="AX86" s="13">
        <f t="shared" si="862"/>
        <v>20.733990962195545</v>
      </c>
      <c r="AY86" s="13">
        <f t="shared" si="862"/>
        <v>26.727074211294539</v>
      </c>
      <c r="AZ86" s="13">
        <f t="shared" si="862"/>
        <v>27.483424185115211</v>
      </c>
      <c r="BA86" s="13">
        <f t="shared" si="862"/>
        <v>26.439820288484349</v>
      </c>
      <c r="BB86" s="13">
        <f t="shared" si="862"/>
        <v>29.258330831582168</v>
      </c>
      <c r="BC86" s="13">
        <f t="shared" si="862"/>
        <v>37.700251843856961</v>
      </c>
      <c r="BD86" s="13">
        <f t="shared" si="862"/>
        <v>35.64269808389443</v>
      </c>
      <c r="BE86" s="13">
        <f t="shared" si="862"/>
        <v>45.957010374096221</v>
      </c>
      <c r="BF86" s="13">
        <f t="shared" si="862"/>
        <v>43.293283410138301</v>
      </c>
      <c r="BG86" s="13">
        <f t="shared" si="862"/>
        <v>38.115456877426517</v>
      </c>
      <c r="BH86" s="13">
        <f t="shared" si="862"/>
        <v>59.470438341695235</v>
      </c>
      <c r="BI86" s="13">
        <f t="shared" si="862"/>
        <v>51.416874462596539</v>
      </c>
      <c r="BJ86" s="13">
        <f t="shared" si="862"/>
        <v>27.347259810554732</v>
      </c>
      <c r="BK86" s="13">
        <f t="shared" si="862"/>
        <v>30.074711538461482</v>
      </c>
      <c r="BL86" s="13">
        <f t="shared" si="862"/>
        <v>17.087339342346834</v>
      </c>
      <c r="BM86" s="13">
        <f t="shared" si="862"/>
        <v>12.218448600329323</v>
      </c>
      <c r="BN86" s="13">
        <f t="shared" si="862"/>
        <v>14.738378830800917</v>
      </c>
      <c r="BO86" s="13">
        <f t="shared" si="862"/>
        <v>11.520504834209321</v>
      </c>
      <c r="BP86" s="13">
        <f t="shared" si="862"/>
        <v>15.956251178578155</v>
      </c>
      <c r="BQ86" s="13">
        <f t="shared" si="862"/>
        <v>25.185956870507361</v>
      </c>
      <c r="BR86" s="13">
        <f t="shared" ref="BR86:CH86" si="863">+BR78/BR69</f>
        <v>31.38196523276369</v>
      </c>
      <c r="BS86" s="13">
        <f t="shared" si="863"/>
        <v>42.836559582646977</v>
      </c>
      <c r="BT86" s="13">
        <f t="shared" si="863"/>
        <v>92.15470435106046</v>
      </c>
      <c r="BU86" s="13">
        <f t="shared" si="863"/>
        <v>248.613268998796</v>
      </c>
      <c r="BV86" s="13">
        <f t="shared" si="863"/>
        <v>103.86431560071708</v>
      </c>
      <c r="BW86" s="13">
        <f t="shared" si="863"/>
        <v>55.35807787174037</v>
      </c>
      <c r="BX86" s="13">
        <f t="shared" si="863"/>
        <v>87.619190871367792</v>
      </c>
      <c r="BY86" s="13">
        <f t="shared" si="863"/>
        <v>36.0627971394035</v>
      </c>
      <c r="BZ86" s="13">
        <f t="shared" si="863"/>
        <v>26.645980667547871</v>
      </c>
      <c r="CA86" s="13">
        <f t="shared" si="863"/>
        <v>32.871646120377051</v>
      </c>
      <c r="CB86" s="13">
        <f t="shared" si="863"/>
        <v>22.236400474402046</v>
      </c>
      <c r="CC86" s="13">
        <f t="shared" si="863"/>
        <v>60.914659685863775</v>
      </c>
      <c r="CD86" s="13">
        <f t="shared" si="863"/>
        <v>91.522724306688374</v>
      </c>
      <c r="CE86" s="13">
        <f t="shared" si="863"/>
        <v>130.2935365326411</v>
      </c>
      <c r="CF86" s="13">
        <f t="shared" si="863"/>
        <v>3279.8870192305394</v>
      </c>
      <c r="CG86" s="13">
        <f t="shared" si="863"/>
        <v>54.247810858143573</v>
      </c>
      <c r="CH86" s="13">
        <f t="shared" si="863"/>
        <v>38.062236958443776</v>
      </c>
      <c r="CI86" s="13">
        <f t="shared" ref="CI86:CJ86" si="864">+CI78/CI69</f>
        <v>23.34563063063063</v>
      </c>
      <c r="CJ86" s="13">
        <f t="shared" si="864"/>
        <v>19.377190095199534</v>
      </c>
      <c r="CK86" s="13">
        <f t="shared" ref="CK86:CL86" si="865">+CK78/CK69</f>
        <v>17.561298097431973</v>
      </c>
      <c r="CL86" s="13">
        <f t="shared" si="865"/>
        <v>13.73782706895083</v>
      </c>
      <c r="CM86" s="59">
        <f t="shared" ref="CM86:CM87" si="866">+CL86</f>
        <v>13.73782706895083</v>
      </c>
      <c r="CN86" s="59">
        <f t="shared" ref="CN86:CN87" si="867">+CM86</f>
        <v>13.73782706895083</v>
      </c>
      <c r="CO86" s="59">
        <f t="shared" ref="CO86:CO87" si="868">+CN86</f>
        <v>13.73782706895083</v>
      </c>
      <c r="CP86" s="59">
        <f t="shared" ref="CP86:CP87" si="869">+CO86</f>
        <v>13.73782706895083</v>
      </c>
      <c r="CQ86" s="59">
        <f t="shared" ref="CQ86:CQ87" si="870">+CP86</f>
        <v>13.73782706895083</v>
      </c>
      <c r="CR86" s="59">
        <f t="shared" ref="CR86:CR87" si="871">+CQ86</f>
        <v>13.73782706895083</v>
      </c>
      <c r="CS86" s="59">
        <f t="shared" ref="CS86:CS87" si="872">+CR86</f>
        <v>13.73782706895083</v>
      </c>
      <c r="CT86" s="59">
        <f t="shared" ref="CT86:CT87" si="873">+CS86</f>
        <v>13.73782706895083</v>
      </c>
      <c r="CU86" s="59">
        <f t="shared" ref="CU86:CU87" si="874">+CT86</f>
        <v>13.73782706895083</v>
      </c>
      <c r="CV86" s="59">
        <f t="shared" ref="CV86:CV87" si="875">+CU86</f>
        <v>13.73782706895083</v>
      </c>
      <c r="CW86" s="59">
        <f t="shared" ref="CW86:CW87" si="876">+CV86</f>
        <v>13.73782706895083</v>
      </c>
      <c r="CX86" s="59">
        <f t="shared" ref="CX86:CX87" si="877">+CW86</f>
        <v>13.73782706895083</v>
      </c>
      <c r="CY86" s="59">
        <f t="shared" ref="CY86:CY87" si="878">+CX86</f>
        <v>13.73782706895083</v>
      </c>
      <c r="CZ86" s="59">
        <f t="shared" ref="CZ86:CZ87" si="879">+CY86</f>
        <v>13.73782706895083</v>
      </c>
      <c r="DA86" s="59">
        <f t="shared" ref="DA86:DA87" si="880">+CZ86</f>
        <v>13.73782706895083</v>
      </c>
      <c r="DD86" s="135"/>
      <c r="DE86" s="13">
        <v>18.363787219520564</v>
      </c>
    </row>
    <row r="87" spans="1:109" s="13" customFormat="1" x14ac:dyDescent="0.2">
      <c r="A87" s="13" t="s">
        <v>462</v>
      </c>
      <c r="B87" s="13" t="e">
        <f t="shared" ref="B87:D87" si="881">+B79/B69</f>
        <v>#DIV/0!</v>
      </c>
      <c r="C87" s="13" t="e">
        <f t="shared" si="881"/>
        <v>#DIV/0!</v>
      </c>
      <c r="D87" s="13">
        <f t="shared" si="881"/>
        <v>0.52149840537638692</v>
      </c>
      <c r="E87" s="13">
        <f t="shared" ref="E87:AE87" ca="1" si="882">+E79/E69</f>
        <v>5.6811833963561442</v>
      </c>
      <c r="F87" s="13">
        <f t="shared" ca="1" si="882"/>
        <v>9.8550699090415037</v>
      </c>
      <c r="G87" s="13">
        <f t="shared" ca="1" si="882"/>
        <v>10.746988163394301</v>
      </c>
      <c r="H87" s="13">
        <f t="shared" ca="1" si="882"/>
        <v>13.020951149889584</v>
      </c>
      <c r="I87" s="13">
        <f t="shared" ca="1" si="882"/>
        <v>10.834828205867725</v>
      </c>
      <c r="J87" s="13">
        <f t="shared" ca="1" si="882"/>
        <v>8.1626565450633546</v>
      </c>
      <c r="K87" s="13">
        <f t="shared" ca="1" si="882"/>
        <v>5.4875998234279093</v>
      </c>
      <c r="L87" s="13">
        <f t="shared" ca="1" si="882"/>
        <v>11.520140040987609</v>
      </c>
      <c r="M87" s="13">
        <f t="shared" ca="1" si="882"/>
        <v>7.6604047348622295</v>
      </c>
      <c r="N87" s="13">
        <f t="shared" ca="1" si="882"/>
        <v>9.7213101661224055</v>
      </c>
      <c r="O87" s="13">
        <f t="shared" ca="1" si="882"/>
        <v>8.6828835169484666</v>
      </c>
      <c r="P87" s="13">
        <f t="shared" ca="1" si="882"/>
        <v>8.5784248721153293</v>
      </c>
      <c r="Q87" s="13">
        <f t="shared" ca="1" si="882"/>
        <v>17.195518882333293</v>
      </c>
      <c r="R87" s="13">
        <f t="shared" ca="1" si="882"/>
        <v>15.893233647793894</v>
      </c>
      <c r="S87" s="13">
        <f t="shared" ca="1" si="882"/>
        <v>23.870645749497069</v>
      </c>
      <c r="T87" s="13">
        <f t="shared" ca="1" si="882"/>
        <v>40.281898471831489</v>
      </c>
      <c r="U87" s="13">
        <f t="shared" ca="1" si="882"/>
        <v>6.8867619383674521</v>
      </c>
      <c r="V87" s="13">
        <f t="shared" ca="1" si="882"/>
        <v>12.986509011355379</v>
      </c>
      <c r="W87" s="13">
        <f t="shared" ca="1" si="882"/>
        <v>186.91562123039446</v>
      </c>
      <c r="X87" s="13">
        <f t="shared" ca="1" si="882"/>
        <v>22.52497985495576</v>
      </c>
      <c r="Y87" s="13">
        <f t="shared" ca="1" si="882"/>
        <v>35.043142144638637</v>
      </c>
      <c r="Z87" s="13">
        <f t="shared" ref="Z87:AA87" ca="1" si="883">+Z79/Z69</f>
        <v>34.374588441331063</v>
      </c>
      <c r="AA87" s="13">
        <f t="shared" ca="1" si="883"/>
        <v>34.374588441331063</v>
      </c>
      <c r="AB87" s="59">
        <f t="shared" ca="1" si="882"/>
        <v>8.4695072494422234</v>
      </c>
      <c r="AC87" s="59">
        <f t="shared" ca="1" si="882"/>
        <v>8.1826268598936842</v>
      </c>
      <c r="AD87" s="59">
        <f t="shared" ca="1" si="882"/>
        <v>8.1159786595443197</v>
      </c>
      <c r="AE87" s="59">
        <f t="shared" ca="1" si="882"/>
        <v>8.1022765213595669</v>
      </c>
      <c r="AL87" s="13">
        <f t="shared" ref="AL87:BQ87" si="884">+AL79/AL69</f>
        <v>9.6413179916318104</v>
      </c>
      <c r="AM87" s="13">
        <f t="shared" si="884"/>
        <v>8.6742023978866083</v>
      </c>
      <c r="AN87" s="13">
        <f t="shared" si="884"/>
        <v>8.6628025413473129</v>
      </c>
      <c r="AO87" s="13">
        <f t="shared" si="884"/>
        <v>9.2362794955248173</v>
      </c>
      <c r="AP87" s="13">
        <f t="shared" si="884"/>
        <v>10.518648373983734</v>
      </c>
      <c r="AQ87" s="13">
        <f t="shared" si="884"/>
        <v>13.198043004359898</v>
      </c>
      <c r="AR87" s="13">
        <f t="shared" si="884"/>
        <v>18.059678158811675</v>
      </c>
      <c r="AS87" s="13">
        <f t="shared" si="884"/>
        <v>20.92558428642467</v>
      </c>
      <c r="AT87" s="13">
        <f t="shared" si="884"/>
        <v>20.308266809947835</v>
      </c>
      <c r="AU87" s="13">
        <f t="shared" si="884"/>
        <v>23.322765464290871</v>
      </c>
      <c r="AV87" s="13">
        <f t="shared" si="884"/>
        <v>23.376504597380894</v>
      </c>
      <c r="AW87" s="13">
        <f t="shared" si="884"/>
        <v>22.292798648121703</v>
      </c>
      <c r="AX87" s="13">
        <f t="shared" si="884"/>
        <v>14.730293177559806</v>
      </c>
      <c r="AY87" s="13">
        <f t="shared" si="884"/>
        <v>17.863287302121957</v>
      </c>
      <c r="AZ87" s="13">
        <f t="shared" si="884"/>
        <v>21.440432751140339</v>
      </c>
      <c r="BA87" s="13">
        <f t="shared" si="884"/>
        <v>20.397070820525002</v>
      </c>
      <c r="BB87" s="13">
        <f t="shared" si="884"/>
        <v>25.742794956469581</v>
      </c>
      <c r="BC87" s="13">
        <f t="shared" si="884"/>
        <v>31.530131318582612</v>
      </c>
      <c r="BD87" s="13">
        <f t="shared" si="884"/>
        <v>26.213619886069445</v>
      </c>
      <c r="BE87" s="13">
        <f t="shared" si="884"/>
        <v>25.555422823011643</v>
      </c>
      <c r="BF87" s="13">
        <f t="shared" si="884"/>
        <v>32.030414746543819</v>
      </c>
      <c r="BG87" s="13">
        <f t="shared" si="884"/>
        <v>27.760330005546312</v>
      </c>
      <c r="BH87" s="13">
        <f t="shared" si="884"/>
        <v>46.582849221019238</v>
      </c>
      <c r="BI87" s="13">
        <f t="shared" si="884"/>
        <v>40.276010318142582</v>
      </c>
      <c r="BJ87" s="13">
        <f t="shared" si="884"/>
        <v>19.807594722598054</v>
      </c>
      <c r="BK87" s="13">
        <f t="shared" si="884"/>
        <v>20.350762362637322</v>
      </c>
      <c r="BL87" s="13">
        <f t="shared" si="884"/>
        <v>12.676788098814875</v>
      </c>
      <c r="BM87" s="13">
        <f t="shared" si="884"/>
        <v>9.8836141496118461</v>
      </c>
      <c r="BN87" s="13">
        <f t="shared" si="884"/>
        <v>8.0258498583569349</v>
      </c>
      <c r="BO87" s="13">
        <f t="shared" si="884"/>
        <v>8.5594899746933919</v>
      </c>
      <c r="BP87" s="13">
        <f t="shared" si="884"/>
        <v>9.4977685586774729</v>
      </c>
      <c r="BQ87" s="13">
        <f t="shared" si="884"/>
        <v>21.105044796332962</v>
      </c>
      <c r="BR87" s="13">
        <f t="shared" ref="BR87:CH87" si="885">+BR79/BR69</f>
        <v>23.332796110783729</v>
      </c>
      <c r="BS87" s="13">
        <f t="shared" si="885"/>
        <v>35.956434193666546</v>
      </c>
      <c r="BT87" s="13">
        <f t="shared" si="885"/>
        <v>73.18994049832699</v>
      </c>
      <c r="BU87" s="13">
        <f t="shared" si="885"/>
        <v>186.91562123039978</v>
      </c>
      <c r="BV87" s="13">
        <f t="shared" si="885"/>
        <v>66.834429169157076</v>
      </c>
      <c r="BW87" s="13">
        <f t="shared" si="885"/>
        <v>40.450396405919449</v>
      </c>
      <c r="BX87" s="13">
        <f t="shared" si="885"/>
        <v>63.872665975102635</v>
      </c>
      <c r="BY87" s="13">
        <f t="shared" si="885"/>
        <v>27.714856970185174</v>
      </c>
      <c r="BZ87" s="13">
        <f t="shared" si="885"/>
        <v>23.219266358228644</v>
      </c>
      <c r="CA87" s="13">
        <f t="shared" si="885"/>
        <v>20.791316171138483</v>
      </c>
      <c r="CB87" s="13">
        <f t="shared" si="885"/>
        <v>18.211746392567694</v>
      </c>
      <c r="CC87" s="13">
        <f t="shared" si="885"/>
        <v>47.27761156818741</v>
      </c>
      <c r="CD87" s="13">
        <f t="shared" si="885"/>
        <v>71.150106035889024</v>
      </c>
      <c r="CE87" s="13">
        <f t="shared" si="885"/>
        <v>85.642931258106017</v>
      </c>
      <c r="CF87" s="13">
        <f t="shared" si="885"/>
        <v>2601.0266826921256</v>
      </c>
      <c r="CG87" s="13">
        <f t="shared" si="885"/>
        <v>34.374588441330978</v>
      </c>
      <c r="CH87" s="13">
        <f t="shared" si="885"/>
        <v>22.765198938991997</v>
      </c>
      <c r="CI87" s="13">
        <f t="shared" ref="CI87:CJ87" si="886">+CI79/CI69</f>
        <v>18.544566874566875</v>
      </c>
      <c r="CJ87" s="13">
        <f t="shared" si="886"/>
        <v>15.540009114847088</v>
      </c>
      <c r="CK87" s="13">
        <f t="shared" ref="CK87:CL87" si="887">+CK79/CK69</f>
        <v>13.055756761368494</v>
      </c>
      <c r="CL87" s="13">
        <f t="shared" si="887"/>
        <v>9.5910444899002858</v>
      </c>
      <c r="CM87" s="59">
        <f t="shared" si="866"/>
        <v>9.5910444899002858</v>
      </c>
      <c r="CN87" s="59">
        <f t="shared" si="867"/>
        <v>9.5910444899002858</v>
      </c>
      <c r="CO87" s="59">
        <f t="shared" si="868"/>
        <v>9.5910444899002858</v>
      </c>
      <c r="CP87" s="59">
        <f t="shared" si="869"/>
        <v>9.5910444899002858</v>
      </c>
      <c r="CQ87" s="59">
        <f t="shared" si="870"/>
        <v>9.5910444899002858</v>
      </c>
      <c r="CR87" s="59">
        <f t="shared" si="871"/>
        <v>9.5910444899002858</v>
      </c>
      <c r="CS87" s="59">
        <f t="shared" si="872"/>
        <v>9.5910444899002858</v>
      </c>
      <c r="CT87" s="59">
        <f t="shared" si="873"/>
        <v>9.5910444899002858</v>
      </c>
      <c r="CU87" s="59">
        <f t="shared" si="874"/>
        <v>9.5910444899002858</v>
      </c>
      <c r="CV87" s="59">
        <f t="shared" si="875"/>
        <v>9.5910444899002858</v>
      </c>
      <c r="CW87" s="59">
        <f t="shared" si="876"/>
        <v>9.5910444899002858</v>
      </c>
      <c r="CX87" s="59">
        <f t="shared" si="877"/>
        <v>9.5910444899002858</v>
      </c>
      <c r="CY87" s="59">
        <f t="shared" si="878"/>
        <v>9.5910444899002858</v>
      </c>
      <c r="CZ87" s="59">
        <f t="shared" si="879"/>
        <v>9.5910444899002858</v>
      </c>
      <c r="DA87" s="59">
        <f t="shared" si="880"/>
        <v>9.5910444899002858</v>
      </c>
      <c r="DD87" s="135"/>
      <c r="DE87" s="13">
        <v>10.983465574609703</v>
      </c>
    </row>
    <row r="88" spans="1:109" s="13" customFormat="1" x14ac:dyDescent="0.2">
      <c r="AB88" s="59"/>
      <c r="AC88" s="59"/>
      <c r="AD88" s="59"/>
      <c r="AE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888">+B78/C69</f>
        <v>#DIV/0!</v>
      </c>
      <c r="C89" s="13">
        <f t="shared" si="888"/>
        <v>0</v>
      </c>
      <c r="D89" s="13">
        <f t="shared" ca="1" si="888"/>
        <v>7.4125916695313503</v>
      </c>
      <c r="E89" s="13">
        <f t="shared" ca="1" si="888"/>
        <v>13.270658526165587</v>
      </c>
      <c r="F89" s="13">
        <f t="shared" ca="1" si="888"/>
        <v>12.843314249587262</v>
      </c>
      <c r="G89" s="13">
        <f t="shared" ca="1" si="888"/>
        <v>17.795299904849095</v>
      </c>
      <c r="H89" s="13">
        <f t="shared" ca="1" si="888"/>
        <v>23.886905233532911</v>
      </c>
      <c r="I89" s="13">
        <f t="shared" ca="1" si="888"/>
        <v>29.719167786243705</v>
      </c>
      <c r="J89" s="13">
        <f t="shared" ca="1" si="888"/>
        <v>15.704843693567168</v>
      </c>
      <c r="K89" s="13">
        <f t="shared" ca="1" si="888"/>
        <v>17.48757258221919</v>
      </c>
      <c r="L89" s="13">
        <f t="shared" ca="1" si="888"/>
        <v>10.878231152783504</v>
      </c>
      <c r="M89" s="13">
        <f t="shared" ca="1" si="888"/>
        <v>15.61275934438452</v>
      </c>
      <c r="N89" s="13">
        <f t="shared" ca="1" si="888"/>
        <v>11.833310279735079</v>
      </c>
      <c r="O89" s="13">
        <f t="shared" ca="1" si="888"/>
        <v>10.244016854584437</v>
      </c>
      <c r="P89" s="13">
        <f t="shared" ca="1" si="888"/>
        <v>20.819246162505184</v>
      </c>
      <c r="Q89" s="13">
        <f t="shared" ca="1" si="888"/>
        <v>30.007575117937595</v>
      </c>
      <c r="R89" s="13">
        <f t="shared" ca="1" si="888"/>
        <v>38.834334129778817</v>
      </c>
      <c r="S89" s="13">
        <f t="shared" ca="1" si="888"/>
        <v>83.812337143004228</v>
      </c>
      <c r="T89" s="13">
        <f t="shared" ca="1" si="888"/>
        <v>16.574880910374052</v>
      </c>
      <c r="U89" s="13">
        <f t="shared" ca="1" si="888"/>
        <v>22.809032190853266</v>
      </c>
      <c r="V89" s="13">
        <f t="shared" ca="1" si="888"/>
        <v>306.20989143545853</v>
      </c>
      <c r="W89" s="13">
        <f t="shared" ca="1" si="888"/>
        <v>53.641413174859167</v>
      </c>
      <c r="X89" s="13">
        <f t="shared" ca="1" si="888"/>
        <v>44.642325436409266</v>
      </c>
      <c r="Y89" s="13">
        <f t="shared" ca="1" si="888"/>
        <v>42.789614711033344</v>
      </c>
      <c r="Z89" s="13">
        <f t="shared" ref="Z89:AA89" ca="1" si="889">+Z78/AA69</f>
        <v>29.102316355259862</v>
      </c>
      <c r="AA89" s="13">
        <f t="shared" ca="1" si="889"/>
        <v>29.102316355259862</v>
      </c>
      <c r="AB89" s="36">
        <f t="shared" ca="1" si="888"/>
        <v>10.732888859882426</v>
      </c>
      <c r="AC89" s="36">
        <f t="shared" ca="1" si="888"/>
        <v>10.942907891182355</v>
      </c>
      <c r="AD89" s="36">
        <f t="shared" ca="1" si="888"/>
        <v>10.96479974040207</v>
      </c>
      <c r="AE89" s="36"/>
      <c r="AL89" s="13">
        <f t="shared" ref="AL89:BQ89" si="890">+AL78/AP69</f>
        <v>12.560955284552838</v>
      </c>
      <c r="AM89" s="13">
        <f t="shared" si="890"/>
        <v>11.124385652001591</v>
      </c>
      <c r="AN89" s="13">
        <f t="shared" si="890"/>
        <v>9.9754263708050672</v>
      </c>
      <c r="AO89" s="13">
        <f t="shared" si="890"/>
        <v>9.6550721034311309</v>
      </c>
      <c r="AP89" s="13">
        <f t="shared" si="890"/>
        <v>11.690881178999096</v>
      </c>
      <c r="AQ89" s="13">
        <f t="shared" si="890"/>
        <v>15.869549471244376</v>
      </c>
      <c r="AR89" s="13">
        <f t="shared" si="890"/>
        <v>22.313457787684598</v>
      </c>
      <c r="AS89" s="13">
        <f t="shared" si="890"/>
        <v>19.538115819576266</v>
      </c>
      <c r="AT89" s="13">
        <f t="shared" si="890"/>
        <v>19.834685330100317</v>
      </c>
      <c r="AU89" s="13">
        <f t="shared" si="890"/>
        <v>22.019512742786613</v>
      </c>
      <c r="AV89" s="13">
        <f t="shared" si="890"/>
        <v>28.071754366447955</v>
      </c>
      <c r="AW89" s="13">
        <f t="shared" si="890"/>
        <v>26.261172854102696</v>
      </c>
      <c r="AX89" s="13">
        <f t="shared" si="890"/>
        <v>28.237691383968837</v>
      </c>
      <c r="AY89" s="13">
        <f t="shared" si="890"/>
        <v>42.823898183126644</v>
      </c>
      <c r="AZ89" s="13">
        <f t="shared" si="890"/>
        <v>42.646038322112979</v>
      </c>
      <c r="BA89" s="13">
        <f t="shared" si="890"/>
        <v>35.150581578120111</v>
      </c>
      <c r="BB89" s="13">
        <f t="shared" si="890"/>
        <v>29.941474654377917</v>
      </c>
      <c r="BC89" s="13">
        <f t="shared" si="890"/>
        <v>29.059303937881307</v>
      </c>
      <c r="BD89" s="13">
        <f t="shared" si="890"/>
        <v>54.522880908370702</v>
      </c>
      <c r="BE89" s="13">
        <f t="shared" si="890"/>
        <v>83.800085984522468</v>
      </c>
      <c r="BF89" s="13">
        <f t="shared" si="890"/>
        <v>47.672407814614225</v>
      </c>
      <c r="BG89" s="13">
        <f t="shared" si="890"/>
        <v>37.759433379120807</v>
      </c>
      <c r="BH89" s="13">
        <f t="shared" si="890"/>
        <v>18.796073276581517</v>
      </c>
      <c r="BI89" s="13">
        <f t="shared" si="890"/>
        <v>10.550074982357083</v>
      </c>
      <c r="BJ89" s="13">
        <f t="shared" si="890"/>
        <v>10.409284058717478</v>
      </c>
      <c r="BK89" s="13">
        <f t="shared" si="890"/>
        <v>14.206988514697281</v>
      </c>
      <c r="BL89" s="13">
        <f t="shared" si="890"/>
        <v>12.869476397007977</v>
      </c>
      <c r="BM89" s="13">
        <f t="shared" si="890"/>
        <v>21.644181685592262</v>
      </c>
      <c r="BN89" s="13">
        <f t="shared" si="890"/>
        <v>26.978962875662926</v>
      </c>
      <c r="BO89" s="13">
        <f t="shared" si="890"/>
        <v>32.499084751967843</v>
      </c>
      <c r="BP89" s="13">
        <f t="shared" si="890"/>
        <v>94.402380066939983</v>
      </c>
      <c r="BQ89" s="13">
        <f t="shared" si="890"/>
        <v>291.62846803377829</v>
      </c>
      <c r="BR89" s="13">
        <f t="shared" ref="BR89:CL89" si="891">+BR78/BV69</f>
        <v>159.16077405857709</v>
      </c>
      <c r="BS89" s="13">
        <f t="shared" si="891"/>
        <v>82.458113107821973</v>
      </c>
      <c r="BT89" s="13">
        <f t="shared" si="891"/>
        <v>128.52904564315131</v>
      </c>
      <c r="BU89" s="13">
        <f t="shared" si="891"/>
        <v>41.519016921836993</v>
      </c>
      <c r="BV89" s="13">
        <f t="shared" si="891"/>
        <v>28.711996034368752</v>
      </c>
      <c r="BW89" s="13">
        <f t="shared" si="891"/>
        <v>22.785529369108023</v>
      </c>
      <c r="BX89" s="13">
        <f t="shared" si="891"/>
        <v>16.695967582526183</v>
      </c>
      <c r="BY89" s="13">
        <f t="shared" si="891"/>
        <v>44.631195462478111</v>
      </c>
      <c r="BZ89" s="13">
        <f t="shared" si="891"/>
        <v>52.613858075040753</v>
      </c>
      <c r="CA89" s="13">
        <f t="shared" si="891"/>
        <v>97.989623865109877</v>
      </c>
      <c r="CB89" s="13">
        <f t="shared" si="891"/>
        <v>2163.3451923075409</v>
      </c>
      <c r="CC89" s="13">
        <f t="shared" si="891"/>
        <v>42.789614711033245</v>
      </c>
      <c r="CD89" s="13">
        <f t="shared" si="891"/>
        <v>49.605154730327044</v>
      </c>
      <c r="CE89" s="13">
        <f t="shared" si="891"/>
        <v>41.76977823977824</v>
      </c>
      <c r="CF89" s="13">
        <f t="shared" si="891"/>
        <v>34.54610593477824</v>
      </c>
      <c r="CG89" s="13">
        <f t="shared" si="891"/>
        <v>26.427352614964612</v>
      </c>
      <c r="CH89" s="13">
        <f t="shared" si="891"/>
        <v>18.345005539930121</v>
      </c>
      <c r="CI89" s="13">
        <f t="shared" si="891"/>
        <v>13.428393969303281</v>
      </c>
      <c r="CJ89" s="13">
        <f t="shared" si="891"/>
        <v>15.221649355010229</v>
      </c>
      <c r="CK89" s="13">
        <f t="shared" si="891"/>
        <v>15.491891575095877</v>
      </c>
      <c r="CL89" s="13">
        <f t="shared" si="891"/>
        <v>11.109180653437843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16.199816148815639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892">+CORREL(AL69:AO69,AL86:AO86)</f>
        <v>-0.97156058700614911</v>
      </c>
      <c r="AP90" s="174">
        <f t="shared" si="892"/>
        <v>-0.44408670604327022</v>
      </c>
      <c r="AQ90" s="174">
        <f t="shared" si="892"/>
        <v>0.79733119992823653</v>
      </c>
      <c r="AR90" s="174">
        <f t="shared" si="892"/>
        <v>0.94231626962584525</v>
      </c>
      <c r="AS90" s="174">
        <f t="shared" si="892"/>
        <v>0.63696516873560971</v>
      </c>
      <c r="AT90" s="174">
        <f t="shared" si="892"/>
        <v>0.45728452484557974</v>
      </c>
      <c r="AU90" s="174">
        <f t="shared" si="892"/>
        <v>-8.1715466064769607E-2</v>
      </c>
      <c r="AV90" s="174">
        <f t="shared" si="892"/>
        <v>0.89474287403642694</v>
      </c>
      <c r="AW90" s="174">
        <f t="shared" si="892"/>
        <v>0.27942972742540945</v>
      </c>
      <c r="AX90" s="174">
        <f t="shared" si="892"/>
        <v>-0.82276790924898957</v>
      </c>
      <c r="AY90" s="174">
        <f t="shared" si="892"/>
        <v>-0.90824821323097182</v>
      </c>
      <c r="AZ90" s="174">
        <f t="shared" si="892"/>
        <v>-0.60990039067167545</v>
      </c>
      <c r="BA90" s="174">
        <f t="shared" si="892"/>
        <v>-0.42304332007172984</v>
      </c>
      <c r="BB90" s="174">
        <f t="shared" si="892"/>
        <v>-0.85560912558618152</v>
      </c>
      <c r="BC90" s="174">
        <f t="shared" si="892"/>
        <v>-0.87696493427713373</v>
      </c>
      <c r="BD90" s="174">
        <f t="shared" si="892"/>
        <v>-0.92926167155254846</v>
      </c>
      <c r="BE90" s="174">
        <f t="shared" si="892"/>
        <v>-0.18728754514333143</v>
      </c>
      <c r="BF90" s="174">
        <f t="shared" si="892"/>
        <v>0.86053933004578809</v>
      </c>
      <c r="BG90" s="174">
        <f t="shared" si="892"/>
        <v>0.12630811071749434</v>
      </c>
      <c r="BH90" s="174">
        <f t="shared" si="892"/>
        <v>-0.99192676956813364</v>
      </c>
      <c r="BI90" s="174">
        <f t="shared" si="892"/>
        <v>-0.90791285346560147</v>
      </c>
      <c r="BJ90" s="174">
        <f t="shared" si="892"/>
        <v>-0.76950863927938473</v>
      </c>
      <c r="BK90" s="174">
        <f t="shared" si="892"/>
        <v>-0.88931862556475139</v>
      </c>
      <c r="BL90" s="174">
        <f t="shared" si="892"/>
        <v>-0.8903101469499306</v>
      </c>
      <c r="BM90" s="174">
        <f t="shared" si="892"/>
        <v>-0.9541018319717145</v>
      </c>
      <c r="BN90" s="174">
        <f t="shared" si="892"/>
        <v>-0.9634910041719138</v>
      </c>
      <c r="BO90" s="174">
        <f t="shared" si="892"/>
        <v>-0.83427461584410101</v>
      </c>
      <c r="BP90" s="174">
        <f t="shared" si="892"/>
        <v>-0.19996661735651933</v>
      </c>
      <c r="BQ90" s="174">
        <f t="shared" si="892"/>
        <v>-0.92616329487475257</v>
      </c>
      <c r="BR90" s="174">
        <f t="shared" si="892"/>
        <v>-0.95252605992575601</v>
      </c>
      <c r="BS90" s="174">
        <f t="shared" si="892"/>
        <v>-0.95544074279171842</v>
      </c>
      <c r="BT90" s="174">
        <f t="shared" si="892"/>
        <v>-0.93798954055012118</v>
      </c>
      <c r="BU90" s="174">
        <f t="shared" si="892"/>
        <v>-0.85484453182345732</v>
      </c>
      <c r="BV90" s="174">
        <f t="shared" si="892"/>
        <v>-0.81578558796478851</v>
      </c>
      <c r="BW90" s="174">
        <f t="shared" si="892"/>
        <v>-0.91262851160816705</v>
      </c>
      <c r="BX90" s="174">
        <f t="shared" si="892"/>
        <v>-0.91538801822935878</v>
      </c>
      <c r="BY90" s="174">
        <f t="shared" si="892"/>
        <v>-0.92831214459739653</v>
      </c>
      <c r="BZ90" s="174">
        <f t="shared" si="892"/>
        <v>-0.94866415742495269</v>
      </c>
      <c r="CA90" s="174">
        <f t="shared" si="892"/>
        <v>-0.94257998228388284</v>
      </c>
      <c r="CB90" s="174">
        <f t="shared" si="892"/>
        <v>-0.8152730803286925</v>
      </c>
      <c r="CC90" s="174">
        <f t="shared" si="892"/>
        <v>-0.81891756104360247</v>
      </c>
      <c r="CD90" s="174">
        <f t="shared" si="892"/>
        <v>-0.9229977630804953</v>
      </c>
      <c r="CE90" s="174">
        <f t="shared" si="892"/>
        <v>-0.88984143515520819</v>
      </c>
      <c r="CF90" s="174">
        <f t="shared" si="892"/>
        <v>-0.91598795342333594</v>
      </c>
      <c r="CG90" s="174">
        <f t="shared" si="892"/>
        <v>-0.78811439977401765</v>
      </c>
      <c r="CH90" s="174">
        <f t="shared" si="892"/>
        <v>-0.82826003616920874</v>
      </c>
      <c r="CI90" s="174">
        <f t="shared" si="892"/>
        <v>-0.97443326414744325</v>
      </c>
      <c r="CJ90" s="174">
        <f>+CORREL(CG69:CJ69,CG86:CJ86)</f>
        <v>-0.80619706946126923</v>
      </c>
      <c r="CK90" s="174">
        <f>+CORREL(CH69:CK69,CH86:CK86)</f>
        <v>-0.88122388568994869</v>
      </c>
      <c r="CL90" s="174">
        <f>+CORREL(CI69:CL69,CI86:CL86)</f>
        <v>-0.91855604883991315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893">+E$120/E$65</f>
        <v>21.70248841826605</v>
      </c>
      <c r="F92" s="161">
        <f t="shared" ca="1" si="893"/>
        <v>23.76153540701522</v>
      </c>
      <c r="G92" s="161">
        <f t="shared" ca="1" si="893"/>
        <v>26.046459298477831</v>
      </c>
      <c r="H92" s="161">
        <f t="shared" ca="1" si="893"/>
        <v>29.629397749834549</v>
      </c>
      <c r="I92" s="161">
        <f t="shared" ca="1" si="893"/>
        <v>31.537895433487758</v>
      </c>
      <c r="J92" s="161">
        <f t="shared" ca="1" si="893"/>
        <v>32.583719391131702</v>
      </c>
      <c r="K92" s="161">
        <f t="shared" ca="1" si="893"/>
        <v>34.618967571144942</v>
      </c>
      <c r="L92" s="161">
        <f t="shared" ca="1" si="893"/>
        <v>38.869781601588357</v>
      </c>
      <c r="M92" s="161">
        <f t="shared" ca="1" si="893"/>
        <v>43.524513567174054</v>
      </c>
      <c r="N92" s="161">
        <f t="shared" ca="1" si="893"/>
        <v>46.983481138318993</v>
      </c>
      <c r="O92" s="161">
        <f t="shared" ca="1" si="893"/>
        <v>51.728166776968891</v>
      </c>
      <c r="P92" s="161">
        <f t="shared" ca="1" si="893"/>
        <v>75.113302448709462</v>
      </c>
      <c r="Q92" s="161">
        <f t="shared" ca="1" si="893"/>
        <v>81.89109199205825</v>
      </c>
      <c r="R92" s="161">
        <f t="shared" ca="1" si="893"/>
        <v>67.40005294506949</v>
      </c>
      <c r="S92" s="161">
        <f t="shared" ca="1" si="893"/>
        <v>72.675843812045017</v>
      </c>
      <c r="T92" s="161">
        <f t="shared" ca="1" si="893"/>
        <v>73.656902713434818</v>
      </c>
      <c r="U92" s="161">
        <f t="shared" ca="1" si="893"/>
        <v>92.303110522832569</v>
      </c>
      <c r="V92" s="161">
        <f t="shared" ca="1" si="893"/>
        <v>101.24553275976176</v>
      </c>
      <c r="W92" s="161">
        <f t="shared" ca="1" si="893"/>
        <v>94.596955658504314</v>
      </c>
      <c r="X92" s="161">
        <f t="shared" ca="1" si="893"/>
        <v>100.19324950363998</v>
      </c>
      <c r="Y92" s="161">
        <f t="shared" ca="1" si="893"/>
        <v>152.27796161482462</v>
      </c>
      <c r="Z92" s="161">
        <f t="shared" ca="1" si="893"/>
        <v>157.98146922567835</v>
      </c>
      <c r="AA92" s="161">
        <f t="shared" ca="1" si="893"/>
        <v>157.98146922567835</v>
      </c>
      <c r="AB92" s="20">
        <f t="shared" ca="1" si="893"/>
        <v>189.22394561478052</v>
      </c>
      <c r="AC92" s="20">
        <f t="shared" ca="1" si="893"/>
        <v>211.73437485571864</v>
      </c>
      <c r="AD92" s="20">
        <f t="shared" ca="1" si="893"/>
        <v>239.99417446611719</v>
      </c>
      <c r="AE92" s="20">
        <f t="shared" ca="1" si="893"/>
        <v>275.40095336243877</v>
      </c>
      <c r="AL92" s="161">
        <f t="shared" ref="AL92:BQ92" si="894">+AL$120/AL$65</f>
        <v>49.052283256121783</v>
      </c>
      <c r="AM92" s="161">
        <f t="shared" si="894"/>
        <v>50.991396426207814</v>
      </c>
      <c r="AN92" s="161">
        <f t="shared" si="894"/>
        <v>52.202514890800792</v>
      </c>
      <c r="AO92" s="161">
        <f t="shared" si="894"/>
        <v>51.727332892124423</v>
      </c>
      <c r="AP92" s="161">
        <f t="shared" si="894"/>
        <v>53.966909331568502</v>
      </c>
      <c r="AQ92" s="161">
        <f t="shared" si="894"/>
        <v>56.438120450033097</v>
      </c>
      <c r="AR92" s="161">
        <f t="shared" si="894"/>
        <v>58.187954996690934</v>
      </c>
      <c r="AS92" s="161">
        <f t="shared" si="894"/>
        <v>75.113170086035737</v>
      </c>
      <c r="AT92" s="161">
        <f t="shared" si="894"/>
        <v>77.823957643944397</v>
      </c>
      <c r="AU92" s="161">
        <f t="shared" si="894"/>
        <v>80.191925876902701</v>
      </c>
      <c r="AV92" s="161">
        <f t="shared" si="894"/>
        <v>82.305757776307061</v>
      </c>
      <c r="AW92" s="161">
        <f t="shared" si="894"/>
        <v>81.890138980807407</v>
      </c>
      <c r="AX92" s="161">
        <f t="shared" si="894"/>
        <v>86.427531436134998</v>
      </c>
      <c r="AY92" s="161">
        <f t="shared" si="894"/>
        <v>88.845797485109202</v>
      </c>
      <c r="AZ92" s="161">
        <f t="shared" si="894"/>
        <v>91.06816677696888</v>
      </c>
      <c r="BA92" s="161">
        <f t="shared" si="894"/>
        <v>89.58967571144936</v>
      </c>
      <c r="BB92" s="161">
        <f t="shared" si="894"/>
        <v>91.749834546657837</v>
      </c>
      <c r="BC92" s="161">
        <f t="shared" si="894"/>
        <v>66.30708140304435</v>
      </c>
      <c r="BD92" s="161">
        <f t="shared" si="894"/>
        <v>68.839179351422885</v>
      </c>
      <c r="BE92" s="161">
        <f t="shared" si="894"/>
        <v>72.676373262739915</v>
      </c>
      <c r="BF92" s="161">
        <f t="shared" si="894"/>
        <v>75.032428855062889</v>
      </c>
      <c r="BG92" s="161">
        <f t="shared" si="894"/>
        <v>73.495698213103907</v>
      </c>
      <c r="BH92" s="161">
        <f t="shared" si="894"/>
        <v>71.494374586366646</v>
      </c>
      <c r="BI92" s="161">
        <f t="shared" si="894"/>
        <v>73.657180675049645</v>
      </c>
      <c r="BJ92" s="161">
        <f t="shared" si="894"/>
        <v>79.220383851753823</v>
      </c>
      <c r="BK92" s="161">
        <f t="shared" si="894"/>
        <v>79.274652547981461</v>
      </c>
      <c r="BL92" s="161">
        <f t="shared" si="894"/>
        <v>83.497021839841153</v>
      </c>
      <c r="BM92" s="161">
        <f t="shared" si="894"/>
        <v>92.303110522832569</v>
      </c>
      <c r="BN92" s="161">
        <f t="shared" si="894"/>
        <v>95.917935142289878</v>
      </c>
      <c r="BO92" s="161">
        <f t="shared" si="894"/>
        <v>96.397088021178021</v>
      </c>
      <c r="BP92" s="161">
        <f t="shared" si="894"/>
        <v>101.27862342819323</v>
      </c>
      <c r="BQ92" s="161">
        <f t="shared" si="894"/>
        <v>101.24553275976174</v>
      </c>
      <c r="BR92" s="161">
        <f t="shared" ref="BR92:DA92" si="895">+BR$120/BR$65</f>
        <v>103.38583719391133</v>
      </c>
      <c r="BS92" s="161">
        <f t="shared" si="895"/>
        <v>100.15751158173396</v>
      </c>
      <c r="BT92" s="161">
        <f t="shared" si="895"/>
        <v>97.266710787557898</v>
      </c>
      <c r="BU92" s="161">
        <f t="shared" si="895"/>
        <v>94.596955658504314</v>
      </c>
      <c r="BV92" s="161">
        <f t="shared" si="895"/>
        <v>97.854401058901416</v>
      </c>
      <c r="BW92" s="161">
        <f t="shared" si="895"/>
        <v>98.169424222369287</v>
      </c>
      <c r="BX92" s="161">
        <f t="shared" si="895"/>
        <v>98.174718729318343</v>
      </c>
      <c r="BY92" s="161">
        <f t="shared" si="895"/>
        <v>100.19324950363998</v>
      </c>
      <c r="BZ92" s="161">
        <f t="shared" si="895"/>
        <v>104.89080079417606</v>
      </c>
      <c r="CA92" s="161">
        <f t="shared" si="895"/>
        <v>104.90006618133687</v>
      </c>
      <c r="CB92" s="161">
        <f t="shared" si="895"/>
        <v>109.17140966247518</v>
      </c>
      <c r="CC92" s="161">
        <f t="shared" si="895"/>
        <v>152.27796161482459</v>
      </c>
      <c r="CD92" s="161">
        <f t="shared" si="895"/>
        <v>155.72336201191263</v>
      </c>
      <c r="CE92" s="161">
        <f t="shared" si="895"/>
        <v>155.82131039046988</v>
      </c>
      <c r="CF92" s="161">
        <f t="shared" si="895"/>
        <v>157.37127729980145</v>
      </c>
      <c r="CG92" s="161">
        <f t="shared" si="895"/>
        <v>157.98146922567835</v>
      </c>
      <c r="CH92" s="161">
        <f t="shared" si="895"/>
        <v>161.44275314361352</v>
      </c>
      <c r="CI92" s="161">
        <f t="shared" si="895"/>
        <v>162.75976174718727</v>
      </c>
      <c r="CJ92" s="161">
        <f t="shared" si="895"/>
        <v>167.62673726009265</v>
      </c>
      <c r="CK92" s="161">
        <f t="shared" si="895"/>
        <v>171.63732627399071</v>
      </c>
      <c r="CL92" s="161">
        <f t="shared" si="895"/>
        <v>175.02581072137656</v>
      </c>
      <c r="CM92" s="20">
        <f t="shared" si="895"/>
        <v>179.36264072956254</v>
      </c>
      <c r="CN92" s="20">
        <f t="shared" si="895"/>
        <v>184.26422470271609</v>
      </c>
      <c r="CO92" s="20">
        <f t="shared" si="895"/>
        <v>189.22394561478052</v>
      </c>
      <c r="CP92" s="20">
        <f t="shared" si="895"/>
        <v>194.23064739256498</v>
      </c>
      <c r="CQ92" s="20">
        <f t="shared" si="895"/>
        <v>199.64222924188451</v>
      </c>
      <c r="CR92" s="20">
        <f t="shared" si="895"/>
        <v>205.57264647445291</v>
      </c>
      <c r="CS92" s="20">
        <f t="shared" si="895"/>
        <v>211.73437485571864</v>
      </c>
      <c r="CT92" s="20">
        <f t="shared" si="895"/>
        <v>218.14419828918665</v>
      </c>
      <c r="CU92" s="20">
        <f t="shared" si="895"/>
        <v>224.91329451958356</v>
      </c>
      <c r="CV92" s="20">
        <f t="shared" si="895"/>
        <v>232.2810507206155</v>
      </c>
      <c r="CW92" s="20">
        <f t="shared" si="895"/>
        <v>239.99417446611719</v>
      </c>
      <c r="CX92" s="20">
        <f t="shared" si="895"/>
        <v>248.05496699125297</v>
      </c>
      <c r="CY92" s="20">
        <f t="shared" si="895"/>
        <v>256.54968138959862</v>
      </c>
      <c r="CZ92" s="20">
        <f t="shared" si="895"/>
        <v>265.74639980114154</v>
      </c>
      <c r="DA92" s="20">
        <f t="shared" si="895"/>
        <v>275.40095336243877</v>
      </c>
      <c r="DD92" s="21"/>
      <c r="DE92" s="161">
        <v>171.63732627399071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>
        <f t="shared" ref="E94:AE96" ca="1" si="896">+E77/E$92</f>
        <v>1.8177639006039803</v>
      </c>
      <c r="F94" s="161">
        <f t="shared" ca="1" si="896"/>
        <v>1.8260604483997185</v>
      </c>
      <c r="G94" s="161">
        <f t="shared" ca="1" si="896"/>
        <v>2.3231564531128512</v>
      </c>
      <c r="H94" s="161">
        <f t="shared" ca="1" si="896"/>
        <v>2.4873944662075198</v>
      </c>
      <c r="I94" s="161">
        <f t="shared" ca="1" si="896"/>
        <v>2.3210172712499495</v>
      </c>
      <c r="J94" s="161">
        <f t="shared" ca="1" si="896"/>
        <v>0.96367144656131931</v>
      </c>
      <c r="K94" s="161">
        <f t="shared" ca="1" si="896"/>
        <v>1.7432640033523699</v>
      </c>
      <c r="L94" s="161">
        <f t="shared" ca="1" si="896"/>
        <v>1.4587167116391269</v>
      </c>
      <c r="M94" s="161">
        <f t="shared" ca="1" si="896"/>
        <v>1.3750871657101882</v>
      </c>
      <c r="N94" s="161">
        <f t="shared" ca="1" si="896"/>
        <v>1.5399029243278541</v>
      </c>
      <c r="O94" s="161">
        <f t="shared" ca="1" si="896"/>
        <v>1.4421543357924373</v>
      </c>
      <c r="P94" s="161">
        <f t="shared" ca="1" si="896"/>
        <v>2.405699045430596</v>
      </c>
      <c r="Q94" s="161">
        <f t="shared" ca="1" si="896"/>
        <v>2.927058293754905</v>
      </c>
      <c r="R94" s="161">
        <f t="shared" ca="1" si="896"/>
        <v>3.5905016305733186</v>
      </c>
      <c r="S94" s="161">
        <f t="shared" ca="1" si="896"/>
        <v>4.8661285710643156</v>
      </c>
      <c r="T94" s="161">
        <f t="shared" ca="1" si="896"/>
        <v>2.6338332573494831</v>
      </c>
      <c r="U94" s="161">
        <f t="shared" ca="1" si="896"/>
        <v>2.6683824478382445</v>
      </c>
      <c r="V94" s="161">
        <f t="shared" ca="1" si="896"/>
        <v>3.0875436325842256</v>
      </c>
      <c r="W94" s="161">
        <f t="shared" ca="1" si="896"/>
        <v>2.4081113225499524</v>
      </c>
      <c r="X94" s="161">
        <f t="shared" ca="1" si="896"/>
        <v>1.9846646454238004</v>
      </c>
      <c r="Y94" s="161">
        <f t="shared" ca="1" si="896"/>
        <v>1.8820845574813554</v>
      </c>
      <c r="Z94" s="161">
        <f t="shared" ca="1" si="896"/>
        <v>1.7242528591177579</v>
      </c>
      <c r="AA94" s="161">
        <f t="shared" ref="AA94" ca="1" si="897">+AA77/AA$92</f>
        <v>1.7242528591177579</v>
      </c>
      <c r="AB94" s="20">
        <f t="shared" ca="1" si="896"/>
        <v>0.79350422332738635</v>
      </c>
      <c r="AC94" s="20">
        <f t="shared" ca="1" si="896"/>
        <v>0.70914323714472982</v>
      </c>
      <c r="AD94" s="20">
        <f t="shared" ca="1" si="896"/>
        <v>0.62564018620042983</v>
      </c>
      <c r="AE94" s="20">
        <f t="shared" ca="1" si="896"/>
        <v>0.54520508432081038</v>
      </c>
      <c r="AL94" s="161">
        <f t="shared" ref="AL94:CI96" si="898">+AL77/AL$92</f>
        <v>1.2670154348471354</v>
      </c>
      <c r="AM94" s="161">
        <f t="shared" si="898"/>
        <v>1.23256087114526</v>
      </c>
      <c r="AN94" s="161">
        <f t="shared" si="898"/>
        <v>1.1512855295519664</v>
      </c>
      <c r="AO94" s="161">
        <f t="shared" si="898"/>
        <v>1.4421775844421698</v>
      </c>
      <c r="AP94" s="161">
        <f t="shared" si="898"/>
        <v>1.6584236731089963</v>
      </c>
      <c r="AQ94" s="161">
        <f t="shared" si="898"/>
        <v>2.3795973170102487</v>
      </c>
      <c r="AR94" s="161">
        <f t="shared" si="898"/>
        <v>3.3005112486067198</v>
      </c>
      <c r="AS94" s="161">
        <f t="shared" si="898"/>
        <v>2.4057032846972581</v>
      </c>
      <c r="AT94" s="161">
        <f t="shared" si="898"/>
        <v>2.9695225865705153</v>
      </c>
      <c r="AU94" s="161">
        <f t="shared" si="898"/>
        <v>2.951668729883635</v>
      </c>
      <c r="AV94" s="161">
        <f t="shared" si="898"/>
        <v>3.3096104982149179</v>
      </c>
      <c r="AW94" s="161">
        <f t="shared" si="898"/>
        <v>2.9270923579233208</v>
      </c>
      <c r="AX94" s="161">
        <f t="shared" si="898"/>
        <v>2.4251531487380547</v>
      </c>
      <c r="AY94" s="161">
        <f t="shared" si="898"/>
        <v>3.3507493705585265</v>
      </c>
      <c r="AZ94" s="161">
        <f t="shared" si="898"/>
        <v>2.8275522513880413</v>
      </c>
      <c r="BA94" s="161">
        <f t="shared" si="898"/>
        <v>2.7012041072615798</v>
      </c>
      <c r="BB94" s="161">
        <f t="shared" si="898"/>
        <v>2.5874706060562347</v>
      </c>
      <c r="BC94" s="161">
        <f t="shared" si="898"/>
        <v>3.9173794789899188</v>
      </c>
      <c r="BD94" s="161">
        <f t="shared" si="898"/>
        <v>3.171885575296109</v>
      </c>
      <c r="BE94" s="161">
        <f t="shared" si="898"/>
        <v>4.8660931210956697</v>
      </c>
      <c r="BF94" s="161">
        <f t="shared" si="898"/>
        <v>4.2661553795402822</v>
      </c>
      <c r="BG94" s="161">
        <f t="shared" si="898"/>
        <v>3.7423959046212585</v>
      </c>
      <c r="BH94" s="161">
        <f t="shared" si="898"/>
        <v>3.3149461250786834</v>
      </c>
      <c r="BI94" s="161">
        <f t="shared" si="898"/>
        <v>2.6338233179988495</v>
      </c>
      <c r="BJ94" s="161">
        <f t="shared" si="898"/>
        <v>2.4835779686220776</v>
      </c>
      <c r="BK94" s="161">
        <f t="shared" si="898"/>
        <v>3.2639688940092171</v>
      </c>
      <c r="BL94" s="161">
        <f t="shared" si="898"/>
        <v>2.9234575631717452</v>
      </c>
      <c r="BM94" s="161">
        <f t="shared" si="898"/>
        <v>2.6683824478382445</v>
      </c>
      <c r="BN94" s="161">
        <f t="shared" si="898"/>
        <v>2.0408070681423012</v>
      </c>
      <c r="BO94" s="161">
        <f t="shared" si="898"/>
        <v>2.1152091228648322</v>
      </c>
      <c r="BP94" s="161">
        <f t="shared" si="898"/>
        <v>3.0657999634063469</v>
      </c>
      <c r="BQ94" s="161">
        <f t="shared" si="898"/>
        <v>3.087543632584226</v>
      </c>
      <c r="BR94" s="161">
        <f t="shared" si="898"/>
        <v>2.7112030777897269</v>
      </c>
      <c r="BS94" s="161">
        <f t="shared" si="898"/>
        <v>2.9263905958847083</v>
      </c>
      <c r="BT94" s="161">
        <f t="shared" si="898"/>
        <v>2.7296080832823026</v>
      </c>
      <c r="BU94" s="161">
        <f t="shared" si="898"/>
        <v>2.4081113225499524</v>
      </c>
      <c r="BV94" s="161">
        <f t="shared" si="898"/>
        <v>1.5431089288371271</v>
      </c>
      <c r="BW94" s="161">
        <f t="shared" si="898"/>
        <v>1.6807677268866208</v>
      </c>
      <c r="BX94" s="161">
        <f t="shared" si="898"/>
        <v>2.2179844548408405</v>
      </c>
      <c r="BY94" s="161">
        <f t="shared" si="898"/>
        <v>1.9846646454238004</v>
      </c>
      <c r="BZ94" s="161">
        <f t="shared" si="898"/>
        <v>1.8095009148842196</v>
      </c>
      <c r="CA94" s="161">
        <f t="shared" si="898"/>
        <v>2.6024769091000857</v>
      </c>
      <c r="CB94" s="161">
        <f t="shared" si="898"/>
        <v>2.3499742358660991</v>
      </c>
      <c r="CC94" s="161">
        <f t="shared" si="898"/>
        <v>1.8820845574813558</v>
      </c>
      <c r="CD94" s="161">
        <f t="shared" si="898"/>
        <v>1.9232823908405512</v>
      </c>
      <c r="CE94" s="161">
        <f t="shared" si="898"/>
        <v>2.3145101212167547</v>
      </c>
      <c r="CF94" s="161">
        <f t="shared" si="898"/>
        <v>2.4464438911972008</v>
      </c>
      <c r="CG94" s="161">
        <f t="shared" si="898"/>
        <v>1.7242528591177579</v>
      </c>
      <c r="CH94" s="161">
        <f t="shared" si="898"/>
        <v>1.1208307370664916</v>
      </c>
      <c r="CI94" s="161">
        <f t="shared" si="898"/>
        <v>1.3000756312771928</v>
      </c>
      <c r="CJ94" s="161">
        <f>+CJ77/CJ$92</f>
        <v>1.3953621231502977</v>
      </c>
      <c r="CK94" s="161">
        <f>+CK77/CK$92</f>
        <v>1.2331233805293358</v>
      </c>
      <c r="CL94" s="161">
        <f>+CL77/CL$92</f>
        <v>0.85787347238187439</v>
      </c>
      <c r="CM94" s="20">
        <f t="shared" ref="CM94:DA94" si="899">+CM77/CM$92</f>
        <v>0.83713085060111014</v>
      </c>
      <c r="CN94" s="20">
        <f t="shared" si="899"/>
        <v>0.81486246308661114</v>
      </c>
      <c r="CO94" s="20">
        <f t="shared" si="899"/>
        <v>0.79350422332738635</v>
      </c>
      <c r="CP94" s="20">
        <f t="shared" si="899"/>
        <v>0.7730499898737796</v>
      </c>
      <c r="CQ94" s="20">
        <f t="shared" si="899"/>
        <v>0.75209538868692849</v>
      </c>
      <c r="CR94" s="20">
        <f t="shared" si="899"/>
        <v>0.73039873044908998</v>
      </c>
      <c r="CS94" s="20">
        <f t="shared" si="899"/>
        <v>0.70914323714472982</v>
      </c>
      <c r="CT94" s="20">
        <f t="shared" si="899"/>
        <v>0.68830618085451467</v>
      </c>
      <c r="CU94" s="20">
        <f t="shared" si="899"/>
        <v>0.66759059450319069</v>
      </c>
      <c r="CV94" s="20">
        <f t="shared" si="899"/>
        <v>0.64641519200203035</v>
      </c>
      <c r="CW94" s="20">
        <f t="shared" si="899"/>
        <v>0.62564018620042983</v>
      </c>
      <c r="CX94" s="20">
        <f t="shared" si="899"/>
        <v>0.60530938695250824</v>
      </c>
      <c r="CY94" s="20">
        <f t="shared" si="899"/>
        <v>0.58526675685860974</v>
      </c>
      <c r="CZ94" s="20">
        <f t="shared" si="899"/>
        <v>0.56501235806903682</v>
      </c>
      <c r="DA94" s="20">
        <f t="shared" si="899"/>
        <v>0.54520508432081038</v>
      </c>
      <c r="DD94" s="21"/>
      <c r="DE94" s="161">
        <v>1.2331233805293358</v>
      </c>
    </row>
    <row r="95" spans="1:109" s="161" customFormat="1" hidden="1" outlineLevel="1" x14ac:dyDescent="0.2">
      <c r="A95" s="48" t="s">
        <v>504</v>
      </c>
      <c r="E95" s="161">
        <f t="shared" ca="1" si="896"/>
        <v>1.9513891303061741</v>
      </c>
      <c r="F95" s="161">
        <f t="shared" ca="1" si="896"/>
        <v>2.036905409139119</v>
      </c>
      <c r="G95" s="161">
        <f t="shared" ca="1" si="896"/>
        <v>2.5185764885837552</v>
      </c>
      <c r="H95" s="161">
        <f t="shared" ca="1" si="896"/>
        <v>3.3669263493739785</v>
      </c>
      <c r="I95" s="161">
        <f t="shared" ca="1" si="896"/>
        <v>2.6552183920009664</v>
      </c>
      <c r="J95" s="161">
        <f t="shared" ca="1" si="896"/>
        <v>2.3846264776374051</v>
      </c>
      <c r="K95" s="161">
        <f t="shared" ca="1" si="896"/>
        <v>2.192439732468018</v>
      </c>
      <c r="L95" s="161">
        <f t="shared" ca="1" si="896"/>
        <v>1.8394752183809095</v>
      </c>
      <c r="M95" s="161">
        <f t="shared" ca="1" si="896"/>
        <v>2.1401732579098418</v>
      </c>
      <c r="N95" s="161">
        <f t="shared" ca="1" si="896"/>
        <v>1.6388738793814068</v>
      </c>
      <c r="O95" s="161">
        <f t="shared" ca="1" si="896"/>
        <v>1.5813434942067208</v>
      </c>
      <c r="P95" s="161">
        <f t="shared" ca="1" si="896"/>
        <v>2.8224028645892991</v>
      </c>
      <c r="Q95" s="161">
        <f t="shared" ca="1" si="896"/>
        <v>4.0785876934256917</v>
      </c>
      <c r="R95" s="161">
        <f t="shared" ca="1" si="896"/>
        <v>4.8516282363532035</v>
      </c>
      <c r="S95" s="161">
        <f t="shared" ca="1" si="896"/>
        <v>5.3250155718984598</v>
      </c>
      <c r="T95" s="161">
        <f t="shared" ca="1" si="896"/>
        <v>5.0646984363619829</v>
      </c>
      <c r="U95" s="161">
        <f t="shared" ca="1" si="896"/>
        <v>3.1396558399655841</v>
      </c>
      <c r="V95" s="161">
        <f t="shared" ca="1" si="896"/>
        <v>3.3186649409734477</v>
      </c>
      <c r="W95" s="161">
        <f t="shared" ca="1" si="896"/>
        <v>3.7258070045334968</v>
      </c>
      <c r="X95" s="161">
        <f t="shared" ca="1" si="896"/>
        <v>2.3649297849291901</v>
      </c>
      <c r="Y95" s="161">
        <f t="shared" ca="1" si="896"/>
        <v>2.1237478921474886</v>
      </c>
      <c r="Z95" s="161">
        <f t="shared" ca="1" si="896"/>
        <v>2.8579301244187509</v>
      </c>
      <c r="AA95" s="161">
        <f t="shared" ref="AA95" ca="1" si="900">+AA78/AA$92</f>
        <v>2.8579301244187509</v>
      </c>
      <c r="AB95" s="20">
        <f t="shared" ca="1" si="896"/>
        <v>1.2768042355648075</v>
      </c>
      <c r="AC95" s="20">
        <f t="shared" ca="1" si="896"/>
        <v>1.460529894451901</v>
      </c>
      <c r="AD95" s="20">
        <f t="shared" ca="1" si="896"/>
        <v>1.6176569323588732</v>
      </c>
      <c r="AE95" s="20">
        <f t="shared" ca="1" si="896"/>
        <v>1.7661965204096604</v>
      </c>
      <c r="AL95" s="161">
        <f t="shared" si="898"/>
        <v>1.6676084082139289</v>
      </c>
      <c r="AM95" s="161">
        <f t="shared" si="898"/>
        <v>1.4571085557055341</v>
      </c>
      <c r="AN95" s="161">
        <f t="shared" si="898"/>
        <v>1.3792438956362991</v>
      </c>
      <c r="AO95" s="161">
        <f t="shared" si="898"/>
        <v>1.490507932446264</v>
      </c>
      <c r="AP95" s="161">
        <f t="shared" si="898"/>
        <v>1.8678112430099085</v>
      </c>
      <c r="AQ95" s="161">
        <f t="shared" si="898"/>
        <v>2.5691854874645275</v>
      </c>
      <c r="AR95" s="161">
        <f t="shared" si="898"/>
        <v>3.6433657105161394</v>
      </c>
      <c r="AS95" s="161">
        <f t="shared" si="898"/>
        <v>2.6486699971805172</v>
      </c>
      <c r="AT95" s="161">
        <f t="shared" si="898"/>
        <v>3.0607541329342136</v>
      </c>
      <c r="AU95" s="161">
        <f t="shared" si="898"/>
        <v>3.2372336386894456</v>
      </c>
      <c r="AV95" s="161">
        <f t="shared" si="898"/>
        <v>4.058039303978644</v>
      </c>
      <c r="AW95" s="161">
        <f t="shared" si="898"/>
        <v>3.5901758582789167</v>
      </c>
      <c r="AX95" s="161">
        <f t="shared" si="898"/>
        <v>2.881026402842441</v>
      </c>
      <c r="AY95" s="161">
        <f t="shared" si="898"/>
        <v>3.5465943119348062</v>
      </c>
      <c r="AZ95" s="161">
        <f t="shared" si="898"/>
        <v>3.5907168396267557</v>
      </c>
      <c r="BA95" s="161">
        <f t="shared" si="898"/>
        <v>3.3039521311959819</v>
      </c>
      <c r="BB95" s="161">
        <f t="shared" si="898"/>
        <v>2.811994171703911</v>
      </c>
      <c r="BC95" s="161">
        <f t="shared" si="898"/>
        <v>4.1835652260704652</v>
      </c>
      <c r="BD95" s="161">
        <f t="shared" si="898"/>
        <v>3.9701228657129684</v>
      </c>
      <c r="BE95" s="161">
        <f t="shared" si="898"/>
        <v>5.324976778917077</v>
      </c>
      <c r="BF95" s="161">
        <f t="shared" si="898"/>
        <v>4.9718502478522399</v>
      </c>
      <c r="BG95" s="161">
        <f t="shared" si="898"/>
        <v>4.9506298850988726</v>
      </c>
      <c r="BH95" s="161">
        <f t="shared" si="898"/>
        <v>4.1695588180842007</v>
      </c>
      <c r="BI95" s="161">
        <f t="shared" si="898"/>
        <v>3.2237182827774578</v>
      </c>
      <c r="BJ95" s="161">
        <f t="shared" si="898"/>
        <v>2.701324956976491</v>
      </c>
      <c r="BK95" s="161">
        <f t="shared" si="898"/>
        <v>3.6556451612903231</v>
      </c>
      <c r="BL95" s="161">
        <f t="shared" si="898"/>
        <v>3.2456247423987832</v>
      </c>
      <c r="BM95" s="161">
        <f t="shared" si="898"/>
        <v>2.9793145479314544</v>
      </c>
      <c r="BN95" s="161">
        <f t="shared" si="898"/>
        <v>3.1589504043275465</v>
      </c>
      <c r="BO95" s="161">
        <f t="shared" si="898"/>
        <v>2.4378329763277864</v>
      </c>
      <c r="BP95" s="161">
        <f t="shared" si="898"/>
        <v>3.3175806367295735</v>
      </c>
      <c r="BQ95" s="161">
        <f t="shared" si="898"/>
        <v>3.1606332771175696</v>
      </c>
      <c r="BR95" s="161">
        <f t="shared" si="898"/>
        <v>3.4090742945664974</v>
      </c>
      <c r="BS95" s="161">
        <f t="shared" si="898"/>
        <v>3.0926287515362962</v>
      </c>
      <c r="BT95" s="161">
        <f t="shared" si="898"/>
        <v>3.3721711913996057</v>
      </c>
      <c r="BU95" s="161">
        <f t="shared" si="898"/>
        <v>2.8838137348183799</v>
      </c>
      <c r="BV95" s="161">
        <f t="shared" si="898"/>
        <v>2.3504308187585381</v>
      </c>
      <c r="BW95" s="161">
        <f t="shared" si="898"/>
        <v>2.1182766594307441</v>
      </c>
      <c r="BX95" s="161">
        <f t="shared" si="898"/>
        <v>2.2775720969111912</v>
      </c>
      <c r="BY95" s="161">
        <f t="shared" si="898"/>
        <v>2.3649297849291901</v>
      </c>
      <c r="BZ95" s="161">
        <f t="shared" si="898"/>
        <v>2.0349734999053566</v>
      </c>
      <c r="CA95" s="161">
        <f t="shared" si="898"/>
        <v>2.8598647352748192</v>
      </c>
      <c r="CB95" s="161">
        <f t="shared" si="898"/>
        <v>2.7278204148934879</v>
      </c>
      <c r="CC95" s="161">
        <f t="shared" si="898"/>
        <v>2.123747892147489</v>
      </c>
      <c r="CD95" s="161">
        <f t="shared" si="898"/>
        <v>2.384356433118854</v>
      </c>
      <c r="CE95" s="161">
        <f t="shared" si="898"/>
        <v>2.5599836055825964</v>
      </c>
      <c r="CF95" s="161">
        <f t="shared" si="898"/>
        <v>2.8690114724039901</v>
      </c>
      <c r="CG95" s="161">
        <f t="shared" si="898"/>
        <v>2.595241087512044</v>
      </c>
      <c r="CH95" s="161">
        <f t="shared" si="898"/>
        <v>1.7647122243174549</v>
      </c>
      <c r="CI95" s="161">
        <f t="shared" si="898"/>
        <v>1.3698103118773637</v>
      </c>
      <c r="CJ95" s="161">
        <f t="shared" ref="CJ95:CK96" si="901">+CJ78/CJ$92</f>
        <v>1.5107971683959507</v>
      </c>
      <c r="CK95" s="161">
        <f t="shared" si="901"/>
        <v>1.5873586819051146</v>
      </c>
      <c r="CL95" s="161">
        <f t="shared" ref="CL95" si="902">+CL78/CL$92</f>
        <v>1.218963072478674</v>
      </c>
      <c r="CM95" s="93">
        <f t="shared" ref="CM95:DA95" si="903">+CL95</f>
        <v>1.218963072478674</v>
      </c>
      <c r="CN95" s="93">
        <f t="shared" si="903"/>
        <v>1.218963072478674</v>
      </c>
      <c r="CO95" s="93">
        <f t="shared" si="903"/>
        <v>1.218963072478674</v>
      </c>
      <c r="CP95" s="93">
        <f t="shared" si="903"/>
        <v>1.218963072478674</v>
      </c>
      <c r="CQ95" s="93">
        <f t="shared" si="903"/>
        <v>1.218963072478674</v>
      </c>
      <c r="CR95" s="93">
        <f t="shared" si="903"/>
        <v>1.218963072478674</v>
      </c>
      <c r="CS95" s="93">
        <f t="shared" si="903"/>
        <v>1.218963072478674</v>
      </c>
      <c r="CT95" s="93">
        <f t="shared" si="903"/>
        <v>1.218963072478674</v>
      </c>
      <c r="CU95" s="93">
        <f t="shared" si="903"/>
        <v>1.218963072478674</v>
      </c>
      <c r="CV95" s="93">
        <f t="shared" si="903"/>
        <v>1.218963072478674</v>
      </c>
      <c r="CW95" s="93">
        <f t="shared" si="903"/>
        <v>1.218963072478674</v>
      </c>
      <c r="CX95" s="93">
        <f t="shared" si="903"/>
        <v>1.218963072478674</v>
      </c>
      <c r="CY95" s="93">
        <f t="shared" si="903"/>
        <v>1.218963072478674</v>
      </c>
      <c r="CZ95" s="93">
        <f t="shared" si="903"/>
        <v>1.218963072478674</v>
      </c>
      <c r="DA95" s="93">
        <f t="shared" si="903"/>
        <v>1.218963072478674</v>
      </c>
      <c r="DB95" s="93"/>
      <c r="DD95" s="21"/>
      <c r="DE95" s="161">
        <v>1.6598953513480166</v>
      </c>
    </row>
    <row r="96" spans="1:109" s="161" customFormat="1" hidden="1" outlineLevel="1" x14ac:dyDescent="0.2">
      <c r="A96" s="48" t="s">
        <v>505</v>
      </c>
      <c r="E96" s="161">
        <f t="shared" ca="1" si="896"/>
        <v>0.96763097370554085</v>
      </c>
      <c r="F96" s="161">
        <f t="shared" ca="1" si="896"/>
        <v>1.3235676677153987</v>
      </c>
      <c r="G96" s="161">
        <f t="shared" ca="1" si="896"/>
        <v>1.5549138382262513</v>
      </c>
      <c r="H96" s="161">
        <f t="shared" ca="1" si="896"/>
        <v>1.6200126781270143</v>
      </c>
      <c r="I96" s="161">
        <f t="shared" ca="1" si="896"/>
        <v>1.4347818514215875</v>
      </c>
      <c r="J96" s="161">
        <f t="shared" ca="1" si="896"/>
        <v>0.70587398951943781</v>
      </c>
      <c r="K96" s="161">
        <f t="shared" ca="1" si="896"/>
        <v>0.78425215726622766</v>
      </c>
      <c r="L96" s="161">
        <f t="shared" ca="1" si="896"/>
        <v>1.2863463065600764</v>
      </c>
      <c r="M96" s="161">
        <f t="shared" ca="1" si="896"/>
        <v>1.156819361629206</v>
      </c>
      <c r="N96" s="161">
        <f t="shared" ca="1" si="896"/>
        <v>1.2344764286249557</v>
      </c>
      <c r="O96" s="161">
        <f t="shared" ca="1" si="896"/>
        <v>1.0922482570009748</v>
      </c>
      <c r="P96" s="161">
        <f t="shared" ca="1" si="896"/>
        <v>0.91195564256776884</v>
      </c>
      <c r="Q96" s="161">
        <f t="shared" ca="1" si="896"/>
        <v>2.1382057039486186</v>
      </c>
      <c r="R96" s="161">
        <f t="shared" ca="1" si="896"/>
        <v>2.6246270183819012</v>
      </c>
      <c r="S96" s="161">
        <f t="shared" ca="1" si="896"/>
        <v>2.7657057621488121</v>
      </c>
      <c r="T96" s="161">
        <f t="shared" ca="1" si="896"/>
        <v>2.5252215766340402</v>
      </c>
      <c r="U96" s="161">
        <f t="shared" ca="1" si="896"/>
        <v>1.6792500179250016</v>
      </c>
      <c r="V96" s="161">
        <f t="shared" ca="1" si="896"/>
        <v>1.6297015335137466</v>
      </c>
      <c r="W96" s="161">
        <f t="shared" ca="1" si="896"/>
        <v>2.1681458834723228</v>
      </c>
      <c r="X96" s="161">
        <f t="shared" ca="1" si="896"/>
        <v>1.4771454238004651</v>
      </c>
      <c r="Y96" s="161">
        <f t="shared" ca="1" si="896"/>
        <v>1.2214505502146968</v>
      </c>
      <c r="Z96" s="161">
        <f t="shared" ca="1" si="896"/>
        <v>1.6444966695990952</v>
      </c>
      <c r="AA96" s="161">
        <f t="shared" ref="AA96" ca="1" si="904">+AA79/AA$92</f>
        <v>1.6444966695990952</v>
      </c>
      <c r="AB96" s="20">
        <f t="shared" ca="1" si="896"/>
        <v>0.78716253123286173</v>
      </c>
      <c r="AC96" s="20">
        <f t="shared" ca="1" si="896"/>
        <v>0.86993169181976959</v>
      </c>
      <c r="AD96" s="20">
        <f t="shared" ca="1" si="896"/>
        <v>0.95567290777457659</v>
      </c>
      <c r="AE96" s="20">
        <f t="shared" ca="1" si="896"/>
        <v>1.0416649247074148</v>
      </c>
      <c r="AL96" s="161">
        <f t="shared" si="898"/>
        <v>1.2435710623600202</v>
      </c>
      <c r="AM96" s="161">
        <f t="shared" si="898"/>
        <v>1.1080300591838852</v>
      </c>
      <c r="AN96" s="161">
        <f t="shared" si="898"/>
        <v>1.0890279925961612</v>
      </c>
      <c r="AO96" s="161">
        <f t="shared" si="898"/>
        <v>1.1618615660184237</v>
      </c>
      <c r="AP96" s="161">
        <f t="shared" si="898"/>
        <v>1.2692963308152654</v>
      </c>
      <c r="AQ96" s="161">
        <f t="shared" si="898"/>
        <v>1.5618875911724008</v>
      </c>
      <c r="AR96" s="161">
        <f t="shared" si="898"/>
        <v>2.2401543413480129</v>
      </c>
      <c r="AS96" s="161">
        <f t="shared" si="898"/>
        <v>2.2246431592302813</v>
      </c>
      <c r="AT96" s="161">
        <f t="shared" si="898"/>
        <v>2.2499498265188111</v>
      </c>
      <c r="AU96" s="161">
        <f t="shared" si="898"/>
        <v>2.6573747627300492</v>
      </c>
      <c r="AV96" s="161">
        <f t="shared" si="898"/>
        <v>2.6984746389630447</v>
      </c>
      <c r="AW96" s="161">
        <f t="shared" si="898"/>
        <v>2.7720065300316805</v>
      </c>
      <c r="AX96" s="161">
        <f t="shared" si="898"/>
        <v>2.0468014886057344</v>
      </c>
      <c r="AY96" s="161">
        <f t="shared" si="898"/>
        <v>2.3703991180370365</v>
      </c>
      <c r="AZ96" s="161">
        <f t="shared" si="898"/>
        <v>2.8011983663265605</v>
      </c>
      <c r="BA96" s="161">
        <f t="shared" si="898"/>
        <v>2.5488428012114945</v>
      </c>
      <c r="BB96" s="161">
        <f t="shared" si="898"/>
        <v>2.4741189030108055</v>
      </c>
      <c r="BC96" s="161">
        <f t="shared" si="898"/>
        <v>3.4988721429284357</v>
      </c>
      <c r="BD96" s="161">
        <f t="shared" si="898"/>
        <v>2.9198488694047073</v>
      </c>
      <c r="BE96" s="161">
        <f t="shared" si="898"/>
        <v>2.9610723587156458</v>
      </c>
      <c r="BF96" s="161">
        <f t="shared" si="898"/>
        <v>3.6784095118810303</v>
      </c>
      <c r="BG96" s="161">
        <f t="shared" si="898"/>
        <v>3.6056532075063932</v>
      </c>
      <c r="BH96" s="161">
        <f t="shared" si="898"/>
        <v>3.2659912244973524</v>
      </c>
      <c r="BI96" s="161">
        <f t="shared" si="898"/>
        <v>2.5252120471535364</v>
      </c>
      <c r="BJ96" s="161">
        <f t="shared" si="898"/>
        <v>1.956567141735309</v>
      </c>
      <c r="BK96" s="161">
        <f t="shared" si="898"/>
        <v>2.4736784545515262</v>
      </c>
      <c r="BL96" s="161">
        <f t="shared" si="898"/>
        <v>2.4078703116578426</v>
      </c>
      <c r="BM96" s="161">
        <f t="shared" si="898"/>
        <v>2.4099946224994619</v>
      </c>
      <c r="BN96" s="161">
        <f t="shared" si="898"/>
        <v>1.72022051720807</v>
      </c>
      <c r="BO96" s="161">
        <f t="shared" si="898"/>
        <v>1.8112580326248147</v>
      </c>
      <c r="BP96" s="161">
        <f t="shared" si="898"/>
        <v>1.9747503790056986</v>
      </c>
      <c r="BQ96" s="161">
        <f t="shared" si="898"/>
        <v>2.6485119164346131</v>
      </c>
      <c r="BR96" s="161">
        <f t="shared" si="898"/>
        <v>2.5346798663389154</v>
      </c>
      <c r="BS96" s="161">
        <f t="shared" si="898"/>
        <v>2.5959111393040741</v>
      </c>
      <c r="BT96" s="161">
        <f t="shared" si="898"/>
        <v>2.6782030346329186</v>
      </c>
      <c r="BU96" s="161">
        <f t="shared" si="898"/>
        <v>2.1681458834723228</v>
      </c>
      <c r="BV96" s="161">
        <f t="shared" si="898"/>
        <v>1.5124511355489723</v>
      </c>
      <c r="BW96" s="161">
        <f t="shared" si="898"/>
        <v>1.547834279396497</v>
      </c>
      <c r="BX96" s="161">
        <f t="shared" si="898"/>
        <v>1.6603052405926844</v>
      </c>
      <c r="BY96" s="161">
        <f t="shared" si="898"/>
        <v>1.8174877140139505</v>
      </c>
      <c r="BZ96" s="161">
        <f t="shared" si="898"/>
        <v>1.7732727616884343</v>
      </c>
      <c r="CA96" s="161">
        <f t="shared" si="898"/>
        <v>1.8088644450613234</v>
      </c>
      <c r="CB96" s="161">
        <f t="shared" si="898"/>
        <v>2.2341014076310333</v>
      </c>
      <c r="CC96" s="161">
        <f t="shared" si="898"/>
        <v>1.6483015489456394</v>
      </c>
      <c r="CD96" s="161">
        <f t="shared" si="898"/>
        <v>1.8536075529753759</v>
      </c>
      <c r="CE96" s="161">
        <f t="shared" si="898"/>
        <v>1.682696669299967</v>
      </c>
      <c r="CF96" s="161">
        <f t="shared" si="898"/>
        <v>2.2751928188133972</v>
      </c>
      <c r="CG96" s="161">
        <f t="shared" si="898"/>
        <v>1.6444966695990952</v>
      </c>
      <c r="CH96" s="161">
        <f t="shared" si="898"/>
        <v>1.0554824956956628</v>
      </c>
      <c r="CI96" s="161">
        <f t="shared" si="898"/>
        <v>1.0881067783515637</v>
      </c>
      <c r="CJ96" s="161">
        <f t="shared" si="901"/>
        <v>1.2116205524233665</v>
      </c>
      <c r="CK96" s="161">
        <f t="shared" si="901"/>
        <v>1.1801046100931583</v>
      </c>
      <c r="CL96" s="161">
        <f t="shared" ref="CL96" si="905">+CL79/CL$92</f>
        <v>0.85101734073446667</v>
      </c>
      <c r="CM96" s="93">
        <f t="shared" ref="CM96:DA96" si="906">+CL96</f>
        <v>0.85101734073446667</v>
      </c>
      <c r="CN96" s="93">
        <f t="shared" si="906"/>
        <v>0.85101734073446667</v>
      </c>
      <c r="CO96" s="93">
        <f t="shared" si="906"/>
        <v>0.85101734073446667</v>
      </c>
      <c r="CP96" s="93">
        <f t="shared" si="906"/>
        <v>0.85101734073446667</v>
      </c>
      <c r="CQ96" s="93">
        <f t="shared" si="906"/>
        <v>0.85101734073446667</v>
      </c>
      <c r="CR96" s="93">
        <f t="shared" si="906"/>
        <v>0.85101734073446667</v>
      </c>
      <c r="CS96" s="93">
        <f t="shared" si="906"/>
        <v>0.85101734073446667</v>
      </c>
      <c r="CT96" s="93">
        <f t="shared" si="906"/>
        <v>0.85101734073446667</v>
      </c>
      <c r="CU96" s="93">
        <f t="shared" si="906"/>
        <v>0.85101734073446667</v>
      </c>
      <c r="CV96" s="93">
        <f t="shared" si="906"/>
        <v>0.85101734073446667</v>
      </c>
      <c r="CW96" s="93">
        <f t="shared" si="906"/>
        <v>0.85101734073446667</v>
      </c>
      <c r="CX96" s="93">
        <f t="shared" si="906"/>
        <v>0.85101734073446667</v>
      </c>
      <c r="CY96" s="93">
        <f t="shared" si="906"/>
        <v>0.85101734073446667</v>
      </c>
      <c r="CZ96" s="93">
        <f t="shared" si="906"/>
        <v>0.85101734073446667</v>
      </c>
      <c r="DA96" s="93">
        <f t="shared" si="906"/>
        <v>0.85101734073446667</v>
      </c>
      <c r="DB96" s="93"/>
      <c r="DD96" s="21"/>
      <c r="DE96" s="161">
        <v>0.99279104201369628</v>
      </c>
    </row>
    <row r="97" spans="1:109" s="4" customFormat="1" hidden="1" outlineLevel="1" x14ac:dyDescent="0.2">
      <c r="A97" s="3"/>
      <c r="AB97" s="16"/>
      <c r="AC97" s="16"/>
      <c r="AD97" s="16"/>
      <c r="AE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07">+E10</f>
        <v>382.61789999999996</v>
      </c>
      <c r="F98" s="176">
        <f t="shared" si="907"/>
        <v>394.02109999999999</v>
      </c>
      <c r="G98" s="176">
        <f t="shared" si="907"/>
        <v>432.86040000000003</v>
      </c>
      <c r="H98" s="176">
        <f t="shared" si="907"/>
        <v>501.20490000000001</v>
      </c>
      <c r="I98" s="176">
        <f t="shared" si="907"/>
        <v>570.5874</v>
      </c>
      <c r="J98" s="176">
        <f t="shared" si="907"/>
        <v>612.08839999999998</v>
      </c>
      <c r="K98" s="176">
        <f t="shared" si="907"/>
        <v>577.69229999999993</v>
      </c>
      <c r="L98" s="176">
        <f t="shared" si="907"/>
        <v>716.33640000000003</v>
      </c>
      <c r="M98" s="176">
        <f t="shared" si="907"/>
        <v>803.16509999999994</v>
      </c>
      <c r="N98" s="176">
        <f t="shared" si="907"/>
        <v>900.58730000000003</v>
      </c>
      <c r="O98" s="176">
        <f t="shared" si="907"/>
        <v>1085.5004000000001</v>
      </c>
      <c r="P98" s="176">
        <f t="shared" si="907"/>
        <v>1225.3338000000001</v>
      </c>
      <c r="Q98" s="176">
        <f t="shared" si="907"/>
        <v>2037.3828000000001</v>
      </c>
      <c r="R98" s="176">
        <f t="shared" si="907"/>
        <v>2181.1579000000002</v>
      </c>
      <c r="S98" s="176">
        <f t="shared" si="907"/>
        <v>2130.9422</v>
      </c>
      <c r="T98" s="176">
        <f t="shared" si="907"/>
        <v>2369.0717</v>
      </c>
      <c r="U98" s="176">
        <f t="shared" si="907"/>
        <v>2598.98</v>
      </c>
      <c r="V98" s="176">
        <f t="shared" si="907"/>
        <v>2462.6999999999998</v>
      </c>
      <c r="W98" s="176">
        <f t="shared" si="907"/>
        <v>2625.28</v>
      </c>
      <c r="X98" s="176">
        <f t="shared" si="907"/>
        <v>2982.92</v>
      </c>
      <c r="Y98" s="176">
        <f t="shared" si="907"/>
        <v>2549.4399999999996</v>
      </c>
      <c r="Z98" s="176">
        <f t="shared" si="907"/>
        <v>2521.1799999999998</v>
      </c>
      <c r="AA98" s="176">
        <f t="shared" ref="AA98" si="908">+AA10</f>
        <v>2469.41</v>
      </c>
      <c r="AB98" s="177">
        <f t="shared" si="907"/>
        <v>2450.1154605462816</v>
      </c>
      <c r="AC98" s="177">
        <f t="shared" si="907"/>
        <v>2427.948112435764</v>
      </c>
      <c r="AD98" s="177">
        <f t="shared" si="907"/>
        <v>2405.9096367741336</v>
      </c>
      <c r="AE98" s="177">
        <f t="shared" si="907"/>
        <v>2384.1382718026161</v>
      </c>
      <c r="AL98" s="176">
        <f t="shared" ref="AL98:BQ98" si="909">+SUM(AI8:AL8)</f>
        <v>1013.4899999999999</v>
      </c>
      <c r="AM98" s="176">
        <f t="shared" si="909"/>
        <v>1054.6199999999999</v>
      </c>
      <c r="AN98" s="176">
        <f t="shared" si="909"/>
        <v>1104.1100000000001</v>
      </c>
      <c r="AO98" s="176">
        <f t="shared" si="909"/>
        <v>1158.72</v>
      </c>
      <c r="AP98" s="176">
        <f t="shared" si="909"/>
        <v>1195.57</v>
      </c>
      <c r="AQ98" s="176">
        <f t="shared" si="909"/>
        <v>1230.45</v>
      </c>
      <c r="AR98" s="176">
        <f t="shared" si="909"/>
        <v>1280.58</v>
      </c>
      <c r="AS98" s="176">
        <f t="shared" si="909"/>
        <v>1290.8600000000001</v>
      </c>
      <c r="AT98" s="176">
        <f t="shared" si="909"/>
        <v>1421.08</v>
      </c>
      <c r="AU98" s="176">
        <f t="shared" si="909"/>
        <v>1634.3600000000001</v>
      </c>
      <c r="AV98" s="176">
        <f t="shared" si="909"/>
        <v>1819.5300000000002</v>
      </c>
      <c r="AW98" s="176">
        <f t="shared" si="909"/>
        <v>2037.3799999999999</v>
      </c>
      <c r="AX98" s="176">
        <f t="shared" si="909"/>
        <v>2120.63</v>
      </c>
      <c r="AY98" s="176">
        <f t="shared" si="909"/>
        <v>2147.9700000000003</v>
      </c>
      <c r="AZ98" s="176">
        <f t="shared" si="909"/>
        <v>2183.25</v>
      </c>
      <c r="BA98" s="176">
        <f t="shared" si="909"/>
        <v>2177.7799999999997</v>
      </c>
      <c r="BB98" s="176">
        <f t="shared" si="909"/>
        <v>2214.3500000000004</v>
      </c>
      <c r="BC98" s="176">
        <f t="shared" si="909"/>
        <v>2201.35</v>
      </c>
      <c r="BD98" s="176">
        <f t="shared" si="909"/>
        <v>2190.3000000000002</v>
      </c>
      <c r="BE98" s="176">
        <f t="shared" si="909"/>
        <v>2229.69</v>
      </c>
      <c r="BF98" s="176">
        <f t="shared" si="909"/>
        <v>2220.52</v>
      </c>
      <c r="BG98" s="176">
        <f t="shared" si="909"/>
        <v>2256.8200000000002</v>
      </c>
      <c r="BH98" s="176">
        <f t="shared" si="909"/>
        <v>2317.91</v>
      </c>
      <c r="BI98" s="176">
        <f t="shared" si="909"/>
        <v>2369.0700000000002</v>
      </c>
      <c r="BJ98" s="176">
        <f t="shared" si="909"/>
        <v>2445.4700000000003</v>
      </c>
      <c r="BK98" s="176">
        <f t="shared" si="909"/>
        <v>2483.7399999999998</v>
      </c>
      <c r="BL98" s="176">
        <f t="shared" si="909"/>
        <v>2526.37</v>
      </c>
      <c r="BM98" s="176">
        <f t="shared" si="909"/>
        <v>2590.96</v>
      </c>
      <c r="BN98" s="176">
        <f t="shared" si="909"/>
        <v>2539.85</v>
      </c>
      <c r="BO98" s="176">
        <f t="shared" si="909"/>
        <v>2546.8900000000003</v>
      </c>
      <c r="BP98" s="176">
        <f t="shared" si="909"/>
        <v>2582.65</v>
      </c>
      <c r="BQ98" s="176">
        <f t="shared" si="909"/>
        <v>2462.7000000000003</v>
      </c>
      <c r="BR98" s="176">
        <f t="shared" ref="BR98:CW98" si="910">+SUM(BO8:BR8)</f>
        <v>2516.7400000000002</v>
      </c>
      <c r="BS98" s="176">
        <f t="shared" si="910"/>
        <v>2538.5899999999997</v>
      </c>
      <c r="BT98" s="176">
        <f t="shared" si="910"/>
        <v>2521.42</v>
      </c>
      <c r="BU98" s="176">
        <f t="shared" si="910"/>
        <v>2625.28</v>
      </c>
      <c r="BV98" s="176">
        <f t="shared" si="910"/>
        <v>2721.4500000000003</v>
      </c>
      <c r="BW98" s="176">
        <f t="shared" si="910"/>
        <v>2851.48</v>
      </c>
      <c r="BX98" s="176">
        <f t="shared" si="910"/>
        <v>2951.78</v>
      </c>
      <c r="BY98" s="176">
        <f t="shared" si="910"/>
        <v>2982.9200000000005</v>
      </c>
      <c r="BZ98" s="176">
        <f t="shared" si="910"/>
        <v>2915.9400000000005</v>
      </c>
      <c r="CA98" s="176">
        <f t="shared" si="910"/>
        <v>2744.9700000000003</v>
      </c>
      <c r="CB98" s="176">
        <f t="shared" si="910"/>
        <v>2638.42</v>
      </c>
      <c r="CC98" s="176">
        <f t="shared" si="910"/>
        <v>2549.44</v>
      </c>
      <c r="CD98" s="176">
        <f t="shared" si="910"/>
        <v>2498.0300000000002</v>
      </c>
      <c r="CE98" s="176">
        <f t="shared" si="910"/>
        <v>2515.7799999999997</v>
      </c>
      <c r="CF98" s="176">
        <f t="shared" si="910"/>
        <v>2505.8000000000002</v>
      </c>
      <c r="CG98" s="176">
        <f t="shared" si="910"/>
        <v>2521.1800000000003</v>
      </c>
      <c r="CH98" s="176">
        <f t="shared" si="910"/>
        <v>2520.9899999999998</v>
      </c>
      <c r="CI98" s="176">
        <f t="shared" si="910"/>
        <v>2493.77</v>
      </c>
      <c r="CJ98" s="176">
        <f t="shared" si="910"/>
        <v>2466</v>
      </c>
      <c r="CK98" s="176">
        <f t="shared" si="910"/>
        <v>2469.41</v>
      </c>
      <c r="CL98" s="176">
        <f t="shared" si="910"/>
        <v>2472.58</v>
      </c>
      <c r="CM98" s="177">
        <f t="shared" si="910"/>
        <v>2461.1891555817706</v>
      </c>
      <c r="CN98" s="177">
        <f t="shared" si="910"/>
        <v>2453.3082395223269</v>
      </c>
      <c r="CO98" s="177">
        <f t="shared" si="910"/>
        <v>2450.1154605462816</v>
      </c>
      <c r="CP98" s="177">
        <f t="shared" si="910"/>
        <v>2445.3406540454944</v>
      </c>
      <c r="CQ98" s="177">
        <f t="shared" si="910"/>
        <v>2438.7108168341865</v>
      </c>
      <c r="CR98" s="177">
        <f t="shared" si="910"/>
        <v>2433.0718936500098</v>
      </c>
      <c r="CS98" s="177">
        <f t="shared" si="910"/>
        <v>2427.948112435764</v>
      </c>
      <c r="CT98" s="177">
        <f t="shared" si="910"/>
        <v>2422.4371567417675</v>
      </c>
      <c r="CU98" s="177">
        <f t="shared" si="910"/>
        <v>2416.8652323548677</v>
      </c>
      <c r="CV98" s="177">
        <f t="shared" si="910"/>
        <v>2411.3871233916743</v>
      </c>
      <c r="CW98" s="177">
        <f t="shared" si="910"/>
        <v>2405.9096367741336</v>
      </c>
      <c r="CX98" s="177">
        <f t="shared" ref="CX98:DA98" si="911">+SUM(CU8:CX8)</f>
        <v>2400.4365318483801</v>
      </c>
      <c r="CY98" s="177">
        <f t="shared" si="911"/>
        <v>2395.0891945531057</v>
      </c>
      <c r="CZ98" s="177">
        <f t="shared" si="911"/>
        <v>2389.6309008393182</v>
      </c>
      <c r="DA98" s="177">
        <f t="shared" si="911"/>
        <v>2384.1382718026161</v>
      </c>
      <c r="DD98" s="178"/>
      <c r="DE98" s="176">
        <v>2469.41</v>
      </c>
    </row>
    <row r="99" spans="1:109" s="162" customFormat="1" hidden="1" outlineLevel="1" x14ac:dyDescent="0.2">
      <c r="A99" s="162" t="s">
        <v>512</v>
      </c>
      <c r="E99" s="162">
        <f t="shared" ref="E99:AE99" ca="1" si="912">+E98/E65</f>
        <v>50.644328259430836</v>
      </c>
      <c r="F99" s="162">
        <f t="shared" ca="1" si="912"/>
        <v>52.153686300463271</v>
      </c>
      <c r="G99" s="162">
        <f t="shared" ca="1" si="912"/>
        <v>57.294559894109867</v>
      </c>
      <c r="H99" s="162">
        <f t="shared" ca="1" si="912"/>
        <v>66.340820648577107</v>
      </c>
      <c r="I99" s="162">
        <f t="shared" ca="1" si="912"/>
        <v>75.524473858371948</v>
      </c>
      <c r="J99" s="162">
        <f t="shared" ca="1" si="912"/>
        <v>81.017657180675045</v>
      </c>
      <c r="K99" s="162">
        <f t="shared" ca="1" si="912"/>
        <v>76.464897418927862</v>
      </c>
      <c r="L99" s="162">
        <f t="shared" ca="1" si="912"/>
        <v>94.816201191264071</v>
      </c>
      <c r="M99" s="162">
        <f t="shared" ca="1" si="912"/>
        <v>106.3090800794176</v>
      </c>
      <c r="N99" s="162">
        <f t="shared" ca="1" si="912"/>
        <v>119.20414295168763</v>
      </c>
      <c r="O99" s="162">
        <f t="shared" ca="1" si="912"/>
        <v>143.67973527465256</v>
      </c>
      <c r="P99" s="162">
        <f t="shared" ca="1" si="912"/>
        <v>162.1884579748511</v>
      </c>
      <c r="Q99" s="162">
        <f t="shared" ca="1" si="912"/>
        <v>269.67343481138323</v>
      </c>
      <c r="R99" s="162">
        <f t="shared" ca="1" si="912"/>
        <v>288.7038914626076</v>
      </c>
      <c r="S99" s="162">
        <f t="shared" ca="1" si="912"/>
        <v>282.05720714758439</v>
      </c>
      <c r="T99" s="162">
        <f t="shared" ca="1" si="912"/>
        <v>313.57666446062211</v>
      </c>
      <c r="U99" s="162">
        <f t="shared" ca="1" si="912"/>
        <v>344.00794176042359</v>
      </c>
      <c r="V99" s="162">
        <f t="shared" ca="1" si="912"/>
        <v>325.96955658504299</v>
      </c>
      <c r="W99" s="162">
        <f t="shared" ca="1" si="912"/>
        <v>347.48908007941765</v>
      </c>
      <c r="X99" s="162">
        <f t="shared" ca="1" si="912"/>
        <v>394.82726671078757</v>
      </c>
      <c r="Y99" s="162">
        <f t="shared" ca="1" si="912"/>
        <v>337.45069490403699</v>
      </c>
      <c r="Z99" s="162">
        <f t="shared" ref="Z99:AA99" ca="1" si="913">+Z98/Z65</f>
        <v>333.71012574454005</v>
      </c>
      <c r="AA99" s="162">
        <f t="shared" ca="1" si="913"/>
        <v>333.71012574454005</v>
      </c>
      <c r="AB99" s="93">
        <f t="shared" ca="1" si="912"/>
        <v>324.30383329533839</v>
      </c>
      <c r="AC99" s="93">
        <f t="shared" ca="1" si="912"/>
        <v>321.36970383001511</v>
      </c>
      <c r="AD99" s="93">
        <f t="shared" ca="1" si="912"/>
        <v>318.45263226659614</v>
      </c>
      <c r="AE99" s="93">
        <f t="shared" ca="1" si="912"/>
        <v>315.57091618830128</v>
      </c>
      <c r="AL99" s="162">
        <f t="shared" ref="AL99:BQ99" si="914">+AL98/AL65</f>
        <v>134.14824619457312</v>
      </c>
      <c r="AM99" s="162">
        <f t="shared" si="914"/>
        <v>139.59232296492388</v>
      </c>
      <c r="AN99" s="162">
        <f t="shared" si="914"/>
        <v>146.14295168762411</v>
      </c>
      <c r="AO99" s="162">
        <f t="shared" si="914"/>
        <v>153.37127729980148</v>
      </c>
      <c r="AP99" s="162">
        <f t="shared" si="914"/>
        <v>158.24884182660489</v>
      </c>
      <c r="AQ99" s="162">
        <f t="shared" si="914"/>
        <v>162.86565188616811</v>
      </c>
      <c r="AR99" s="162">
        <f t="shared" si="914"/>
        <v>169.50099272005295</v>
      </c>
      <c r="AS99" s="162">
        <f t="shared" si="914"/>
        <v>170.86168100595634</v>
      </c>
      <c r="AT99" s="162">
        <f t="shared" si="914"/>
        <v>188.09794837855725</v>
      </c>
      <c r="AU99" s="162">
        <f t="shared" si="914"/>
        <v>216.32825943084052</v>
      </c>
      <c r="AV99" s="162">
        <f t="shared" si="914"/>
        <v>240.83785572468568</v>
      </c>
      <c r="AW99" s="162">
        <f t="shared" si="914"/>
        <v>269.67306419589676</v>
      </c>
      <c r="AX99" s="162">
        <f t="shared" si="914"/>
        <v>280.69225678358703</v>
      </c>
      <c r="AY99" s="162">
        <f t="shared" si="914"/>
        <v>284.31105228325617</v>
      </c>
      <c r="AZ99" s="162">
        <f t="shared" si="914"/>
        <v>288.98080741230973</v>
      </c>
      <c r="BA99" s="162">
        <f t="shared" si="914"/>
        <v>288.25678358702845</v>
      </c>
      <c r="BB99" s="162">
        <f t="shared" si="914"/>
        <v>293.09728656518865</v>
      </c>
      <c r="BC99" s="162">
        <f t="shared" si="914"/>
        <v>291.37657180675052</v>
      </c>
      <c r="BD99" s="162">
        <f t="shared" si="914"/>
        <v>289.91396426207814</v>
      </c>
      <c r="BE99" s="162">
        <f t="shared" si="914"/>
        <v>295.1277299801456</v>
      </c>
      <c r="BF99" s="162">
        <f t="shared" si="914"/>
        <v>293.91396426207808</v>
      </c>
      <c r="BG99" s="162">
        <f t="shared" si="914"/>
        <v>298.71872931833224</v>
      </c>
      <c r="BH99" s="162">
        <f t="shared" si="914"/>
        <v>306.80476505625415</v>
      </c>
      <c r="BI99" s="162">
        <f t="shared" si="914"/>
        <v>313.57643944407681</v>
      </c>
      <c r="BJ99" s="162">
        <f t="shared" si="914"/>
        <v>323.68894771674394</v>
      </c>
      <c r="BK99" s="162">
        <f t="shared" si="914"/>
        <v>328.75446724023823</v>
      </c>
      <c r="BL99" s="162">
        <f t="shared" si="914"/>
        <v>334.39708802117804</v>
      </c>
      <c r="BM99" s="162">
        <f t="shared" si="914"/>
        <v>342.94639311714099</v>
      </c>
      <c r="BN99" s="162">
        <f t="shared" si="914"/>
        <v>336.18133686300462</v>
      </c>
      <c r="BO99" s="162">
        <f t="shared" si="914"/>
        <v>337.11317008603578</v>
      </c>
      <c r="BP99" s="162">
        <f t="shared" si="914"/>
        <v>341.84645929847784</v>
      </c>
      <c r="BQ99" s="162">
        <f t="shared" si="914"/>
        <v>325.96955658504305</v>
      </c>
      <c r="BR99" s="162">
        <f t="shared" ref="BR99:CW99" si="915">+BR98/BR65</f>
        <v>333.12243547319662</v>
      </c>
      <c r="BS99" s="162">
        <f t="shared" si="915"/>
        <v>336.01455989410982</v>
      </c>
      <c r="BT99" s="162">
        <f t="shared" si="915"/>
        <v>333.7418927862343</v>
      </c>
      <c r="BU99" s="162">
        <f t="shared" si="915"/>
        <v>347.48908007941765</v>
      </c>
      <c r="BV99" s="162">
        <f t="shared" si="915"/>
        <v>360.21839841164797</v>
      </c>
      <c r="BW99" s="162">
        <f t="shared" si="915"/>
        <v>377.42951687624094</v>
      </c>
      <c r="BX99" s="162">
        <f t="shared" si="915"/>
        <v>390.70549305095966</v>
      </c>
      <c r="BY99" s="162">
        <f t="shared" si="915"/>
        <v>394.82726671078763</v>
      </c>
      <c r="BZ99" s="162">
        <f t="shared" si="915"/>
        <v>385.96161482461952</v>
      </c>
      <c r="CA99" s="162">
        <f t="shared" si="915"/>
        <v>363.33156849768369</v>
      </c>
      <c r="CB99" s="162">
        <f t="shared" si="915"/>
        <v>349.2283256121774</v>
      </c>
      <c r="CC99" s="162">
        <f t="shared" si="915"/>
        <v>337.45069490403711</v>
      </c>
      <c r="CD99" s="162">
        <f t="shared" si="915"/>
        <v>330.64592984778295</v>
      </c>
      <c r="CE99" s="162">
        <f t="shared" si="915"/>
        <v>332.99536730641955</v>
      </c>
      <c r="CF99" s="162">
        <f t="shared" si="915"/>
        <v>331.67438782263406</v>
      </c>
      <c r="CG99" s="162">
        <f t="shared" si="915"/>
        <v>333.71012574454011</v>
      </c>
      <c r="CH99" s="162">
        <f t="shared" si="915"/>
        <v>333.68497683653209</v>
      </c>
      <c r="CI99" s="162">
        <f t="shared" si="915"/>
        <v>330.08206485771012</v>
      </c>
      <c r="CJ99" s="162">
        <f t="shared" si="915"/>
        <v>326.40635340833887</v>
      </c>
      <c r="CK99" s="162">
        <f t="shared" ref="CK99:CL99" si="916">+CK98/CK65</f>
        <v>326.85771012574452</v>
      </c>
      <c r="CL99" s="162">
        <f t="shared" si="916"/>
        <v>327.27729980145597</v>
      </c>
      <c r="CM99" s="49">
        <f t="shared" si="915"/>
        <v>325.76957717826218</v>
      </c>
      <c r="CN99" s="49">
        <f t="shared" si="915"/>
        <v>324.72643805722396</v>
      </c>
      <c r="CO99" s="49">
        <f t="shared" si="915"/>
        <v>324.30383329533839</v>
      </c>
      <c r="CP99" s="49">
        <f t="shared" si="915"/>
        <v>323.67182714036989</v>
      </c>
      <c r="CQ99" s="49">
        <f t="shared" si="915"/>
        <v>322.794284160713</v>
      </c>
      <c r="CR99" s="49">
        <f t="shared" si="915"/>
        <v>322.04790121111978</v>
      </c>
      <c r="CS99" s="49">
        <f t="shared" si="915"/>
        <v>321.36970383001511</v>
      </c>
      <c r="CT99" s="49">
        <f t="shared" si="915"/>
        <v>320.64025899957215</v>
      </c>
      <c r="CU99" s="49">
        <f t="shared" si="915"/>
        <v>319.90274418992294</v>
      </c>
      <c r="CV99" s="49">
        <f t="shared" si="915"/>
        <v>319.17764704059226</v>
      </c>
      <c r="CW99" s="49">
        <f t="shared" si="915"/>
        <v>318.45263226659614</v>
      </c>
      <c r="CX99" s="49">
        <f t="shared" ref="CX99:DA99" si="917">+CX98/CX65</f>
        <v>317.72819746504041</v>
      </c>
      <c r="CY99" s="49">
        <f t="shared" si="917"/>
        <v>317.02040960332306</v>
      </c>
      <c r="CZ99" s="49">
        <f t="shared" si="917"/>
        <v>316.29793525338431</v>
      </c>
      <c r="DA99" s="49">
        <f t="shared" si="917"/>
        <v>315.57091618830128</v>
      </c>
      <c r="DD99" s="163"/>
      <c r="DE99" s="162">
        <v>326.85771012574452</v>
      </c>
    </row>
    <row r="100" spans="1:109" s="162" customFormat="1" hidden="1" outlineLevel="1" x14ac:dyDescent="0.2">
      <c r="AB100" s="93"/>
      <c r="AC100" s="93"/>
      <c r="AD100" s="93"/>
      <c r="AE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>
        <f t="shared" ref="E102:AE104" ca="1" si="918">+E77/E$99</f>
        <v>0.77896185724713884</v>
      </c>
      <c r="F102" s="162">
        <f t="shared" ca="1" si="918"/>
        <v>0.83196420191710541</v>
      </c>
      <c r="G102" s="162">
        <f t="shared" ca="1" si="918"/>
        <v>1.0561212113651421</v>
      </c>
      <c r="H102" s="162">
        <f t="shared" ca="1" si="918"/>
        <v>1.1109298811723507</v>
      </c>
      <c r="I102" s="162">
        <f t="shared" ca="1" si="918"/>
        <v>0.9692222436036968</v>
      </c>
      <c r="J102" s="162">
        <f t="shared" ca="1" si="918"/>
        <v>0.38756983468400968</v>
      </c>
      <c r="K102" s="162">
        <f t="shared" ca="1" si="918"/>
        <v>0.78925104246672495</v>
      </c>
      <c r="L102" s="162">
        <f t="shared" ca="1" si="918"/>
        <v>0.59799906859402929</v>
      </c>
      <c r="M102" s="162">
        <f t="shared" ca="1" si="918"/>
        <v>0.56298107325629565</v>
      </c>
      <c r="N102" s="162">
        <f t="shared" ca="1" si="918"/>
        <v>0.60694199218665412</v>
      </c>
      <c r="O102" s="162">
        <f t="shared" ca="1" si="918"/>
        <v>0.51921031074700652</v>
      </c>
      <c r="P102" s="162">
        <f t="shared" ca="1" si="918"/>
        <v>1.1141360011451571</v>
      </c>
      <c r="Q102" s="162">
        <f t="shared" ca="1" si="918"/>
        <v>0.88885284591584834</v>
      </c>
      <c r="R102" s="162">
        <f t="shared" ca="1" si="918"/>
        <v>0.83822908923741823</v>
      </c>
      <c r="S102" s="162">
        <f t="shared" ca="1" si="918"/>
        <v>1.253823660726227</v>
      </c>
      <c r="T102" s="162">
        <f t="shared" ca="1" si="918"/>
        <v>0.61866848521300555</v>
      </c>
      <c r="U102" s="162">
        <f t="shared" ca="1" si="918"/>
        <v>0.71597184279986759</v>
      </c>
      <c r="V102" s="162">
        <f t="shared" ca="1" si="918"/>
        <v>0.95898526008039975</v>
      </c>
      <c r="W102" s="162">
        <f t="shared" ca="1" si="918"/>
        <v>0.65556016882008772</v>
      </c>
      <c r="X102" s="162">
        <f t="shared" ca="1" si="918"/>
        <v>0.50363796213106615</v>
      </c>
      <c r="Y102" s="162">
        <f t="shared" ca="1" si="918"/>
        <v>0.8493092600728005</v>
      </c>
      <c r="Z102" s="162">
        <f ca="1">+Z77/Z$99</f>
        <v>0.81627729872520005</v>
      </c>
      <c r="AA102" s="162">
        <f ca="1">+AA77/AA$99</f>
        <v>0.81627729872520005</v>
      </c>
      <c r="AB102" s="49">
        <f t="shared" ref="AA102:AE102" ca="1" si="919">+AB77/AB$99</f>
        <v>0.4629917521303572</v>
      </c>
      <c r="AC102" s="49">
        <f t="shared" ca="1" si="919"/>
        <v>0.46721890150360956</v>
      </c>
      <c r="AD102" s="49">
        <f t="shared" ca="1" si="919"/>
        <v>0.47149869332623467</v>
      </c>
      <c r="AE102" s="49">
        <f t="shared" ca="1" si="919"/>
        <v>0.47580430355757325</v>
      </c>
      <c r="AL102" s="162">
        <f t="shared" ref="AL102:BQ102" si="920">+AL77/AL99</f>
        <v>0.46329342174071775</v>
      </c>
      <c r="AM102" s="162">
        <f t="shared" si="920"/>
        <v>0.45023965978267055</v>
      </c>
      <c r="AN102" s="162">
        <f t="shared" si="920"/>
        <v>0.41124118067946125</v>
      </c>
      <c r="AO102" s="162">
        <f t="shared" si="920"/>
        <v>0.48640137392985355</v>
      </c>
      <c r="AP102" s="162">
        <f t="shared" si="920"/>
        <v>0.56556496064638628</v>
      </c>
      <c r="AQ102" s="162">
        <f t="shared" si="920"/>
        <v>0.82460603844122071</v>
      </c>
      <c r="AR102" s="162">
        <f t="shared" si="920"/>
        <v>1.1330317121929125</v>
      </c>
      <c r="AS102" s="162">
        <f t="shared" si="920"/>
        <v>1.0575806051779433</v>
      </c>
      <c r="AT102" s="162">
        <f t="shared" si="920"/>
        <v>1.2286152081515467</v>
      </c>
      <c r="AU102" s="162">
        <f t="shared" si="920"/>
        <v>1.0941705009912135</v>
      </c>
      <c r="AV102" s="162">
        <f t="shared" si="920"/>
        <v>1.1310514253680892</v>
      </c>
      <c r="AW102" s="162">
        <f t="shared" si="920"/>
        <v>0.88885406747882079</v>
      </c>
      <c r="AX102" s="162">
        <f t="shared" si="920"/>
        <v>0.7467252656050325</v>
      </c>
      <c r="AY102" s="162">
        <f t="shared" si="920"/>
        <v>1.0470926037142043</v>
      </c>
      <c r="AZ102" s="162">
        <f t="shared" si="920"/>
        <v>0.89106263597847246</v>
      </c>
      <c r="BA102" s="162">
        <f t="shared" si="920"/>
        <v>0.83952924537832108</v>
      </c>
      <c r="BB102" s="162">
        <f t="shared" si="920"/>
        <v>0.80996996861381432</v>
      </c>
      <c r="BC102" s="162">
        <f t="shared" si="920"/>
        <v>0.89145808254025927</v>
      </c>
      <c r="BD102" s="162">
        <f t="shared" si="920"/>
        <v>0.75315447655572287</v>
      </c>
      <c r="BE102" s="162">
        <f t="shared" si="920"/>
        <v>1.1982947180998254</v>
      </c>
      <c r="BF102" s="162">
        <f t="shared" si="920"/>
        <v>1.0890942211734189</v>
      </c>
      <c r="BG102" s="162">
        <f t="shared" si="920"/>
        <v>0.92076583422692104</v>
      </c>
      <c r="BH102" s="162">
        <f t="shared" si="920"/>
        <v>0.77247822391723575</v>
      </c>
      <c r="BI102" s="162">
        <f t="shared" si="920"/>
        <v>0.6186689291578551</v>
      </c>
      <c r="BJ102" s="162">
        <f t="shared" si="920"/>
        <v>0.60783663263094612</v>
      </c>
      <c r="BK102" s="162">
        <f t="shared" si="920"/>
        <v>0.78706154831020969</v>
      </c>
      <c r="BL102" s="162">
        <f t="shared" si="920"/>
        <v>0.72997047146696636</v>
      </c>
      <c r="BM102" s="162">
        <f t="shared" si="920"/>
        <v>0.71818804612961995</v>
      </c>
      <c r="BN102" s="162">
        <f t="shared" si="920"/>
        <v>0.58227503592731855</v>
      </c>
      <c r="BO102" s="162">
        <f t="shared" si="920"/>
        <v>0.60484139479914711</v>
      </c>
      <c r="BP102" s="162">
        <f t="shared" si="920"/>
        <v>0.90830251873076107</v>
      </c>
      <c r="BQ102" s="162">
        <f t="shared" si="920"/>
        <v>0.95898526008039953</v>
      </c>
      <c r="BR102" s="162">
        <f t="shared" ref="BR102:DA102" si="921">+BR77/BR99</f>
        <v>0.84143236885812589</v>
      </c>
      <c r="BS102" s="162">
        <f t="shared" si="921"/>
        <v>0.87228362988903307</v>
      </c>
      <c r="BT102" s="162">
        <f t="shared" si="921"/>
        <v>0.79552494229442139</v>
      </c>
      <c r="BU102" s="162">
        <f t="shared" si="921"/>
        <v>0.65556016882008772</v>
      </c>
      <c r="BV102" s="162">
        <f t="shared" si="921"/>
        <v>0.41919013761046497</v>
      </c>
      <c r="BW102" s="162">
        <f t="shared" si="921"/>
        <v>0.43716771641393237</v>
      </c>
      <c r="BX102" s="162">
        <f t="shared" si="921"/>
        <v>0.55732515634634017</v>
      </c>
      <c r="BY102" s="162">
        <f t="shared" si="921"/>
        <v>0.50363796213106615</v>
      </c>
      <c r="BZ102" s="162">
        <f t="shared" si="921"/>
        <v>0.49175874675061898</v>
      </c>
      <c r="CA102" s="162">
        <f t="shared" si="921"/>
        <v>0.75137979650050812</v>
      </c>
      <c r="CB102" s="162">
        <f t="shared" si="921"/>
        <v>0.73461967768588776</v>
      </c>
      <c r="CC102" s="162">
        <f t="shared" si="921"/>
        <v>0.84930926007280028</v>
      </c>
      <c r="CD102" s="162">
        <f t="shared" si="921"/>
        <v>0.9058027725847968</v>
      </c>
      <c r="CE102" s="162">
        <f t="shared" si="921"/>
        <v>1.0830481003903363</v>
      </c>
      <c r="CF102" s="162">
        <f t="shared" si="921"/>
        <v>1.1607769973661104</v>
      </c>
      <c r="CG102" s="162">
        <f t="shared" si="921"/>
        <v>0.81627729872519983</v>
      </c>
      <c r="CH102" s="162">
        <f t="shared" si="921"/>
        <v>0.54227793446225492</v>
      </c>
      <c r="CI102" s="162">
        <f t="shared" si="921"/>
        <v>0.64105270333671505</v>
      </c>
      <c r="CJ102" s="162">
        <f t="shared" si="921"/>
        <v>0.71659144363341443</v>
      </c>
      <c r="CK102" s="162">
        <f t="shared" ref="CK102:CL102" si="922">+CK77/CK99</f>
        <v>0.64752947060228971</v>
      </c>
      <c r="CL102" s="162">
        <f t="shared" si="922"/>
        <v>0.45878525669543557</v>
      </c>
      <c r="CM102" s="49">
        <f t="shared" si="921"/>
        <v>0.46090860079864804</v>
      </c>
      <c r="CN102" s="49">
        <f t="shared" si="921"/>
        <v>0.46238920642962944</v>
      </c>
      <c r="CO102" s="49">
        <f t="shared" si="921"/>
        <v>0.4629917521303572</v>
      </c>
      <c r="CP102" s="49">
        <f t="shared" si="921"/>
        <v>0.46389579632731831</v>
      </c>
      <c r="CQ102" s="49">
        <f t="shared" si="921"/>
        <v>0.46515693544698344</v>
      </c>
      <c r="CR102" s="49">
        <f t="shared" si="921"/>
        <v>0.4662349899978655</v>
      </c>
      <c r="CS102" s="49">
        <f t="shared" si="921"/>
        <v>0.46721890150360956</v>
      </c>
      <c r="CT102" s="49">
        <f t="shared" si="921"/>
        <v>0.46828180737029768</v>
      </c>
      <c r="CU102" s="49">
        <f t="shared" si="921"/>
        <v>0.46936140038504176</v>
      </c>
      <c r="CV102" s="49">
        <f t="shared" si="921"/>
        <v>0.47042767998381879</v>
      </c>
      <c r="CW102" s="49">
        <f t="shared" si="921"/>
        <v>0.47149869332623467</v>
      </c>
      <c r="CX102" s="49">
        <f t="shared" si="921"/>
        <v>0.47257373188138579</v>
      </c>
      <c r="CY102" s="49">
        <f t="shared" si="921"/>
        <v>0.47362881206253449</v>
      </c>
      <c r="CZ102" s="49">
        <f t="shared" si="921"/>
        <v>0.47471065493903958</v>
      </c>
      <c r="DA102" s="49">
        <f t="shared" si="921"/>
        <v>0.47580430355757325</v>
      </c>
      <c r="DD102" s="105"/>
      <c r="DE102" s="162">
        <v>0.64752947060228971</v>
      </c>
    </row>
    <row r="103" spans="1:109" s="162" customFormat="1" hidden="1" outlineLevel="1" x14ac:dyDescent="0.2">
      <c r="A103" s="162" t="s">
        <v>509</v>
      </c>
      <c r="E103" s="162">
        <f t="shared" ca="1" si="918"/>
        <v>0.83622394561258118</v>
      </c>
      <c r="F103" s="162">
        <f t="shared" ca="1" si="918"/>
        <v>0.92802644325392725</v>
      </c>
      <c r="G103" s="162">
        <f t="shared" ca="1" si="918"/>
        <v>1.1449603613543764</v>
      </c>
      <c r="H103" s="162">
        <f t="shared" ca="1" si="918"/>
        <v>1.5037498635787478</v>
      </c>
      <c r="I103" s="162">
        <f t="shared" ca="1" si="918"/>
        <v>1.1087796540898027</v>
      </c>
      <c r="J103" s="162">
        <f t="shared" ca="1" si="918"/>
        <v>0.95905019601743813</v>
      </c>
      <c r="K103" s="162">
        <f t="shared" ca="1" si="918"/>
        <v>0.99261233012799377</v>
      </c>
      <c r="L103" s="162">
        <f t="shared" ca="1" si="918"/>
        <v>0.75409053623409328</v>
      </c>
      <c r="M103" s="162">
        <f t="shared" ca="1" si="918"/>
        <v>0.87621866288761807</v>
      </c>
      <c r="N103" s="162">
        <f t="shared" ca="1" si="918"/>
        <v>0.64595070350203687</v>
      </c>
      <c r="O103" s="162">
        <f t="shared" ca="1" si="918"/>
        <v>0.56932176165020287</v>
      </c>
      <c r="P103" s="162">
        <f t="shared" ca="1" si="918"/>
        <v>1.307121373784025</v>
      </c>
      <c r="Q103" s="162">
        <f t="shared" ca="1" si="918"/>
        <v>1.2385350460404396</v>
      </c>
      <c r="R103" s="162">
        <f t="shared" ca="1" si="918"/>
        <v>1.1326483974406436</v>
      </c>
      <c r="S103" s="162">
        <f t="shared" ca="1" si="918"/>
        <v>1.3720620859636643</v>
      </c>
      <c r="T103" s="162">
        <f t="shared" ca="1" si="918"/>
        <v>1.1896612289108852</v>
      </c>
      <c r="U103" s="162">
        <f t="shared" ca="1" si="918"/>
        <v>0.8424224118692718</v>
      </c>
      <c r="V103" s="162">
        <f t="shared" ca="1" si="918"/>
        <v>1.0307711048848824</v>
      </c>
      <c r="W103" s="162">
        <f t="shared" ca="1" si="918"/>
        <v>1.0142764771757677</v>
      </c>
      <c r="X103" s="162">
        <f t="shared" ca="1" si="918"/>
        <v>0.60013585681144643</v>
      </c>
      <c r="Y103" s="162">
        <f t="shared" ca="1" si="918"/>
        <v>0.95836222856784248</v>
      </c>
      <c r="Z103" s="162">
        <f t="shared" ref="Z103:AA104" ca="1" si="923">+Z78/Z$99</f>
        <v>1.3529706327989275</v>
      </c>
      <c r="AA103" s="162">
        <f t="shared" ca="1" si="923"/>
        <v>1.3529706327989275</v>
      </c>
      <c r="AB103" s="93">
        <f t="shared" ca="1" si="918"/>
        <v>0.74498636903626569</v>
      </c>
      <c r="AC103" s="93">
        <f t="shared" ca="1" si="918"/>
        <v>0.96226987321565727</v>
      </c>
      <c r="AD103" s="93">
        <f t="shared" ca="1" si="918"/>
        <v>1.2191082776977953</v>
      </c>
      <c r="AE103" s="93">
        <f t="shared" ca="1" si="918"/>
        <v>1.5413720992463074</v>
      </c>
      <c r="AL103" s="162">
        <f t="shared" ref="AL103:BQ103" si="924">+AL78/AL99</f>
        <v>0.60977316007064697</v>
      </c>
      <c r="AM103" s="162">
        <f t="shared" si="924"/>
        <v>0.53226422787354688</v>
      </c>
      <c r="AN103" s="162">
        <f t="shared" si="924"/>
        <v>0.49266830297705838</v>
      </c>
      <c r="AO103" s="162">
        <f t="shared" si="924"/>
        <v>0.50270168806959392</v>
      </c>
      <c r="AP103" s="162">
        <f t="shared" si="924"/>
        <v>0.63697148640397472</v>
      </c>
      <c r="AQ103" s="162">
        <f t="shared" si="924"/>
        <v>0.89030436019342507</v>
      </c>
      <c r="AR103" s="162">
        <f t="shared" si="924"/>
        <v>1.2507301379062612</v>
      </c>
      <c r="AS103" s="162">
        <f t="shared" si="924"/>
        <v>1.1643921494197664</v>
      </c>
      <c r="AT103" s="162">
        <f t="shared" si="924"/>
        <v>1.2663614997044501</v>
      </c>
      <c r="AU103" s="162">
        <f t="shared" si="924"/>
        <v>1.2000281455738027</v>
      </c>
      <c r="AV103" s="162">
        <f t="shared" si="924"/>
        <v>1.3868251691370845</v>
      </c>
      <c r="AW103" s="162">
        <f t="shared" si="924"/>
        <v>1.0902089939039354</v>
      </c>
      <c r="AX103" s="162">
        <f t="shared" si="924"/>
        <v>0.88709251496017694</v>
      </c>
      <c r="AY103" s="162">
        <f t="shared" si="924"/>
        <v>1.1082931791412356</v>
      </c>
      <c r="AZ103" s="162">
        <f t="shared" si="924"/>
        <v>1.1315630367571281</v>
      </c>
      <c r="BA103" s="162">
        <f t="shared" si="924"/>
        <v>1.0268622174875333</v>
      </c>
      <c r="BB103" s="162">
        <f t="shared" si="924"/>
        <v>0.8802537990832523</v>
      </c>
      <c r="BC103" s="162">
        <f t="shared" si="924"/>
        <v>0.95203261634905834</v>
      </c>
      <c r="BD103" s="162">
        <f t="shared" si="924"/>
        <v>0.94269346664840425</v>
      </c>
      <c r="BE103" s="162">
        <f t="shared" si="924"/>
        <v>1.3112966376491799</v>
      </c>
      <c r="BF103" s="162">
        <f t="shared" si="924"/>
        <v>1.269248982220381</v>
      </c>
      <c r="BG103" s="162">
        <f t="shared" si="924"/>
        <v>1.2180354436773868</v>
      </c>
      <c r="BH103" s="162">
        <f t="shared" si="924"/>
        <v>0.97162767320560339</v>
      </c>
      <c r="BI103" s="162">
        <f t="shared" si="924"/>
        <v>0.75723163519862213</v>
      </c>
      <c r="BJ103" s="162">
        <f t="shared" si="924"/>
        <v>0.66112853561891971</v>
      </c>
      <c r="BK103" s="162">
        <f t="shared" si="924"/>
        <v>0.88150893410743481</v>
      </c>
      <c r="BL103" s="162">
        <f t="shared" si="924"/>
        <v>0.81041375570482543</v>
      </c>
      <c r="BM103" s="162">
        <f t="shared" si="924"/>
        <v>0.80187459474480494</v>
      </c>
      <c r="BN103" s="162">
        <f t="shared" si="924"/>
        <v>0.90129928932810999</v>
      </c>
      <c r="BO103" s="162">
        <f t="shared" si="924"/>
        <v>0.69709528091122885</v>
      </c>
      <c r="BP103" s="162">
        <f t="shared" si="924"/>
        <v>0.98289741157338395</v>
      </c>
      <c r="BQ103" s="162">
        <f t="shared" si="924"/>
        <v>0.9816867665570308</v>
      </c>
      <c r="BR103" s="162">
        <f t="shared" ref="BR103:CJ103" si="925">+BR78/BR99</f>
        <v>1.0580194020836478</v>
      </c>
      <c r="BS103" s="162">
        <f t="shared" si="925"/>
        <v>0.92183505410483779</v>
      </c>
      <c r="BT103" s="162">
        <f t="shared" si="925"/>
        <v>0.98279540893623429</v>
      </c>
      <c r="BU103" s="162">
        <f t="shared" si="925"/>
        <v>0.7850606411506581</v>
      </c>
      <c r="BV103" s="162">
        <f t="shared" si="925"/>
        <v>0.63850153410865518</v>
      </c>
      <c r="BW103" s="162">
        <f t="shared" si="925"/>
        <v>0.55096379774713478</v>
      </c>
      <c r="BX103" s="162">
        <f t="shared" si="925"/>
        <v>0.57229807099445074</v>
      </c>
      <c r="BY103" s="162">
        <f t="shared" si="925"/>
        <v>0.60013585681144632</v>
      </c>
      <c r="BZ103" s="162">
        <f t="shared" si="925"/>
        <v>0.5530342702524742</v>
      </c>
      <c r="CA103" s="162">
        <f t="shared" si="925"/>
        <v>0.82569208406649242</v>
      </c>
      <c r="CB103" s="162">
        <f t="shared" si="925"/>
        <v>0.85273724425982211</v>
      </c>
      <c r="CC103" s="162">
        <f t="shared" si="925"/>
        <v>0.95836222856784214</v>
      </c>
      <c r="CD103" s="162">
        <f t="shared" si="925"/>
        <v>1.1229534873480302</v>
      </c>
      <c r="CE103" s="162">
        <f t="shared" si="925"/>
        <v>1.1979145632765982</v>
      </c>
      <c r="CF103" s="162">
        <f t="shared" si="925"/>
        <v>1.3612748423657113</v>
      </c>
      <c r="CG103" s="162">
        <f t="shared" si="925"/>
        <v>1.2286112058639207</v>
      </c>
      <c r="CH103" s="162">
        <f t="shared" si="925"/>
        <v>0.8537993010682311</v>
      </c>
      <c r="CI103" s="162">
        <f t="shared" si="925"/>
        <v>0.67543809172457758</v>
      </c>
      <c r="CJ103" s="162">
        <f t="shared" si="925"/>
        <v>0.77587337793998368</v>
      </c>
      <c r="CK103" s="162">
        <f t="shared" ref="CK103:CL103" si="926">+CK78/CK99</f>
        <v>0.83354313378499323</v>
      </c>
      <c r="CL103" s="162">
        <f t="shared" si="926"/>
        <v>0.65189366977003782</v>
      </c>
      <c r="CM103" s="93">
        <f t="shared" ref="CM103:DA103" si="927">+CL103</f>
        <v>0.65189366977003782</v>
      </c>
      <c r="CN103" s="93">
        <f t="shared" si="927"/>
        <v>0.65189366977003782</v>
      </c>
      <c r="CO103" s="93">
        <f t="shared" si="927"/>
        <v>0.65189366977003782</v>
      </c>
      <c r="CP103" s="93">
        <f t="shared" si="927"/>
        <v>0.65189366977003782</v>
      </c>
      <c r="CQ103" s="93">
        <f t="shared" si="927"/>
        <v>0.65189366977003782</v>
      </c>
      <c r="CR103" s="93">
        <f t="shared" si="927"/>
        <v>0.65189366977003782</v>
      </c>
      <c r="CS103" s="93">
        <f t="shared" si="927"/>
        <v>0.65189366977003782</v>
      </c>
      <c r="CT103" s="93">
        <f t="shared" si="927"/>
        <v>0.65189366977003782</v>
      </c>
      <c r="CU103" s="93">
        <f t="shared" si="927"/>
        <v>0.65189366977003782</v>
      </c>
      <c r="CV103" s="93">
        <f t="shared" si="927"/>
        <v>0.65189366977003782</v>
      </c>
      <c r="CW103" s="93">
        <f t="shared" si="927"/>
        <v>0.65189366977003782</v>
      </c>
      <c r="CX103" s="93">
        <f t="shared" si="927"/>
        <v>0.65189366977003782</v>
      </c>
      <c r="CY103" s="93">
        <f t="shared" si="927"/>
        <v>0.65189366977003782</v>
      </c>
      <c r="CZ103" s="93">
        <f t="shared" si="927"/>
        <v>0.65189366977003782</v>
      </c>
      <c r="DA103" s="93">
        <f t="shared" si="927"/>
        <v>0.65189366977003782</v>
      </c>
      <c r="DD103" s="163"/>
      <c r="DE103" s="162">
        <v>0.87163310264395133</v>
      </c>
    </row>
    <row r="104" spans="1:109" s="162" customFormat="1" hidden="1" outlineLevel="1" x14ac:dyDescent="0.2">
      <c r="A104" s="162" t="s">
        <v>510</v>
      </c>
      <c r="E104" s="162">
        <f t="shared" ca="1" si="918"/>
        <v>0.41465650195665182</v>
      </c>
      <c r="F104" s="162">
        <f t="shared" ca="1" si="918"/>
        <v>0.60302544711438044</v>
      </c>
      <c r="G104" s="162">
        <f t="shared" ca="1" si="918"/>
        <v>0.70687339382396719</v>
      </c>
      <c r="H104" s="162">
        <f t="shared" ca="1" si="918"/>
        <v>0.72353642193043199</v>
      </c>
      <c r="I104" s="162">
        <f t="shared" ca="1" si="918"/>
        <v>0.59914353173589174</v>
      </c>
      <c r="J104" s="162">
        <f t="shared" ca="1" si="918"/>
        <v>0.28388873241185425</v>
      </c>
      <c r="K104" s="162">
        <f t="shared" ca="1" si="918"/>
        <v>0.35506488488768156</v>
      </c>
      <c r="L104" s="162">
        <f t="shared" ca="1" si="918"/>
        <v>0.52733603932454076</v>
      </c>
      <c r="M104" s="162">
        <f t="shared" ca="1" si="918"/>
        <v>0.47361899813624875</v>
      </c>
      <c r="N104" s="162">
        <f t="shared" ca="1" si="918"/>
        <v>0.48656027017036546</v>
      </c>
      <c r="O104" s="162">
        <f t="shared" ca="1" si="918"/>
        <v>0.39323569111536022</v>
      </c>
      <c r="P104" s="162">
        <f t="shared" ca="1" si="918"/>
        <v>0.42234817973681943</v>
      </c>
      <c r="Q104" s="162">
        <f t="shared" ca="1" si="918"/>
        <v>0.64930385198108076</v>
      </c>
      <c r="R104" s="162">
        <f t="shared" ca="1" si="918"/>
        <v>0.61273853671941847</v>
      </c>
      <c r="S104" s="162">
        <f t="shared" ca="1" si="918"/>
        <v>0.71262139348500397</v>
      </c>
      <c r="T104" s="162">
        <f t="shared" ca="1" si="918"/>
        <v>0.59315638272999505</v>
      </c>
      <c r="U104" s="162">
        <f t="shared" ca="1" si="918"/>
        <v>0.45057099323580785</v>
      </c>
      <c r="V104" s="162">
        <f t="shared" ca="1" si="918"/>
        <v>0.50618223900596915</v>
      </c>
      <c r="W104" s="162">
        <f t="shared" ca="1" si="918"/>
        <v>0.59023437499999987</v>
      </c>
      <c r="X104" s="162">
        <f t="shared" ca="1" si="918"/>
        <v>0.37484746490016491</v>
      </c>
      <c r="Y104" s="162">
        <f t="shared" ca="1" si="918"/>
        <v>0.55119163424124529</v>
      </c>
      <c r="Z104" s="162">
        <f t="shared" ca="1" si="923"/>
        <v>0.7785199787401138</v>
      </c>
      <c r="AA104" s="162">
        <f t="shared" ca="1" si="923"/>
        <v>0.7785199787401138</v>
      </c>
      <c r="AB104" s="93">
        <f t="shared" ca="1" si="918"/>
        <v>0.45929151834709758</v>
      </c>
      <c r="AC104" s="93">
        <f t="shared" ca="1" si="918"/>
        <v>0.57315434759234241</v>
      </c>
      <c r="AD104" s="93">
        <f t="shared" ca="1" si="918"/>
        <v>0.72021992385035583</v>
      </c>
      <c r="AE104" s="93">
        <f t="shared" ca="1" si="918"/>
        <v>0.9090682906198374</v>
      </c>
      <c r="AL104" s="162">
        <f t="shared" ref="AL104:BQ104" si="928">+AL79/AL99</f>
        <v>0.45472081618960231</v>
      </c>
      <c r="AM104" s="162">
        <f t="shared" si="928"/>
        <v>0.40475005215148585</v>
      </c>
      <c r="AN104" s="162">
        <f t="shared" si="928"/>
        <v>0.38900268089230239</v>
      </c>
      <c r="AO104" s="162">
        <f t="shared" si="928"/>
        <v>0.39185955191935923</v>
      </c>
      <c r="AP104" s="162">
        <f t="shared" si="928"/>
        <v>0.43286256764555819</v>
      </c>
      <c r="AQ104" s="162">
        <f t="shared" si="928"/>
        <v>0.5412436506968995</v>
      </c>
      <c r="AR104" s="162">
        <f t="shared" si="928"/>
        <v>0.76902204469849589</v>
      </c>
      <c r="AS104" s="162">
        <f t="shared" si="928"/>
        <v>0.97798405714020098</v>
      </c>
      <c r="AT104" s="162">
        <f t="shared" si="928"/>
        <v>0.93089797900188587</v>
      </c>
      <c r="AU104" s="162">
        <f t="shared" si="928"/>
        <v>0.98507703321177698</v>
      </c>
      <c r="AV104" s="162">
        <f t="shared" si="928"/>
        <v>0.92219721576451041</v>
      </c>
      <c r="AW104" s="162">
        <f t="shared" si="928"/>
        <v>0.84176000549725627</v>
      </c>
      <c r="AX104" s="162">
        <f t="shared" si="928"/>
        <v>0.63022757388134665</v>
      </c>
      <c r="AY104" s="162">
        <f t="shared" si="928"/>
        <v>0.74073799913406602</v>
      </c>
      <c r="AZ104" s="162">
        <f t="shared" si="928"/>
        <v>0.88275758616741096</v>
      </c>
      <c r="BA104" s="162">
        <f t="shared" si="928"/>
        <v>0.79217563298404803</v>
      </c>
      <c r="BB104" s="162">
        <f t="shared" si="928"/>
        <v>0.77448686973603986</v>
      </c>
      <c r="BC104" s="162">
        <f t="shared" si="928"/>
        <v>0.79622050105617004</v>
      </c>
      <c r="BD104" s="162">
        <f t="shared" si="928"/>
        <v>0.69330913573483077</v>
      </c>
      <c r="BE104" s="162">
        <f t="shared" si="928"/>
        <v>0.72917580470827781</v>
      </c>
      <c r="BF104" s="162">
        <f t="shared" si="928"/>
        <v>0.93905031253940519</v>
      </c>
      <c r="BG104" s="162">
        <f t="shared" si="928"/>
        <v>0.88712214531952038</v>
      </c>
      <c r="BH104" s="162">
        <f t="shared" si="928"/>
        <v>0.76107031765685462</v>
      </c>
      <c r="BI104" s="162">
        <f t="shared" si="928"/>
        <v>0.59315680836784046</v>
      </c>
      <c r="BJ104" s="162">
        <f t="shared" si="928"/>
        <v>0.47885478047164748</v>
      </c>
      <c r="BK104" s="162">
        <f t="shared" si="928"/>
        <v>0.59649379564688743</v>
      </c>
      <c r="BL104" s="162">
        <f t="shared" si="928"/>
        <v>0.60123131211976077</v>
      </c>
      <c r="BM104" s="162">
        <f t="shared" si="928"/>
        <v>0.64864364945811581</v>
      </c>
      <c r="BN104" s="162">
        <f t="shared" si="928"/>
        <v>0.49080654369352522</v>
      </c>
      <c r="BO104" s="162">
        <f t="shared" si="928"/>
        <v>0.5179269619025556</v>
      </c>
      <c r="BP104" s="162">
        <f t="shared" si="928"/>
        <v>0.58505798307939516</v>
      </c>
      <c r="BQ104" s="162">
        <f t="shared" si="928"/>
        <v>0.8226228326633368</v>
      </c>
      <c r="BR104" s="162">
        <f t="shared" ref="BR104:CJ104" si="929">+BR79/BR99</f>
        <v>0.78664770695423436</v>
      </c>
      <c r="BS104" s="162">
        <f t="shared" si="929"/>
        <v>0.77377599376031581</v>
      </c>
      <c r="BT104" s="162">
        <f t="shared" si="929"/>
        <v>0.78054330496307633</v>
      </c>
      <c r="BU104" s="162">
        <f t="shared" si="929"/>
        <v>0.59023437499999987</v>
      </c>
      <c r="BV104" s="162">
        <f t="shared" si="929"/>
        <v>0.41086185673078685</v>
      </c>
      <c r="BW104" s="162">
        <f t="shared" si="929"/>
        <v>0.40259172429755768</v>
      </c>
      <c r="BX104" s="162">
        <f t="shared" si="929"/>
        <v>0.41719403207556116</v>
      </c>
      <c r="BY104" s="162">
        <f t="shared" si="929"/>
        <v>0.46121434701567582</v>
      </c>
      <c r="BZ104" s="162">
        <f t="shared" si="929"/>
        <v>0.48191320809070137</v>
      </c>
      <c r="CA104" s="162">
        <f t="shared" si="929"/>
        <v>0.52225024317205648</v>
      </c>
      <c r="CB104" s="162">
        <f t="shared" si="929"/>
        <v>0.69839695726988116</v>
      </c>
      <c r="CC104" s="162">
        <f t="shared" si="929"/>
        <v>0.74381236663737904</v>
      </c>
      <c r="CD104" s="162">
        <f t="shared" si="929"/>
        <v>0.87298821471319388</v>
      </c>
      <c r="CE104" s="162">
        <f t="shared" si="929"/>
        <v>0.78739834166739542</v>
      </c>
      <c r="CF104" s="162">
        <f t="shared" si="929"/>
        <v>1.0795226075504827</v>
      </c>
      <c r="CG104" s="162">
        <f t="shared" si="929"/>
        <v>0.77851997874011358</v>
      </c>
      <c r="CH104" s="162">
        <f t="shared" si="929"/>
        <v>0.51066128782740117</v>
      </c>
      <c r="CI104" s="162">
        <f t="shared" si="929"/>
        <v>0.53653324083616372</v>
      </c>
      <c r="CJ104" s="162">
        <f t="shared" si="929"/>
        <v>0.62223053527980532</v>
      </c>
      <c r="CK104" s="162">
        <f t="shared" ref="CK104:CL104" si="930">+CK79/CK99</f>
        <v>0.6196886098298785</v>
      </c>
      <c r="CL104" s="162">
        <f t="shared" si="930"/>
        <v>0.45511864125731016</v>
      </c>
      <c r="CM104" s="93">
        <f t="shared" ref="CM104:DA104" si="931">+CL104</f>
        <v>0.45511864125731016</v>
      </c>
      <c r="CN104" s="93">
        <f t="shared" si="931"/>
        <v>0.45511864125731016</v>
      </c>
      <c r="CO104" s="93">
        <f t="shared" si="931"/>
        <v>0.45511864125731016</v>
      </c>
      <c r="CP104" s="93">
        <f t="shared" si="931"/>
        <v>0.45511864125731016</v>
      </c>
      <c r="CQ104" s="93">
        <f t="shared" si="931"/>
        <v>0.45511864125731016</v>
      </c>
      <c r="CR104" s="93">
        <f t="shared" si="931"/>
        <v>0.45511864125731016</v>
      </c>
      <c r="CS104" s="93">
        <f t="shared" si="931"/>
        <v>0.45511864125731016</v>
      </c>
      <c r="CT104" s="93">
        <f t="shared" si="931"/>
        <v>0.45511864125731016</v>
      </c>
      <c r="CU104" s="93">
        <f t="shared" si="931"/>
        <v>0.45511864125731016</v>
      </c>
      <c r="CV104" s="93">
        <f t="shared" si="931"/>
        <v>0.45511864125731016</v>
      </c>
      <c r="CW104" s="93">
        <f t="shared" si="931"/>
        <v>0.45511864125731016</v>
      </c>
      <c r="CX104" s="93">
        <f t="shared" si="931"/>
        <v>0.45511864125731016</v>
      </c>
      <c r="CY104" s="93">
        <f t="shared" si="931"/>
        <v>0.45511864125731016</v>
      </c>
      <c r="CZ104" s="93">
        <f t="shared" si="931"/>
        <v>0.45511864125731016</v>
      </c>
      <c r="DA104" s="93">
        <f t="shared" si="931"/>
        <v>0.45511864125731016</v>
      </c>
      <c r="DD104" s="163"/>
      <c r="DE104" s="162">
        <v>0.52132776655152446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32">+B78*B65</f>
        <v>#DIV/0!</v>
      </c>
      <c r="C107" s="161" t="e">
        <f t="shared" si="932"/>
        <v>#DIV/0!</v>
      </c>
      <c r="D107" s="161">
        <f t="shared" si="932"/>
        <v>34.352476000000003</v>
      </c>
      <c r="E107" s="161">
        <f t="shared" ca="1" si="932"/>
        <v>319.95425</v>
      </c>
      <c r="F107" s="161">
        <f t="shared" ca="1" si="932"/>
        <v>365.66199999999998</v>
      </c>
      <c r="G107" s="161">
        <f t="shared" ca="1" si="932"/>
        <v>495.60799999999995</v>
      </c>
      <c r="H107" s="161">
        <f t="shared" ca="1" si="932"/>
        <v>753.68680000000006</v>
      </c>
      <c r="I107" s="161">
        <f t="shared" ca="1" si="932"/>
        <v>632.65569999999991</v>
      </c>
      <c r="J107" s="161">
        <f t="shared" ca="1" si="932"/>
        <v>587.02350000000001</v>
      </c>
      <c r="K107" s="161">
        <f t="shared" ca="1" si="932"/>
        <v>573.42449999999997</v>
      </c>
      <c r="L107" s="161">
        <f t="shared" ca="1" si="932"/>
        <v>540.1825</v>
      </c>
      <c r="M107" s="161">
        <f t="shared" ca="1" si="932"/>
        <v>703.74824999999998</v>
      </c>
      <c r="N107" s="161">
        <f t="shared" ca="1" si="932"/>
        <v>581.73500000000001</v>
      </c>
      <c r="O107" s="161">
        <f t="shared" ca="1" si="932"/>
        <v>617.99899999999991</v>
      </c>
      <c r="P107" s="161">
        <f t="shared" ca="1" si="932"/>
        <v>1601.6599999999999</v>
      </c>
      <c r="Q107" s="161">
        <f t="shared" ca="1" si="932"/>
        <v>2523.37</v>
      </c>
      <c r="R107" s="161">
        <f t="shared" ca="1" si="932"/>
        <v>2470.4850000000001</v>
      </c>
      <c r="S107" s="161">
        <f t="shared" ca="1" si="932"/>
        <v>2923.7849999999999</v>
      </c>
      <c r="T107" s="161">
        <f t="shared" ca="1" si="932"/>
        <v>2818.39275</v>
      </c>
      <c r="U107" s="161">
        <f t="shared" ca="1" si="932"/>
        <v>2189.4389999999999</v>
      </c>
      <c r="V107" s="161">
        <f t="shared" ca="1" si="932"/>
        <v>2538.48</v>
      </c>
      <c r="W107" s="161">
        <f t="shared" ca="1" si="932"/>
        <v>2662.7597499999997</v>
      </c>
      <c r="X107" s="161">
        <f t="shared" ca="1" si="932"/>
        <v>1790.1572499999997</v>
      </c>
      <c r="Y107" s="161">
        <f t="shared" ca="1" si="932"/>
        <v>2443.2869999999998</v>
      </c>
      <c r="Z107" s="161">
        <f t="shared" ca="1" si="932"/>
        <v>3411.0825</v>
      </c>
      <c r="AA107" s="161">
        <f t="shared" ref="AA107" ca="1" si="933">+AA78*AA65</f>
        <v>3411.0825</v>
      </c>
      <c r="AB107" s="20">
        <f t="shared" ca="1" si="932"/>
        <v>1825.3026206719921</v>
      </c>
      <c r="AC107" s="20">
        <f t="shared" ca="1" si="932"/>
        <v>2336.3413223277571</v>
      </c>
      <c r="AD107" s="20">
        <f t="shared" ca="1" si="932"/>
        <v>2933.0643535842423</v>
      </c>
      <c r="AE107" s="20">
        <f t="shared" ca="1" si="932"/>
        <v>3674.8442129018617</v>
      </c>
      <c r="AL107" s="161">
        <f t="shared" ref="AL107:BQ107" si="934">+AL78*AL65</f>
        <v>617.99899999999991</v>
      </c>
      <c r="AM107" s="161">
        <f t="shared" si="934"/>
        <v>561.3365</v>
      </c>
      <c r="AN107" s="161">
        <f t="shared" si="934"/>
        <v>543.96</v>
      </c>
      <c r="AO107" s="161">
        <f t="shared" si="934"/>
        <v>582.49049999999988</v>
      </c>
      <c r="AP107" s="161">
        <f t="shared" si="934"/>
        <v>761.54399999999998</v>
      </c>
      <c r="AQ107" s="161">
        <f t="shared" si="934"/>
        <v>1095.4749999999999</v>
      </c>
      <c r="AR107" s="161">
        <f t="shared" si="934"/>
        <v>1601.6599999999999</v>
      </c>
      <c r="AS107" s="161">
        <f t="shared" si="934"/>
        <v>1503.0672499999998</v>
      </c>
      <c r="AT107" s="161">
        <f t="shared" si="934"/>
        <v>1799.6009999999999</v>
      </c>
      <c r="AU107" s="161">
        <f t="shared" si="934"/>
        <v>1961.278</v>
      </c>
      <c r="AV107" s="161">
        <f t="shared" si="934"/>
        <v>2523.37</v>
      </c>
      <c r="AW107" s="161">
        <f t="shared" si="934"/>
        <v>2221.17</v>
      </c>
      <c r="AX107" s="161">
        <f t="shared" si="934"/>
        <v>1881.1949999999999</v>
      </c>
      <c r="AY107" s="161">
        <f t="shared" si="934"/>
        <v>2380.5805</v>
      </c>
      <c r="AZ107" s="161">
        <f t="shared" si="934"/>
        <v>2470.4850000000001</v>
      </c>
      <c r="BA107" s="161">
        <f t="shared" si="934"/>
        <v>2236.2799999999997</v>
      </c>
      <c r="BB107" s="161">
        <f t="shared" si="934"/>
        <v>1949.1899999999998</v>
      </c>
      <c r="BC107" s="161">
        <f t="shared" si="934"/>
        <v>2095.7569999999996</v>
      </c>
      <c r="BD107" s="161">
        <f t="shared" si="934"/>
        <v>2064.7815000000001</v>
      </c>
      <c r="BE107" s="161">
        <f t="shared" si="934"/>
        <v>2923.7849999999999</v>
      </c>
      <c r="BF107" s="161">
        <f t="shared" si="934"/>
        <v>2818.39275</v>
      </c>
      <c r="BG107" s="161">
        <f t="shared" si="934"/>
        <v>2748.8867500000001</v>
      </c>
      <c r="BH107" s="161">
        <f t="shared" si="934"/>
        <v>2252.1455000000001</v>
      </c>
      <c r="BI107" s="161">
        <f t="shared" si="934"/>
        <v>1793.9347499999999</v>
      </c>
      <c r="BJ107" s="161">
        <f t="shared" si="934"/>
        <v>1616.77</v>
      </c>
      <c r="BK107" s="161">
        <f t="shared" si="934"/>
        <v>2189.4389999999999</v>
      </c>
      <c r="BL107" s="161">
        <f t="shared" si="934"/>
        <v>2047.405</v>
      </c>
      <c r="BM107" s="161">
        <f t="shared" si="934"/>
        <v>2077.625</v>
      </c>
      <c r="BN107" s="161">
        <f t="shared" si="934"/>
        <v>2289.165</v>
      </c>
      <c r="BO107" s="161">
        <f t="shared" si="934"/>
        <v>1775.425</v>
      </c>
      <c r="BP107" s="161">
        <f t="shared" si="934"/>
        <v>2538.48</v>
      </c>
      <c r="BQ107" s="161">
        <f t="shared" si="934"/>
        <v>2417.6</v>
      </c>
      <c r="BR107" s="161">
        <f t="shared" ref="BR107:CJ107" si="935">+BR78*BR65</f>
        <v>2662.7597499999997</v>
      </c>
      <c r="BS107" s="161">
        <f t="shared" si="935"/>
        <v>2340.1612500000001</v>
      </c>
      <c r="BT107" s="161">
        <f t="shared" si="935"/>
        <v>2478.04</v>
      </c>
      <c r="BU107" s="161">
        <f t="shared" si="935"/>
        <v>2061.0039999999999</v>
      </c>
      <c r="BV107" s="161">
        <f t="shared" si="935"/>
        <v>1737.6499999999999</v>
      </c>
      <c r="BW107" s="161">
        <f t="shared" si="935"/>
        <v>1571.0622499999999</v>
      </c>
      <c r="BX107" s="161">
        <f t="shared" si="935"/>
        <v>1689.298</v>
      </c>
      <c r="BY107" s="161">
        <f t="shared" si="935"/>
        <v>1790.1572499999997</v>
      </c>
      <c r="BZ107" s="161">
        <f t="shared" si="935"/>
        <v>1612.61475</v>
      </c>
      <c r="CA107" s="161">
        <f t="shared" si="935"/>
        <v>2266.5</v>
      </c>
      <c r="CB107" s="161">
        <f t="shared" si="935"/>
        <v>2249.8789999999999</v>
      </c>
      <c r="CC107" s="161">
        <f t="shared" si="935"/>
        <v>2443.2869999999998</v>
      </c>
      <c r="CD107" s="161">
        <f t="shared" si="935"/>
        <v>2805.1714999999999</v>
      </c>
      <c r="CE107" s="161">
        <f t="shared" si="935"/>
        <v>3013.6894999999995</v>
      </c>
      <c r="CF107" s="161">
        <f t="shared" si="935"/>
        <v>3411.0825</v>
      </c>
      <c r="CG107" s="161">
        <f t="shared" si="935"/>
        <v>3097.5499999999997</v>
      </c>
      <c r="CH107" s="161">
        <f t="shared" si="935"/>
        <v>2152.4195</v>
      </c>
      <c r="CI107" s="161">
        <f t="shared" si="935"/>
        <v>1684.3872499999998</v>
      </c>
      <c r="CJ107" s="161">
        <f t="shared" si="935"/>
        <v>1913.30375</v>
      </c>
      <c r="CK107" s="161">
        <f t="shared" ref="CK107:CL107" si="936">+CK78*CK65</f>
        <v>2058.3597499999996</v>
      </c>
      <c r="CL107" s="161">
        <f t="shared" si="936"/>
        <v>1611.85925</v>
      </c>
      <c r="CM107" s="20">
        <f t="shared" ref="CM107:DA107" si="937">+CM78*CM65</f>
        <v>1723.2009137162836</v>
      </c>
      <c r="CN107" s="20">
        <f t="shared" si="937"/>
        <v>1726.7929010086875</v>
      </c>
      <c r="CO107" s="20">
        <f t="shared" si="937"/>
        <v>1825.3026206719921</v>
      </c>
      <c r="CP107" s="20">
        <f t="shared" si="937"/>
        <v>1993.2562379509311</v>
      </c>
      <c r="CQ107" s="20">
        <f t="shared" si="937"/>
        <v>2104.8039614888535</v>
      </c>
      <c r="CR107" s="20">
        <f t="shared" si="937"/>
        <v>2211.5858283305852</v>
      </c>
      <c r="CS107" s="20">
        <f t="shared" si="937"/>
        <v>2336.3413223277571</v>
      </c>
      <c r="CT107" s="20">
        <f t="shared" si="937"/>
        <v>2481.9703136427975</v>
      </c>
      <c r="CU107" s="20">
        <f t="shared" si="937"/>
        <v>2622.8657586038066</v>
      </c>
      <c r="CV107" s="20">
        <f t="shared" si="937"/>
        <v>2772.0461402957808</v>
      </c>
      <c r="CW107" s="20">
        <f t="shared" si="937"/>
        <v>2933.0643535842423</v>
      </c>
      <c r="CX107" s="20">
        <f t="shared" si="937"/>
        <v>3104.4172526988646</v>
      </c>
      <c r="CY107" s="20">
        <f t="shared" si="937"/>
        <v>3283.5179259550705</v>
      </c>
      <c r="CZ107" s="20">
        <f t="shared" si="937"/>
        <v>3473.3446033434107</v>
      </c>
      <c r="DA107" s="20">
        <f t="shared" si="937"/>
        <v>3674.8442129018617</v>
      </c>
      <c r="DD107" s="21"/>
      <c r="DE107" s="161">
        <v>2152.4195</v>
      </c>
    </row>
    <row r="108" spans="1:109" s="161" customFormat="1" hidden="1" outlineLevel="1" x14ac:dyDescent="0.2">
      <c r="A108" s="48" t="s">
        <v>341</v>
      </c>
      <c r="B108" s="161" t="e">
        <f t="shared" ref="B108:AE108" si="938">+B79*B65</f>
        <v>#DIV/0!</v>
      </c>
      <c r="C108" s="161" t="e">
        <f t="shared" si="938"/>
        <v>#DIV/0!</v>
      </c>
      <c r="D108" s="161">
        <f t="shared" si="938"/>
        <v>13.114120400000003</v>
      </c>
      <c r="E108" s="161">
        <f t="shared" ca="1" si="938"/>
        <v>158.655</v>
      </c>
      <c r="F108" s="161">
        <f t="shared" ca="1" si="938"/>
        <v>237.60475</v>
      </c>
      <c r="G108" s="161">
        <f t="shared" ca="1" si="938"/>
        <v>305.97749999999996</v>
      </c>
      <c r="H108" s="161">
        <f t="shared" ca="1" si="938"/>
        <v>362.64</v>
      </c>
      <c r="I108" s="161">
        <f t="shared" ca="1" si="938"/>
        <v>341.86374999999998</v>
      </c>
      <c r="J108" s="161">
        <f t="shared" ca="1" si="938"/>
        <v>173.76499999999999</v>
      </c>
      <c r="K108" s="161">
        <f t="shared" ca="1" si="938"/>
        <v>205.11824999999999</v>
      </c>
      <c r="L108" s="161">
        <f t="shared" ca="1" si="938"/>
        <v>377.75</v>
      </c>
      <c r="M108" s="161">
        <f t="shared" ca="1" si="938"/>
        <v>380.39425</v>
      </c>
      <c r="N108" s="161">
        <f t="shared" ca="1" si="938"/>
        <v>438.19</v>
      </c>
      <c r="O108" s="161">
        <f t="shared" ca="1" si="938"/>
        <v>426.85749999999996</v>
      </c>
      <c r="P108" s="161">
        <f t="shared" ca="1" si="938"/>
        <v>517.51749999999993</v>
      </c>
      <c r="Q108" s="161">
        <f t="shared" ca="1" si="938"/>
        <v>1322.8805</v>
      </c>
      <c r="R108" s="161">
        <f t="shared" ca="1" si="938"/>
        <v>1336.4794999999999</v>
      </c>
      <c r="S108" s="161">
        <f t="shared" ca="1" si="938"/>
        <v>1518.5549999999998</v>
      </c>
      <c r="T108" s="161">
        <f t="shared" ca="1" si="938"/>
        <v>1405.23</v>
      </c>
      <c r="U108" s="161">
        <f t="shared" ca="1" si="938"/>
        <v>1171.0249999999999</v>
      </c>
      <c r="V108" s="161">
        <f t="shared" ca="1" si="938"/>
        <v>1246.575</v>
      </c>
      <c r="W108" s="161">
        <f t="shared" ca="1" si="938"/>
        <v>1549.5304999999998</v>
      </c>
      <c r="X108" s="161">
        <f t="shared" ca="1" si="938"/>
        <v>1118.1399999999999</v>
      </c>
      <c r="Y108" s="161">
        <f t="shared" ca="1" si="938"/>
        <v>1405.23</v>
      </c>
      <c r="Z108" s="161">
        <f t="shared" ca="1" si="938"/>
        <v>1962.789</v>
      </c>
      <c r="AA108" s="161">
        <f t="shared" ref="AA108" ca="1" si="939">+AA79*AA65</f>
        <v>1962.789</v>
      </c>
      <c r="AB108" s="20">
        <f t="shared" ca="1" si="938"/>
        <v>1125.3172499999998</v>
      </c>
      <c r="AC108" s="20">
        <f t="shared" ca="1" si="938"/>
        <v>1391.5890163711795</v>
      </c>
      <c r="AD108" s="20">
        <f t="shared" ca="1" si="938"/>
        <v>1732.7840553883038</v>
      </c>
      <c r="AE108" s="20">
        <f t="shared" ca="1" si="938"/>
        <v>2167.3445033489375</v>
      </c>
      <c r="AL108" s="161">
        <f t="shared" ref="AL108:BQ108" si="940">+AL79*AL65</f>
        <v>460.85499999999996</v>
      </c>
      <c r="AM108" s="161">
        <f t="shared" si="940"/>
        <v>426.85749999999996</v>
      </c>
      <c r="AN108" s="161">
        <f t="shared" si="940"/>
        <v>429.50175000000002</v>
      </c>
      <c r="AO108" s="161">
        <f t="shared" si="940"/>
        <v>454.05549999999999</v>
      </c>
      <c r="AP108" s="161">
        <f t="shared" si="940"/>
        <v>517.51749999999993</v>
      </c>
      <c r="AQ108" s="161">
        <f t="shared" si="940"/>
        <v>665.97325000000001</v>
      </c>
      <c r="AR108" s="161">
        <f t="shared" si="940"/>
        <v>984.79424999999992</v>
      </c>
      <c r="AS108" s="161">
        <f t="shared" si="940"/>
        <v>1262.4404999999999</v>
      </c>
      <c r="AT108" s="161">
        <f t="shared" si="940"/>
        <v>1322.8805</v>
      </c>
      <c r="AU108" s="161">
        <f t="shared" si="940"/>
        <v>1609.9704999999999</v>
      </c>
      <c r="AV108" s="161">
        <f t="shared" si="940"/>
        <v>1677.9654999999998</v>
      </c>
      <c r="AW108" s="161">
        <f t="shared" si="940"/>
        <v>1714.9849999999999</v>
      </c>
      <c r="AX108" s="161">
        <f t="shared" si="940"/>
        <v>1336.4794999999999</v>
      </c>
      <c r="AY108" s="161">
        <f t="shared" si="940"/>
        <v>1591.0829999999999</v>
      </c>
      <c r="AZ108" s="161">
        <f t="shared" si="940"/>
        <v>1927.2804999999998</v>
      </c>
      <c r="BA108" s="161">
        <f t="shared" si="940"/>
        <v>1725.1842499999998</v>
      </c>
      <c r="BB108" s="161">
        <f t="shared" si="940"/>
        <v>1714.9849999999999</v>
      </c>
      <c r="BC108" s="161">
        <f t="shared" si="940"/>
        <v>1752.76</v>
      </c>
      <c r="BD108" s="161">
        <f t="shared" si="940"/>
        <v>1518.5549999999998</v>
      </c>
      <c r="BE108" s="161">
        <f t="shared" si="940"/>
        <v>1625.8359999999998</v>
      </c>
      <c r="BF108" s="161">
        <f t="shared" si="940"/>
        <v>2085.1799999999998</v>
      </c>
      <c r="BG108" s="161">
        <f t="shared" si="940"/>
        <v>2002.0749999999998</v>
      </c>
      <c r="BH108" s="161">
        <f t="shared" si="940"/>
        <v>1764.0925</v>
      </c>
      <c r="BI108" s="161">
        <f t="shared" si="940"/>
        <v>1405.23</v>
      </c>
      <c r="BJ108" s="161">
        <f t="shared" si="940"/>
        <v>1171.0249999999999</v>
      </c>
      <c r="BK108" s="161">
        <f t="shared" si="940"/>
        <v>1481.5355</v>
      </c>
      <c r="BL108" s="161">
        <f t="shared" si="940"/>
        <v>1518.9327499999999</v>
      </c>
      <c r="BM108" s="161">
        <f t="shared" si="940"/>
        <v>1680.6097499999998</v>
      </c>
      <c r="BN108" s="161">
        <f t="shared" si="940"/>
        <v>1246.575</v>
      </c>
      <c r="BO108" s="161">
        <f t="shared" si="940"/>
        <v>1319.1029999999998</v>
      </c>
      <c r="BP108" s="161">
        <f t="shared" si="940"/>
        <v>1511</v>
      </c>
      <c r="BQ108" s="161">
        <f t="shared" si="940"/>
        <v>2025.8732499999996</v>
      </c>
      <c r="BR108" s="161">
        <f t="shared" ref="BR108:CJ108" si="941">+BR79*BR65</f>
        <v>1979.78775</v>
      </c>
      <c r="BS108" s="161">
        <f t="shared" si="941"/>
        <v>1964.3</v>
      </c>
      <c r="BT108" s="161">
        <f t="shared" si="941"/>
        <v>1968.0774999999999</v>
      </c>
      <c r="BU108" s="161">
        <f t="shared" si="941"/>
        <v>1549.5304999999998</v>
      </c>
      <c r="BV108" s="161">
        <f t="shared" si="941"/>
        <v>1118.1399999999999</v>
      </c>
      <c r="BW108" s="161">
        <f t="shared" si="941"/>
        <v>1147.9822499999998</v>
      </c>
      <c r="BX108" s="161">
        <f t="shared" si="941"/>
        <v>1231.4649999999999</v>
      </c>
      <c r="BY108" s="161">
        <f t="shared" si="941"/>
        <v>1375.7655</v>
      </c>
      <c r="BZ108" s="161">
        <f t="shared" si="941"/>
        <v>1405.23</v>
      </c>
      <c r="CA108" s="161">
        <f t="shared" si="941"/>
        <v>1433.56125</v>
      </c>
      <c r="CB108" s="161">
        <f t="shared" si="941"/>
        <v>1842.6644999999999</v>
      </c>
      <c r="CC108" s="161">
        <f t="shared" si="941"/>
        <v>1896.3049999999998</v>
      </c>
      <c r="CD108" s="161">
        <f t="shared" si="941"/>
        <v>2180.7507499999997</v>
      </c>
      <c r="CE108" s="161">
        <f t="shared" si="941"/>
        <v>1980.9209999999998</v>
      </c>
      <c r="CF108" s="161">
        <f t="shared" si="941"/>
        <v>2705.0677500000002</v>
      </c>
      <c r="CG108" s="161">
        <f t="shared" si="941"/>
        <v>1962.789</v>
      </c>
      <c r="CH108" s="161">
        <f t="shared" si="941"/>
        <v>1287.3720000000001</v>
      </c>
      <c r="CI108" s="161">
        <f t="shared" si="941"/>
        <v>1337.9904999999999</v>
      </c>
      <c r="CJ108" s="161">
        <f t="shared" si="941"/>
        <v>1534.4204999999999</v>
      </c>
      <c r="CK108" s="161">
        <f t="shared" ref="CK108:CL108" si="942">+CK79*CK65</f>
        <v>1530.2652499999999</v>
      </c>
      <c r="CL108" s="161">
        <f t="shared" si="942"/>
        <v>1125.3172499999998</v>
      </c>
      <c r="CM108" s="20">
        <f t="shared" ref="CM108:DA108" si="943">+CM79*CM65</f>
        <v>1203.050274656857</v>
      </c>
      <c r="CN108" s="20">
        <f t="shared" si="943"/>
        <v>1205.5580154921208</v>
      </c>
      <c r="CO108" s="20">
        <f t="shared" si="943"/>
        <v>1274.3324366022648</v>
      </c>
      <c r="CP108" s="20">
        <f t="shared" si="943"/>
        <v>1391.5890163711795</v>
      </c>
      <c r="CQ108" s="20">
        <f t="shared" si="943"/>
        <v>1469.46590140035</v>
      </c>
      <c r="CR108" s="20">
        <f t="shared" si="943"/>
        <v>1544.0155103343832</v>
      </c>
      <c r="CS108" s="20">
        <f t="shared" si="943"/>
        <v>1631.1133815829362</v>
      </c>
      <c r="CT108" s="20">
        <f t="shared" si="943"/>
        <v>1732.7840553883038</v>
      </c>
      <c r="CU108" s="20">
        <f t="shared" si="943"/>
        <v>1831.1500105181017</v>
      </c>
      <c r="CV108" s="20">
        <f t="shared" si="943"/>
        <v>1935.3000824797589</v>
      </c>
      <c r="CW108" s="20">
        <f t="shared" si="943"/>
        <v>2047.7147197861393</v>
      </c>
      <c r="CX108" s="20">
        <f t="shared" si="943"/>
        <v>2167.3445033489375</v>
      </c>
      <c r="CY108" s="20">
        <f t="shared" si="943"/>
        <v>2292.3833844434389</v>
      </c>
      <c r="CZ108" s="20">
        <f t="shared" si="943"/>
        <v>2424.9106101148395</v>
      </c>
      <c r="DA108" s="20">
        <f t="shared" si="943"/>
        <v>2565.5872768302424</v>
      </c>
      <c r="DD108" s="21"/>
      <c r="DE108" s="161">
        <v>1287.3720000000001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44">+C168</f>
        <v>0</v>
      </c>
      <c r="D109" s="161">
        <f t="shared" si="944"/>
        <v>-4.811300000000001</v>
      </c>
      <c r="E109" s="161">
        <f t="shared" si="944"/>
        <v>-30.4495</v>
      </c>
      <c r="F109" s="161">
        <f t="shared" si="944"/>
        <v>-9.3086000000000002</v>
      </c>
      <c r="G109" s="161">
        <f t="shared" si="944"/>
        <v>-5.4789999999999992</v>
      </c>
      <c r="H109" s="161">
        <f t="shared" si="944"/>
        <v>18.197500000000005</v>
      </c>
      <c r="I109" s="161">
        <f t="shared" si="944"/>
        <v>49.6678</v>
      </c>
      <c r="J109" s="161">
        <f t="shared" si="944"/>
        <v>20.517999999999994</v>
      </c>
      <c r="K109" s="161">
        <f t="shared" si="944"/>
        <v>-11.173200000000001</v>
      </c>
      <c r="L109" s="161">
        <f t="shared" si="944"/>
        <v>-27.756900000000005</v>
      </c>
      <c r="M109" s="161">
        <f t="shared" si="944"/>
        <v>-63.501599999999989</v>
      </c>
      <c r="N109" s="161">
        <f t="shared" si="944"/>
        <v>-23.275799999999997</v>
      </c>
      <c r="O109" s="161">
        <f t="shared" si="944"/>
        <v>-24.389199999999995</v>
      </c>
      <c r="P109" s="161">
        <f t="shared" si="944"/>
        <v>-156.05409999999998</v>
      </c>
      <c r="Q109" s="161">
        <f t="shared" si="944"/>
        <v>306.64829999999995</v>
      </c>
      <c r="R109" s="161">
        <f t="shared" si="944"/>
        <v>209.3716</v>
      </c>
      <c r="S109" s="161">
        <f t="shared" si="944"/>
        <v>223.54759999999999</v>
      </c>
      <c r="T109" s="161">
        <f t="shared" si="944"/>
        <v>334.22720000000004</v>
      </c>
      <c r="U109" s="161">
        <f t="shared" si="944"/>
        <v>167.18</v>
      </c>
      <c r="V109" s="161">
        <f t="shared" si="944"/>
        <v>162.33000000000001</v>
      </c>
      <c r="W109" s="161">
        <f t="shared" si="944"/>
        <v>315.89999999999998</v>
      </c>
      <c r="X109" s="161">
        <f t="shared" ref="X109:Y109" si="945">+X168</f>
        <v>319.91000000000003</v>
      </c>
      <c r="Y109" s="161">
        <f t="shared" si="945"/>
        <v>-191.77000000000004</v>
      </c>
      <c r="Z109" s="161">
        <f t="shared" ref="Z109:AA109" si="946">+Z168</f>
        <v>-227.46000000000004</v>
      </c>
      <c r="AA109" s="161">
        <f t="shared" si="946"/>
        <v>-393.23</v>
      </c>
      <c r="AB109" s="20">
        <f t="shared" ref="AA109:AD109" si="947">+AB168</f>
        <v>-370.95684122502507</v>
      </c>
      <c r="AC109" s="20">
        <f t="shared" si="947"/>
        <v>-544.90001114680911</v>
      </c>
      <c r="AD109" s="20">
        <f t="shared" si="947"/>
        <v>-762.54730319084149</v>
      </c>
      <c r="AE109" s="20">
        <f t="shared" ref="AE109" si="948">+AE168</f>
        <v>-1034.2014811567651</v>
      </c>
      <c r="AL109" s="161">
        <f t="shared" ref="AL109:AM109" si="949">+AL168</f>
        <v>-36.829553924566831</v>
      </c>
      <c r="AM109" s="161">
        <f t="shared" si="949"/>
        <v>-6.759999999999998</v>
      </c>
      <c r="AN109" s="161">
        <f t="shared" ref="AN109:AO109" si="950">+AN168</f>
        <v>-45.158004921127166</v>
      </c>
      <c r="AO109" s="161">
        <f t="shared" si="950"/>
        <v>-30.090000000000003</v>
      </c>
      <c r="AP109" s="161">
        <f t="shared" ref="AP109:CD109" si="951">+AP168</f>
        <v>-51.518290535583347</v>
      </c>
      <c r="AQ109" s="161">
        <f t="shared" si="951"/>
        <v>-18.740000000000002</v>
      </c>
      <c r="AR109" s="161">
        <f t="shared" si="951"/>
        <v>-40.344398902159462</v>
      </c>
      <c r="AS109" s="161">
        <f t="shared" si="951"/>
        <v>-160.26000000000002</v>
      </c>
      <c r="AT109" s="161">
        <f t="shared" si="951"/>
        <v>-108.23940929902628</v>
      </c>
      <c r="AU109" s="161">
        <f t="shared" si="951"/>
        <v>375.23</v>
      </c>
      <c r="AV109" s="161">
        <f t="shared" si="951"/>
        <v>344.97588906835051</v>
      </c>
      <c r="AW109" s="161">
        <f t="shared" si="951"/>
        <v>264.77999999999997</v>
      </c>
      <c r="AX109" s="161">
        <f t="shared" si="951"/>
        <v>229.20089206234962</v>
      </c>
      <c r="AY109" s="161">
        <f t="shared" si="951"/>
        <v>232.55</v>
      </c>
      <c r="AZ109" s="161">
        <f t="shared" si="951"/>
        <v>207.34354783459753</v>
      </c>
      <c r="BA109" s="161">
        <f t="shared" si="951"/>
        <v>182.26</v>
      </c>
      <c r="BB109" s="161">
        <f t="shared" si="951"/>
        <v>158.49461226364539</v>
      </c>
      <c r="BC109" s="161">
        <f t="shared" si="951"/>
        <v>197.65</v>
      </c>
      <c r="BD109" s="161">
        <f t="shared" si="951"/>
        <v>171.55687184806325</v>
      </c>
      <c r="BE109" s="161">
        <f t="shared" si="951"/>
        <v>212.05</v>
      </c>
      <c r="BF109" s="161">
        <f t="shared" si="951"/>
        <v>188.65889110355761</v>
      </c>
      <c r="BG109" s="161">
        <f t="shared" si="951"/>
        <v>285.74</v>
      </c>
      <c r="BH109" s="161">
        <f t="shared" si="951"/>
        <v>308.99597366830142</v>
      </c>
      <c r="BI109" s="161">
        <f t="shared" si="951"/>
        <v>330.64</v>
      </c>
      <c r="BJ109" s="161">
        <f t="shared" si="951"/>
        <v>298.56679433017422</v>
      </c>
      <c r="BK109" s="161">
        <f t="shared" si="951"/>
        <v>-70.89</v>
      </c>
      <c r="BL109" s="161">
        <f t="shared" si="951"/>
        <v>-91.458076844181633</v>
      </c>
      <c r="BM109" s="161">
        <f t="shared" si="951"/>
        <v>163.42000000000002</v>
      </c>
      <c r="BN109" s="161">
        <f t="shared" si="951"/>
        <v>81.751285600448739</v>
      </c>
      <c r="BO109" s="161">
        <f t="shared" si="951"/>
        <v>115.45</v>
      </c>
      <c r="BP109" s="161">
        <f t="shared" si="951"/>
        <v>111.70679692254896</v>
      </c>
      <c r="BQ109" s="161">
        <f t="shared" si="951"/>
        <v>160.57</v>
      </c>
      <c r="BR109" s="161">
        <f t="shared" si="951"/>
        <v>191.60192609062045</v>
      </c>
      <c r="BS109" s="161">
        <f t="shared" si="951"/>
        <v>285.81</v>
      </c>
      <c r="BT109" s="161">
        <f t="shared" si="951"/>
        <v>311.95547854038392</v>
      </c>
      <c r="BU109" s="161">
        <f t="shared" si="951"/>
        <v>319.41000000000003</v>
      </c>
      <c r="BV109" s="161">
        <f t="shared" si="951"/>
        <v>335.60024215124622</v>
      </c>
      <c r="BW109" s="161">
        <f t="shared" si="951"/>
        <v>485.32</v>
      </c>
      <c r="BX109" s="161">
        <f t="shared" si="951"/>
        <v>467.23991270011487</v>
      </c>
      <c r="BY109" s="161">
        <f t="shared" si="951"/>
        <v>322.96999999999997</v>
      </c>
      <c r="BZ109" s="161">
        <f t="shared" si="951"/>
        <v>265.93113655064866</v>
      </c>
      <c r="CA109" s="161">
        <f t="shared" si="951"/>
        <v>321.09999999999997</v>
      </c>
      <c r="CB109" s="161">
        <f t="shared" si="951"/>
        <v>319.14967090236422</v>
      </c>
      <c r="CC109" s="161">
        <f t="shared" si="951"/>
        <v>-188.82000000000005</v>
      </c>
      <c r="CD109" s="161">
        <f t="shared" si="951"/>
        <v>-211.10943733125748</v>
      </c>
      <c r="CE109" s="161">
        <f t="shared" ref="CE109:CF109" si="952">+CE168</f>
        <v>-110.89000000000001</v>
      </c>
      <c r="CF109" s="161">
        <f t="shared" si="952"/>
        <v>-114.43938775510165</v>
      </c>
      <c r="CG109" s="161">
        <f t="shared" ref="CG109:CH109" si="953">+CG168</f>
        <v>-227.46000000000004</v>
      </c>
      <c r="CH109" s="161">
        <f t="shared" si="953"/>
        <v>-258.69220671609241</v>
      </c>
      <c r="CI109" s="161">
        <f t="shared" ref="CI109:CJ109" si="954">+CI168</f>
        <v>-176.39</v>
      </c>
      <c r="CJ109" s="161">
        <f t="shared" si="954"/>
        <v>-204.27322542181855</v>
      </c>
      <c r="CK109" s="161">
        <f t="shared" ref="CK109:CL109" si="955">+CK168</f>
        <v>-235.67413586397277</v>
      </c>
      <c r="CL109" s="161">
        <f t="shared" si="955"/>
        <v>-267.97120918609005</v>
      </c>
      <c r="CM109" s="20">
        <f t="shared" ref="CM109:DA109" si="956">+CM168</f>
        <v>-310.44356189114126</v>
      </c>
      <c r="CN109" s="20">
        <f t="shared" si="956"/>
        <v>-335.36121665777841</v>
      </c>
      <c r="CO109" s="20">
        <f t="shared" si="956"/>
        <v>-370.95684122502507</v>
      </c>
      <c r="CP109" s="20">
        <f t="shared" si="956"/>
        <v>-417.10708846507612</v>
      </c>
      <c r="CQ109" s="20">
        <f t="shared" si="956"/>
        <v>-468.67227795802285</v>
      </c>
      <c r="CR109" s="20">
        <f t="shared" si="956"/>
        <v>-500.61299909908041</v>
      </c>
      <c r="CS109" s="20">
        <f t="shared" si="956"/>
        <v>-544.90001114680911</v>
      </c>
      <c r="CT109" s="20">
        <f t="shared" si="956"/>
        <v>-601.94379564387475</v>
      </c>
      <c r="CU109" s="20">
        <f t="shared" si="956"/>
        <v>-663.81113786598826</v>
      </c>
      <c r="CV109" s="20">
        <f t="shared" si="956"/>
        <v>-706.53997006025509</v>
      </c>
      <c r="CW109" s="20">
        <f t="shared" si="956"/>
        <v>-762.54730319084149</v>
      </c>
      <c r="CX109" s="20">
        <f t="shared" si="956"/>
        <v>-832.06084379577396</v>
      </c>
      <c r="CY109" s="20">
        <f t="shared" si="956"/>
        <v>-906.87006998581535</v>
      </c>
      <c r="CZ109" s="20">
        <f t="shared" si="956"/>
        <v>-963.50066616052698</v>
      </c>
      <c r="DA109" s="20">
        <f t="shared" si="956"/>
        <v>-1034.2014811567651</v>
      </c>
      <c r="DD109" s="21"/>
      <c r="DE109" s="161">
        <v>-235.67413586397277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57">+C107+C109</f>
        <v>#DIV/0!</v>
      </c>
      <c r="D110" s="161">
        <f t="shared" si="957"/>
        <v>29.541176</v>
      </c>
      <c r="E110" s="161">
        <f t="shared" ca="1" si="957"/>
        <v>289.50475</v>
      </c>
      <c r="F110" s="161">
        <f t="shared" ca="1" si="957"/>
        <v>356.35339999999997</v>
      </c>
      <c r="G110" s="161">
        <f t="shared" ca="1" si="957"/>
        <v>490.12899999999996</v>
      </c>
      <c r="H110" s="161">
        <f t="shared" ca="1" si="957"/>
        <v>771.88430000000005</v>
      </c>
      <c r="I110" s="161">
        <f t="shared" ca="1" si="957"/>
        <v>682.32349999999997</v>
      </c>
      <c r="J110" s="161">
        <f t="shared" ca="1" si="957"/>
        <v>607.54150000000004</v>
      </c>
      <c r="K110" s="161">
        <f t="shared" ca="1" si="957"/>
        <v>562.25130000000001</v>
      </c>
      <c r="L110" s="161">
        <f t="shared" ca="1" si="957"/>
        <v>512.42560000000003</v>
      </c>
      <c r="M110" s="161">
        <f t="shared" ca="1" si="957"/>
        <v>640.24665000000005</v>
      </c>
      <c r="N110" s="161">
        <f t="shared" ca="1" si="957"/>
        <v>558.45920000000001</v>
      </c>
      <c r="O110" s="161">
        <f t="shared" ca="1" si="957"/>
        <v>593.60979999999995</v>
      </c>
      <c r="P110" s="161">
        <f t="shared" ca="1" si="957"/>
        <v>1445.6058999999998</v>
      </c>
      <c r="Q110" s="161">
        <f t="shared" ca="1" si="957"/>
        <v>2830.0182999999997</v>
      </c>
      <c r="R110" s="161">
        <f t="shared" ca="1" si="957"/>
        <v>2679.8566000000001</v>
      </c>
      <c r="S110" s="161">
        <f t="shared" ca="1" si="957"/>
        <v>3147.3325999999997</v>
      </c>
      <c r="T110" s="161">
        <f t="shared" ca="1" si="957"/>
        <v>3152.6199500000002</v>
      </c>
      <c r="U110" s="161">
        <f t="shared" ca="1" si="957"/>
        <v>2356.6189999999997</v>
      </c>
      <c r="V110" s="161">
        <f t="shared" ca="1" si="957"/>
        <v>2700.81</v>
      </c>
      <c r="W110" s="161">
        <f t="shared" ca="1" si="957"/>
        <v>2978.6597499999998</v>
      </c>
      <c r="X110" s="161">
        <f t="shared" ref="X110:Y110" ca="1" si="958">+X107+X109</f>
        <v>2110.0672499999996</v>
      </c>
      <c r="Y110" s="161">
        <f t="shared" ca="1" si="958"/>
        <v>2251.5169999999998</v>
      </c>
      <c r="Z110" s="161">
        <f t="shared" ref="Z110:AA110" ca="1" si="959">+Z107+Z109</f>
        <v>3183.6224999999999</v>
      </c>
      <c r="AA110" s="161">
        <f t="shared" ca="1" si="959"/>
        <v>3183.6224999999999</v>
      </c>
      <c r="AB110" s="20">
        <f t="shared" ref="AA110:AD110" ca="1" si="960">+AB107+AB109</f>
        <v>1454.3457794469671</v>
      </c>
      <c r="AC110" s="20">
        <f t="shared" ca="1" si="960"/>
        <v>1791.4413111809481</v>
      </c>
      <c r="AD110" s="20">
        <f t="shared" ca="1" si="960"/>
        <v>2170.517050393401</v>
      </c>
      <c r="AE110" s="20">
        <f t="shared" ref="AE110" ca="1" si="961">+AE107+AE109</f>
        <v>2640.6427317450966</v>
      </c>
      <c r="AL110" s="161">
        <f t="shared" ref="AL110" si="962">+AL107+AL109</f>
        <v>581.16944607543303</v>
      </c>
      <c r="AM110" s="161">
        <f t="shared" ref="AM110:AO110" si="963">+AM107+AM109</f>
        <v>554.57650000000001</v>
      </c>
      <c r="AN110" s="161">
        <f t="shared" si="963"/>
        <v>498.80199507887289</v>
      </c>
      <c r="AO110" s="161">
        <f t="shared" si="963"/>
        <v>552.40049999999985</v>
      </c>
      <c r="AP110" s="161">
        <f t="shared" ref="AP110:CD110" si="964">+AP107+AP109</f>
        <v>710.02570946441665</v>
      </c>
      <c r="AQ110" s="161">
        <f t="shared" si="964"/>
        <v>1076.7349999999999</v>
      </c>
      <c r="AR110" s="161">
        <f t="shared" si="964"/>
        <v>1561.3156010978405</v>
      </c>
      <c r="AS110" s="161">
        <f t="shared" si="964"/>
        <v>1342.8072499999998</v>
      </c>
      <c r="AT110" s="161">
        <f t="shared" si="964"/>
        <v>1691.3615907009737</v>
      </c>
      <c r="AU110" s="161">
        <f t="shared" si="964"/>
        <v>2336.5079999999998</v>
      </c>
      <c r="AV110" s="161">
        <f t="shared" si="964"/>
        <v>2868.3458890683505</v>
      </c>
      <c r="AW110" s="161">
        <f t="shared" si="964"/>
        <v>2485.9499999999998</v>
      </c>
      <c r="AX110" s="161">
        <f t="shared" si="964"/>
        <v>2110.3958920623495</v>
      </c>
      <c r="AY110" s="161">
        <f t="shared" si="964"/>
        <v>2613.1305000000002</v>
      </c>
      <c r="AZ110" s="161">
        <f t="shared" si="964"/>
        <v>2677.8285478345979</v>
      </c>
      <c r="BA110" s="161">
        <f t="shared" si="964"/>
        <v>2418.54</v>
      </c>
      <c r="BB110" s="161">
        <f t="shared" si="964"/>
        <v>2107.6846122636452</v>
      </c>
      <c r="BC110" s="161">
        <f t="shared" si="964"/>
        <v>2293.4069999999997</v>
      </c>
      <c r="BD110" s="161">
        <f t="shared" si="964"/>
        <v>2236.3383718480632</v>
      </c>
      <c r="BE110" s="161">
        <f t="shared" si="964"/>
        <v>3135.835</v>
      </c>
      <c r="BF110" s="161">
        <f t="shared" si="964"/>
        <v>3007.0516411035578</v>
      </c>
      <c r="BG110" s="161">
        <f t="shared" si="964"/>
        <v>3034.6267500000004</v>
      </c>
      <c r="BH110" s="161">
        <f t="shared" si="964"/>
        <v>2561.1414736683014</v>
      </c>
      <c r="BI110" s="161">
        <f t="shared" si="964"/>
        <v>2124.5747499999998</v>
      </c>
      <c r="BJ110" s="161">
        <f t="shared" si="964"/>
        <v>1915.3367943301741</v>
      </c>
      <c r="BK110" s="161">
        <f t="shared" si="964"/>
        <v>2118.549</v>
      </c>
      <c r="BL110" s="161">
        <f t="shared" si="964"/>
        <v>1955.9469231558182</v>
      </c>
      <c r="BM110" s="161">
        <f t="shared" si="964"/>
        <v>2241.0450000000001</v>
      </c>
      <c r="BN110" s="161">
        <f t="shared" si="964"/>
        <v>2370.9162856004486</v>
      </c>
      <c r="BO110" s="161">
        <f t="shared" si="964"/>
        <v>1890.875</v>
      </c>
      <c r="BP110" s="161">
        <f t="shared" si="964"/>
        <v>2650.1867969225491</v>
      </c>
      <c r="BQ110" s="161">
        <f t="shared" si="964"/>
        <v>2578.17</v>
      </c>
      <c r="BR110" s="161">
        <f t="shared" si="964"/>
        <v>2854.3616760906202</v>
      </c>
      <c r="BS110" s="161">
        <f t="shared" si="964"/>
        <v>2625.9712500000001</v>
      </c>
      <c r="BT110" s="161">
        <f t="shared" si="964"/>
        <v>2789.9954785403838</v>
      </c>
      <c r="BU110" s="161">
        <f t="shared" si="964"/>
        <v>2380.4139999999998</v>
      </c>
      <c r="BV110" s="161">
        <f t="shared" si="964"/>
        <v>2073.2502421512463</v>
      </c>
      <c r="BW110" s="161">
        <f t="shared" si="964"/>
        <v>2056.3822500000001</v>
      </c>
      <c r="BX110" s="161">
        <f t="shared" si="964"/>
        <v>2156.5379127001147</v>
      </c>
      <c r="BY110" s="161">
        <f t="shared" si="964"/>
        <v>2113.1272499999995</v>
      </c>
      <c r="BZ110" s="161">
        <f t="shared" si="964"/>
        <v>1878.5458865506487</v>
      </c>
      <c r="CA110" s="161">
        <f t="shared" si="964"/>
        <v>2587.6</v>
      </c>
      <c r="CB110" s="161">
        <f t="shared" si="964"/>
        <v>2569.028670902364</v>
      </c>
      <c r="CC110" s="161">
        <f t="shared" si="964"/>
        <v>2254.4669999999996</v>
      </c>
      <c r="CD110" s="161">
        <f t="shared" si="964"/>
        <v>2594.0620626687423</v>
      </c>
      <c r="CE110" s="161">
        <f t="shared" ref="CE110:CF110" si="965">+CE107+CE109</f>
        <v>2902.7994999999996</v>
      </c>
      <c r="CF110" s="161">
        <f t="shared" si="965"/>
        <v>3296.6431122448985</v>
      </c>
      <c r="CG110" s="161">
        <f t="shared" ref="CG110:CH110" si="966">+CG107+CG109</f>
        <v>2870.0899999999997</v>
      </c>
      <c r="CH110" s="161">
        <f t="shared" si="966"/>
        <v>1893.7272932839076</v>
      </c>
      <c r="CI110" s="161">
        <f t="shared" ref="CI110:CJ110" si="967">+CI107+CI109</f>
        <v>1507.9972499999999</v>
      </c>
      <c r="CJ110" s="161">
        <f t="shared" si="967"/>
        <v>1709.0305245781815</v>
      </c>
      <c r="CK110" s="161">
        <f t="shared" ref="CK110:CL110" si="968">+CK107+CK109</f>
        <v>1822.6856141360267</v>
      </c>
      <c r="CL110" s="161">
        <f t="shared" si="968"/>
        <v>1343.8880408139098</v>
      </c>
      <c r="CM110" s="20">
        <f t="shared" ref="CM110:DA110" si="969">+CM107+CM109</f>
        <v>1412.7573518251425</v>
      </c>
      <c r="CN110" s="20">
        <f t="shared" si="969"/>
        <v>1391.4316843509091</v>
      </c>
      <c r="CO110" s="20">
        <f t="shared" si="969"/>
        <v>1454.3457794469671</v>
      </c>
      <c r="CP110" s="20">
        <f t="shared" si="969"/>
        <v>1576.1491494858551</v>
      </c>
      <c r="CQ110" s="20">
        <f t="shared" si="969"/>
        <v>1636.1316835308307</v>
      </c>
      <c r="CR110" s="20">
        <f t="shared" si="969"/>
        <v>1710.9728292315049</v>
      </c>
      <c r="CS110" s="20">
        <f t="shared" si="969"/>
        <v>1791.4413111809481</v>
      </c>
      <c r="CT110" s="20">
        <f t="shared" si="969"/>
        <v>1880.0265179989228</v>
      </c>
      <c r="CU110" s="20">
        <f t="shared" si="969"/>
        <v>1959.0546207378184</v>
      </c>
      <c r="CV110" s="20">
        <f t="shared" si="969"/>
        <v>2065.5061702355256</v>
      </c>
      <c r="CW110" s="20">
        <f t="shared" si="969"/>
        <v>2170.517050393401</v>
      </c>
      <c r="CX110" s="20">
        <f t="shared" si="969"/>
        <v>2272.3564089030906</v>
      </c>
      <c r="CY110" s="20">
        <f t="shared" si="969"/>
        <v>2376.647855969255</v>
      </c>
      <c r="CZ110" s="20">
        <f t="shared" si="969"/>
        <v>2509.8439371828836</v>
      </c>
      <c r="DA110" s="20">
        <f t="shared" si="969"/>
        <v>2640.6427317450966</v>
      </c>
      <c r="DD110" s="21"/>
      <c r="DE110" s="161">
        <v>1916.7453641360271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70">+C108+C109</f>
        <v>#DIV/0!</v>
      </c>
      <c r="D111" s="161">
        <f t="shared" si="970"/>
        <v>8.3028204000000017</v>
      </c>
      <c r="E111" s="161">
        <f t="shared" ca="1" si="970"/>
        <v>128.2055</v>
      </c>
      <c r="F111" s="161">
        <f t="shared" ca="1" si="970"/>
        <v>228.29614999999998</v>
      </c>
      <c r="G111" s="161">
        <f t="shared" ca="1" si="970"/>
        <v>300.49849999999998</v>
      </c>
      <c r="H111" s="161">
        <f t="shared" ca="1" si="970"/>
        <v>380.83749999999998</v>
      </c>
      <c r="I111" s="161">
        <f t="shared" ca="1" si="970"/>
        <v>391.53154999999998</v>
      </c>
      <c r="J111" s="161">
        <f t="shared" ca="1" si="970"/>
        <v>194.28299999999999</v>
      </c>
      <c r="K111" s="161">
        <f t="shared" ca="1" si="970"/>
        <v>193.94504999999998</v>
      </c>
      <c r="L111" s="161">
        <f t="shared" ca="1" si="970"/>
        <v>349.99309999999997</v>
      </c>
      <c r="M111" s="161">
        <f t="shared" ca="1" si="970"/>
        <v>316.89265</v>
      </c>
      <c r="N111" s="161">
        <f t="shared" ca="1" si="970"/>
        <v>414.91419999999999</v>
      </c>
      <c r="O111" s="161">
        <f t="shared" ca="1" si="970"/>
        <v>402.46829999999994</v>
      </c>
      <c r="P111" s="161">
        <f t="shared" ca="1" si="970"/>
        <v>361.46339999999998</v>
      </c>
      <c r="Q111" s="161">
        <f t="shared" ca="1" si="970"/>
        <v>1629.5288</v>
      </c>
      <c r="R111" s="161">
        <f t="shared" ca="1" si="970"/>
        <v>1545.8510999999999</v>
      </c>
      <c r="S111" s="161">
        <f t="shared" ca="1" si="970"/>
        <v>1742.1025999999997</v>
      </c>
      <c r="T111" s="161">
        <f t="shared" ca="1" si="970"/>
        <v>1739.4572000000001</v>
      </c>
      <c r="U111" s="161">
        <f t="shared" ca="1" si="970"/>
        <v>1338.2049999999999</v>
      </c>
      <c r="V111" s="161">
        <f t="shared" ca="1" si="970"/>
        <v>1408.905</v>
      </c>
      <c r="W111" s="161">
        <f t="shared" ca="1" si="970"/>
        <v>1865.4304999999999</v>
      </c>
      <c r="X111" s="161">
        <f t="shared" ref="X111:Y111" ca="1" si="971">+X108+X109</f>
        <v>1438.05</v>
      </c>
      <c r="Y111" s="161">
        <f t="shared" ca="1" si="971"/>
        <v>1213.46</v>
      </c>
      <c r="Z111" s="161">
        <f t="shared" ref="Z111:AA111" ca="1" si="972">+Z108+Z109</f>
        <v>1735.329</v>
      </c>
      <c r="AA111" s="161">
        <f t="shared" ca="1" si="972"/>
        <v>1735.329</v>
      </c>
      <c r="AB111" s="20">
        <f t="shared" ref="AA111:AD111" ca="1" si="973">+AB108+AB109</f>
        <v>754.36040877497476</v>
      </c>
      <c r="AC111" s="20">
        <f t="shared" ca="1" si="973"/>
        <v>846.68900522437036</v>
      </c>
      <c r="AD111" s="20">
        <f t="shared" ca="1" si="973"/>
        <v>970.23675219746235</v>
      </c>
      <c r="AE111" s="20">
        <f t="shared" ref="AE111" ca="1" si="974">+AE108+AE109</f>
        <v>1133.1430221921723</v>
      </c>
      <c r="AL111" s="161">
        <f t="shared" ref="AL111:AM111" si="975">+AL108+AL109</f>
        <v>424.02544607543314</v>
      </c>
      <c r="AM111" s="161">
        <f t="shared" si="975"/>
        <v>420.09749999999997</v>
      </c>
      <c r="AN111" s="161">
        <f t="shared" ref="AN111:AO111" si="976">+AN108+AN109</f>
        <v>384.34374507887287</v>
      </c>
      <c r="AO111" s="161">
        <f t="shared" si="976"/>
        <v>423.96550000000002</v>
      </c>
      <c r="AP111" s="161">
        <f t="shared" ref="AP111:CD111" si="977">+AP108+AP109</f>
        <v>465.99920946441659</v>
      </c>
      <c r="AQ111" s="161">
        <f t="shared" si="977"/>
        <v>647.23325</v>
      </c>
      <c r="AR111" s="161">
        <f t="shared" si="977"/>
        <v>944.44985109784045</v>
      </c>
      <c r="AS111" s="161">
        <f t="shared" si="977"/>
        <v>1102.1804999999999</v>
      </c>
      <c r="AT111" s="161">
        <f t="shared" si="977"/>
        <v>1214.6410907009738</v>
      </c>
      <c r="AU111" s="161">
        <f t="shared" si="977"/>
        <v>1985.2004999999999</v>
      </c>
      <c r="AV111" s="161">
        <f t="shared" si="977"/>
        <v>2022.9413890683504</v>
      </c>
      <c r="AW111" s="161">
        <f t="shared" si="977"/>
        <v>1979.7649999999999</v>
      </c>
      <c r="AX111" s="161">
        <f t="shared" si="977"/>
        <v>1565.6803920623495</v>
      </c>
      <c r="AY111" s="161">
        <f t="shared" si="977"/>
        <v>1823.6329999999998</v>
      </c>
      <c r="AZ111" s="161">
        <f t="shared" si="977"/>
        <v>2134.6240478345971</v>
      </c>
      <c r="BA111" s="161">
        <f t="shared" si="977"/>
        <v>1907.4442499999998</v>
      </c>
      <c r="BB111" s="161">
        <f t="shared" si="977"/>
        <v>1873.4796122636453</v>
      </c>
      <c r="BC111" s="161">
        <f t="shared" si="977"/>
        <v>1950.41</v>
      </c>
      <c r="BD111" s="161">
        <f t="shared" si="977"/>
        <v>1690.1118718480632</v>
      </c>
      <c r="BE111" s="161">
        <f t="shared" si="977"/>
        <v>1837.8859999999997</v>
      </c>
      <c r="BF111" s="161">
        <f t="shared" si="977"/>
        <v>2273.8388911035572</v>
      </c>
      <c r="BG111" s="161">
        <f t="shared" si="977"/>
        <v>2287.8149999999996</v>
      </c>
      <c r="BH111" s="161">
        <f t="shared" si="977"/>
        <v>2073.0884736683015</v>
      </c>
      <c r="BI111" s="161">
        <f t="shared" si="977"/>
        <v>1735.87</v>
      </c>
      <c r="BJ111" s="161">
        <f t="shared" si="977"/>
        <v>1469.591794330174</v>
      </c>
      <c r="BK111" s="161">
        <f t="shared" si="977"/>
        <v>1410.6454999999999</v>
      </c>
      <c r="BL111" s="161">
        <f t="shared" si="977"/>
        <v>1427.4746731558182</v>
      </c>
      <c r="BM111" s="161">
        <f t="shared" si="977"/>
        <v>1844.0297499999999</v>
      </c>
      <c r="BN111" s="161">
        <f t="shared" si="977"/>
        <v>1328.3262856004487</v>
      </c>
      <c r="BO111" s="161">
        <f t="shared" si="977"/>
        <v>1434.5529999999999</v>
      </c>
      <c r="BP111" s="161">
        <f t="shared" si="977"/>
        <v>1622.7067969225491</v>
      </c>
      <c r="BQ111" s="161">
        <f t="shared" si="977"/>
        <v>2186.4432499999998</v>
      </c>
      <c r="BR111" s="161">
        <f t="shared" si="977"/>
        <v>2171.3896760906205</v>
      </c>
      <c r="BS111" s="161">
        <f t="shared" si="977"/>
        <v>2250.11</v>
      </c>
      <c r="BT111" s="161">
        <f t="shared" si="977"/>
        <v>2280.0329785403837</v>
      </c>
      <c r="BU111" s="161">
        <f t="shared" si="977"/>
        <v>1868.9404999999999</v>
      </c>
      <c r="BV111" s="161">
        <f t="shared" si="977"/>
        <v>1453.7402421512461</v>
      </c>
      <c r="BW111" s="161">
        <f t="shared" si="977"/>
        <v>1633.3022499999997</v>
      </c>
      <c r="BX111" s="161">
        <f t="shared" si="977"/>
        <v>1698.7049127001148</v>
      </c>
      <c r="BY111" s="161">
        <f t="shared" si="977"/>
        <v>1698.7355</v>
      </c>
      <c r="BZ111" s="161">
        <f t="shared" si="977"/>
        <v>1671.1611365506487</v>
      </c>
      <c r="CA111" s="161">
        <f t="shared" si="977"/>
        <v>1754.6612499999999</v>
      </c>
      <c r="CB111" s="161">
        <f t="shared" si="977"/>
        <v>2161.8141709023639</v>
      </c>
      <c r="CC111" s="161">
        <f t="shared" si="977"/>
        <v>1707.4849999999997</v>
      </c>
      <c r="CD111" s="161">
        <f t="shared" si="977"/>
        <v>1969.6413126687421</v>
      </c>
      <c r="CE111" s="161">
        <f t="shared" ref="CE111:CF111" si="978">+CE108+CE109</f>
        <v>1870.0309999999997</v>
      </c>
      <c r="CF111" s="161">
        <f t="shared" si="978"/>
        <v>2590.6283622448987</v>
      </c>
      <c r="CG111" s="161">
        <f t="shared" ref="CG111:CH111" si="979">+CG108+CG109</f>
        <v>1735.329</v>
      </c>
      <c r="CH111" s="161">
        <f t="shared" si="979"/>
        <v>1028.6797932839077</v>
      </c>
      <c r="CI111" s="161">
        <f t="shared" ref="CI111:CJ111" si="980">+CI108+CI109</f>
        <v>1161.6005</v>
      </c>
      <c r="CJ111" s="161">
        <f t="shared" si="980"/>
        <v>1330.1472745781814</v>
      </c>
      <c r="CK111" s="161">
        <f t="shared" ref="CK111:CL111" si="981">+CK108+CK109</f>
        <v>1294.591114136027</v>
      </c>
      <c r="CL111" s="161">
        <f t="shared" si="981"/>
        <v>857.34604081390978</v>
      </c>
      <c r="CM111" s="20">
        <f t="shared" ref="CM111:DA111" si="982">+CM108+CM109</f>
        <v>892.60671276571577</v>
      </c>
      <c r="CN111" s="20">
        <f t="shared" si="982"/>
        <v>870.19679883434242</v>
      </c>
      <c r="CO111" s="20">
        <f t="shared" si="982"/>
        <v>903.37559537723973</v>
      </c>
      <c r="CP111" s="20">
        <f t="shared" si="982"/>
        <v>974.48192790610335</v>
      </c>
      <c r="CQ111" s="20">
        <f t="shared" si="982"/>
        <v>1000.7936234423272</v>
      </c>
      <c r="CR111" s="20">
        <f t="shared" si="982"/>
        <v>1043.4025112353029</v>
      </c>
      <c r="CS111" s="20">
        <f t="shared" si="982"/>
        <v>1086.2133704361272</v>
      </c>
      <c r="CT111" s="20">
        <f t="shared" si="982"/>
        <v>1130.8402597444292</v>
      </c>
      <c r="CU111" s="20">
        <f t="shared" si="982"/>
        <v>1167.3388726521134</v>
      </c>
      <c r="CV111" s="20">
        <f t="shared" si="982"/>
        <v>1228.7601124195039</v>
      </c>
      <c r="CW111" s="20">
        <f t="shared" si="982"/>
        <v>1285.1674165952977</v>
      </c>
      <c r="CX111" s="20">
        <f t="shared" si="982"/>
        <v>1335.2836595531635</v>
      </c>
      <c r="CY111" s="20">
        <f t="shared" si="982"/>
        <v>1385.5133144576234</v>
      </c>
      <c r="CZ111" s="20">
        <f t="shared" si="982"/>
        <v>1461.4099439543124</v>
      </c>
      <c r="DA111" s="20">
        <f t="shared" si="982"/>
        <v>1531.3857956734773</v>
      </c>
      <c r="DD111" s="21"/>
      <c r="DE111" s="161">
        <v>1051.6978641360274</v>
      </c>
    </row>
    <row r="112" spans="1:109" s="161" customFormat="1" hidden="1" outlineLevel="1" x14ac:dyDescent="0.2">
      <c r="A112" s="48" t="s">
        <v>13</v>
      </c>
      <c r="B112" s="161">
        <f t="shared" ref="B112:AE112" si="983">+B28</f>
        <v>0</v>
      </c>
      <c r="C112" s="161">
        <f t="shared" si="983"/>
        <v>0</v>
      </c>
      <c r="D112" s="161">
        <f t="shared" si="983"/>
        <v>56.082099999999997</v>
      </c>
      <c r="E112" s="161">
        <f t="shared" si="983"/>
        <v>56.268399999999957</v>
      </c>
      <c r="F112" s="161">
        <f t="shared" si="983"/>
        <v>50.849100000000021</v>
      </c>
      <c r="G112" s="161">
        <f t="shared" si="983"/>
        <v>54.675000000000082</v>
      </c>
      <c r="H112" s="161">
        <f t="shared" si="983"/>
        <v>55.011800000000008</v>
      </c>
      <c r="I112" s="161">
        <f t="shared" si="983"/>
        <v>55.849599999999981</v>
      </c>
      <c r="J112" s="161">
        <f t="shared" si="983"/>
        <v>49.166400000000039</v>
      </c>
      <c r="K112" s="161">
        <f t="shared" si="983"/>
        <v>71.212099999999964</v>
      </c>
      <c r="L112" s="161">
        <f t="shared" si="983"/>
        <v>68.137799999999999</v>
      </c>
      <c r="M112" s="161">
        <f t="shared" si="983"/>
        <v>86.71219999999991</v>
      </c>
      <c r="N112" s="161">
        <f t="shared" si="983"/>
        <v>90.419199999999933</v>
      </c>
      <c r="O112" s="161">
        <f t="shared" si="983"/>
        <v>115.20929999999998</v>
      </c>
      <c r="P112" s="161">
        <f t="shared" si="983"/>
        <v>119.79820000000009</v>
      </c>
      <c r="Q112" s="161">
        <f t="shared" si="983"/>
        <v>234.7636</v>
      </c>
      <c r="R112" s="161">
        <f t="shared" si="983"/>
        <v>250.26819999999992</v>
      </c>
      <c r="S112" s="161">
        <f t="shared" si="983"/>
        <v>220.09019999999975</v>
      </c>
      <c r="T112" s="161">
        <f t="shared" si="983"/>
        <v>222.98710000000017</v>
      </c>
      <c r="U112" s="161">
        <f t="shared" si="983"/>
        <v>294.24999999999977</v>
      </c>
      <c r="V112" s="161">
        <f t="shared" si="983"/>
        <v>234.47999999999979</v>
      </c>
      <c r="W112" s="161">
        <f t="shared" si="983"/>
        <v>109.83000000000015</v>
      </c>
      <c r="X112" s="161">
        <f t="shared" si="983"/>
        <v>157.69999999999982</v>
      </c>
      <c r="Y112" s="161">
        <f t="shared" si="983"/>
        <v>193.02999999999975</v>
      </c>
      <c r="Z112" s="161">
        <f t="shared" si="983"/>
        <v>112.36999999999989</v>
      </c>
      <c r="AA112" s="161">
        <f t="shared" ref="AA112" si="984">+AA28</f>
        <v>191.56999999999982</v>
      </c>
      <c r="AB112" s="20">
        <f t="shared" si="983"/>
        <v>183.52750589807238</v>
      </c>
      <c r="AC112" s="20">
        <f t="shared" si="983"/>
        <v>185.86435145630412</v>
      </c>
      <c r="AD112" s="20">
        <f t="shared" si="983"/>
        <v>184.75523463816796</v>
      </c>
      <c r="AE112" s="20">
        <f t="shared" si="983"/>
        <v>183.1495969498792</v>
      </c>
      <c r="AL112" s="161">
        <f t="shared" ref="AL112:BQ112" si="985">+SUM(AI28:AL28)</f>
        <v>96.809999999999945</v>
      </c>
      <c r="AM112" s="161">
        <f t="shared" si="985"/>
        <v>103.74</v>
      </c>
      <c r="AN112" s="161">
        <f t="shared" si="985"/>
        <v>110.97000000000001</v>
      </c>
      <c r="AO112" s="161">
        <f t="shared" si="985"/>
        <v>114.32000000000001</v>
      </c>
      <c r="AP112" s="161">
        <f t="shared" si="985"/>
        <v>114.71000000000004</v>
      </c>
      <c r="AQ112" s="161">
        <f t="shared" si="985"/>
        <v>115.01999999999995</v>
      </c>
      <c r="AR112" s="161">
        <f t="shared" si="985"/>
        <v>117.02999999999997</v>
      </c>
      <c r="AS112" s="161">
        <f t="shared" si="985"/>
        <v>118.51999999999998</v>
      </c>
      <c r="AT112" s="161">
        <f t="shared" si="985"/>
        <v>141.12999999999991</v>
      </c>
      <c r="AU112" s="161">
        <f t="shared" si="985"/>
        <v>172.44000000000005</v>
      </c>
      <c r="AV112" s="161">
        <f t="shared" si="985"/>
        <v>195.76</v>
      </c>
      <c r="AW112" s="161">
        <f t="shared" si="985"/>
        <v>232.20999999999989</v>
      </c>
      <c r="AX112" s="161">
        <f t="shared" si="985"/>
        <v>257.05999999999995</v>
      </c>
      <c r="AY112" s="161">
        <f t="shared" si="985"/>
        <v>253.58999999999983</v>
      </c>
      <c r="AZ112" s="161">
        <f t="shared" si="985"/>
        <v>258.8499999999998</v>
      </c>
      <c r="BA112" s="161">
        <f t="shared" si="985"/>
        <v>246.71999999999977</v>
      </c>
      <c r="BB112" s="161">
        <f t="shared" si="985"/>
        <v>220.70999999999987</v>
      </c>
      <c r="BC112" s="161">
        <f t="shared" si="985"/>
        <v>202.78999999999976</v>
      </c>
      <c r="BD112" s="161">
        <f t="shared" si="985"/>
        <v>211.02999999999989</v>
      </c>
      <c r="BE112" s="161">
        <f t="shared" si="985"/>
        <v>218.39999999999998</v>
      </c>
      <c r="BF112" s="161">
        <f t="shared" si="985"/>
        <v>220.00999999999991</v>
      </c>
      <c r="BG112" s="161">
        <f t="shared" si="985"/>
        <v>229.99</v>
      </c>
      <c r="BH112" s="161">
        <f t="shared" si="985"/>
        <v>216.9</v>
      </c>
      <c r="BI112" s="161">
        <f t="shared" si="985"/>
        <v>222.32000000000014</v>
      </c>
      <c r="BJ112" s="161">
        <f t="shared" si="985"/>
        <v>255.01000000000016</v>
      </c>
      <c r="BK112" s="161">
        <f t="shared" si="985"/>
        <v>275.31000000000017</v>
      </c>
      <c r="BL112" s="161">
        <f t="shared" si="985"/>
        <v>290.81000000000017</v>
      </c>
      <c r="BM112" s="161">
        <f t="shared" si="985"/>
        <v>291.07000000000016</v>
      </c>
      <c r="BN112" s="161">
        <f t="shared" si="985"/>
        <v>253.78000000000009</v>
      </c>
      <c r="BO112" s="161">
        <f t="shared" si="985"/>
        <v>249.65000000000015</v>
      </c>
      <c r="BP112" s="161">
        <f t="shared" si="985"/>
        <v>260.91000000000008</v>
      </c>
      <c r="BQ112" s="161">
        <f t="shared" si="985"/>
        <v>230.36999999999992</v>
      </c>
      <c r="BR112" s="161">
        <f t="shared" ref="BR112:CW112" si="986">+SUM(BO28:BR28)</f>
        <v>222.71</v>
      </c>
      <c r="BS112" s="161">
        <f t="shared" si="986"/>
        <v>177.92999999999989</v>
      </c>
      <c r="BT112" s="161">
        <f t="shared" si="986"/>
        <v>131.77999999999983</v>
      </c>
      <c r="BU112" s="161">
        <f t="shared" si="986"/>
        <v>107.13999999999993</v>
      </c>
      <c r="BV112" s="161">
        <f t="shared" si="986"/>
        <v>115.55000000000004</v>
      </c>
      <c r="BW112" s="161">
        <f t="shared" si="986"/>
        <v>127.33000000000015</v>
      </c>
      <c r="BX112" s="161">
        <f t="shared" si="986"/>
        <v>119.00000000000034</v>
      </c>
      <c r="BY112" s="161">
        <f t="shared" si="986"/>
        <v>157.03000000000029</v>
      </c>
      <c r="BZ112" s="161">
        <f t="shared" si="986"/>
        <v>157.60000000000011</v>
      </c>
      <c r="CA112" s="161">
        <f t="shared" si="986"/>
        <v>163.0800000000001</v>
      </c>
      <c r="CB112" s="161">
        <f t="shared" si="986"/>
        <v>185.88000000000005</v>
      </c>
      <c r="CC112" s="161">
        <f t="shared" si="986"/>
        <v>194.72000000000006</v>
      </c>
      <c r="CD112" s="161">
        <f t="shared" si="986"/>
        <v>184.49</v>
      </c>
      <c r="CE112" s="161">
        <f t="shared" si="986"/>
        <v>176.48000000000008</v>
      </c>
      <c r="CF112" s="161">
        <f t="shared" si="986"/>
        <v>148.81000000000006</v>
      </c>
      <c r="CG112" s="161">
        <f t="shared" si="986"/>
        <v>117.33000000000004</v>
      </c>
      <c r="CH112" s="161">
        <f t="shared" si="986"/>
        <v>115.0100000000001</v>
      </c>
      <c r="CI112" s="161">
        <f t="shared" si="986"/>
        <v>125.63999999999999</v>
      </c>
      <c r="CJ112" s="161">
        <f t="shared" si="986"/>
        <v>163.03999999999991</v>
      </c>
      <c r="CK112" s="161">
        <f t="shared" si="986"/>
        <v>190.81999999999991</v>
      </c>
      <c r="CL112" s="161">
        <f t="shared" si="986"/>
        <v>192.04999999999993</v>
      </c>
      <c r="CM112" s="20">
        <f t="shared" si="986"/>
        <v>196.07385600510764</v>
      </c>
      <c r="CN112" s="20">
        <f t="shared" si="986"/>
        <v>189.68593187975171</v>
      </c>
      <c r="CO112" s="20">
        <f t="shared" si="986"/>
        <v>183.52750589807255</v>
      </c>
      <c r="CP112" s="20">
        <f t="shared" si="986"/>
        <v>189.13462160656437</v>
      </c>
      <c r="CQ112" s="20">
        <f t="shared" si="986"/>
        <v>188.47576755052506</v>
      </c>
      <c r="CR112" s="20">
        <f t="shared" si="986"/>
        <v>186.61634663689989</v>
      </c>
      <c r="CS112" s="20">
        <f t="shared" si="986"/>
        <v>185.86435145630398</v>
      </c>
      <c r="CT112" s="20">
        <f t="shared" si="986"/>
        <v>186.44590260348556</v>
      </c>
      <c r="CU112" s="20">
        <f t="shared" si="986"/>
        <v>185.79699623580629</v>
      </c>
      <c r="CV112" s="20">
        <f t="shared" si="986"/>
        <v>185.13009545135486</v>
      </c>
      <c r="CW112" s="20">
        <f t="shared" si="986"/>
        <v>184.75523463816822</v>
      </c>
      <c r="CX112" s="20">
        <f t="shared" ref="CX112:DA112" si="987">+SUM(CU28:CX28)</f>
        <v>184.47832463972992</v>
      </c>
      <c r="CY112" s="20">
        <f t="shared" si="987"/>
        <v>183.99964418044027</v>
      </c>
      <c r="CZ112" s="20">
        <f t="shared" si="987"/>
        <v>183.54928293387536</v>
      </c>
      <c r="DA112" s="20">
        <f t="shared" si="987"/>
        <v>183.14959694987925</v>
      </c>
      <c r="DD112" s="21"/>
      <c r="DE112" s="161">
        <v>190.81999999999971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988">+C110/C112</f>
        <v>#DIV/0!</v>
      </c>
      <c r="D113" s="161">
        <f t="shared" si="988"/>
        <v>0.5267487487094813</v>
      </c>
      <c r="E113" s="161">
        <f t="shared" ca="1" si="988"/>
        <v>5.1450681021674729</v>
      </c>
      <c r="F113" s="161">
        <f t="shared" ca="1" si="988"/>
        <v>7.0080571730866392</v>
      </c>
      <c r="G113" s="161">
        <f t="shared" ca="1" si="988"/>
        <v>8.9644078646547634</v>
      </c>
      <c r="H113" s="161">
        <f t="shared" ca="1" si="988"/>
        <v>14.031249659164033</v>
      </c>
      <c r="I113" s="161">
        <f t="shared" ca="1" si="988"/>
        <v>12.217160015470123</v>
      </c>
      <c r="J113" s="161">
        <f t="shared" ca="1" si="988"/>
        <v>12.356843291353435</v>
      </c>
      <c r="K113" s="161">
        <f t="shared" ca="1" si="988"/>
        <v>7.8954461390690671</v>
      </c>
      <c r="L113" s="161">
        <f t="shared" ca="1" si="988"/>
        <v>7.5204306566986316</v>
      </c>
      <c r="M113" s="161">
        <f t="shared" ca="1" si="988"/>
        <v>7.3835821256985836</v>
      </c>
      <c r="N113" s="161">
        <f t="shared" ca="1" si="988"/>
        <v>6.1763342298980799</v>
      </c>
      <c r="O113" s="161">
        <f t="shared" ca="1" si="988"/>
        <v>5.1524468944781372</v>
      </c>
      <c r="P113" s="161">
        <f t="shared" ca="1" si="988"/>
        <v>12.067008519326656</v>
      </c>
      <c r="Q113" s="161">
        <f t="shared" ca="1" si="988"/>
        <v>12.054757637044244</v>
      </c>
      <c r="R113" s="161">
        <f t="shared" ca="1" si="988"/>
        <v>10.707938923123278</v>
      </c>
      <c r="S113" s="161">
        <f t="shared" ca="1" si="988"/>
        <v>14.300194193108114</v>
      </c>
      <c r="T113" s="161">
        <f t="shared" ca="1" si="988"/>
        <v>14.138127048605044</v>
      </c>
      <c r="U113" s="161">
        <f t="shared" ca="1" si="988"/>
        <v>8.0089005947323759</v>
      </c>
      <c r="V113" s="161">
        <f t="shared" ca="1" si="988"/>
        <v>11.518295803480051</v>
      </c>
      <c r="W113" s="161">
        <f t="shared" ca="1" si="988"/>
        <v>27.120638714376724</v>
      </c>
      <c r="X113" s="161">
        <f t="shared" ref="X113:Y113" ca="1" si="989">+X110/X112</f>
        <v>13.380261572606226</v>
      </c>
      <c r="Y113" s="161">
        <f t="shared" ca="1" si="989"/>
        <v>11.664078122571636</v>
      </c>
      <c r="Z113" s="161">
        <f t="shared" ref="Z113:AA113" ca="1" si="990">+Z110/Z112</f>
        <v>28.331605410696831</v>
      </c>
      <c r="AA113" s="161">
        <f t="shared" ca="1" si="990"/>
        <v>28.331605410696831</v>
      </c>
      <c r="AB113" s="20">
        <f t="shared" ref="AA113:AD113" ca="1" si="991">+AB110/AB112</f>
        <v>7.9244022433056029</v>
      </c>
      <c r="AC113" s="20">
        <f t="shared" ca="1" si="991"/>
        <v>9.6384341437422325</v>
      </c>
      <c r="AD113" s="20">
        <f t="shared" ca="1" si="991"/>
        <v>11.748067948625263</v>
      </c>
      <c r="AE113" s="20">
        <f t="shared" ref="AE113" ca="1" si="992">+AE110/AE112</f>
        <v>14.417955462210141</v>
      </c>
      <c r="AL113" s="161">
        <f t="shared" ref="AL113" si="993">+AL110/AL112</f>
        <v>6.0031964267682403</v>
      </c>
      <c r="AM113" s="161">
        <f t="shared" ref="AM113:AO113" si="994">+AM110/AM112</f>
        <v>5.3458309234625023</v>
      </c>
      <c r="AN113" s="161">
        <f t="shared" si="994"/>
        <v>4.4949265123805793</v>
      </c>
      <c r="AO113" s="161">
        <f t="shared" si="994"/>
        <v>4.8320547585724265</v>
      </c>
      <c r="AP113" s="161">
        <f t="shared" ref="AP113:CD113" si="995">+AP110/AP112</f>
        <v>6.1897455275426418</v>
      </c>
      <c r="AQ113" s="161">
        <f t="shared" si="995"/>
        <v>9.3612849939141043</v>
      </c>
      <c r="AR113" s="161">
        <f t="shared" si="995"/>
        <v>13.341156977679576</v>
      </c>
      <c r="AS113" s="161">
        <f t="shared" si="995"/>
        <v>11.329794549443132</v>
      </c>
      <c r="AT113" s="161">
        <f t="shared" si="995"/>
        <v>11.98442280663909</v>
      </c>
      <c r="AU113" s="161">
        <f t="shared" si="995"/>
        <v>13.54968684759916</v>
      </c>
      <c r="AV113" s="161">
        <f t="shared" si="995"/>
        <v>14.652359466021407</v>
      </c>
      <c r="AW113" s="161">
        <f t="shared" si="995"/>
        <v>10.705611300116278</v>
      </c>
      <c r="AX113" s="161">
        <f t="shared" si="995"/>
        <v>8.2097404966247183</v>
      </c>
      <c r="AY113" s="161">
        <f t="shared" si="995"/>
        <v>10.304548680941686</v>
      </c>
      <c r="AZ113" s="161">
        <f t="shared" si="995"/>
        <v>10.345097731638401</v>
      </c>
      <c r="BA113" s="161">
        <f t="shared" si="995"/>
        <v>9.8027723735408649</v>
      </c>
      <c r="BB113" s="161">
        <f t="shared" si="995"/>
        <v>9.5495655487456226</v>
      </c>
      <c r="BC113" s="161">
        <f t="shared" si="995"/>
        <v>11.309270674096368</v>
      </c>
      <c r="BD113" s="161">
        <f t="shared" si="995"/>
        <v>10.597253337667935</v>
      </c>
      <c r="BE113" s="161">
        <f t="shared" si="995"/>
        <v>14.358218864468865</v>
      </c>
      <c r="BF113" s="161">
        <f t="shared" si="995"/>
        <v>13.667795287048584</v>
      </c>
      <c r="BG113" s="161">
        <f t="shared" si="995"/>
        <v>13.194603026218532</v>
      </c>
      <c r="BH113" s="161">
        <f t="shared" si="995"/>
        <v>11.807936715852012</v>
      </c>
      <c r="BI113" s="161">
        <f t="shared" si="995"/>
        <v>9.5563815671104653</v>
      </c>
      <c r="BJ113" s="161">
        <f t="shared" si="995"/>
        <v>7.5108301412892553</v>
      </c>
      <c r="BK113" s="161">
        <f t="shared" si="995"/>
        <v>7.6951400239729706</v>
      </c>
      <c r="BL113" s="161">
        <f t="shared" si="995"/>
        <v>6.7258585439146419</v>
      </c>
      <c r="BM113" s="161">
        <f t="shared" si="995"/>
        <v>7.6993334936613147</v>
      </c>
      <c r="BN113" s="161">
        <f t="shared" si="995"/>
        <v>9.3424079344331616</v>
      </c>
      <c r="BO113" s="161">
        <f t="shared" si="995"/>
        <v>7.5741037452433364</v>
      </c>
      <c r="BP113" s="161">
        <f t="shared" si="995"/>
        <v>10.157474979581266</v>
      </c>
      <c r="BQ113" s="161">
        <f t="shared" si="995"/>
        <v>11.191431175934371</v>
      </c>
      <c r="BR113" s="161">
        <f t="shared" si="995"/>
        <v>12.816495335147142</v>
      </c>
      <c r="BS113" s="161">
        <f t="shared" si="995"/>
        <v>14.758451357275343</v>
      </c>
      <c r="BT113" s="161">
        <f t="shared" si="995"/>
        <v>21.171615408562662</v>
      </c>
      <c r="BU113" s="161">
        <f t="shared" si="995"/>
        <v>22.21778980772822</v>
      </c>
      <c r="BV113" s="161">
        <f t="shared" si="995"/>
        <v>17.94245125184981</v>
      </c>
      <c r="BW113" s="161">
        <f t="shared" si="995"/>
        <v>16.150021597423997</v>
      </c>
      <c r="BX113" s="161">
        <f t="shared" si="995"/>
        <v>18.122167333614357</v>
      </c>
      <c r="BY113" s="161">
        <f t="shared" si="995"/>
        <v>13.456837865376016</v>
      </c>
      <c r="BZ113" s="161">
        <f t="shared" si="995"/>
        <v>11.919707401971113</v>
      </c>
      <c r="CA113" s="161">
        <f t="shared" si="995"/>
        <v>15.867059112092214</v>
      </c>
      <c r="CB113" s="161">
        <f t="shared" si="995"/>
        <v>13.820898810535631</v>
      </c>
      <c r="CC113" s="161">
        <f t="shared" si="995"/>
        <v>11.577994042728015</v>
      </c>
      <c r="CD113" s="161">
        <f t="shared" si="995"/>
        <v>14.060719077829379</v>
      </c>
      <c r="CE113" s="161">
        <f t="shared" ref="CE113:CF113" si="996">+CE110/CE112</f>
        <v>16.448319922937433</v>
      </c>
      <c r="CF113" s="161">
        <f t="shared" si="996"/>
        <v>22.153370823499074</v>
      </c>
      <c r="CG113" s="161">
        <f t="shared" ref="CG113:CH113" si="997">+CG110/CG112</f>
        <v>24.461689252535571</v>
      </c>
      <c r="CH113" s="161">
        <f t="shared" si="997"/>
        <v>16.465762049247072</v>
      </c>
      <c r="CI113" s="161">
        <f t="shared" ref="CI113:CJ113" si="998">+CI110/CI112</f>
        <v>12.002525071633238</v>
      </c>
      <c r="CJ113" s="161">
        <f t="shared" si="998"/>
        <v>10.482277505999647</v>
      </c>
      <c r="CK113" s="161">
        <f t="shared" ref="CK113:CL113" si="999">+CK110/CK112</f>
        <v>9.5518583698565536</v>
      </c>
      <c r="CL113" s="161">
        <f t="shared" si="999"/>
        <v>6.9975945889815687</v>
      </c>
      <c r="CM113" s="20">
        <f t="shared" ref="CM113:DA113" si="1000">+CM110/CM112</f>
        <v>7.2052306238540069</v>
      </c>
      <c r="CN113" s="20">
        <f t="shared" si="1000"/>
        <v>7.3354500808894167</v>
      </c>
      <c r="CO113" s="20">
        <f t="shared" si="1000"/>
        <v>7.9244022433055958</v>
      </c>
      <c r="CP113" s="20">
        <f t="shared" si="1000"/>
        <v>8.3334776895820912</v>
      </c>
      <c r="CQ113" s="20">
        <f t="shared" si="1000"/>
        <v>8.6808596393816497</v>
      </c>
      <c r="CR113" s="20">
        <f t="shared" si="1000"/>
        <v>9.1683974103327124</v>
      </c>
      <c r="CS113" s="20">
        <f t="shared" si="1000"/>
        <v>9.6384341437422414</v>
      </c>
      <c r="CT113" s="20">
        <f t="shared" si="1000"/>
        <v>10.083496026175348</v>
      </c>
      <c r="CU113" s="20">
        <f t="shared" si="1000"/>
        <v>10.544059701866562</v>
      </c>
      <c r="CV113" s="20">
        <f t="shared" si="1000"/>
        <v>11.157052370117002</v>
      </c>
      <c r="CW113" s="20">
        <f t="shared" si="1000"/>
        <v>11.748067948625247</v>
      </c>
      <c r="CX113" s="20">
        <f t="shared" si="1000"/>
        <v>12.317742007581673</v>
      </c>
      <c r="CY113" s="20">
        <f t="shared" si="1000"/>
        <v>12.916589412741375</v>
      </c>
      <c r="CZ113" s="20">
        <f t="shared" si="1000"/>
        <v>13.673951197548773</v>
      </c>
      <c r="DA113" s="20">
        <f t="shared" si="1000"/>
        <v>14.417955462210138</v>
      </c>
      <c r="DD113" s="21"/>
      <c r="DE113" s="161">
        <v>10.044782329609212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01">+C111/C112</f>
        <v>#DIV/0!</v>
      </c>
      <c r="D114" s="161">
        <f t="shared" si="1001"/>
        <v>0.1480476016411654</v>
      </c>
      <c r="E114" s="161">
        <f t="shared" ca="1" si="1001"/>
        <v>2.2784635781362201</v>
      </c>
      <c r="F114" s="161">
        <f t="shared" ca="1" si="1001"/>
        <v>4.4896792666930168</v>
      </c>
      <c r="G114" s="161">
        <f t="shared" ca="1" si="1001"/>
        <v>5.496085962505707</v>
      </c>
      <c r="H114" s="161">
        <f t="shared" ca="1" si="1001"/>
        <v>6.9228329194827278</v>
      </c>
      <c r="I114" s="161">
        <f t="shared" ca="1" si="1001"/>
        <v>7.0104629218472487</v>
      </c>
      <c r="J114" s="161">
        <f t="shared" ca="1" si="1001"/>
        <v>3.9515400761495623</v>
      </c>
      <c r="K114" s="161">
        <f t="shared" ca="1" si="1001"/>
        <v>2.7234844921017647</v>
      </c>
      <c r="L114" s="161">
        <f t="shared" ca="1" si="1001"/>
        <v>5.136548288908652</v>
      </c>
      <c r="M114" s="161">
        <f t="shared" ca="1" si="1001"/>
        <v>3.6545336181067984</v>
      </c>
      <c r="N114" s="161">
        <f t="shared" ca="1" si="1001"/>
        <v>4.5887842405152925</v>
      </c>
      <c r="O114" s="161">
        <f t="shared" ca="1" si="1001"/>
        <v>3.4933664209399762</v>
      </c>
      <c r="P114" s="161">
        <f t="shared" ca="1" si="1001"/>
        <v>3.0172690407702261</v>
      </c>
      <c r="Q114" s="161">
        <f t="shared" ca="1" si="1001"/>
        <v>6.941147605506135</v>
      </c>
      <c r="R114" s="161">
        <f t="shared" ca="1" si="1001"/>
        <v>6.1767779526124391</v>
      </c>
      <c r="S114" s="161">
        <f t="shared" ca="1" si="1001"/>
        <v>7.9154028666428662</v>
      </c>
      <c r="T114" s="161">
        <f t="shared" ca="1" si="1001"/>
        <v>7.8007077539462992</v>
      </c>
      <c r="U114" s="161">
        <f t="shared" ca="1" si="1001"/>
        <v>4.5478504672897229</v>
      </c>
      <c r="V114" s="161">
        <f t="shared" ca="1" si="1001"/>
        <v>6.0086361310133114</v>
      </c>
      <c r="W114" s="161">
        <f t="shared" ca="1" si="1001"/>
        <v>16.984708185377379</v>
      </c>
      <c r="X114" s="161">
        <f t="shared" ref="X114:Y114" ca="1" si="1002">+X111/X112</f>
        <v>9.1188966391883426</v>
      </c>
      <c r="Y114" s="161">
        <f t="shared" ca="1" si="1002"/>
        <v>6.286380355385182</v>
      </c>
      <c r="Z114" s="161">
        <f t="shared" ref="Z114:AA114" ca="1" si="1003">+Z111/Z112</f>
        <v>15.442991901753151</v>
      </c>
      <c r="AA114" s="161">
        <f t="shared" ca="1" si="1003"/>
        <v>15.442991901753151</v>
      </c>
      <c r="AB114" s="20">
        <f t="shared" ref="AA114:AD114" ca="1" si="1004">+AB111/AB112</f>
        <v>4.1103397830401072</v>
      </c>
      <c r="AC114" s="20">
        <f t="shared" ca="1" si="1004"/>
        <v>4.5554136583497735</v>
      </c>
      <c r="AD114" s="20">
        <f t="shared" ca="1" si="1004"/>
        <v>5.2514709750855655</v>
      </c>
      <c r="AE114" s="20">
        <f t="shared" ref="AE114" ca="1" si="1005">+AE111/AE112</f>
        <v>6.1869807035516917</v>
      </c>
      <c r="AL114" s="161">
        <f t="shared" ref="AL114:AM114" si="1006">+AL111/AL112</f>
        <v>4.3799756851093212</v>
      </c>
      <c r="AM114" s="161">
        <f t="shared" si="1006"/>
        <v>4.0495228455754768</v>
      </c>
      <c r="AN114" s="161">
        <f t="shared" ref="AN114:AO114" si="1007">+AN111/AN112</f>
        <v>3.4634923409829037</v>
      </c>
      <c r="AO114" s="161">
        <f t="shared" si="1007"/>
        <v>3.7085855493351993</v>
      </c>
      <c r="AP114" s="161">
        <f t="shared" ref="AP114:CD114" si="1008">+AP111/AP112</f>
        <v>4.0624113805633026</v>
      </c>
      <c r="AQ114" s="161">
        <f t="shared" si="1008"/>
        <v>5.6271365849417512</v>
      </c>
      <c r="AR114" s="161">
        <f t="shared" si="1008"/>
        <v>8.0701516798926836</v>
      </c>
      <c r="AS114" s="161">
        <f t="shared" si="1008"/>
        <v>9.2995317246034439</v>
      </c>
      <c r="AT114" s="161">
        <f t="shared" si="1008"/>
        <v>8.606540712116308</v>
      </c>
      <c r="AU114" s="161">
        <f t="shared" si="1008"/>
        <v>11.512413013221986</v>
      </c>
      <c r="AV114" s="161">
        <f t="shared" si="1008"/>
        <v>10.333783148081071</v>
      </c>
      <c r="AW114" s="161">
        <f t="shared" si="1008"/>
        <v>8.5257525515697026</v>
      </c>
      <c r="AX114" s="161">
        <f t="shared" si="1008"/>
        <v>6.0907196454615651</v>
      </c>
      <c r="AY114" s="161">
        <f t="shared" si="1008"/>
        <v>7.1912654284474984</v>
      </c>
      <c r="AZ114" s="161">
        <f t="shared" si="1008"/>
        <v>8.246567694937605</v>
      </c>
      <c r="BA114" s="161">
        <f t="shared" si="1008"/>
        <v>7.7312104815175164</v>
      </c>
      <c r="BB114" s="161">
        <f t="shared" si="1008"/>
        <v>8.4884219666695948</v>
      </c>
      <c r="BC114" s="161">
        <f t="shared" si="1008"/>
        <v>9.6178805661028761</v>
      </c>
      <c r="BD114" s="161">
        <f t="shared" si="1008"/>
        <v>8.0088701693980191</v>
      </c>
      <c r="BE114" s="161">
        <f t="shared" si="1008"/>
        <v>8.4152289377289371</v>
      </c>
      <c r="BF114" s="161">
        <f t="shared" si="1008"/>
        <v>10.33516154312785</v>
      </c>
      <c r="BG114" s="161">
        <f t="shared" si="1008"/>
        <v>9.9474542371407431</v>
      </c>
      <c r="BH114" s="161">
        <f t="shared" si="1008"/>
        <v>9.5578076241046634</v>
      </c>
      <c r="BI114" s="161">
        <f t="shared" si="1008"/>
        <v>7.8079794890248237</v>
      </c>
      <c r="BJ114" s="161">
        <f t="shared" si="1008"/>
        <v>5.76287908054654</v>
      </c>
      <c r="BK114" s="161">
        <f t="shared" si="1008"/>
        <v>5.123844030365766</v>
      </c>
      <c r="BL114" s="161">
        <f t="shared" si="1008"/>
        <v>4.908616186361602</v>
      </c>
      <c r="BM114" s="161">
        <f t="shared" si="1008"/>
        <v>6.3353480262479778</v>
      </c>
      <c r="BN114" s="161">
        <f t="shared" si="1008"/>
        <v>5.234164574042274</v>
      </c>
      <c r="BO114" s="161">
        <f t="shared" si="1008"/>
        <v>5.746256759463245</v>
      </c>
      <c r="BP114" s="161">
        <f t="shared" si="1008"/>
        <v>6.2194120460026392</v>
      </c>
      <c r="BQ114" s="161">
        <f t="shared" si="1008"/>
        <v>9.4910068585319287</v>
      </c>
      <c r="BR114" s="161">
        <f t="shared" si="1008"/>
        <v>9.7498526159158558</v>
      </c>
      <c r="BS114" s="161">
        <f t="shared" si="1008"/>
        <v>12.646040577755306</v>
      </c>
      <c r="BT114" s="161">
        <f t="shared" si="1008"/>
        <v>17.301813465930998</v>
      </c>
      <c r="BU114" s="161">
        <f t="shared" si="1008"/>
        <v>17.44390983759568</v>
      </c>
      <c r="BV114" s="161">
        <f t="shared" si="1008"/>
        <v>12.581049261369499</v>
      </c>
      <c r="BW114" s="161">
        <f t="shared" si="1008"/>
        <v>12.82731681457628</v>
      </c>
      <c r="BX114" s="161">
        <f t="shared" si="1008"/>
        <v>14.274831199160587</v>
      </c>
      <c r="BY114" s="161">
        <f t="shared" si="1008"/>
        <v>10.817904222123142</v>
      </c>
      <c r="BZ114" s="161">
        <f t="shared" si="1008"/>
        <v>10.603814318214768</v>
      </c>
      <c r="CA114" s="161">
        <f t="shared" si="1008"/>
        <v>10.759512202599943</v>
      </c>
      <c r="CB114" s="161">
        <f t="shared" si="1008"/>
        <v>11.630160161945144</v>
      </c>
      <c r="CC114" s="161">
        <f t="shared" si="1008"/>
        <v>8.7689246096959703</v>
      </c>
      <c r="CD114" s="161">
        <f t="shared" si="1008"/>
        <v>10.676141322937514</v>
      </c>
      <c r="CE114" s="161">
        <f t="shared" ref="CE114:CF114" si="1009">+CE111/CE112</f>
        <v>10.596277198549405</v>
      </c>
      <c r="CF114" s="161">
        <f t="shared" si="1009"/>
        <v>17.408966885591678</v>
      </c>
      <c r="CG114" s="161">
        <f t="shared" ref="CG114:CH114" si="1010">+CG111/CG112</f>
        <v>14.790155970340061</v>
      </c>
      <c r="CH114" s="161">
        <f t="shared" si="1010"/>
        <v>8.9442639186497406</v>
      </c>
      <c r="CI114" s="161">
        <f t="shared" ref="CI114:CJ114" si="1011">+CI111/CI112</f>
        <v>9.245467207895576</v>
      </c>
      <c r="CJ114" s="161">
        <f t="shared" si="1011"/>
        <v>8.1584106635070057</v>
      </c>
      <c r="CK114" s="161">
        <f t="shared" ref="CK114:CL114" si="1012">+CK111/CK112</f>
        <v>6.7843575837754306</v>
      </c>
      <c r="CL114" s="161">
        <f t="shared" si="1012"/>
        <v>4.4641814153288735</v>
      </c>
      <c r="CM114" s="20">
        <f t="shared" ref="CM114:DA114" si="1013">+CM111/CM112</f>
        <v>4.5524004625199179</v>
      </c>
      <c r="CN114" s="20">
        <f t="shared" si="1013"/>
        <v>4.5875663535553572</v>
      </c>
      <c r="CO114" s="20">
        <f t="shared" si="1013"/>
        <v>4.9222899366319304</v>
      </c>
      <c r="CP114" s="20">
        <f t="shared" si="1013"/>
        <v>5.1523191239582209</v>
      </c>
      <c r="CQ114" s="20">
        <f t="shared" si="1013"/>
        <v>5.3099326053894043</v>
      </c>
      <c r="CR114" s="20">
        <f t="shared" si="1013"/>
        <v>5.5911635290206112</v>
      </c>
      <c r="CS114" s="20">
        <f t="shared" si="1013"/>
        <v>5.8441189067473864</v>
      </c>
      <c r="CT114" s="20">
        <f t="shared" si="1013"/>
        <v>6.0652459719073946</v>
      </c>
      <c r="CU114" s="20">
        <f t="shared" si="1013"/>
        <v>6.2828726852536008</v>
      </c>
      <c r="CV114" s="20">
        <f t="shared" si="1013"/>
        <v>6.637279095134347</v>
      </c>
      <c r="CW114" s="20">
        <f t="shared" si="1013"/>
        <v>6.9560541497631672</v>
      </c>
      <c r="CX114" s="20">
        <f t="shared" si="1013"/>
        <v>7.238160158711632</v>
      </c>
      <c r="CY114" s="20">
        <f t="shared" si="1013"/>
        <v>7.5299782270171791</v>
      </c>
      <c r="CZ114" s="20">
        <f t="shared" si="1013"/>
        <v>7.9619485328133557</v>
      </c>
      <c r="DA114" s="20">
        <f t="shared" si="1013"/>
        <v>8.3613932063009493</v>
      </c>
      <c r="DD114" s="21"/>
      <c r="DE114" s="161">
        <v>5.5114655913218167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12.5383</v>
      </c>
      <c r="E117" s="22">
        <f>'Annual Raw'!F41</f>
        <v>12.5383</v>
      </c>
      <c r="F117" s="22">
        <f>'Annual Raw'!G41</f>
        <v>12.5383</v>
      </c>
      <c r="G117" s="22">
        <f>'Annual Raw'!H41</f>
        <v>12.5383</v>
      </c>
      <c r="H117" s="22">
        <f>'Annual Raw'!I41</f>
        <v>12.5383</v>
      </c>
      <c r="I117" s="22">
        <f>'Annual Raw'!J41</f>
        <v>12.5383</v>
      </c>
      <c r="J117" s="22">
        <f>'Annual Raw'!K41</f>
        <v>12.5383</v>
      </c>
      <c r="K117" s="22">
        <f>'Annual Raw'!L41</f>
        <v>12.5383</v>
      </c>
      <c r="L117" s="22">
        <f>'Annual Raw'!M41</f>
        <v>12.5383</v>
      </c>
      <c r="M117" s="22">
        <f>'Annual Raw'!N41</f>
        <v>12.5383</v>
      </c>
      <c r="N117" s="22">
        <f>'Annual Raw'!O41</f>
        <v>12.5383</v>
      </c>
      <c r="O117" s="22">
        <f>'Annual Raw'!P41</f>
        <v>12.5383</v>
      </c>
      <c r="P117" s="22">
        <f>'Annual Raw'!Q41</f>
        <v>14.5433</v>
      </c>
      <c r="Q117" s="22">
        <f>'Annual Raw'!R41</f>
        <v>14.5433</v>
      </c>
      <c r="R117" s="22">
        <f>'Annual Raw'!S41</f>
        <v>14.5433</v>
      </c>
      <c r="S117" s="22">
        <f>'Annual Raw'!T41</f>
        <v>15.1053</v>
      </c>
      <c r="T117" s="22">
        <f>'Annual Raw'!U41</f>
        <v>15.1053</v>
      </c>
      <c r="U117" s="22">
        <f>'Annual Raw'!V41</f>
        <v>15.11</v>
      </c>
      <c r="V117" s="22">
        <f>'Annual Raw'!W41</f>
        <v>15.11</v>
      </c>
      <c r="W117" s="22">
        <f>'Annual Raw'!X41</f>
        <v>15.11</v>
      </c>
      <c r="X117" s="22">
        <f>'Annual Raw'!Y41</f>
        <v>15.11</v>
      </c>
      <c r="Y117" s="22">
        <f>'Annual Raw'!Z41</f>
        <v>15.11</v>
      </c>
      <c r="Z117" s="22">
        <f>'Annual Raw'!AA41</f>
        <v>15.11</v>
      </c>
      <c r="AA117" s="22">
        <f>'Annual Raw'!AB41</f>
        <v>15.11</v>
      </c>
      <c r="AB117" s="23">
        <f>+CO117</f>
        <v>15.11</v>
      </c>
      <c r="AC117" s="23">
        <f>+CS117</f>
        <v>15.11</v>
      </c>
      <c r="AD117" s="23">
        <f>+CW117</f>
        <v>15.11</v>
      </c>
      <c r="AE117" s="23">
        <f>+DA117</f>
        <v>15.11</v>
      </c>
      <c r="AI117" s="22">
        <f>+'QTR Raw'!C56</f>
        <v>12.54</v>
      </c>
      <c r="AJ117" s="22">
        <f t="shared" ref="AJ117:AJ118" si="1014">+AI117</f>
        <v>12.54</v>
      </c>
      <c r="AK117" s="22">
        <f>+'QTR Raw'!E56</f>
        <v>12.54</v>
      </c>
      <c r="AL117" s="22">
        <f t="shared" ref="AL117:AL118" si="1015">+AK117</f>
        <v>12.54</v>
      </c>
      <c r="AM117" s="22">
        <f>+'QTR Raw'!G56</f>
        <v>12.54</v>
      </c>
      <c r="AN117" s="22">
        <f t="shared" ref="AN117:AN118" si="1016">+AM117</f>
        <v>12.54</v>
      </c>
      <c r="AO117" s="22">
        <f>+'QTR Raw'!I56</f>
        <v>12.54</v>
      </c>
      <c r="AP117" s="22">
        <f t="shared" ref="AP117:AP118" si="1017">+AO117</f>
        <v>12.54</v>
      </c>
      <c r="AQ117" s="22">
        <f>+'QTR Raw'!K56</f>
        <v>12.54</v>
      </c>
      <c r="AR117" s="22">
        <f t="shared" ref="AR117:AR118" si="1018">+AQ117</f>
        <v>12.54</v>
      </c>
      <c r="AS117" s="22">
        <f>+'QTR Raw'!M56</f>
        <v>14.54</v>
      </c>
      <c r="AT117" s="22">
        <f t="shared" ref="AT117:AT118" si="1019">+AS117</f>
        <v>14.54</v>
      </c>
      <c r="AU117" s="22">
        <f>+'QTR Raw'!O56</f>
        <v>14.54</v>
      </c>
      <c r="AV117" s="22">
        <f t="shared" ref="AV117:AV118" si="1020">+AU117</f>
        <v>14.54</v>
      </c>
      <c r="AW117" s="22">
        <f>+'QTR Raw'!Q56</f>
        <v>14.54</v>
      </c>
      <c r="AX117" s="22">
        <f t="shared" ref="AX117:AX118" si="1021">+AW117</f>
        <v>14.54</v>
      </c>
      <c r="AY117" s="22">
        <f>+'QTR Raw'!S56</f>
        <v>14.54</v>
      </c>
      <c r="AZ117" s="22">
        <f t="shared" ref="AZ117:AZ118" si="1022">+AY117</f>
        <v>14.54</v>
      </c>
      <c r="BA117" s="22">
        <f>+'QTR Raw'!U56</f>
        <v>14.54</v>
      </c>
      <c r="BB117" s="22">
        <f t="shared" ref="BB117:BB118" si="1023">+BA117</f>
        <v>14.54</v>
      </c>
      <c r="BC117" s="22">
        <f>+'QTR Raw'!W56</f>
        <v>15.1</v>
      </c>
      <c r="BD117" s="22">
        <f t="shared" ref="BD117:BD118" si="1024">+BC117</f>
        <v>15.1</v>
      </c>
      <c r="BE117" s="22">
        <f>+'QTR Raw'!Y56</f>
        <v>15.11</v>
      </c>
      <c r="BF117" s="22">
        <f t="shared" ref="BF117:BF118" si="1025">+BE117</f>
        <v>15.11</v>
      </c>
      <c r="BG117" s="22">
        <f>+'QTR Raw'!AA56</f>
        <v>15.11</v>
      </c>
      <c r="BH117" s="22">
        <f t="shared" ref="BH117:BH118" si="1026">+BG117</f>
        <v>15.11</v>
      </c>
      <c r="BI117" s="22">
        <f>+'QTR Raw'!AC56</f>
        <v>15.11</v>
      </c>
      <c r="BJ117" s="22">
        <f t="shared" ref="BJ117:BJ118" si="1027">+BI117</f>
        <v>15.11</v>
      </c>
      <c r="BK117" s="22">
        <f>+'QTR Raw'!AE56</f>
        <v>15.11</v>
      </c>
      <c r="BL117" s="22">
        <f t="shared" ref="BL117:BL118" si="1028">+BK117</f>
        <v>15.11</v>
      </c>
      <c r="BM117" s="22">
        <f>+'QTR Raw'!AG56</f>
        <v>15.11</v>
      </c>
      <c r="BN117" s="22">
        <f t="shared" ref="BN117:BN118" si="1029">+BM117</f>
        <v>15.11</v>
      </c>
      <c r="BO117" s="22">
        <f>+'QTR Raw'!AI56</f>
        <v>15.11</v>
      </c>
      <c r="BP117" s="22">
        <f t="shared" ref="BP117:BP118" si="1030">+BO117</f>
        <v>15.11</v>
      </c>
      <c r="BQ117" s="22">
        <f>+'QTR Raw'!AK56</f>
        <v>15.11</v>
      </c>
      <c r="BR117" s="22">
        <f t="shared" ref="BR117:BR118" si="1031">+BQ117</f>
        <v>15.11</v>
      </c>
      <c r="BS117" s="22">
        <f>+'QTR Raw'!AM56</f>
        <v>15.11</v>
      </c>
      <c r="BT117" s="22">
        <f t="shared" ref="BT117:BT118" si="1032">+BS117</f>
        <v>15.11</v>
      </c>
      <c r="BU117" s="22">
        <f>+'QTR Raw'!AO56</f>
        <v>15.11</v>
      </c>
      <c r="BV117" s="22">
        <f t="shared" ref="BV117:BV118" si="1033">+BU117</f>
        <v>15.11</v>
      </c>
      <c r="BW117" s="22">
        <f>+'QTR Raw'!AQ56</f>
        <v>15.11</v>
      </c>
      <c r="BX117" s="22">
        <f t="shared" ref="BX117:BX118" si="1034">+BW117</f>
        <v>15.11</v>
      </c>
      <c r="BY117" s="22">
        <f>+'QTR Raw'!AS56</f>
        <v>15.11</v>
      </c>
      <c r="BZ117" s="22">
        <f t="shared" ref="BZ117:BZ118" si="1035">+BY117</f>
        <v>15.11</v>
      </c>
      <c r="CA117" s="22">
        <f>+'QTR Raw'!AU56</f>
        <v>15.11</v>
      </c>
      <c r="CB117" s="22">
        <f t="shared" ref="CB117:CB118" si="1036">+CA117</f>
        <v>15.11</v>
      </c>
      <c r="CC117" s="22">
        <f>+'QTR Raw'!AW56</f>
        <v>15.11</v>
      </c>
      <c r="CD117" s="22">
        <f t="shared" ref="CD117:CD118" si="1037">+CC117</f>
        <v>15.11</v>
      </c>
      <c r="CE117" s="22">
        <f>+'QTR Raw'!AY56</f>
        <v>15.11</v>
      </c>
      <c r="CF117" s="22">
        <f t="shared" ref="CF117:CL117" si="1038">+CE117</f>
        <v>15.11</v>
      </c>
      <c r="CG117" s="22">
        <f>+Z117</f>
        <v>15.11</v>
      </c>
      <c r="CH117" s="22">
        <f t="shared" si="1038"/>
        <v>15.11</v>
      </c>
      <c r="CI117" s="22">
        <f>+'QTR Raw'!BC56</f>
        <v>15.11</v>
      </c>
      <c r="CJ117" s="22">
        <f t="shared" si="1038"/>
        <v>15.11</v>
      </c>
      <c r="CK117" s="23">
        <f t="shared" ref="CK117:DA117" si="1039">CJ117</f>
        <v>15.11</v>
      </c>
      <c r="CL117" s="22">
        <f t="shared" si="1038"/>
        <v>15.11</v>
      </c>
      <c r="CM117" s="23">
        <f t="shared" si="1039"/>
        <v>15.11</v>
      </c>
      <c r="CN117" s="23">
        <f t="shared" si="1039"/>
        <v>15.11</v>
      </c>
      <c r="CO117" s="23">
        <f t="shared" si="1039"/>
        <v>15.11</v>
      </c>
      <c r="CP117" s="23">
        <f t="shared" si="1039"/>
        <v>15.11</v>
      </c>
      <c r="CQ117" s="23">
        <f t="shared" si="1039"/>
        <v>15.11</v>
      </c>
      <c r="CR117" s="23">
        <f t="shared" si="1039"/>
        <v>15.11</v>
      </c>
      <c r="CS117" s="23">
        <f t="shared" si="1039"/>
        <v>15.11</v>
      </c>
      <c r="CT117" s="23">
        <f t="shared" si="1039"/>
        <v>15.11</v>
      </c>
      <c r="CU117" s="23">
        <f t="shared" si="1039"/>
        <v>15.11</v>
      </c>
      <c r="CV117" s="23">
        <f t="shared" si="1039"/>
        <v>15.11</v>
      </c>
      <c r="CW117" s="23">
        <f t="shared" si="1039"/>
        <v>15.11</v>
      </c>
      <c r="CX117" s="23">
        <f t="shared" si="1039"/>
        <v>15.11</v>
      </c>
      <c r="CY117" s="23">
        <f t="shared" si="1039"/>
        <v>15.11</v>
      </c>
      <c r="CZ117" s="23">
        <f t="shared" si="1039"/>
        <v>15.11</v>
      </c>
      <c r="DA117" s="23">
        <f t="shared" si="1039"/>
        <v>15.11</v>
      </c>
      <c r="DD117" s="122"/>
      <c r="DE117" s="22">
        <v>15.11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4.0624000000000002</v>
      </c>
      <c r="S118" s="22">
        <f>'Annual Raw'!T42</f>
        <v>6.9169</v>
      </c>
      <c r="T118" s="22">
        <f>'Annual Raw'!U42</f>
        <v>7.0940000000000003</v>
      </c>
      <c r="U118" s="22">
        <f>'Annual Raw'!V42</f>
        <v>6.23</v>
      </c>
      <c r="V118" s="22">
        <f>'Annual Raw'!W42</f>
        <v>6.22</v>
      </c>
      <c r="W118" s="22">
        <f>'Annual Raw'!X42</f>
        <v>5.09</v>
      </c>
      <c r="X118" s="22">
        <f>'Annual Raw'!Y42</f>
        <v>6.27</v>
      </c>
      <c r="Y118" s="22">
        <f>'Annual Raw'!Z42</f>
        <v>4.59</v>
      </c>
      <c r="Z118" s="22">
        <f>'Annual Raw'!AA42</f>
        <v>4.59</v>
      </c>
      <c r="AA118" s="22">
        <f>'Annual Raw'!AB42</f>
        <v>4.59</v>
      </c>
      <c r="AB118" s="23">
        <f t="shared" ref="AB118:AB119" si="1040">+CO118</f>
        <v>0</v>
      </c>
      <c r="AC118" s="23">
        <f t="shared" ref="AC118:AC119" si="1041">+CS118</f>
        <v>0</v>
      </c>
      <c r="AD118" s="23">
        <f t="shared" ref="AD118:AD119" si="1042">+CW118</f>
        <v>0</v>
      </c>
      <c r="AE118" s="23">
        <f t="shared" ref="AE118:AE119" si="1043">+DA118</f>
        <v>0</v>
      </c>
      <c r="AI118" s="22">
        <f>+'QTR Raw'!C57</f>
        <v>0</v>
      </c>
      <c r="AJ118" s="22">
        <f t="shared" si="1014"/>
        <v>0</v>
      </c>
      <c r="AK118" s="22">
        <f>+'QTR Raw'!E57</f>
        <v>0</v>
      </c>
      <c r="AL118" s="22">
        <f t="shared" si="1015"/>
        <v>0</v>
      </c>
      <c r="AM118" s="22">
        <f>+'QTR Raw'!G57</f>
        <v>0</v>
      </c>
      <c r="AN118" s="22">
        <f t="shared" si="1016"/>
        <v>0</v>
      </c>
      <c r="AO118" s="22">
        <f>+'QTR Raw'!I57</f>
        <v>0</v>
      </c>
      <c r="AP118" s="22">
        <f t="shared" si="1017"/>
        <v>0</v>
      </c>
      <c r="AQ118" s="22">
        <f>+'QTR Raw'!K57</f>
        <v>0</v>
      </c>
      <c r="AR118" s="22">
        <f t="shared" si="1018"/>
        <v>0</v>
      </c>
      <c r="AS118" s="22">
        <f>+'QTR Raw'!M57</f>
        <v>0</v>
      </c>
      <c r="AT118" s="22">
        <f t="shared" si="1019"/>
        <v>0</v>
      </c>
      <c r="AU118" s="22">
        <f>+'QTR Raw'!O57</f>
        <v>0</v>
      </c>
      <c r="AV118" s="22">
        <f t="shared" si="1020"/>
        <v>0</v>
      </c>
      <c r="AW118" s="22">
        <f>+'QTR Raw'!Q57</f>
        <v>0</v>
      </c>
      <c r="AX118" s="22">
        <f t="shared" si="1021"/>
        <v>0</v>
      </c>
      <c r="AY118" s="22">
        <f>+'QTR Raw'!S57</f>
        <v>0</v>
      </c>
      <c r="AZ118" s="22">
        <f t="shared" si="1022"/>
        <v>0</v>
      </c>
      <c r="BA118" s="22">
        <f>+'QTR Raw'!U57</f>
        <v>0</v>
      </c>
      <c r="BB118" s="22">
        <f t="shared" si="1023"/>
        <v>0</v>
      </c>
      <c r="BC118" s="22">
        <f>+'QTR Raw'!W57</f>
        <v>0</v>
      </c>
      <c r="BD118" s="22">
        <f t="shared" si="1024"/>
        <v>0</v>
      </c>
      <c r="BE118" s="22">
        <f>+'QTR Raw'!Y57</f>
        <v>0</v>
      </c>
      <c r="BF118" s="22">
        <f t="shared" si="1025"/>
        <v>0</v>
      </c>
      <c r="BG118" s="22">
        <f>+'QTR Raw'!AA57</f>
        <v>0</v>
      </c>
      <c r="BH118" s="22">
        <f t="shared" si="1026"/>
        <v>0</v>
      </c>
      <c r="BI118" s="22">
        <f>+'QTR Raw'!AC57</f>
        <v>0</v>
      </c>
      <c r="BJ118" s="22">
        <f t="shared" si="1027"/>
        <v>0</v>
      </c>
      <c r="BK118" s="22">
        <f>+'QTR Raw'!AE57</f>
        <v>0</v>
      </c>
      <c r="BL118" s="22">
        <f t="shared" si="1028"/>
        <v>0</v>
      </c>
      <c r="BM118" s="22">
        <f>+'QTR Raw'!AG57</f>
        <v>0</v>
      </c>
      <c r="BN118" s="22">
        <f t="shared" si="1029"/>
        <v>0</v>
      </c>
      <c r="BO118" s="22">
        <f>+'QTR Raw'!AI57</f>
        <v>0</v>
      </c>
      <c r="BP118" s="22">
        <f t="shared" si="1030"/>
        <v>0</v>
      </c>
      <c r="BQ118" s="22">
        <f>+'QTR Raw'!AK57</f>
        <v>0</v>
      </c>
      <c r="BR118" s="22">
        <f t="shared" si="1031"/>
        <v>0</v>
      </c>
      <c r="BS118" s="22">
        <f>+'QTR Raw'!AM57</f>
        <v>0</v>
      </c>
      <c r="BT118" s="22">
        <f t="shared" si="1032"/>
        <v>0</v>
      </c>
      <c r="BU118" s="22">
        <f>+'QTR Raw'!AO57</f>
        <v>0</v>
      </c>
      <c r="BV118" s="22">
        <f t="shared" si="1033"/>
        <v>0</v>
      </c>
      <c r="BW118" s="22">
        <f>+'QTR Raw'!AQ57</f>
        <v>0</v>
      </c>
      <c r="BX118" s="22">
        <f t="shared" si="1034"/>
        <v>0</v>
      </c>
      <c r="BY118" s="22">
        <f>+'QTR Raw'!AS57</f>
        <v>0</v>
      </c>
      <c r="BZ118" s="22">
        <f t="shared" si="1035"/>
        <v>0</v>
      </c>
      <c r="CA118" s="22">
        <f>+'QTR Raw'!AU57</f>
        <v>0</v>
      </c>
      <c r="CB118" s="22">
        <f t="shared" si="1036"/>
        <v>0</v>
      </c>
      <c r="CC118" s="22">
        <f>+'QTR Raw'!AW57</f>
        <v>0</v>
      </c>
      <c r="CD118" s="22">
        <f t="shared" si="1037"/>
        <v>0</v>
      </c>
      <c r="CE118" s="22">
        <f>+'QTR Raw'!AY57</f>
        <v>0</v>
      </c>
      <c r="CF118" s="22">
        <f t="shared" ref="CF118:CL118" si="1044">+CE118</f>
        <v>0</v>
      </c>
      <c r="CG118" s="22">
        <f t="shared" ref="CG118:CG119" si="1045">+Z118</f>
        <v>4.59</v>
      </c>
      <c r="CH118" s="22">
        <f t="shared" si="1044"/>
        <v>4.59</v>
      </c>
      <c r="CI118" s="22">
        <f>+'QTR Raw'!BC57</f>
        <v>0</v>
      </c>
      <c r="CJ118" s="22">
        <f t="shared" si="1044"/>
        <v>0</v>
      </c>
      <c r="CK118" s="23">
        <f t="shared" ref="CK118:DA118" si="1046">CJ118</f>
        <v>0</v>
      </c>
      <c r="CL118" s="22">
        <f t="shared" si="1044"/>
        <v>0</v>
      </c>
      <c r="CM118" s="23">
        <f t="shared" si="1046"/>
        <v>0</v>
      </c>
      <c r="CN118" s="23">
        <f t="shared" si="1046"/>
        <v>0</v>
      </c>
      <c r="CO118" s="23">
        <f t="shared" si="1046"/>
        <v>0</v>
      </c>
      <c r="CP118" s="23">
        <f t="shared" si="1046"/>
        <v>0</v>
      </c>
      <c r="CQ118" s="23">
        <f t="shared" si="1046"/>
        <v>0</v>
      </c>
      <c r="CR118" s="23">
        <f t="shared" si="1046"/>
        <v>0</v>
      </c>
      <c r="CS118" s="23">
        <f t="shared" si="1046"/>
        <v>0</v>
      </c>
      <c r="CT118" s="23">
        <f t="shared" si="1046"/>
        <v>0</v>
      </c>
      <c r="CU118" s="23">
        <f t="shared" si="1046"/>
        <v>0</v>
      </c>
      <c r="CV118" s="23">
        <f t="shared" si="1046"/>
        <v>0</v>
      </c>
      <c r="CW118" s="23">
        <f t="shared" si="1046"/>
        <v>0</v>
      </c>
      <c r="CX118" s="23">
        <f t="shared" si="1046"/>
        <v>0</v>
      </c>
      <c r="CY118" s="23">
        <f t="shared" si="1046"/>
        <v>0</v>
      </c>
      <c r="CZ118" s="23">
        <f t="shared" si="1046"/>
        <v>0</v>
      </c>
      <c r="DA118" s="23">
        <f t="shared" si="1046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149.97569999999999</v>
      </c>
      <c r="E119" s="22">
        <f>'Annual Raw'!F43</f>
        <v>151.42400000000001</v>
      </c>
      <c r="F119" s="22">
        <f>'Annual Raw'!G43</f>
        <v>166.98009999999999</v>
      </c>
      <c r="G119" s="22">
        <f>'Annual Raw'!H43</f>
        <v>184.24270000000001</v>
      </c>
      <c r="H119" s="22">
        <f>'Annual Raw'!I43</f>
        <v>211.31180000000001</v>
      </c>
      <c r="I119" s="22">
        <f>'Annual Raw'!J43</f>
        <v>225.73050000000001</v>
      </c>
      <c r="J119" s="22">
        <f>'Annual Raw'!K43</f>
        <v>233.6317</v>
      </c>
      <c r="K119" s="22">
        <f>'Annual Raw'!L43</f>
        <v>249.00800000000001</v>
      </c>
      <c r="L119" s="22">
        <f>'Annual Raw'!M43</f>
        <v>281.12290000000002</v>
      </c>
      <c r="M119" s="22">
        <f>'Annual Raw'!N43</f>
        <v>316.2894</v>
      </c>
      <c r="N119" s="22">
        <f>'Annual Raw'!O43</f>
        <v>342.42189999999999</v>
      </c>
      <c r="O119" s="22">
        <f>'Annual Raw'!P43</f>
        <v>378.26799999999997</v>
      </c>
      <c r="P119" s="22">
        <f>'Annual Raw'!Q43</f>
        <v>552.93769999999995</v>
      </c>
      <c r="Q119" s="22">
        <f>'Annual Raw'!R43</f>
        <v>604.14390000000003</v>
      </c>
      <c r="R119" s="22">
        <f>'Annual Raw'!S43</f>
        <v>490.60169999999999</v>
      </c>
      <c r="S119" s="22">
        <f>'Annual Raw'!T43</f>
        <v>527.04380000000003</v>
      </c>
      <c r="T119" s="22">
        <f>'Annual Raw'!U43</f>
        <v>534.27859999999998</v>
      </c>
      <c r="U119" s="22">
        <f>'Annual Raw'!V43</f>
        <v>676.01</v>
      </c>
      <c r="V119" s="22">
        <f>'Annual Raw'!W43</f>
        <v>743.58</v>
      </c>
      <c r="W119" s="22">
        <f>'Annual Raw'!X43</f>
        <v>694.48</v>
      </c>
      <c r="X119" s="22">
        <f>'Annual Raw'!Y43</f>
        <v>735.58</v>
      </c>
      <c r="Y119" s="22">
        <f>'Annual Raw'!Z43</f>
        <v>1130.76</v>
      </c>
      <c r="Z119" s="22">
        <f>'Annual Raw'!AA43</f>
        <v>1173.8499999999999</v>
      </c>
      <c r="AA119" s="22">
        <f>'Annual Raw'!AB43</f>
        <v>1273.83</v>
      </c>
      <c r="AB119" s="23">
        <f t="shared" si="1040"/>
        <v>1414.476909119667</v>
      </c>
      <c r="AC119" s="23">
        <f t="shared" si="1041"/>
        <v>1584.5432020349544</v>
      </c>
      <c r="AD119" s="23">
        <f t="shared" si="1042"/>
        <v>1798.0459880915155</v>
      </c>
      <c r="AE119" s="23">
        <f t="shared" si="1043"/>
        <v>2065.5442026532246</v>
      </c>
      <c r="AI119" s="22">
        <f>+'QTR Raw'!C58</f>
        <v>342.57</v>
      </c>
      <c r="AJ119" s="22">
        <f>+AI119+AJ48</f>
        <v>351.34999999999997</v>
      </c>
      <c r="AK119" s="22">
        <f>+'QTR Raw'!E58</f>
        <v>342.42</v>
      </c>
      <c r="AL119" s="22">
        <f>+AK119+AL48</f>
        <v>358.05</v>
      </c>
      <c r="AM119" s="22">
        <f>+'QTR Raw'!G58</f>
        <v>372.7</v>
      </c>
      <c r="AN119" s="22">
        <f>+AM119+AN48</f>
        <v>381.84999999999997</v>
      </c>
      <c r="AO119" s="22">
        <f>+'QTR Raw'!I58</f>
        <v>378.26</v>
      </c>
      <c r="AP119" s="22">
        <f>+AO119+AP48</f>
        <v>395.18</v>
      </c>
      <c r="AQ119" s="22">
        <f>+'QTR Raw'!K58</f>
        <v>413.85</v>
      </c>
      <c r="AR119" s="22">
        <f>+AQ119+AR48</f>
        <v>427.07</v>
      </c>
      <c r="AS119" s="22">
        <f>+'QTR Raw'!M58</f>
        <v>552.94000000000005</v>
      </c>
      <c r="AT119" s="22">
        <f>+AS119+AT48</f>
        <v>573.41999999999996</v>
      </c>
      <c r="AU119" s="22">
        <f>+'QTR Raw'!O58</f>
        <v>591.30999999999995</v>
      </c>
      <c r="AV119" s="22">
        <f>+AU119+AV48</f>
        <v>607.27999999999986</v>
      </c>
      <c r="AW119" s="22">
        <f>+'QTR Raw'!Q58</f>
        <v>604.14</v>
      </c>
      <c r="AX119" s="22">
        <f>+AW119+AX48</f>
        <v>638.41999999999996</v>
      </c>
      <c r="AY119" s="22">
        <f>+'QTR Raw'!S58</f>
        <v>656.69</v>
      </c>
      <c r="AZ119" s="22">
        <f>+AY119+AZ48</f>
        <v>673.4799999999999</v>
      </c>
      <c r="BA119" s="22">
        <f>+'QTR Raw'!U58</f>
        <v>662.31</v>
      </c>
      <c r="BB119" s="22">
        <f>+BA119+BB48</f>
        <v>678.63</v>
      </c>
      <c r="BC119" s="22">
        <f>+'QTR Raw'!W58</f>
        <v>485.85</v>
      </c>
      <c r="BD119" s="22">
        <f>+BC119+BD48</f>
        <v>504.97999999999996</v>
      </c>
      <c r="BE119" s="22">
        <f>+'QTR Raw'!Y58</f>
        <v>533.96</v>
      </c>
      <c r="BF119" s="22">
        <f>+BE119+BF48</f>
        <v>551.7600000000001</v>
      </c>
      <c r="BG119" s="22">
        <f>+'QTR Raw'!AA58</f>
        <v>540.15</v>
      </c>
      <c r="BH119" s="22">
        <f>+BG119+BH48</f>
        <v>525.03</v>
      </c>
      <c r="BI119" s="22">
        <f>+'QTR Raw'!AC58</f>
        <v>541.37</v>
      </c>
      <c r="BJ119" s="22">
        <f>+BI119+BJ48</f>
        <v>583.40000000000009</v>
      </c>
      <c r="BK119" s="22">
        <f>+'QTR Raw'!AE58</f>
        <v>583.80999999999995</v>
      </c>
      <c r="BL119" s="22">
        <f>+BK119+BL48</f>
        <v>615.70999999999992</v>
      </c>
      <c r="BM119" s="22">
        <f>+'QTR Raw'!AG58</f>
        <v>682.24</v>
      </c>
      <c r="BN119" s="22">
        <f>+BM119+BN48</f>
        <v>709.55</v>
      </c>
      <c r="BO119" s="22">
        <f>+'QTR Raw'!AI58</f>
        <v>713.17</v>
      </c>
      <c r="BP119" s="22">
        <f>+BO119+BP48</f>
        <v>750.04999999999984</v>
      </c>
      <c r="BQ119" s="22">
        <f>+'QTR Raw'!AK58</f>
        <v>749.8</v>
      </c>
      <c r="BR119" s="22">
        <f>+BQ119+BR48</f>
        <v>765.97</v>
      </c>
      <c r="BS119" s="22">
        <f>+'QTR Raw'!AM58</f>
        <v>741.58</v>
      </c>
      <c r="BT119" s="22">
        <f>+BS119+BT48</f>
        <v>719.7399999999999</v>
      </c>
      <c r="BU119" s="22">
        <f>+'QTR Raw'!AO58</f>
        <v>699.57</v>
      </c>
      <c r="BV119" s="22">
        <f>+BU119+BV48</f>
        <v>724.18000000000018</v>
      </c>
      <c r="BW119" s="22">
        <f>+'QTR Raw'!AQ58</f>
        <v>726.56</v>
      </c>
      <c r="BX119" s="22">
        <f>+BW119+BX48</f>
        <v>726.6</v>
      </c>
      <c r="BY119" s="22">
        <f>+'QTR Raw'!AS58</f>
        <v>741.85</v>
      </c>
      <c r="BZ119" s="22">
        <f>+BY119+BZ48</f>
        <v>777.34</v>
      </c>
      <c r="CA119" s="22">
        <f>+'QTR Raw'!AU58</f>
        <v>777.41</v>
      </c>
      <c r="CB119" s="22">
        <f>+CA119+CB48</f>
        <v>809.68</v>
      </c>
      <c r="CC119" s="22">
        <f>+'QTR Raw'!AW58</f>
        <v>1135.3499999999999</v>
      </c>
      <c r="CD119" s="22">
        <f>+CC119+CD48</f>
        <v>1161.3799999999999</v>
      </c>
      <c r="CE119" s="22">
        <f>+'QTR Raw'!AY58</f>
        <v>1162.1199999999999</v>
      </c>
      <c r="CF119" s="22">
        <f>+CE119+CF48</f>
        <v>1173.83</v>
      </c>
      <c r="CG119" s="22">
        <f t="shared" si="1045"/>
        <v>1173.8499999999999</v>
      </c>
      <c r="CH119" s="22">
        <f>+CG119+CH48</f>
        <v>1200</v>
      </c>
      <c r="CI119" s="22">
        <f>+'QTR Raw'!BC58</f>
        <v>1214.54</v>
      </c>
      <c r="CJ119" s="22">
        <f>+CI119+CJ48</f>
        <v>1251.31</v>
      </c>
      <c r="CK119" s="23">
        <f t="shared" ref="CK119:DA119" si="1047">CJ119+CK48</f>
        <v>1281.6099999999999</v>
      </c>
      <c r="CL119" s="22">
        <f>+CK119+CL48</f>
        <v>1307.21</v>
      </c>
      <c r="CM119" s="23">
        <f t="shared" si="1047"/>
        <v>1339.974750711845</v>
      </c>
      <c r="CN119" s="23">
        <f t="shared" si="1047"/>
        <v>1377.0062176290201</v>
      </c>
      <c r="CO119" s="23">
        <f t="shared" si="1047"/>
        <v>1414.476909119667</v>
      </c>
      <c r="CP119" s="23">
        <f t="shared" si="1047"/>
        <v>1452.3025410508285</v>
      </c>
      <c r="CQ119" s="23">
        <f t="shared" si="1047"/>
        <v>1493.1870419224374</v>
      </c>
      <c r="CR119" s="23">
        <f t="shared" si="1047"/>
        <v>1537.9913441144918</v>
      </c>
      <c r="CS119" s="23">
        <f t="shared" si="1047"/>
        <v>1584.5432020349544</v>
      </c>
      <c r="CT119" s="23">
        <f t="shared" si="1047"/>
        <v>1632.9694180748052</v>
      </c>
      <c r="CU119" s="23">
        <f t="shared" si="1047"/>
        <v>1684.1099400954538</v>
      </c>
      <c r="CV119" s="23">
        <f t="shared" si="1047"/>
        <v>1739.7733381942501</v>
      </c>
      <c r="CW119" s="23">
        <f t="shared" si="1047"/>
        <v>1798.0459880915155</v>
      </c>
      <c r="CX119" s="23">
        <f t="shared" si="1047"/>
        <v>1858.9452756189162</v>
      </c>
      <c r="CY119" s="23">
        <f t="shared" si="1047"/>
        <v>1923.1228428984177</v>
      </c>
      <c r="CZ119" s="23">
        <f t="shared" si="1047"/>
        <v>1992.6040504976243</v>
      </c>
      <c r="DA119" s="23">
        <f t="shared" si="1047"/>
        <v>2065.5442026532246</v>
      </c>
      <c r="DD119" s="122"/>
      <c r="DE119" s="22">
        <v>1281.6099999999999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48">C117+C118+C119</f>
        <v>0</v>
      </c>
      <c r="D120" s="21">
        <f t="shared" si="1048"/>
        <v>162.51399999999998</v>
      </c>
      <c r="E120" s="21">
        <f t="shared" si="1048"/>
        <v>163.9623</v>
      </c>
      <c r="F120" s="21">
        <f t="shared" si="1048"/>
        <v>179.51839999999999</v>
      </c>
      <c r="G120" s="21">
        <f t="shared" si="1048"/>
        <v>196.78100000000001</v>
      </c>
      <c r="H120" s="21">
        <f t="shared" si="1048"/>
        <v>223.8501</v>
      </c>
      <c r="I120" s="21">
        <f t="shared" si="1048"/>
        <v>238.2688</v>
      </c>
      <c r="J120" s="21">
        <f t="shared" si="1048"/>
        <v>246.17</v>
      </c>
      <c r="K120" s="21">
        <f t="shared" si="1048"/>
        <v>261.54630000000003</v>
      </c>
      <c r="L120" s="21">
        <f t="shared" si="1048"/>
        <v>293.66120000000001</v>
      </c>
      <c r="M120" s="21">
        <f>M117+M118+M119</f>
        <v>328.82769999999999</v>
      </c>
      <c r="N120" s="21">
        <f t="shared" si="1048"/>
        <v>354.96019999999999</v>
      </c>
      <c r="O120" s="21">
        <f t="shared" si="1048"/>
        <v>390.80629999999996</v>
      </c>
      <c r="P120" s="21">
        <f t="shared" si="1048"/>
        <v>567.48099999999999</v>
      </c>
      <c r="Q120" s="21">
        <f t="shared" si="1048"/>
        <v>618.68720000000008</v>
      </c>
      <c r="R120" s="21">
        <f t="shared" si="1048"/>
        <v>509.20740000000001</v>
      </c>
      <c r="S120" s="21">
        <f t="shared" si="1048"/>
        <v>549.06600000000003</v>
      </c>
      <c r="T120" s="21">
        <f t="shared" si="1048"/>
        <v>556.47789999999998</v>
      </c>
      <c r="U120" s="21">
        <f t="shared" si="1048"/>
        <v>697.35</v>
      </c>
      <c r="V120" s="21">
        <f t="shared" si="1048"/>
        <v>764.91000000000008</v>
      </c>
      <c r="W120" s="21">
        <f t="shared" ref="W120" si="1049">W117+W118+W119</f>
        <v>714.68000000000006</v>
      </c>
      <c r="X120" s="21">
        <f t="shared" ref="X120:Y120" si="1050">X117+X118+X119</f>
        <v>756.96</v>
      </c>
      <c r="Y120" s="21">
        <f t="shared" si="1050"/>
        <v>1150.46</v>
      </c>
      <c r="Z120" s="21">
        <f t="shared" ref="Z120:AA120" si="1051">Z117+Z118+Z119</f>
        <v>1193.55</v>
      </c>
      <c r="AA120" s="21">
        <f t="shared" si="1051"/>
        <v>1293.53</v>
      </c>
      <c r="AB120" s="20">
        <f t="shared" ref="AA120:AD120" si="1052">AB117+AB118+AB119</f>
        <v>1429.5869091196669</v>
      </c>
      <c r="AC120" s="20">
        <f t="shared" si="1052"/>
        <v>1599.6532020349543</v>
      </c>
      <c r="AD120" s="20">
        <f t="shared" si="1052"/>
        <v>1813.1559880915154</v>
      </c>
      <c r="AE120" s="20">
        <f t="shared" ref="AE120" si="1053">AE117+AE118+AE119</f>
        <v>2080.6542026532247</v>
      </c>
      <c r="AI120" s="21">
        <f t="shared" ref="AI120:AL120" si="1054">AI117+AI118+AI119</f>
        <v>355.11</v>
      </c>
      <c r="AJ120" s="21">
        <f t="shared" si="1054"/>
        <v>363.89</v>
      </c>
      <c r="AK120" s="21">
        <f t="shared" si="1054"/>
        <v>354.96000000000004</v>
      </c>
      <c r="AL120" s="21">
        <f t="shared" si="1054"/>
        <v>370.59000000000003</v>
      </c>
      <c r="AM120" s="21">
        <f t="shared" ref="AM120:AP120" si="1055">AM117+AM118+AM119</f>
        <v>385.24</v>
      </c>
      <c r="AN120" s="21">
        <f t="shared" si="1055"/>
        <v>394.39</v>
      </c>
      <c r="AO120" s="21">
        <f t="shared" si="1055"/>
        <v>390.8</v>
      </c>
      <c r="AP120" s="21">
        <f t="shared" si="1055"/>
        <v>407.72</v>
      </c>
      <c r="AQ120" s="21">
        <f t="shared" ref="AQ120:AT120" si="1056">AQ117+AQ118+AQ119</f>
        <v>426.39000000000004</v>
      </c>
      <c r="AR120" s="21">
        <f t="shared" si="1056"/>
        <v>439.61</v>
      </c>
      <c r="AS120" s="21">
        <f t="shared" si="1056"/>
        <v>567.48</v>
      </c>
      <c r="AT120" s="21">
        <f t="shared" si="1056"/>
        <v>587.95999999999992</v>
      </c>
      <c r="AU120" s="21">
        <f t="shared" ref="AU120:AX120" si="1057">AU117+AU118+AU119</f>
        <v>605.84999999999991</v>
      </c>
      <c r="AV120" s="21">
        <f t="shared" si="1057"/>
        <v>621.81999999999982</v>
      </c>
      <c r="AW120" s="21">
        <f t="shared" si="1057"/>
        <v>618.67999999999995</v>
      </c>
      <c r="AX120" s="21">
        <f t="shared" si="1057"/>
        <v>652.95999999999992</v>
      </c>
      <c r="AY120" s="21">
        <f t="shared" ref="AY120:BB120" si="1058">AY117+AY118+AY119</f>
        <v>671.23</v>
      </c>
      <c r="AZ120" s="21">
        <f t="shared" si="1058"/>
        <v>688.01999999999987</v>
      </c>
      <c r="BA120" s="21">
        <f t="shared" si="1058"/>
        <v>676.84999999999991</v>
      </c>
      <c r="BB120" s="21">
        <f t="shared" si="1058"/>
        <v>693.17</v>
      </c>
      <c r="BC120" s="21">
        <f t="shared" ref="BC120:BF120" si="1059">BC117+BC118+BC119</f>
        <v>500.95000000000005</v>
      </c>
      <c r="BD120" s="21">
        <f t="shared" si="1059"/>
        <v>520.07999999999993</v>
      </c>
      <c r="BE120" s="21">
        <f t="shared" si="1059"/>
        <v>549.07000000000005</v>
      </c>
      <c r="BF120" s="21">
        <f t="shared" si="1059"/>
        <v>566.87000000000012</v>
      </c>
      <c r="BG120" s="21">
        <f t="shared" ref="BG120:BJ120" si="1060">BG117+BG118+BG119</f>
        <v>555.26</v>
      </c>
      <c r="BH120" s="21">
        <f t="shared" si="1060"/>
        <v>540.14</v>
      </c>
      <c r="BI120" s="21">
        <f t="shared" si="1060"/>
        <v>556.48</v>
      </c>
      <c r="BJ120" s="21">
        <f t="shared" si="1060"/>
        <v>598.5100000000001</v>
      </c>
      <c r="BK120" s="21">
        <f t="shared" ref="BK120:BN120" si="1061">BK117+BK118+BK119</f>
        <v>598.91999999999996</v>
      </c>
      <c r="BL120" s="21">
        <f t="shared" si="1061"/>
        <v>630.81999999999994</v>
      </c>
      <c r="BM120" s="21">
        <f t="shared" si="1061"/>
        <v>697.35</v>
      </c>
      <c r="BN120" s="21">
        <f t="shared" si="1061"/>
        <v>724.66</v>
      </c>
      <c r="BO120" s="21">
        <f t="shared" ref="BO120:BR120" si="1062">BO117+BO118+BO119</f>
        <v>728.28</v>
      </c>
      <c r="BP120" s="21">
        <f t="shared" si="1062"/>
        <v>765.15999999999985</v>
      </c>
      <c r="BQ120" s="21">
        <f t="shared" si="1062"/>
        <v>764.91</v>
      </c>
      <c r="BR120" s="21">
        <f t="shared" si="1062"/>
        <v>781.08</v>
      </c>
      <c r="BS120" s="21">
        <f t="shared" ref="BS120:BV120" si="1063">BS117+BS118+BS119</f>
        <v>756.69</v>
      </c>
      <c r="BT120" s="21">
        <f t="shared" si="1063"/>
        <v>734.84999999999991</v>
      </c>
      <c r="BU120" s="21">
        <f t="shared" si="1063"/>
        <v>714.68000000000006</v>
      </c>
      <c r="BV120" s="21">
        <f t="shared" si="1063"/>
        <v>739.29000000000019</v>
      </c>
      <c r="BW120" s="21">
        <f t="shared" ref="BW120:BZ120" si="1064">BW117+BW118+BW119</f>
        <v>741.67</v>
      </c>
      <c r="BX120" s="21">
        <f t="shared" si="1064"/>
        <v>741.71</v>
      </c>
      <c r="BY120" s="21">
        <f t="shared" si="1064"/>
        <v>756.96</v>
      </c>
      <c r="BZ120" s="21">
        <f t="shared" si="1064"/>
        <v>792.45</v>
      </c>
      <c r="CA120" s="21">
        <f t="shared" ref="CA120:CD120" si="1065">CA117+CA118+CA119</f>
        <v>792.52</v>
      </c>
      <c r="CB120" s="21">
        <f t="shared" si="1065"/>
        <v>824.79</v>
      </c>
      <c r="CC120" s="21">
        <f t="shared" si="1065"/>
        <v>1150.4599999999998</v>
      </c>
      <c r="CD120" s="21">
        <f t="shared" si="1065"/>
        <v>1176.4899999999998</v>
      </c>
      <c r="CE120" s="21">
        <f t="shared" ref="CE120" si="1066">CE117+CE118+CE119</f>
        <v>1177.2299999999998</v>
      </c>
      <c r="CF120" s="21">
        <f t="shared" ref="CF120:CH120" si="1067">CF117+CF118+CF119</f>
        <v>1188.9399999999998</v>
      </c>
      <c r="CG120" s="21">
        <f t="shared" ref="CG120" si="1068">CG117+CG118+CG119</f>
        <v>1193.55</v>
      </c>
      <c r="CH120" s="21">
        <f t="shared" si="1067"/>
        <v>1219.7</v>
      </c>
      <c r="CI120" s="21">
        <f t="shared" ref="CI120:CJ120" si="1069">CI117+CI118+CI119</f>
        <v>1229.6499999999999</v>
      </c>
      <c r="CJ120" s="21">
        <f t="shared" si="1069"/>
        <v>1266.4199999999998</v>
      </c>
      <c r="CK120" s="20">
        <f t="shared" ref="CK120:DA120" si="1070">CK117+CK118+CK119</f>
        <v>1296.7199999999998</v>
      </c>
      <c r="CL120" s="21">
        <f t="shared" si="1070"/>
        <v>1322.32</v>
      </c>
      <c r="CM120" s="20">
        <f t="shared" si="1070"/>
        <v>1355.0847507118449</v>
      </c>
      <c r="CN120" s="20">
        <f t="shared" si="1070"/>
        <v>1392.11621762902</v>
      </c>
      <c r="CO120" s="20">
        <f t="shared" si="1070"/>
        <v>1429.5869091196669</v>
      </c>
      <c r="CP120" s="20">
        <f t="shared" si="1070"/>
        <v>1467.4125410508284</v>
      </c>
      <c r="CQ120" s="20">
        <f t="shared" si="1070"/>
        <v>1508.2970419224373</v>
      </c>
      <c r="CR120" s="20">
        <f t="shared" si="1070"/>
        <v>1553.1013441144917</v>
      </c>
      <c r="CS120" s="20">
        <f t="shared" si="1070"/>
        <v>1599.6532020349543</v>
      </c>
      <c r="CT120" s="20">
        <f t="shared" si="1070"/>
        <v>1648.0794180748051</v>
      </c>
      <c r="CU120" s="20">
        <f t="shared" si="1070"/>
        <v>1699.2199400954537</v>
      </c>
      <c r="CV120" s="20">
        <f t="shared" si="1070"/>
        <v>1754.88333819425</v>
      </c>
      <c r="CW120" s="20">
        <f t="shared" si="1070"/>
        <v>1813.1559880915154</v>
      </c>
      <c r="CX120" s="20">
        <f t="shared" si="1070"/>
        <v>1874.0552756189161</v>
      </c>
      <c r="CY120" s="20">
        <f t="shared" si="1070"/>
        <v>1938.2328428984176</v>
      </c>
      <c r="CZ120" s="20">
        <f t="shared" si="1070"/>
        <v>2007.7140504976242</v>
      </c>
      <c r="DA120" s="20">
        <f t="shared" si="1070"/>
        <v>2080.6542026532247</v>
      </c>
      <c r="DD120" s="125"/>
      <c r="DE120" s="21">
        <v>1296.7199999999998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18.516100000000002</v>
      </c>
      <c r="O122" s="22">
        <f>'Annual Raw'!P45</f>
        <v>20.126300000000001</v>
      </c>
      <c r="P122" s="22">
        <f>'Annual Raw'!Q45</f>
        <v>22.031099999999999</v>
      </c>
      <c r="Q122" s="22">
        <f>'Annual Raw'!R45</f>
        <v>23.827999999999999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71">+CO122</f>
        <v>0</v>
      </c>
      <c r="AC122" s="23">
        <f t="shared" ref="AC122" si="1072">+CS122</f>
        <v>0</v>
      </c>
      <c r="AD122" s="23">
        <f t="shared" ref="AD122" si="1073">+CW122</f>
        <v>0</v>
      </c>
      <c r="AE122" s="23">
        <f t="shared" ref="AE122" si="1074">+DA122</f>
        <v>0</v>
      </c>
      <c r="AI122" s="22">
        <f>+'QTR Raw'!C60</f>
        <v>0</v>
      </c>
      <c r="AJ122" s="22">
        <f t="shared" ref="AJ122" si="1075">+AI122</f>
        <v>0</v>
      </c>
      <c r="AK122" s="22">
        <f>+'QTR Raw'!E60</f>
        <v>18.52</v>
      </c>
      <c r="AL122" s="22">
        <f t="shared" ref="AL122" si="1076">+AK122</f>
        <v>18.52</v>
      </c>
      <c r="AM122" s="22">
        <f>+'QTR Raw'!G60</f>
        <v>19.350000000000001</v>
      </c>
      <c r="AN122" s="22">
        <f t="shared" ref="AN122" si="1077">+AM122</f>
        <v>19.350000000000001</v>
      </c>
      <c r="AO122" s="22">
        <f>+'QTR Raw'!I60</f>
        <v>20.13</v>
      </c>
      <c r="AP122" s="22">
        <f t="shared" ref="AP122" si="1078">+AO122</f>
        <v>20.13</v>
      </c>
      <c r="AQ122" s="22">
        <f>+'QTR Raw'!K60</f>
        <v>21.14</v>
      </c>
      <c r="AR122" s="22">
        <f t="shared" ref="AR122" si="1079">+AQ122</f>
        <v>21.14</v>
      </c>
      <c r="AS122" s="22">
        <f>+'QTR Raw'!M60</f>
        <v>22.03</v>
      </c>
      <c r="AT122" s="22">
        <f t="shared" ref="AT122" si="1080">+AS122</f>
        <v>22.03</v>
      </c>
      <c r="AU122" s="22">
        <f>+'QTR Raw'!O60</f>
        <v>23.54</v>
      </c>
      <c r="AV122" s="22">
        <f t="shared" ref="AV122" si="1081">+AU122</f>
        <v>23.54</v>
      </c>
      <c r="AW122" s="22">
        <f>+'QTR Raw'!Q60</f>
        <v>23.83</v>
      </c>
      <c r="AX122" s="22">
        <f t="shared" ref="AX122" si="1082">+AW122</f>
        <v>23.83</v>
      </c>
      <c r="AY122" s="22">
        <f>+'QTR Raw'!S60</f>
        <v>26.19</v>
      </c>
      <c r="AZ122" s="22">
        <f t="shared" ref="AZ122" si="1083">+AY122</f>
        <v>26.19</v>
      </c>
      <c r="BA122" s="22">
        <f>+'QTR Raw'!U60</f>
        <v>27.52</v>
      </c>
      <c r="BB122" s="22">
        <f t="shared" ref="BB122" si="1084">+BA122</f>
        <v>27.52</v>
      </c>
      <c r="BC122" s="22">
        <f>+'QTR Raw'!W60</f>
        <v>0</v>
      </c>
      <c r="BD122" s="22">
        <f t="shared" ref="BD122" si="1085">+BC122</f>
        <v>0</v>
      </c>
      <c r="BE122" s="22">
        <f>+'QTR Raw'!Y60</f>
        <v>0</v>
      </c>
      <c r="BF122" s="22">
        <f t="shared" ref="BF122" si="1086">+BE122</f>
        <v>0</v>
      </c>
      <c r="BG122" s="22">
        <f>+'QTR Raw'!AA60</f>
        <v>0</v>
      </c>
      <c r="BH122" s="22">
        <f t="shared" ref="BH122" si="1087">+BG122</f>
        <v>0</v>
      </c>
      <c r="BI122" s="22">
        <f>+'QTR Raw'!AC60</f>
        <v>0</v>
      </c>
      <c r="BJ122" s="22">
        <f t="shared" ref="BJ122" si="1088">+BI122</f>
        <v>0</v>
      </c>
      <c r="BK122" s="22">
        <f>+'QTR Raw'!AE60</f>
        <v>0</v>
      </c>
      <c r="BL122" s="22">
        <f t="shared" ref="BL122" si="1089">+BK122</f>
        <v>0</v>
      </c>
      <c r="BM122" s="22">
        <f>+'QTR Raw'!AG60</f>
        <v>0</v>
      </c>
      <c r="BN122" s="22">
        <f t="shared" ref="BN122" si="1090">+BM122</f>
        <v>0</v>
      </c>
      <c r="BO122" s="22">
        <f>+'QTR Raw'!AI60</f>
        <v>0</v>
      </c>
      <c r="BP122" s="22">
        <f t="shared" ref="BP122" si="1091">+BO122</f>
        <v>0</v>
      </c>
      <c r="BQ122" s="22">
        <f>+'QTR Raw'!AK60</f>
        <v>0</v>
      </c>
      <c r="BR122" s="22">
        <f t="shared" ref="BR122" si="1092">+BQ122</f>
        <v>0</v>
      </c>
      <c r="BS122" s="22">
        <f>+'QTR Raw'!AM60</f>
        <v>0</v>
      </c>
      <c r="BT122" s="22">
        <f t="shared" ref="BT122" si="1093">+BS122</f>
        <v>0</v>
      </c>
      <c r="BU122" s="22">
        <f>+'QTR Raw'!AO60</f>
        <v>0</v>
      </c>
      <c r="BV122" s="22">
        <f t="shared" ref="BV122" si="1094">+BU122</f>
        <v>0</v>
      </c>
      <c r="BW122" s="22">
        <f>+'QTR Raw'!AQ60</f>
        <v>0</v>
      </c>
      <c r="BX122" s="22">
        <f t="shared" ref="BX122" si="1095">+BW122</f>
        <v>0</v>
      </c>
      <c r="BY122" s="22">
        <f>+'QTR Raw'!AS60</f>
        <v>0</v>
      </c>
      <c r="BZ122" s="22">
        <f t="shared" ref="BZ122" si="1096">+BY122</f>
        <v>0</v>
      </c>
      <c r="CA122" s="22">
        <f>+'QTR Raw'!AU60</f>
        <v>0</v>
      </c>
      <c r="CB122" s="22">
        <f t="shared" ref="CB122" si="1097">+CA122</f>
        <v>0</v>
      </c>
      <c r="CC122" s="22">
        <f>+'QTR Raw'!AW60</f>
        <v>0</v>
      </c>
      <c r="CD122" s="22">
        <f t="shared" ref="CD122" si="1098">+CC122</f>
        <v>0</v>
      </c>
      <c r="CE122" s="22">
        <f>+'QTR Raw'!AY60</f>
        <v>0</v>
      </c>
      <c r="CF122" s="22">
        <f t="shared" ref="CF122:CL122" si="1099">+CE122</f>
        <v>0</v>
      </c>
      <c r="CG122" s="22">
        <f t="shared" ref="CG122:CG127" si="1100">+Z122</f>
        <v>0</v>
      </c>
      <c r="CH122" s="22">
        <f t="shared" si="1099"/>
        <v>0</v>
      </c>
      <c r="CI122" s="22">
        <f>+'QTR Raw'!BC60</f>
        <v>0</v>
      </c>
      <c r="CJ122" s="22">
        <f t="shared" si="1099"/>
        <v>0</v>
      </c>
      <c r="CK122" s="23">
        <f t="shared" ref="CK122" si="1101">+CJ122</f>
        <v>0</v>
      </c>
      <c r="CL122" s="22">
        <f t="shared" si="1099"/>
        <v>0</v>
      </c>
      <c r="CM122" s="23">
        <f t="shared" ref="CM122" si="1102">+CL122</f>
        <v>0</v>
      </c>
      <c r="CN122" s="23">
        <f t="shared" ref="CN122" si="1103">+CM122</f>
        <v>0</v>
      </c>
      <c r="CO122" s="23">
        <f t="shared" ref="CO122" si="1104">+CN122</f>
        <v>0</v>
      </c>
      <c r="CP122" s="23">
        <f t="shared" ref="CP122" si="1105">+CO122</f>
        <v>0</v>
      </c>
      <c r="CQ122" s="23">
        <f t="shared" ref="CQ122" si="1106">+CP122</f>
        <v>0</v>
      </c>
      <c r="CR122" s="23">
        <f t="shared" ref="CR122" si="1107">+CQ122</f>
        <v>0</v>
      </c>
      <c r="CS122" s="23">
        <f t="shared" ref="CS122" si="1108">+CR122</f>
        <v>0</v>
      </c>
      <c r="CT122" s="23">
        <f t="shared" ref="CT122" si="1109">+CS122</f>
        <v>0</v>
      </c>
      <c r="CU122" s="23">
        <f t="shared" ref="CU122" si="1110">+CT122</f>
        <v>0</v>
      </c>
      <c r="CV122" s="23">
        <f t="shared" ref="CV122" si="1111">+CU122</f>
        <v>0</v>
      </c>
      <c r="CW122" s="23">
        <f t="shared" ref="CW122" si="1112">+CV122</f>
        <v>0</v>
      </c>
      <c r="CX122" s="23">
        <f t="shared" ref="CX122" si="1113">+CW122</f>
        <v>0</v>
      </c>
      <c r="CY122" s="23">
        <f t="shared" ref="CY122" si="1114">+CX122</f>
        <v>0</v>
      </c>
      <c r="CZ122" s="23">
        <f t="shared" ref="CZ122" si="1115">+CY122</f>
        <v>0</v>
      </c>
      <c r="DA122" s="23">
        <f t="shared" ref="DA122" si="1116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00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1.6451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4.2893999999999997</v>
      </c>
      <c r="J124" s="22">
        <f>'Annual Raw'!K47</f>
        <v>0.2853</v>
      </c>
      <c r="K124" s="22">
        <f>'Annual Raw'!L47</f>
        <v>1.4041999999999999</v>
      </c>
      <c r="L124" s="22">
        <f>'Annual Raw'!M47</f>
        <v>0</v>
      </c>
      <c r="M124" s="22">
        <f>'Annual Raw'!N47</f>
        <v>0</v>
      </c>
      <c r="N124" s="22">
        <f>'Annual Raw'!O47</f>
        <v>13.6488</v>
      </c>
      <c r="O124" s="22">
        <f>'Annual Raw'!P47</f>
        <v>20.703800000000001</v>
      </c>
      <c r="P124" s="22">
        <f>'Annual Raw'!Q47</f>
        <v>18.111000000000001</v>
      </c>
      <c r="Q124" s="22">
        <f>'Annual Raw'!R47</f>
        <v>7.8558000000000003</v>
      </c>
      <c r="R124" s="22">
        <f>'Annual Raw'!S47</f>
        <v>10.4323</v>
      </c>
      <c r="S124" s="22">
        <f>'Annual Raw'!T47</f>
        <v>0</v>
      </c>
      <c r="T124" s="22">
        <f>'Annual Raw'!U47</f>
        <v>0</v>
      </c>
      <c r="U124" s="22">
        <f>'Annual Raw'!V47</f>
        <v>100</v>
      </c>
      <c r="V124" s="22">
        <f>'Annual Raw'!W47</f>
        <v>25</v>
      </c>
      <c r="W124" s="22">
        <f>'Annual Raw'!X47</f>
        <v>50</v>
      </c>
      <c r="X124" s="22">
        <f>'Annual Raw'!Y47</f>
        <v>0</v>
      </c>
      <c r="Y124" s="22">
        <f>'Annual Raw'!Z47</f>
        <v>0</v>
      </c>
      <c r="Z124" s="22">
        <f>'Annual Raw'!AA47</f>
        <v>0</v>
      </c>
      <c r="AA124" s="22">
        <f>'Annual Raw'!AB47</f>
        <v>0</v>
      </c>
      <c r="AB124" s="23">
        <f t="shared" ref="AB124:AB127" si="1117">+CO124</f>
        <v>0</v>
      </c>
      <c r="AC124" s="23">
        <f t="shared" ref="AC124:AC127" si="1118">+CS124</f>
        <v>0</v>
      </c>
      <c r="AD124" s="23">
        <f t="shared" ref="AD124:AD127" si="1119">+CW124</f>
        <v>0</v>
      </c>
      <c r="AE124" s="23">
        <f t="shared" ref="AE124:AE127" si="1120">+DA124</f>
        <v>0</v>
      </c>
      <c r="AI124" s="22">
        <f>+'QTR Raw'!C62</f>
        <v>0</v>
      </c>
      <c r="AJ124" s="22">
        <f t="shared" ref="AJ124:AJ127" si="1121">+AI124</f>
        <v>0</v>
      </c>
      <c r="AK124" s="22">
        <f>+'QTR Raw'!E62</f>
        <v>0</v>
      </c>
      <c r="AL124" s="22">
        <f t="shared" ref="AL124:AL127" si="1122">+AK124</f>
        <v>0</v>
      </c>
      <c r="AM124" s="22">
        <f>+'QTR Raw'!G62</f>
        <v>0</v>
      </c>
      <c r="AN124" s="22">
        <f t="shared" ref="AN124:AN127" si="1123">+AM124</f>
        <v>0</v>
      </c>
      <c r="AO124" s="22">
        <f>+'QTR Raw'!I62</f>
        <v>0</v>
      </c>
      <c r="AP124" s="22">
        <f t="shared" ref="AP124:AP127" si="1124">+AO124</f>
        <v>0</v>
      </c>
      <c r="AQ124" s="22">
        <f>+'QTR Raw'!K62</f>
        <v>0</v>
      </c>
      <c r="AR124" s="22">
        <f t="shared" ref="AR124:AR127" si="1125">+AQ124</f>
        <v>0</v>
      </c>
      <c r="AS124" s="22">
        <f>+'QTR Raw'!M62</f>
        <v>0</v>
      </c>
      <c r="AT124" s="22">
        <f t="shared" ref="AT124:AT127" si="1126">+AS124</f>
        <v>0</v>
      </c>
      <c r="AU124" s="22">
        <f>+'QTR Raw'!O62</f>
        <v>0</v>
      </c>
      <c r="AV124" s="22">
        <f t="shared" ref="AV124:AV127" si="1127">+AU124</f>
        <v>0</v>
      </c>
      <c r="AW124" s="22">
        <f>+'QTR Raw'!Q62</f>
        <v>0</v>
      </c>
      <c r="AX124" s="22">
        <f t="shared" ref="AX124:AX127" si="1128">+AW124</f>
        <v>0</v>
      </c>
      <c r="AY124" s="22">
        <f>+'QTR Raw'!S62</f>
        <v>0</v>
      </c>
      <c r="AZ124" s="22">
        <f t="shared" ref="AZ124:AZ127" si="1129">+AY124</f>
        <v>0</v>
      </c>
      <c r="BA124" s="22">
        <f>+'QTR Raw'!U62</f>
        <v>0</v>
      </c>
      <c r="BB124" s="22">
        <f t="shared" ref="BB124:BB127" si="1130">+BA124</f>
        <v>0</v>
      </c>
      <c r="BC124" s="22">
        <f>+'QTR Raw'!W62</f>
        <v>0</v>
      </c>
      <c r="BD124" s="22">
        <f t="shared" ref="BD124:BD127" si="1131">+BC124</f>
        <v>0</v>
      </c>
      <c r="BE124" s="22">
        <f>+'QTR Raw'!Y62</f>
        <v>0</v>
      </c>
      <c r="BF124" s="22">
        <f t="shared" ref="BF124:BF127" si="1132">+BE124</f>
        <v>0</v>
      </c>
      <c r="BG124" s="22">
        <f>+'QTR Raw'!AA62</f>
        <v>0</v>
      </c>
      <c r="BH124" s="22">
        <f t="shared" ref="BH124:BH127" si="1133">+BG124</f>
        <v>0</v>
      </c>
      <c r="BI124" s="22">
        <f>+'QTR Raw'!AC62</f>
        <v>0</v>
      </c>
      <c r="BJ124" s="22">
        <f t="shared" ref="BJ124:BJ127" si="1134">+BI124</f>
        <v>0</v>
      </c>
      <c r="BK124" s="22">
        <f>+'QTR Raw'!AE62</f>
        <v>0</v>
      </c>
      <c r="BL124" s="22">
        <f t="shared" ref="BL124:BL127" si="1135">+BK124</f>
        <v>0</v>
      </c>
      <c r="BM124" s="22">
        <f>+'QTR Raw'!AG62</f>
        <v>0</v>
      </c>
      <c r="BN124" s="22">
        <f t="shared" ref="BN124:BN127" si="1136">+BM124</f>
        <v>0</v>
      </c>
      <c r="BO124" s="22">
        <f>+'QTR Raw'!AI62</f>
        <v>0</v>
      </c>
      <c r="BP124" s="22">
        <f t="shared" ref="BP124:BP127" si="1137">+BO124</f>
        <v>0</v>
      </c>
      <c r="BQ124" s="22">
        <f>+'QTR Raw'!AK62</f>
        <v>0</v>
      </c>
      <c r="BR124" s="22">
        <f t="shared" ref="BR124:BR127" si="1138">+BQ124</f>
        <v>0</v>
      </c>
      <c r="BS124" s="22">
        <f>+'QTR Raw'!AM62</f>
        <v>0</v>
      </c>
      <c r="BT124" s="22">
        <f t="shared" ref="BT124:BT127" si="1139">+BS124</f>
        <v>0</v>
      </c>
      <c r="BU124" s="22">
        <f>+'QTR Raw'!AO62</f>
        <v>0</v>
      </c>
      <c r="BV124" s="22">
        <f t="shared" ref="BV124:BV127" si="1140">+BU124</f>
        <v>0</v>
      </c>
      <c r="BW124" s="22">
        <f>+'QTR Raw'!AQ62</f>
        <v>0</v>
      </c>
      <c r="BX124" s="22">
        <f t="shared" ref="BX124:BX127" si="1141">+BW124</f>
        <v>0</v>
      </c>
      <c r="BY124" s="22">
        <f>+'QTR Raw'!AS62</f>
        <v>0</v>
      </c>
      <c r="BZ124" s="22">
        <f t="shared" ref="BZ124:BZ127" si="1142">+BY124</f>
        <v>0</v>
      </c>
      <c r="CA124" s="22">
        <f>+'QTR Raw'!AU62</f>
        <v>0</v>
      </c>
      <c r="CB124" s="22">
        <f t="shared" ref="CB124:CB127" si="1143">+CA124</f>
        <v>0</v>
      </c>
      <c r="CC124" s="22">
        <f>+'QTR Raw'!AW62</f>
        <v>0</v>
      </c>
      <c r="CD124" s="22">
        <f t="shared" ref="CD124:CD127" si="1144">+CC124</f>
        <v>0</v>
      </c>
      <c r="CE124" s="22">
        <f>+'QTR Raw'!AY62</f>
        <v>0</v>
      </c>
      <c r="CF124" s="22">
        <f t="shared" ref="CF124:CL127" si="1145">+CE124</f>
        <v>0</v>
      </c>
      <c r="CG124" s="22">
        <f t="shared" si="1100"/>
        <v>0</v>
      </c>
      <c r="CH124" s="22">
        <f t="shared" si="1145"/>
        <v>0</v>
      </c>
      <c r="CI124" s="22">
        <f>+'QTR Raw'!BC62</f>
        <v>0</v>
      </c>
      <c r="CJ124" s="22">
        <f t="shared" si="1145"/>
        <v>0</v>
      </c>
      <c r="CK124" s="23">
        <f t="shared" ref="CK124:CK127" si="1146">+CJ124</f>
        <v>0</v>
      </c>
      <c r="CL124" s="22">
        <f t="shared" si="1145"/>
        <v>0</v>
      </c>
      <c r="CM124" s="23">
        <f t="shared" ref="CM124:CM127" si="1147">+CL124</f>
        <v>0</v>
      </c>
      <c r="CN124" s="23">
        <f t="shared" ref="CN124:CN127" si="1148">+CM124</f>
        <v>0</v>
      </c>
      <c r="CO124" s="23">
        <f t="shared" ref="CO124:CO127" si="1149">+CN124</f>
        <v>0</v>
      </c>
      <c r="CP124" s="23">
        <f t="shared" ref="CP124:CP127" si="1150">+CO124</f>
        <v>0</v>
      </c>
      <c r="CQ124" s="23">
        <f t="shared" ref="CQ124:CQ127" si="1151">+CP124</f>
        <v>0</v>
      </c>
      <c r="CR124" s="23">
        <f t="shared" ref="CR124:CR127" si="1152">+CQ124</f>
        <v>0</v>
      </c>
      <c r="CS124" s="23">
        <f t="shared" ref="CS124:CS127" si="1153">+CR124</f>
        <v>0</v>
      </c>
      <c r="CT124" s="23">
        <f t="shared" ref="CT124:CT127" si="1154">+CS124</f>
        <v>0</v>
      </c>
      <c r="CU124" s="23">
        <f t="shared" ref="CU124:CU127" si="1155">+CT124</f>
        <v>0</v>
      </c>
      <c r="CV124" s="23">
        <f t="shared" ref="CV124:CV127" si="1156">+CU124</f>
        <v>0</v>
      </c>
      <c r="CW124" s="23">
        <f t="shared" ref="CW124:CW127" si="1157">+CV124</f>
        <v>0</v>
      </c>
      <c r="CX124" s="23">
        <f t="shared" ref="CX124:CX127" si="1158">+CW124</f>
        <v>0</v>
      </c>
      <c r="CY124" s="23">
        <f t="shared" ref="CY124:CY127" si="1159">+CX124</f>
        <v>0</v>
      </c>
      <c r="CZ124" s="23">
        <f t="shared" ref="CZ124:CZ127" si="1160">+CY124</f>
        <v>0</v>
      </c>
      <c r="DA124" s="23">
        <f t="shared" ref="DA124:DA127" si="1161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7.5303000000000004</v>
      </c>
      <c r="E125" s="22">
        <f>'Annual Raw'!F48</f>
        <v>10.2644</v>
      </c>
      <c r="F125" s="22">
        <f>'Annual Raw'!G48</f>
        <v>13.0207</v>
      </c>
      <c r="G125" s="22">
        <f>'Annual Raw'!H48</f>
        <v>16.294699999999999</v>
      </c>
      <c r="H125" s="22">
        <f>'Annual Raw'!I48</f>
        <v>33.773600000000002</v>
      </c>
      <c r="I125" s="22">
        <f>'Annual Raw'!J48</f>
        <v>62.8643</v>
      </c>
      <c r="J125" s="22">
        <f>'Annual Raw'!K48</f>
        <v>49.530099999999997</v>
      </c>
      <c r="K125" s="22">
        <f>'Annual Raw'!L48</f>
        <v>22.530899999999999</v>
      </c>
      <c r="L125" s="22">
        <f>'Annual Raw'!M48</f>
        <v>22.530899999999999</v>
      </c>
      <c r="M125" s="22">
        <f>'Annual Raw'!N48</f>
        <v>21.592400000000001</v>
      </c>
      <c r="N125" s="22">
        <f>'Annual Raw'!O48</f>
        <v>20.614699999999999</v>
      </c>
      <c r="O125" s="22">
        <f>'Annual Raw'!P48</f>
        <v>19.210599999999999</v>
      </c>
      <c r="P125" s="22">
        <f>'Annual Raw'!Q48</f>
        <v>17.295100000000001</v>
      </c>
      <c r="Q125" s="22">
        <f>'Annual Raw'!R48</f>
        <v>427.34989999999999</v>
      </c>
      <c r="R125" s="22">
        <f>'Annual Raw'!S48</f>
        <v>397.19380000000001</v>
      </c>
      <c r="S125" s="22">
        <f>'Annual Raw'!T48</f>
        <v>394.23649999999998</v>
      </c>
      <c r="T125" s="22">
        <f>'Annual Raw'!U48</f>
        <v>390.36680000000001</v>
      </c>
      <c r="U125" s="22">
        <f>'Annual Raw'!V48</f>
        <v>1.76</v>
      </c>
      <c r="V125" s="22">
        <f>'Annual Raw'!W48</f>
        <v>100</v>
      </c>
      <c r="W125" s="22">
        <f>'Annual Raw'!X48</f>
        <v>150</v>
      </c>
      <c r="X125" s="22">
        <f>'Annual Raw'!Y48</f>
        <v>200</v>
      </c>
      <c r="Y125" s="22">
        <f>'Annual Raw'!Z48</f>
        <v>200</v>
      </c>
      <c r="Z125" s="22">
        <f>'Annual Raw'!AA48</f>
        <v>100</v>
      </c>
      <c r="AA125" s="22">
        <f>'Annual Raw'!AB48</f>
        <v>100</v>
      </c>
      <c r="AB125" s="23">
        <f t="shared" si="1117"/>
        <v>100</v>
      </c>
      <c r="AC125" s="23">
        <f t="shared" si="1118"/>
        <v>100</v>
      </c>
      <c r="AD125" s="23">
        <f t="shared" si="1119"/>
        <v>100</v>
      </c>
      <c r="AE125" s="23">
        <f t="shared" si="1120"/>
        <v>100</v>
      </c>
      <c r="AI125" s="22">
        <f>+'QTR Raw'!C63</f>
        <v>20.61</v>
      </c>
      <c r="AJ125" s="22">
        <f t="shared" si="1121"/>
        <v>20.61</v>
      </c>
      <c r="AK125" s="22">
        <f>+'QTR Raw'!E63</f>
        <v>34.26</v>
      </c>
      <c r="AL125" s="22">
        <f t="shared" si="1122"/>
        <v>34.26</v>
      </c>
      <c r="AM125" s="22">
        <f>+'QTR Raw'!G63</f>
        <v>36.090000000000003</v>
      </c>
      <c r="AN125" s="22">
        <f t="shared" si="1123"/>
        <v>36.090000000000003</v>
      </c>
      <c r="AO125" s="22">
        <f>+'QTR Raw'!I63</f>
        <v>39.909999999999997</v>
      </c>
      <c r="AP125" s="22">
        <f t="shared" si="1124"/>
        <v>39.909999999999997</v>
      </c>
      <c r="AQ125" s="22">
        <f>+'QTR Raw'!K63</f>
        <v>35.49</v>
      </c>
      <c r="AR125" s="22">
        <f t="shared" si="1125"/>
        <v>35.49</v>
      </c>
      <c r="AS125" s="22">
        <f>+'QTR Raw'!M63</f>
        <v>35.409999999999997</v>
      </c>
      <c r="AT125" s="22">
        <f t="shared" si="1126"/>
        <v>35.409999999999997</v>
      </c>
      <c r="AU125" s="22">
        <f>+'QTR Raw'!O63</f>
        <v>457.58</v>
      </c>
      <c r="AV125" s="22">
        <f t="shared" si="1127"/>
        <v>457.58</v>
      </c>
      <c r="AW125" s="22">
        <f>+'QTR Raw'!Q63</f>
        <v>435.21</v>
      </c>
      <c r="AX125" s="22">
        <f t="shared" si="1128"/>
        <v>435.21</v>
      </c>
      <c r="AY125" s="22">
        <f>+'QTR Raw'!S63</f>
        <v>420.37</v>
      </c>
      <c r="AZ125" s="22">
        <f t="shared" si="1129"/>
        <v>420.37</v>
      </c>
      <c r="BA125" s="22">
        <f>+'QTR Raw'!U63</f>
        <v>408.21</v>
      </c>
      <c r="BB125" s="22">
        <f t="shared" si="1130"/>
        <v>408.21</v>
      </c>
      <c r="BC125" s="22">
        <f>+'QTR Raw'!W63</f>
        <v>394.17</v>
      </c>
      <c r="BD125" s="22">
        <f t="shared" si="1131"/>
        <v>394.17</v>
      </c>
      <c r="BE125" s="22">
        <f>+'QTR Raw'!Y63</f>
        <v>394.24</v>
      </c>
      <c r="BF125" s="22">
        <f t="shared" si="1132"/>
        <v>394.24</v>
      </c>
      <c r="BG125" s="22">
        <f>+'QTR Raw'!AA63</f>
        <v>390.52</v>
      </c>
      <c r="BH125" s="22">
        <f t="shared" si="1133"/>
        <v>390.52</v>
      </c>
      <c r="BI125" s="22">
        <f>+'QTR Raw'!AC63</f>
        <v>390.37</v>
      </c>
      <c r="BJ125" s="22">
        <f t="shared" si="1134"/>
        <v>390.37</v>
      </c>
      <c r="BK125" s="22">
        <f>+'QTR Raw'!AE63</f>
        <v>1.76</v>
      </c>
      <c r="BL125" s="22">
        <f t="shared" si="1135"/>
        <v>1.76</v>
      </c>
      <c r="BM125" s="22">
        <f>+'QTR Raw'!AG63</f>
        <v>101.76</v>
      </c>
      <c r="BN125" s="22">
        <f t="shared" si="1136"/>
        <v>101.76</v>
      </c>
      <c r="BO125" s="22">
        <f>+'QTR Raw'!AI63</f>
        <v>0</v>
      </c>
      <c r="BP125" s="22">
        <f t="shared" si="1137"/>
        <v>0</v>
      </c>
      <c r="BQ125" s="22">
        <f>+'QTR Raw'!AK63</f>
        <v>125</v>
      </c>
      <c r="BR125" s="22">
        <f t="shared" si="1138"/>
        <v>125</v>
      </c>
      <c r="BS125" s="22">
        <f>+'QTR Raw'!AM63</f>
        <v>250</v>
      </c>
      <c r="BT125" s="22">
        <f t="shared" si="1139"/>
        <v>250</v>
      </c>
      <c r="BU125" s="22">
        <f>+'QTR Raw'!AO63</f>
        <v>200</v>
      </c>
      <c r="BV125" s="22">
        <f t="shared" si="1140"/>
        <v>200</v>
      </c>
      <c r="BW125" s="22">
        <f>+'QTR Raw'!AQ63</f>
        <v>200</v>
      </c>
      <c r="BX125" s="22">
        <f t="shared" si="1141"/>
        <v>200</v>
      </c>
      <c r="BY125" s="22">
        <f>+'QTR Raw'!AS63</f>
        <v>200</v>
      </c>
      <c r="BZ125" s="22">
        <f t="shared" si="1142"/>
        <v>200</v>
      </c>
      <c r="CA125" s="22">
        <f>+'QTR Raw'!AU63</f>
        <v>200</v>
      </c>
      <c r="CB125" s="22">
        <f t="shared" si="1143"/>
        <v>200</v>
      </c>
      <c r="CC125" s="22">
        <f>+'QTR Raw'!AW63</f>
        <v>200</v>
      </c>
      <c r="CD125" s="22">
        <f t="shared" si="1144"/>
        <v>200</v>
      </c>
      <c r="CE125" s="22">
        <f>+'QTR Raw'!AY63</f>
        <v>200</v>
      </c>
      <c r="CF125" s="22">
        <f t="shared" si="1145"/>
        <v>200</v>
      </c>
      <c r="CG125" s="22">
        <f t="shared" si="1100"/>
        <v>100</v>
      </c>
      <c r="CH125" s="22">
        <f t="shared" si="1145"/>
        <v>100</v>
      </c>
      <c r="CI125" s="22">
        <f>+'QTR Raw'!BC63</f>
        <v>100</v>
      </c>
      <c r="CJ125" s="22">
        <f t="shared" si="1145"/>
        <v>100</v>
      </c>
      <c r="CK125" s="23">
        <f t="shared" si="1146"/>
        <v>100</v>
      </c>
      <c r="CL125" s="22">
        <f t="shared" si="1145"/>
        <v>100</v>
      </c>
      <c r="CM125" s="23">
        <f t="shared" si="1147"/>
        <v>100</v>
      </c>
      <c r="CN125" s="23">
        <f t="shared" si="1148"/>
        <v>100</v>
      </c>
      <c r="CO125" s="23">
        <f t="shared" si="1149"/>
        <v>100</v>
      </c>
      <c r="CP125" s="23">
        <f t="shared" si="1150"/>
        <v>100</v>
      </c>
      <c r="CQ125" s="23">
        <f t="shared" si="1151"/>
        <v>100</v>
      </c>
      <c r="CR125" s="23">
        <f t="shared" si="1152"/>
        <v>100</v>
      </c>
      <c r="CS125" s="23">
        <f t="shared" si="1153"/>
        <v>100</v>
      </c>
      <c r="CT125" s="23">
        <f t="shared" si="1154"/>
        <v>100</v>
      </c>
      <c r="CU125" s="23">
        <f t="shared" si="1155"/>
        <v>100</v>
      </c>
      <c r="CV125" s="23">
        <f t="shared" si="1156"/>
        <v>100</v>
      </c>
      <c r="CW125" s="23">
        <f t="shared" si="1157"/>
        <v>100</v>
      </c>
      <c r="CX125" s="23">
        <f t="shared" si="1158"/>
        <v>100</v>
      </c>
      <c r="CY125" s="23">
        <f t="shared" si="1159"/>
        <v>100</v>
      </c>
      <c r="CZ125" s="23">
        <f t="shared" si="1160"/>
        <v>100</v>
      </c>
      <c r="DA125" s="23">
        <f t="shared" si="1161"/>
        <v>100</v>
      </c>
      <c r="DD125" s="122"/>
      <c r="DE125" s="22">
        <v>100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0.55259999999999998</v>
      </c>
      <c r="N126" s="22">
        <f>'Annual Raw'!O87+'Annual Raw'!O88+'Annual Raw'!O89+'Annual Raw'!O90</f>
        <v>3.5369000000000002</v>
      </c>
      <c r="O126" s="22">
        <f>'Annual Raw'!P87+'Annual Raw'!P88+'Annual Raw'!P89+'Annual Raw'!P90</f>
        <v>5.7035999999999998</v>
      </c>
      <c r="P126" s="22">
        <f>'Annual Raw'!Q87+'Annual Raw'!Q88+'Annual Raw'!Q89+'Annual Raw'!Q90</f>
        <v>4.2134</v>
      </c>
      <c r="Q126" s="22">
        <f>'Annual Raw'!R87+'Annual Raw'!R88+'Annual Raw'!R89+'Annual Raw'!R90</f>
        <v>41.872500000000002</v>
      </c>
      <c r="R126" s="22">
        <f>'Annual Raw'!S87+'Annual Raw'!S88+'Annual Raw'!S89+'Annual Raw'!S90</f>
        <v>27.683900000000001</v>
      </c>
      <c r="S126" s="22">
        <f>'Annual Raw'!T87+'Annual Raw'!T88+'Annual Raw'!T89+'Annual Raw'!T90</f>
        <v>11.5016</v>
      </c>
      <c r="T126" s="22">
        <f>'Annual Raw'!U87+'Annual Raw'!U88+'Annual Raw'!U89+'Annual Raw'!U90</f>
        <v>3.593</v>
      </c>
      <c r="U126" s="22">
        <f>'Annual Raw'!V87+'Annual Raw'!V88+'Annual Raw'!V89+'Annual Raw'!V90</f>
        <v>3.76</v>
      </c>
      <c r="V126" s="22">
        <f>'Annual Raw'!W87+'Annual Raw'!W88+'Annual Raw'!W89+'Annual Raw'!W90</f>
        <v>1.76</v>
      </c>
      <c r="W126" s="22">
        <f>'Annual Raw'!X87+'Annual Raw'!X88+'Annual Raw'!X89+'Annual Raw'!X90</f>
        <v>50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17"/>
        <v>0</v>
      </c>
      <c r="AC126" s="23">
        <f t="shared" si="1118"/>
        <v>0</v>
      </c>
      <c r="AD126" s="23">
        <f t="shared" si="1119"/>
        <v>0</v>
      </c>
      <c r="AE126" s="23">
        <f t="shared" si="1120"/>
        <v>0</v>
      </c>
      <c r="AI126" s="22">
        <f>+'QTR Raw'!C90</f>
        <v>0</v>
      </c>
      <c r="AJ126" s="22">
        <f t="shared" si="1121"/>
        <v>0</v>
      </c>
      <c r="AK126" s="22">
        <f>+'QTR Raw'!E90</f>
        <v>0</v>
      </c>
      <c r="AL126" s="22">
        <f t="shared" si="1122"/>
        <v>0</v>
      </c>
      <c r="AM126" s="22">
        <f>+'QTR Raw'!G90</f>
        <v>0</v>
      </c>
      <c r="AN126" s="22">
        <f t="shared" si="1123"/>
        <v>0</v>
      </c>
      <c r="AO126" s="22">
        <f>+'QTR Raw'!I90</f>
        <v>0</v>
      </c>
      <c r="AP126" s="22">
        <f t="shared" si="1124"/>
        <v>0</v>
      </c>
      <c r="AQ126" s="22">
        <f>+'QTR Raw'!K90</f>
        <v>0</v>
      </c>
      <c r="AR126" s="22">
        <f t="shared" si="1125"/>
        <v>0</v>
      </c>
      <c r="AS126" s="22">
        <f>+'QTR Raw'!M90</f>
        <v>0</v>
      </c>
      <c r="AT126" s="22">
        <f t="shared" si="1126"/>
        <v>0</v>
      </c>
      <c r="AU126" s="22">
        <f>+'QTR Raw'!O90</f>
        <v>0</v>
      </c>
      <c r="AV126" s="22">
        <f t="shared" si="1127"/>
        <v>0</v>
      </c>
      <c r="AW126" s="22">
        <f>+'QTR Raw'!Q90</f>
        <v>0</v>
      </c>
      <c r="AX126" s="22">
        <f t="shared" si="1128"/>
        <v>0</v>
      </c>
      <c r="AY126" s="22">
        <f>+'QTR Raw'!S90</f>
        <v>0</v>
      </c>
      <c r="AZ126" s="22">
        <f t="shared" si="1129"/>
        <v>0</v>
      </c>
      <c r="BA126" s="22">
        <f>+'QTR Raw'!U90</f>
        <v>0</v>
      </c>
      <c r="BB126" s="22">
        <f t="shared" si="1130"/>
        <v>0</v>
      </c>
      <c r="BC126" s="22">
        <f>+'QTR Raw'!W90</f>
        <v>0</v>
      </c>
      <c r="BD126" s="22">
        <f t="shared" si="1131"/>
        <v>0</v>
      </c>
      <c r="BE126" s="22">
        <f>+'QTR Raw'!Y90</f>
        <v>0</v>
      </c>
      <c r="BF126" s="22">
        <f t="shared" si="1132"/>
        <v>0</v>
      </c>
      <c r="BG126" s="22">
        <f>+'QTR Raw'!AA90</f>
        <v>0</v>
      </c>
      <c r="BH126" s="22">
        <f t="shared" si="1133"/>
        <v>0</v>
      </c>
      <c r="BI126" s="22">
        <f>+'QTR Raw'!AC90</f>
        <v>0</v>
      </c>
      <c r="BJ126" s="22">
        <f t="shared" si="1134"/>
        <v>0</v>
      </c>
      <c r="BK126" s="22">
        <f>+'QTR Raw'!AE90</f>
        <v>0</v>
      </c>
      <c r="BL126" s="22">
        <f t="shared" si="1135"/>
        <v>0</v>
      </c>
      <c r="BM126" s="22">
        <f>+'QTR Raw'!AG90</f>
        <v>0</v>
      </c>
      <c r="BN126" s="22">
        <f t="shared" si="1136"/>
        <v>0</v>
      </c>
      <c r="BO126" s="22">
        <f>+'QTR Raw'!AI90</f>
        <v>0</v>
      </c>
      <c r="BP126" s="22">
        <f t="shared" si="1137"/>
        <v>0</v>
      </c>
      <c r="BQ126" s="22">
        <f>+'QTR Raw'!AK90</f>
        <v>0</v>
      </c>
      <c r="BR126" s="22">
        <f t="shared" si="1138"/>
        <v>0</v>
      </c>
      <c r="BS126" s="22">
        <f>+'QTR Raw'!AM90</f>
        <v>0</v>
      </c>
      <c r="BT126" s="22">
        <f t="shared" si="1139"/>
        <v>0</v>
      </c>
      <c r="BU126" s="22">
        <f>+'QTR Raw'!AO90</f>
        <v>0</v>
      </c>
      <c r="BV126" s="22">
        <f t="shared" si="1140"/>
        <v>0</v>
      </c>
      <c r="BW126" s="22">
        <f>+'QTR Raw'!AQ90</f>
        <v>0</v>
      </c>
      <c r="BX126" s="22">
        <f t="shared" si="1141"/>
        <v>0</v>
      </c>
      <c r="BY126" s="22">
        <f>+'QTR Raw'!AS90</f>
        <v>0</v>
      </c>
      <c r="BZ126" s="22">
        <f t="shared" si="1142"/>
        <v>0</v>
      </c>
      <c r="CA126" s="22">
        <f>+'QTR Raw'!AU90</f>
        <v>0</v>
      </c>
      <c r="CB126" s="22">
        <f t="shared" si="1143"/>
        <v>0</v>
      </c>
      <c r="CC126" s="22">
        <f>+'QTR Raw'!AW90</f>
        <v>0</v>
      </c>
      <c r="CD126" s="22">
        <f t="shared" si="1144"/>
        <v>0</v>
      </c>
      <c r="CE126" s="22">
        <f>+'QTR Raw'!AY90</f>
        <v>0</v>
      </c>
      <c r="CF126" s="22">
        <f t="shared" si="1145"/>
        <v>0</v>
      </c>
      <c r="CG126" s="22">
        <f t="shared" si="1100"/>
        <v>0</v>
      </c>
      <c r="CH126" s="22">
        <f t="shared" si="1145"/>
        <v>0</v>
      </c>
      <c r="CI126" s="22">
        <f>+'QTR Raw'!BC90</f>
        <v>0</v>
      </c>
      <c r="CJ126" s="22">
        <f t="shared" si="1145"/>
        <v>0</v>
      </c>
      <c r="CK126" s="23">
        <f t="shared" si="1146"/>
        <v>0</v>
      </c>
      <c r="CL126" s="22">
        <f t="shared" si="1145"/>
        <v>0</v>
      </c>
      <c r="CM126" s="23">
        <f t="shared" si="1147"/>
        <v>0</v>
      </c>
      <c r="CN126" s="23">
        <f t="shared" si="1148"/>
        <v>0</v>
      </c>
      <c r="CO126" s="23">
        <f t="shared" si="1149"/>
        <v>0</v>
      </c>
      <c r="CP126" s="23">
        <f t="shared" si="1150"/>
        <v>0</v>
      </c>
      <c r="CQ126" s="23">
        <f t="shared" si="1151"/>
        <v>0</v>
      </c>
      <c r="CR126" s="23">
        <f t="shared" si="1152"/>
        <v>0</v>
      </c>
      <c r="CS126" s="23">
        <f t="shared" si="1153"/>
        <v>0</v>
      </c>
      <c r="CT126" s="23">
        <f t="shared" si="1154"/>
        <v>0</v>
      </c>
      <c r="CU126" s="23">
        <f t="shared" si="1155"/>
        <v>0</v>
      </c>
      <c r="CV126" s="23">
        <f t="shared" si="1156"/>
        <v>0</v>
      </c>
      <c r="CW126" s="23">
        <f t="shared" si="1157"/>
        <v>0</v>
      </c>
      <c r="CX126" s="23">
        <f t="shared" si="1158"/>
        <v>0</v>
      </c>
      <c r="CY126" s="23">
        <f t="shared" si="1159"/>
        <v>0</v>
      </c>
      <c r="CZ126" s="23">
        <f t="shared" si="1160"/>
        <v>0</v>
      </c>
      <c r="DA126" s="23">
        <f t="shared" si="1161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14.061999999999999</v>
      </c>
      <c r="O127" s="22">
        <f>'Annual Raw'!P56</f>
        <v>0.58609999999999995</v>
      </c>
      <c r="P127" s="22">
        <f>'Annual Raw'!Q56</f>
        <v>2.3163999999999998</v>
      </c>
      <c r="Q127" s="22">
        <f>'Annual Raw'!R56</f>
        <v>51.5623</v>
      </c>
      <c r="R127" s="22">
        <f>'Annual Raw'!S56</f>
        <v>0.1754</v>
      </c>
      <c r="S127" s="22">
        <f>'Annual Raw'!T56</f>
        <v>0</v>
      </c>
      <c r="T127" s="22">
        <f>'Annual Raw'!U56</f>
        <v>9.1526999999999994</v>
      </c>
      <c r="U127" s="22">
        <f>'Annual Raw'!V56</f>
        <v>167.08</v>
      </c>
      <c r="V127" s="22">
        <f>'Annual Raw'!W56</f>
        <v>121.03</v>
      </c>
      <c r="W127" s="22">
        <f>'Annual Raw'!X56</f>
        <v>98.71</v>
      </c>
      <c r="X127" s="22">
        <f>'Annual Raw'!Y56</f>
        <v>163.09</v>
      </c>
      <c r="Y127" s="22">
        <f>'Annual Raw'!Z56</f>
        <v>0</v>
      </c>
      <c r="Z127" s="22">
        <f>'Annual Raw'!AA56</f>
        <v>0</v>
      </c>
      <c r="AA127" s="22">
        <f>'Annual Raw'!AB56</f>
        <v>0</v>
      </c>
      <c r="AB127" s="23">
        <f t="shared" si="1117"/>
        <v>4.38</v>
      </c>
      <c r="AC127" s="23">
        <f t="shared" si="1118"/>
        <v>4.38</v>
      </c>
      <c r="AD127" s="23">
        <f t="shared" si="1119"/>
        <v>4.38</v>
      </c>
      <c r="AE127" s="23">
        <f t="shared" si="1120"/>
        <v>4.38</v>
      </c>
      <c r="AI127" s="22">
        <f>+'QTR Raw'!C88</f>
        <v>1.83</v>
      </c>
      <c r="AJ127" s="22">
        <f t="shared" si="1121"/>
        <v>1.83</v>
      </c>
      <c r="AK127" s="22">
        <f>+'QTR Raw'!E88</f>
        <v>14.06</v>
      </c>
      <c r="AL127" s="22">
        <f t="shared" si="1122"/>
        <v>14.06</v>
      </c>
      <c r="AM127" s="22">
        <f>+'QTR Raw'!G88</f>
        <v>11.51</v>
      </c>
      <c r="AN127" s="22">
        <f t="shared" si="1123"/>
        <v>11.51</v>
      </c>
      <c r="AO127" s="22">
        <f>+'QTR Raw'!I88</f>
        <v>0.59</v>
      </c>
      <c r="AP127" s="22">
        <f t="shared" si="1124"/>
        <v>0.59</v>
      </c>
      <c r="AQ127" s="22">
        <f>+'QTR Raw'!K88</f>
        <v>10.86</v>
      </c>
      <c r="AR127" s="22">
        <f t="shared" si="1125"/>
        <v>10.86</v>
      </c>
      <c r="AS127" s="22">
        <f>+'QTR Raw'!M88</f>
        <v>2.3199999999999998</v>
      </c>
      <c r="AT127" s="22">
        <f t="shared" si="1126"/>
        <v>2.3199999999999998</v>
      </c>
      <c r="AU127" s="22">
        <f>+'QTR Raw'!O88</f>
        <v>84.76</v>
      </c>
      <c r="AV127" s="22">
        <f t="shared" si="1127"/>
        <v>84.76</v>
      </c>
      <c r="AW127" s="22">
        <f>+'QTR Raw'!Q88</f>
        <v>51.56</v>
      </c>
      <c r="AX127" s="22">
        <f t="shared" si="1128"/>
        <v>51.56</v>
      </c>
      <c r="AY127" s="22">
        <f>+'QTR Raw'!S88</f>
        <v>8.66</v>
      </c>
      <c r="AZ127" s="22">
        <f t="shared" si="1129"/>
        <v>8.66</v>
      </c>
      <c r="BA127" s="22">
        <f>+'QTR Raw'!U88</f>
        <v>0.17</v>
      </c>
      <c r="BB127" s="22">
        <f t="shared" si="1130"/>
        <v>0.17</v>
      </c>
      <c r="BC127" s="22">
        <f>+'QTR Raw'!W88</f>
        <v>3.21</v>
      </c>
      <c r="BD127" s="22">
        <f t="shared" si="1131"/>
        <v>3.21</v>
      </c>
      <c r="BE127" s="22">
        <f>+'QTR Raw'!Y88</f>
        <v>0</v>
      </c>
      <c r="BF127" s="22">
        <f t="shared" si="1132"/>
        <v>0</v>
      </c>
      <c r="BG127" s="22">
        <f>+'QTR Raw'!AA88</f>
        <v>3.01</v>
      </c>
      <c r="BH127" s="22">
        <f t="shared" si="1133"/>
        <v>3.01</v>
      </c>
      <c r="BI127" s="22">
        <f>+'QTR Raw'!AC88</f>
        <v>9.15</v>
      </c>
      <c r="BJ127" s="22">
        <f t="shared" si="1134"/>
        <v>9.15</v>
      </c>
      <c r="BK127" s="22">
        <f>+'QTR Raw'!AE88</f>
        <v>49.07</v>
      </c>
      <c r="BL127" s="22">
        <f t="shared" si="1135"/>
        <v>49.07</v>
      </c>
      <c r="BM127" s="22">
        <f>+'QTR Raw'!AG88</f>
        <v>167.08</v>
      </c>
      <c r="BN127" s="22">
        <f t="shared" si="1136"/>
        <v>167.08</v>
      </c>
      <c r="BO127" s="22">
        <f>+'QTR Raw'!AI88</f>
        <v>155.59</v>
      </c>
      <c r="BP127" s="22">
        <f t="shared" si="1137"/>
        <v>155.59</v>
      </c>
      <c r="BQ127" s="22">
        <f>+'QTR Raw'!AK88</f>
        <v>121.03</v>
      </c>
      <c r="BR127" s="22">
        <f t="shared" si="1138"/>
        <v>121.03</v>
      </c>
      <c r="BS127" s="22">
        <f>+'QTR Raw'!AM88</f>
        <v>94.56</v>
      </c>
      <c r="BT127" s="22">
        <f t="shared" si="1139"/>
        <v>94.56</v>
      </c>
      <c r="BU127" s="22">
        <f>+'QTR Raw'!AO88</f>
        <v>152.22</v>
      </c>
      <c r="BV127" s="22">
        <f t="shared" si="1140"/>
        <v>152.22</v>
      </c>
      <c r="BW127" s="22">
        <f>+'QTR Raw'!AQ88</f>
        <v>299.14</v>
      </c>
      <c r="BX127" s="22">
        <f t="shared" si="1141"/>
        <v>299.14</v>
      </c>
      <c r="BY127" s="22">
        <f>+'QTR Raw'!AS88</f>
        <v>166.15</v>
      </c>
      <c r="BZ127" s="22">
        <f t="shared" si="1142"/>
        <v>166.15</v>
      </c>
      <c r="CA127" s="22">
        <f>+'QTR Raw'!AU88</f>
        <v>172.67</v>
      </c>
      <c r="CB127" s="22">
        <f t="shared" si="1143"/>
        <v>172.67</v>
      </c>
      <c r="CC127" s="22">
        <f>+'QTR Raw'!AW88</f>
        <v>2.95</v>
      </c>
      <c r="CD127" s="22">
        <f t="shared" si="1144"/>
        <v>2.95</v>
      </c>
      <c r="CE127" s="22">
        <f>+'QTR Raw'!AY88</f>
        <v>8.7799999999999994</v>
      </c>
      <c r="CF127" s="22">
        <f t="shared" si="1145"/>
        <v>8.7799999999999994</v>
      </c>
      <c r="CG127" s="22">
        <f t="shared" si="1100"/>
        <v>0</v>
      </c>
      <c r="CH127" s="22">
        <f t="shared" si="1145"/>
        <v>0</v>
      </c>
      <c r="CI127" s="22">
        <f>+'QTR Raw'!BC88</f>
        <v>4.38</v>
      </c>
      <c r="CJ127" s="22">
        <f t="shared" si="1145"/>
        <v>4.38</v>
      </c>
      <c r="CK127" s="23">
        <f t="shared" si="1146"/>
        <v>4.38</v>
      </c>
      <c r="CL127" s="22">
        <f t="shared" si="1145"/>
        <v>4.38</v>
      </c>
      <c r="CM127" s="23">
        <f t="shared" si="1147"/>
        <v>4.38</v>
      </c>
      <c r="CN127" s="23">
        <f t="shared" si="1148"/>
        <v>4.38</v>
      </c>
      <c r="CO127" s="23">
        <f t="shared" si="1149"/>
        <v>4.38</v>
      </c>
      <c r="CP127" s="23">
        <f t="shared" si="1150"/>
        <v>4.38</v>
      </c>
      <c r="CQ127" s="23">
        <f t="shared" si="1151"/>
        <v>4.38</v>
      </c>
      <c r="CR127" s="23">
        <f t="shared" si="1152"/>
        <v>4.38</v>
      </c>
      <c r="CS127" s="23">
        <f t="shared" si="1153"/>
        <v>4.38</v>
      </c>
      <c r="CT127" s="23">
        <f t="shared" si="1154"/>
        <v>4.38</v>
      </c>
      <c r="CU127" s="23">
        <f t="shared" si="1155"/>
        <v>4.38</v>
      </c>
      <c r="CV127" s="23">
        <f t="shared" si="1156"/>
        <v>4.38</v>
      </c>
      <c r="CW127" s="23">
        <f t="shared" si="1157"/>
        <v>4.38</v>
      </c>
      <c r="CX127" s="23">
        <f t="shared" si="1158"/>
        <v>4.38</v>
      </c>
      <c r="CY127" s="23">
        <f t="shared" si="1159"/>
        <v>4.38</v>
      </c>
      <c r="CZ127" s="23">
        <f t="shared" si="1160"/>
        <v>4.38</v>
      </c>
      <c r="DA127" s="23">
        <f t="shared" si="1161"/>
        <v>4.38</v>
      </c>
      <c r="DD127" s="122"/>
      <c r="DE127" s="22">
        <v>4.38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62">SUM(C124:C127)</f>
        <v>0</v>
      </c>
      <c r="D128" s="21">
        <f t="shared" si="1162"/>
        <v>9.1753999999999998</v>
      </c>
      <c r="E128" s="21">
        <f t="shared" si="1162"/>
        <v>10.2644</v>
      </c>
      <c r="F128" s="21">
        <f t="shared" si="1162"/>
        <v>13.0207</v>
      </c>
      <c r="G128" s="21">
        <f t="shared" si="1162"/>
        <v>16.294699999999999</v>
      </c>
      <c r="H128" s="21">
        <f t="shared" si="1162"/>
        <v>33.773600000000002</v>
      </c>
      <c r="I128" s="21">
        <f t="shared" si="1162"/>
        <v>67.153700000000001</v>
      </c>
      <c r="J128" s="21">
        <f t="shared" si="1162"/>
        <v>49.815399999999997</v>
      </c>
      <c r="K128" s="21">
        <f t="shared" si="1162"/>
        <v>23.935099999999998</v>
      </c>
      <c r="L128" s="21">
        <f t="shared" si="1162"/>
        <v>22.530899999999999</v>
      </c>
      <c r="M128" s="21">
        <f t="shared" si="1162"/>
        <v>22.145000000000003</v>
      </c>
      <c r="N128" s="21">
        <f t="shared" si="1162"/>
        <v>51.862400000000001</v>
      </c>
      <c r="O128" s="21">
        <f t="shared" si="1162"/>
        <v>46.204100000000004</v>
      </c>
      <c r="P128" s="21">
        <f t="shared" si="1162"/>
        <v>41.935900000000004</v>
      </c>
      <c r="Q128" s="21">
        <f t="shared" si="1162"/>
        <v>528.64049999999997</v>
      </c>
      <c r="R128" s="21">
        <f t="shared" si="1162"/>
        <v>435.48540000000003</v>
      </c>
      <c r="S128" s="21">
        <f t="shared" si="1162"/>
        <v>405.73809999999997</v>
      </c>
      <c r="T128" s="21">
        <f t="shared" si="1162"/>
        <v>403.11250000000001</v>
      </c>
      <c r="U128" s="21">
        <f t="shared" si="1162"/>
        <v>272.60000000000002</v>
      </c>
      <c r="V128" s="21">
        <f t="shared" si="1162"/>
        <v>247.79000000000002</v>
      </c>
      <c r="W128" s="21">
        <f t="shared" ref="W128" si="1163">SUM(W124:W127)</f>
        <v>348.71</v>
      </c>
      <c r="X128" s="21">
        <f t="shared" ref="X128:Y128" si="1164">SUM(X124:X127)</f>
        <v>363.09000000000003</v>
      </c>
      <c r="Y128" s="21">
        <f t="shared" si="1164"/>
        <v>200</v>
      </c>
      <c r="Z128" s="21">
        <f t="shared" ref="Z128:AA128" si="1165">SUM(Z124:Z127)</f>
        <v>100</v>
      </c>
      <c r="AA128" s="21">
        <f t="shared" si="1165"/>
        <v>100</v>
      </c>
      <c r="AB128" s="20">
        <f t="shared" ref="AA128:AD128" si="1166">SUM(AB124:AB127)</f>
        <v>104.38</v>
      </c>
      <c r="AC128" s="20">
        <f t="shared" si="1166"/>
        <v>104.38</v>
      </c>
      <c r="AD128" s="20">
        <f t="shared" si="1166"/>
        <v>104.38</v>
      </c>
      <c r="AE128" s="20">
        <f t="shared" ref="AE128" si="1167">SUM(AE124:AE127)</f>
        <v>104.38</v>
      </c>
      <c r="AI128" s="21">
        <f t="shared" ref="AI128:AL128" si="1168">SUM(AI124:AI127)</f>
        <v>22.439999999999998</v>
      </c>
      <c r="AJ128" s="21">
        <f t="shared" si="1168"/>
        <v>22.439999999999998</v>
      </c>
      <c r="AK128" s="21">
        <f t="shared" si="1168"/>
        <v>48.32</v>
      </c>
      <c r="AL128" s="21">
        <f t="shared" si="1168"/>
        <v>48.32</v>
      </c>
      <c r="AM128" s="21">
        <f t="shared" ref="AM128:AP128" si="1169">SUM(AM124:AM127)</f>
        <v>47.6</v>
      </c>
      <c r="AN128" s="21">
        <f t="shared" si="1169"/>
        <v>47.6</v>
      </c>
      <c r="AO128" s="21">
        <f t="shared" si="1169"/>
        <v>40.5</v>
      </c>
      <c r="AP128" s="21">
        <f t="shared" si="1169"/>
        <v>40.5</v>
      </c>
      <c r="AQ128" s="21">
        <f t="shared" ref="AQ128:AT128" si="1170">SUM(AQ124:AQ127)</f>
        <v>46.35</v>
      </c>
      <c r="AR128" s="21">
        <f t="shared" si="1170"/>
        <v>46.35</v>
      </c>
      <c r="AS128" s="21">
        <f t="shared" si="1170"/>
        <v>37.729999999999997</v>
      </c>
      <c r="AT128" s="21">
        <f t="shared" si="1170"/>
        <v>37.729999999999997</v>
      </c>
      <c r="AU128" s="21">
        <f t="shared" ref="AU128:AX128" si="1171">SUM(AU124:AU127)</f>
        <v>542.34</v>
      </c>
      <c r="AV128" s="21">
        <f t="shared" si="1171"/>
        <v>542.34</v>
      </c>
      <c r="AW128" s="21">
        <f t="shared" si="1171"/>
        <v>486.77</v>
      </c>
      <c r="AX128" s="21">
        <f t="shared" si="1171"/>
        <v>486.77</v>
      </c>
      <c r="AY128" s="21">
        <f t="shared" ref="AY128:BB128" si="1172">SUM(AY124:AY127)</f>
        <v>429.03000000000003</v>
      </c>
      <c r="AZ128" s="21">
        <f t="shared" si="1172"/>
        <v>429.03000000000003</v>
      </c>
      <c r="BA128" s="21">
        <f t="shared" si="1172"/>
        <v>408.38</v>
      </c>
      <c r="BB128" s="21">
        <f t="shared" si="1172"/>
        <v>408.38</v>
      </c>
      <c r="BC128" s="21">
        <f t="shared" ref="BC128:BF128" si="1173">SUM(BC124:BC127)</f>
        <v>397.38</v>
      </c>
      <c r="BD128" s="21">
        <f t="shared" si="1173"/>
        <v>397.38</v>
      </c>
      <c r="BE128" s="21">
        <f t="shared" si="1173"/>
        <v>394.24</v>
      </c>
      <c r="BF128" s="21">
        <f t="shared" si="1173"/>
        <v>394.24</v>
      </c>
      <c r="BG128" s="21">
        <f t="shared" ref="BG128:BJ128" si="1174">SUM(BG124:BG127)</f>
        <v>393.53</v>
      </c>
      <c r="BH128" s="21">
        <f t="shared" si="1174"/>
        <v>393.53</v>
      </c>
      <c r="BI128" s="21">
        <f t="shared" si="1174"/>
        <v>399.52</v>
      </c>
      <c r="BJ128" s="21">
        <f t="shared" si="1174"/>
        <v>399.52</v>
      </c>
      <c r="BK128" s="21">
        <f t="shared" ref="BK128:BN128" si="1175">SUM(BK124:BK127)</f>
        <v>50.83</v>
      </c>
      <c r="BL128" s="21">
        <f t="shared" si="1175"/>
        <v>50.83</v>
      </c>
      <c r="BM128" s="21">
        <f t="shared" si="1175"/>
        <v>268.84000000000003</v>
      </c>
      <c r="BN128" s="21">
        <f t="shared" si="1175"/>
        <v>268.84000000000003</v>
      </c>
      <c r="BO128" s="21">
        <f t="shared" ref="BO128:BR128" si="1176">SUM(BO124:BO127)</f>
        <v>155.59</v>
      </c>
      <c r="BP128" s="21">
        <f t="shared" si="1176"/>
        <v>155.59</v>
      </c>
      <c r="BQ128" s="21">
        <f t="shared" si="1176"/>
        <v>246.03</v>
      </c>
      <c r="BR128" s="21">
        <f t="shared" si="1176"/>
        <v>246.03</v>
      </c>
      <c r="BS128" s="21">
        <f t="shared" ref="BS128:BV128" si="1177">SUM(BS124:BS127)</f>
        <v>344.56</v>
      </c>
      <c r="BT128" s="21">
        <f t="shared" si="1177"/>
        <v>344.56</v>
      </c>
      <c r="BU128" s="21">
        <f t="shared" si="1177"/>
        <v>352.22</v>
      </c>
      <c r="BV128" s="21">
        <f t="shared" si="1177"/>
        <v>352.22</v>
      </c>
      <c r="BW128" s="21">
        <f t="shared" ref="BW128:BZ128" si="1178">SUM(BW124:BW127)</f>
        <v>499.14</v>
      </c>
      <c r="BX128" s="21">
        <f t="shared" si="1178"/>
        <v>499.14</v>
      </c>
      <c r="BY128" s="21">
        <f t="shared" si="1178"/>
        <v>366.15</v>
      </c>
      <c r="BZ128" s="21">
        <f t="shared" si="1178"/>
        <v>366.15</v>
      </c>
      <c r="CA128" s="21">
        <f t="shared" ref="CA128:CD128" si="1179">SUM(CA124:CA127)</f>
        <v>372.66999999999996</v>
      </c>
      <c r="CB128" s="21">
        <f t="shared" si="1179"/>
        <v>372.66999999999996</v>
      </c>
      <c r="CC128" s="21">
        <f t="shared" si="1179"/>
        <v>202.95</v>
      </c>
      <c r="CD128" s="21">
        <f t="shared" si="1179"/>
        <v>202.95</v>
      </c>
      <c r="CE128" s="21">
        <f t="shared" ref="CE128" si="1180">SUM(CE124:CE127)</f>
        <v>208.78</v>
      </c>
      <c r="CF128" s="21">
        <f t="shared" ref="CF128:CH128" si="1181">SUM(CF124:CF127)</f>
        <v>208.78</v>
      </c>
      <c r="CG128" s="21">
        <f t="shared" ref="CG128" si="1182">SUM(CG124:CG127)</f>
        <v>100</v>
      </c>
      <c r="CH128" s="21">
        <f t="shared" si="1181"/>
        <v>100</v>
      </c>
      <c r="CI128" s="21">
        <f t="shared" ref="CI128:CJ128" si="1183">SUM(CI124:CI127)</f>
        <v>104.38</v>
      </c>
      <c r="CJ128" s="21">
        <f t="shared" si="1183"/>
        <v>104.38</v>
      </c>
      <c r="CK128" s="20">
        <f t="shared" ref="CK128:DA128" si="1184">SUM(CK124:CK127)</f>
        <v>104.38</v>
      </c>
      <c r="CL128" s="21">
        <f t="shared" si="1184"/>
        <v>104.38</v>
      </c>
      <c r="CM128" s="20">
        <f t="shared" si="1184"/>
        <v>104.38</v>
      </c>
      <c r="CN128" s="20">
        <f t="shared" si="1184"/>
        <v>104.38</v>
      </c>
      <c r="CO128" s="20">
        <f t="shared" si="1184"/>
        <v>104.38</v>
      </c>
      <c r="CP128" s="20">
        <f t="shared" si="1184"/>
        <v>104.38</v>
      </c>
      <c r="CQ128" s="20">
        <f t="shared" si="1184"/>
        <v>104.38</v>
      </c>
      <c r="CR128" s="20">
        <f t="shared" si="1184"/>
        <v>104.38</v>
      </c>
      <c r="CS128" s="20">
        <f t="shared" si="1184"/>
        <v>104.38</v>
      </c>
      <c r="CT128" s="20">
        <f t="shared" si="1184"/>
        <v>104.38</v>
      </c>
      <c r="CU128" s="20">
        <f t="shared" si="1184"/>
        <v>104.38</v>
      </c>
      <c r="CV128" s="20">
        <f t="shared" si="1184"/>
        <v>104.38</v>
      </c>
      <c r="CW128" s="20">
        <f t="shared" si="1184"/>
        <v>104.38</v>
      </c>
      <c r="CX128" s="20">
        <f t="shared" si="1184"/>
        <v>104.38</v>
      </c>
      <c r="CY128" s="20">
        <f t="shared" si="1184"/>
        <v>104.38</v>
      </c>
      <c r="CZ128" s="20">
        <f t="shared" si="1184"/>
        <v>104.38</v>
      </c>
      <c r="DA128" s="20">
        <f t="shared" si="1184"/>
        <v>104.38</v>
      </c>
      <c r="DD128" s="125"/>
      <c r="DE128" s="21">
        <v>104.38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185">C128+C120+C122</f>
        <v>0</v>
      </c>
      <c r="D129" s="25">
        <f>D128+D120+D122</f>
        <v>171.68939999999998</v>
      </c>
      <c r="E129" s="25">
        <f t="shared" si="1185"/>
        <v>174.22669999999999</v>
      </c>
      <c r="F129" s="25">
        <f t="shared" si="1185"/>
        <v>192.53909999999999</v>
      </c>
      <c r="G129" s="25">
        <f t="shared" si="1185"/>
        <v>213.07570000000001</v>
      </c>
      <c r="H129" s="25">
        <f t="shared" si="1185"/>
        <v>257.62369999999999</v>
      </c>
      <c r="I129" s="25">
        <f t="shared" si="1185"/>
        <v>305.42250000000001</v>
      </c>
      <c r="J129" s="25">
        <f t="shared" si="1185"/>
        <v>295.98539999999997</v>
      </c>
      <c r="K129" s="25">
        <f t="shared" si="1185"/>
        <v>285.48140000000001</v>
      </c>
      <c r="L129" s="25">
        <f t="shared" si="1185"/>
        <v>316.19209999999998</v>
      </c>
      <c r="M129" s="25">
        <f t="shared" si="1185"/>
        <v>350.97269999999997</v>
      </c>
      <c r="N129" s="25">
        <f t="shared" si="1185"/>
        <v>425.33869999999996</v>
      </c>
      <c r="O129" s="25">
        <f t="shared" si="1185"/>
        <v>457.13669999999996</v>
      </c>
      <c r="P129" s="25">
        <f t="shared" si="1185"/>
        <v>631.44799999999998</v>
      </c>
      <c r="Q129" s="25">
        <f t="shared" si="1185"/>
        <v>1171.1557</v>
      </c>
      <c r="R129" s="25">
        <f t="shared" si="1185"/>
        <v>944.69280000000003</v>
      </c>
      <c r="S129" s="25">
        <f t="shared" si="1185"/>
        <v>954.80410000000006</v>
      </c>
      <c r="T129" s="25">
        <f t="shared" si="1185"/>
        <v>959.59040000000005</v>
      </c>
      <c r="U129" s="25">
        <f t="shared" si="1185"/>
        <v>969.95</v>
      </c>
      <c r="V129" s="25">
        <f t="shared" si="1185"/>
        <v>1012.7</v>
      </c>
      <c r="W129" s="25">
        <f t="shared" ref="W129" si="1186">W128+W120+W122</f>
        <v>1063.3900000000001</v>
      </c>
      <c r="X129" s="25">
        <f t="shared" ref="X129:Y129" si="1187">X128+X120+X122</f>
        <v>1120.0500000000002</v>
      </c>
      <c r="Y129" s="25">
        <f t="shared" si="1187"/>
        <v>1350.46</v>
      </c>
      <c r="Z129" s="25">
        <f t="shared" ref="Z129:AA129" si="1188">Z128+Z120+Z122</f>
        <v>1293.55</v>
      </c>
      <c r="AA129" s="25">
        <f t="shared" si="1188"/>
        <v>1393.53</v>
      </c>
      <c r="AB129" s="26">
        <f t="shared" ref="AA129:AD129" si="1189">AB128+AB120+AB122</f>
        <v>1533.966909119667</v>
      </c>
      <c r="AC129" s="26">
        <f t="shared" si="1189"/>
        <v>1704.0332020349542</v>
      </c>
      <c r="AD129" s="26">
        <f t="shared" si="1189"/>
        <v>1917.5359880915153</v>
      </c>
      <c r="AE129" s="26">
        <f t="shared" ref="AE129" si="1190">AE128+AE120+AE122</f>
        <v>2185.0342026532248</v>
      </c>
      <c r="AI129" s="25">
        <f t="shared" ref="AI129:AL129" si="1191">AI128+AI120+AI122</f>
        <v>377.55</v>
      </c>
      <c r="AJ129" s="25">
        <f t="shared" si="1191"/>
        <v>386.33</v>
      </c>
      <c r="AK129" s="25">
        <f t="shared" si="1191"/>
        <v>421.8</v>
      </c>
      <c r="AL129" s="25">
        <f t="shared" si="1191"/>
        <v>437.43</v>
      </c>
      <c r="AM129" s="25">
        <f t="shared" ref="AM129:AP129" si="1192">AM128+AM120+AM122</f>
        <v>452.19000000000005</v>
      </c>
      <c r="AN129" s="25">
        <f t="shared" si="1192"/>
        <v>461.34000000000003</v>
      </c>
      <c r="AO129" s="25">
        <f t="shared" si="1192"/>
        <v>451.43</v>
      </c>
      <c r="AP129" s="25">
        <f t="shared" si="1192"/>
        <v>468.35</v>
      </c>
      <c r="AQ129" s="25">
        <f t="shared" ref="AQ129:AT129" si="1193">AQ128+AQ120+AQ122</f>
        <v>493.88000000000005</v>
      </c>
      <c r="AR129" s="25">
        <f t="shared" si="1193"/>
        <v>507.1</v>
      </c>
      <c r="AS129" s="25">
        <f t="shared" si="1193"/>
        <v>627.24</v>
      </c>
      <c r="AT129" s="25">
        <f t="shared" si="1193"/>
        <v>647.71999999999991</v>
      </c>
      <c r="AU129" s="25">
        <f t="shared" ref="AU129:AX129" si="1194">AU128+AU120+AU122</f>
        <v>1171.73</v>
      </c>
      <c r="AV129" s="25">
        <f t="shared" si="1194"/>
        <v>1187.6999999999998</v>
      </c>
      <c r="AW129" s="25">
        <f t="shared" si="1194"/>
        <v>1129.2799999999997</v>
      </c>
      <c r="AX129" s="25">
        <f t="shared" si="1194"/>
        <v>1163.56</v>
      </c>
      <c r="AY129" s="25">
        <f t="shared" ref="AY129:BB129" si="1195">AY128+AY120+AY122</f>
        <v>1126.45</v>
      </c>
      <c r="AZ129" s="25">
        <f t="shared" si="1195"/>
        <v>1143.24</v>
      </c>
      <c r="BA129" s="25">
        <f t="shared" si="1195"/>
        <v>1112.75</v>
      </c>
      <c r="BB129" s="25">
        <f t="shared" si="1195"/>
        <v>1129.07</v>
      </c>
      <c r="BC129" s="25">
        <f t="shared" ref="BC129:BF129" si="1196">BC128+BC120+BC122</f>
        <v>898.33</v>
      </c>
      <c r="BD129" s="25">
        <f t="shared" si="1196"/>
        <v>917.45999999999992</v>
      </c>
      <c r="BE129" s="25">
        <f t="shared" si="1196"/>
        <v>943.31000000000006</v>
      </c>
      <c r="BF129" s="25">
        <f t="shared" si="1196"/>
        <v>961.11000000000013</v>
      </c>
      <c r="BG129" s="25">
        <f t="shared" ref="BG129:BJ129" si="1197">BG128+BG120+BG122</f>
        <v>948.79</v>
      </c>
      <c r="BH129" s="25">
        <f t="shared" si="1197"/>
        <v>933.67</v>
      </c>
      <c r="BI129" s="25">
        <f t="shared" si="1197"/>
        <v>956</v>
      </c>
      <c r="BJ129" s="25">
        <f t="shared" si="1197"/>
        <v>998.03000000000009</v>
      </c>
      <c r="BK129" s="25">
        <f t="shared" ref="BK129:BN129" si="1198">BK128+BK120+BK122</f>
        <v>649.75</v>
      </c>
      <c r="BL129" s="25">
        <f t="shared" si="1198"/>
        <v>681.65</v>
      </c>
      <c r="BM129" s="25">
        <f t="shared" si="1198"/>
        <v>966.19</v>
      </c>
      <c r="BN129" s="25">
        <f t="shared" si="1198"/>
        <v>993.5</v>
      </c>
      <c r="BO129" s="25">
        <f t="shared" ref="BO129:BR129" si="1199">BO128+BO120+BO122</f>
        <v>883.87</v>
      </c>
      <c r="BP129" s="25">
        <f t="shared" si="1199"/>
        <v>920.74999999999989</v>
      </c>
      <c r="BQ129" s="25">
        <f t="shared" si="1199"/>
        <v>1010.9399999999999</v>
      </c>
      <c r="BR129" s="25">
        <f t="shared" si="1199"/>
        <v>1027.1100000000001</v>
      </c>
      <c r="BS129" s="25">
        <f t="shared" ref="BS129:BV129" si="1200">BS128+BS120+BS122</f>
        <v>1101.25</v>
      </c>
      <c r="BT129" s="25">
        <f t="shared" si="1200"/>
        <v>1079.4099999999999</v>
      </c>
      <c r="BU129" s="25">
        <f t="shared" si="1200"/>
        <v>1066.9000000000001</v>
      </c>
      <c r="BV129" s="25">
        <f t="shared" si="1200"/>
        <v>1091.5100000000002</v>
      </c>
      <c r="BW129" s="25">
        <f t="shared" ref="BW129:BZ129" si="1201">BW128+BW120+BW122</f>
        <v>1240.81</v>
      </c>
      <c r="BX129" s="25">
        <f t="shared" si="1201"/>
        <v>1240.8499999999999</v>
      </c>
      <c r="BY129" s="25">
        <f t="shared" si="1201"/>
        <v>1123.1100000000001</v>
      </c>
      <c r="BZ129" s="25">
        <f t="shared" si="1201"/>
        <v>1158.5999999999999</v>
      </c>
      <c r="CA129" s="25">
        <f t="shared" ref="CA129:CD129" si="1202">CA128+CA120+CA122</f>
        <v>1165.19</v>
      </c>
      <c r="CB129" s="25">
        <f t="shared" si="1202"/>
        <v>1197.46</v>
      </c>
      <c r="CC129" s="25">
        <f t="shared" si="1202"/>
        <v>1353.4099999999999</v>
      </c>
      <c r="CD129" s="25">
        <f t="shared" si="1202"/>
        <v>1379.4399999999998</v>
      </c>
      <c r="CE129" s="25">
        <f t="shared" ref="CE129" si="1203">CE128+CE120+CE122</f>
        <v>1386.0099999999998</v>
      </c>
      <c r="CF129" s="25">
        <f t="shared" ref="CF129:CH129" si="1204">CF128+CF120+CF122</f>
        <v>1397.7199999999998</v>
      </c>
      <c r="CG129" s="25">
        <f t="shared" ref="CG129" si="1205">CG128+CG120+CG122</f>
        <v>1293.55</v>
      </c>
      <c r="CH129" s="25">
        <f t="shared" si="1204"/>
        <v>1319.7</v>
      </c>
      <c r="CI129" s="25">
        <f t="shared" ref="CI129:CJ129" si="1206">CI128+CI120+CI122</f>
        <v>1334.0299999999997</v>
      </c>
      <c r="CJ129" s="25">
        <f t="shared" si="1206"/>
        <v>1370.7999999999997</v>
      </c>
      <c r="CK129" s="26">
        <f t="shared" ref="CK129:DA129" si="1207">CK128+CK120+CK122</f>
        <v>1401.1</v>
      </c>
      <c r="CL129" s="25">
        <f t="shared" si="1207"/>
        <v>1426.6999999999998</v>
      </c>
      <c r="CM129" s="26">
        <f t="shared" si="1207"/>
        <v>1459.4647507118448</v>
      </c>
      <c r="CN129" s="26">
        <f t="shared" si="1207"/>
        <v>1496.4962176290201</v>
      </c>
      <c r="CO129" s="26">
        <f t="shared" si="1207"/>
        <v>1533.966909119667</v>
      </c>
      <c r="CP129" s="26">
        <f t="shared" si="1207"/>
        <v>1571.7925410508283</v>
      </c>
      <c r="CQ129" s="26">
        <f t="shared" si="1207"/>
        <v>1612.6770419224372</v>
      </c>
      <c r="CR129" s="26">
        <f t="shared" si="1207"/>
        <v>1657.4813441144915</v>
      </c>
      <c r="CS129" s="26">
        <f t="shared" si="1207"/>
        <v>1704.0332020349542</v>
      </c>
      <c r="CT129" s="26">
        <f t="shared" si="1207"/>
        <v>1752.4594180748049</v>
      </c>
      <c r="CU129" s="26">
        <f t="shared" si="1207"/>
        <v>1803.5999400954538</v>
      </c>
      <c r="CV129" s="26">
        <f t="shared" si="1207"/>
        <v>1859.2633381942501</v>
      </c>
      <c r="CW129" s="26">
        <f t="shared" si="1207"/>
        <v>1917.5359880915153</v>
      </c>
      <c r="CX129" s="26">
        <f t="shared" si="1207"/>
        <v>1978.435275618916</v>
      </c>
      <c r="CY129" s="26">
        <f t="shared" si="1207"/>
        <v>2042.6128428984175</v>
      </c>
      <c r="CZ129" s="26">
        <f t="shared" si="1207"/>
        <v>2112.0940504976243</v>
      </c>
      <c r="DA129" s="26">
        <f t="shared" si="1207"/>
        <v>2185.0342026532248</v>
      </c>
      <c r="DD129" s="120"/>
      <c r="DE129" s="25">
        <v>1401.1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225.93</v>
      </c>
      <c r="E131" s="22">
        <f>'Annual Raw'!F62-E135</f>
        <v>248.9462</v>
      </c>
      <c r="F131" s="22">
        <f>'Annual Raw'!G62-F135</f>
        <v>293.67309999999998</v>
      </c>
      <c r="G131" s="22">
        <f>'Annual Raw'!H62-G135</f>
        <v>296.85950000000003</v>
      </c>
      <c r="H131" s="22">
        <f>'Annual Raw'!I62-H135</f>
        <v>311.20479999999998</v>
      </c>
      <c r="I131" s="22">
        <f>'Annual Raw'!J62-I135</f>
        <v>389.02699999999999</v>
      </c>
      <c r="J131" s="22">
        <f>'Annual Raw'!K62-J135</f>
        <v>399.3922</v>
      </c>
      <c r="K131" s="22">
        <f>'Annual Raw'!L62-K135</f>
        <v>454.60739999999998</v>
      </c>
      <c r="L131" s="22">
        <f>'Annual Raw'!M62-L135</f>
        <v>439.75630000000001</v>
      </c>
      <c r="M131" s="22">
        <f>'Annual Raw'!N62-M135</f>
        <v>468.31299999999999</v>
      </c>
      <c r="N131" s="22">
        <f>'Annual Raw'!O62-N135</f>
        <v>537.80769999999995</v>
      </c>
      <c r="O131" s="22">
        <f>'Annual Raw'!P62-O135</f>
        <v>562.50280000000009</v>
      </c>
      <c r="P131" s="22">
        <f>'Annual Raw'!Q62-P135</f>
        <v>629.94659999999999</v>
      </c>
      <c r="Q131" s="22">
        <f>'Annual Raw'!R62-Q135</f>
        <v>1322.8134</v>
      </c>
      <c r="R131" s="22">
        <f>'Annual Raw'!S62-R135</f>
        <v>547.46590000000003</v>
      </c>
      <c r="S131" s="22">
        <f>'Annual Raw'!T62-S135</f>
        <v>605.08450000000005</v>
      </c>
      <c r="T131" s="22">
        <f>'Annual Raw'!U62-T135</f>
        <v>721.91359999999997</v>
      </c>
      <c r="U131" s="22">
        <f>'Annual Raw'!V62-U135</f>
        <v>759.17000000000007</v>
      </c>
      <c r="V131" s="22">
        <f>'Annual Raw'!W62-V135</f>
        <v>905.81000000000006</v>
      </c>
      <c r="W131" s="22">
        <f>'Annual Raw'!X62-W135</f>
        <v>967.9799999999999</v>
      </c>
      <c r="X131" s="22">
        <f>'Annual Raw'!Y62-X135</f>
        <v>939.65</v>
      </c>
      <c r="Y131" s="22">
        <f>'Annual Raw'!Z62-Y135</f>
        <v>962.11</v>
      </c>
      <c r="Z131" s="22">
        <f>'Annual Raw'!AA62-Z135</f>
        <v>1097.4399999999998</v>
      </c>
      <c r="AA131" s="22">
        <f>'Annual Raw'!AB62-AA135</f>
        <v>1132.6199999999999</v>
      </c>
      <c r="AB131" s="23">
        <f t="shared" ref="AB131:AB133" si="1208">+CO131</f>
        <v>691.27</v>
      </c>
      <c r="AC131" s="23">
        <f t="shared" ref="AC131:AC133" si="1209">+CS131</f>
        <v>785.31</v>
      </c>
      <c r="AD131" s="23">
        <f t="shared" ref="AD131:AD133" si="1210">+CW131</f>
        <v>879.34999999999991</v>
      </c>
      <c r="AE131" s="23">
        <f t="shared" ref="AE131:AE133" si="1211">+DA131</f>
        <v>973.38999999999987</v>
      </c>
      <c r="AI131" s="22">
        <f>+'QTR Raw'!C68</f>
        <v>184.7</v>
      </c>
      <c r="AK131" s="22">
        <f>+'QTR Raw'!E68</f>
        <v>227.88</v>
      </c>
      <c r="AM131" s="22">
        <f>+'QTR Raw'!G68</f>
        <v>226.53</v>
      </c>
      <c r="AO131" s="22">
        <f>+'QTR Raw'!I68</f>
        <v>223.23</v>
      </c>
      <c r="AQ131" s="22">
        <f>+'QTR Raw'!K68</f>
        <v>237.41</v>
      </c>
      <c r="AS131" s="22">
        <f>+'QTR Raw'!M68</f>
        <v>261.66000000000003</v>
      </c>
      <c r="AU131" s="22">
        <f>+'QTR Raw'!O68</f>
        <v>568.9</v>
      </c>
      <c r="AW131" s="22">
        <f>+'QTR Raw'!Q68</f>
        <v>531.35</v>
      </c>
      <c r="AY131" s="22">
        <f>+'QTR Raw'!S68</f>
        <v>494.48</v>
      </c>
      <c r="BA131" s="22">
        <f>+'QTR Raw'!U68</f>
        <v>458.74</v>
      </c>
      <c r="BC131" s="22">
        <f>+'QTR Raw'!W68</f>
        <v>453.8</v>
      </c>
      <c r="BE131" s="22">
        <f>+'QTR Raw'!Y68</f>
        <v>437.28</v>
      </c>
      <c r="BG131" s="22">
        <f>+'QTR Raw'!AA68</f>
        <v>525.30999999999995</v>
      </c>
      <c r="BI131" s="22">
        <f>+'QTR Raw'!AC68</f>
        <v>517.72</v>
      </c>
      <c r="BK131" s="22">
        <f>+'QTR Raw'!AE68</f>
        <v>483.84</v>
      </c>
      <c r="BM131" s="22">
        <f>+'QTR Raw'!AG68</f>
        <v>486.45</v>
      </c>
      <c r="BO131" s="22">
        <f>+'QTR Raw'!AI68</f>
        <v>523.52</v>
      </c>
      <c r="BQ131" s="22">
        <f>+'QTR Raw'!AK68</f>
        <v>482.08</v>
      </c>
      <c r="BS131" s="22">
        <f>+'QTR Raw'!AM68</f>
        <v>448.9</v>
      </c>
      <c r="BU131" s="22">
        <f>+'QTR Raw'!AO68</f>
        <v>448.32</v>
      </c>
      <c r="BW131" s="22">
        <f>+'QTR Raw'!AQ68</f>
        <v>480.01</v>
      </c>
      <c r="BY131" s="22">
        <f>+'QTR Raw'!AS68</f>
        <v>414.04</v>
      </c>
      <c r="CA131" s="22">
        <f>+'QTR Raw'!AU68</f>
        <v>416.14</v>
      </c>
      <c r="CC131" s="22">
        <f>+'QTR Raw'!AW68</f>
        <v>411.46</v>
      </c>
      <c r="CE131" s="22">
        <f>+'QTR Raw'!AY68</f>
        <v>519.48</v>
      </c>
      <c r="CG131" s="22">
        <f t="shared" ref="CG131:CG137" si="1212">+Z131</f>
        <v>1097.4399999999998</v>
      </c>
      <c r="CI131" s="22">
        <f>+CI132+CI134</f>
        <v>570.84</v>
      </c>
      <c r="CJ131" s="22">
        <f>+CJ132+CJ134</f>
        <v>583.65</v>
      </c>
      <c r="CK131" s="23">
        <f t="shared" ref="CK131:DA131" si="1213">+CK132+CK134</f>
        <v>597.23</v>
      </c>
      <c r="CL131" s="22">
        <f>+CL132+CL134</f>
        <v>620.74</v>
      </c>
      <c r="CM131" s="23">
        <f t="shared" si="1213"/>
        <v>644.25</v>
      </c>
      <c r="CN131" s="23">
        <f t="shared" si="1213"/>
        <v>667.76</v>
      </c>
      <c r="CO131" s="23">
        <f t="shared" si="1213"/>
        <v>691.27</v>
      </c>
      <c r="CP131" s="23">
        <f t="shared" si="1213"/>
        <v>714.78</v>
      </c>
      <c r="CQ131" s="23">
        <f t="shared" si="1213"/>
        <v>738.29</v>
      </c>
      <c r="CR131" s="23">
        <f t="shared" si="1213"/>
        <v>761.8</v>
      </c>
      <c r="CS131" s="23">
        <f t="shared" si="1213"/>
        <v>785.31</v>
      </c>
      <c r="CT131" s="23">
        <f t="shared" si="1213"/>
        <v>808.81999999999994</v>
      </c>
      <c r="CU131" s="23">
        <f t="shared" si="1213"/>
        <v>832.32999999999993</v>
      </c>
      <c r="CV131" s="23">
        <f t="shared" si="1213"/>
        <v>855.83999999999992</v>
      </c>
      <c r="CW131" s="23">
        <f t="shared" si="1213"/>
        <v>879.34999999999991</v>
      </c>
      <c r="CX131" s="23">
        <f t="shared" si="1213"/>
        <v>902.8599999999999</v>
      </c>
      <c r="CY131" s="23">
        <f t="shared" si="1213"/>
        <v>926.36999999999989</v>
      </c>
      <c r="CZ131" s="23">
        <f t="shared" si="1213"/>
        <v>949.87999999999988</v>
      </c>
      <c r="DA131" s="23">
        <f t="shared" si="1213"/>
        <v>973.38999999999987</v>
      </c>
      <c r="DD131" s="122"/>
      <c r="DE131" s="22">
        <v>597.23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118.0759</v>
      </c>
      <c r="E132" s="22">
        <f>'Annual Raw'!F63</f>
        <v>139.5917</v>
      </c>
      <c r="F132" s="22">
        <f>'Annual Raw'!G63</f>
        <v>159.89519999999999</v>
      </c>
      <c r="G132" s="22">
        <f>'Annual Raw'!H63</f>
        <v>180.21459999999999</v>
      </c>
      <c r="H132" s="22">
        <f>'Annual Raw'!I63</f>
        <v>201.1422</v>
      </c>
      <c r="I132" s="22">
        <f>'Annual Raw'!J63</f>
        <v>211.21690000000001</v>
      </c>
      <c r="J132" s="22">
        <f>'Annual Raw'!K63</f>
        <v>235.73320000000001</v>
      </c>
      <c r="K132" s="22">
        <f>'Annual Raw'!L63</f>
        <v>255.82310000000001</v>
      </c>
      <c r="L132" s="22">
        <f>'Annual Raw'!M63</f>
        <v>264.46039999999999</v>
      </c>
      <c r="M132" s="22">
        <f>'Annual Raw'!N63</f>
        <v>294.38670000000002</v>
      </c>
      <c r="N132" s="22">
        <f>'Annual Raw'!O63</f>
        <v>328.34539999999998</v>
      </c>
      <c r="O132" s="22">
        <f>'Annual Raw'!P63</f>
        <v>362.77350000000001</v>
      </c>
      <c r="P132" s="22">
        <f>'Annual Raw'!Q63</f>
        <v>385.33339999999998</v>
      </c>
      <c r="Q132" s="22">
        <f>'Annual Raw'!R63</f>
        <v>790.0222</v>
      </c>
      <c r="R132" s="22">
        <f>'Annual Raw'!S63</f>
        <v>92.534400000000005</v>
      </c>
      <c r="S132" s="22">
        <f>'Annual Raw'!T63</f>
        <v>177.49789999999999</v>
      </c>
      <c r="T132" s="22">
        <f>'Annual Raw'!U63</f>
        <v>260.59829999999999</v>
      </c>
      <c r="U132" s="22">
        <f>'Annual Raw'!V63</f>
        <v>329.12</v>
      </c>
      <c r="V132" s="22">
        <f>'Annual Raw'!W63</f>
        <v>407.54</v>
      </c>
      <c r="W132" s="22">
        <f>'Annual Raw'!X63</f>
        <v>493.34</v>
      </c>
      <c r="X132" s="22">
        <f>'Annual Raw'!Y63</f>
        <v>523.23</v>
      </c>
      <c r="Y132" s="22">
        <f>'Annual Raw'!Z63</f>
        <v>541.27</v>
      </c>
      <c r="Z132" s="22">
        <f>'Annual Raw'!AA63</f>
        <v>562.22</v>
      </c>
      <c r="AA132" s="22">
        <f>'Annual Raw'!AB63</f>
        <v>590.80999999999995</v>
      </c>
      <c r="AB132" s="23">
        <f t="shared" si="1208"/>
        <v>133.52000000000001</v>
      </c>
      <c r="AC132" s="23">
        <f t="shared" si="1209"/>
        <v>227.55999999999997</v>
      </c>
      <c r="AD132" s="23">
        <f t="shared" si="1210"/>
        <v>321.59999999999997</v>
      </c>
      <c r="AE132" s="23">
        <f t="shared" si="1211"/>
        <v>415.63999999999993</v>
      </c>
      <c r="CG132" s="22">
        <f t="shared" si="1212"/>
        <v>562.22</v>
      </c>
      <c r="CI132" s="22">
        <f t="shared" ref="CI132:CL132" si="1214">CH132+CI32</f>
        <v>13.09</v>
      </c>
      <c r="CJ132" s="22">
        <f t="shared" si="1214"/>
        <v>25.9</v>
      </c>
      <c r="CK132" s="23">
        <f t="shared" ref="CK132" si="1215">CJ132+CK32</f>
        <v>39.479999999999997</v>
      </c>
      <c r="CL132" s="22">
        <f t="shared" si="1214"/>
        <v>62.989999999999995</v>
      </c>
      <c r="CM132" s="23">
        <f t="shared" ref="CM132" si="1216">CL132+CM32</f>
        <v>86.5</v>
      </c>
      <c r="CN132" s="23">
        <f t="shared" ref="CN132" si="1217">CM132+CN32</f>
        <v>110.01</v>
      </c>
      <c r="CO132" s="23">
        <f t="shared" ref="CO132" si="1218">CN132+CO32</f>
        <v>133.52000000000001</v>
      </c>
      <c r="CP132" s="23">
        <f t="shared" ref="CP132" si="1219">CO132+CP32</f>
        <v>157.03</v>
      </c>
      <c r="CQ132" s="23">
        <f t="shared" ref="CQ132" si="1220">CP132+CQ32</f>
        <v>180.54</v>
      </c>
      <c r="CR132" s="23">
        <f t="shared" ref="CR132" si="1221">CQ132+CR32</f>
        <v>204.04999999999998</v>
      </c>
      <c r="CS132" s="23">
        <f t="shared" ref="CS132" si="1222">CR132+CS32</f>
        <v>227.55999999999997</v>
      </c>
      <c r="CT132" s="23">
        <f t="shared" ref="CT132" si="1223">CS132+CT32</f>
        <v>251.06999999999996</v>
      </c>
      <c r="CU132" s="23">
        <f t="shared" ref="CU132" si="1224">CT132+CU32</f>
        <v>274.58</v>
      </c>
      <c r="CV132" s="23">
        <f t="shared" ref="CV132" si="1225">CU132+CV32</f>
        <v>298.08999999999997</v>
      </c>
      <c r="CW132" s="23">
        <f t="shared" ref="CW132" si="1226">CV132+CW32</f>
        <v>321.59999999999997</v>
      </c>
      <c r="CX132" s="23">
        <f t="shared" ref="CX132" si="1227">CW132+CX32</f>
        <v>345.10999999999996</v>
      </c>
      <c r="CY132" s="23">
        <f t="shared" ref="CY132" si="1228">CX132+CY32</f>
        <v>368.61999999999995</v>
      </c>
      <c r="CZ132" s="23">
        <f t="shared" ref="CZ132" si="1229">CY132+CZ32</f>
        <v>392.12999999999994</v>
      </c>
      <c r="DA132" s="23">
        <f t="shared" ref="DA132" si="1230">CZ132+DA32</f>
        <v>415.63999999999993</v>
      </c>
      <c r="DD132" s="122"/>
      <c r="DE132" s="22">
        <v>39.479999999999997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14.914400000000001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08"/>
        <v>0</v>
      </c>
      <c r="AC133" s="23">
        <f t="shared" si="1209"/>
        <v>0</v>
      </c>
      <c r="AD133" s="23">
        <f t="shared" si="1210"/>
        <v>0</v>
      </c>
      <c r="AE133" s="23">
        <f t="shared" si="1211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12"/>
        <v>0</v>
      </c>
      <c r="CI133" s="22">
        <f>+'QTR Raw'!BC70</f>
        <v>0</v>
      </c>
      <c r="CJ133" s="22">
        <f t="shared" ref="CJ133:CL133" si="1231">+CI133</f>
        <v>0</v>
      </c>
      <c r="CK133" s="23">
        <f t="shared" ref="CK133:DA134" si="1232">+CJ133</f>
        <v>0</v>
      </c>
      <c r="CL133" s="22">
        <f t="shared" si="1231"/>
        <v>0</v>
      </c>
      <c r="CM133" s="23">
        <f t="shared" si="1232"/>
        <v>0</v>
      </c>
      <c r="CN133" s="23">
        <f t="shared" si="1232"/>
        <v>0</v>
      </c>
      <c r="CO133" s="23">
        <f t="shared" si="1232"/>
        <v>0</v>
      </c>
      <c r="CP133" s="23">
        <f t="shared" si="1232"/>
        <v>0</v>
      </c>
      <c r="CQ133" s="23">
        <f t="shared" si="1232"/>
        <v>0</v>
      </c>
      <c r="CR133" s="23">
        <f t="shared" si="1232"/>
        <v>0</v>
      </c>
      <c r="CS133" s="23">
        <f t="shared" si="1232"/>
        <v>0</v>
      </c>
      <c r="CT133" s="23">
        <f t="shared" si="1232"/>
        <v>0</v>
      </c>
      <c r="CU133" s="23">
        <f t="shared" si="1232"/>
        <v>0</v>
      </c>
      <c r="CV133" s="23">
        <f t="shared" si="1232"/>
        <v>0</v>
      </c>
      <c r="CW133" s="23">
        <f t="shared" si="1232"/>
        <v>0</v>
      </c>
      <c r="CX133" s="23">
        <f t="shared" si="1232"/>
        <v>0</v>
      </c>
      <c r="CY133" s="23">
        <f t="shared" si="1232"/>
        <v>0</v>
      </c>
      <c r="CZ133" s="23">
        <f t="shared" si="1232"/>
        <v>0</v>
      </c>
      <c r="DA133" s="23">
        <f t="shared" si="1232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33">+C131-C132-C133</f>
        <v>0</v>
      </c>
      <c r="D134" s="21">
        <f t="shared" si="1233"/>
        <v>107.8541</v>
      </c>
      <c r="E134" s="21">
        <f t="shared" si="1233"/>
        <v>109.3545</v>
      </c>
      <c r="F134" s="21">
        <f t="shared" si="1233"/>
        <v>133.77789999999999</v>
      </c>
      <c r="G134" s="21">
        <f t="shared" si="1233"/>
        <v>116.64490000000004</v>
      </c>
      <c r="H134" s="21">
        <f t="shared" si="1233"/>
        <v>110.06259999999997</v>
      </c>
      <c r="I134" s="21">
        <f t="shared" si="1233"/>
        <v>177.81009999999998</v>
      </c>
      <c r="J134" s="21">
        <f t="shared" si="1233"/>
        <v>163.65899999999999</v>
      </c>
      <c r="K134" s="21">
        <f t="shared" si="1233"/>
        <v>198.78429999999997</v>
      </c>
      <c r="L134" s="21">
        <f t="shared" si="1233"/>
        <v>175.29590000000002</v>
      </c>
      <c r="M134" s="21">
        <f t="shared" si="1233"/>
        <v>173.92629999999997</v>
      </c>
      <c r="N134" s="21">
        <f t="shared" si="1233"/>
        <v>209.46229999999997</v>
      </c>
      <c r="O134" s="21">
        <f t="shared" si="1233"/>
        <v>199.72930000000008</v>
      </c>
      <c r="P134" s="21">
        <f t="shared" si="1233"/>
        <v>244.61320000000001</v>
      </c>
      <c r="Q134" s="21">
        <f t="shared" si="1233"/>
        <v>517.8768</v>
      </c>
      <c r="R134" s="21">
        <f t="shared" si="1233"/>
        <v>454.93150000000003</v>
      </c>
      <c r="S134" s="21">
        <f t="shared" si="1233"/>
        <v>427.58660000000009</v>
      </c>
      <c r="T134" s="21">
        <f t="shared" si="1233"/>
        <v>461.31529999999998</v>
      </c>
      <c r="U134" s="21">
        <f t="shared" si="1233"/>
        <v>430.05000000000007</v>
      </c>
      <c r="V134" s="21">
        <f t="shared" si="1233"/>
        <v>498.27000000000004</v>
      </c>
      <c r="W134" s="21">
        <f t="shared" si="1233"/>
        <v>474.63999999999993</v>
      </c>
      <c r="X134" s="21">
        <f t="shared" ref="X134:Y134" si="1234">+X131-X132-X133</f>
        <v>416.41999999999996</v>
      </c>
      <c r="Y134" s="21">
        <f t="shared" si="1234"/>
        <v>420.84000000000003</v>
      </c>
      <c r="Z134" s="21">
        <f t="shared" ref="Z134:AE134" si="1235">+Z131-Z132-Z133</f>
        <v>535.2199999999998</v>
      </c>
      <c r="AA134" s="21">
        <f t="shared" ref="AA134" si="1236">+AA131-AA132-AA133</f>
        <v>541.80999999999995</v>
      </c>
      <c r="AB134" s="20">
        <f t="shared" si="1235"/>
        <v>557.75</v>
      </c>
      <c r="AC134" s="20">
        <f t="shared" si="1235"/>
        <v>557.75</v>
      </c>
      <c r="AD134" s="20">
        <f t="shared" si="1235"/>
        <v>557.75</v>
      </c>
      <c r="AE134" s="20">
        <f t="shared" si="1235"/>
        <v>557.75</v>
      </c>
      <c r="AI134" s="21">
        <f t="shared" ref="AI134" si="1237">+AI131-AI132-AI133</f>
        <v>184.7</v>
      </c>
      <c r="AJ134" s="21">
        <f>+AI134</f>
        <v>184.7</v>
      </c>
      <c r="AK134" s="21">
        <f t="shared" ref="AK134" si="1238">+AK131-AK132-AK133</f>
        <v>227.88</v>
      </c>
      <c r="AL134" s="21">
        <f>+AK134</f>
        <v>227.88</v>
      </c>
      <c r="AM134" s="21">
        <f t="shared" ref="AM134" si="1239">+AM131-AM132-AM133</f>
        <v>226.53</v>
      </c>
      <c r="AN134" s="21">
        <f>+AM134</f>
        <v>226.53</v>
      </c>
      <c r="AO134" s="21">
        <f t="shared" ref="AO134" si="1240">+AO131-AO132-AO133</f>
        <v>223.23</v>
      </c>
      <c r="AP134" s="21">
        <f>+AO134</f>
        <v>223.23</v>
      </c>
      <c r="AQ134" s="21">
        <f t="shared" ref="AQ134" si="1241">+AQ131-AQ132-AQ133</f>
        <v>237.41</v>
      </c>
      <c r="AR134" s="21">
        <f>+AQ134</f>
        <v>237.41</v>
      </c>
      <c r="AS134" s="21">
        <f t="shared" ref="AS134" si="1242">+AS131-AS132-AS133</f>
        <v>261.66000000000003</v>
      </c>
      <c r="AT134" s="21">
        <f>+AS134</f>
        <v>261.66000000000003</v>
      </c>
      <c r="AU134" s="21">
        <f t="shared" ref="AU134" si="1243">+AU131-AU132-AU133</f>
        <v>568.9</v>
      </c>
      <c r="AV134" s="21">
        <f>+AU134</f>
        <v>568.9</v>
      </c>
      <c r="AW134" s="21">
        <f t="shared" ref="AW134" si="1244">+AW131-AW132-AW133</f>
        <v>531.35</v>
      </c>
      <c r="AX134" s="21">
        <f>+AW134</f>
        <v>531.35</v>
      </c>
      <c r="AY134" s="21">
        <f t="shared" ref="AY134" si="1245">+AY131-AY132-AY133</f>
        <v>494.48</v>
      </c>
      <c r="AZ134" s="21">
        <f>+AY134</f>
        <v>494.48</v>
      </c>
      <c r="BA134" s="21">
        <f t="shared" ref="BA134" si="1246">+BA131-BA132-BA133</f>
        <v>458.74</v>
      </c>
      <c r="BB134" s="21">
        <f>+BA134</f>
        <v>458.74</v>
      </c>
      <c r="BC134" s="21">
        <f t="shared" ref="BC134" si="1247">+BC131-BC132-BC133</f>
        <v>453.8</v>
      </c>
      <c r="BD134" s="21">
        <f>+BC134</f>
        <v>453.8</v>
      </c>
      <c r="BE134" s="21">
        <f t="shared" ref="BE134" si="1248">+BE131-BE132-BE133</f>
        <v>437.28</v>
      </c>
      <c r="BF134" s="21">
        <f>+BE134</f>
        <v>437.28</v>
      </c>
      <c r="BG134" s="21">
        <f t="shared" ref="BG134" si="1249">+BG131-BG132-BG133</f>
        <v>525.30999999999995</v>
      </c>
      <c r="BH134" s="21">
        <f>+BG134</f>
        <v>525.30999999999995</v>
      </c>
      <c r="BI134" s="21">
        <f t="shared" ref="BI134" si="1250">+BI131-BI132-BI133</f>
        <v>517.72</v>
      </c>
      <c r="BJ134" s="21">
        <f>+BI134</f>
        <v>517.72</v>
      </c>
      <c r="BK134" s="21">
        <f t="shared" ref="BK134" si="1251">+BK131-BK132-BK133</f>
        <v>483.84</v>
      </c>
      <c r="BL134" s="21">
        <f>+BK134</f>
        <v>483.84</v>
      </c>
      <c r="BM134" s="21">
        <f t="shared" ref="BM134" si="1252">+BM131-BM132-BM133</f>
        <v>486.45</v>
      </c>
      <c r="BN134" s="21">
        <f>+BM134</f>
        <v>486.45</v>
      </c>
      <c r="BO134" s="21">
        <f t="shared" ref="BO134" si="1253">+BO131-BO132-BO133</f>
        <v>523.52</v>
      </c>
      <c r="BP134" s="21">
        <f>+BO134</f>
        <v>523.52</v>
      </c>
      <c r="BQ134" s="21">
        <f t="shared" ref="BQ134" si="1254">+BQ131-BQ132-BQ133</f>
        <v>482.08</v>
      </c>
      <c r="BR134" s="21">
        <f>+BQ134</f>
        <v>482.08</v>
      </c>
      <c r="BS134" s="21">
        <f t="shared" ref="BS134" si="1255">+BS131-BS132-BS133</f>
        <v>448.9</v>
      </c>
      <c r="BT134" s="21">
        <f>+BS134</f>
        <v>448.9</v>
      </c>
      <c r="BU134" s="21">
        <f t="shared" ref="BU134" si="1256">+BU131-BU132-BU133</f>
        <v>448.32</v>
      </c>
      <c r="BV134" s="21">
        <f>+BU134</f>
        <v>448.32</v>
      </c>
      <c r="BW134" s="21">
        <f t="shared" ref="BW134" si="1257">+BW131-BW132-BW133</f>
        <v>480.01</v>
      </c>
      <c r="BX134" s="21">
        <f>+BW134</f>
        <v>480.01</v>
      </c>
      <c r="BY134" s="21">
        <f t="shared" ref="BY134" si="1258">+BY131-BY132-BY133</f>
        <v>414.04</v>
      </c>
      <c r="BZ134" s="21">
        <f>+BY134</f>
        <v>414.04</v>
      </c>
      <c r="CA134" s="21">
        <f t="shared" ref="CA134" si="1259">+CA131-CA132-CA133</f>
        <v>416.14</v>
      </c>
      <c r="CB134" s="21">
        <f>+CA134</f>
        <v>416.14</v>
      </c>
      <c r="CC134" s="21">
        <f t="shared" ref="CC134" si="1260">+CC131-CC132-CC133</f>
        <v>411.46</v>
      </c>
      <c r="CD134" s="21">
        <f>+CC134</f>
        <v>411.46</v>
      </c>
      <c r="CE134" s="21">
        <f t="shared" ref="CE134:CG134" si="1261">+CE131-CE132-CE133</f>
        <v>519.48</v>
      </c>
      <c r="CF134" s="21">
        <f>+CE134</f>
        <v>519.48</v>
      </c>
      <c r="CG134" s="21">
        <f t="shared" si="1261"/>
        <v>535.2199999999998</v>
      </c>
      <c r="CH134" s="21">
        <f t="shared" ref="CH134:CL134" si="1262">+CG134</f>
        <v>535.2199999999998</v>
      </c>
      <c r="CI134" s="21">
        <f>+'QTR Raw'!BC68</f>
        <v>557.75</v>
      </c>
      <c r="CJ134" s="21">
        <f t="shared" si="1262"/>
        <v>557.75</v>
      </c>
      <c r="CK134" s="20">
        <f t="shared" si="1232"/>
        <v>557.75</v>
      </c>
      <c r="CL134" s="21">
        <f t="shared" si="1262"/>
        <v>557.75</v>
      </c>
      <c r="CM134" s="20">
        <f t="shared" si="1232"/>
        <v>557.75</v>
      </c>
      <c r="CN134" s="20">
        <f t="shared" si="1232"/>
        <v>557.75</v>
      </c>
      <c r="CO134" s="20">
        <f t="shared" si="1232"/>
        <v>557.75</v>
      </c>
      <c r="CP134" s="20">
        <f t="shared" si="1232"/>
        <v>557.75</v>
      </c>
      <c r="CQ134" s="20">
        <f t="shared" si="1232"/>
        <v>557.75</v>
      </c>
      <c r="CR134" s="20">
        <f t="shared" si="1232"/>
        <v>557.75</v>
      </c>
      <c r="CS134" s="20">
        <f t="shared" si="1232"/>
        <v>557.75</v>
      </c>
      <c r="CT134" s="20">
        <f t="shared" si="1232"/>
        <v>557.75</v>
      </c>
      <c r="CU134" s="20">
        <f t="shared" si="1232"/>
        <v>557.75</v>
      </c>
      <c r="CV134" s="20">
        <f t="shared" si="1232"/>
        <v>557.75</v>
      </c>
      <c r="CW134" s="20">
        <f t="shared" si="1232"/>
        <v>557.75</v>
      </c>
      <c r="CX134" s="20">
        <f t="shared" si="1232"/>
        <v>557.75</v>
      </c>
      <c r="CY134" s="20">
        <f t="shared" si="1232"/>
        <v>557.75</v>
      </c>
      <c r="CZ134" s="20">
        <f t="shared" si="1232"/>
        <v>557.75</v>
      </c>
      <c r="DA134" s="20">
        <f t="shared" si="1232"/>
        <v>557.75</v>
      </c>
      <c r="DD134" s="125"/>
      <c r="DE134" s="21">
        <v>557.75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33.514000000000003</v>
      </c>
      <c r="O135" s="22">
        <f>'Annual Raw'!P86</f>
        <v>32.0944</v>
      </c>
      <c r="P135" s="22">
        <f>'Annual Raw'!Q86</f>
        <v>30.674800000000001</v>
      </c>
      <c r="Q135" s="22">
        <f>'Annual Raw'!R86</f>
        <v>236.85059999999999</v>
      </c>
      <c r="R135" s="22">
        <f>'Annual Raw'!S86</f>
        <v>9.6880000000000006</v>
      </c>
      <c r="S135" s="22">
        <f>'Annual Raw'!T86</f>
        <v>9.6880000000000006</v>
      </c>
      <c r="T135" s="22">
        <f>'Annual Raw'!U86</f>
        <v>56.400300000000001</v>
      </c>
      <c r="U135" s="22">
        <f>'Annual Raw'!V86</f>
        <v>56.4</v>
      </c>
      <c r="V135" s="22">
        <f>'Annual Raw'!W86</f>
        <v>62.38</v>
      </c>
      <c r="W135" s="22">
        <f>'Annual Raw'!X86</f>
        <v>62.38</v>
      </c>
      <c r="X135" s="22">
        <f>'Annual Raw'!Y86</f>
        <v>62.38</v>
      </c>
      <c r="Y135" s="22">
        <f>'Annual Raw'!Z86</f>
        <v>62.38</v>
      </c>
      <c r="Z135" s="22">
        <f>'Annual Raw'!AA86</f>
        <v>62.38</v>
      </c>
      <c r="AA135" s="22">
        <f>'Annual Raw'!AB86</f>
        <v>62.38</v>
      </c>
      <c r="AB135" s="23">
        <f t="shared" ref="AB135:AB137" si="1263">+CO135</f>
        <v>0</v>
      </c>
      <c r="AC135" s="23">
        <f t="shared" ref="AC135:AC137" si="1264">+CS135</f>
        <v>0</v>
      </c>
      <c r="AD135" s="23">
        <f t="shared" ref="AD135:AD137" si="1265">+CW135</f>
        <v>0</v>
      </c>
      <c r="AE135" s="23">
        <f t="shared" ref="AE135:AE137" si="1266">+DA135</f>
        <v>0</v>
      </c>
      <c r="AI135" s="22">
        <f>+'QTR Raw'!C72</f>
        <v>0</v>
      </c>
      <c r="AJ135" s="22">
        <f t="shared" ref="AJ135:AJ137" si="1267">+AI135</f>
        <v>0</v>
      </c>
      <c r="AK135" s="22">
        <f>+'QTR Raw'!E72</f>
        <v>19.57</v>
      </c>
      <c r="AL135" s="22">
        <f t="shared" ref="AL135:AL137" si="1268">+AK135</f>
        <v>19.57</v>
      </c>
      <c r="AM135" s="22">
        <f>+'QTR Raw'!G72</f>
        <v>19.57</v>
      </c>
      <c r="AN135" s="22">
        <f t="shared" ref="AN135:AN137" si="1269">+AM135</f>
        <v>19.57</v>
      </c>
      <c r="AO135" s="22">
        <f>+'QTR Raw'!I72</f>
        <v>19.57</v>
      </c>
      <c r="AP135" s="22">
        <f t="shared" ref="AP135:AP137" si="1270">+AO135</f>
        <v>19.57</v>
      </c>
      <c r="AQ135" s="22">
        <f>+'QTR Raw'!K72</f>
        <v>19.57</v>
      </c>
      <c r="AR135" s="22">
        <f t="shared" ref="AR135:AR137" si="1271">+AQ135</f>
        <v>19.57</v>
      </c>
      <c r="AS135" s="22">
        <f>+'QTR Raw'!M72</f>
        <v>19.57</v>
      </c>
      <c r="AT135" s="22">
        <f t="shared" ref="AT135:AT137" si="1272">+AS135</f>
        <v>19.57</v>
      </c>
      <c r="AU135" s="22">
        <f>+'QTR Raw'!O72</f>
        <v>224.4</v>
      </c>
      <c r="AV135" s="22">
        <f t="shared" ref="AV135:AV137" si="1273">+AU135</f>
        <v>224.4</v>
      </c>
      <c r="AW135" s="22">
        <f>+'QTR Raw'!Q72</f>
        <v>227.16</v>
      </c>
      <c r="AX135" s="22">
        <f t="shared" ref="AX135:AX137" si="1274">+AW135</f>
        <v>227.16</v>
      </c>
      <c r="AY135" s="22">
        <f>+'QTR Raw'!S72</f>
        <v>227.53</v>
      </c>
      <c r="AZ135" s="22">
        <f t="shared" ref="AZ135:AZ137" si="1275">+AY135</f>
        <v>227.53</v>
      </c>
      <c r="BA135" s="22">
        <f>+'QTR Raw'!U72</f>
        <v>226.05</v>
      </c>
      <c r="BB135" s="22">
        <f t="shared" ref="BB135:BB137" si="1276">+BA135</f>
        <v>226.05</v>
      </c>
      <c r="BC135" s="22">
        <f>+'QTR Raw'!W72</f>
        <v>0</v>
      </c>
      <c r="BD135" s="22">
        <f t="shared" ref="BD135:BD137" si="1277">+BC135</f>
        <v>0</v>
      </c>
      <c r="BE135" s="22">
        <f>+'QTR Raw'!Y72</f>
        <v>0</v>
      </c>
      <c r="BF135" s="22">
        <f t="shared" ref="BF135:BF137" si="1278">+BE135</f>
        <v>0</v>
      </c>
      <c r="BG135" s="22">
        <f>+'QTR Raw'!AA72</f>
        <v>0</v>
      </c>
      <c r="BH135" s="22">
        <f t="shared" ref="BH135:BH137" si="1279">+BG135</f>
        <v>0</v>
      </c>
      <c r="BI135" s="22">
        <f>+'QTR Raw'!AC72</f>
        <v>0</v>
      </c>
      <c r="BJ135" s="22">
        <f t="shared" ref="BJ135:BJ137" si="1280">+BI135</f>
        <v>0</v>
      </c>
      <c r="BK135" s="22">
        <f>+'QTR Raw'!AE72</f>
        <v>0</v>
      </c>
      <c r="BL135" s="22">
        <f t="shared" ref="BL135:BL137" si="1281">+BK135</f>
        <v>0</v>
      </c>
      <c r="BM135" s="22">
        <f>+'QTR Raw'!AG72</f>
        <v>0</v>
      </c>
      <c r="BN135" s="22">
        <f t="shared" ref="BN135:BN137" si="1282">+BM135</f>
        <v>0</v>
      </c>
      <c r="BO135" s="22">
        <f>+'QTR Raw'!AI72</f>
        <v>0</v>
      </c>
      <c r="BP135" s="22">
        <f t="shared" ref="BP135:BP137" si="1283">+BO135</f>
        <v>0</v>
      </c>
      <c r="BQ135" s="22">
        <f>+'QTR Raw'!AK72</f>
        <v>0</v>
      </c>
      <c r="BR135" s="22">
        <f t="shared" ref="BR135:BR137" si="1284">+BQ135</f>
        <v>0</v>
      </c>
      <c r="BS135" s="22">
        <f>+'QTR Raw'!AM72</f>
        <v>0</v>
      </c>
      <c r="BT135" s="22">
        <f t="shared" ref="BT135:BT137" si="1285">+BS135</f>
        <v>0</v>
      </c>
      <c r="BU135" s="22">
        <f>+'QTR Raw'!AO72</f>
        <v>0</v>
      </c>
      <c r="BV135" s="22">
        <f t="shared" ref="BV135:BV137" si="1286">+BU135</f>
        <v>0</v>
      </c>
      <c r="BW135" s="22">
        <f>+'QTR Raw'!AQ72</f>
        <v>0</v>
      </c>
      <c r="BX135" s="22">
        <f t="shared" ref="BX135:BX137" si="1287">+BW135</f>
        <v>0</v>
      </c>
      <c r="BY135" s="22">
        <f>+'QTR Raw'!AS72</f>
        <v>0</v>
      </c>
      <c r="BZ135" s="22">
        <f t="shared" ref="BZ135:BZ137" si="1288">+BY135</f>
        <v>0</v>
      </c>
      <c r="CA135" s="22">
        <f>+'QTR Raw'!AU72</f>
        <v>0</v>
      </c>
      <c r="CB135" s="22">
        <f t="shared" ref="CB135:CB137" si="1289">+CA135</f>
        <v>0</v>
      </c>
      <c r="CC135" s="22">
        <f>+'QTR Raw'!AW72</f>
        <v>0</v>
      </c>
      <c r="CD135" s="22">
        <f t="shared" ref="CD135:CD137" si="1290">+CC135</f>
        <v>0</v>
      </c>
      <c r="CE135" s="22">
        <f>+'QTR Raw'!AY72</f>
        <v>0</v>
      </c>
      <c r="CF135" s="22">
        <f t="shared" ref="CF135:CL137" si="1291">+CE135</f>
        <v>0</v>
      </c>
      <c r="CG135" s="22">
        <f t="shared" si="1212"/>
        <v>62.38</v>
      </c>
      <c r="CH135" s="22">
        <f t="shared" si="1291"/>
        <v>62.38</v>
      </c>
      <c r="CI135" s="22">
        <f>+'QTR Raw'!BC72</f>
        <v>0</v>
      </c>
      <c r="CJ135" s="22">
        <f t="shared" si="1291"/>
        <v>0</v>
      </c>
      <c r="CK135" s="23">
        <f t="shared" ref="CK135:CK137" si="1292">+CJ135</f>
        <v>0</v>
      </c>
      <c r="CL135" s="22">
        <f t="shared" si="1291"/>
        <v>0</v>
      </c>
      <c r="CM135" s="23">
        <f t="shared" ref="CM135:CM137" si="1293">+CL135</f>
        <v>0</v>
      </c>
      <c r="CN135" s="23">
        <f t="shared" ref="CN135:CN137" si="1294">+CM135</f>
        <v>0</v>
      </c>
      <c r="CO135" s="23">
        <f t="shared" ref="CO135:CO137" si="1295">+CN135</f>
        <v>0</v>
      </c>
      <c r="CP135" s="23">
        <f t="shared" ref="CP135:CP137" si="1296">+CO135</f>
        <v>0</v>
      </c>
      <c r="CQ135" s="23">
        <f t="shared" ref="CQ135:CQ137" si="1297">+CP135</f>
        <v>0</v>
      </c>
      <c r="CR135" s="23">
        <f t="shared" ref="CR135:CR137" si="1298">+CQ135</f>
        <v>0</v>
      </c>
      <c r="CS135" s="23">
        <f t="shared" ref="CS135:CS137" si="1299">+CR135</f>
        <v>0</v>
      </c>
      <c r="CT135" s="23">
        <f t="shared" ref="CT135:CT137" si="1300">+CS135</f>
        <v>0</v>
      </c>
      <c r="CU135" s="23">
        <f t="shared" ref="CU135:CU137" si="1301">+CT135</f>
        <v>0</v>
      </c>
      <c r="CV135" s="23">
        <f t="shared" ref="CV135:CV137" si="1302">+CU135</f>
        <v>0</v>
      </c>
      <c r="CW135" s="23">
        <f t="shared" ref="CW135:CW137" si="1303">+CV135</f>
        <v>0</v>
      </c>
      <c r="CX135" s="23">
        <f t="shared" ref="CX135:CX137" si="1304">+CW135</f>
        <v>0</v>
      </c>
      <c r="CY135" s="23">
        <f t="shared" ref="CY135:CY137" si="1305">+CX135</f>
        <v>0</v>
      </c>
      <c r="CZ135" s="23">
        <f t="shared" ref="CZ135:CZ137" si="1306">+CY135</f>
        <v>0</v>
      </c>
      <c r="DA135" s="23">
        <f t="shared" ref="DA135:DA137" si="1307">+CZ135</f>
        <v>0</v>
      </c>
      <c r="DD135" s="122"/>
      <c r="DE135" s="22">
        <v>0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0.2369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63"/>
        <v>0</v>
      </c>
      <c r="AC136" s="23">
        <f t="shared" si="1264"/>
        <v>0</v>
      </c>
      <c r="AD136" s="23">
        <f t="shared" si="1265"/>
        <v>0</v>
      </c>
      <c r="AE136" s="23">
        <f t="shared" si="1266"/>
        <v>0</v>
      </c>
      <c r="AJ136" s="22">
        <f t="shared" si="1267"/>
        <v>0</v>
      </c>
      <c r="AL136" s="22">
        <f t="shared" si="1268"/>
        <v>0</v>
      </c>
      <c r="AN136" s="22">
        <f t="shared" si="1269"/>
        <v>0</v>
      </c>
      <c r="AP136" s="22">
        <f t="shared" si="1270"/>
        <v>0</v>
      </c>
      <c r="AR136" s="22">
        <f t="shared" si="1271"/>
        <v>0</v>
      </c>
      <c r="AT136" s="22">
        <f t="shared" si="1272"/>
        <v>0</v>
      </c>
      <c r="AV136" s="22">
        <f t="shared" si="1273"/>
        <v>0</v>
      </c>
      <c r="AX136" s="22">
        <f t="shared" si="1274"/>
        <v>0</v>
      </c>
      <c r="AZ136" s="22">
        <f t="shared" si="1275"/>
        <v>0</v>
      </c>
      <c r="BB136" s="22">
        <f t="shared" si="1276"/>
        <v>0</v>
      </c>
      <c r="BD136" s="22">
        <f t="shared" si="1277"/>
        <v>0</v>
      </c>
      <c r="BF136" s="22">
        <f t="shared" si="1278"/>
        <v>0</v>
      </c>
      <c r="BH136" s="22">
        <f t="shared" si="1279"/>
        <v>0</v>
      </c>
      <c r="BJ136" s="22">
        <f t="shared" si="1280"/>
        <v>0</v>
      </c>
      <c r="BL136" s="22">
        <f t="shared" si="1281"/>
        <v>0</v>
      </c>
      <c r="BN136" s="22">
        <f t="shared" si="1282"/>
        <v>0</v>
      </c>
      <c r="BP136" s="22">
        <f t="shared" si="1283"/>
        <v>0</v>
      </c>
      <c r="BR136" s="22">
        <f t="shared" si="1284"/>
        <v>0</v>
      </c>
      <c r="BT136" s="22">
        <f t="shared" si="1285"/>
        <v>0</v>
      </c>
      <c r="BV136" s="22">
        <f t="shared" si="1286"/>
        <v>0</v>
      </c>
      <c r="BX136" s="22">
        <f t="shared" si="1287"/>
        <v>0</v>
      </c>
      <c r="BZ136" s="22">
        <f t="shared" si="1288"/>
        <v>0</v>
      </c>
      <c r="CB136" s="22">
        <f t="shared" si="1289"/>
        <v>0</v>
      </c>
      <c r="CD136" s="22">
        <f t="shared" si="1290"/>
        <v>0</v>
      </c>
      <c r="CF136" s="22">
        <f t="shared" si="1291"/>
        <v>0</v>
      </c>
      <c r="CG136" s="22">
        <f t="shared" si="1212"/>
        <v>0</v>
      </c>
      <c r="CH136" s="22">
        <f t="shared" si="1291"/>
        <v>0</v>
      </c>
      <c r="CJ136" s="22">
        <f t="shared" si="1291"/>
        <v>0</v>
      </c>
      <c r="CK136" s="23">
        <f t="shared" si="1292"/>
        <v>0</v>
      </c>
      <c r="CL136" s="22">
        <f t="shared" si="1291"/>
        <v>0</v>
      </c>
      <c r="CM136" s="23">
        <f t="shared" si="1293"/>
        <v>0</v>
      </c>
      <c r="CN136" s="23">
        <f t="shared" si="1294"/>
        <v>0</v>
      </c>
      <c r="CO136" s="23">
        <f t="shared" si="1295"/>
        <v>0</v>
      </c>
      <c r="CP136" s="23">
        <f t="shared" si="1296"/>
        <v>0</v>
      </c>
      <c r="CQ136" s="23">
        <f t="shared" si="1297"/>
        <v>0</v>
      </c>
      <c r="CR136" s="23">
        <f t="shared" si="1298"/>
        <v>0</v>
      </c>
      <c r="CS136" s="23">
        <f t="shared" si="1299"/>
        <v>0</v>
      </c>
      <c r="CT136" s="23">
        <f t="shared" si="1300"/>
        <v>0</v>
      </c>
      <c r="CU136" s="23">
        <f t="shared" si="1301"/>
        <v>0</v>
      </c>
      <c r="CV136" s="23">
        <f t="shared" si="1302"/>
        <v>0</v>
      </c>
      <c r="CW136" s="23">
        <f t="shared" si="1303"/>
        <v>0</v>
      </c>
      <c r="CX136" s="23">
        <f t="shared" si="1304"/>
        <v>0</v>
      </c>
      <c r="CY136" s="23">
        <f t="shared" si="1305"/>
        <v>0</v>
      </c>
      <c r="CZ136" s="23">
        <f t="shared" si="1306"/>
        <v>0</v>
      </c>
      <c r="DA136" s="23">
        <f t="shared" si="1307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19.937200000000001</v>
      </c>
      <c r="E137" s="22">
        <f>'Annual Raw'!F67+'Annual Raw'!F66+'Annual Raw'!F69+'Annual Raw'!F70</f>
        <v>4.8460000000000001</v>
      </c>
      <c r="F137" s="22">
        <f>'Annual Raw'!G67+'Annual Raw'!G66+'Annual Raw'!G69+'Annual Raw'!G70</f>
        <v>2.7168999999999999</v>
      </c>
      <c r="G137" s="22">
        <f>'Annual Raw'!H67+'Annual Raw'!H66+'Annual Raw'!H69+'Annual Raw'!H70</f>
        <v>18.4969</v>
      </c>
      <c r="H137" s="22">
        <f>'Annual Raw'!I67+'Annual Raw'!I66+'Annual Raw'!I69+'Annual Raw'!I70</f>
        <v>86.638999999999996</v>
      </c>
      <c r="I137" s="22">
        <f>'Annual Raw'!J67+'Annual Raw'!J66+'Annual Raw'!J69+'Annual Raw'!J70</f>
        <v>36.699399999999997</v>
      </c>
      <c r="J137" s="22">
        <f>'Annual Raw'!K67+'Annual Raw'!K66+'Annual Raw'!K69+'Annual Raw'!K70</f>
        <v>46.891500000000001</v>
      </c>
      <c r="K137" s="22">
        <f>'Annual Raw'!L67+'Annual Raw'!L66+'Annual Raw'!L69+'Annual Raw'!L70</f>
        <v>4.5716000000000001</v>
      </c>
      <c r="L137" s="22">
        <f>'Annual Raw'!M67+'Annual Raw'!M66+'Annual Raw'!M69+'Annual Raw'!M70</f>
        <v>3.3919999999999999</v>
      </c>
      <c r="M137" s="22">
        <f>'Annual Raw'!N67+'Annual Raw'!N66+'Annual Raw'!N69+'Annual Raw'!N70</f>
        <v>8.1434999999999995</v>
      </c>
      <c r="N137" s="22">
        <f>'Annual Raw'!O67+'Annual Raw'!O66+'Annual Raw'!O69+'Annual Raw'!O70</f>
        <v>4.468</v>
      </c>
      <c r="O137" s="22">
        <f>'Annual Raw'!P67+'Annual Raw'!P66+'Annual Raw'!P69+'Annual Raw'!P70</f>
        <v>10.9757</v>
      </c>
      <c r="P137" s="22">
        <f>'Annual Raw'!Q67+'Annual Raw'!Q66+'Annual Raw'!Q69+'Annual Raw'!Q70</f>
        <v>5.9368999999999996</v>
      </c>
      <c r="Q137" s="22">
        <f>'Annual Raw'!R67+'Annual Raw'!R66+'Annual Raw'!R69+'Annual Raw'!R70</f>
        <v>3.7850999999999999</v>
      </c>
      <c r="R137" s="22">
        <f>'Annual Raw'!S67+'Annual Raw'!S66+'Annual Raw'!S69+'Annual Raw'!S70</f>
        <v>1.9946999999999999</v>
      </c>
      <c r="S137" s="22">
        <f>'Annual Raw'!T67+'Annual Raw'!T66+'Annual Raw'!T69+'Annual Raw'!T70</f>
        <v>2.0682999999999998</v>
      </c>
      <c r="T137" s="22">
        <f>'Annual Raw'!U67+'Annual Raw'!U66+'Annual Raw'!U69+'Annual Raw'!U70</f>
        <v>4.452</v>
      </c>
      <c r="U137" s="22">
        <f>'Annual Raw'!V67+'Annual Raw'!V66+'Annual Raw'!V69+'Annual Raw'!V70</f>
        <v>8.2899999999999991</v>
      </c>
      <c r="V137" s="22">
        <f>'Annual Raw'!W67+'Annual Raw'!W66+'Annual Raw'!W69+'Annual Raw'!W70</f>
        <v>16.5</v>
      </c>
      <c r="W137" s="22">
        <f>'Annual Raw'!X67+'Annual Raw'!X66+'Annual Raw'!X69+'Annual Raw'!X70</f>
        <v>42.91</v>
      </c>
      <c r="X137" s="22">
        <f>'Annual Raw'!Y67+'Annual Raw'!Y66+'Annual Raw'!Y69+'Annual Raw'!Y70</f>
        <v>35.03</v>
      </c>
      <c r="Y137" s="22">
        <f>'Annual Raw'!Z67+'Annual Raw'!Z66+'Annual Raw'!Z69+'Annual Raw'!Z70</f>
        <v>131.12</v>
      </c>
      <c r="Z137" s="22">
        <f>'Annual Raw'!AA67+'Annual Raw'!AA66+'Annual Raw'!AA69+'Annual Raw'!AA70</f>
        <v>40.29</v>
      </c>
      <c r="AA137" s="22">
        <f>'Annual Raw'!AB67+'Annual Raw'!AB66+'Annual Raw'!AB69+'Annual Raw'!AB70</f>
        <v>34.57</v>
      </c>
      <c r="AB137" s="23">
        <f t="shared" si="1263"/>
        <v>31.21</v>
      </c>
      <c r="AC137" s="23">
        <f t="shared" si="1264"/>
        <v>31.21</v>
      </c>
      <c r="AD137" s="23">
        <f t="shared" si="1265"/>
        <v>31.21</v>
      </c>
      <c r="AE137" s="23">
        <f t="shared" si="1266"/>
        <v>31.21</v>
      </c>
      <c r="AI137" s="22">
        <f>+'QTR Raw'!C74</f>
        <v>0</v>
      </c>
      <c r="AJ137" s="22">
        <f t="shared" si="1267"/>
        <v>0</v>
      </c>
      <c r="AK137" s="22">
        <f>+'QTR Raw'!E74</f>
        <v>0</v>
      </c>
      <c r="AL137" s="22">
        <f t="shared" si="1268"/>
        <v>0</v>
      </c>
      <c r="AM137" s="22">
        <f>+'QTR Raw'!G74</f>
        <v>0</v>
      </c>
      <c r="AN137" s="22">
        <f t="shared" si="1269"/>
        <v>0</v>
      </c>
      <c r="AO137" s="22">
        <f>+'QTR Raw'!I74</f>
        <v>0</v>
      </c>
      <c r="AP137" s="22">
        <f t="shared" si="1270"/>
        <v>0</v>
      </c>
      <c r="AQ137" s="22">
        <f>+'QTR Raw'!K74</f>
        <v>0</v>
      </c>
      <c r="AR137" s="22">
        <f t="shared" si="1271"/>
        <v>0</v>
      </c>
      <c r="AS137" s="22">
        <f>+'QTR Raw'!M74</f>
        <v>0</v>
      </c>
      <c r="AT137" s="22">
        <f t="shared" si="1272"/>
        <v>0</v>
      </c>
      <c r="AU137" s="22">
        <f>+'QTR Raw'!O74</f>
        <v>0</v>
      </c>
      <c r="AV137" s="22">
        <f t="shared" si="1273"/>
        <v>0</v>
      </c>
      <c r="AW137" s="22">
        <f>+'QTR Raw'!Q74</f>
        <v>0</v>
      </c>
      <c r="AX137" s="22">
        <f t="shared" si="1274"/>
        <v>0</v>
      </c>
      <c r="AY137" s="22">
        <f>+'QTR Raw'!S74</f>
        <v>0</v>
      </c>
      <c r="AZ137" s="22">
        <f t="shared" si="1275"/>
        <v>0</v>
      </c>
      <c r="BA137" s="22">
        <f>+'QTR Raw'!U74</f>
        <v>0</v>
      </c>
      <c r="BB137" s="22">
        <f t="shared" si="1276"/>
        <v>0</v>
      </c>
      <c r="BC137" s="22">
        <f>+'QTR Raw'!W74</f>
        <v>16.940000000000001</v>
      </c>
      <c r="BD137" s="22">
        <f t="shared" si="1277"/>
        <v>16.940000000000001</v>
      </c>
      <c r="BE137" s="22">
        <f>+'QTR Raw'!Y74</f>
        <v>2.0699999999999998</v>
      </c>
      <c r="BF137" s="22">
        <f t="shared" si="1278"/>
        <v>2.0699999999999998</v>
      </c>
      <c r="BG137" s="22">
        <f>+'QTR Raw'!AA74</f>
        <v>16.29</v>
      </c>
      <c r="BH137" s="22">
        <f t="shared" si="1279"/>
        <v>16.29</v>
      </c>
      <c r="BI137" s="22">
        <f>+'QTR Raw'!AC74</f>
        <v>4.45</v>
      </c>
      <c r="BJ137" s="22">
        <f t="shared" si="1280"/>
        <v>4.45</v>
      </c>
      <c r="BK137" s="22">
        <f>+'QTR Raw'!AE74</f>
        <v>21.97</v>
      </c>
      <c r="BL137" s="22">
        <f t="shared" si="1281"/>
        <v>21.97</v>
      </c>
      <c r="BM137" s="22">
        <f>+'QTR Raw'!AG74</f>
        <v>8.2899999999999991</v>
      </c>
      <c r="BN137" s="22">
        <f t="shared" si="1282"/>
        <v>8.2899999999999991</v>
      </c>
      <c r="BO137" s="22">
        <f>+'QTR Raw'!AI74</f>
        <v>24.51</v>
      </c>
      <c r="BP137" s="22">
        <f t="shared" si="1283"/>
        <v>24.51</v>
      </c>
      <c r="BQ137" s="22">
        <f>+'QTR Raw'!AK74</f>
        <v>16.5</v>
      </c>
      <c r="BR137" s="22">
        <f t="shared" si="1284"/>
        <v>16.5</v>
      </c>
      <c r="BS137" s="22">
        <f>+'QTR Raw'!AM74</f>
        <v>25.21</v>
      </c>
      <c r="BT137" s="22">
        <f t="shared" si="1285"/>
        <v>25.21</v>
      </c>
      <c r="BU137" s="22">
        <f>+'QTR Raw'!AO74</f>
        <v>42.91</v>
      </c>
      <c r="BV137" s="22">
        <f t="shared" si="1286"/>
        <v>42.91</v>
      </c>
      <c r="BW137" s="22">
        <f>+'QTR Raw'!AQ74</f>
        <v>47.54</v>
      </c>
      <c r="BX137" s="22">
        <f t="shared" si="1287"/>
        <v>47.54</v>
      </c>
      <c r="BY137" s="22">
        <f>+'QTR Raw'!AS74</f>
        <v>35.03</v>
      </c>
      <c r="BZ137" s="22">
        <f t="shared" si="1288"/>
        <v>35.03</v>
      </c>
      <c r="CA137" s="22">
        <f>+'QTR Raw'!AU74</f>
        <v>112.43</v>
      </c>
      <c r="CB137" s="22">
        <f t="shared" si="1289"/>
        <v>112.43</v>
      </c>
      <c r="CC137" s="22">
        <f>+'QTR Raw'!AW74</f>
        <v>131.12</v>
      </c>
      <c r="CD137" s="22">
        <f t="shared" si="1290"/>
        <v>131.12</v>
      </c>
      <c r="CE137" s="22">
        <f>+'QTR Raw'!AY74</f>
        <v>30.37</v>
      </c>
      <c r="CF137" s="22">
        <f t="shared" si="1291"/>
        <v>30.37</v>
      </c>
      <c r="CG137" s="22">
        <f t="shared" si="1212"/>
        <v>40.29</v>
      </c>
      <c r="CH137" s="22">
        <f t="shared" si="1291"/>
        <v>40.29</v>
      </c>
      <c r="CI137" s="22">
        <f>+'QTR Raw'!BC74</f>
        <v>31.21</v>
      </c>
      <c r="CJ137" s="22">
        <f t="shared" si="1291"/>
        <v>31.21</v>
      </c>
      <c r="CK137" s="23">
        <f t="shared" si="1292"/>
        <v>31.21</v>
      </c>
      <c r="CL137" s="22">
        <f t="shared" si="1291"/>
        <v>31.21</v>
      </c>
      <c r="CM137" s="23">
        <f t="shared" si="1293"/>
        <v>31.21</v>
      </c>
      <c r="CN137" s="23">
        <f t="shared" si="1294"/>
        <v>31.21</v>
      </c>
      <c r="CO137" s="23">
        <f t="shared" si="1295"/>
        <v>31.21</v>
      </c>
      <c r="CP137" s="23">
        <f t="shared" si="1296"/>
        <v>31.21</v>
      </c>
      <c r="CQ137" s="23">
        <f t="shared" si="1297"/>
        <v>31.21</v>
      </c>
      <c r="CR137" s="23">
        <f t="shared" si="1298"/>
        <v>31.21</v>
      </c>
      <c r="CS137" s="23">
        <f t="shared" si="1299"/>
        <v>31.21</v>
      </c>
      <c r="CT137" s="23">
        <f t="shared" si="1300"/>
        <v>31.21</v>
      </c>
      <c r="CU137" s="23">
        <f t="shared" si="1301"/>
        <v>31.21</v>
      </c>
      <c r="CV137" s="23">
        <f t="shared" si="1302"/>
        <v>31.21</v>
      </c>
      <c r="CW137" s="23">
        <f t="shared" si="1303"/>
        <v>31.21</v>
      </c>
      <c r="CX137" s="23">
        <f t="shared" si="1304"/>
        <v>31.21</v>
      </c>
      <c r="CY137" s="23">
        <f t="shared" si="1305"/>
        <v>31.21</v>
      </c>
      <c r="CZ137" s="23">
        <f t="shared" si="1306"/>
        <v>31.21</v>
      </c>
      <c r="DA137" s="23">
        <f t="shared" si="1307"/>
        <v>31.21</v>
      </c>
      <c r="DD137" s="122"/>
      <c r="DE137" s="22">
        <v>31.21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08">C134+C137+C136</f>
        <v>0</v>
      </c>
      <c r="D138" s="21">
        <f t="shared" si="1308"/>
        <v>127.79130000000001</v>
      </c>
      <c r="E138" s="21">
        <f t="shared" ref="E138:Y138" si="1309">E134+E137+E136+E135</f>
        <v>114.20050000000001</v>
      </c>
      <c r="F138" s="21">
        <f t="shared" si="1309"/>
        <v>136.4948</v>
      </c>
      <c r="G138" s="21">
        <f t="shared" si="1309"/>
        <v>135.14180000000005</v>
      </c>
      <c r="H138" s="21">
        <f t="shared" si="1309"/>
        <v>196.70159999999998</v>
      </c>
      <c r="I138" s="21">
        <f t="shared" si="1309"/>
        <v>214.50949999999997</v>
      </c>
      <c r="J138" s="21">
        <f t="shared" si="1309"/>
        <v>210.5505</v>
      </c>
      <c r="K138" s="21">
        <f t="shared" si="1309"/>
        <v>203.35589999999996</v>
      </c>
      <c r="L138" s="21">
        <f t="shared" si="1309"/>
        <v>178.68790000000001</v>
      </c>
      <c r="M138" s="21">
        <f t="shared" si="1309"/>
        <v>182.30669999999995</v>
      </c>
      <c r="N138" s="21">
        <f t="shared" si="1309"/>
        <v>247.44429999999997</v>
      </c>
      <c r="O138" s="21">
        <f t="shared" si="1309"/>
        <v>242.79940000000008</v>
      </c>
      <c r="P138" s="21">
        <f t="shared" si="1309"/>
        <v>281.22489999999999</v>
      </c>
      <c r="Q138" s="21">
        <f t="shared" si="1309"/>
        <v>758.51250000000005</v>
      </c>
      <c r="R138" s="21">
        <f t="shared" si="1309"/>
        <v>466.61420000000004</v>
      </c>
      <c r="S138" s="21">
        <f t="shared" si="1309"/>
        <v>439.3429000000001</v>
      </c>
      <c r="T138" s="21">
        <f t="shared" si="1309"/>
        <v>522.16759999999999</v>
      </c>
      <c r="U138" s="21">
        <f t="shared" si="1309"/>
        <v>494.74000000000007</v>
      </c>
      <c r="V138" s="21">
        <f t="shared" si="1309"/>
        <v>577.15</v>
      </c>
      <c r="W138" s="21">
        <f t="shared" si="1309"/>
        <v>579.92999999999995</v>
      </c>
      <c r="X138" s="21">
        <f t="shared" si="1309"/>
        <v>513.82999999999993</v>
      </c>
      <c r="Y138" s="21">
        <f t="shared" si="1309"/>
        <v>614.34</v>
      </c>
      <c r="Z138" s="21">
        <f>Z134+Z137+Z136+Z135</f>
        <v>637.88999999999976</v>
      </c>
      <c r="AA138" s="21">
        <f>AA134+AA137+AA136+AA135</f>
        <v>638.76</v>
      </c>
      <c r="AB138" s="160">
        <f t="shared" ref="AB138:AE138" si="1310">AB134+AB137+AB136+AB135</f>
        <v>588.96</v>
      </c>
      <c r="AC138" s="160">
        <f t="shared" si="1310"/>
        <v>588.96</v>
      </c>
      <c r="AD138" s="160">
        <f t="shared" si="1310"/>
        <v>588.96</v>
      </c>
      <c r="AE138" s="160">
        <f t="shared" si="1310"/>
        <v>588.96</v>
      </c>
      <c r="AI138" s="21">
        <f t="shared" ref="AI138:AL138" si="1311">AI134+AI137+AI135+AI136</f>
        <v>184.7</v>
      </c>
      <c r="AJ138" s="21">
        <f t="shared" si="1311"/>
        <v>184.7</v>
      </c>
      <c r="AK138" s="21">
        <f t="shared" si="1311"/>
        <v>247.45</v>
      </c>
      <c r="AL138" s="21">
        <f t="shared" si="1311"/>
        <v>247.45</v>
      </c>
      <c r="AM138" s="21">
        <f t="shared" ref="AM138:AP138" si="1312">AM134+AM137+AM135+AM136</f>
        <v>246.1</v>
      </c>
      <c r="AN138" s="21">
        <f t="shared" si="1312"/>
        <v>246.1</v>
      </c>
      <c r="AO138" s="21">
        <f t="shared" si="1312"/>
        <v>242.79999999999998</v>
      </c>
      <c r="AP138" s="21">
        <f t="shared" si="1312"/>
        <v>242.79999999999998</v>
      </c>
      <c r="AQ138" s="21">
        <f t="shared" ref="AQ138:AT138" si="1313">AQ134+AQ137+AQ135+AQ136</f>
        <v>256.98</v>
      </c>
      <c r="AR138" s="21">
        <f t="shared" si="1313"/>
        <v>256.98</v>
      </c>
      <c r="AS138" s="21">
        <f t="shared" si="1313"/>
        <v>281.23</v>
      </c>
      <c r="AT138" s="21">
        <f t="shared" si="1313"/>
        <v>281.23</v>
      </c>
      <c r="AU138" s="21">
        <f t="shared" ref="AU138:AX138" si="1314">AU134+AU137+AU135+AU136</f>
        <v>793.3</v>
      </c>
      <c r="AV138" s="21">
        <f t="shared" si="1314"/>
        <v>793.3</v>
      </c>
      <c r="AW138" s="21">
        <f t="shared" si="1314"/>
        <v>758.51</v>
      </c>
      <c r="AX138" s="21">
        <f t="shared" si="1314"/>
        <v>758.51</v>
      </c>
      <c r="AY138" s="21">
        <f t="shared" ref="AY138:BB138" si="1315">AY134+AY137+AY135+AY136</f>
        <v>722.01</v>
      </c>
      <c r="AZ138" s="21">
        <f t="shared" si="1315"/>
        <v>722.01</v>
      </c>
      <c r="BA138" s="21">
        <f t="shared" si="1315"/>
        <v>684.79</v>
      </c>
      <c r="BB138" s="21">
        <f t="shared" si="1315"/>
        <v>684.79</v>
      </c>
      <c r="BC138" s="21">
        <f t="shared" ref="BC138:BF138" si="1316">BC134+BC137+BC135+BC136</f>
        <v>470.74</v>
      </c>
      <c r="BD138" s="21">
        <f t="shared" si="1316"/>
        <v>470.74</v>
      </c>
      <c r="BE138" s="21">
        <f t="shared" si="1316"/>
        <v>439.34999999999997</v>
      </c>
      <c r="BF138" s="21">
        <f t="shared" si="1316"/>
        <v>439.34999999999997</v>
      </c>
      <c r="BG138" s="21">
        <f t="shared" ref="BG138:BJ138" si="1317">BG134+BG137+BG135+BG136</f>
        <v>541.59999999999991</v>
      </c>
      <c r="BH138" s="21">
        <f t="shared" si="1317"/>
        <v>541.59999999999991</v>
      </c>
      <c r="BI138" s="21">
        <f t="shared" si="1317"/>
        <v>522.17000000000007</v>
      </c>
      <c r="BJ138" s="21">
        <f t="shared" si="1317"/>
        <v>522.17000000000007</v>
      </c>
      <c r="BK138" s="21">
        <f t="shared" ref="BK138:BN138" si="1318">BK134+BK137+BK135+BK136</f>
        <v>505.80999999999995</v>
      </c>
      <c r="BL138" s="21">
        <f t="shared" si="1318"/>
        <v>505.80999999999995</v>
      </c>
      <c r="BM138" s="21">
        <f t="shared" si="1318"/>
        <v>494.74</v>
      </c>
      <c r="BN138" s="21">
        <f t="shared" si="1318"/>
        <v>494.74</v>
      </c>
      <c r="BO138" s="21">
        <f t="shared" ref="BO138:BR138" si="1319">BO134+BO137+BO135+BO136</f>
        <v>548.03</v>
      </c>
      <c r="BP138" s="21">
        <f t="shared" si="1319"/>
        <v>548.03</v>
      </c>
      <c r="BQ138" s="21">
        <f t="shared" si="1319"/>
        <v>498.58</v>
      </c>
      <c r="BR138" s="21">
        <f t="shared" si="1319"/>
        <v>498.58</v>
      </c>
      <c r="BS138" s="21">
        <f t="shared" ref="BS138:BV138" si="1320">BS134+BS137+BS135+BS136</f>
        <v>474.10999999999996</v>
      </c>
      <c r="BT138" s="21">
        <f t="shared" si="1320"/>
        <v>474.10999999999996</v>
      </c>
      <c r="BU138" s="21">
        <f t="shared" si="1320"/>
        <v>491.23</v>
      </c>
      <c r="BV138" s="21">
        <f t="shared" si="1320"/>
        <v>491.23</v>
      </c>
      <c r="BW138" s="21">
        <f t="shared" ref="BW138:BZ138" si="1321">BW134+BW137+BW135+BW136</f>
        <v>527.54999999999995</v>
      </c>
      <c r="BX138" s="21">
        <f t="shared" si="1321"/>
        <v>527.54999999999995</v>
      </c>
      <c r="BY138" s="21">
        <f t="shared" si="1321"/>
        <v>449.07000000000005</v>
      </c>
      <c r="BZ138" s="21">
        <f t="shared" si="1321"/>
        <v>449.07000000000005</v>
      </c>
      <c r="CA138" s="21">
        <f t="shared" ref="CA138:CD138" si="1322">CA134+CA137+CA135+CA136</f>
        <v>528.56999999999994</v>
      </c>
      <c r="CB138" s="21">
        <f t="shared" si="1322"/>
        <v>528.56999999999994</v>
      </c>
      <c r="CC138" s="21">
        <f t="shared" si="1322"/>
        <v>542.57999999999993</v>
      </c>
      <c r="CD138" s="21">
        <f t="shared" si="1322"/>
        <v>542.57999999999993</v>
      </c>
      <c r="CE138" s="21">
        <f>CE131+CE137+CE135+CE136</f>
        <v>549.85</v>
      </c>
      <c r="CF138" s="21">
        <f t="shared" ref="CF138:CH138" si="1323">CF134+CF137+CF135+CF136</f>
        <v>549.85</v>
      </c>
      <c r="CG138" s="21">
        <f t="shared" ref="CG138:CJ138" si="1324">CG134+CG137+CG135+CG136</f>
        <v>637.88999999999976</v>
      </c>
      <c r="CH138" s="21">
        <f t="shared" si="1323"/>
        <v>637.88999999999976</v>
      </c>
      <c r="CI138" s="21">
        <f t="shared" si="1324"/>
        <v>588.96</v>
      </c>
      <c r="CJ138" s="21">
        <f t="shared" si="1324"/>
        <v>588.96</v>
      </c>
      <c r="CK138" s="20">
        <f t="shared" ref="CK138:DA138" si="1325">CK134+CK137+CK135+CK136</f>
        <v>588.96</v>
      </c>
      <c r="CL138" s="21">
        <f t="shared" si="1325"/>
        <v>588.96</v>
      </c>
      <c r="CM138" s="20">
        <f t="shared" si="1325"/>
        <v>588.96</v>
      </c>
      <c r="CN138" s="20">
        <f t="shared" si="1325"/>
        <v>588.96</v>
      </c>
      <c r="CO138" s="20">
        <f t="shared" si="1325"/>
        <v>588.96</v>
      </c>
      <c r="CP138" s="20">
        <f t="shared" si="1325"/>
        <v>588.96</v>
      </c>
      <c r="CQ138" s="20">
        <f t="shared" si="1325"/>
        <v>588.96</v>
      </c>
      <c r="CR138" s="20">
        <f t="shared" si="1325"/>
        <v>588.96</v>
      </c>
      <c r="CS138" s="20">
        <f t="shared" si="1325"/>
        <v>588.96</v>
      </c>
      <c r="CT138" s="20">
        <f t="shared" si="1325"/>
        <v>588.96</v>
      </c>
      <c r="CU138" s="20">
        <f t="shared" si="1325"/>
        <v>588.96</v>
      </c>
      <c r="CV138" s="20">
        <f t="shared" si="1325"/>
        <v>588.96</v>
      </c>
      <c r="CW138" s="20">
        <f t="shared" si="1325"/>
        <v>588.96</v>
      </c>
      <c r="CX138" s="20">
        <f t="shared" si="1325"/>
        <v>588.96</v>
      </c>
      <c r="CY138" s="20">
        <f t="shared" si="1325"/>
        <v>588.96</v>
      </c>
      <c r="CZ138" s="20">
        <f t="shared" si="1325"/>
        <v>588.96</v>
      </c>
      <c r="DA138" s="20">
        <f t="shared" si="1325"/>
        <v>588.96</v>
      </c>
      <c r="DD138" s="125"/>
      <c r="DE138" s="21">
        <v>588.96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0.36109999999999998</v>
      </c>
      <c r="E140" s="22">
        <f>'Annual Raw'!F71</f>
        <v>3.0300000000000001E-2</v>
      </c>
      <c r="F140" s="22">
        <f>'Annual Raw'!G71</f>
        <v>0.3609</v>
      </c>
      <c r="G140" s="22">
        <f>'Annual Raw'!H71</f>
        <v>0.36049999999999999</v>
      </c>
      <c r="H140" s="22">
        <f>'Annual Raw'!I71</f>
        <v>0.31609999999999999</v>
      </c>
      <c r="I140" s="22">
        <f>'Annual Raw'!J71</f>
        <v>0.31609999999999999</v>
      </c>
      <c r="J140" s="22">
        <f>'Annual Raw'!K71</f>
        <v>0.31609999999999999</v>
      </c>
      <c r="K140" s="22">
        <f>'Annual Raw'!L71</f>
        <v>5.0000000000000001E-3</v>
      </c>
      <c r="L140" s="22">
        <f>'Annual Raw'!M71</f>
        <v>5.0000000000000001E-3</v>
      </c>
      <c r="M140" s="22">
        <f>'Annual Raw'!N71</f>
        <v>5.0000000000000001E-3</v>
      </c>
      <c r="N140" s="22">
        <f>'Annual Raw'!O71</f>
        <v>2.9999999999999997E-4</v>
      </c>
      <c r="O140" s="22">
        <f>'Annual Raw'!P71</f>
        <v>2.9999999999999997E-4</v>
      </c>
      <c r="P140" s="22">
        <f>'Annual Raw'!Q71</f>
        <v>2.9999999999999997E-4</v>
      </c>
      <c r="Q140" s="22">
        <f>'Annual Raw'!R71</f>
        <v>2.9999999999999997E-4</v>
      </c>
      <c r="R140" s="22">
        <f>'Annual Raw'!S71</f>
        <v>2.9999999999999997E-4</v>
      </c>
      <c r="S140" s="22">
        <f>'Annual Raw'!T71</f>
        <v>2.9999999999999997E-4</v>
      </c>
      <c r="T140" s="22">
        <f>'Annual Raw'!U71</f>
        <v>2.9999999999999997E-4</v>
      </c>
      <c r="U140" s="22">
        <f>'Annual Raw'!V71</f>
        <v>0</v>
      </c>
      <c r="V140" s="22">
        <f>'Annual Raw'!W71</f>
        <v>0</v>
      </c>
      <c r="W140" s="22">
        <f>'Annual Raw'!X71</f>
        <v>0</v>
      </c>
      <c r="X140" s="22">
        <f>'Annual Raw'!Y71</f>
        <v>0</v>
      </c>
      <c r="Y140" s="22">
        <f>'Annual Raw'!Z71</f>
        <v>0</v>
      </c>
      <c r="Z140" s="22">
        <f>'Annual Raw'!AA71</f>
        <v>0</v>
      </c>
      <c r="AA140" s="22">
        <f>'Annual Raw'!AB71</f>
        <v>0</v>
      </c>
      <c r="AB140" s="23">
        <f t="shared" ref="AB140" si="1326">+CO140</f>
        <v>0</v>
      </c>
      <c r="AC140" s="23">
        <f t="shared" ref="AC140" si="1327">+CS140</f>
        <v>0</v>
      </c>
      <c r="AD140" s="23">
        <f t="shared" ref="AD140" si="1328">+CW140</f>
        <v>0</v>
      </c>
      <c r="AE140" s="23">
        <f t="shared" ref="AE140" si="1329">+DA140</f>
        <v>0</v>
      </c>
      <c r="AI140" s="22">
        <f>+'QTR Raw'!C77</f>
        <v>0.01</v>
      </c>
      <c r="AJ140" s="22">
        <f t="shared" ref="AJ140" si="1330">+AI140</f>
        <v>0.01</v>
      </c>
      <c r="AK140" s="22">
        <f>+'QTR Raw'!E77</f>
        <v>0</v>
      </c>
      <c r="AL140" s="22">
        <f t="shared" ref="AL140" si="1331">+AK140</f>
        <v>0</v>
      </c>
      <c r="AM140" s="22">
        <f>+'QTR Raw'!G77</f>
        <v>0</v>
      </c>
      <c r="AN140" s="22">
        <f t="shared" ref="AN140" si="1332">+AM140</f>
        <v>0</v>
      </c>
      <c r="AO140" s="22">
        <f>+'QTR Raw'!I77</f>
        <v>0</v>
      </c>
      <c r="AP140" s="22">
        <f t="shared" ref="AP140" si="1333">+AO140</f>
        <v>0</v>
      </c>
      <c r="AQ140" s="22">
        <f>+'QTR Raw'!K77</f>
        <v>0</v>
      </c>
      <c r="AR140" s="22">
        <f t="shared" ref="AR140" si="1334">+AQ140</f>
        <v>0</v>
      </c>
      <c r="AS140" s="22">
        <f>+'QTR Raw'!M77</f>
        <v>0</v>
      </c>
      <c r="AT140" s="22">
        <f t="shared" ref="AT140" si="1335">+AS140</f>
        <v>0</v>
      </c>
      <c r="AU140" s="22">
        <f>+'QTR Raw'!O77</f>
        <v>0</v>
      </c>
      <c r="AV140" s="22">
        <f t="shared" ref="AV140" si="1336">+AU140</f>
        <v>0</v>
      </c>
      <c r="AW140" s="22">
        <f>+'QTR Raw'!Q77</f>
        <v>0</v>
      </c>
      <c r="AX140" s="22">
        <f t="shared" ref="AX140" si="1337">+AW140</f>
        <v>0</v>
      </c>
      <c r="AY140" s="22">
        <f>+'QTR Raw'!S77</f>
        <v>0</v>
      </c>
      <c r="AZ140" s="22">
        <f t="shared" ref="AZ140" si="1338">+AY140</f>
        <v>0</v>
      </c>
      <c r="BA140" s="22">
        <f>+'QTR Raw'!U77</f>
        <v>0</v>
      </c>
      <c r="BB140" s="22">
        <f t="shared" ref="BB140" si="1339">+BA140</f>
        <v>0</v>
      </c>
      <c r="BC140" s="22">
        <f>+'QTR Raw'!W77</f>
        <v>0</v>
      </c>
      <c r="BD140" s="22">
        <f t="shared" ref="BD140" si="1340">+BC140</f>
        <v>0</v>
      </c>
      <c r="BE140" s="22">
        <f>+'QTR Raw'!Y77</f>
        <v>0</v>
      </c>
      <c r="BF140" s="22">
        <f t="shared" ref="BF140" si="1341">+BE140</f>
        <v>0</v>
      </c>
      <c r="BG140" s="22">
        <f>+'QTR Raw'!AA77</f>
        <v>0</v>
      </c>
      <c r="BH140" s="22">
        <f t="shared" ref="BH140" si="1342">+BG140</f>
        <v>0</v>
      </c>
      <c r="BI140" s="22">
        <f>+'QTR Raw'!AC77</f>
        <v>0</v>
      </c>
      <c r="BJ140" s="22">
        <f t="shared" ref="BJ140" si="1343">+BI140</f>
        <v>0</v>
      </c>
      <c r="BK140" s="22">
        <f>+'QTR Raw'!AE77</f>
        <v>0</v>
      </c>
      <c r="BL140" s="22">
        <f t="shared" ref="BL140" si="1344">+BK140</f>
        <v>0</v>
      </c>
      <c r="BM140" s="22">
        <f>+'QTR Raw'!AG77</f>
        <v>0</v>
      </c>
      <c r="BN140" s="22">
        <f t="shared" ref="BN140" si="1345">+BM140</f>
        <v>0</v>
      </c>
      <c r="BO140" s="22">
        <f>+'QTR Raw'!AI77</f>
        <v>0</v>
      </c>
      <c r="BP140" s="22">
        <f t="shared" ref="BP140" si="1346">+BO140</f>
        <v>0</v>
      </c>
      <c r="BQ140" s="22">
        <f>+'QTR Raw'!AK77</f>
        <v>0</v>
      </c>
      <c r="BR140" s="22">
        <f t="shared" ref="BR140" si="1347">+BQ140</f>
        <v>0</v>
      </c>
      <c r="BS140" s="22">
        <f>+'QTR Raw'!AM77</f>
        <v>0</v>
      </c>
      <c r="BT140" s="22">
        <f t="shared" ref="BT140" si="1348">+BS140</f>
        <v>0</v>
      </c>
      <c r="BU140" s="22">
        <f>+'QTR Raw'!AO77</f>
        <v>0</v>
      </c>
      <c r="BV140" s="22">
        <f t="shared" ref="BV140" si="1349">+BU140</f>
        <v>0</v>
      </c>
      <c r="BW140" s="22">
        <f>+'QTR Raw'!AQ77</f>
        <v>0</v>
      </c>
      <c r="BX140" s="22">
        <f t="shared" ref="BX140" si="1350">+BW140</f>
        <v>0</v>
      </c>
      <c r="BY140" s="22">
        <f>+'QTR Raw'!AS77</f>
        <v>0</v>
      </c>
      <c r="BZ140" s="22">
        <f t="shared" ref="BZ140" si="1351">+BY140</f>
        <v>0</v>
      </c>
      <c r="CA140" s="22">
        <f>+'QTR Raw'!AU77</f>
        <v>0</v>
      </c>
      <c r="CB140" s="22">
        <f t="shared" ref="CB140" si="1352">+CA140</f>
        <v>0</v>
      </c>
      <c r="CC140" s="22">
        <f>+'QTR Raw'!AW77</f>
        <v>0</v>
      </c>
      <c r="CD140" s="22">
        <f t="shared" ref="CD140" si="1353">+CC140</f>
        <v>0</v>
      </c>
      <c r="CE140" s="22">
        <f>+'QTR Raw'!AY77</f>
        <v>0</v>
      </c>
      <c r="CF140" s="22">
        <f t="shared" ref="CF140:CL140" si="1354">+CE140</f>
        <v>0</v>
      </c>
      <c r="CG140" s="22">
        <f t="shared" ref="CG140" si="1355">+Z140</f>
        <v>0</v>
      </c>
      <c r="CH140" s="22">
        <f t="shared" si="1354"/>
        <v>0</v>
      </c>
      <c r="CI140" s="22">
        <f>+'QTR Raw'!BC77</f>
        <v>0</v>
      </c>
      <c r="CJ140" s="22">
        <f t="shared" si="1354"/>
        <v>0</v>
      </c>
      <c r="CK140" s="23">
        <f t="shared" ref="CK140" si="1356">+CJ140</f>
        <v>0</v>
      </c>
      <c r="CL140" s="22">
        <f t="shared" si="1354"/>
        <v>0</v>
      </c>
      <c r="CM140" s="23">
        <f t="shared" ref="CM140" si="1357">+CL140</f>
        <v>0</v>
      </c>
      <c r="CN140" s="23">
        <f t="shared" ref="CN140" si="1358">+CM140</f>
        <v>0</v>
      </c>
      <c r="CO140" s="23">
        <f t="shared" ref="CO140" si="1359">+CN140</f>
        <v>0</v>
      </c>
      <c r="CP140" s="23">
        <f t="shared" ref="CP140" si="1360">+CO140</f>
        <v>0</v>
      </c>
      <c r="CQ140" s="23">
        <f t="shared" ref="CQ140" si="1361">+CP140</f>
        <v>0</v>
      </c>
      <c r="CR140" s="23">
        <f t="shared" ref="CR140" si="1362">+CQ140</f>
        <v>0</v>
      </c>
      <c r="CS140" s="23">
        <f t="shared" ref="CS140" si="1363">+CR140</f>
        <v>0</v>
      </c>
      <c r="CT140" s="23">
        <f t="shared" ref="CT140" si="1364">+CS140</f>
        <v>0</v>
      </c>
      <c r="CU140" s="23">
        <f t="shared" ref="CU140" si="1365">+CT140</f>
        <v>0</v>
      </c>
      <c r="CV140" s="23">
        <f t="shared" ref="CV140" si="1366">+CU140</f>
        <v>0</v>
      </c>
      <c r="CW140" s="23">
        <f t="shared" ref="CW140" si="1367">+CV140</f>
        <v>0</v>
      </c>
      <c r="CX140" s="23">
        <f t="shared" ref="CX140" si="1368">+CW140</f>
        <v>0</v>
      </c>
      <c r="CY140" s="23">
        <f t="shared" ref="CY140" si="1369">+CX140</f>
        <v>0</v>
      </c>
      <c r="CZ140" s="23">
        <f t="shared" ref="CZ140" si="1370">+CY140</f>
        <v>0</v>
      </c>
      <c r="DA140" s="23">
        <f t="shared" ref="DA140" si="1371">+CZ140</f>
        <v>0</v>
      </c>
      <c r="DD140" s="122"/>
      <c r="DE140" s="22">
        <v>0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15.5284</v>
      </c>
      <c r="N142" s="22">
        <f>'Annual Raw'!O72+'Annual Raw'!O61</f>
        <v>12.1142</v>
      </c>
      <c r="O142" s="22">
        <f>'Annual Raw'!P72+'Annual Raw'!P61</f>
        <v>16.704000000000001</v>
      </c>
      <c r="P142" s="22">
        <f>'Annual Raw'!Q72+'Annual Raw'!Q61</f>
        <v>24.988099999999999</v>
      </c>
      <c r="Q142" s="22">
        <f>'Annual Raw'!R72+'Annual Raw'!R61</f>
        <v>40.052599999999998</v>
      </c>
      <c r="R142" s="22">
        <f>'Annual Raw'!S72+'Annual Raw'!S61</f>
        <v>29.805099999999999</v>
      </c>
      <c r="S142" s="22">
        <f>'Annual Raw'!T72+'Annual Raw'!T61</f>
        <v>34.6892</v>
      </c>
      <c r="T142" s="22">
        <f>'Annual Raw'!U72+'Annual Raw'!U61</f>
        <v>27.678799999999999</v>
      </c>
      <c r="U142" s="22">
        <f>'Annual Raw'!V72+'Annual Raw'!V61</f>
        <v>63.3</v>
      </c>
      <c r="V142" s="22">
        <f>'Annual Raw'!W72+'Annual Raw'!W61</f>
        <v>83.72</v>
      </c>
      <c r="W142" s="22">
        <f>'Annual Raw'!X72+'Annual Raw'!X61</f>
        <v>530.11</v>
      </c>
      <c r="X142" s="22">
        <f>'Annual Raw'!Y72+'Annual Raw'!Y61</f>
        <v>585.96</v>
      </c>
      <c r="Y142" s="22">
        <f>'Annual Raw'!Z72+'Annual Raw'!Z61</f>
        <v>513.67999999999995</v>
      </c>
      <c r="Z142" s="22">
        <f>'Annual Raw'!AA72+'Annual Raw'!AA61</f>
        <v>590.80999999999995</v>
      </c>
      <c r="AA142" s="22">
        <f>'Annual Raw'!AB72+'Annual Raw'!AB61</f>
        <v>426.12</v>
      </c>
      <c r="AB142" s="23">
        <f t="shared" ref="AB142:AB147" si="1372">+CO142</f>
        <v>0</v>
      </c>
      <c r="AC142" s="23">
        <f t="shared" ref="AC142:AC147" si="1373">+CS142</f>
        <v>0</v>
      </c>
      <c r="AD142" s="23">
        <f t="shared" ref="AD142:AD147" si="1374">+CW142</f>
        <v>0</v>
      </c>
      <c r="AE142" s="23">
        <f t="shared" ref="AE142:AE147" si="1375">+DA142</f>
        <v>0</v>
      </c>
      <c r="AI142" s="22">
        <f>+'QTR Raw'!C78</f>
        <v>9.16</v>
      </c>
      <c r="AJ142" s="22">
        <f t="shared" ref="AJ142:AJ143" si="1376">+AI142</f>
        <v>9.16</v>
      </c>
      <c r="AK142" s="22">
        <f>+'QTR Raw'!E78</f>
        <v>11.55</v>
      </c>
      <c r="AL142" s="22">
        <f t="shared" ref="AL142:AL143" si="1377">+AK142</f>
        <v>11.55</v>
      </c>
      <c r="AM142" s="22">
        <f>+'QTR Raw'!G78</f>
        <v>13.23</v>
      </c>
      <c r="AN142" s="22">
        <f t="shared" ref="AN142:AN143" si="1378">+AM142</f>
        <v>13.23</v>
      </c>
      <c r="AO142" s="22">
        <f>+'QTR Raw'!I78</f>
        <v>16.760000000000002</v>
      </c>
      <c r="AP142" s="22">
        <f t="shared" ref="AP142:AP143" si="1379">+AO142</f>
        <v>16.760000000000002</v>
      </c>
      <c r="AQ142" s="22">
        <f>+'QTR Raw'!K78</f>
        <v>25.63</v>
      </c>
      <c r="AR142" s="22">
        <f t="shared" ref="AR142:AR143" si="1380">+AQ142</f>
        <v>25.63</v>
      </c>
      <c r="AS142" s="22">
        <f>+'QTR Raw'!M78</f>
        <v>25.15</v>
      </c>
      <c r="AT142" s="22">
        <f t="shared" ref="AT142:AT143" si="1381">+AS142</f>
        <v>25.15</v>
      </c>
      <c r="AU142" s="22">
        <f>+'QTR Raw'!O78</f>
        <v>30.24</v>
      </c>
      <c r="AV142" s="22">
        <f t="shared" ref="AV142:AV143" si="1382">+AU142</f>
        <v>30.24</v>
      </c>
      <c r="AW142" s="22">
        <f>+'QTR Raw'!Q78</f>
        <v>40.06</v>
      </c>
      <c r="AX142" s="22">
        <f t="shared" ref="AX142:AX143" si="1383">+AW142</f>
        <v>40.06</v>
      </c>
      <c r="AY142" s="22">
        <f>+'QTR Raw'!S78</f>
        <v>42.41</v>
      </c>
      <c r="AZ142" s="22">
        <f t="shared" ref="AZ142:AZ143" si="1384">+AY142</f>
        <v>42.41</v>
      </c>
      <c r="BA142" s="22">
        <f>+'QTR Raw'!U78</f>
        <v>42.41</v>
      </c>
      <c r="BB142" s="22">
        <f t="shared" ref="BB142:BB143" si="1385">+BA142</f>
        <v>42.41</v>
      </c>
      <c r="BC142" s="22">
        <f>+'QTR Raw'!W78</f>
        <v>8.56</v>
      </c>
      <c r="BD142" s="22">
        <f t="shared" ref="BD142:BD143" si="1386">+BC142</f>
        <v>8.56</v>
      </c>
      <c r="BE142" s="22">
        <f>+'QTR Raw'!Y78</f>
        <v>9.19</v>
      </c>
      <c r="BF142" s="22">
        <f t="shared" ref="BF142:BF143" si="1387">+BE142</f>
        <v>9.19</v>
      </c>
      <c r="BG142" s="22">
        <f>+'QTR Raw'!AA78</f>
        <v>8.68</v>
      </c>
      <c r="BH142" s="22">
        <f t="shared" ref="BH142:BH143" si="1388">+BG142</f>
        <v>8.68</v>
      </c>
      <c r="BI142" s="22">
        <f>+'QTR Raw'!AC78</f>
        <v>9.18</v>
      </c>
      <c r="BJ142" s="22">
        <f t="shared" ref="BJ142:BJ143" si="1389">+BI142</f>
        <v>9.18</v>
      </c>
      <c r="BK142" s="22">
        <f>+'QTR Raw'!AE78</f>
        <v>8.43</v>
      </c>
      <c r="BL142" s="22">
        <f t="shared" ref="BL142:BL143" si="1390">+BK142</f>
        <v>8.43</v>
      </c>
      <c r="BM142" s="22">
        <f>+'QTR Raw'!AG78</f>
        <v>10.130000000000001</v>
      </c>
      <c r="BN142" s="22">
        <f t="shared" ref="BN142:BN143" si="1391">+BM142</f>
        <v>10.130000000000001</v>
      </c>
      <c r="BO142" s="22">
        <f>+'QTR Raw'!AI78</f>
        <v>9.69</v>
      </c>
      <c r="BP142" s="22">
        <f t="shared" ref="BP142:BP143" si="1392">+BO142</f>
        <v>9.69</v>
      </c>
      <c r="BQ142" s="22">
        <f>+'QTR Raw'!AK78</f>
        <v>10.65</v>
      </c>
      <c r="BR142" s="22">
        <f t="shared" ref="BR142:BR143" si="1393">+BQ142</f>
        <v>10.65</v>
      </c>
      <c r="BS142" s="22">
        <f>+'QTR Raw'!AM78</f>
        <v>11.79</v>
      </c>
      <c r="BT142" s="22">
        <f t="shared" ref="BT142:BT143" si="1394">+BS142</f>
        <v>11.79</v>
      </c>
      <c r="BU142" s="22">
        <f>+'QTR Raw'!AO78</f>
        <v>0.31</v>
      </c>
      <c r="BV142" s="22">
        <f t="shared" ref="BV142:BV143" si="1395">+BU142</f>
        <v>0.31</v>
      </c>
      <c r="BW142" s="22">
        <f>+'QTR Raw'!AQ78</f>
        <v>0.14000000000000001</v>
      </c>
      <c r="BX142" s="22">
        <f t="shared" ref="BX142:BX143" si="1396">+BW142</f>
        <v>0.14000000000000001</v>
      </c>
      <c r="BY142" s="22">
        <f>+'QTR Raw'!AS78</f>
        <v>0.06</v>
      </c>
      <c r="BZ142" s="22">
        <f t="shared" ref="BZ142:BZ143" si="1397">+BY142</f>
        <v>0.06</v>
      </c>
      <c r="CA142" s="22">
        <f>+'QTR Raw'!AU78</f>
        <v>0.14000000000000001</v>
      </c>
      <c r="CB142" s="22">
        <f t="shared" ref="CB142:CB143" si="1398">+CA142</f>
        <v>0.14000000000000001</v>
      </c>
      <c r="CC142" s="22">
        <f>+'QTR Raw'!AW78</f>
        <v>0.31</v>
      </c>
      <c r="CD142" s="22">
        <f t="shared" ref="CD142:CD143" si="1399">+CC142</f>
        <v>0.31</v>
      </c>
      <c r="CE142" s="22">
        <f>+'QTR Raw'!AY78</f>
        <v>0.1</v>
      </c>
      <c r="CF142" s="22">
        <f t="shared" ref="CF142:CL147" si="1400">+CE142</f>
        <v>0.1</v>
      </c>
      <c r="CG142" s="22">
        <f t="shared" ref="CG142:CG147" si="1401">+Z142</f>
        <v>590.80999999999995</v>
      </c>
      <c r="CH142" s="22">
        <f t="shared" si="1400"/>
        <v>590.80999999999995</v>
      </c>
      <c r="CI142" s="22">
        <f>+'QTR Raw'!BC78</f>
        <v>0.14000000000000001</v>
      </c>
      <c r="CJ142" s="22">
        <f t="shared" si="1400"/>
        <v>0.14000000000000001</v>
      </c>
      <c r="CK142" s="23"/>
      <c r="CL142" s="22">
        <f t="shared" si="1400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3.1431</v>
      </c>
      <c r="N143" s="22">
        <f>'Annual Raw'!O73+'Annual Raw'!O81</f>
        <v>3.7504</v>
      </c>
      <c r="O143" s="22">
        <f>'Annual Raw'!P73+'Annual Raw'!P81</f>
        <v>4.3345000000000002</v>
      </c>
      <c r="P143" s="22">
        <f>'Annual Raw'!Q73+'Annual Raw'!Q81</f>
        <v>0.44269999999999998</v>
      </c>
      <c r="Q143" s="22">
        <f>'Annual Raw'!R73+'Annual Raw'!R81</f>
        <v>0.16750000000000001</v>
      </c>
      <c r="R143" s="22">
        <f>'Annual Raw'!S73+'Annual Raw'!S81</f>
        <v>8.2428000000000008</v>
      </c>
      <c r="S143" s="22">
        <f>'Annual Raw'!T73+'Annual Raw'!T81</f>
        <v>7.9630000000000001</v>
      </c>
      <c r="T143" s="22">
        <f>'Annual Raw'!U73+'Annual Raw'!U81</f>
        <v>7.7003000000000004</v>
      </c>
      <c r="U143" s="22">
        <f>'Annual Raw'!V73+'Annual Raw'!V81</f>
        <v>7.26</v>
      </c>
      <c r="V143" s="22">
        <f>'Annual Raw'!W73+'Annual Raw'!W81</f>
        <v>0.47</v>
      </c>
      <c r="W143" s="22">
        <f>'Annual Raw'!X73+'Annual Raw'!X81</f>
        <v>5.87</v>
      </c>
      <c r="X143" s="22">
        <f>'Annual Raw'!Y73+'Annual Raw'!Y81</f>
        <v>23.689999999999998</v>
      </c>
      <c r="Y143" s="22">
        <f>'Annual Raw'!Z73+'Annual Raw'!Z81</f>
        <v>3.57</v>
      </c>
      <c r="Z143" s="22">
        <f>'Annual Raw'!AA73+'Annual Raw'!AA81</f>
        <v>7.22</v>
      </c>
      <c r="AA143" s="22">
        <f>'Annual Raw'!AB73+'Annual Raw'!AB81</f>
        <v>9.74</v>
      </c>
      <c r="AB143" s="23">
        <f t="shared" si="1372"/>
        <v>0</v>
      </c>
      <c r="AC143" s="23">
        <f t="shared" si="1373"/>
        <v>0</v>
      </c>
      <c r="AD143" s="23">
        <f t="shared" si="1374"/>
        <v>0</v>
      </c>
      <c r="AE143" s="23">
        <f t="shared" si="1375"/>
        <v>0</v>
      </c>
      <c r="AI143" s="22">
        <f>+'QTR Raw'!C79</f>
        <v>2.91</v>
      </c>
      <c r="AJ143" s="22">
        <f t="shared" si="1376"/>
        <v>2.91</v>
      </c>
      <c r="AK143" s="22">
        <f>+'QTR Raw'!E79</f>
        <v>4.3099999999999996</v>
      </c>
      <c r="AL143" s="22">
        <f t="shared" si="1377"/>
        <v>4.3099999999999996</v>
      </c>
      <c r="AM143" s="22">
        <f>+'QTR Raw'!G79</f>
        <v>4.1100000000000003</v>
      </c>
      <c r="AN143" s="22">
        <f t="shared" si="1378"/>
        <v>4.1100000000000003</v>
      </c>
      <c r="AO143" s="22">
        <f>+'QTR Raw'!I79</f>
        <v>4.28</v>
      </c>
      <c r="AP143" s="22">
        <f t="shared" si="1379"/>
        <v>4.28</v>
      </c>
      <c r="AQ143" s="22">
        <f>+'QTR Raw'!K79</f>
        <v>0.04</v>
      </c>
      <c r="AR143" s="22">
        <f t="shared" si="1380"/>
        <v>0.04</v>
      </c>
      <c r="AS143" s="22">
        <f>+'QTR Raw'!M79</f>
        <v>0.28000000000000003</v>
      </c>
      <c r="AT143" s="22">
        <f t="shared" si="1381"/>
        <v>0.28000000000000003</v>
      </c>
      <c r="AU143" s="22">
        <f>+'QTR Raw'!O79</f>
        <v>0.04</v>
      </c>
      <c r="AV143" s="22">
        <f t="shared" si="1382"/>
        <v>0.04</v>
      </c>
      <c r="AW143" s="22">
        <f>+'QTR Raw'!Q79</f>
        <v>0.16</v>
      </c>
      <c r="AX143" s="22">
        <f t="shared" si="1383"/>
        <v>0.16</v>
      </c>
      <c r="AY143" s="22">
        <f>+'QTR Raw'!S79</f>
        <v>0.05</v>
      </c>
      <c r="AZ143" s="22">
        <f t="shared" si="1384"/>
        <v>0.05</v>
      </c>
      <c r="BA143" s="22">
        <f>+'QTR Raw'!U79</f>
        <v>0.04</v>
      </c>
      <c r="BB143" s="22">
        <f t="shared" si="1385"/>
        <v>0.04</v>
      </c>
      <c r="BC143" s="22">
        <f>+'QTR Raw'!W79</f>
        <v>26.14</v>
      </c>
      <c r="BD143" s="22">
        <f t="shared" si="1386"/>
        <v>26.14</v>
      </c>
      <c r="BE143" s="22">
        <f>+'QTR Raw'!Y79</f>
        <v>33.46</v>
      </c>
      <c r="BF143" s="22">
        <f t="shared" si="1387"/>
        <v>33.46</v>
      </c>
      <c r="BG143" s="22">
        <f>+'QTR Raw'!AA79</f>
        <v>27.55</v>
      </c>
      <c r="BH143" s="22">
        <f t="shared" si="1388"/>
        <v>27.55</v>
      </c>
      <c r="BI143" s="22">
        <f>+'QTR Raw'!AC79</f>
        <v>26.2</v>
      </c>
      <c r="BJ143" s="22">
        <f t="shared" si="1389"/>
        <v>26.2</v>
      </c>
      <c r="BK143" s="22">
        <f>+'QTR Raw'!AE79</f>
        <v>30.95</v>
      </c>
      <c r="BL143" s="22">
        <f t="shared" si="1390"/>
        <v>30.95</v>
      </c>
      <c r="BM143" s="22">
        <f>+'QTR Raw'!AG79</f>
        <v>60.43</v>
      </c>
      <c r="BN143" s="22">
        <f t="shared" si="1391"/>
        <v>60.43</v>
      </c>
      <c r="BO143" s="22">
        <f>+'QTR Raw'!AI79</f>
        <v>116.35</v>
      </c>
      <c r="BP143" s="22">
        <f t="shared" si="1392"/>
        <v>116.35</v>
      </c>
      <c r="BQ143" s="22">
        <f>+'QTR Raw'!AK79</f>
        <v>152.11000000000001</v>
      </c>
      <c r="BR143" s="22">
        <f t="shared" si="1393"/>
        <v>152.11000000000001</v>
      </c>
      <c r="BS143" s="22">
        <f>+'QTR Raw'!AM79</f>
        <v>181.36</v>
      </c>
      <c r="BT143" s="22">
        <f t="shared" si="1394"/>
        <v>181.36</v>
      </c>
      <c r="BU143" s="22">
        <f>+'QTR Raw'!AO79</f>
        <v>198.4</v>
      </c>
      <c r="BV143" s="22">
        <f t="shared" si="1395"/>
        <v>198.4</v>
      </c>
      <c r="BW143" s="22">
        <f>+'QTR Raw'!AQ79</f>
        <v>124.99</v>
      </c>
      <c r="BX143" s="22">
        <f t="shared" si="1396"/>
        <v>124.99</v>
      </c>
      <c r="BY143" s="22">
        <f>+'QTR Raw'!AS79</f>
        <v>210.82</v>
      </c>
      <c r="BZ143" s="22">
        <f t="shared" si="1397"/>
        <v>210.82</v>
      </c>
      <c r="CA143" s="22">
        <f>+'QTR Raw'!AU79</f>
        <v>159.52000000000001</v>
      </c>
      <c r="CB143" s="22">
        <f t="shared" si="1398"/>
        <v>159.52000000000001</v>
      </c>
      <c r="CC143" s="22">
        <f>+'QTR Raw'!AW79</f>
        <v>179.48</v>
      </c>
      <c r="CD143" s="22">
        <f t="shared" si="1399"/>
        <v>179.48</v>
      </c>
      <c r="CE143" s="22">
        <f>+'QTR Raw'!AY79</f>
        <v>181.47</v>
      </c>
      <c r="CF143" s="22">
        <f t="shared" si="1400"/>
        <v>181.47</v>
      </c>
      <c r="CG143" s="22">
        <f t="shared" si="1401"/>
        <v>7.22</v>
      </c>
      <c r="CH143" s="22">
        <f t="shared" si="1400"/>
        <v>7.22</v>
      </c>
      <c r="CI143" s="22">
        <f>+'QTR Raw'!BC79</f>
        <v>121.58</v>
      </c>
      <c r="CJ143" s="22">
        <f t="shared" si="1400"/>
        <v>121.58</v>
      </c>
      <c r="CK143" s="23"/>
      <c r="CL143" s="22">
        <f t="shared" si="1400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28.477599999999999</v>
      </c>
      <c r="E144" s="22">
        <f>'Annual Raw'!F76</f>
        <v>34.773499999999999</v>
      </c>
      <c r="F144" s="22">
        <f>'Annual Raw'!G76</f>
        <v>37.903300000000002</v>
      </c>
      <c r="G144" s="22">
        <f>'Annual Raw'!H76</f>
        <v>52.935400000000001</v>
      </c>
      <c r="H144" s="22">
        <f>'Annual Raw'!I76</f>
        <v>46.683900000000001</v>
      </c>
      <c r="I144" s="22">
        <f>'Annual Raw'!J76</f>
        <v>67.8339</v>
      </c>
      <c r="J144" s="22">
        <f>'Annual Raw'!K76</f>
        <v>62.121499999999997</v>
      </c>
      <c r="K144" s="22">
        <f>'Annual Raw'!L76</f>
        <v>75.929400000000001</v>
      </c>
      <c r="L144" s="22">
        <f>'Annual Raw'!M76</f>
        <v>89.206800000000001</v>
      </c>
      <c r="M144" s="22">
        <f>'Annual Raw'!N76</f>
        <v>84.373400000000004</v>
      </c>
      <c r="N144" s="22">
        <f>'Annual Raw'!O76</f>
        <v>88.618399999999994</v>
      </c>
      <c r="O144" s="22">
        <f>'Annual Raw'!P76</f>
        <v>93.483000000000004</v>
      </c>
      <c r="P144" s="22">
        <f>'Annual Raw'!Q76</f>
        <v>98.251900000000006</v>
      </c>
      <c r="Q144" s="22">
        <f>'Annual Raw'!R76</f>
        <v>156.06819999999999</v>
      </c>
      <c r="R144" s="22">
        <f>'Annual Raw'!S76</f>
        <v>182.50049999999999</v>
      </c>
      <c r="S144" s="22">
        <f>'Annual Raw'!T76</f>
        <v>191.8732</v>
      </c>
      <c r="T144" s="22">
        <f>'Annual Raw'!U76</f>
        <v>212.22710000000001</v>
      </c>
      <c r="U144" s="22">
        <f>'Annual Raw'!V76</f>
        <v>181.86</v>
      </c>
      <c r="V144" s="22">
        <f>'Annual Raw'!W76</f>
        <v>228.78</v>
      </c>
      <c r="W144" s="22">
        <f>'Annual Raw'!X76</f>
        <v>347.5</v>
      </c>
      <c r="X144" s="22">
        <f>'Annual Raw'!Y76</f>
        <v>297.99</v>
      </c>
      <c r="Y144" s="22">
        <f>'Annual Raw'!Z76</f>
        <v>269.89</v>
      </c>
      <c r="Z144" s="22">
        <f>'Annual Raw'!AA76</f>
        <v>250.22</v>
      </c>
      <c r="AA144" s="22">
        <f>'Annual Raw'!AB76</f>
        <v>205.69</v>
      </c>
      <c r="AB144" s="23">
        <f t="shared" si="1372"/>
        <v>314.26129801431108</v>
      </c>
      <c r="AC144" s="23">
        <f t="shared" si="1373"/>
        <v>311.6613700917693</v>
      </c>
      <c r="AD144" s="23">
        <f t="shared" si="1374"/>
        <v>308.88196367162476</v>
      </c>
      <c r="AE144" s="23">
        <f t="shared" si="1375"/>
        <v>306.09487362941525</v>
      </c>
      <c r="AI144" s="22">
        <f>+'QTR Raw'!C81</f>
        <v>96.85</v>
      </c>
      <c r="AJ144" s="22">
        <f>+AJ179*AJ10/90</f>
        <v>84.438192134611612</v>
      </c>
      <c r="AK144" s="22">
        <f>+'QTR Raw'!E81</f>
        <v>88.62</v>
      </c>
      <c r="AL144" s="22">
        <f>+AL179*AL10/90</f>
        <v>92.797154740061146</v>
      </c>
      <c r="AM144" s="22">
        <f>+'QTR Raw'!G81</f>
        <v>112.26</v>
      </c>
      <c r="AN144" s="22">
        <f>+AN179*AN10/90</f>
        <v>101.54785020897937</v>
      </c>
      <c r="AO144" s="22">
        <f>+'QTR Raw'!I81</f>
        <v>93.48</v>
      </c>
      <c r="AP144" s="22">
        <f>+AP179*AP10/90</f>
        <v>90.736639765223771</v>
      </c>
      <c r="AQ144" s="22">
        <f>+'QTR Raw'!K81</f>
        <v>117.5</v>
      </c>
      <c r="AR144" s="22">
        <f>+AR179*AR10/90</f>
        <v>111.40102847146819</v>
      </c>
      <c r="AS144" s="22">
        <f>+'QTR Raw'!M81</f>
        <v>98.25</v>
      </c>
      <c r="AT144" s="22">
        <f>+AT179*AT10/90</f>
        <v>140.13629328690266</v>
      </c>
      <c r="AU144" s="22">
        <f>+'QTR Raw'!O81</f>
        <v>220.25</v>
      </c>
      <c r="AV144" s="22">
        <f>+AV179*AV10/90</f>
        <v>210.04276025989276</v>
      </c>
      <c r="AW144" s="22">
        <f>+'QTR Raw'!Q81</f>
        <v>156.07</v>
      </c>
      <c r="AX144" s="22">
        <f>+AX179*AX10/90</f>
        <v>155.36648932744939</v>
      </c>
      <c r="AY144" s="22">
        <f>+'QTR Raw'!S81</f>
        <v>201.48</v>
      </c>
      <c r="AZ144" s="22">
        <f>+AZ179*AZ10/90</f>
        <v>196.1417553916599</v>
      </c>
      <c r="BA144" s="22">
        <f>+'QTR Raw'!U81</f>
        <v>182.5</v>
      </c>
      <c r="BB144" s="22">
        <f>+BB179*BB10/90</f>
        <v>178.2808313557376</v>
      </c>
      <c r="BC144" s="22">
        <f>+'QTR Raw'!W81</f>
        <v>232.23</v>
      </c>
      <c r="BD144" s="22">
        <f>+BD179*BD10/90</f>
        <v>227.24219231732181</v>
      </c>
      <c r="BE144" s="22">
        <f>+'QTR Raw'!Y81</f>
        <v>191.87</v>
      </c>
      <c r="BF144" s="22">
        <f>+BF179*BF10/90</f>
        <v>188.83100265167022</v>
      </c>
      <c r="BG144" s="22">
        <f>+'QTR Raw'!AA81</f>
        <v>237.08</v>
      </c>
      <c r="BH144" s="22">
        <f>+BH179*BH10/90</f>
        <v>242.69765097064555</v>
      </c>
      <c r="BI144" s="22">
        <f>+'QTR Raw'!AC81</f>
        <v>212.23</v>
      </c>
      <c r="BJ144" s="22">
        <f>+BJ179*BJ10/90</f>
        <v>217.25301091229383</v>
      </c>
      <c r="BK144" s="22">
        <f>+'QTR Raw'!AE81</f>
        <v>267.94</v>
      </c>
      <c r="BL144" s="22">
        <f>+BL179*BL10/90</f>
        <v>274.86944631163709</v>
      </c>
      <c r="BM144" s="22">
        <f>+'QTR Raw'!AG81</f>
        <v>181.86</v>
      </c>
      <c r="BN144" s="22">
        <f>+BN179*BN10/90</f>
        <v>155.19528672195494</v>
      </c>
      <c r="BO144" s="22">
        <f>+'QTR Raw'!AI81</f>
        <v>310.62</v>
      </c>
      <c r="BP144" s="22">
        <f>+BP179*BP10/90</f>
        <v>332.48686465144584</v>
      </c>
      <c r="BQ144" s="22">
        <f>+'QTR Raw'!AK81</f>
        <v>228.78</v>
      </c>
      <c r="BR144" s="22">
        <f>+BR179*BR10/90</f>
        <v>259.39421061124966</v>
      </c>
      <c r="BS144" s="22">
        <f>+'QTR Raw'!AM81</f>
        <v>380.05</v>
      </c>
      <c r="BT144" s="22">
        <f>+BT179*BT10/90</f>
        <v>383.54285358565733</v>
      </c>
      <c r="BU144" s="22">
        <f>+'QTR Raw'!AO81</f>
        <v>347.5</v>
      </c>
      <c r="BV144" s="22">
        <f>+BV179*BV10/90</f>
        <v>382.66128300860083</v>
      </c>
      <c r="BW144" s="22">
        <f>+'QTR Raw'!AQ81</f>
        <v>446.03</v>
      </c>
      <c r="BX144" s="22">
        <f>+BX179*BX10/90</f>
        <v>432.72793331398952</v>
      </c>
      <c r="BY144" s="22">
        <f>+'QTR Raw'!AS81</f>
        <v>297.99</v>
      </c>
      <c r="BZ144" s="22">
        <f>+BZ179*BZ10/90</f>
        <v>284.57698705085818</v>
      </c>
      <c r="CA144" s="22">
        <f>+'QTR Raw'!AU81</f>
        <v>319.2</v>
      </c>
      <c r="CB144" s="22">
        <f>+CB179*CB10/90</f>
        <v>340.13771272317837</v>
      </c>
      <c r="CC144" s="22">
        <f>+'QTR Raw'!AW81</f>
        <v>269.89</v>
      </c>
      <c r="CD144" s="22">
        <f>+CD179*CD10/90</f>
        <v>272.74657015553305</v>
      </c>
      <c r="CE144" s="22">
        <f>+'QTR Raw'!AY81</f>
        <v>328.88</v>
      </c>
      <c r="CF144" s="22">
        <f>+CF179*CF10/90</f>
        <v>335.59183673469386</v>
      </c>
      <c r="CG144" s="22">
        <f t="shared" si="1401"/>
        <v>250.22</v>
      </c>
      <c r="CH144" s="22">
        <f>+CH179*CH10/90</f>
        <v>246.50980375054513</v>
      </c>
      <c r="CI144" s="22">
        <f>+'QTR Raw'!BC81</f>
        <v>310.66000000000003</v>
      </c>
      <c r="CJ144" s="22">
        <f>+CJ179*CJ10/90</f>
        <v>317.00279600803617</v>
      </c>
      <c r="CK144" s="23">
        <f t="shared" ref="CK144:DA144" si="1402">+CK179*CK10/90</f>
        <v>315.88138967381542</v>
      </c>
      <c r="CL144" s="22">
        <f>+CL179*CL10/90</f>
        <v>311.10145860215931</v>
      </c>
      <c r="CM144" s="23">
        <f t="shared" si="1402"/>
        <v>304.88001579967153</v>
      </c>
      <c r="CN144" s="23">
        <f t="shared" si="1402"/>
        <v>313.00383257431565</v>
      </c>
      <c r="CO144" s="23">
        <f t="shared" si="1402"/>
        <v>314.26129801431108</v>
      </c>
      <c r="CP144" s="23">
        <f t="shared" si="1402"/>
        <v>308.67860871317208</v>
      </c>
      <c r="CQ144" s="23">
        <f t="shared" si="1402"/>
        <v>301.51587939984671</v>
      </c>
      <c r="CR144" s="23">
        <f t="shared" si="1402"/>
        <v>310.14250941733815</v>
      </c>
      <c r="CS144" s="23">
        <f t="shared" si="1402"/>
        <v>311.6613700917693</v>
      </c>
      <c r="CT144" s="23">
        <f t="shared" si="1402"/>
        <v>305.8822192910647</v>
      </c>
      <c r="CU144" s="23">
        <f t="shared" si="1402"/>
        <v>298.68855301918182</v>
      </c>
      <c r="CV144" s="23">
        <f t="shared" si="1402"/>
        <v>307.3627872042718</v>
      </c>
      <c r="CW144" s="23">
        <f t="shared" si="1402"/>
        <v>308.88196367162476</v>
      </c>
      <c r="CX144" s="23">
        <f t="shared" si="1402"/>
        <v>303.10503624509408</v>
      </c>
      <c r="CY144" s="23">
        <f t="shared" si="1402"/>
        <v>295.97518744717456</v>
      </c>
      <c r="CZ144" s="23">
        <f t="shared" si="1402"/>
        <v>304.59311971799201</v>
      </c>
      <c r="DA144" s="23">
        <f t="shared" si="1402"/>
        <v>306.09487362941525</v>
      </c>
      <c r="DD144" s="122"/>
      <c r="DE144" s="22">
        <v>315.88138967381542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58.211100000000002</v>
      </c>
      <c r="E145" s="22">
        <f>'Annual Raw'!F77</f>
        <v>63.090200000000003</v>
      </c>
      <c r="F145" s="22">
        <f>'Annual Raw'!G77</f>
        <v>72.853999999999999</v>
      </c>
      <c r="G145" s="22">
        <f>'Annual Raw'!H77</f>
        <v>77.564899999999994</v>
      </c>
      <c r="H145" s="22">
        <f>'Annual Raw'!I77</f>
        <v>86.401499999999999</v>
      </c>
      <c r="I145" s="22">
        <f>'Annual Raw'!J77</f>
        <v>103.09820000000001</v>
      </c>
      <c r="J145" s="22">
        <f>'Annual Raw'!K77</f>
        <v>94.418899999999994</v>
      </c>
      <c r="K145" s="22">
        <f>'Annual Raw'!L77</f>
        <v>97.198099999999997</v>
      </c>
      <c r="L145" s="22">
        <f>'Annual Raw'!M77</f>
        <v>118.82989999999999</v>
      </c>
      <c r="M145" s="22">
        <f>'Annual Raw'!N77</f>
        <v>124.8486</v>
      </c>
      <c r="N145" s="22">
        <f>'Annual Raw'!O77</f>
        <v>158.87020000000001</v>
      </c>
      <c r="O145" s="22">
        <f>'Annual Raw'!P77</f>
        <v>208.6857</v>
      </c>
      <c r="P145" s="22">
        <f>'Annual Raw'!Q77</f>
        <v>245.77520000000001</v>
      </c>
      <c r="Q145" s="22">
        <f>'Annual Raw'!R77</f>
        <v>418.86689999999999</v>
      </c>
      <c r="R145" s="22">
        <f>'Annual Raw'!S77</f>
        <v>462.79090000000002</v>
      </c>
      <c r="S145" s="22">
        <f>'Annual Raw'!T77</f>
        <v>526.51819999999998</v>
      </c>
      <c r="T145" s="22">
        <f>'Annual Raw'!U77</f>
        <v>570.19230000000005</v>
      </c>
      <c r="U145" s="22">
        <f>'Annual Raw'!V77</f>
        <v>618.47</v>
      </c>
      <c r="V145" s="22">
        <f>'Annual Raw'!W77</f>
        <v>533.79999999999995</v>
      </c>
      <c r="W145" s="22">
        <f>'Annual Raw'!X77</f>
        <v>629.49</v>
      </c>
      <c r="X145" s="22">
        <f>'Annual Raw'!Y77</f>
        <v>658.7</v>
      </c>
      <c r="Y145" s="22">
        <f>'Annual Raw'!Z77</f>
        <v>551</v>
      </c>
      <c r="Z145" s="22">
        <f>'Annual Raw'!AA77</f>
        <v>570.39</v>
      </c>
      <c r="AA145" s="22">
        <f>'Annual Raw'!AB77</f>
        <v>553.72</v>
      </c>
      <c r="AB145" s="23">
        <f t="shared" si="1372"/>
        <v>609.4844268770438</v>
      </c>
      <c r="AC145" s="23">
        <f t="shared" si="1373"/>
        <v>604.44207648326471</v>
      </c>
      <c r="AD145" s="23">
        <f t="shared" si="1374"/>
        <v>599.05164202714832</v>
      </c>
      <c r="AE145" s="23">
        <f t="shared" si="1375"/>
        <v>593.64630580609889</v>
      </c>
      <c r="AI145" s="22">
        <f>+'QTR Raw'!C82</f>
        <v>145.16999999999999</v>
      </c>
      <c r="AJ145" s="22">
        <f>+AJ180*AJ10/90</f>
        <v>126.56574447270593</v>
      </c>
      <c r="AK145" s="22">
        <f>+'QTR Raw'!E82</f>
        <v>158.87</v>
      </c>
      <c r="AL145" s="22">
        <f>+AL180*AL10/90</f>
        <v>166.35842895005095</v>
      </c>
      <c r="AM145" s="22">
        <f>+'QTR Raw'!G82</f>
        <v>194.25</v>
      </c>
      <c r="AN145" s="22">
        <f>+AN180*AN10/90</f>
        <v>175.71414486989349</v>
      </c>
      <c r="AO145" s="22">
        <f>+'QTR Raw'!I82</f>
        <v>208.69</v>
      </c>
      <c r="AP145" s="22">
        <f>+AP180*AP10/90</f>
        <v>202.56556859867936</v>
      </c>
      <c r="AQ145" s="22">
        <f>+'QTR Raw'!K82</f>
        <v>213.13</v>
      </c>
      <c r="AR145" s="22">
        <f>+AR180*AR10/90</f>
        <v>202.06724423935336</v>
      </c>
      <c r="AS145" s="22">
        <f>+'QTR Raw'!M82</f>
        <v>245.78</v>
      </c>
      <c r="AT145" s="22">
        <f>+AT180*AT10/90</f>
        <v>350.56181337460498</v>
      </c>
      <c r="AU145" s="22">
        <f>+'QTR Raw'!O82</f>
        <v>420.73</v>
      </c>
      <c r="AV145" s="22">
        <f>+AV180*AV10/90</f>
        <v>401.23173904265474</v>
      </c>
      <c r="AW145" s="22">
        <f>+'QTR Raw'!Q82</f>
        <v>418.87</v>
      </c>
      <c r="AX145" s="22">
        <f>+AX180*AX10/90</f>
        <v>416.98187598249967</v>
      </c>
      <c r="AY145" s="22">
        <f>+'QTR Raw'!S82</f>
        <v>490.66</v>
      </c>
      <c r="AZ145" s="22">
        <f>+AZ180*AZ10/90</f>
        <v>477.6598853507636</v>
      </c>
      <c r="BA145" s="22">
        <f>+'QTR Raw'!U82</f>
        <v>462.79</v>
      </c>
      <c r="BB145" s="22">
        <f>+BB180*BB10/90</f>
        <v>452.09088188011958</v>
      </c>
      <c r="BC145" s="22">
        <f>+'QTR Raw'!W82</f>
        <v>442.91</v>
      </c>
      <c r="BD145" s="22">
        <f>+BD180*BD10/90</f>
        <v>433.39723291247896</v>
      </c>
      <c r="BE145" s="22">
        <f>+'QTR Raw'!Y82</f>
        <v>526.52</v>
      </c>
      <c r="BF145" s="22">
        <f>+BF180*BF10/90</f>
        <v>518.18053638483048</v>
      </c>
      <c r="BG145" s="22">
        <f>+'QTR Raw'!AA82</f>
        <v>563.74</v>
      </c>
      <c r="BH145" s="22">
        <f>+BH180*BH10/90</f>
        <v>577.0979152952242</v>
      </c>
      <c r="BI145" s="22">
        <f>+'QTR Raw'!AC82</f>
        <v>570.19000000000005</v>
      </c>
      <c r="BJ145" s="22">
        <f>+BJ180*BJ10/90</f>
        <v>583.68512600518704</v>
      </c>
      <c r="BK145" s="22">
        <f>+'QTR Raw'!AE82</f>
        <v>633.41</v>
      </c>
      <c r="BL145" s="22">
        <f>+BL180*BL10/90</f>
        <v>649.79120694280073</v>
      </c>
      <c r="BM145" s="22">
        <f>+'QTR Raw'!AG82</f>
        <v>618.47</v>
      </c>
      <c r="BN145" s="22">
        <f>+BN180*BN10/90</f>
        <v>527.78856801345808</v>
      </c>
      <c r="BO145" s="22">
        <f>+'QTR Raw'!AI82</f>
        <v>627.19000000000005</v>
      </c>
      <c r="BP145" s="22">
        <f>+BP180*BP10/90</f>
        <v>671.34259429766371</v>
      </c>
      <c r="BQ145" s="22">
        <f>+'QTR Raw'!AK82</f>
        <v>533.79999999999995</v>
      </c>
      <c r="BR145" s="22">
        <f>+BR180*BR10/90</f>
        <v>605.23048179161208</v>
      </c>
      <c r="BS145" s="22">
        <f>+'QTR Raw'!AM82</f>
        <v>596</v>
      </c>
      <c r="BT145" s="22">
        <f>+BT180*BT10/90</f>
        <v>601.47754436798255</v>
      </c>
      <c r="BU145" s="22">
        <f>+'QTR Raw'!AO82</f>
        <v>629.49</v>
      </c>
      <c r="BV145" s="22">
        <f>+BV180*BV10/90</f>
        <v>693.18403177290395</v>
      </c>
      <c r="BW145" s="22">
        <f>+'QTR Raw'!AQ82</f>
        <v>774.19</v>
      </c>
      <c r="BX145" s="22">
        <f>+BX180*BX10/90</f>
        <v>751.1011337631046</v>
      </c>
      <c r="BY145" s="22">
        <f>+'QTR Raw'!AS82</f>
        <v>658.7</v>
      </c>
      <c r="BZ145" s="22">
        <f>+BZ180*BZ10/90</f>
        <v>629.05084523104904</v>
      </c>
      <c r="CA145" s="22">
        <f>+'QTR Raw'!AU82</f>
        <v>597.05999999999995</v>
      </c>
      <c r="CB145" s="22">
        <f>+CB180*CB10/90</f>
        <v>636.22375550908794</v>
      </c>
      <c r="CC145" s="22">
        <f>+'QTR Raw'!AW82</f>
        <v>551</v>
      </c>
      <c r="CD145" s="22">
        <f>+CD180*CD10/90</f>
        <v>556.8318950524241</v>
      </c>
      <c r="CE145" s="22">
        <f>+'QTR Raw'!AY82</f>
        <v>583.83000000000004</v>
      </c>
      <c r="CF145" s="22">
        <f>+CF180*CF10/90</f>
        <v>595.74489795918373</v>
      </c>
      <c r="CG145" s="22">
        <f t="shared" si="1401"/>
        <v>570.39</v>
      </c>
      <c r="CH145" s="22">
        <f>+CH180*CH10/90</f>
        <v>561.93240732664628</v>
      </c>
      <c r="CI145" s="22">
        <f>+'QTR Raw'!BC82</f>
        <v>602.5</v>
      </c>
      <c r="CJ145" s="22">
        <f>+CJ180*CJ10/90</f>
        <v>614.80134099929762</v>
      </c>
      <c r="CK145" s="23">
        <f t="shared" ref="CK145:DA145" si="1403">+CK180*CK10/90</f>
        <v>612.62646391062185</v>
      </c>
      <c r="CL145" s="22">
        <f>+CL180*CL10/90</f>
        <v>603.35617333355117</v>
      </c>
      <c r="CM145" s="23">
        <f t="shared" si="1403"/>
        <v>591.2901870833133</v>
      </c>
      <c r="CN145" s="23">
        <f t="shared" si="1403"/>
        <v>607.04567413257314</v>
      </c>
      <c r="CO145" s="23">
        <f t="shared" si="1403"/>
        <v>609.4844268770438</v>
      </c>
      <c r="CP145" s="23">
        <f t="shared" si="1403"/>
        <v>598.65725149580305</v>
      </c>
      <c r="CQ145" s="23">
        <f t="shared" si="1403"/>
        <v>584.76571601882335</v>
      </c>
      <c r="CR145" s="23">
        <f t="shared" si="1403"/>
        <v>601.49636877598095</v>
      </c>
      <c r="CS145" s="23">
        <f t="shared" si="1403"/>
        <v>604.44207648326471</v>
      </c>
      <c r="CT145" s="23">
        <f t="shared" si="1403"/>
        <v>593.23387987789374</v>
      </c>
      <c r="CU145" s="23">
        <f t="shared" si="1403"/>
        <v>579.28234466637821</v>
      </c>
      <c r="CV145" s="23">
        <f t="shared" si="1403"/>
        <v>596.1053218649771</v>
      </c>
      <c r="CW145" s="23">
        <f t="shared" si="1403"/>
        <v>599.05164202714832</v>
      </c>
      <c r="CX145" s="23">
        <f t="shared" si="1403"/>
        <v>587.8477574765634</v>
      </c>
      <c r="CY145" s="23">
        <f t="shared" si="1403"/>
        <v>574.01999110578333</v>
      </c>
      <c r="CZ145" s="23">
        <f t="shared" si="1403"/>
        <v>590.73377528516767</v>
      </c>
      <c r="DA145" s="23">
        <f t="shared" si="1403"/>
        <v>593.64630580609889</v>
      </c>
      <c r="DD145" s="122"/>
      <c r="DE145" s="22">
        <v>612.62646391062185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3.7275</v>
      </c>
      <c r="E146" s="22">
        <f>'Annual Raw'!F79</f>
        <v>4.1113</v>
      </c>
      <c r="F146" s="22">
        <f>'Annual Raw'!G79</f>
        <v>3.2589000000000001</v>
      </c>
      <c r="G146" s="22">
        <f>'Annual Raw'!H79</f>
        <v>6.6833999999999998</v>
      </c>
      <c r="H146" s="22">
        <f>'Annual Raw'!I79</f>
        <v>5.3376999999999999</v>
      </c>
      <c r="I146" s="22">
        <f>'Annual Raw'!J79</f>
        <v>6.4611000000000001</v>
      </c>
      <c r="J146" s="22">
        <f>'Annual Raw'!K79</f>
        <v>13.571999999999999</v>
      </c>
      <c r="K146" s="22">
        <f>'Annual Raw'!L79</f>
        <v>12.401199999999999</v>
      </c>
      <c r="L146" s="22">
        <f>'Annual Raw'!M79</f>
        <v>14.356299999999999</v>
      </c>
      <c r="M146" s="22">
        <f>'Annual Raw'!N79</f>
        <v>13.492900000000001</v>
      </c>
      <c r="N146" s="22">
        <f>'Annual Raw'!O79</f>
        <v>11.396100000000001</v>
      </c>
      <c r="O146" s="22">
        <f>'Annual Raw'!P79</f>
        <v>15.8177</v>
      </c>
      <c r="P146" s="22">
        <f>'Annual Raw'!Q79</f>
        <v>17.734500000000001</v>
      </c>
      <c r="Q146" s="22">
        <f>'Annual Raw'!R79</f>
        <v>36.569200000000002</v>
      </c>
      <c r="R146" s="22">
        <f>'Annual Raw'!S79</f>
        <v>33.291600000000003</v>
      </c>
      <c r="S146" s="22">
        <f>'Annual Raw'!T79</f>
        <v>30.823</v>
      </c>
      <c r="T146" s="22">
        <f>'Annual Raw'!U79</f>
        <v>26.104399999999998</v>
      </c>
      <c r="U146" s="22">
        <f>'Annual Raw'!V79</f>
        <v>25.57</v>
      </c>
      <c r="V146" s="22">
        <f>'Annual Raw'!W79</f>
        <v>45.52</v>
      </c>
      <c r="W146" s="22">
        <f>'Annual Raw'!X79</f>
        <v>53.76</v>
      </c>
      <c r="X146" s="22">
        <f>'Annual Raw'!Y79</f>
        <v>17.71</v>
      </c>
      <c r="Y146" s="22">
        <f>'Annual Raw'!Z79</f>
        <v>20.86</v>
      </c>
      <c r="Z146" s="22">
        <f>'Annual Raw'!AA79</f>
        <v>16.14</v>
      </c>
      <c r="AA146" s="22">
        <f>'Annual Raw'!AB79</f>
        <v>24.49</v>
      </c>
      <c r="AB146" s="23">
        <f t="shared" si="1372"/>
        <v>190.88748772066089</v>
      </c>
      <c r="AC146" s="23">
        <f t="shared" si="1373"/>
        <v>189.3082486844682</v>
      </c>
      <c r="AD146" s="23">
        <f t="shared" si="1374"/>
        <v>187.61999145315008</v>
      </c>
      <c r="AE146" s="23">
        <f t="shared" si="1375"/>
        <v>185.92706706325461</v>
      </c>
      <c r="AI146" s="22">
        <f>+'QTR Raw'!C84</f>
        <v>9.1999999999999993</v>
      </c>
      <c r="AJ146" s="22">
        <f t="shared" ref="AJ146:AJ147" si="1404">+AI146</f>
        <v>9.1999999999999993</v>
      </c>
      <c r="AK146" s="22">
        <f>+'QTR Raw'!E84</f>
        <v>9.43</v>
      </c>
      <c r="AL146" s="22">
        <f t="shared" ref="AL146:AL147" si="1405">+AK146</f>
        <v>9.43</v>
      </c>
      <c r="AM146" s="22">
        <f>+'QTR Raw'!G84</f>
        <v>15.1</v>
      </c>
      <c r="AN146" s="22">
        <f t="shared" ref="AN146:AN147" si="1406">+AM146</f>
        <v>15.1</v>
      </c>
      <c r="AO146" s="22">
        <f>+'QTR Raw'!I84</f>
        <v>13.84</v>
      </c>
      <c r="AP146" s="22">
        <f t="shared" ref="AP146:AP147" si="1407">+AO146</f>
        <v>13.84</v>
      </c>
      <c r="AQ146" s="22">
        <f>+'QTR Raw'!K84</f>
        <v>12.07</v>
      </c>
      <c r="AR146" s="22">
        <f t="shared" ref="AR146:AR147" si="1408">+AQ146</f>
        <v>12.07</v>
      </c>
      <c r="AS146" s="22">
        <f>+'QTR Raw'!M84</f>
        <v>15.3</v>
      </c>
      <c r="AT146" s="22">
        <f t="shared" ref="AT146:AT147" si="1409">+AS146</f>
        <v>15.3</v>
      </c>
      <c r="AU146" s="22">
        <f>+'QTR Raw'!O84</f>
        <v>41.3</v>
      </c>
      <c r="AV146" s="22">
        <f t="shared" ref="AV146:AV147" si="1410">+AU146</f>
        <v>41.3</v>
      </c>
      <c r="AW146" s="22">
        <f>+'QTR Raw'!Q84</f>
        <v>32.75</v>
      </c>
      <c r="AX146" s="22">
        <f t="shared" ref="AX146:AX147" si="1411">+AW146</f>
        <v>32.75</v>
      </c>
      <c r="AY146" s="22">
        <f>+'QTR Raw'!S84</f>
        <v>29.22</v>
      </c>
      <c r="AZ146" s="22">
        <f t="shared" ref="AZ146:AZ147" si="1412">+AY146</f>
        <v>29.22</v>
      </c>
      <c r="BA146" s="22">
        <f>+'QTR Raw'!U84</f>
        <v>28.73</v>
      </c>
      <c r="BB146" s="22">
        <f t="shared" ref="BB146:BB147" si="1413">+BA146</f>
        <v>28.73</v>
      </c>
      <c r="BC146" s="22">
        <f>+'QTR Raw'!W84</f>
        <v>56.58</v>
      </c>
      <c r="BD146" s="22">
        <f t="shared" ref="BD146:BD147" si="1414">+BC146</f>
        <v>56.58</v>
      </c>
      <c r="BE146" s="22">
        <f>+'QTR Raw'!Y84</f>
        <v>41.1</v>
      </c>
      <c r="BF146" s="22">
        <f t="shared" ref="BF146:BF147" si="1415">+BE146</f>
        <v>41.1</v>
      </c>
      <c r="BG146" s="22">
        <f>+'QTR Raw'!AA84</f>
        <v>50.88</v>
      </c>
      <c r="BH146" s="22">
        <f t="shared" ref="BH146:BH147" si="1416">+BG146</f>
        <v>50.88</v>
      </c>
      <c r="BI146" s="22">
        <f>+'QTR Raw'!AC84</f>
        <v>35.380000000000003</v>
      </c>
      <c r="BJ146" s="22">
        <f t="shared" ref="BJ146:BJ147" si="1417">+BI146</f>
        <v>35.380000000000003</v>
      </c>
      <c r="BK146" s="22">
        <f>+'QTR Raw'!AE84</f>
        <v>46.82</v>
      </c>
      <c r="BL146" s="22">
        <f t="shared" ref="BL146:BL147" si="1418">+BK146</f>
        <v>46.82</v>
      </c>
      <c r="BM146" s="22">
        <f>+'QTR Raw'!AG84</f>
        <v>35.06</v>
      </c>
      <c r="BN146" s="22">
        <f t="shared" ref="BN146:BN147" si="1419">+BM146</f>
        <v>35.06</v>
      </c>
      <c r="BO146" s="22">
        <f>+'QTR Raw'!AI84</f>
        <v>62.24</v>
      </c>
      <c r="BP146" s="22">
        <f t="shared" ref="BP146:BP147" si="1420">+BO146</f>
        <v>62.24</v>
      </c>
      <c r="BQ146" s="22">
        <f>+'QTR Raw'!AK84</f>
        <v>63.98</v>
      </c>
      <c r="BR146" s="22">
        <f t="shared" ref="BR146:BR147" si="1421">+BQ146</f>
        <v>63.98</v>
      </c>
      <c r="BS146" s="22">
        <f>+'QTR Raw'!AM84</f>
        <v>89.34</v>
      </c>
      <c r="BT146" s="22">
        <f t="shared" ref="BT146:BT147" si="1422">+BS146</f>
        <v>89.34</v>
      </c>
      <c r="BU146" s="22">
        <f>+'QTR Raw'!AO84</f>
        <v>89.55</v>
      </c>
      <c r="BV146" s="22">
        <f t="shared" ref="BV146:BV147" si="1423">+BU146</f>
        <v>89.55</v>
      </c>
      <c r="BW146" s="22">
        <f>+'QTR Raw'!AQ84</f>
        <v>95.31</v>
      </c>
      <c r="BX146" s="22">
        <f t="shared" ref="BX146:BX147" si="1424">+BW146</f>
        <v>95.31</v>
      </c>
      <c r="BY146" s="22">
        <f>+'QTR Raw'!AS84</f>
        <v>61.59</v>
      </c>
      <c r="BZ146" s="22">
        <f t="shared" ref="BZ146:BZ147" si="1425">+BY146</f>
        <v>61.59</v>
      </c>
      <c r="CA146" s="22">
        <f>+'QTR Raw'!AU84</f>
        <v>75.989999999999995</v>
      </c>
      <c r="CB146" s="22">
        <f t="shared" ref="CB146:CB147" si="1426">+CA146</f>
        <v>75.989999999999995</v>
      </c>
      <c r="CC146" s="22">
        <f>+'QTR Raw'!AW84</f>
        <v>47.31</v>
      </c>
      <c r="CD146" s="22">
        <f t="shared" ref="CD146:CD147" si="1427">+CC146</f>
        <v>47.31</v>
      </c>
      <c r="CE146" s="22">
        <f>+'QTR Raw'!AY84</f>
        <v>56.88</v>
      </c>
      <c r="CF146" s="22">
        <f t="shared" si="1400"/>
        <v>56.88</v>
      </c>
      <c r="CG146" s="22">
        <f t="shared" si="1401"/>
        <v>16.14</v>
      </c>
      <c r="CH146" s="22">
        <f t="shared" si="1400"/>
        <v>16.14</v>
      </c>
      <c r="CI146" s="22">
        <f>+'QTR Raw'!BC84</f>
        <v>66.540000000000006</v>
      </c>
      <c r="CJ146" s="22">
        <f t="shared" si="1400"/>
        <v>66.540000000000006</v>
      </c>
      <c r="CK146" s="23">
        <f t="shared" ref="CK146:DA146" si="1428">CK10/90*CK181</f>
        <v>191.87155807457987</v>
      </c>
      <c r="CL146" s="22">
        <f t="shared" si="1400"/>
        <v>191.87155807457987</v>
      </c>
      <c r="CM146" s="23">
        <f t="shared" si="1428"/>
        <v>185.18914241098963</v>
      </c>
      <c r="CN146" s="23">
        <f t="shared" si="1428"/>
        <v>190.12368250425988</v>
      </c>
      <c r="CO146" s="23">
        <f t="shared" si="1428"/>
        <v>190.88748772066089</v>
      </c>
      <c r="CP146" s="23">
        <f t="shared" si="1428"/>
        <v>187.49647030250301</v>
      </c>
      <c r="CQ146" s="23">
        <f t="shared" si="1428"/>
        <v>183.14571056058423</v>
      </c>
      <c r="CR146" s="23">
        <f t="shared" si="1428"/>
        <v>188.38566769797117</v>
      </c>
      <c r="CS146" s="23">
        <f t="shared" si="1428"/>
        <v>189.3082486844682</v>
      </c>
      <c r="CT146" s="23">
        <f t="shared" si="1428"/>
        <v>185.79789731611382</v>
      </c>
      <c r="CU146" s="23">
        <f t="shared" si="1428"/>
        <v>181.42834595609227</v>
      </c>
      <c r="CV146" s="23">
        <f t="shared" si="1428"/>
        <v>186.69721864883186</v>
      </c>
      <c r="CW146" s="23">
        <f t="shared" si="1428"/>
        <v>187.61999145315008</v>
      </c>
      <c r="CX146" s="23">
        <f t="shared" si="1428"/>
        <v>184.11099059888386</v>
      </c>
      <c r="CY146" s="23">
        <f t="shared" si="1428"/>
        <v>179.78020302350433</v>
      </c>
      <c r="CZ146" s="23">
        <f t="shared" si="1428"/>
        <v>185.01487700632558</v>
      </c>
      <c r="DA146" s="23">
        <f t="shared" si="1428"/>
        <v>185.92706706325461</v>
      </c>
      <c r="DD146" s="122"/>
      <c r="DE146" s="22">
        <v>191.87155807457987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6.5243000000000002</v>
      </c>
      <c r="E147" s="22">
        <f>'Annual Raw'!F80</f>
        <v>7.2667000000000002</v>
      </c>
      <c r="F147" s="22">
        <f>'Annual Raw'!G80</f>
        <v>8.4602000000000004</v>
      </c>
      <c r="G147" s="22">
        <f>'Annual Raw'!H80</f>
        <v>12.3619</v>
      </c>
      <c r="H147" s="22">
        <f>'Annual Raw'!I80</f>
        <v>12.0968</v>
      </c>
      <c r="I147" s="22">
        <f>'Annual Raw'!J80</f>
        <v>23.312799999999999</v>
      </c>
      <c r="J147" s="22">
        <f>'Annual Raw'!K80</f>
        <v>19.1707</v>
      </c>
      <c r="K147" s="22">
        <f>'Annual Raw'!L80</f>
        <v>19.792899999999999</v>
      </c>
      <c r="L147" s="22">
        <f>'Annual Raw'!M80</f>
        <v>129.2166</v>
      </c>
      <c r="M147" s="22">
        <f>'Annual Raw'!N80</f>
        <v>8.9067000000000007</v>
      </c>
      <c r="N147" s="22">
        <f>'Annual Raw'!O80</f>
        <v>6.5705999999999998</v>
      </c>
      <c r="O147" s="22">
        <f>'Annual Raw'!P80</f>
        <v>10.078900000000001</v>
      </c>
      <c r="P147" s="22">
        <f>'Annual Raw'!Q80</f>
        <v>13.7156</v>
      </c>
      <c r="Q147" s="22">
        <f>'Annual Raw'!R80</f>
        <v>16.836600000000001</v>
      </c>
      <c r="R147" s="22">
        <f>'Annual Raw'!S80</f>
        <v>17.6479</v>
      </c>
      <c r="S147" s="22">
        <f>'Annual Raw'!T80</f>
        <v>11.2698</v>
      </c>
      <c r="T147" s="22">
        <f>'Annual Raw'!U80</f>
        <v>11.0898</v>
      </c>
      <c r="U147" s="22">
        <f>'Annual Raw'!V80</f>
        <v>11.22</v>
      </c>
      <c r="V147" s="22">
        <f>'Annual Raw'!W80</f>
        <v>20.190000000000001</v>
      </c>
      <c r="W147" s="22">
        <f>'Annual Raw'!X80</f>
        <v>130.03</v>
      </c>
      <c r="X147" s="22">
        <f>'Annual Raw'!Y80</f>
        <v>117.88</v>
      </c>
      <c r="Y147" s="22">
        <f>'Annual Raw'!Z80</f>
        <v>232</v>
      </c>
      <c r="Z147" s="22">
        <f>'Annual Raw'!AA80</f>
        <v>159.87</v>
      </c>
      <c r="AA147" s="22">
        <f>'Annual Raw'!AB80</f>
        <v>254.84</v>
      </c>
      <c r="AB147" s="23">
        <f t="shared" si="1372"/>
        <v>0</v>
      </c>
      <c r="AC147" s="23">
        <f t="shared" si="1373"/>
        <v>0</v>
      </c>
      <c r="AD147" s="23">
        <f t="shared" si="1374"/>
        <v>0</v>
      </c>
      <c r="AE147" s="23">
        <f t="shared" si="1375"/>
        <v>0</v>
      </c>
      <c r="AI147" s="22">
        <f>+'QTR Raw'!C85</f>
        <v>13.47</v>
      </c>
      <c r="AJ147" s="22">
        <f t="shared" si="1404"/>
        <v>13.47</v>
      </c>
      <c r="AK147" s="22">
        <f>+'QTR Raw'!E85</f>
        <v>8.5399999999999991</v>
      </c>
      <c r="AL147" s="22">
        <f t="shared" si="1405"/>
        <v>8.5399999999999991</v>
      </c>
      <c r="AM147" s="22">
        <f>+'QTR Raw'!G85</f>
        <v>15.58</v>
      </c>
      <c r="AN147" s="22">
        <f t="shared" si="1406"/>
        <v>15.58</v>
      </c>
      <c r="AO147" s="22">
        <f>+'QTR Raw'!I85</f>
        <v>12.06</v>
      </c>
      <c r="AP147" s="22">
        <f t="shared" si="1407"/>
        <v>12.06</v>
      </c>
      <c r="AQ147" s="22">
        <f>+'QTR Raw'!K85</f>
        <v>17.36</v>
      </c>
      <c r="AR147" s="22">
        <f t="shared" si="1408"/>
        <v>17.36</v>
      </c>
      <c r="AS147" s="22">
        <f>+'QTR Raw'!M85</f>
        <v>16.14</v>
      </c>
      <c r="AT147" s="22">
        <f t="shared" si="1409"/>
        <v>16.14</v>
      </c>
      <c r="AU147" s="22">
        <f>+'QTR Raw'!O85</f>
        <v>53.88</v>
      </c>
      <c r="AV147" s="22">
        <f t="shared" si="1410"/>
        <v>53.88</v>
      </c>
      <c r="AW147" s="22">
        <f>+'QTR Raw'!Q85</f>
        <v>20.65</v>
      </c>
      <c r="AX147" s="22">
        <f t="shared" si="1411"/>
        <v>20.65</v>
      </c>
      <c r="AY147" s="22">
        <f>+'QTR Raw'!S85</f>
        <v>27.93</v>
      </c>
      <c r="AZ147" s="22">
        <f t="shared" si="1412"/>
        <v>27.93</v>
      </c>
      <c r="BA147" s="22">
        <f>+'QTR Raw'!U85</f>
        <v>21.82</v>
      </c>
      <c r="BB147" s="22">
        <f t="shared" si="1413"/>
        <v>21.82</v>
      </c>
      <c r="BC147" s="22">
        <f>+'QTR Raw'!W85</f>
        <v>2.38</v>
      </c>
      <c r="BD147" s="22">
        <f t="shared" si="1414"/>
        <v>2.38</v>
      </c>
      <c r="BE147" s="22">
        <f>+'QTR Raw'!Y85</f>
        <v>0.99</v>
      </c>
      <c r="BF147" s="22">
        <f t="shared" si="1415"/>
        <v>0.99</v>
      </c>
      <c r="BG147" s="22">
        <f>+'QTR Raw'!AA85</f>
        <v>3.26</v>
      </c>
      <c r="BH147" s="22">
        <f t="shared" si="1416"/>
        <v>3.26</v>
      </c>
      <c r="BI147" s="22">
        <f>+'QTR Raw'!AC85</f>
        <v>1.82</v>
      </c>
      <c r="BJ147" s="22">
        <f t="shared" si="1417"/>
        <v>1.82</v>
      </c>
      <c r="BK147" s="22">
        <f>+'QTR Raw'!AE85</f>
        <v>6.36</v>
      </c>
      <c r="BL147" s="22">
        <f t="shared" si="1418"/>
        <v>6.36</v>
      </c>
      <c r="BM147" s="22">
        <f>+'QTR Raw'!AG85</f>
        <v>1.73</v>
      </c>
      <c r="BN147" s="22">
        <f t="shared" si="1419"/>
        <v>1.73</v>
      </c>
      <c r="BO147" s="22">
        <f>+'QTR Raw'!AI85</f>
        <v>6.77</v>
      </c>
      <c r="BP147" s="22">
        <f t="shared" si="1420"/>
        <v>6.77</v>
      </c>
      <c r="BQ147" s="22">
        <f>+'QTR Raw'!AK85</f>
        <v>1.73</v>
      </c>
      <c r="BR147" s="22">
        <f t="shared" si="1421"/>
        <v>1.73</v>
      </c>
      <c r="BS147" s="22">
        <f>+'QTR Raw'!AM85</f>
        <v>0.75</v>
      </c>
      <c r="BT147" s="22">
        <f t="shared" si="1422"/>
        <v>0.75</v>
      </c>
      <c r="BU147" s="22">
        <f>+'QTR Raw'!AO85</f>
        <v>0.83</v>
      </c>
      <c r="BV147" s="22">
        <f t="shared" si="1423"/>
        <v>0.83</v>
      </c>
      <c r="BW147" s="22">
        <f>+'QTR Raw'!AQ85</f>
        <v>0.75</v>
      </c>
      <c r="BX147" s="22">
        <f t="shared" si="1424"/>
        <v>0.75</v>
      </c>
      <c r="BY147" s="22">
        <f>+'QTR Raw'!AS85</f>
        <v>0.84</v>
      </c>
      <c r="BZ147" s="22">
        <f t="shared" si="1425"/>
        <v>0.84</v>
      </c>
      <c r="CA147" s="22">
        <f>+'QTR Raw'!AU85</f>
        <v>0.94</v>
      </c>
      <c r="CB147" s="22">
        <f t="shared" si="1426"/>
        <v>0.94</v>
      </c>
      <c r="CC147" s="22">
        <f>+'QTR Raw'!AW85</f>
        <v>0.47</v>
      </c>
      <c r="CD147" s="22">
        <f t="shared" si="1427"/>
        <v>0.47</v>
      </c>
      <c r="CE147" s="22">
        <f>+'QTR Raw'!AY85</f>
        <v>0.75</v>
      </c>
      <c r="CF147" s="22">
        <f t="shared" si="1400"/>
        <v>0.75</v>
      </c>
      <c r="CG147" s="22">
        <f t="shared" si="1401"/>
        <v>159.87</v>
      </c>
      <c r="CH147" s="22">
        <f t="shared" si="1400"/>
        <v>159.87</v>
      </c>
      <c r="CI147" s="22">
        <f>+'QTR Raw'!BC85</f>
        <v>0.44</v>
      </c>
      <c r="CJ147" s="22">
        <f t="shared" si="1400"/>
        <v>0.44</v>
      </c>
      <c r="CK147" s="23"/>
      <c r="CL147" s="22">
        <f t="shared" si="1400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29">SUM(C142:C147)</f>
        <v>0</v>
      </c>
      <c r="D148" s="21">
        <f t="shared" si="1429"/>
        <v>96.9405</v>
      </c>
      <c r="E148" s="21">
        <f t="shared" si="1429"/>
        <v>109.24169999999999</v>
      </c>
      <c r="F148" s="21">
        <f t="shared" si="1429"/>
        <v>122.4764</v>
      </c>
      <c r="G148" s="21">
        <f t="shared" si="1429"/>
        <v>149.54559999999998</v>
      </c>
      <c r="H148" s="21">
        <f t="shared" si="1429"/>
        <v>150.51990000000001</v>
      </c>
      <c r="I148" s="21">
        <f t="shared" si="1429"/>
        <v>200.70599999999999</v>
      </c>
      <c r="J148" s="21">
        <f t="shared" si="1429"/>
        <v>189.28309999999999</v>
      </c>
      <c r="K148" s="21">
        <f t="shared" si="1429"/>
        <v>205.32159999999999</v>
      </c>
      <c r="L148" s="21">
        <f>SUM(L142:L147)</f>
        <v>351.6096</v>
      </c>
      <c r="M148" s="21">
        <f>SUM(M142:M147)</f>
        <v>250.29310000000001</v>
      </c>
      <c r="N148" s="21">
        <f t="shared" si="1429"/>
        <v>281.31990000000002</v>
      </c>
      <c r="O148" s="21">
        <f t="shared" si="1429"/>
        <v>349.10379999999998</v>
      </c>
      <c r="P148" s="21">
        <f t="shared" si="1429"/>
        <v>400.90800000000002</v>
      </c>
      <c r="Q148" s="21">
        <f t="shared" si="1429"/>
        <v>668.56099999999992</v>
      </c>
      <c r="R148" s="21">
        <f t="shared" si="1429"/>
        <v>734.27880000000005</v>
      </c>
      <c r="S148" s="21">
        <f t="shared" si="1429"/>
        <v>803.13639999999998</v>
      </c>
      <c r="T148" s="21">
        <f t="shared" si="1429"/>
        <v>854.99270000000001</v>
      </c>
      <c r="U148" s="21">
        <f t="shared" si="1429"/>
        <v>907.68000000000018</v>
      </c>
      <c r="V148" s="21">
        <f t="shared" si="1429"/>
        <v>912.48</v>
      </c>
      <c r="W148" s="21">
        <f t="shared" ref="W148" si="1430">SUM(W142:W147)</f>
        <v>1696.76</v>
      </c>
      <c r="X148" s="21">
        <f t="shared" ref="X148:Y148" si="1431">SUM(X142:X147)</f>
        <v>1701.9300000000003</v>
      </c>
      <c r="Y148" s="21">
        <f t="shared" si="1431"/>
        <v>1590.9999999999998</v>
      </c>
      <c r="Z148" s="21">
        <f t="shared" ref="Z148:AA148" si="1432">SUM(Z142:Z147)</f>
        <v>1594.65</v>
      </c>
      <c r="AA148" s="21">
        <f t="shared" si="1432"/>
        <v>1474.6</v>
      </c>
      <c r="AB148" s="20">
        <f t="shared" ref="AA148:AD148" si="1433">SUM(AB142:AB147)</f>
        <v>1114.6332126120158</v>
      </c>
      <c r="AC148" s="20">
        <f t="shared" si="1433"/>
        <v>1105.4116952595023</v>
      </c>
      <c r="AD148" s="20">
        <f t="shared" si="1433"/>
        <v>1095.5535971519232</v>
      </c>
      <c r="AE148" s="20">
        <f t="shared" ref="AE148" si="1434">SUM(AE142:AE147)</f>
        <v>1085.6682464987687</v>
      </c>
      <c r="AI148" s="21">
        <f t="shared" ref="AI148:AL148" si="1435">SUM(AI142:AI147)</f>
        <v>276.76</v>
      </c>
      <c r="AJ148" s="21">
        <f t="shared" si="1435"/>
        <v>245.74393660731752</v>
      </c>
      <c r="AK148" s="21">
        <f t="shared" si="1435"/>
        <v>281.32000000000005</v>
      </c>
      <c r="AL148" s="21">
        <f t="shared" si="1435"/>
        <v>292.98558369011209</v>
      </c>
      <c r="AM148" s="21">
        <f t="shared" ref="AM148:AP148" si="1436">SUM(AM142:AM147)</f>
        <v>354.53000000000003</v>
      </c>
      <c r="AN148" s="21">
        <f t="shared" si="1436"/>
        <v>325.28199507887285</v>
      </c>
      <c r="AO148" s="21">
        <f t="shared" si="1436"/>
        <v>349.11</v>
      </c>
      <c r="AP148" s="21">
        <f t="shared" si="1436"/>
        <v>340.2422083639031</v>
      </c>
      <c r="AQ148" s="21">
        <f t="shared" ref="AQ148:AT148" si="1437">SUM(AQ142:AQ147)</f>
        <v>385.72999999999996</v>
      </c>
      <c r="AR148" s="21">
        <f t="shared" si="1437"/>
        <v>368.56827271082153</v>
      </c>
      <c r="AS148" s="21">
        <f t="shared" si="1437"/>
        <v>400.90000000000003</v>
      </c>
      <c r="AT148" s="21">
        <f t="shared" si="1437"/>
        <v>547.56810666150761</v>
      </c>
      <c r="AU148" s="21">
        <f t="shared" ref="AU148:AX148" si="1438">SUM(AU142:AU147)</f>
        <v>766.43999999999994</v>
      </c>
      <c r="AV148" s="21">
        <f t="shared" si="1438"/>
        <v>736.73449930254742</v>
      </c>
      <c r="AW148" s="21">
        <f t="shared" si="1438"/>
        <v>668.56</v>
      </c>
      <c r="AX148" s="21">
        <f t="shared" si="1438"/>
        <v>665.96836530994904</v>
      </c>
      <c r="AY148" s="21">
        <f t="shared" ref="AY148:BB148" si="1439">SUM(AY142:AY147)</f>
        <v>791.75</v>
      </c>
      <c r="AZ148" s="21">
        <f t="shared" si="1439"/>
        <v>773.4116407424234</v>
      </c>
      <c r="BA148" s="21">
        <f t="shared" si="1439"/>
        <v>738.29000000000008</v>
      </c>
      <c r="BB148" s="21">
        <f t="shared" si="1439"/>
        <v>723.37171323585721</v>
      </c>
      <c r="BC148" s="21">
        <f t="shared" ref="BC148:BF148" si="1440">SUM(BC142:BC147)</f>
        <v>768.80000000000007</v>
      </c>
      <c r="BD148" s="21">
        <f t="shared" si="1440"/>
        <v>754.29942522980082</v>
      </c>
      <c r="BE148" s="21">
        <f t="shared" si="1440"/>
        <v>803.13</v>
      </c>
      <c r="BF148" s="21">
        <f t="shared" si="1440"/>
        <v>791.75153903650073</v>
      </c>
      <c r="BG148" s="21">
        <f t="shared" ref="BG148:BJ148" si="1441">SUM(BG142:BG147)</f>
        <v>891.18999999999994</v>
      </c>
      <c r="BH148" s="21">
        <f t="shared" si="1441"/>
        <v>910.16556626586976</v>
      </c>
      <c r="BI148" s="21">
        <f t="shared" si="1441"/>
        <v>855.00000000000011</v>
      </c>
      <c r="BJ148" s="21">
        <f t="shared" si="1441"/>
        <v>873.51813691748089</v>
      </c>
      <c r="BK148" s="21">
        <f t="shared" ref="BK148:BN148" si="1442">SUM(BK142:BK147)</f>
        <v>993.91000000000008</v>
      </c>
      <c r="BL148" s="21">
        <f t="shared" si="1442"/>
        <v>1017.2206532544378</v>
      </c>
      <c r="BM148" s="21">
        <f t="shared" si="1442"/>
        <v>907.68000000000006</v>
      </c>
      <c r="BN148" s="21">
        <f t="shared" si="1442"/>
        <v>790.33385473541307</v>
      </c>
      <c r="BO148" s="21">
        <f t="shared" ref="BO148:BR148" si="1443">SUM(BO142:BO147)</f>
        <v>1132.8599999999999</v>
      </c>
      <c r="BP148" s="21">
        <f t="shared" si="1443"/>
        <v>1198.8794589491097</v>
      </c>
      <c r="BQ148" s="21">
        <f t="shared" si="1443"/>
        <v>991.05</v>
      </c>
      <c r="BR148" s="21">
        <f t="shared" si="1443"/>
        <v>1093.0946924028617</v>
      </c>
      <c r="BS148" s="21">
        <f t="shared" ref="BS148:BV148" si="1444">SUM(BS142:BS147)</f>
        <v>1259.29</v>
      </c>
      <c r="BT148" s="21">
        <f t="shared" si="1444"/>
        <v>1268.2603979536398</v>
      </c>
      <c r="BU148" s="21">
        <f t="shared" si="1444"/>
        <v>1266.08</v>
      </c>
      <c r="BV148" s="21">
        <f t="shared" si="1444"/>
        <v>1364.9353147815048</v>
      </c>
      <c r="BW148" s="21">
        <f t="shared" ref="BW148:BZ148" si="1445">SUM(BW142:BW147)</f>
        <v>1441.4099999999999</v>
      </c>
      <c r="BX148" s="21">
        <f t="shared" si="1445"/>
        <v>1405.019067077094</v>
      </c>
      <c r="BY148" s="21">
        <f t="shared" si="1445"/>
        <v>1230</v>
      </c>
      <c r="BZ148" s="21">
        <f t="shared" si="1445"/>
        <v>1186.937832281907</v>
      </c>
      <c r="CA148" s="21">
        <f t="shared" ref="CA148:CD148" si="1446">SUM(CA142:CA147)</f>
        <v>1152.8500000000001</v>
      </c>
      <c r="CB148" s="21">
        <f t="shared" si="1446"/>
        <v>1212.9514682322663</v>
      </c>
      <c r="CC148" s="21">
        <f t="shared" si="1446"/>
        <v>1048.46</v>
      </c>
      <c r="CD148" s="21">
        <f t="shared" si="1446"/>
        <v>1057.1484652079571</v>
      </c>
      <c r="CE148" s="21">
        <f t="shared" ref="CE148" si="1447">SUM(CE142:CE147)</f>
        <v>1151.9100000000001</v>
      </c>
      <c r="CF148" s="21">
        <f t="shared" ref="CF148:CH148" si="1448">SUM(CF142:CF147)</f>
        <v>1170.5367346938779</v>
      </c>
      <c r="CG148" s="21">
        <f t="shared" ref="CG148" si="1449">SUM(CG142:CG147)</f>
        <v>1594.65</v>
      </c>
      <c r="CH148" s="21">
        <f t="shared" si="1448"/>
        <v>1582.4822110771916</v>
      </c>
      <c r="CI148" s="21">
        <f t="shared" ref="CI148:CJ148" si="1450">SUM(CI142:CI147)</f>
        <v>1101.8600000000001</v>
      </c>
      <c r="CJ148" s="21">
        <f t="shared" si="1450"/>
        <v>1120.5041370073338</v>
      </c>
      <c r="CK148" s="20">
        <f t="shared" ref="CK148:DA148" si="1451">SUM(CK142:CK147)</f>
        <v>1120.379411659017</v>
      </c>
      <c r="CL148" s="21">
        <f t="shared" si="1451"/>
        <v>1106.3291900102904</v>
      </c>
      <c r="CM148" s="20">
        <f t="shared" si="1451"/>
        <v>1081.3593452939745</v>
      </c>
      <c r="CN148" s="20">
        <f t="shared" si="1451"/>
        <v>1110.1731892111486</v>
      </c>
      <c r="CO148" s="20">
        <f t="shared" si="1451"/>
        <v>1114.6332126120158</v>
      </c>
      <c r="CP148" s="20">
        <f t="shared" si="1451"/>
        <v>1094.8323305114782</v>
      </c>
      <c r="CQ148" s="20">
        <f t="shared" si="1451"/>
        <v>1069.4273059792545</v>
      </c>
      <c r="CR148" s="20">
        <f t="shared" si="1451"/>
        <v>1100.0245458912902</v>
      </c>
      <c r="CS148" s="20">
        <f t="shared" si="1451"/>
        <v>1105.4116952595023</v>
      </c>
      <c r="CT148" s="20">
        <f t="shared" si="1451"/>
        <v>1084.9139964850724</v>
      </c>
      <c r="CU148" s="20">
        <f t="shared" si="1451"/>
        <v>1059.3992436416522</v>
      </c>
      <c r="CV148" s="20">
        <f t="shared" si="1451"/>
        <v>1090.1653277180808</v>
      </c>
      <c r="CW148" s="20">
        <f t="shared" si="1451"/>
        <v>1095.5535971519232</v>
      </c>
      <c r="CX148" s="20">
        <f t="shared" si="1451"/>
        <v>1075.0637843205413</v>
      </c>
      <c r="CY148" s="20">
        <f t="shared" si="1451"/>
        <v>1049.7753815764622</v>
      </c>
      <c r="CZ148" s="20">
        <f t="shared" si="1451"/>
        <v>1080.3417720094853</v>
      </c>
      <c r="DA148" s="20">
        <f t="shared" si="1451"/>
        <v>1085.6682464987687</v>
      </c>
      <c r="DD148" s="125"/>
      <c r="DE148" s="21">
        <v>1120.379411659017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35.599600000000002</v>
      </c>
      <c r="R149" s="22">
        <f>'Annual Raw'!S50+'Annual Raw'!S58</f>
        <v>11.8626</v>
      </c>
      <c r="S149" s="22">
        <f>'Annual Raw'!T50+'Annual Raw'!T58</f>
        <v>12.571400000000001</v>
      </c>
      <c r="T149" s="22">
        <f>'Annual Raw'!U50+'Annual Raw'!U58</f>
        <v>11.9009</v>
      </c>
      <c r="U149" s="22">
        <f>'Annual Raw'!V50+'Annual Raw'!V58</f>
        <v>9.01</v>
      </c>
      <c r="V149" s="22">
        <f>'Annual Raw'!W50+'Annual Raw'!W58</f>
        <v>52.95</v>
      </c>
      <c r="W149" s="22">
        <f>'Annual Raw'!X50+'Annual Raw'!X58</f>
        <v>64.099999999999994</v>
      </c>
      <c r="X149" s="22">
        <f>'Annual Raw'!Y50+'Annual Raw'!Y58</f>
        <v>48.45</v>
      </c>
      <c r="Y149" s="22">
        <f>'Annual Raw'!Z50+'Annual Raw'!Z58</f>
        <v>62.32</v>
      </c>
      <c r="Z149" s="22">
        <f>'Annual Raw'!AA50+'Annual Raw'!AA58</f>
        <v>57.32</v>
      </c>
      <c r="AA149" s="22">
        <f>'Annual Raw'!AB50+'Annual Raw'!AB58</f>
        <v>52.93</v>
      </c>
      <c r="AB149" s="23">
        <f t="shared" ref="AB149:AB155" si="1452">+CO149</f>
        <v>0</v>
      </c>
      <c r="AC149" s="23">
        <f t="shared" ref="AC149:AC155" si="1453">+CS149</f>
        <v>0</v>
      </c>
      <c r="AD149" s="23">
        <f t="shared" ref="AD149:AD155" si="1454">+CW149</f>
        <v>0</v>
      </c>
      <c r="AE149" s="23">
        <f t="shared" ref="AE149:AE155" si="1455">+DA149</f>
        <v>0</v>
      </c>
      <c r="AI149" s="22">
        <f>+'QTR Raw'!C64</f>
        <v>0</v>
      </c>
      <c r="AJ149" s="22">
        <f t="shared" ref="AJ149:AJ152" si="1456">+AI149</f>
        <v>0</v>
      </c>
      <c r="AK149" s="22">
        <f>+'QTR Raw'!E64</f>
        <v>0</v>
      </c>
      <c r="AL149" s="22">
        <f t="shared" ref="AL149:AL152" si="1457">+AK149</f>
        <v>0</v>
      </c>
      <c r="AM149" s="22">
        <f>+'QTR Raw'!G64</f>
        <v>0</v>
      </c>
      <c r="AN149" s="22">
        <f t="shared" ref="AN149:AN152" si="1458">+AM149</f>
        <v>0</v>
      </c>
      <c r="AO149" s="22">
        <f>+'QTR Raw'!I64</f>
        <v>0</v>
      </c>
      <c r="AP149" s="22">
        <f t="shared" ref="AP149:AP152" si="1459">+AO149</f>
        <v>0</v>
      </c>
      <c r="AQ149" s="22">
        <f>+'QTR Raw'!K64</f>
        <v>0</v>
      </c>
      <c r="AR149" s="22">
        <f t="shared" ref="AR149:AR152" si="1460">+AQ149</f>
        <v>0</v>
      </c>
      <c r="AS149" s="22">
        <f>+'QTR Raw'!M64</f>
        <v>0</v>
      </c>
      <c r="AT149" s="22">
        <f t="shared" ref="AT149:AT152" si="1461">+AS149</f>
        <v>0</v>
      </c>
      <c r="AU149" s="22">
        <f>+'QTR Raw'!O64</f>
        <v>49.42</v>
      </c>
      <c r="AV149" s="22">
        <f t="shared" ref="AV149:AV152" si="1462">+AU149</f>
        <v>49.42</v>
      </c>
      <c r="AW149" s="22">
        <f>+'QTR Raw'!Q64</f>
        <v>35.6</v>
      </c>
      <c r="AX149" s="22">
        <f t="shared" ref="AX149:AX152" si="1463">+AW149</f>
        <v>35.6</v>
      </c>
      <c r="AY149" s="22">
        <f>+'QTR Raw'!S64</f>
        <v>35.6</v>
      </c>
      <c r="AZ149" s="22">
        <f t="shared" ref="AZ149:AZ152" si="1464">+AY149</f>
        <v>35.6</v>
      </c>
      <c r="BA149" s="22">
        <f>+'QTR Raw'!U64</f>
        <v>0.2</v>
      </c>
      <c r="BB149" s="22">
        <f t="shared" ref="BB149:BB152" si="1465">+BA149</f>
        <v>0.2</v>
      </c>
      <c r="BC149" s="22">
        <f>+'QTR Raw'!W64</f>
        <v>13.2</v>
      </c>
      <c r="BD149" s="22">
        <f t="shared" ref="BD149:BD152" si="1466">+BC149</f>
        <v>13.2</v>
      </c>
      <c r="BE149" s="22">
        <f>+'QTR Raw'!Y64</f>
        <v>12.58</v>
      </c>
      <c r="BF149" s="22">
        <f t="shared" ref="BF149:BF152" si="1467">+BE149</f>
        <v>12.58</v>
      </c>
      <c r="BG149" s="22">
        <f>+'QTR Raw'!AA64</f>
        <v>13.73</v>
      </c>
      <c r="BH149" s="22">
        <f t="shared" ref="BH149:BH152" si="1468">+BG149</f>
        <v>13.73</v>
      </c>
      <c r="BI149" s="22">
        <f>+'QTR Raw'!AC64</f>
        <v>11.9</v>
      </c>
      <c r="BJ149" s="22">
        <f t="shared" ref="BJ149:BJ152" si="1469">+BI149</f>
        <v>11.9</v>
      </c>
      <c r="BK149" s="22">
        <f>+'QTR Raw'!AE64</f>
        <v>12.14</v>
      </c>
      <c r="BL149" s="22">
        <f t="shared" ref="BL149:BL152" si="1470">+BK149</f>
        <v>12.14</v>
      </c>
      <c r="BM149" s="22">
        <f>+'QTR Raw'!AG64</f>
        <v>9.01</v>
      </c>
      <c r="BN149" s="22">
        <f t="shared" ref="BN149:BN152" si="1471">+BM149</f>
        <v>9.01</v>
      </c>
      <c r="BO149" s="22">
        <f>+'QTR Raw'!AI64</f>
        <v>51.36</v>
      </c>
      <c r="BP149" s="22">
        <f t="shared" ref="BP149:BP152" si="1472">+BO149</f>
        <v>51.36</v>
      </c>
      <c r="BQ149" s="22">
        <f>+'QTR Raw'!AK64</f>
        <v>52.95</v>
      </c>
      <c r="BR149" s="22">
        <f t="shared" ref="BR149:BR152" si="1473">+BQ149</f>
        <v>52.95</v>
      </c>
      <c r="BS149" s="22">
        <f>+'QTR Raw'!AM64</f>
        <v>66.599999999999994</v>
      </c>
      <c r="BT149" s="22">
        <f t="shared" ref="BT149:BT152" si="1474">+BS149</f>
        <v>66.599999999999994</v>
      </c>
      <c r="BU149" s="22">
        <f>+'QTR Raw'!AO64</f>
        <v>64.099999999999994</v>
      </c>
      <c r="BV149" s="22">
        <f t="shared" ref="BV149:BV152" si="1475">+BU149</f>
        <v>64.099999999999994</v>
      </c>
      <c r="BW149" s="22">
        <f>+'QTR Raw'!AQ64</f>
        <v>44.77</v>
      </c>
      <c r="BX149" s="22">
        <f t="shared" ref="BX149:BX152" si="1476">+BW149</f>
        <v>44.77</v>
      </c>
      <c r="BY149" s="22">
        <f>+'QTR Raw'!AS64</f>
        <v>48.45</v>
      </c>
      <c r="BZ149" s="22">
        <f t="shared" ref="BZ149:BZ152" si="1477">+BY149</f>
        <v>48.45</v>
      </c>
      <c r="CA149" s="22">
        <f>+'QTR Raw'!AU64</f>
        <v>51.37</v>
      </c>
      <c r="CB149" s="22">
        <f t="shared" ref="CB149:CB152" si="1478">+CA149</f>
        <v>51.37</v>
      </c>
      <c r="CC149" s="22">
        <f>+'QTR Raw'!AW64</f>
        <v>62.32</v>
      </c>
      <c r="CD149" s="22">
        <f t="shared" ref="CD149:CD152" si="1479">+CC149</f>
        <v>62.32</v>
      </c>
      <c r="CE149" s="22">
        <f>+'QTR Raw'!AY64</f>
        <v>59.23</v>
      </c>
      <c r="CF149" s="22">
        <f t="shared" ref="CF149:CL155" si="1480">+CE149</f>
        <v>59.23</v>
      </c>
      <c r="CG149" s="22">
        <f t="shared" ref="CG149:CG155" si="1481">+Z149</f>
        <v>57.32</v>
      </c>
      <c r="CH149" s="22">
        <f t="shared" si="1480"/>
        <v>57.32</v>
      </c>
      <c r="CI149" s="22">
        <f>+'QTR Raw'!BC64</f>
        <v>55.87</v>
      </c>
      <c r="CJ149" s="22">
        <f t="shared" si="1480"/>
        <v>55.87</v>
      </c>
      <c r="CK149" s="23"/>
      <c r="CL149" s="22">
        <f t="shared" si="1480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52"/>
        <v>0</v>
      </c>
      <c r="AC150" s="23">
        <f t="shared" si="1453"/>
        <v>0</v>
      </c>
      <c r="AD150" s="23">
        <f t="shared" si="1454"/>
        <v>0</v>
      </c>
      <c r="AE150" s="23">
        <f t="shared" si="1455"/>
        <v>0</v>
      </c>
      <c r="AI150" s="22">
        <f>+'QTR Raw'!C65</f>
        <v>0</v>
      </c>
      <c r="AJ150" s="22">
        <f t="shared" si="1456"/>
        <v>0</v>
      </c>
      <c r="AK150" s="22">
        <f>+'QTR Raw'!E65</f>
        <v>0</v>
      </c>
      <c r="AL150" s="22">
        <f t="shared" si="1457"/>
        <v>0</v>
      </c>
      <c r="AM150" s="22">
        <f>+'QTR Raw'!G65</f>
        <v>0</v>
      </c>
      <c r="AN150" s="22">
        <f t="shared" si="1458"/>
        <v>0</v>
      </c>
      <c r="AO150" s="22">
        <f>+'QTR Raw'!I65</f>
        <v>0</v>
      </c>
      <c r="AP150" s="22">
        <f t="shared" si="1459"/>
        <v>0</v>
      </c>
      <c r="AQ150" s="22">
        <f>+'QTR Raw'!K65</f>
        <v>0</v>
      </c>
      <c r="AR150" s="22">
        <f t="shared" si="1460"/>
        <v>0</v>
      </c>
      <c r="AS150" s="22">
        <f>+'QTR Raw'!M65</f>
        <v>0</v>
      </c>
      <c r="AT150" s="22">
        <f t="shared" si="1461"/>
        <v>0</v>
      </c>
      <c r="AU150" s="22">
        <f>+'QTR Raw'!O65</f>
        <v>0</v>
      </c>
      <c r="AV150" s="22">
        <f t="shared" si="1462"/>
        <v>0</v>
      </c>
      <c r="AW150" s="22">
        <f>+'QTR Raw'!Q65</f>
        <v>0</v>
      </c>
      <c r="AX150" s="22">
        <f t="shared" si="1463"/>
        <v>0</v>
      </c>
      <c r="AY150" s="22">
        <f>+'QTR Raw'!S65</f>
        <v>0</v>
      </c>
      <c r="AZ150" s="22">
        <f t="shared" si="1464"/>
        <v>0</v>
      </c>
      <c r="BA150" s="22">
        <f>+'QTR Raw'!U65</f>
        <v>0</v>
      </c>
      <c r="BB150" s="22">
        <f t="shared" si="1465"/>
        <v>0</v>
      </c>
      <c r="BC150" s="22">
        <f>+'QTR Raw'!W65</f>
        <v>0</v>
      </c>
      <c r="BD150" s="22">
        <f t="shared" si="1466"/>
        <v>0</v>
      </c>
      <c r="BE150" s="22">
        <f>+'QTR Raw'!Y65</f>
        <v>0</v>
      </c>
      <c r="BF150" s="22">
        <f t="shared" si="1467"/>
        <v>0</v>
      </c>
      <c r="BG150" s="22">
        <f>+'QTR Raw'!AA65</f>
        <v>0</v>
      </c>
      <c r="BH150" s="22">
        <f t="shared" si="1468"/>
        <v>0</v>
      </c>
      <c r="BI150" s="22">
        <f>+'QTR Raw'!AC65</f>
        <v>0</v>
      </c>
      <c r="BJ150" s="22">
        <f t="shared" si="1469"/>
        <v>0</v>
      </c>
      <c r="BK150" s="22">
        <f>+'QTR Raw'!AE65</f>
        <v>0</v>
      </c>
      <c r="BL150" s="22">
        <f t="shared" si="1470"/>
        <v>0</v>
      </c>
      <c r="BM150" s="22">
        <f>+'QTR Raw'!AG65</f>
        <v>0</v>
      </c>
      <c r="BN150" s="22">
        <f t="shared" si="1471"/>
        <v>0</v>
      </c>
      <c r="BO150" s="22">
        <f>+'QTR Raw'!AI65</f>
        <v>0</v>
      </c>
      <c r="BP150" s="22">
        <f t="shared" si="1472"/>
        <v>0</v>
      </c>
      <c r="BQ150" s="22">
        <f>+'QTR Raw'!AK65</f>
        <v>0</v>
      </c>
      <c r="BR150" s="22">
        <f t="shared" si="1473"/>
        <v>0</v>
      </c>
      <c r="BS150" s="22">
        <f>+'QTR Raw'!AM65</f>
        <v>0</v>
      </c>
      <c r="BT150" s="22">
        <f t="shared" si="1474"/>
        <v>0</v>
      </c>
      <c r="BU150" s="22">
        <f>+'QTR Raw'!AO65</f>
        <v>0</v>
      </c>
      <c r="BV150" s="22">
        <f t="shared" si="1475"/>
        <v>0</v>
      </c>
      <c r="BW150" s="22">
        <f>+'QTR Raw'!AQ65</f>
        <v>0</v>
      </c>
      <c r="BX150" s="22">
        <f t="shared" si="1476"/>
        <v>0</v>
      </c>
      <c r="BY150" s="22">
        <f>+'QTR Raw'!AS65</f>
        <v>0</v>
      </c>
      <c r="BZ150" s="22">
        <f t="shared" si="1477"/>
        <v>0</v>
      </c>
      <c r="CA150" s="22">
        <f>+'QTR Raw'!AU65</f>
        <v>0</v>
      </c>
      <c r="CB150" s="22">
        <f t="shared" si="1478"/>
        <v>0</v>
      </c>
      <c r="CC150" s="22">
        <f>+'QTR Raw'!AW65</f>
        <v>0</v>
      </c>
      <c r="CD150" s="22">
        <f t="shared" si="1479"/>
        <v>0</v>
      </c>
      <c r="CE150" s="22">
        <f>+'QTR Raw'!AY65</f>
        <v>0</v>
      </c>
      <c r="CF150" s="22">
        <f t="shared" si="1480"/>
        <v>0</v>
      </c>
      <c r="CG150" s="22">
        <f t="shared" si="1481"/>
        <v>0</v>
      </c>
      <c r="CH150" s="22">
        <f t="shared" si="1480"/>
        <v>0</v>
      </c>
      <c r="CI150" s="22">
        <f>+'QTR Raw'!BC65</f>
        <v>0</v>
      </c>
      <c r="CJ150" s="22">
        <f t="shared" si="1480"/>
        <v>0</v>
      </c>
      <c r="CK150" s="23"/>
      <c r="CL150" s="22">
        <f t="shared" si="1480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0.79169999999999996</v>
      </c>
      <c r="N151" s="22">
        <f>'Annual Raw'!O52</f>
        <v>1.5179</v>
      </c>
      <c r="O151" s="22">
        <f>'Annual Raw'!P52</f>
        <v>1.2738</v>
      </c>
      <c r="P151" s="22">
        <f>'Annual Raw'!Q52</f>
        <v>1.4433</v>
      </c>
      <c r="Q151" s="22">
        <f>'Annual Raw'!R52</f>
        <v>6.4855999999999998</v>
      </c>
      <c r="R151" s="22">
        <f>'Annual Raw'!S52</f>
        <v>3.9820000000000002</v>
      </c>
      <c r="S151" s="22">
        <f>'Annual Raw'!T52</f>
        <v>3.2433999999999998</v>
      </c>
      <c r="T151" s="22">
        <f>'Annual Raw'!U52</f>
        <v>3.3538000000000001</v>
      </c>
      <c r="U151" s="22">
        <f>'Annual Raw'!V52</f>
        <v>4.3600000000000003</v>
      </c>
      <c r="V151" s="22">
        <f>'Annual Raw'!W52</f>
        <v>7.73</v>
      </c>
      <c r="W151" s="22">
        <f>'Annual Raw'!X52</f>
        <v>432.14</v>
      </c>
      <c r="X151" s="22">
        <f>'Annual Raw'!Y52</f>
        <v>449.21</v>
      </c>
      <c r="Y151" s="22">
        <f>'Annual Raw'!Z52</f>
        <v>412.25</v>
      </c>
      <c r="Z151" s="22">
        <f>'Annual Raw'!AA52</f>
        <v>504.56</v>
      </c>
      <c r="AA151" s="22">
        <f>'Annual Raw'!AB52</f>
        <v>375.93</v>
      </c>
      <c r="AB151" s="23">
        <f t="shared" si="1452"/>
        <v>0</v>
      </c>
      <c r="AC151" s="23">
        <f t="shared" si="1453"/>
        <v>0</v>
      </c>
      <c r="AD151" s="23">
        <f t="shared" si="1454"/>
        <v>0</v>
      </c>
      <c r="AE151" s="23">
        <f t="shared" si="1455"/>
        <v>0</v>
      </c>
      <c r="AI151" s="22">
        <f>+'QTR Raw'!C66</f>
        <v>3.53</v>
      </c>
      <c r="AJ151" s="22">
        <f t="shared" si="1456"/>
        <v>3.53</v>
      </c>
      <c r="AK151" s="22">
        <f>+'QTR Raw'!E66</f>
        <v>1.52</v>
      </c>
      <c r="AL151" s="22">
        <f t="shared" si="1457"/>
        <v>1.52</v>
      </c>
      <c r="AM151" s="22">
        <f>+'QTR Raw'!G66</f>
        <v>1.41</v>
      </c>
      <c r="AN151" s="22">
        <f t="shared" si="1458"/>
        <v>1.41</v>
      </c>
      <c r="AO151" s="22">
        <f>+'QTR Raw'!I66</f>
        <v>1.27</v>
      </c>
      <c r="AP151" s="22">
        <f t="shared" si="1459"/>
        <v>1.27</v>
      </c>
      <c r="AQ151" s="22">
        <f>+'QTR Raw'!K66</f>
        <v>1.66</v>
      </c>
      <c r="AR151" s="22">
        <f t="shared" si="1460"/>
        <v>1.66</v>
      </c>
      <c r="AS151" s="22">
        <f>+'QTR Raw'!M66</f>
        <v>1.44</v>
      </c>
      <c r="AT151" s="22">
        <f t="shared" si="1461"/>
        <v>1.44</v>
      </c>
      <c r="AU151" s="22">
        <f>+'QTR Raw'!O66</f>
        <v>5.89</v>
      </c>
      <c r="AV151" s="22">
        <f t="shared" si="1462"/>
        <v>5.89</v>
      </c>
      <c r="AW151" s="22">
        <f>+'QTR Raw'!Q66</f>
        <v>6.49</v>
      </c>
      <c r="AX151" s="22">
        <f t="shared" si="1463"/>
        <v>6.49</v>
      </c>
      <c r="AY151" s="22">
        <f>+'QTR Raw'!S66</f>
        <v>6.26</v>
      </c>
      <c r="AZ151" s="22">
        <f t="shared" si="1464"/>
        <v>6.26</v>
      </c>
      <c r="BA151" s="22">
        <f>+'QTR Raw'!U66</f>
        <v>8.49</v>
      </c>
      <c r="BB151" s="22">
        <f t="shared" si="1465"/>
        <v>8.49</v>
      </c>
      <c r="BC151" s="22">
        <f>+'QTR Raw'!W66</f>
        <v>4.3099999999999996</v>
      </c>
      <c r="BD151" s="22">
        <f t="shared" si="1466"/>
        <v>4.3099999999999996</v>
      </c>
      <c r="BE151" s="22">
        <f>+'QTR Raw'!Y66</f>
        <v>3.24</v>
      </c>
      <c r="BF151" s="22">
        <f t="shared" si="1467"/>
        <v>3.24</v>
      </c>
      <c r="BG151" s="22">
        <f>+'QTR Raw'!AA66</f>
        <v>3.1</v>
      </c>
      <c r="BH151" s="22">
        <f t="shared" si="1468"/>
        <v>3.1</v>
      </c>
      <c r="BI151" s="22">
        <f>+'QTR Raw'!AC66</f>
        <v>3.35</v>
      </c>
      <c r="BJ151" s="22">
        <f t="shared" si="1469"/>
        <v>3.35</v>
      </c>
      <c r="BK151" s="22">
        <f>+'QTR Raw'!AE66</f>
        <v>4.29</v>
      </c>
      <c r="BL151" s="22">
        <f t="shared" si="1470"/>
        <v>4.29</v>
      </c>
      <c r="BM151" s="22">
        <f>+'QTR Raw'!AG66</f>
        <v>4.3600000000000003</v>
      </c>
      <c r="BN151" s="22">
        <f t="shared" si="1471"/>
        <v>4.3600000000000003</v>
      </c>
      <c r="BO151" s="22">
        <f>+'QTR Raw'!AI66</f>
        <v>11.4</v>
      </c>
      <c r="BP151" s="22">
        <f t="shared" si="1472"/>
        <v>11.4</v>
      </c>
      <c r="BQ151" s="22">
        <f>+'QTR Raw'!AK66</f>
        <v>7.73</v>
      </c>
      <c r="BR151" s="22">
        <f t="shared" si="1473"/>
        <v>7.73</v>
      </c>
      <c r="BS151" s="22">
        <f>+'QTR Raw'!AM66</f>
        <v>3.33</v>
      </c>
      <c r="BT151" s="22">
        <f t="shared" si="1474"/>
        <v>3.33</v>
      </c>
      <c r="BU151" s="22">
        <f>+'QTR Raw'!AO66</f>
        <v>6.17</v>
      </c>
      <c r="BV151" s="22">
        <f t="shared" si="1475"/>
        <v>6.17</v>
      </c>
      <c r="BW151" s="22">
        <f>+'QTR Raw'!AQ66</f>
        <v>6.07</v>
      </c>
      <c r="BX151" s="22">
        <f t="shared" si="1476"/>
        <v>6.07</v>
      </c>
      <c r="BY151" s="22">
        <f>+'QTR Raw'!AS66</f>
        <v>5.95</v>
      </c>
      <c r="BZ151" s="22">
        <f t="shared" si="1477"/>
        <v>5.95</v>
      </c>
      <c r="CA151" s="22">
        <f>+'QTR Raw'!AU66</f>
        <v>5.03</v>
      </c>
      <c r="CB151" s="22">
        <f t="shared" si="1478"/>
        <v>5.03</v>
      </c>
      <c r="CC151" s="22">
        <f>+'QTR Raw'!AW66</f>
        <v>3.03</v>
      </c>
      <c r="CD151" s="22">
        <f t="shared" si="1479"/>
        <v>3.03</v>
      </c>
      <c r="CE151" s="22">
        <f>+'QTR Raw'!AY66</f>
        <v>6.65</v>
      </c>
      <c r="CF151" s="22">
        <f t="shared" si="1480"/>
        <v>6.65</v>
      </c>
      <c r="CG151" s="22">
        <f t="shared" si="1481"/>
        <v>504.56</v>
      </c>
      <c r="CH151" s="22">
        <f t="shared" si="1480"/>
        <v>504.56</v>
      </c>
      <c r="CI151" s="22">
        <f>+'QTR Raw'!BC66</f>
        <v>9.3699999999999992</v>
      </c>
      <c r="CJ151" s="22">
        <f t="shared" si="1480"/>
        <v>9.3699999999999992</v>
      </c>
      <c r="CK151" s="23"/>
      <c r="CL151" s="22">
        <f t="shared" si="1480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52"/>
        <v>162.58313209573197</v>
      </c>
      <c r="AC152" s="23">
        <f t="shared" si="1453"/>
        <v>161.23805897492173</v>
      </c>
      <c r="AD152" s="23">
        <f t="shared" si="1454"/>
        <v>159.80013262506776</v>
      </c>
      <c r="AE152" s="23">
        <f t="shared" si="1455"/>
        <v>158.35823115212656</v>
      </c>
      <c r="AI152" s="22">
        <f>+'QTR Raw'!C87</f>
        <v>155.71</v>
      </c>
      <c r="AJ152" s="22">
        <f t="shared" si="1456"/>
        <v>155.71</v>
      </c>
      <c r="AK152" s="22">
        <f>+'QTR Raw'!E87</f>
        <v>0</v>
      </c>
      <c r="AL152" s="22">
        <f t="shared" si="1457"/>
        <v>0</v>
      </c>
      <c r="AM152" s="22">
        <f>+'QTR Raw'!G87</f>
        <v>187.75</v>
      </c>
      <c r="AN152" s="22">
        <f t="shared" si="1458"/>
        <v>187.75</v>
      </c>
      <c r="AO152" s="22">
        <f>+'QTR Raw'!I87</f>
        <v>0</v>
      </c>
      <c r="AP152" s="22">
        <f t="shared" si="1459"/>
        <v>0</v>
      </c>
      <c r="AQ152" s="22">
        <f>+'QTR Raw'!K87</f>
        <v>0</v>
      </c>
      <c r="AR152" s="22">
        <f t="shared" si="1460"/>
        <v>0</v>
      </c>
      <c r="AS152" s="22">
        <f>+'QTR Raw'!M87</f>
        <v>0</v>
      </c>
      <c r="AT152" s="22">
        <f t="shared" si="1461"/>
        <v>0</v>
      </c>
      <c r="AU152" s="22">
        <f>+'QTR Raw'!O87</f>
        <v>0</v>
      </c>
      <c r="AV152" s="22">
        <f t="shared" si="1462"/>
        <v>0</v>
      </c>
      <c r="AW152" s="22">
        <f>+'QTR Raw'!Q87</f>
        <v>0</v>
      </c>
      <c r="AX152" s="22">
        <f t="shared" si="1463"/>
        <v>0</v>
      </c>
      <c r="AY152" s="22">
        <f>+'QTR Raw'!S87</f>
        <v>0</v>
      </c>
      <c r="AZ152" s="22">
        <f t="shared" si="1464"/>
        <v>0</v>
      </c>
      <c r="BA152" s="22">
        <f>+'QTR Raw'!U87</f>
        <v>0</v>
      </c>
      <c r="BB152" s="22">
        <f t="shared" si="1465"/>
        <v>0</v>
      </c>
      <c r="BC152" s="22">
        <f>+'QTR Raw'!W87</f>
        <v>0</v>
      </c>
      <c r="BD152" s="22">
        <f t="shared" si="1466"/>
        <v>0</v>
      </c>
      <c r="BE152" s="22">
        <f>+'QTR Raw'!Y87</f>
        <v>0</v>
      </c>
      <c r="BF152" s="22">
        <f t="shared" si="1467"/>
        <v>0</v>
      </c>
      <c r="BG152" s="22">
        <f>+'QTR Raw'!AA87</f>
        <v>0</v>
      </c>
      <c r="BH152" s="22">
        <f t="shared" si="1468"/>
        <v>0</v>
      </c>
      <c r="BI152" s="22">
        <f>+'QTR Raw'!AC87</f>
        <v>0</v>
      </c>
      <c r="BJ152" s="22">
        <f t="shared" si="1469"/>
        <v>0</v>
      </c>
      <c r="BK152" s="22">
        <f>+'QTR Raw'!AE87</f>
        <v>0</v>
      </c>
      <c r="BL152" s="22">
        <f t="shared" si="1470"/>
        <v>0</v>
      </c>
      <c r="BM152" s="22">
        <f>+'QTR Raw'!AG87</f>
        <v>0</v>
      </c>
      <c r="BN152" s="22">
        <f t="shared" si="1471"/>
        <v>0</v>
      </c>
      <c r="BO152" s="22">
        <f>+'QTR Raw'!AI87</f>
        <v>0</v>
      </c>
      <c r="BP152" s="22">
        <f t="shared" si="1472"/>
        <v>0</v>
      </c>
      <c r="BQ152" s="22">
        <f>+'QTR Raw'!AK87</f>
        <v>0</v>
      </c>
      <c r="BR152" s="22">
        <f t="shared" si="1473"/>
        <v>0</v>
      </c>
      <c r="BS152" s="22">
        <f>+'QTR Raw'!AM87</f>
        <v>0</v>
      </c>
      <c r="BT152" s="22">
        <f t="shared" si="1474"/>
        <v>0</v>
      </c>
      <c r="BU152" s="22">
        <f>+'QTR Raw'!AO87</f>
        <v>0</v>
      </c>
      <c r="BV152" s="22">
        <f t="shared" si="1475"/>
        <v>0</v>
      </c>
      <c r="BW152" s="22">
        <f>+'QTR Raw'!AQ87</f>
        <v>0</v>
      </c>
      <c r="BX152" s="22">
        <f t="shared" si="1476"/>
        <v>0</v>
      </c>
      <c r="BY152" s="22">
        <f>+'QTR Raw'!AS87</f>
        <v>0</v>
      </c>
      <c r="BZ152" s="22">
        <f t="shared" si="1477"/>
        <v>0</v>
      </c>
      <c r="CA152" s="22">
        <f>+'QTR Raw'!AU87</f>
        <v>0</v>
      </c>
      <c r="CB152" s="22">
        <f t="shared" si="1478"/>
        <v>0</v>
      </c>
      <c r="CC152" s="22">
        <f>+'QTR Raw'!AW87</f>
        <v>0</v>
      </c>
      <c r="CD152" s="22">
        <f t="shared" si="1479"/>
        <v>0</v>
      </c>
      <c r="CE152" s="22">
        <f>+'QTR Raw'!AY87</f>
        <v>0</v>
      </c>
      <c r="CF152" s="22">
        <f t="shared" si="1480"/>
        <v>0</v>
      </c>
      <c r="CG152" s="22">
        <f t="shared" si="1481"/>
        <v>0</v>
      </c>
      <c r="CH152" s="22">
        <f t="shared" si="1480"/>
        <v>0</v>
      </c>
      <c r="CI152" s="22">
        <f>+'QTR Raw'!BC87</f>
        <v>0</v>
      </c>
      <c r="CJ152" s="22">
        <f t="shared" si="1480"/>
        <v>0</v>
      </c>
      <c r="CK152" s="23">
        <f t="shared" ref="CK152:DA152" si="1482">CK10/90*CK184</f>
        <v>163.42128677131149</v>
      </c>
      <c r="CL152" s="22">
        <f t="shared" si="1480"/>
        <v>163.42128677131149</v>
      </c>
      <c r="CM152" s="23">
        <f t="shared" si="1482"/>
        <v>157.72972426229072</v>
      </c>
      <c r="CN152" s="23">
        <f t="shared" si="1482"/>
        <v>161.93258215201192</v>
      </c>
      <c r="CO152" s="23">
        <f t="shared" si="1482"/>
        <v>162.58313209573197</v>
      </c>
      <c r="CP152" s="23">
        <f t="shared" si="1482"/>
        <v>159.69492690523734</v>
      </c>
      <c r="CQ152" s="23">
        <f t="shared" si="1482"/>
        <v>155.98928776522044</v>
      </c>
      <c r="CR152" s="23">
        <f t="shared" si="1482"/>
        <v>160.45227616543681</v>
      </c>
      <c r="CS152" s="23">
        <f t="shared" si="1482"/>
        <v>161.23805897492173</v>
      </c>
      <c r="CT152" s="23">
        <f t="shared" si="1482"/>
        <v>158.24821439663918</v>
      </c>
      <c r="CU152" s="23">
        <f t="shared" si="1482"/>
        <v>154.52657001623291</v>
      </c>
      <c r="CV152" s="23">
        <f t="shared" si="1482"/>
        <v>159.01418644006498</v>
      </c>
      <c r="CW152" s="23">
        <f t="shared" si="1482"/>
        <v>159.80013262506776</v>
      </c>
      <c r="CX152" s="23">
        <f t="shared" si="1482"/>
        <v>156.81143830976478</v>
      </c>
      <c r="CY152" s="23">
        <f t="shared" si="1482"/>
        <v>153.1228099095793</v>
      </c>
      <c r="CZ152" s="23">
        <f t="shared" si="1482"/>
        <v>157.58129852918202</v>
      </c>
      <c r="DA152" s="23">
        <f t="shared" si="1482"/>
        <v>158.35823115212656</v>
      </c>
      <c r="DD152" s="122"/>
      <c r="DE152" s="22">
        <v>163.42128677131149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41.422199999999997</v>
      </c>
      <c r="E153" s="22">
        <f>'Annual Raw'!F54</f>
        <v>39.947699999999998</v>
      </c>
      <c r="F153" s="22">
        <f>'Annual Raw'!G54</f>
        <v>52.459400000000002</v>
      </c>
      <c r="G153" s="22">
        <f>'Annual Raw'!H54</f>
        <v>56.9955</v>
      </c>
      <c r="H153" s="22">
        <f>'Annual Raw'!I54</f>
        <v>57.144199999999998</v>
      </c>
      <c r="I153" s="22">
        <f>'Annual Raw'!J54</f>
        <v>77.286000000000001</v>
      </c>
      <c r="J153" s="22">
        <f>'Annual Raw'!K54</f>
        <v>64.716700000000003</v>
      </c>
      <c r="K153" s="22">
        <f>'Annual Raw'!L54</f>
        <v>81.471299999999999</v>
      </c>
      <c r="L153" s="22">
        <f>'Annual Raw'!M54</f>
        <v>94.103399999999993</v>
      </c>
      <c r="M153" s="22">
        <f>'Annual Raw'!N54</f>
        <v>114.42100000000001</v>
      </c>
      <c r="N153" s="22">
        <f>'Annual Raw'!O54</f>
        <v>128.2458</v>
      </c>
      <c r="O153" s="22">
        <f>'Annual Raw'!P54</f>
        <v>148.54810000000001</v>
      </c>
      <c r="P153" s="22">
        <f>'Annual Raw'!Q54</f>
        <v>173.9725</v>
      </c>
      <c r="Q153" s="22">
        <f>'Annual Raw'!R54</f>
        <v>286.73509999999999</v>
      </c>
      <c r="R153" s="22">
        <f>'Annual Raw'!S54</f>
        <v>325.79079999999999</v>
      </c>
      <c r="S153" s="22">
        <f>'Annual Raw'!T54</f>
        <v>365.39589999999998</v>
      </c>
      <c r="T153" s="22">
        <f>'Annual Raw'!U54</f>
        <v>361.73129999999998</v>
      </c>
      <c r="U153" s="22">
        <f>'Annual Raw'!V54</f>
        <v>429.59</v>
      </c>
      <c r="V153" s="22">
        <f>'Annual Raw'!W54</f>
        <v>409.84</v>
      </c>
      <c r="W153" s="22">
        <f>'Annual Raw'!X54</f>
        <v>573.76</v>
      </c>
      <c r="X153" s="22">
        <f>'Annual Raw'!Y54</f>
        <v>477.95</v>
      </c>
      <c r="Y153" s="22">
        <f>'Annual Raw'!Z54</f>
        <v>467.48</v>
      </c>
      <c r="Z153" s="22">
        <f>'Annual Raw'!AA54</f>
        <v>477.86</v>
      </c>
      <c r="AA153" s="22">
        <f>'Annual Raw'!AB54</f>
        <v>454.32</v>
      </c>
      <c r="AB153" s="23">
        <f t="shared" si="1452"/>
        <v>483.44001262164181</v>
      </c>
      <c r="AC153" s="23">
        <f t="shared" si="1453"/>
        <v>479.44044539643511</v>
      </c>
      <c r="AD153" s="23">
        <f t="shared" si="1454"/>
        <v>475.16477962618126</v>
      </c>
      <c r="AE153" s="23">
        <f t="shared" si="1455"/>
        <v>470.87729385018196</v>
      </c>
      <c r="AI153" s="22">
        <f>+'QTR Raw'!C89</f>
        <v>0</v>
      </c>
      <c r="AJ153" s="22">
        <f>+AJ183*AJ10/90</f>
        <v>0</v>
      </c>
      <c r="AK153" s="22">
        <f>+'QTR Raw'!E89</f>
        <v>128.25</v>
      </c>
      <c r="AL153" s="22">
        <f>+AL183*AL10/90</f>
        <v>134.29513761467888</v>
      </c>
      <c r="AM153" s="22">
        <f>+'QTR Raw'!G89</f>
        <v>0</v>
      </c>
      <c r="AN153" s="22">
        <f>+AN183*AN10/90</f>
        <v>0</v>
      </c>
      <c r="AO153" s="22">
        <f>+'QTR Raw'!I89</f>
        <v>148.55000000000001</v>
      </c>
      <c r="AP153" s="22">
        <f>+AP183*AP10/90</f>
        <v>144.19049889948644</v>
      </c>
      <c r="AQ153" s="22">
        <f>+'QTR Raw'!K89</f>
        <v>169.1</v>
      </c>
      <c r="AR153" s="22">
        <f>+AR183*AR10/90</f>
        <v>160.32267161298103</v>
      </c>
      <c r="AS153" s="22">
        <f>+'QTR Raw'!M89</f>
        <v>173.97</v>
      </c>
      <c r="AT153" s="22">
        <f>+AT183*AT10/90</f>
        <v>248.1375159605339</v>
      </c>
      <c r="AU153" s="22">
        <f>+'QTR Raw'!O89</f>
        <v>332.76</v>
      </c>
      <c r="AV153" s="22">
        <f>+AV183*AV10/90</f>
        <v>317.33861023419706</v>
      </c>
      <c r="AW153" s="22">
        <f>+'QTR Raw'!Q89</f>
        <v>286.74</v>
      </c>
      <c r="AX153" s="22">
        <f>+AX183*AX10/90</f>
        <v>285.44747324759942</v>
      </c>
      <c r="AY153" s="22">
        <f>+'QTR Raw'!S89</f>
        <v>374.48</v>
      </c>
      <c r="AZ153" s="22">
        <f>+AZ183*AZ10/90</f>
        <v>364.55809290782605</v>
      </c>
      <c r="BA153" s="22">
        <f>+'QTR Raw'!U89</f>
        <v>323.24</v>
      </c>
      <c r="BB153" s="22">
        <f>+BB183*BB10/90</f>
        <v>315.76710097221167</v>
      </c>
      <c r="BC153" s="22">
        <f>+'QTR Raw'!W89</f>
        <v>350.94</v>
      </c>
      <c r="BD153" s="22">
        <f>+BD183*BD10/90</f>
        <v>343.40255338173756</v>
      </c>
      <c r="BE153" s="22">
        <f>+'QTR Raw'!Y89</f>
        <v>365.39</v>
      </c>
      <c r="BF153" s="22">
        <f>+BF183*BF10/90</f>
        <v>359.60264793294306</v>
      </c>
      <c r="BG153" s="22">
        <f>+'QTR Raw'!AA89</f>
        <v>457.46</v>
      </c>
      <c r="BH153" s="22">
        <f>+BH183*BH10/90</f>
        <v>468.29959259756839</v>
      </c>
      <c r="BI153" s="22">
        <f>+'QTR Raw'!AC89</f>
        <v>361.73</v>
      </c>
      <c r="BJ153" s="22">
        <f>+BJ183*BJ10/90</f>
        <v>370.29134258730653</v>
      </c>
      <c r="BK153" s="22">
        <f>+'QTR Raw'!AE89</f>
        <v>463.18</v>
      </c>
      <c r="BL153" s="22">
        <f>+BL183*BL10/90</f>
        <v>475.1587300986194</v>
      </c>
      <c r="BM153" s="22">
        <f>+'QTR Raw'!AG89</f>
        <v>429.59</v>
      </c>
      <c r="BN153" s="22">
        <f>+BN183*BN10/90</f>
        <v>366.60256913496431</v>
      </c>
      <c r="BO153" s="22">
        <f>+'QTR Raw'!AI89</f>
        <v>467.1</v>
      </c>
      <c r="BP153" s="22">
        <f>+BP183*BP10/90</f>
        <v>499.98266202656089</v>
      </c>
      <c r="BQ153" s="22">
        <f>+'QTR Raw'!AK89</f>
        <v>409.84</v>
      </c>
      <c r="BR153" s="22">
        <f>+BR183*BR10/90</f>
        <v>464.6827663122412</v>
      </c>
      <c r="BS153" s="22">
        <f>+'QTR Raw'!AM89</f>
        <v>507.58</v>
      </c>
      <c r="BT153" s="22">
        <f>+BT183*BT10/90</f>
        <v>512.24491941325596</v>
      </c>
      <c r="BU153" s="22">
        <f>+'QTR Raw'!AO89</f>
        <v>573.76</v>
      </c>
      <c r="BV153" s="22">
        <f>+BV183*BV10/90</f>
        <v>631.81507263025844</v>
      </c>
      <c r="BW153" s="22">
        <f>+'QTR Raw'!AQ89</f>
        <v>615.32000000000005</v>
      </c>
      <c r="BX153" s="22">
        <f>+BX183*BX10/90</f>
        <v>596.96915437697919</v>
      </c>
      <c r="BY153" s="22">
        <f>+'QTR Raw'!AS89</f>
        <v>477.95</v>
      </c>
      <c r="BZ153" s="22">
        <f>+BZ183*BZ10/90</f>
        <v>456.43669573125834</v>
      </c>
      <c r="CA153" s="22">
        <f>+'QTR Raw'!AU89</f>
        <v>454.03</v>
      </c>
      <c r="CB153" s="22">
        <f>+CB183*CB10/90</f>
        <v>483.81179732990182</v>
      </c>
      <c r="CC153" s="22">
        <f>+'QTR Raw'!AW89</f>
        <v>467.48</v>
      </c>
      <c r="CD153" s="22">
        <f>+CD183*CD10/90</f>
        <v>472.42790253921453</v>
      </c>
      <c r="CE153" s="22">
        <f>+'QTR Raw'!AY89</f>
        <v>512.84</v>
      </c>
      <c r="CF153" s="22">
        <f>+CF183*CF10/90</f>
        <v>523.30612244897952</v>
      </c>
      <c r="CG153" s="22">
        <f t="shared" si="1481"/>
        <v>477.86</v>
      </c>
      <c r="CH153" s="22">
        <f>+CH183*CH10/90</f>
        <v>470.77441779328387</v>
      </c>
      <c r="CI153" s="22">
        <f>+'QTR Raw'!BC89</f>
        <v>477.9</v>
      </c>
      <c r="CJ153" s="22">
        <f>+CJ183*CJ10/90</f>
        <v>487.65736242915227</v>
      </c>
      <c r="CK153" s="23">
        <f t="shared" ref="CK153:DA153" si="1483">+CK183*CK10/90</f>
        <v>485.93226075167826</v>
      </c>
      <c r="CL153" s="22">
        <f>+CL183*CL10/90</f>
        <v>478.57911242506896</v>
      </c>
      <c r="CM153" s="23">
        <f t="shared" si="1483"/>
        <v>469.00843221097989</v>
      </c>
      <c r="CN153" s="23">
        <f t="shared" si="1483"/>
        <v>481.50560608789488</v>
      </c>
      <c r="CO153" s="23">
        <f t="shared" si="1483"/>
        <v>483.44001262164181</v>
      </c>
      <c r="CP153" s="23">
        <f t="shared" si="1483"/>
        <v>474.85195102048834</v>
      </c>
      <c r="CQ153" s="23">
        <f t="shared" si="1483"/>
        <v>463.83325424961936</v>
      </c>
      <c r="CR153" s="23">
        <f t="shared" si="1483"/>
        <v>477.10392471044196</v>
      </c>
      <c r="CS153" s="23">
        <f t="shared" si="1483"/>
        <v>479.44044539643511</v>
      </c>
      <c r="CT153" s="23">
        <f t="shared" si="1483"/>
        <v>470.55015965750272</v>
      </c>
      <c r="CU153" s="23">
        <f t="shared" si="1483"/>
        <v>459.48387139595371</v>
      </c>
      <c r="CV153" s="23">
        <f t="shared" si="1483"/>
        <v>472.82777314402068</v>
      </c>
      <c r="CW153" s="23">
        <f t="shared" si="1483"/>
        <v>475.16477962618126</v>
      </c>
      <c r="CX153" s="23">
        <f t="shared" si="1483"/>
        <v>466.27791418763422</v>
      </c>
      <c r="CY153" s="23">
        <f t="shared" si="1483"/>
        <v>455.30979875428022</v>
      </c>
      <c r="CZ153" s="23">
        <f t="shared" si="1483"/>
        <v>468.56708914320592</v>
      </c>
      <c r="DA153" s="23">
        <f t="shared" si="1483"/>
        <v>470.87729385018196</v>
      </c>
      <c r="DD153" s="122"/>
      <c r="DE153" s="22">
        <v>485.93226075167826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11.1294</v>
      </c>
      <c r="E154" s="22">
        <f>'Annual Raw'!F55-Template!E126</f>
        <v>14.350300000000001</v>
      </c>
      <c r="F154" s="22">
        <f>'Annual Raw'!G55-Template!F126</f>
        <v>14.2583</v>
      </c>
      <c r="G154" s="22">
        <f>'Annual Raw'!H55-Template!G126</f>
        <v>17.518000000000001</v>
      </c>
      <c r="H154" s="22">
        <f>'Annual Raw'!I55-Template!H126</f>
        <v>22.648</v>
      </c>
      <c r="I154" s="22">
        <f>'Annual Raw'!J55-Template!I126</f>
        <v>23.471</v>
      </c>
      <c r="J154" s="22">
        <f>'Annual Raw'!K55-Template!J126</f>
        <v>41.808900000000001</v>
      </c>
      <c r="K154" s="22">
        <f>'Annual Raw'!L55-Template!K126</f>
        <v>43.052900000000001</v>
      </c>
      <c r="L154" s="22">
        <f>'Annual Raw'!M55-Template!L126</f>
        <v>31.248799999999999</v>
      </c>
      <c r="M154" s="22">
        <f>'Annual Raw'!N55-Template!M126</f>
        <v>20.351300000000002</v>
      </c>
      <c r="N154" s="22">
        <f>'Annual Raw'!O55-Template!N126</f>
        <v>19.6739</v>
      </c>
      <c r="O154" s="22">
        <f>'Annual Raw'!P55-Template!O126</f>
        <v>24.253799999999998</v>
      </c>
      <c r="P154" s="22">
        <f>'Annual Raw'!Q55-Template!P126</f>
        <v>32.269500000000001</v>
      </c>
      <c r="Q154" s="22">
        <f>'Annual Raw'!R55-Template!Q126</f>
        <v>86.019899999999993</v>
      </c>
      <c r="R154" s="22">
        <f>'Annual Raw'!S55-Template!R126</f>
        <v>126.20529999999999</v>
      </c>
      <c r="S154" s="22">
        <f>'Annual Raw'!T55-Template!S126</f>
        <v>68.881500000000003</v>
      </c>
      <c r="T154" s="22">
        <f>'Annual Raw'!U55-Template!T126</f>
        <v>76.188599999999994</v>
      </c>
      <c r="U154" s="22">
        <f>'Annual Raw'!V55-Template!U126</f>
        <v>64.929999999999993</v>
      </c>
      <c r="V154" s="22">
        <f>'Annual Raw'!W55-Template!V126</f>
        <v>60.32</v>
      </c>
      <c r="W154" s="22">
        <f>'Annual Raw'!X55-Template!W126</f>
        <v>56.94</v>
      </c>
      <c r="X154" s="22">
        <f>'Annual Raw'!Y55-Template!X126</f>
        <v>54.37</v>
      </c>
      <c r="Y154" s="22">
        <f>'Annual Raw'!Z55-Template!Y126</f>
        <v>75.08</v>
      </c>
      <c r="Z154" s="22">
        <f>'Annual Raw'!AA55-Template!Z126</f>
        <v>68.16</v>
      </c>
      <c r="AA154" s="22">
        <f>'Annual Raw'!AB55-Template!AA126</f>
        <v>56.09</v>
      </c>
      <c r="AB154" s="23">
        <f t="shared" si="1452"/>
        <v>0</v>
      </c>
      <c r="AC154" s="23">
        <f t="shared" si="1453"/>
        <v>0</v>
      </c>
      <c r="AD154" s="23">
        <f t="shared" si="1454"/>
        <v>0</v>
      </c>
      <c r="AE154" s="23">
        <f t="shared" si="1455"/>
        <v>0</v>
      </c>
      <c r="AI154" s="22">
        <f>+'QTR Raw'!C91</f>
        <v>0</v>
      </c>
      <c r="AJ154" s="22">
        <f t="shared" ref="AJ154:AJ155" si="1484">+AI154</f>
        <v>0</v>
      </c>
      <c r="AK154" s="22">
        <f>+'QTR Raw'!E91</f>
        <v>23.21</v>
      </c>
      <c r="AL154" s="22">
        <f t="shared" ref="AL154:AL155" si="1485">+AK154</f>
        <v>23.21</v>
      </c>
      <c r="AM154" s="22">
        <f>+'QTR Raw'!G91</f>
        <v>0</v>
      </c>
      <c r="AN154" s="22">
        <f t="shared" ref="AN154:AN155" si="1486">+AM154</f>
        <v>0</v>
      </c>
      <c r="AO154" s="22">
        <f>+'QTR Raw'!I91</f>
        <v>29.96</v>
      </c>
      <c r="AP154" s="22">
        <f t="shared" ref="AP154:AP155" si="1487">+AO154</f>
        <v>29.96</v>
      </c>
      <c r="AQ154" s="22">
        <f>+'QTR Raw'!K91</f>
        <v>28.29</v>
      </c>
      <c r="AR154" s="22">
        <f t="shared" ref="AR154:AR155" si="1488">+AQ154</f>
        <v>28.29</v>
      </c>
      <c r="AS154" s="22">
        <f>+'QTR Raw'!M91</f>
        <v>36.479999999999997</v>
      </c>
      <c r="AT154" s="22">
        <f t="shared" ref="AT154:AT155" si="1489">+AS154</f>
        <v>36.479999999999997</v>
      </c>
      <c r="AU154" s="22">
        <f>+'QTR Raw'!O91</f>
        <v>133.4</v>
      </c>
      <c r="AV154" s="22">
        <f t="shared" ref="AV154:AV155" si="1490">+AU154</f>
        <v>133.4</v>
      </c>
      <c r="AW154" s="22">
        <f>+'QTR Raw'!Q91</f>
        <v>127.89</v>
      </c>
      <c r="AX154" s="22">
        <f t="shared" ref="AX154:AX155" si="1491">+AW154</f>
        <v>127.89</v>
      </c>
      <c r="AY154" s="22">
        <f>+'QTR Raw'!S91</f>
        <v>125.62</v>
      </c>
      <c r="AZ154" s="22">
        <f t="shared" ref="AZ154:AZ155" si="1492">+AY154</f>
        <v>125.62</v>
      </c>
      <c r="BA154" s="22">
        <f>+'QTR Raw'!U91</f>
        <v>152.77000000000001</v>
      </c>
      <c r="BB154" s="22">
        <f t="shared" ref="BB154:BB155" si="1493">+BA154</f>
        <v>152.77000000000001</v>
      </c>
      <c r="BC154" s="22">
        <f>+'QTR Raw'!W91</f>
        <v>169.43</v>
      </c>
      <c r="BD154" s="22">
        <f t="shared" ref="BD154:BD155" si="1494">+BC154</f>
        <v>169.43</v>
      </c>
      <c r="BE154" s="22">
        <f>+'QTR Raw'!Y91</f>
        <v>91.95</v>
      </c>
      <c r="BF154" s="22">
        <f t="shared" ref="BF154:BF155" si="1495">+BE154</f>
        <v>91.95</v>
      </c>
      <c r="BG154" s="22">
        <f>+'QTR Raw'!AA91</f>
        <v>105.01</v>
      </c>
      <c r="BH154" s="22">
        <f t="shared" ref="BH154:BH155" si="1496">+BG154</f>
        <v>105.01</v>
      </c>
      <c r="BI154" s="22">
        <f>+'QTR Raw'!AC91</f>
        <v>97.04</v>
      </c>
      <c r="BJ154" s="22">
        <f t="shared" ref="BJ154:BJ155" si="1497">+BI154</f>
        <v>97.04</v>
      </c>
      <c r="BK154" s="22">
        <f>+'QTR Raw'!AE91</f>
        <v>477.25</v>
      </c>
      <c r="BL154" s="22">
        <f t="shared" ref="BL154:BL155" si="1498">+BK154</f>
        <v>477.25</v>
      </c>
      <c r="BM154" s="22">
        <f>+'QTR Raw'!AG91</f>
        <v>80.27</v>
      </c>
      <c r="BN154" s="22">
        <f t="shared" ref="BN154:BN155" si="1499">+BM154</f>
        <v>80.27</v>
      </c>
      <c r="BO154" s="22">
        <f>+'QTR Raw'!AI91</f>
        <v>271.04000000000002</v>
      </c>
      <c r="BP154" s="22">
        <f t="shared" ref="BP154:BP155" si="1500">+BO154</f>
        <v>271.04000000000002</v>
      </c>
      <c r="BQ154" s="22">
        <f>+'QTR Raw'!AK91</f>
        <v>73.349999999999994</v>
      </c>
      <c r="BR154" s="22">
        <f t="shared" ref="BR154:BR155" si="1501">+BQ154</f>
        <v>73.349999999999994</v>
      </c>
      <c r="BS154" s="22">
        <f>+'QTR Raw'!AM91</f>
        <v>66.239999999999995</v>
      </c>
      <c r="BT154" s="22">
        <f t="shared" ref="BT154:BT155" si="1502">+BS154</f>
        <v>66.239999999999995</v>
      </c>
      <c r="BU154" s="22">
        <f>+'QTR Raw'!AO91</f>
        <v>71.23</v>
      </c>
      <c r="BV154" s="22">
        <f t="shared" ref="BV154:BV155" si="1503">+BU154</f>
        <v>71.23</v>
      </c>
      <c r="BW154" s="22">
        <f>+'QTR Raw'!AQ91</f>
        <v>58.62</v>
      </c>
      <c r="BX154" s="22">
        <f t="shared" ref="BX154:BX155" si="1504">+BW154</f>
        <v>58.62</v>
      </c>
      <c r="BY154" s="22">
        <f>+'QTR Raw'!AS91</f>
        <v>69.09</v>
      </c>
      <c r="BZ154" s="22">
        <f t="shared" ref="BZ154:BZ155" si="1505">+BY154</f>
        <v>69.09</v>
      </c>
      <c r="CA154" s="22">
        <f>+'QTR Raw'!AU91</f>
        <v>57.78</v>
      </c>
      <c r="CB154" s="22">
        <f t="shared" ref="CB154:CB155" si="1506">+CA154</f>
        <v>57.78</v>
      </c>
      <c r="CC154" s="22">
        <f>+'QTR Raw'!AW91</f>
        <v>88.74</v>
      </c>
      <c r="CD154" s="22">
        <f t="shared" ref="CD154:CD155" si="1507">+CC154</f>
        <v>88.74</v>
      </c>
      <c r="CE154" s="22">
        <f>+'QTR Raw'!AY91</f>
        <v>45.76</v>
      </c>
      <c r="CF154" s="22">
        <f t="shared" si="1480"/>
        <v>45.76</v>
      </c>
      <c r="CG154" s="22">
        <f t="shared" si="1481"/>
        <v>68.16</v>
      </c>
      <c r="CH154" s="22">
        <f t="shared" si="1480"/>
        <v>68.16</v>
      </c>
      <c r="CI154" s="22">
        <f>+'QTR Raw'!BC91</f>
        <v>63</v>
      </c>
      <c r="CJ154" s="22">
        <f t="shared" si="1480"/>
        <v>63</v>
      </c>
      <c r="CK154" s="23"/>
      <c r="CL154" s="22">
        <f t="shared" si="1480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10.097899999999999</v>
      </c>
      <c r="E155" s="22">
        <f>'Annual Raw'!F57</f>
        <v>26.459</v>
      </c>
      <c r="F155" s="22">
        <f>'Annual Raw'!G57</f>
        <v>13.4596</v>
      </c>
      <c r="G155" s="22">
        <f>'Annual Raw'!H57</f>
        <v>13.221500000000001</v>
      </c>
      <c r="H155" s="22">
        <f>'Annual Raw'!I57</f>
        <v>17.3062</v>
      </c>
      <c r="I155" s="22">
        <f>'Annual Raw'!J57</f>
        <v>18.3231</v>
      </c>
      <c r="J155" s="22">
        <f>'Annual Raw'!K57</f>
        <v>20.0396</v>
      </c>
      <c r="K155" s="22">
        <f>'Annual Raw'!L57</f>
        <v>27.0093</v>
      </c>
      <c r="L155" s="22">
        <f>'Annual Raw'!M57</f>
        <v>133.78210000000001</v>
      </c>
      <c r="M155" s="22">
        <f>'Annual Raw'!N57</f>
        <v>29.1934</v>
      </c>
      <c r="N155" s="22">
        <f>'Annual Raw'!O57</f>
        <v>28.448699999999999</v>
      </c>
      <c r="O155" s="22">
        <f>'Annual Raw'!P57</f>
        <v>30.297499999999999</v>
      </c>
      <c r="P155" s="22">
        <f>'Annual Raw'!Q57</f>
        <v>35.501399999999997</v>
      </c>
      <c r="Q155" s="22">
        <f>'Annual Raw'!R57</f>
        <v>58.833500000000001</v>
      </c>
      <c r="R155" s="22">
        <f>'Annual Raw'!S57</f>
        <v>33.179900000000004</v>
      </c>
      <c r="S155" s="22">
        <f>'Annual Raw'!T57</f>
        <v>29.964700000000001</v>
      </c>
      <c r="T155" s="22">
        <f>'Annual Raw'!U57</f>
        <v>38.191099999999999</v>
      </c>
      <c r="U155" s="22">
        <f>'Annual Raw'!V57</f>
        <v>36.24</v>
      </c>
      <c r="V155" s="22">
        <f>'Annual Raw'!W57</f>
        <v>39.299999999999997</v>
      </c>
      <c r="W155" s="22">
        <f>'Annual Raw'!X57</f>
        <v>136.25</v>
      </c>
      <c r="X155" s="22">
        <f>'Annual Raw'!Y57</f>
        <v>137.32</v>
      </c>
      <c r="Y155" s="22">
        <f>'Annual Raw'!Z57</f>
        <v>247.67</v>
      </c>
      <c r="Z155" s="22">
        <f>'Annual Raw'!AA57</f>
        <v>165.55</v>
      </c>
      <c r="AA155" s="22">
        <f>'Annual Raw'!AB57</f>
        <v>268.33999999999997</v>
      </c>
      <c r="AB155" s="23">
        <f t="shared" si="1452"/>
        <v>0</v>
      </c>
      <c r="AC155" s="23">
        <f t="shared" si="1453"/>
        <v>0</v>
      </c>
      <c r="AD155" s="23">
        <f t="shared" si="1454"/>
        <v>0</v>
      </c>
      <c r="AE155" s="23">
        <f t="shared" si="1455"/>
        <v>0</v>
      </c>
      <c r="AI155" s="22">
        <f>+'QTR Raw'!C92</f>
        <v>8.84</v>
      </c>
      <c r="AJ155" s="22">
        <f t="shared" si="1484"/>
        <v>8.84</v>
      </c>
      <c r="AK155" s="22">
        <f>+'QTR Raw'!E92</f>
        <v>28.45</v>
      </c>
      <c r="AL155" s="22">
        <f t="shared" si="1485"/>
        <v>28.45</v>
      </c>
      <c r="AM155" s="22">
        <f>+'QTR Raw'!G92</f>
        <v>13.96</v>
      </c>
      <c r="AN155" s="22">
        <f t="shared" si="1486"/>
        <v>13.96</v>
      </c>
      <c r="AO155" s="22">
        <f>+'QTR Raw'!I92</f>
        <v>30.3</v>
      </c>
      <c r="AP155" s="22">
        <f t="shared" si="1487"/>
        <v>30.3</v>
      </c>
      <c r="AQ155" s="22">
        <f>+'QTR Raw'!K92</f>
        <v>12.28</v>
      </c>
      <c r="AR155" s="22">
        <f t="shared" si="1488"/>
        <v>12.28</v>
      </c>
      <c r="AS155" s="22">
        <f>+'QTR Raw'!M92</f>
        <v>35.5</v>
      </c>
      <c r="AT155" s="22">
        <f t="shared" si="1489"/>
        <v>35.5</v>
      </c>
      <c r="AU155" s="22">
        <f>+'QTR Raw'!O92</f>
        <v>30.17</v>
      </c>
      <c r="AV155" s="22">
        <f t="shared" si="1490"/>
        <v>30.17</v>
      </c>
      <c r="AW155" s="22">
        <f>+'QTR Raw'!Q92</f>
        <v>58.83</v>
      </c>
      <c r="AX155" s="22">
        <f t="shared" si="1491"/>
        <v>58.83</v>
      </c>
      <c r="AY155" s="22">
        <f>+'QTR Raw'!S92</f>
        <v>41.83</v>
      </c>
      <c r="AZ155" s="22">
        <f t="shared" si="1492"/>
        <v>41.83</v>
      </c>
      <c r="BA155" s="22">
        <f>+'QTR Raw'!U92</f>
        <v>54.7</v>
      </c>
      <c r="BB155" s="22">
        <f t="shared" si="1493"/>
        <v>54.7</v>
      </c>
      <c r="BC155" s="22">
        <f>+'QTR Raw'!W92</f>
        <v>17.02</v>
      </c>
      <c r="BD155" s="22">
        <f t="shared" si="1494"/>
        <v>17.02</v>
      </c>
      <c r="BE155" s="22">
        <f>+'QTR Raw'!Y92</f>
        <v>18.39</v>
      </c>
      <c r="BF155" s="22">
        <f t="shared" si="1495"/>
        <v>18.39</v>
      </c>
      <c r="BG155" s="22">
        <f>+'QTR Raw'!AA92</f>
        <v>18.87</v>
      </c>
      <c r="BH155" s="22">
        <f t="shared" si="1496"/>
        <v>18.87</v>
      </c>
      <c r="BI155" s="22">
        <f>+'QTR Raw'!AC92</f>
        <v>20.93</v>
      </c>
      <c r="BJ155" s="22">
        <f t="shared" si="1497"/>
        <v>20.93</v>
      </c>
      <c r="BK155" s="22">
        <f>+'QTR Raw'!AE92</f>
        <v>19.91</v>
      </c>
      <c r="BL155" s="22">
        <f t="shared" si="1498"/>
        <v>19.91</v>
      </c>
      <c r="BM155" s="22">
        <f>+'QTR Raw'!AG92</f>
        <v>24.66</v>
      </c>
      <c r="BN155" s="22">
        <f t="shared" si="1499"/>
        <v>24.66</v>
      </c>
      <c r="BO155" s="22">
        <f>+'QTR Raw'!AI92</f>
        <v>42.75</v>
      </c>
      <c r="BP155" s="22">
        <f t="shared" si="1500"/>
        <v>42.75</v>
      </c>
      <c r="BQ155" s="22">
        <f>+'QTR Raw'!AK92</f>
        <v>28.03</v>
      </c>
      <c r="BR155" s="22">
        <f t="shared" si="1501"/>
        <v>28.03</v>
      </c>
      <c r="BS155" s="22">
        <f>+'QTR Raw'!AM92</f>
        <v>50.81</v>
      </c>
      <c r="BT155" s="22">
        <f t="shared" si="1502"/>
        <v>50.81</v>
      </c>
      <c r="BU155" s="22">
        <f>+'QTR Raw'!AO92</f>
        <v>25.04</v>
      </c>
      <c r="BV155" s="22">
        <f t="shared" si="1503"/>
        <v>25.04</v>
      </c>
      <c r="BW155" s="22">
        <f>+'QTR Raw'!AQ92</f>
        <v>31.23</v>
      </c>
      <c r="BX155" s="22">
        <f t="shared" si="1504"/>
        <v>31.23</v>
      </c>
      <c r="BY155" s="22">
        <f>+'QTR Raw'!AS92</f>
        <v>26.11</v>
      </c>
      <c r="BZ155" s="22">
        <f t="shared" si="1505"/>
        <v>26.11</v>
      </c>
      <c r="CA155" s="22">
        <f>+'QTR Raw'!AU92</f>
        <v>26.57</v>
      </c>
      <c r="CB155" s="22">
        <f t="shared" si="1506"/>
        <v>26.57</v>
      </c>
      <c r="CC155" s="22">
        <f>+'QTR Raw'!AW92</f>
        <v>25.98</v>
      </c>
      <c r="CD155" s="22">
        <f t="shared" si="1507"/>
        <v>25.98</v>
      </c>
      <c r="CE155" s="22">
        <f>+'QTR Raw'!AY92</f>
        <v>25.2</v>
      </c>
      <c r="CF155" s="22">
        <f t="shared" si="1480"/>
        <v>25.2</v>
      </c>
      <c r="CG155" s="22">
        <f t="shared" si="1481"/>
        <v>165.55</v>
      </c>
      <c r="CH155" s="22">
        <f t="shared" si="1480"/>
        <v>165.55</v>
      </c>
      <c r="CI155" s="22">
        <f>+'QTR Raw'!BC92</f>
        <v>32.479999999999997</v>
      </c>
      <c r="CJ155" s="22">
        <f t="shared" si="1480"/>
        <v>32.479999999999997</v>
      </c>
      <c r="CK155" s="23"/>
      <c r="CL155" s="22">
        <f t="shared" si="1480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08">SUM(C149:C155)</f>
        <v>0</v>
      </c>
      <c r="D156" s="21">
        <f t="shared" si="1508"/>
        <v>62.649499999999989</v>
      </c>
      <c r="E156" s="21">
        <f t="shared" si="1508"/>
        <v>80.757000000000005</v>
      </c>
      <c r="F156" s="21">
        <f t="shared" si="1508"/>
        <v>80.177300000000002</v>
      </c>
      <c r="G156" s="21">
        <f t="shared" si="1508"/>
        <v>87.734999999999999</v>
      </c>
      <c r="H156" s="21">
        <f t="shared" si="1508"/>
        <v>97.098399999999998</v>
      </c>
      <c r="I156" s="21">
        <f t="shared" si="1508"/>
        <v>119.0801</v>
      </c>
      <c r="J156" s="21">
        <f t="shared" si="1508"/>
        <v>126.5652</v>
      </c>
      <c r="K156" s="21">
        <f t="shared" si="1508"/>
        <v>151.5335</v>
      </c>
      <c r="L156" s="21">
        <f t="shared" si="1508"/>
        <v>259.1343</v>
      </c>
      <c r="M156" s="21">
        <f t="shared" si="1508"/>
        <v>164.75740000000002</v>
      </c>
      <c r="N156" s="21">
        <f t="shared" si="1508"/>
        <v>177.88630000000001</v>
      </c>
      <c r="O156" s="21">
        <f t="shared" si="1508"/>
        <v>204.3732</v>
      </c>
      <c r="P156" s="21">
        <f t="shared" si="1508"/>
        <v>243.18669999999997</v>
      </c>
      <c r="Q156" s="21">
        <f t="shared" si="1508"/>
        <v>473.6737</v>
      </c>
      <c r="R156" s="21">
        <f t="shared" si="1508"/>
        <v>501.02059999999994</v>
      </c>
      <c r="S156" s="21">
        <f t="shared" si="1508"/>
        <v>480.05689999999998</v>
      </c>
      <c r="T156" s="21">
        <f t="shared" si="1508"/>
        <v>491.3657</v>
      </c>
      <c r="U156" s="21">
        <f t="shared" si="1508"/>
        <v>544.13</v>
      </c>
      <c r="V156" s="21">
        <f t="shared" si="1508"/>
        <v>570.14</v>
      </c>
      <c r="W156" s="21">
        <f t="shared" ref="W156" si="1509">SUM(W149:W155)</f>
        <v>1263.19</v>
      </c>
      <c r="X156" s="21">
        <f t="shared" ref="X156:Y156" si="1510">SUM(X149:X155)</f>
        <v>1167.2999999999997</v>
      </c>
      <c r="Y156" s="21">
        <f t="shared" si="1510"/>
        <v>1264.8</v>
      </c>
      <c r="Z156" s="21">
        <f t="shared" ref="Z156:AA156" si="1511">SUM(Z149:Z155)</f>
        <v>1273.45</v>
      </c>
      <c r="AA156" s="21">
        <f t="shared" si="1511"/>
        <v>1207.6100000000001</v>
      </c>
      <c r="AB156" s="20">
        <f t="shared" ref="AA156:AD156" si="1512">SUM(AB149:AB155)</f>
        <v>646.02314471737373</v>
      </c>
      <c r="AC156" s="20">
        <f t="shared" si="1512"/>
        <v>640.67850437135689</v>
      </c>
      <c r="AD156" s="20">
        <f t="shared" si="1512"/>
        <v>634.96491225124896</v>
      </c>
      <c r="AE156" s="20">
        <f t="shared" ref="AE156" si="1513">SUM(AE149:AE155)</f>
        <v>629.23552500230858</v>
      </c>
      <c r="AI156" s="21">
        <f t="shared" ref="AI156:AL156" si="1514">SUM(AI149:AI155)</f>
        <v>168.08</v>
      </c>
      <c r="AJ156" s="21">
        <f t="shared" si="1514"/>
        <v>168.08</v>
      </c>
      <c r="AK156" s="21">
        <f t="shared" si="1514"/>
        <v>181.43</v>
      </c>
      <c r="AL156" s="21">
        <f t="shared" si="1514"/>
        <v>187.47513761467889</v>
      </c>
      <c r="AM156" s="21">
        <f t="shared" ref="AM156:AP156" si="1515">SUM(AM149:AM155)</f>
        <v>203.12</v>
      </c>
      <c r="AN156" s="21">
        <f t="shared" si="1515"/>
        <v>203.12</v>
      </c>
      <c r="AO156" s="21">
        <f t="shared" si="1515"/>
        <v>210.08000000000004</v>
      </c>
      <c r="AP156" s="21">
        <f t="shared" si="1515"/>
        <v>205.72049889948647</v>
      </c>
      <c r="AQ156" s="21">
        <f t="shared" ref="AQ156:AT156" si="1516">SUM(AQ149:AQ155)</f>
        <v>211.32999999999998</v>
      </c>
      <c r="AR156" s="21">
        <f t="shared" si="1516"/>
        <v>202.55267161298102</v>
      </c>
      <c r="AS156" s="21">
        <f t="shared" si="1516"/>
        <v>247.39</v>
      </c>
      <c r="AT156" s="21">
        <f t="shared" si="1516"/>
        <v>321.55751596053392</v>
      </c>
      <c r="AU156" s="21">
        <f t="shared" ref="AU156:AX156" si="1517">SUM(AU149:AU155)</f>
        <v>551.64</v>
      </c>
      <c r="AV156" s="21">
        <f t="shared" si="1517"/>
        <v>536.21861023419706</v>
      </c>
      <c r="AW156" s="21">
        <f t="shared" si="1517"/>
        <v>515.55000000000007</v>
      </c>
      <c r="AX156" s="21">
        <f t="shared" si="1517"/>
        <v>514.25747324759948</v>
      </c>
      <c r="AY156" s="21">
        <f t="shared" ref="AY156:BB156" si="1518">SUM(AY149:AY155)</f>
        <v>583.79000000000008</v>
      </c>
      <c r="AZ156" s="21">
        <f t="shared" si="1518"/>
        <v>573.86809290782605</v>
      </c>
      <c r="BA156" s="21">
        <f t="shared" si="1518"/>
        <v>539.40000000000009</v>
      </c>
      <c r="BB156" s="21">
        <f t="shared" si="1518"/>
        <v>531.92710097221175</v>
      </c>
      <c r="BC156" s="21">
        <f t="shared" ref="BC156:BF156" si="1519">SUM(BC149:BC155)</f>
        <v>554.9</v>
      </c>
      <c r="BD156" s="21">
        <f t="shared" si="1519"/>
        <v>547.3625533817376</v>
      </c>
      <c r="BE156" s="21">
        <f t="shared" si="1519"/>
        <v>491.54999999999995</v>
      </c>
      <c r="BF156" s="21">
        <f t="shared" si="1519"/>
        <v>485.76264793294303</v>
      </c>
      <c r="BG156" s="21">
        <f t="shared" ref="BG156:BJ156" si="1520">SUM(BG149:BG155)</f>
        <v>598.16999999999996</v>
      </c>
      <c r="BH156" s="21">
        <f t="shared" si="1520"/>
        <v>609.00959259756837</v>
      </c>
      <c r="BI156" s="21">
        <f t="shared" si="1520"/>
        <v>494.95000000000005</v>
      </c>
      <c r="BJ156" s="21">
        <f t="shared" si="1520"/>
        <v>503.51134258730656</v>
      </c>
      <c r="BK156" s="21">
        <f t="shared" ref="BK156:BN156" si="1521">SUM(BK149:BK155)</f>
        <v>976.77</v>
      </c>
      <c r="BL156" s="21">
        <f t="shared" si="1521"/>
        <v>988.74873009861938</v>
      </c>
      <c r="BM156" s="21">
        <f t="shared" si="1521"/>
        <v>547.89</v>
      </c>
      <c r="BN156" s="21">
        <f t="shared" si="1521"/>
        <v>484.90256913496432</v>
      </c>
      <c r="BO156" s="21">
        <f t="shared" ref="BO156:BR156" si="1522">SUM(BO149:BO155)</f>
        <v>843.65000000000009</v>
      </c>
      <c r="BP156" s="21">
        <f t="shared" si="1522"/>
        <v>876.53266202656096</v>
      </c>
      <c r="BQ156" s="21">
        <f t="shared" si="1522"/>
        <v>571.9</v>
      </c>
      <c r="BR156" s="21">
        <f t="shared" si="1522"/>
        <v>626.7427663122412</v>
      </c>
      <c r="BS156" s="21">
        <f t="shared" ref="BS156:BV156" si="1523">SUM(BS149:BS155)</f>
        <v>694.56</v>
      </c>
      <c r="BT156" s="21">
        <f t="shared" si="1523"/>
        <v>699.22491941325598</v>
      </c>
      <c r="BU156" s="21">
        <f t="shared" si="1523"/>
        <v>740.3</v>
      </c>
      <c r="BV156" s="21">
        <f t="shared" si="1523"/>
        <v>798.35507263025841</v>
      </c>
      <c r="BW156" s="21">
        <f t="shared" ref="BW156:BZ156" si="1524">SUM(BW149:BW155)</f>
        <v>756.0100000000001</v>
      </c>
      <c r="BX156" s="21">
        <f t="shared" si="1524"/>
        <v>737.65915437697925</v>
      </c>
      <c r="BY156" s="21">
        <f t="shared" si="1524"/>
        <v>627.55000000000007</v>
      </c>
      <c r="BZ156" s="21">
        <f t="shared" si="1524"/>
        <v>606.03669573125842</v>
      </c>
      <c r="CA156" s="21">
        <f t="shared" ref="CA156:CD156" si="1525">SUM(CA149:CA155)</f>
        <v>594.78</v>
      </c>
      <c r="CB156" s="21">
        <f t="shared" si="1525"/>
        <v>624.56179732990188</v>
      </c>
      <c r="CC156" s="21">
        <f t="shared" si="1525"/>
        <v>647.55000000000007</v>
      </c>
      <c r="CD156" s="21">
        <f t="shared" si="1525"/>
        <v>652.49790253921458</v>
      </c>
      <c r="CE156" s="21">
        <f t="shared" ref="CE156" si="1526">SUM(CE149:CE155)</f>
        <v>649.68000000000006</v>
      </c>
      <c r="CF156" s="21">
        <f t="shared" ref="CF156:CH156" si="1527">SUM(CF149:CF155)</f>
        <v>660.14612244897955</v>
      </c>
      <c r="CG156" s="21">
        <f t="shared" ref="CG156" si="1528">SUM(CG149:CG155)</f>
        <v>1273.45</v>
      </c>
      <c r="CH156" s="21">
        <f t="shared" si="1527"/>
        <v>1266.3644177932838</v>
      </c>
      <c r="CI156" s="21">
        <f t="shared" ref="CI156:CJ156" si="1529">SUM(CI149:CI155)</f>
        <v>638.62</v>
      </c>
      <c r="CJ156" s="21">
        <f t="shared" si="1529"/>
        <v>648.3773624291523</v>
      </c>
      <c r="CK156" s="20">
        <f t="shared" ref="CK156:DA156" si="1530">SUM(CK149:CK155)</f>
        <v>649.35354752298974</v>
      </c>
      <c r="CL156" s="21">
        <f t="shared" si="1530"/>
        <v>642.00039919638039</v>
      </c>
      <c r="CM156" s="20">
        <f t="shared" si="1530"/>
        <v>626.73815647327058</v>
      </c>
      <c r="CN156" s="20">
        <f t="shared" si="1530"/>
        <v>643.43818823990682</v>
      </c>
      <c r="CO156" s="20">
        <f t="shared" si="1530"/>
        <v>646.02314471737373</v>
      </c>
      <c r="CP156" s="20">
        <f t="shared" si="1530"/>
        <v>634.54687792572565</v>
      </c>
      <c r="CQ156" s="20">
        <f t="shared" si="1530"/>
        <v>619.82254201483977</v>
      </c>
      <c r="CR156" s="20">
        <f t="shared" si="1530"/>
        <v>637.55620087587874</v>
      </c>
      <c r="CS156" s="20">
        <f t="shared" si="1530"/>
        <v>640.67850437135689</v>
      </c>
      <c r="CT156" s="20">
        <f t="shared" si="1530"/>
        <v>628.79837405414196</v>
      </c>
      <c r="CU156" s="20">
        <f t="shared" si="1530"/>
        <v>614.01044141218665</v>
      </c>
      <c r="CV156" s="20">
        <f t="shared" si="1530"/>
        <v>631.84195958408566</v>
      </c>
      <c r="CW156" s="20">
        <f t="shared" si="1530"/>
        <v>634.96491225124896</v>
      </c>
      <c r="CX156" s="20">
        <f t="shared" si="1530"/>
        <v>623.08935249739898</v>
      </c>
      <c r="CY156" s="20">
        <f t="shared" si="1530"/>
        <v>608.43260866385958</v>
      </c>
      <c r="CZ156" s="20">
        <f t="shared" si="1530"/>
        <v>626.14838767238791</v>
      </c>
      <c r="DA156" s="20">
        <f t="shared" si="1530"/>
        <v>629.23552500230858</v>
      </c>
      <c r="DD156" s="125"/>
      <c r="DE156" s="21">
        <v>649.35354752298974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31">C148-C156</f>
        <v>0</v>
      </c>
      <c r="D157" s="21">
        <f t="shared" si="1531"/>
        <v>34.291000000000011</v>
      </c>
      <c r="E157" s="21">
        <f t="shared" si="1531"/>
        <v>28.484699999999989</v>
      </c>
      <c r="F157" s="21">
        <f t="shared" si="1531"/>
        <v>42.299099999999996</v>
      </c>
      <c r="G157" s="21">
        <f t="shared" si="1531"/>
        <v>61.81059999999998</v>
      </c>
      <c r="H157" s="21">
        <f t="shared" si="1531"/>
        <v>53.421500000000009</v>
      </c>
      <c r="I157" s="21">
        <f t="shared" si="1531"/>
        <v>81.625899999999987</v>
      </c>
      <c r="J157" s="21">
        <f t="shared" si="1531"/>
        <v>62.717899999999986</v>
      </c>
      <c r="K157" s="21">
        <f t="shared" si="1531"/>
        <v>53.788099999999986</v>
      </c>
      <c r="L157" s="21">
        <f t="shared" si="1531"/>
        <v>92.475300000000004</v>
      </c>
      <c r="M157" s="21">
        <f t="shared" si="1531"/>
        <v>85.535699999999991</v>
      </c>
      <c r="N157" s="21">
        <f t="shared" si="1531"/>
        <v>103.43360000000001</v>
      </c>
      <c r="O157" s="21">
        <f t="shared" si="1531"/>
        <v>144.73059999999998</v>
      </c>
      <c r="P157" s="21">
        <f t="shared" si="1531"/>
        <v>157.72130000000004</v>
      </c>
      <c r="Q157" s="21">
        <f t="shared" si="1531"/>
        <v>194.88729999999993</v>
      </c>
      <c r="R157" s="21">
        <f t="shared" si="1531"/>
        <v>233.2582000000001</v>
      </c>
      <c r="S157" s="21">
        <f t="shared" si="1531"/>
        <v>323.0795</v>
      </c>
      <c r="T157" s="21">
        <f t="shared" si="1531"/>
        <v>363.62700000000001</v>
      </c>
      <c r="U157" s="21">
        <f t="shared" si="1531"/>
        <v>363.55000000000018</v>
      </c>
      <c r="V157" s="21">
        <f t="shared" si="1531"/>
        <v>342.34000000000003</v>
      </c>
      <c r="W157" s="21">
        <f t="shared" ref="W157" si="1532">W148-W156</f>
        <v>433.56999999999994</v>
      </c>
      <c r="X157" s="21">
        <f t="shared" ref="X157:Y157" si="1533">X148-X156</f>
        <v>534.63000000000056</v>
      </c>
      <c r="Y157" s="21">
        <f t="shared" si="1533"/>
        <v>326.19999999999982</v>
      </c>
      <c r="Z157" s="21">
        <f t="shared" ref="Z157:AA157" si="1534">Z148-Z156</f>
        <v>321.20000000000005</v>
      </c>
      <c r="AA157" s="21">
        <f t="shared" si="1534"/>
        <v>266.98999999999978</v>
      </c>
      <c r="AB157" s="20">
        <f t="shared" ref="AA157:AD157" si="1535">AB148-AB156</f>
        <v>468.61006789464204</v>
      </c>
      <c r="AC157" s="20">
        <f t="shared" si="1535"/>
        <v>464.73319088814537</v>
      </c>
      <c r="AD157" s="20">
        <f t="shared" si="1535"/>
        <v>460.58868490067425</v>
      </c>
      <c r="AE157" s="20">
        <f t="shared" ref="AE157" si="1536">AE148-AE156</f>
        <v>456.43272149646009</v>
      </c>
      <c r="AI157" s="21">
        <f t="shared" ref="AI157:AL157" si="1537">AI148-AI156</f>
        <v>108.67999999999998</v>
      </c>
      <c r="AJ157" s="21">
        <f t="shared" si="1537"/>
        <v>77.66393660731751</v>
      </c>
      <c r="AK157" s="21">
        <f t="shared" si="1537"/>
        <v>99.890000000000043</v>
      </c>
      <c r="AL157" s="21">
        <f t="shared" si="1537"/>
        <v>105.51044607543321</v>
      </c>
      <c r="AM157" s="21">
        <f t="shared" ref="AM157:AP157" si="1538">AM148-AM156</f>
        <v>151.41000000000003</v>
      </c>
      <c r="AN157" s="21">
        <f t="shared" si="1538"/>
        <v>122.16199507887285</v>
      </c>
      <c r="AO157" s="21">
        <f t="shared" si="1538"/>
        <v>139.02999999999997</v>
      </c>
      <c r="AP157" s="21">
        <f t="shared" si="1538"/>
        <v>134.52170946441663</v>
      </c>
      <c r="AQ157" s="21">
        <f t="shared" ref="AQ157:AT157" si="1539">AQ148-AQ156</f>
        <v>174.39999999999998</v>
      </c>
      <c r="AR157" s="21">
        <f t="shared" si="1539"/>
        <v>166.01560109784052</v>
      </c>
      <c r="AS157" s="21">
        <f t="shared" si="1539"/>
        <v>153.51000000000005</v>
      </c>
      <c r="AT157" s="21">
        <f t="shared" si="1539"/>
        <v>226.01059070097369</v>
      </c>
      <c r="AU157" s="21">
        <f t="shared" ref="AU157:AX157" si="1540">AU148-AU156</f>
        <v>214.79999999999995</v>
      </c>
      <c r="AV157" s="21">
        <f t="shared" si="1540"/>
        <v>200.51588906835036</v>
      </c>
      <c r="AW157" s="21">
        <f t="shared" si="1540"/>
        <v>153.00999999999988</v>
      </c>
      <c r="AX157" s="21">
        <f t="shared" si="1540"/>
        <v>151.71089206234956</v>
      </c>
      <c r="AY157" s="21">
        <f t="shared" ref="AY157:BB157" si="1541">AY148-AY156</f>
        <v>207.95999999999992</v>
      </c>
      <c r="AZ157" s="21">
        <f t="shared" si="1541"/>
        <v>199.54354783459735</v>
      </c>
      <c r="BA157" s="21">
        <f t="shared" si="1541"/>
        <v>198.89</v>
      </c>
      <c r="BB157" s="21">
        <f t="shared" si="1541"/>
        <v>191.44461226364547</v>
      </c>
      <c r="BC157" s="21">
        <f t="shared" ref="BC157:BF157" si="1542">BC148-BC156</f>
        <v>213.90000000000009</v>
      </c>
      <c r="BD157" s="21">
        <f t="shared" si="1542"/>
        <v>206.93687184806322</v>
      </c>
      <c r="BE157" s="21">
        <f t="shared" si="1542"/>
        <v>311.58000000000004</v>
      </c>
      <c r="BF157" s="21">
        <f t="shared" si="1542"/>
        <v>305.98889110355771</v>
      </c>
      <c r="BG157" s="21">
        <f t="shared" ref="BG157:BJ157" si="1543">BG148-BG156</f>
        <v>293.02</v>
      </c>
      <c r="BH157" s="21">
        <f t="shared" si="1543"/>
        <v>301.15597366830139</v>
      </c>
      <c r="BI157" s="21">
        <f t="shared" si="1543"/>
        <v>360.05000000000007</v>
      </c>
      <c r="BJ157" s="21">
        <f t="shared" si="1543"/>
        <v>370.00679433017433</v>
      </c>
      <c r="BK157" s="21">
        <f t="shared" ref="BK157:BN157" si="1544">BK148-BK156</f>
        <v>17.1400000000001</v>
      </c>
      <c r="BL157" s="21">
        <f t="shared" si="1544"/>
        <v>28.471923155818445</v>
      </c>
      <c r="BM157" s="21">
        <f t="shared" si="1544"/>
        <v>359.79000000000008</v>
      </c>
      <c r="BN157" s="21">
        <f t="shared" si="1544"/>
        <v>305.43128560044875</v>
      </c>
      <c r="BO157" s="21">
        <f t="shared" ref="BO157:BR157" si="1545">BO148-BO156</f>
        <v>289.20999999999981</v>
      </c>
      <c r="BP157" s="21">
        <f t="shared" si="1545"/>
        <v>322.34679692254872</v>
      </c>
      <c r="BQ157" s="21">
        <f t="shared" si="1545"/>
        <v>419.15</v>
      </c>
      <c r="BR157" s="21">
        <f t="shared" si="1545"/>
        <v>466.35192609062051</v>
      </c>
      <c r="BS157" s="21">
        <f t="shared" ref="BS157:BV157" si="1546">BS148-BS156</f>
        <v>564.73</v>
      </c>
      <c r="BT157" s="21">
        <f t="shared" si="1546"/>
        <v>569.03547854038379</v>
      </c>
      <c r="BU157" s="21">
        <f t="shared" si="1546"/>
        <v>525.78</v>
      </c>
      <c r="BV157" s="21">
        <f t="shared" si="1546"/>
        <v>566.58024215124635</v>
      </c>
      <c r="BW157" s="21">
        <f t="shared" ref="BW157:BZ157" si="1547">BW148-BW156</f>
        <v>685.39999999999975</v>
      </c>
      <c r="BX157" s="21">
        <f t="shared" si="1547"/>
        <v>667.35991270011471</v>
      </c>
      <c r="BY157" s="21">
        <f t="shared" si="1547"/>
        <v>602.44999999999993</v>
      </c>
      <c r="BZ157" s="21">
        <f t="shared" si="1547"/>
        <v>580.90113655064863</v>
      </c>
      <c r="CA157" s="21">
        <f t="shared" ref="CA157:CD157" si="1548">CA148-CA156</f>
        <v>558.07000000000016</v>
      </c>
      <c r="CB157" s="21">
        <f t="shared" si="1548"/>
        <v>588.3896709023644</v>
      </c>
      <c r="CC157" s="21">
        <f t="shared" si="1548"/>
        <v>400.90999999999997</v>
      </c>
      <c r="CD157" s="21">
        <f t="shared" si="1548"/>
        <v>404.65056266874251</v>
      </c>
      <c r="CE157" s="21">
        <f t="shared" ref="CE157" si="1549">CE148-CE156</f>
        <v>502.23</v>
      </c>
      <c r="CF157" s="21">
        <f t="shared" ref="CF157:CH157" si="1550">CF148-CF156</f>
        <v>510.39061224489831</v>
      </c>
      <c r="CG157" s="21">
        <f t="shared" ref="CG157" si="1551">CG148-CG156</f>
        <v>321.20000000000005</v>
      </c>
      <c r="CH157" s="21">
        <f t="shared" si="1550"/>
        <v>316.11779328390776</v>
      </c>
      <c r="CI157" s="21">
        <f t="shared" ref="CI157:CJ157" si="1552">CI148-CI156</f>
        <v>463.24000000000012</v>
      </c>
      <c r="CJ157" s="21">
        <f t="shared" si="1552"/>
        <v>472.12677457818154</v>
      </c>
      <c r="CK157" s="20">
        <f t="shared" ref="CK157:DA157" si="1553">CK148-CK156</f>
        <v>471.02586413602728</v>
      </c>
      <c r="CL157" s="21">
        <f t="shared" si="1553"/>
        <v>464.32879081391002</v>
      </c>
      <c r="CM157" s="20">
        <f t="shared" si="1553"/>
        <v>454.62118882070388</v>
      </c>
      <c r="CN157" s="20">
        <f t="shared" si="1553"/>
        <v>466.73500097124179</v>
      </c>
      <c r="CO157" s="20">
        <f t="shared" si="1553"/>
        <v>468.61006789464204</v>
      </c>
      <c r="CP157" s="20">
        <f t="shared" si="1553"/>
        <v>460.28545258575252</v>
      </c>
      <c r="CQ157" s="20">
        <f t="shared" si="1553"/>
        <v>449.6047639644147</v>
      </c>
      <c r="CR157" s="20">
        <f t="shared" si="1553"/>
        <v>462.4683450154115</v>
      </c>
      <c r="CS157" s="20">
        <f t="shared" si="1553"/>
        <v>464.73319088814537</v>
      </c>
      <c r="CT157" s="20">
        <f t="shared" si="1553"/>
        <v>456.11562243093044</v>
      </c>
      <c r="CU157" s="20">
        <f t="shared" si="1553"/>
        <v>445.38880222946557</v>
      </c>
      <c r="CV157" s="20">
        <f t="shared" si="1553"/>
        <v>458.32336813399513</v>
      </c>
      <c r="CW157" s="20">
        <f t="shared" si="1553"/>
        <v>460.58868490067425</v>
      </c>
      <c r="CX157" s="20">
        <f t="shared" si="1553"/>
        <v>451.97443182314237</v>
      </c>
      <c r="CY157" s="20">
        <f t="shared" si="1553"/>
        <v>441.34277291260264</v>
      </c>
      <c r="CZ157" s="20">
        <f t="shared" si="1553"/>
        <v>454.19338433709743</v>
      </c>
      <c r="DA157" s="20">
        <f t="shared" si="1553"/>
        <v>456.43272149646009</v>
      </c>
      <c r="DD157" s="125"/>
      <c r="DE157" s="21">
        <v>471.02586413602728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31.077200000000001</v>
      </c>
      <c r="F159" s="22">
        <f>'Annual Raw'!G75</f>
        <v>9.4431999999999992</v>
      </c>
      <c r="G159" s="22">
        <f>'Annual Raw'!H75</f>
        <v>7.8863000000000003</v>
      </c>
      <c r="H159" s="22">
        <f>'Annual Raw'!I75</f>
        <v>0.2</v>
      </c>
      <c r="I159" s="22">
        <f>'Annual Raw'!J75</f>
        <v>13.489000000000001</v>
      </c>
      <c r="J159" s="22">
        <f>'Annual Raw'!K75</f>
        <v>16.659500000000001</v>
      </c>
      <c r="K159" s="22">
        <f>'Annual Raw'!L75</f>
        <v>31.030899999999999</v>
      </c>
      <c r="L159" s="22">
        <f>'Annual Raw'!M75</f>
        <v>39.443100000000001</v>
      </c>
      <c r="M159" s="22">
        <f>'Annual Raw'!N75</f>
        <v>63.371699999999997</v>
      </c>
      <c r="N159" s="22">
        <f>'Annual Raw'!O75</f>
        <v>60.378799999999998</v>
      </c>
      <c r="O159" s="22">
        <f>'Annual Raw'!P75</f>
        <v>54.793799999999997</v>
      </c>
      <c r="P159" s="22">
        <f>'Annual Raw'!Q75</f>
        <v>186.33779999999999</v>
      </c>
      <c r="Q159" s="22">
        <f>'Annual Raw'!R75</f>
        <v>206.62620000000001</v>
      </c>
      <c r="R159" s="22">
        <f>'Annual Raw'!S75</f>
        <v>195.01660000000001</v>
      </c>
      <c r="S159" s="22">
        <f>'Annual Raw'!T75</f>
        <v>137.49789999999999</v>
      </c>
      <c r="T159" s="22">
        <f>'Annual Raw'!U75</f>
        <v>21.1218</v>
      </c>
      <c r="U159" s="22">
        <f>'Annual Raw'!V75</f>
        <v>60.81</v>
      </c>
      <c r="V159" s="22">
        <f>'Annual Raw'!W75</f>
        <v>18.350000000000001</v>
      </c>
      <c r="W159" s="22">
        <f>'Annual Raw'!X75</f>
        <v>0.62</v>
      </c>
      <c r="X159" s="22">
        <f>'Annual Raw'!Y75</f>
        <v>0</v>
      </c>
      <c r="Y159" s="22">
        <f>'Annual Raw'!Z75</f>
        <v>79.73</v>
      </c>
      <c r="Z159" s="22">
        <f>'Annual Raw'!AA75</f>
        <v>151.47</v>
      </c>
      <c r="AA159" s="22">
        <f>'Annual Raw'!AB75</f>
        <v>194.3</v>
      </c>
      <c r="AB159" s="23">
        <f t="shared" ref="AB159:AB160" si="1554">+CO159</f>
        <v>0</v>
      </c>
      <c r="AC159" s="23">
        <f t="shared" ref="AC159:AC160" si="1555">+CS159</f>
        <v>0</v>
      </c>
      <c r="AD159" s="23">
        <f t="shared" ref="AD159:AD160" si="1556">+CW159</f>
        <v>0</v>
      </c>
      <c r="AE159" s="23">
        <f t="shared" ref="AE159:AE160" si="1557">+DA159</f>
        <v>0</v>
      </c>
      <c r="AI159" s="22">
        <f>+'QTR Raw'!C80</f>
        <v>83.81</v>
      </c>
      <c r="AK159" s="22">
        <f>+'QTR Raw'!E80</f>
        <v>60.38</v>
      </c>
      <c r="AM159" s="22">
        <f>+'QTR Raw'!G80</f>
        <v>50.99</v>
      </c>
      <c r="AO159" s="22">
        <f>+'QTR Raw'!I80</f>
        <v>54.79</v>
      </c>
      <c r="AQ159" s="22">
        <f>+'QTR Raw'!K80</f>
        <v>62.36</v>
      </c>
      <c r="AS159" s="22">
        <f>+'QTR Raw'!M80</f>
        <v>186.34</v>
      </c>
      <c r="AU159" s="22">
        <f>+'QTR Raw'!O80</f>
        <v>148.38</v>
      </c>
      <c r="AW159" s="22">
        <f>+'QTR Raw'!Q80</f>
        <v>206.62</v>
      </c>
      <c r="AY159" s="22">
        <f>+'QTR Raw'!S80</f>
        <v>184.58</v>
      </c>
      <c r="BA159" s="22">
        <f>+'QTR Raw'!U80</f>
        <v>195.02</v>
      </c>
      <c r="BC159" s="22">
        <f>+'QTR Raw'!W80</f>
        <v>172.72</v>
      </c>
      <c r="BE159" s="22">
        <f>+'QTR Raw'!Y80</f>
        <v>137.5</v>
      </c>
      <c r="BG159" s="22">
        <f>+'QTR Raw'!AA80</f>
        <v>69.13</v>
      </c>
      <c r="BI159" s="22">
        <f>+'QTR Raw'!AC80</f>
        <v>21.12</v>
      </c>
      <c r="BK159" s="22">
        <f>+'QTR Raw'!AE80</f>
        <v>63.96</v>
      </c>
      <c r="BM159" s="22">
        <f>+'QTR Raw'!AG80</f>
        <v>60.81</v>
      </c>
      <c r="BO159" s="22">
        <f>+'QTR Raw'!AI80</f>
        <v>23.05</v>
      </c>
      <c r="BQ159" s="22">
        <f>+'QTR Raw'!AK80</f>
        <v>18.350000000000001</v>
      </c>
      <c r="BS159" s="22">
        <f>+'QTR Raw'!AM80</f>
        <v>0</v>
      </c>
      <c r="BU159" s="22">
        <f>+'QTR Raw'!AO80</f>
        <v>0.62</v>
      </c>
      <c r="BW159" s="22">
        <f>+'QTR Raw'!AQ80</f>
        <v>0</v>
      </c>
      <c r="BY159" s="22">
        <f>+'QTR Raw'!AS80</f>
        <v>0</v>
      </c>
      <c r="CA159" s="22">
        <f>+'QTR Raw'!AU80</f>
        <v>0</v>
      </c>
      <c r="CC159" s="22">
        <f>+'QTR Raw'!AW80</f>
        <v>79.73</v>
      </c>
      <c r="CE159" s="22">
        <f>+'QTR Raw'!AY80</f>
        <v>90.39</v>
      </c>
      <c r="CG159" s="22">
        <f t="shared" ref="CG159:CG160" si="1558">+Z159</f>
        <v>151.47</v>
      </c>
      <c r="CI159" s="22">
        <f>+'QTR Raw'!BC80</f>
        <v>125.03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13.986700000000001</v>
      </c>
      <c r="E160" s="22">
        <f>'Annual Raw'!F78</f>
        <v>9.6366999999999994</v>
      </c>
      <c r="F160" s="22">
        <f>'Annual Raw'!G78</f>
        <v>12.886100000000001</v>
      </c>
      <c r="G160" s="22">
        <f>'Annual Raw'!H78</f>
        <v>13.8874</v>
      </c>
      <c r="H160" s="22">
        <f>'Annual Raw'!I78</f>
        <v>15.376099999999999</v>
      </c>
      <c r="I160" s="22">
        <f>'Annual Raw'!J78</f>
        <v>3.9969000000000001</v>
      </c>
      <c r="J160" s="22">
        <f>'Annual Raw'!K78</f>
        <v>12.6379</v>
      </c>
      <c r="K160" s="22">
        <f>'Annual Raw'!L78</f>
        <v>4.0773999999999999</v>
      </c>
      <c r="L160" s="22">
        <f>'Annual Raw'!M78</f>
        <v>10.8447</v>
      </c>
      <c r="M160" s="22">
        <f>'Annual Raw'!N78</f>
        <v>22.274899999999999</v>
      </c>
      <c r="N160" s="22">
        <f>'Annual Raw'!O78</f>
        <v>14.759399999999999</v>
      </c>
      <c r="O160" s="22">
        <f>'Annual Raw'!P78</f>
        <v>15.7995</v>
      </c>
      <c r="P160" s="22">
        <f>'Annual Raw'!Q78</f>
        <v>11.652200000000001</v>
      </c>
      <c r="Q160" s="22">
        <f>'Annual Raw'!R78</f>
        <v>15.366</v>
      </c>
      <c r="R160" s="22">
        <f>'Annual Raw'!S78</f>
        <v>31.097200000000001</v>
      </c>
      <c r="S160" s="22">
        <f>'Annual Raw'!T78</f>
        <v>44.692599999999999</v>
      </c>
      <c r="T160" s="22">
        <f>'Annual Raw'!U78</f>
        <v>47.763500000000001</v>
      </c>
      <c r="U160" s="22">
        <f>'Annual Raw'!V78</f>
        <v>44.61</v>
      </c>
      <c r="V160" s="22">
        <f>'Annual Raw'!W78</f>
        <v>67.11</v>
      </c>
      <c r="W160" s="22">
        <f>'Annual Raw'!X78</f>
        <v>32.19</v>
      </c>
      <c r="X160" s="22">
        <f>'Annual Raw'!Y78</f>
        <v>43.18</v>
      </c>
      <c r="Y160" s="22">
        <f>'Annual Raw'!Z78</f>
        <v>312.04000000000002</v>
      </c>
      <c r="Z160" s="22">
        <f>'Annual Raw'!AA78</f>
        <v>175.99</v>
      </c>
      <c r="AA160" s="22">
        <f>'Annual Raw'!AB78</f>
        <v>298.93</v>
      </c>
      <c r="AB160" s="23">
        <f t="shared" si="1554"/>
        <v>475.33684122502507</v>
      </c>
      <c r="AC160" s="23">
        <f t="shared" si="1555"/>
        <v>649.2800111468091</v>
      </c>
      <c r="AD160" s="23">
        <f t="shared" si="1556"/>
        <v>866.92730319084149</v>
      </c>
      <c r="AE160" s="23">
        <f t="shared" si="1557"/>
        <v>1138.581481156765</v>
      </c>
      <c r="AI160" s="22">
        <f>+'QTR Raw'!C83</f>
        <v>1.75</v>
      </c>
      <c r="AJ160" s="22">
        <f t="shared" ref="AJ160" si="1559">+AJ210</f>
        <v>125.35606339268243</v>
      </c>
      <c r="AK160" s="22">
        <f>+'QTR Raw'!E83</f>
        <v>14.76</v>
      </c>
      <c r="AL160" s="22">
        <f t="shared" ref="AL160" si="1560">+AL210</f>
        <v>85.149553924566831</v>
      </c>
      <c r="AM160" s="22">
        <f>+'QTR Raw'!G83</f>
        <v>3.37</v>
      </c>
      <c r="AN160" s="22">
        <f t="shared" ref="AN160" si="1561">+AN210</f>
        <v>92.758004921127167</v>
      </c>
      <c r="AO160" s="22">
        <f>+'QTR Raw'!I83</f>
        <v>15.8</v>
      </c>
      <c r="AP160" s="22">
        <f t="shared" ref="AP160" si="1562">+AP210</f>
        <v>92.018290535583347</v>
      </c>
      <c r="AQ160" s="22">
        <f>+'QTR Raw'!K83</f>
        <v>2.73</v>
      </c>
      <c r="AR160" s="22">
        <f t="shared" ref="AR160" si="1563">+AR210</f>
        <v>86.694398902159463</v>
      </c>
      <c r="AS160" s="22">
        <f>+'QTR Raw'!M83</f>
        <v>11.65</v>
      </c>
      <c r="AT160" s="22">
        <f t="shared" ref="AT160" si="1564">+AT210</f>
        <v>145.96940929902627</v>
      </c>
      <c r="AU160" s="22">
        <f>+'QTR Raw'!O83</f>
        <v>18.73</v>
      </c>
      <c r="AV160" s="22">
        <f t="shared" ref="AV160" si="1565">+AV210</f>
        <v>197.36411093164955</v>
      </c>
      <c r="AW160" s="22">
        <f>+'QTR Raw'!Q83</f>
        <v>15.37</v>
      </c>
      <c r="AX160" s="22">
        <f t="shared" ref="AX160" si="1566">+AX210</f>
        <v>257.56910793765036</v>
      </c>
      <c r="AY160" s="22">
        <f>+'QTR Raw'!S83</f>
        <v>11.9</v>
      </c>
      <c r="AZ160" s="22">
        <f t="shared" ref="AZ160" si="1567">+AZ210</f>
        <v>221.6864521654025</v>
      </c>
      <c r="BA160" s="22">
        <f>+'QTR Raw'!U83</f>
        <v>31.1</v>
      </c>
      <c r="BB160" s="22">
        <f t="shared" ref="BB160" si="1568">+BB210</f>
        <v>249.8853877363546</v>
      </c>
      <c r="BC160" s="22">
        <f>+'QTR Raw'!W83</f>
        <v>27.01</v>
      </c>
      <c r="BD160" s="22">
        <f t="shared" ref="BD160" si="1569">+BD210</f>
        <v>225.82312815193674</v>
      </c>
      <c r="BE160" s="22">
        <f>+'QTR Raw'!Y83</f>
        <v>44.69</v>
      </c>
      <c r="BF160" s="22">
        <f t="shared" ref="BF160" si="1570">+BF210</f>
        <v>205.5811088964424</v>
      </c>
      <c r="BG160" s="22">
        <f>+'QTR Raw'!AA83</f>
        <v>38.659999999999997</v>
      </c>
      <c r="BH160" s="22">
        <f t="shared" ref="BH160" si="1571">+BH210</f>
        <v>84.534026331698541</v>
      </c>
      <c r="BI160" s="22">
        <f>+'QTR Raw'!AC83</f>
        <v>47.76</v>
      </c>
      <c r="BJ160" s="22">
        <f t="shared" ref="BJ160" si="1572">+BJ210</f>
        <v>100.95320566982576</v>
      </c>
      <c r="BK160" s="22">
        <f>+'QTR Raw'!AE83</f>
        <v>57.76</v>
      </c>
      <c r="BL160" s="22">
        <f t="shared" ref="BL160" si="1573">+BL210</f>
        <v>142.28807684418163</v>
      </c>
      <c r="BM160" s="22">
        <f>+'QTR Raw'!AG83</f>
        <v>44.61</v>
      </c>
      <c r="BN160" s="22">
        <f t="shared" ref="BN160" si="1574">+BN210</f>
        <v>187.08871439955129</v>
      </c>
      <c r="BO160" s="22">
        <f>+'QTR Raw'!AI83</f>
        <v>17.09</v>
      </c>
      <c r="BP160" s="22">
        <f t="shared" ref="BP160" si="1575">+BP210</f>
        <v>43.88320307745105</v>
      </c>
      <c r="BQ160" s="22">
        <f>+'QTR Raw'!AK83</f>
        <v>67.11</v>
      </c>
      <c r="BR160" s="22">
        <f t="shared" ref="BR160" si="1576">+BR210</f>
        <v>54.428073909379542</v>
      </c>
      <c r="BS160" s="22">
        <f>+'QTR Raw'!AM83</f>
        <v>58.75</v>
      </c>
      <c r="BT160" s="22">
        <f t="shared" ref="BT160" si="1577">+BT210</f>
        <v>32.604521459616066</v>
      </c>
      <c r="BU160" s="22">
        <f>+'QTR Raw'!AO83</f>
        <v>32.19</v>
      </c>
      <c r="BV160" s="22">
        <f t="shared" ref="BV160" si="1578">+BV210</f>
        <v>16.619757848753814</v>
      </c>
      <c r="BW160" s="22">
        <f>+'QTR Raw'!AQ83</f>
        <v>13.82</v>
      </c>
      <c r="BX160" s="22">
        <f t="shared" ref="BX160" si="1579">+BX210</f>
        <v>31.900087299885115</v>
      </c>
      <c r="BY160" s="22">
        <f>+'QTR Raw'!AS83</f>
        <v>43.18</v>
      </c>
      <c r="BZ160" s="22">
        <f t="shared" ref="BZ160" si="1580">+BZ210</f>
        <v>100.21886344935132</v>
      </c>
      <c r="CA160" s="22">
        <f>+'QTR Raw'!AU83</f>
        <v>51.57</v>
      </c>
      <c r="CB160" s="22">
        <f t="shared" ref="CB160" si="1581">+CB210</f>
        <v>53.520329097635724</v>
      </c>
      <c r="CC160" s="22">
        <f>+'QTR Raw'!AW83</f>
        <v>312.04000000000002</v>
      </c>
      <c r="CD160" s="22">
        <f t="shared" ref="CD160" si="1582">+CD210</f>
        <v>414.05943733125747</v>
      </c>
      <c r="CE160" s="22">
        <f>+'QTR Raw'!AY83</f>
        <v>229.28</v>
      </c>
      <c r="CF160" s="22">
        <f t="shared" ref="CF160:CH160" si="1583">+CF210</f>
        <v>323.21938775510165</v>
      </c>
      <c r="CG160" s="22">
        <f t="shared" si="1558"/>
        <v>175.99</v>
      </c>
      <c r="CH160" s="22">
        <f t="shared" si="1583"/>
        <v>358.69220671609241</v>
      </c>
      <c r="CI160" s="22">
        <f>+'QTR Raw'!BC83</f>
        <v>155.74</v>
      </c>
      <c r="CJ160" s="22">
        <f t="shared" ref="CJ160:CL160" si="1584">+CJ210</f>
        <v>308.65322542181855</v>
      </c>
      <c r="CK160" s="23">
        <f t="shared" ref="CK160:DA160" si="1585">+CK210</f>
        <v>340.05413586397276</v>
      </c>
      <c r="CL160" s="22">
        <f t="shared" si="1584"/>
        <v>372.35120918609005</v>
      </c>
      <c r="CM160" s="23">
        <f t="shared" si="1585"/>
        <v>414.82356189114125</v>
      </c>
      <c r="CN160" s="23">
        <f t="shared" si="1585"/>
        <v>439.74121665777841</v>
      </c>
      <c r="CO160" s="23">
        <f t="shared" si="1585"/>
        <v>475.33684122502507</v>
      </c>
      <c r="CP160" s="23">
        <f t="shared" si="1585"/>
        <v>521.48708846507611</v>
      </c>
      <c r="CQ160" s="23">
        <f t="shared" si="1585"/>
        <v>573.05227795802284</v>
      </c>
      <c r="CR160" s="23">
        <f t="shared" si="1585"/>
        <v>604.99299909908041</v>
      </c>
      <c r="CS160" s="23">
        <f t="shared" si="1585"/>
        <v>649.2800111468091</v>
      </c>
      <c r="CT160" s="23">
        <f t="shared" si="1585"/>
        <v>706.32379564387475</v>
      </c>
      <c r="CU160" s="23">
        <f t="shared" si="1585"/>
        <v>768.19113786598825</v>
      </c>
      <c r="CV160" s="23">
        <f t="shared" si="1585"/>
        <v>810.91997006025508</v>
      </c>
      <c r="CW160" s="23">
        <f t="shared" si="1585"/>
        <v>866.92730319084149</v>
      </c>
      <c r="CX160" s="23">
        <f t="shared" si="1585"/>
        <v>936.44084379577396</v>
      </c>
      <c r="CY160" s="23">
        <f t="shared" si="1585"/>
        <v>1011.2500699858153</v>
      </c>
      <c r="CZ160" s="23">
        <f t="shared" si="1585"/>
        <v>1067.880666160527</v>
      </c>
      <c r="DA160" s="23">
        <f t="shared" si="1585"/>
        <v>1138.581481156765</v>
      </c>
      <c r="DD160" s="122"/>
      <c r="DE160" s="22">
        <v>340.05413586397276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586">C159+C160</f>
        <v>0</v>
      </c>
      <c r="D161" s="21">
        <f t="shared" si="1586"/>
        <v>13.986700000000001</v>
      </c>
      <c r="E161" s="21">
        <f t="shared" si="1586"/>
        <v>40.713900000000002</v>
      </c>
      <c r="F161" s="21">
        <f t="shared" si="1586"/>
        <v>22.3293</v>
      </c>
      <c r="G161" s="21">
        <f t="shared" si="1586"/>
        <v>21.773699999999998</v>
      </c>
      <c r="H161" s="21">
        <f t="shared" si="1586"/>
        <v>15.576099999999999</v>
      </c>
      <c r="I161" s="21">
        <f t="shared" si="1586"/>
        <v>17.485900000000001</v>
      </c>
      <c r="J161" s="21">
        <f t="shared" si="1586"/>
        <v>29.297400000000003</v>
      </c>
      <c r="K161" s="21">
        <f t="shared" si="1586"/>
        <v>35.1083</v>
      </c>
      <c r="L161" s="21">
        <f t="shared" si="1586"/>
        <v>50.287800000000004</v>
      </c>
      <c r="M161" s="21">
        <f t="shared" si="1586"/>
        <v>85.646599999999992</v>
      </c>
      <c r="N161" s="21">
        <f t="shared" si="1586"/>
        <v>75.138199999999998</v>
      </c>
      <c r="O161" s="21">
        <f t="shared" si="1586"/>
        <v>70.593299999999999</v>
      </c>
      <c r="P161" s="21">
        <f t="shared" si="1586"/>
        <v>197.98999999999998</v>
      </c>
      <c r="Q161" s="21">
        <f t="shared" si="1586"/>
        <v>221.99220000000003</v>
      </c>
      <c r="R161" s="21">
        <f t="shared" si="1586"/>
        <v>226.11380000000003</v>
      </c>
      <c r="S161" s="21">
        <f t="shared" si="1586"/>
        <v>182.19049999999999</v>
      </c>
      <c r="T161" s="21">
        <f t="shared" si="1586"/>
        <v>68.885300000000001</v>
      </c>
      <c r="U161" s="21">
        <f t="shared" si="1586"/>
        <v>105.42</v>
      </c>
      <c r="V161" s="21">
        <f t="shared" si="1586"/>
        <v>85.460000000000008</v>
      </c>
      <c r="W161" s="21">
        <f t="shared" ref="W161" si="1587">W159+W160</f>
        <v>32.809999999999995</v>
      </c>
      <c r="X161" s="21">
        <f t="shared" ref="X161:Y161" si="1588">X159+X160</f>
        <v>43.18</v>
      </c>
      <c r="Y161" s="21">
        <f t="shared" si="1588"/>
        <v>391.77000000000004</v>
      </c>
      <c r="Z161" s="21">
        <f t="shared" ref="Z161:AA161" si="1589">Z159+Z160</f>
        <v>327.46000000000004</v>
      </c>
      <c r="AA161" s="21">
        <f t="shared" si="1589"/>
        <v>493.23</v>
      </c>
      <c r="AB161" s="20">
        <f t="shared" ref="AA161:AD161" si="1590">AB159+AB160</f>
        <v>475.33684122502507</v>
      </c>
      <c r="AC161" s="20">
        <f t="shared" si="1590"/>
        <v>649.2800111468091</v>
      </c>
      <c r="AD161" s="20">
        <f t="shared" si="1590"/>
        <v>866.92730319084149</v>
      </c>
      <c r="AE161" s="20">
        <f t="shared" ref="AE161" si="1591">AE159+AE160</f>
        <v>1138.581481156765</v>
      </c>
      <c r="AI161" s="21">
        <f t="shared" ref="AI161:AL161" si="1592">AI159+AI160</f>
        <v>85.56</v>
      </c>
      <c r="AJ161" s="21">
        <f t="shared" si="1592"/>
        <v>125.35606339268243</v>
      </c>
      <c r="AK161" s="21">
        <f t="shared" si="1592"/>
        <v>75.14</v>
      </c>
      <c r="AL161" s="21">
        <f t="shared" si="1592"/>
        <v>85.149553924566831</v>
      </c>
      <c r="AM161" s="21">
        <f t="shared" ref="AM161:AP161" si="1593">AM159+AM160</f>
        <v>54.36</v>
      </c>
      <c r="AN161" s="21">
        <f t="shared" si="1593"/>
        <v>92.758004921127167</v>
      </c>
      <c r="AO161" s="21">
        <f t="shared" si="1593"/>
        <v>70.59</v>
      </c>
      <c r="AP161" s="21">
        <f t="shared" si="1593"/>
        <v>92.018290535583347</v>
      </c>
      <c r="AQ161" s="21">
        <f t="shared" ref="AQ161:AT161" si="1594">AQ159+AQ160</f>
        <v>65.09</v>
      </c>
      <c r="AR161" s="21">
        <f t="shared" si="1594"/>
        <v>86.694398902159463</v>
      </c>
      <c r="AS161" s="21">
        <f t="shared" si="1594"/>
        <v>197.99</v>
      </c>
      <c r="AT161" s="21">
        <f t="shared" si="1594"/>
        <v>145.96940929902627</v>
      </c>
      <c r="AU161" s="21">
        <f t="shared" ref="AU161:AX161" si="1595">AU159+AU160</f>
        <v>167.10999999999999</v>
      </c>
      <c r="AV161" s="21">
        <f t="shared" si="1595"/>
        <v>197.36411093164955</v>
      </c>
      <c r="AW161" s="21">
        <f t="shared" si="1595"/>
        <v>221.99</v>
      </c>
      <c r="AX161" s="21">
        <f t="shared" si="1595"/>
        <v>257.56910793765036</v>
      </c>
      <c r="AY161" s="21">
        <f t="shared" ref="AY161:BB161" si="1596">AY159+AY160</f>
        <v>196.48000000000002</v>
      </c>
      <c r="AZ161" s="21">
        <f t="shared" si="1596"/>
        <v>221.6864521654025</v>
      </c>
      <c r="BA161" s="21">
        <f t="shared" si="1596"/>
        <v>226.12</v>
      </c>
      <c r="BB161" s="21">
        <f t="shared" si="1596"/>
        <v>249.8853877363546</v>
      </c>
      <c r="BC161" s="21">
        <f t="shared" ref="BC161:BF161" si="1597">BC159+BC160</f>
        <v>199.73</v>
      </c>
      <c r="BD161" s="21">
        <f t="shared" si="1597"/>
        <v>225.82312815193674</v>
      </c>
      <c r="BE161" s="21">
        <f t="shared" si="1597"/>
        <v>182.19</v>
      </c>
      <c r="BF161" s="21">
        <f t="shared" si="1597"/>
        <v>205.5811088964424</v>
      </c>
      <c r="BG161" s="21">
        <f t="shared" ref="BG161:BJ161" si="1598">BG159+BG160</f>
        <v>107.78999999999999</v>
      </c>
      <c r="BH161" s="21">
        <f t="shared" si="1598"/>
        <v>84.534026331698541</v>
      </c>
      <c r="BI161" s="21">
        <f t="shared" si="1598"/>
        <v>68.88</v>
      </c>
      <c r="BJ161" s="21">
        <f t="shared" si="1598"/>
        <v>100.95320566982576</v>
      </c>
      <c r="BK161" s="21">
        <f t="shared" ref="BK161:BN161" si="1599">BK159+BK160</f>
        <v>121.72</v>
      </c>
      <c r="BL161" s="21">
        <f t="shared" si="1599"/>
        <v>142.28807684418163</v>
      </c>
      <c r="BM161" s="21">
        <f t="shared" si="1599"/>
        <v>105.42</v>
      </c>
      <c r="BN161" s="21">
        <f t="shared" si="1599"/>
        <v>187.08871439955129</v>
      </c>
      <c r="BO161" s="21">
        <f t="shared" ref="BO161:BR161" si="1600">BO159+BO160</f>
        <v>40.14</v>
      </c>
      <c r="BP161" s="21">
        <f t="shared" si="1600"/>
        <v>43.88320307745105</v>
      </c>
      <c r="BQ161" s="21">
        <f t="shared" si="1600"/>
        <v>85.460000000000008</v>
      </c>
      <c r="BR161" s="21">
        <f t="shared" si="1600"/>
        <v>54.428073909379542</v>
      </c>
      <c r="BS161" s="21">
        <f t="shared" ref="BS161:BV161" si="1601">BS159+BS160</f>
        <v>58.75</v>
      </c>
      <c r="BT161" s="21">
        <f t="shared" si="1601"/>
        <v>32.604521459616066</v>
      </c>
      <c r="BU161" s="21">
        <f t="shared" si="1601"/>
        <v>32.809999999999995</v>
      </c>
      <c r="BV161" s="21">
        <f t="shared" si="1601"/>
        <v>16.619757848753814</v>
      </c>
      <c r="BW161" s="21">
        <f t="shared" ref="BW161:BZ161" si="1602">BW159+BW160</f>
        <v>13.82</v>
      </c>
      <c r="BX161" s="21">
        <f t="shared" si="1602"/>
        <v>31.900087299885115</v>
      </c>
      <c r="BY161" s="21">
        <f t="shared" si="1602"/>
        <v>43.18</v>
      </c>
      <c r="BZ161" s="21">
        <f t="shared" si="1602"/>
        <v>100.21886344935132</v>
      </c>
      <c r="CA161" s="21">
        <f t="shared" ref="CA161:CD161" si="1603">CA159+CA160</f>
        <v>51.57</v>
      </c>
      <c r="CB161" s="21">
        <f t="shared" si="1603"/>
        <v>53.520329097635724</v>
      </c>
      <c r="CC161" s="21">
        <f t="shared" si="1603"/>
        <v>391.77000000000004</v>
      </c>
      <c r="CD161" s="21">
        <f t="shared" si="1603"/>
        <v>414.05943733125747</v>
      </c>
      <c r="CE161" s="21">
        <f t="shared" ref="CE161" si="1604">CE159+CE160</f>
        <v>319.67</v>
      </c>
      <c r="CF161" s="21">
        <f t="shared" ref="CF161:CH161" si="1605">CF159+CF160</f>
        <v>323.21938775510165</v>
      </c>
      <c r="CG161" s="21">
        <f t="shared" ref="CG161" si="1606">CG159+CG160</f>
        <v>327.46000000000004</v>
      </c>
      <c r="CH161" s="21">
        <f t="shared" si="1605"/>
        <v>358.69220671609241</v>
      </c>
      <c r="CI161" s="21">
        <f t="shared" ref="CI161:CJ161" si="1607">CI159+CI160</f>
        <v>280.77</v>
      </c>
      <c r="CJ161" s="21">
        <f t="shared" si="1607"/>
        <v>308.65322542181855</v>
      </c>
      <c r="CK161" s="20">
        <f t="shared" ref="CK161:DA161" si="1608">CK159+CK160</f>
        <v>340.05413586397276</v>
      </c>
      <c r="CL161" s="21">
        <f t="shared" si="1608"/>
        <v>372.35120918609005</v>
      </c>
      <c r="CM161" s="20">
        <f t="shared" si="1608"/>
        <v>414.82356189114125</v>
      </c>
      <c r="CN161" s="20">
        <f t="shared" si="1608"/>
        <v>439.74121665777841</v>
      </c>
      <c r="CO161" s="20">
        <f t="shared" si="1608"/>
        <v>475.33684122502507</v>
      </c>
      <c r="CP161" s="20">
        <f t="shared" si="1608"/>
        <v>521.48708846507611</v>
      </c>
      <c r="CQ161" s="20">
        <f t="shared" si="1608"/>
        <v>573.05227795802284</v>
      </c>
      <c r="CR161" s="20">
        <f t="shared" si="1608"/>
        <v>604.99299909908041</v>
      </c>
      <c r="CS161" s="20">
        <f t="shared" si="1608"/>
        <v>649.2800111468091</v>
      </c>
      <c r="CT161" s="20">
        <f t="shared" si="1608"/>
        <v>706.32379564387475</v>
      </c>
      <c r="CU161" s="20">
        <f t="shared" si="1608"/>
        <v>768.19113786598825</v>
      </c>
      <c r="CV161" s="20">
        <f t="shared" si="1608"/>
        <v>810.91997006025508</v>
      </c>
      <c r="CW161" s="20">
        <f t="shared" si="1608"/>
        <v>866.92730319084149</v>
      </c>
      <c r="CX161" s="20">
        <f t="shared" si="1608"/>
        <v>936.44084379577396</v>
      </c>
      <c r="CY161" s="20">
        <f t="shared" si="1608"/>
        <v>1011.2500699858153</v>
      </c>
      <c r="CZ161" s="20">
        <f t="shared" si="1608"/>
        <v>1067.880666160527</v>
      </c>
      <c r="DA161" s="20">
        <f t="shared" si="1608"/>
        <v>1138.581481156765</v>
      </c>
      <c r="DD161" s="125"/>
      <c r="DE161" s="21">
        <v>340.05413586397276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-7.4984000000000002</v>
      </c>
      <c r="E163" s="22">
        <f>-'Annual Raw'!F49</f>
        <v>-9.6239000000000008</v>
      </c>
      <c r="F163" s="22">
        <f>-'Annual Raw'!G49</f>
        <v>-8.9906000000000006</v>
      </c>
      <c r="G163" s="22">
        <f>-'Annual Raw'!H49</f>
        <v>-6.02</v>
      </c>
      <c r="H163" s="22">
        <f>-'Annual Raw'!I49</f>
        <v>-8.3916000000000004</v>
      </c>
      <c r="I163" s="22">
        <f>-'Annual Raw'!J49</f>
        <v>-8.5149000000000008</v>
      </c>
      <c r="J163" s="22">
        <f>-'Annual Raw'!K49</f>
        <v>-6.8964999999999996</v>
      </c>
      <c r="K163" s="22">
        <f>-'Annual Raw'!L49</f>
        <v>-6.7759</v>
      </c>
      <c r="L163" s="22">
        <f>-'Annual Raw'!M49</f>
        <v>-5.2638999999999996</v>
      </c>
      <c r="M163" s="22">
        <f>-'Annual Raw'!N49</f>
        <v>-2.5213000000000001</v>
      </c>
      <c r="N163" s="22">
        <f>-'Annual Raw'!O49</f>
        <v>-0.67769999999999997</v>
      </c>
      <c r="O163" s="22">
        <f>-'Annual Raw'!P49</f>
        <v>-0.9869</v>
      </c>
      <c r="P163" s="22">
        <f>-'Annual Raw'!Q49</f>
        <v>-5.4885000000000002</v>
      </c>
      <c r="Q163" s="22">
        <f>-'Annual Raw'!R49</f>
        <v>-4.2366000000000001</v>
      </c>
      <c r="R163" s="22">
        <f>-'Annual Raw'!S49</f>
        <v>18.706299999999999</v>
      </c>
      <c r="S163" s="22">
        <f>-'Annual Raw'!T49</f>
        <v>10.190899999999999</v>
      </c>
      <c r="T163" s="22">
        <f>-'Annual Raw'!U49</f>
        <v>4.9101999999999997</v>
      </c>
      <c r="U163" s="22">
        <f>-'Annual Raw'!V49</f>
        <v>6.24</v>
      </c>
      <c r="V163" s="22">
        <f>-'Annual Raw'!W49</f>
        <v>7.75</v>
      </c>
      <c r="W163" s="22">
        <f>-'Annual Raw'!X49</f>
        <v>17.079999999999998</v>
      </c>
      <c r="X163" s="22">
        <f>-'Annual Raw'!Y49</f>
        <v>28.41</v>
      </c>
      <c r="Y163" s="22">
        <f>-'Annual Raw'!Z49</f>
        <v>18.149999999999999</v>
      </c>
      <c r="Z163" s="22">
        <f>-'Annual Raw'!AA49</f>
        <v>7</v>
      </c>
      <c r="AA163" s="22">
        <f>-'Annual Raw'!AB49</f>
        <v>-5.45</v>
      </c>
      <c r="AB163" s="23">
        <f t="shared" ref="AB163:AB164" si="1609">+CO163</f>
        <v>1.06</v>
      </c>
      <c r="AC163" s="23">
        <f t="shared" ref="AC163:AC164" si="1610">+CS163</f>
        <v>1.06</v>
      </c>
      <c r="AD163" s="23">
        <f t="shared" ref="AD163:AD164" si="1611">+CW163</f>
        <v>1.06</v>
      </c>
      <c r="AE163" s="23">
        <f t="shared" ref="AE163:AE164" si="1612">+DA163</f>
        <v>1.06</v>
      </c>
      <c r="AI163" s="22">
        <f>+'QTR Raw'!C96</f>
        <v>-1.4</v>
      </c>
      <c r="AJ163" s="22">
        <f t="shared" ref="AJ163:AJ164" si="1613">+AI163</f>
        <v>-1.4</v>
      </c>
      <c r="AK163" s="22">
        <f>+'QTR Raw'!E96</f>
        <v>-0.68</v>
      </c>
      <c r="AL163" s="22">
        <f t="shared" ref="AL163:AL164" si="1614">+AK163</f>
        <v>-0.68</v>
      </c>
      <c r="AM163" s="22">
        <f>+'QTR Raw'!G96</f>
        <v>0.32</v>
      </c>
      <c r="AN163" s="22">
        <f t="shared" ref="AN163:AN164" si="1615">+AM163</f>
        <v>0.32</v>
      </c>
      <c r="AO163" s="22">
        <f>+'QTR Raw'!I96</f>
        <v>-0.99</v>
      </c>
      <c r="AP163" s="22">
        <f t="shared" ref="AP163:AP164" si="1616">+AO163</f>
        <v>-0.99</v>
      </c>
      <c r="AQ163" s="22">
        <f>+'QTR Raw'!K96</f>
        <v>-2.59</v>
      </c>
      <c r="AR163" s="22">
        <f t="shared" ref="AR163:AR164" si="1617">+AQ163</f>
        <v>-2.59</v>
      </c>
      <c r="AS163" s="22">
        <f>+'QTR Raw'!M96</f>
        <v>-5.49</v>
      </c>
      <c r="AT163" s="22">
        <f t="shared" ref="AT163:AT164" si="1618">+AS163</f>
        <v>-5.49</v>
      </c>
      <c r="AU163" s="22">
        <f>+'QTR Raw'!O96</f>
        <v>-3.48</v>
      </c>
      <c r="AV163" s="22">
        <f t="shared" ref="AV163:AV164" si="1619">+AU163</f>
        <v>-3.48</v>
      </c>
      <c r="AW163" s="22">
        <f>+'QTR Raw'!Q96</f>
        <v>-4.2300000000000004</v>
      </c>
      <c r="AX163" s="22">
        <f t="shared" ref="AX163:AX164" si="1620">+AW163</f>
        <v>-4.2300000000000004</v>
      </c>
      <c r="AY163" s="22">
        <f>+'QTR Raw'!S96</f>
        <v>0</v>
      </c>
      <c r="AZ163" s="22">
        <f t="shared" ref="AZ163:AZ164" si="1621">+AY163</f>
        <v>0</v>
      </c>
      <c r="BA163" s="22">
        <f>+'QTR Raw'!U96</f>
        <v>2.95</v>
      </c>
      <c r="BB163" s="22">
        <f t="shared" ref="BB163:BB164" si="1622">+BA163</f>
        <v>2.95</v>
      </c>
      <c r="BC163" s="22">
        <f>+'QTR Raw'!W96</f>
        <v>13.96</v>
      </c>
      <c r="BD163" s="22">
        <f t="shared" ref="BD163:BD164" si="1623">+BC163</f>
        <v>13.96</v>
      </c>
      <c r="BE163" s="22">
        <f>+'QTR Raw'!Y96</f>
        <v>10.19</v>
      </c>
      <c r="BF163" s="22">
        <f t="shared" ref="BF163:BF164" si="1624">+BE163</f>
        <v>10.19</v>
      </c>
      <c r="BG163" s="22">
        <f>+'QTR Raw'!AA96</f>
        <v>6.38</v>
      </c>
      <c r="BH163" s="22">
        <f t="shared" ref="BH163:BH164" si="1625">+BG163</f>
        <v>6.38</v>
      </c>
      <c r="BI163" s="22">
        <f>+'QTR Raw'!AC96</f>
        <v>4.91</v>
      </c>
      <c r="BJ163" s="22">
        <f t="shared" ref="BJ163:BJ164" si="1626">+BI163</f>
        <v>4.91</v>
      </c>
      <c r="BK163" s="22">
        <f>+'QTR Raw'!AE96</f>
        <v>5.08</v>
      </c>
      <c r="BL163" s="22">
        <f t="shared" ref="BL163:BL164" si="1627">+BK163</f>
        <v>5.08</v>
      </c>
      <c r="BM163" s="22">
        <f>+'QTR Raw'!AG96</f>
        <v>6.24</v>
      </c>
      <c r="BN163" s="22">
        <f t="shared" ref="BN163:BN164" si="1628">+BM163</f>
        <v>6.24</v>
      </c>
      <c r="BO163" s="22">
        <f>+'QTR Raw'!AI96</f>
        <v>6.49</v>
      </c>
      <c r="BP163" s="22">
        <f t="shared" ref="BP163:BP164" si="1629">+BO163</f>
        <v>6.49</v>
      </c>
      <c r="BQ163" s="22">
        <f>+'QTR Raw'!AK96</f>
        <v>7.75</v>
      </c>
      <c r="BR163" s="22">
        <f t="shared" ref="BR163:BR164" si="1630">+BQ163</f>
        <v>7.75</v>
      </c>
      <c r="BS163" s="22">
        <f>+'QTR Raw'!AM96</f>
        <v>3.66</v>
      </c>
      <c r="BT163" s="22">
        <f t="shared" ref="BT163:BT164" si="1631">+BS163</f>
        <v>3.66</v>
      </c>
      <c r="BU163" s="22">
        <f>+'QTR Raw'!AO96</f>
        <v>17.079999999999998</v>
      </c>
      <c r="BV163" s="22">
        <f t="shared" ref="BV163:BV164" si="1632">+BU163</f>
        <v>17.079999999999998</v>
      </c>
      <c r="BW163" s="22">
        <f>+'QTR Raw'!AQ96</f>
        <v>14.04</v>
      </c>
      <c r="BX163" s="22">
        <f t="shared" ref="BX163:BX164" si="1633">+BW163</f>
        <v>14.04</v>
      </c>
      <c r="BY163" s="22">
        <f>+'QTR Raw'!AS96</f>
        <v>28.41</v>
      </c>
      <c r="BZ163" s="22">
        <f t="shared" ref="BZ163:BZ164" si="1634">+BY163</f>
        <v>28.41</v>
      </c>
      <c r="CA163" s="22">
        <f>+'QTR Raw'!AU96</f>
        <v>26.98</v>
      </c>
      <c r="CB163" s="22">
        <f t="shared" ref="CB163:CB164" si="1635">+CA163</f>
        <v>26.98</v>
      </c>
      <c r="CC163" s="22">
        <f>+'QTR Raw'!AW96</f>
        <v>18.149999999999999</v>
      </c>
      <c r="CD163" s="22">
        <f t="shared" ref="CD163:CD164" si="1636">+CC163</f>
        <v>18.149999999999999</v>
      </c>
      <c r="CE163" s="22">
        <f>+'QTR Raw'!AY96</f>
        <v>14.26</v>
      </c>
      <c r="CF163" s="22">
        <f t="shared" ref="CF163:CL163" si="1637">+CE163</f>
        <v>14.26</v>
      </c>
      <c r="CG163" s="22">
        <f>+'QTR Raw'!BA96</f>
        <v>7</v>
      </c>
      <c r="CH163" s="22">
        <f t="shared" si="1637"/>
        <v>7</v>
      </c>
      <c r="CI163" s="22">
        <f>+'QTR Raw'!BC96</f>
        <v>1.06</v>
      </c>
      <c r="CJ163" s="22">
        <f t="shared" si="1637"/>
        <v>1.06</v>
      </c>
      <c r="CK163" s="23">
        <f t="shared" ref="CK163:CK164" si="1638">+CJ163</f>
        <v>1.06</v>
      </c>
      <c r="CL163" s="22">
        <f t="shared" si="1637"/>
        <v>1.06</v>
      </c>
      <c r="CM163" s="23">
        <f t="shared" ref="CM163:CM164" si="1639">+CL163</f>
        <v>1.06</v>
      </c>
      <c r="CN163" s="23">
        <f t="shared" ref="CN163:CN164" si="1640">+CM163</f>
        <v>1.06</v>
      </c>
      <c r="CO163" s="23">
        <f t="shared" ref="CO163:CO164" si="1641">+CN163</f>
        <v>1.06</v>
      </c>
      <c r="CP163" s="23">
        <f t="shared" ref="CP163:CP164" si="1642">+CO163</f>
        <v>1.06</v>
      </c>
      <c r="CQ163" s="23">
        <f t="shared" ref="CQ163:CQ164" si="1643">+CP163</f>
        <v>1.06</v>
      </c>
      <c r="CR163" s="23">
        <f t="shared" ref="CR163:CR164" si="1644">+CQ163</f>
        <v>1.06</v>
      </c>
      <c r="CS163" s="23">
        <f t="shared" ref="CS163:CS164" si="1645">+CR163</f>
        <v>1.06</v>
      </c>
      <c r="CT163" s="23">
        <f t="shared" ref="CT163:CT164" si="1646">+CS163</f>
        <v>1.06</v>
      </c>
      <c r="CU163" s="23">
        <f t="shared" ref="CU163:CU164" si="1647">+CT163</f>
        <v>1.06</v>
      </c>
      <c r="CV163" s="23">
        <f t="shared" ref="CV163:CV164" si="1648">+CU163</f>
        <v>1.06</v>
      </c>
      <c r="CW163" s="23">
        <f t="shared" ref="CW163:CW164" si="1649">+CV163</f>
        <v>1.06</v>
      </c>
      <c r="CX163" s="23">
        <f t="shared" ref="CX163:CX164" si="1650">+CW163</f>
        <v>1.06</v>
      </c>
      <c r="CY163" s="23">
        <f t="shared" ref="CY163:CY164" si="1651">+CX163</f>
        <v>1.06</v>
      </c>
      <c r="CZ163" s="23">
        <f t="shared" ref="CZ163:CZ164" si="1652">+CY163</f>
        <v>1.06</v>
      </c>
      <c r="DA163" s="23">
        <f t="shared" ref="DA163:DA164" si="1653">+CZ163</f>
        <v>1.06</v>
      </c>
      <c r="DD163" s="122"/>
      <c r="DE163" s="22">
        <v>1.06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2.7576999999999998</v>
      </c>
      <c r="E164" s="22">
        <f>'Annual Raw'!F83</f>
        <v>0.42120000000000002</v>
      </c>
      <c r="F164" s="22">
        <f>'Annual Raw'!G83</f>
        <v>4.5600000000000002E-2</v>
      </c>
      <c r="G164" s="22">
        <f>'Annual Raw'!H83</f>
        <v>9.1000000000000004E-3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09"/>
        <v>0</v>
      </c>
      <c r="AC164" s="23">
        <f t="shared" si="1610"/>
        <v>0</v>
      </c>
      <c r="AD164" s="23">
        <f t="shared" si="1611"/>
        <v>0</v>
      </c>
      <c r="AE164" s="23">
        <f t="shared" si="1612"/>
        <v>0</v>
      </c>
      <c r="AI164" s="22">
        <f>+'QTR Raw'!C95</f>
        <v>0</v>
      </c>
      <c r="AJ164" s="22">
        <f t="shared" si="1613"/>
        <v>0</v>
      </c>
      <c r="AK164" s="22">
        <f>+'QTR Raw'!E95</f>
        <v>0</v>
      </c>
      <c r="AL164" s="22">
        <f t="shared" si="1614"/>
        <v>0</v>
      </c>
      <c r="AM164" s="22">
        <f>+'QTR Raw'!G95</f>
        <v>0</v>
      </c>
      <c r="AN164" s="22">
        <f t="shared" si="1615"/>
        <v>0</v>
      </c>
      <c r="AO164" s="22">
        <f>+'QTR Raw'!I95</f>
        <v>0</v>
      </c>
      <c r="AP164" s="22">
        <f t="shared" si="1616"/>
        <v>0</v>
      </c>
      <c r="AQ164" s="22">
        <f>+'QTR Raw'!K95</f>
        <v>0</v>
      </c>
      <c r="AR164" s="22">
        <f t="shared" si="1617"/>
        <v>0</v>
      </c>
      <c r="AS164" s="22">
        <f>+'QTR Raw'!M95</f>
        <v>0</v>
      </c>
      <c r="AT164" s="22">
        <f t="shared" si="1618"/>
        <v>0</v>
      </c>
      <c r="AU164" s="22">
        <f>+'QTR Raw'!O95</f>
        <v>0</v>
      </c>
      <c r="AV164" s="22">
        <f t="shared" si="1619"/>
        <v>0</v>
      </c>
      <c r="AW164" s="22">
        <f>+'QTR Raw'!Q95</f>
        <v>0</v>
      </c>
      <c r="AX164" s="22">
        <f t="shared" si="1620"/>
        <v>0</v>
      </c>
      <c r="AY164" s="22">
        <f>+'QTR Raw'!S95</f>
        <v>0</v>
      </c>
      <c r="AZ164" s="22">
        <f t="shared" si="1621"/>
        <v>0</v>
      </c>
      <c r="BA164" s="22">
        <f>+'QTR Raw'!U95</f>
        <v>0</v>
      </c>
      <c r="BB164" s="22">
        <f t="shared" si="1622"/>
        <v>0</v>
      </c>
      <c r="BC164" s="22">
        <f>+'QTR Raw'!W95</f>
        <v>0</v>
      </c>
      <c r="BD164" s="22">
        <f t="shared" si="1623"/>
        <v>0</v>
      </c>
      <c r="BE164" s="22">
        <f>+'QTR Raw'!Y95</f>
        <v>0</v>
      </c>
      <c r="BF164" s="22">
        <f t="shared" si="1624"/>
        <v>0</v>
      </c>
      <c r="BG164" s="22">
        <f>+'QTR Raw'!AA95</f>
        <v>0</v>
      </c>
      <c r="BH164" s="22">
        <f t="shared" si="1625"/>
        <v>0</v>
      </c>
      <c r="BI164" s="22">
        <f>+'QTR Raw'!AC95</f>
        <v>0</v>
      </c>
      <c r="BJ164" s="22">
        <f t="shared" si="1626"/>
        <v>0</v>
      </c>
      <c r="BK164" s="22">
        <f>+'QTR Raw'!AE95</f>
        <v>0</v>
      </c>
      <c r="BL164" s="22">
        <f t="shared" si="1627"/>
        <v>0</v>
      </c>
      <c r="BM164" s="22">
        <f>+'QTR Raw'!AG95</f>
        <v>0</v>
      </c>
      <c r="BN164" s="22">
        <f t="shared" si="1628"/>
        <v>0</v>
      </c>
      <c r="BO164" s="22">
        <f>+'QTR Raw'!AI95</f>
        <v>0</v>
      </c>
      <c r="BP164" s="22">
        <f t="shared" si="1629"/>
        <v>0</v>
      </c>
      <c r="BQ164" s="22">
        <f>+'QTR Raw'!AK95</f>
        <v>0</v>
      </c>
      <c r="BR164" s="22">
        <f t="shared" si="1630"/>
        <v>0</v>
      </c>
      <c r="BS164" s="22">
        <f>+'QTR Raw'!AM95</f>
        <v>0</v>
      </c>
      <c r="BT164" s="22">
        <f t="shared" si="1631"/>
        <v>0</v>
      </c>
      <c r="BU164" s="22">
        <f>+'QTR Raw'!AO95</f>
        <v>0</v>
      </c>
      <c r="BV164" s="22">
        <f t="shared" si="1632"/>
        <v>0</v>
      </c>
      <c r="BW164" s="22">
        <f>+'QTR Raw'!AQ95</f>
        <v>0</v>
      </c>
      <c r="BX164" s="22">
        <f t="shared" si="1633"/>
        <v>0</v>
      </c>
      <c r="BY164" s="22">
        <f>+'QTR Raw'!AS95</f>
        <v>0</v>
      </c>
      <c r="BZ164" s="22">
        <f t="shared" si="1634"/>
        <v>0</v>
      </c>
      <c r="CA164" s="22">
        <f>+'QTR Raw'!AU95</f>
        <v>0</v>
      </c>
      <c r="CB164" s="22">
        <f t="shared" si="1635"/>
        <v>0</v>
      </c>
      <c r="CC164" s="22">
        <f>+'QTR Raw'!AW95</f>
        <v>0</v>
      </c>
      <c r="CD164" s="22">
        <f t="shared" si="1636"/>
        <v>0</v>
      </c>
      <c r="CE164" s="22">
        <f>+'QTR Raw'!AY95</f>
        <v>0</v>
      </c>
      <c r="CF164" s="22">
        <f t="shared" ref="CF164:CL164" si="1654">+CE164</f>
        <v>0</v>
      </c>
      <c r="CG164" s="22">
        <f>+'QTR Raw'!BA95</f>
        <v>0</v>
      </c>
      <c r="CH164" s="22">
        <f t="shared" si="1654"/>
        <v>0</v>
      </c>
      <c r="CI164" s="22">
        <f>+'QTR Raw'!BC95</f>
        <v>0</v>
      </c>
      <c r="CJ164" s="22">
        <f t="shared" si="1654"/>
        <v>0</v>
      </c>
      <c r="CK164" s="23">
        <f t="shared" si="1638"/>
        <v>0</v>
      </c>
      <c r="CL164" s="22">
        <f t="shared" si="1654"/>
        <v>0</v>
      </c>
      <c r="CM164" s="23">
        <f t="shared" si="1639"/>
        <v>0</v>
      </c>
      <c r="CN164" s="23">
        <f t="shared" si="1640"/>
        <v>0</v>
      </c>
      <c r="CO164" s="23">
        <f t="shared" si="1641"/>
        <v>0</v>
      </c>
      <c r="CP164" s="23">
        <f t="shared" si="1642"/>
        <v>0</v>
      </c>
      <c r="CQ164" s="23">
        <f t="shared" si="1643"/>
        <v>0</v>
      </c>
      <c r="CR164" s="23">
        <f t="shared" si="1644"/>
        <v>0</v>
      </c>
      <c r="CS164" s="23">
        <f t="shared" si="1645"/>
        <v>0</v>
      </c>
      <c r="CT164" s="23">
        <f t="shared" si="1646"/>
        <v>0</v>
      </c>
      <c r="CU164" s="23">
        <f t="shared" si="1647"/>
        <v>0</v>
      </c>
      <c r="CV164" s="23">
        <f t="shared" si="1648"/>
        <v>0</v>
      </c>
      <c r="CW164" s="23">
        <f t="shared" si="1649"/>
        <v>0</v>
      </c>
      <c r="CX164" s="23">
        <f t="shared" si="1650"/>
        <v>0</v>
      </c>
      <c r="CY164" s="23">
        <f t="shared" si="1651"/>
        <v>0</v>
      </c>
      <c r="CZ164" s="23">
        <f t="shared" si="1652"/>
        <v>0</v>
      </c>
      <c r="DA164" s="23">
        <f t="shared" si="1653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55">B163+B161+B157+B140+B138+B164</f>
        <v>0</v>
      </c>
      <c r="C165" s="25">
        <f t="shared" si="1655"/>
        <v>0</v>
      </c>
      <c r="D165" s="25">
        <f t="shared" si="1655"/>
        <v>171.68940000000003</v>
      </c>
      <c r="E165" s="25">
        <f t="shared" si="1655"/>
        <v>174.22669999999999</v>
      </c>
      <c r="F165" s="25">
        <f t="shared" si="1655"/>
        <v>192.53909999999999</v>
      </c>
      <c r="G165" s="25">
        <f t="shared" si="1655"/>
        <v>213.07570000000001</v>
      </c>
      <c r="H165" s="25">
        <f t="shared" si="1655"/>
        <v>257.62369999999999</v>
      </c>
      <c r="I165" s="25">
        <f t="shared" si="1655"/>
        <v>305.42249999999996</v>
      </c>
      <c r="J165" s="25">
        <f t="shared" si="1655"/>
        <v>295.98540000000003</v>
      </c>
      <c r="K165" s="25">
        <f t="shared" si="1655"/>
        <v>285.48139999999995</v>
      </c>
      <c r="L165" s="25">
        <f t="shared" si="1655"/>
        <v>316.19209999999998</v>
      </c>
      <c r="M165" s="25">
        <f t="shared" si="1655"/>
        <v>350.97269999999992</v>
      </c>
      <c r="N165" s="25">
        <f t="shared" si="1655"/>
        <v>425.33870000000002</v>
      </c>
      <c r="O165" s="25">
        <f t="shared" si="1655"/>
        <v>457.13670000000008</v>
      </c>
      <c r="P165" s="25">
        <f t="shared" si="1655"/>
        <v>631.44799999999998</v>
      </c>
      <c r="Q165" s="25">
        <f t="shared" si="1655"/>
        <v>1171.1557</v>
      </c>
      <c r="R165" s="25">
        <f t="shared" si="1655"/>
        <v>944.69280000000015</v>
      </c>
      <c r="S165" s="25">
        <f t="shared" si="1655"/>
        <v>954.80410000000018</v>
      </c>
      <c r="T165" s="25">
        <f t="shared" si="1655"/>
        <v>959.59040000000005</v>
      </c>
      <c r="U165" s="25">
        <f t="shared" si="1655"/>
        <v>969.95000000000027</v>
      </c>
      <c r="V165" s="25">
        <f t="shared" si="1655"/>
        <v>1012.7</v>
      </c>
      <c r="W165" s="25">
        <f t="shared" si="1655"/>
        <v>1063.3899999999999</v>
      </c>
      <c r="X165" s="25">
        <f t="shared" ref="X165:Y165" si="1656">X163+X161+X157+X140+X138+X164</f>
        <v>1120.0500000000006</v>
      </c>
      <c r="Y165" s="25">
        <f t="shared" si="1656"/>
        <v>1350.46</v>
      </c>
      <c r="Z165" s="25">
        <f t="shared" ref="Z165:AA165" si="1657">Z163+Z161+Z157+Z140+Z138+Z164</f>
        <v>1293.5499999999997</v>
      </c>
      <c r="AA165" s="25">
        <f t="shared" si="1657"/>
        <v>1393.5299999999997</v>
      </c>
      <c r="AB165" s="26">
        <f t="shared" ref="AA165:AD165" si="1658">AB163+AB161+AB157+AB140+AB138+AB164</f>
        <v>1533.9669091196672</v>
      </c>
      <c r="AC165" s="26">
        <f t="shared" si="1658"/>
        <v>1704.0332020349545</v>
      </c>
      <c r="AD165" s="26">
        <f t="shared" si="1658"/>
        <v>1917.5359880915157</v>
      </c>
      <c r="AE165" s="26">
        <f t="shared" ref="AE165" si="1659">AE163+AE161+AE157+AE140+AE138+AE164</f>
        <v>2185.0342026532253</v>
      </c>
      <c r="AI165" s="25">
        <f t="shared" ref="AI165:AL165" si="1660">AI163+AI161+AI157+AI140+AI138+AI164</f>
        <v>377.54999999999995</v>
      </c>
      <c r="AJ165" s="25">
        <f t="shared" si="1660"/>
        <v>386.32999999999993</v>
      </c>
      <c r="AK165" s="25">
        <f t="shared" si="1660"/>
        <v>421.8</v>
      </c>
      <c r="AL165" s="25">
        <f t="shared" si="1660"/>
        <v>437.43</v>
      </c>
      <c r="AM165" s="25">
        <f t="shared" ref="AM165:AP165" si="1661">AM163+AM161+AM157+AM140+AM138+AM164</f>
        <v>452.19000000000005</v>
      </c>
      <c r="AN165" s="25">
        <f t="shared" si="1661"/>
        <v>461.34000000000003</v>
      </c>
      <c r="AO165" s="25">
        <f t="shared" si="1661"/>
        <v>451.42999999999995</v>
      </c>
      <c r="AP165" s="25">
        <f t="shared" si="1661"/>
        <v>468.34999999999997</v>
      </c>
      <c r="AQ165" s="25">
        <f t="shared" ref="AQ165:AT165" si="1662">AQ163+AQ161+AQ157+AQ140+AQ138+AQ164</f>
        <v>493.88</v>
      </c>
      <c r="AR165" s="25">
        <f t="shared" si="1662"/>
        <v>507.1</v>
      </c>
      <c r="AS165" s="25">
        <f t="shared" si="1662"/>
        <v>627.24</v>
      </c>
      <c r="AT165" s="25">
        <f t="shared" si="1662"/>
        <v>647.72</v>
      </c>
      <c r="AU165" s="25">
        <f t="shared" ref="AU165:AX165" si="1663">AU163+AU161+AU157+AU140+AU138+AU164</f>
        <v>1171.73</v>
      </c>
      <c r="AV165" s="25">
        <f t="shared" si="1663"/>
        <v>1187.6999999999998</v>
      </c>
      <c r="AW165" s="25">
        <f t="shared" si="1663"/>
        <v>1129.2799999999997</v>
      </c>
      <c r="AX165" s="25">
        <f t="shared" si="1663"/>
        <v>1163.56</v>
      </c>
      <c r="AY165" s="25">
        <f t="shared" ref="AY165:BB165" si="1664">AY163+AY161+AY157+AY140+AY138+AY164</f>
        <v>1126.4499999999998</v>
      </c>
      <c r="AZ165" s="25">
        <f t="shared" si="1664"/>
        <v>1143.2399999999998</v>
      </c>
      <c r="BA165" s="25">
        <f t="shared" si="1664"/>
        <v>1112.75</v>
      </c>
      <c r="BB165" s="25">
        <f t="shared" si="1664"/>
        <v>1129.0700000000002</v>
      </c>
      <c r="BC165" s="25">
        <f t="shared" ref="BC165:BF165" si="1665">BC163+BC161+BC157+BC140+BC138+BC164</f>
        <v>898.33000000000015</v>
      </c>
      <c r="BD165" s="25">
        <f t="shared" si="1665"/>
        <v>917.46</v>
      </c>
      <c r="BE165" s="25">
        <f t="shared" si="1665"/>
        <v>943.31</v>
      </c>
      <c r="BF165" s="25">
        <f t="shared" si="1665"/>
        <v>961.11000000000013</v>
      </c>
      <c r="BG165" s="25">
        <f t="shared" ref="BG165:BJ165" si="1666">BG163+BG161+BG157+BG140+BG138+BG164</f>
        <v>948.78999999999985</v>
      </c>
      <c r="BH165" s="25">
        <f t="shared" si="1666"/>
        <v>933.66999999999985</v>
      </c>
      <c r="BI165" s="25">
        <f t="shared" si="1666"/>
        <v>956.0100000000001</v>
      </c>
      <c r="BJ165" s="25">
        <f t="shared" si="1666"/>
        <v>998.04000000000019</v>
      </c>
      <c r="BK165" s="25">
        <f t="shared" ref="BK165:BN165" si="1667">BK163+BK161+BK157+BK140+BK138+BK164</f>
        <v>649.75</v>
      </c>
      <c r="BL165" s="25">
        <f t="shared" si="1667"/>
        <v>681.65000000000009</v>
      </c>
      <c r="BM165" s="25">
        <f t="shared" si="1667"/>
        <v>966.19</v>
      </c>
      <c r="BN165" s="25">
        <f t="shared" si="1667"/>
        <v>993.5</v>
      </c>
      <c r="BO165" s="25">
        <f t="shared" ref="BO165:BR165" si="1668">BO163+BO161+BO157+BO140+BO138+BO164</f>
        <v>883.86999999999978</v>
      </c>
      <c r="BP165" s="25">
        <f t="shared" si="1668"/>
        <v>920.74999999999977</v>
      </c>
      <c r="BQ165" s="25">
        <f t="shared" si="1668"/>
        <v>1010.94</v>
      </c>
      <c r="BR165" s="25">
        <f t="shared" si="1668"/>
        <v>1027.1100000000001</v>
      </c>
      <c r="BS165" s="25">
        <f t="shared" ref="BS165:BV165" si="1669">BS163+BS161+BS157+BS140+BS138+BS164</f>
        <v>1101.25</v>
      </c>
      <c r="BT165" s="25">
        <f t="shared" si="1669"/>
        <v>1079.4099999999999</v>
      </c>
      <c r="BU165" s="25">
        <f t="shared" si="1669"/>
        <v>1066.9000000000001</v>
      </c>
      <c r="BV165" s="25">
        <f t="shared" si="1669"/>
        <v>1091.5100000000002</v>
      </c>
      <c r="BW165" s="25">
        <f t="shared" ref="BW165:BZ165" si="1670">BW163+BW161+BW157+BW140+BW138+BW164</f>
        <v>1240.8099999999997</v>
      </c>
      <c r="BX165" s="25">
        <f t="shared" si="1670"/>
        <v>1240.8499999999999</v>
      </c>
      <c r="BY165" s="25">
        <f t="shared" si="1670"/>
        <v>1123.1100000000001</v>
      </c>
      <c r="BZ165" s="25">
        <f t="shared" si="1670"/>
        <v>1158.5999999999999</v>
      </c>
      <c r="CA165" s="25">
        <f t="shared" ref="CA165:CD165" si="1671">CA163+CA161+CA157+CA140+CA138+CA164</f>
        <v>1165.19</v>
      </c>
      <c r="CB165" s="25">
        <f t="shared" si="1671"/>
        <v>1197.46</v>
      </c>
      <c r="CC165" s="25">
        <f t="shared" si="1671"/>
        <v>1353.4099999999999</v>
      </c>
      <c r="CD165" s="25">
        <f t="shared" si="1671"/>
        <v>1379.4399999999998</v>
      </c>
      <c r="CE165" s="25">
        <f t="shared" ref="CE165" si="1672">CE163+CE161+CE157+CE140+CE138+CE164</f>
        <v>1386.0100000000002</v>
      </c>
      <c r="CF165" s="25">
        <f t="shared" ref="CF165:CH165" si="1673">CF163+CF161+CF157+CF140+CF138+CF164</f>
        <v>1397.7199999999998</v>
      </c>
      <c r="CG165" s="25">
        <f t="shared" ref="CG165" si="1674">CG163+CG161+CG157+CG140+CG138+CG164</f>
        <v>1293.5499999999997</v>
      </c>
      <c r="CH165" s="25">
        <f t="shared" si="1673"/>
        <v>1319.6999999999998</v>
      </c>
      <c r="CI165" s="25">
        <f t="shared" ref="CI165:CJ165" si="1675">CI163+CI161+CI157+CI140+CI138+CI164</f>
        <v>1334.0300000000002</v>
      </c>
      <c r="CJ165" s="25">
        <f t="shared" si="1675"/>
        <v>1370.8000000000002</v>
      </c>
      <c r="CK165" s="26">
        <f t="shared" ref="CK165:DA165" si="1676">CK163+CK161+CK157+CK140+CK138+CK164</f>
        <v>1401.1000000000001</v>
      </c>
      <c r="CL165" s="25">
        <f t="shared" si="1676"/>
        <v>1426.7</v>
      </c>
      <c r="CM165" s="26">
        <f t="shared" si="1676"/>
        <v>1459.4647507118452</v>
      </c>
      <c r="CN165" s="26">
        <f t="shared" si="1676"/>
        <v>1496.4962176290203</v>
      </c>
      <c r="CO165" s="26">
        <f t="shared" si="1676"/>
        <v>1533.9669091196672</v>
      </c>
      <c r="CP165" s="26">
        <f t="shared" si="1676"/>
        <v>1571.7925410508287</v>
      </c>
      <c r="CQ165" s="26">
        <f t="shared" si="1676"/>
        <v>1612.6770419224376</v>
      </c>
      <c r="CR165" s="26">
        <f t="shared" si="1676"/>
        <v>1657.481344114492</v>
      </c>
      <c r="CS165" s="26">
        <f t="shared" si="1676"/>
        <v>1704.0332020349545</v>
      </c>
      <c r="CT165" s="26">
        <f t="shared" si="1676"/>
        <v>1752.4594180748052</v>
      </c>
      <c r="CU165" s="26">
        <f t="shared" si="1676"/>
        <v>1803.5999400954538</v>
      </c>
      <c r="CV165" s="26">
        <f t="shared" si="1676"/>
        <v>1859.2633381942501</v>
      </c>
      <c r="CW165" s="26">
        <f t="shared" si="1676"/>
        <v>1917.5359880915157</v>
      </c>
      <c r="CX165" s="26">
        <f t="shared" si="1676"/>
        <v>1978.4352756189164</v>
      </c>
      <c r="CY165" s="26">
        <f t="shared" si="1676"/>
        <v>2042.612842898418</v>
      </c>
      <c r="CZ165" s="26">
        <f t="shared" si="1676"/>
        <v>2112.0940504976243</v>
      </c>
      <c r="DA165" s="26">
        <f t="shared" si="1676"/>
        <v>2185.0342026532253</v>
      </c>
      <c r="DD165" s="120"/>
      <c r="DE165" s="25">
        <v>1401.1000000000001</v>
      </c>
    </row>
    <row r="166" spans="1:109" s="22" customFormat="1" x14ac:dyDescent="0.2">
      <c r="A166" s="27" t="s">
        <v>439</v>
      </c>
      <c r="B166" s="22">
        <f t="shared" ref="B166:W166" si="1677">B165-B129</f>
        <v>0</v>
      </c>
      <c r="C166" s="22">
        <f t="shared" si="1677"/>
        <v>0</v>
      </c>
      <c r="D166" s="22">
        <f t="shared" si="1677"/>
        <v>0</v>
      </c>
      <c r="E166" s="22">
        <f t="shared" si="1677"/>
        <v>0</v>
      </c>
      <c r="F166" s="22">
        <f t="shared" si="1677"/>
        <v>0</v>
      </c>
      <c r="G166" s="22">
        <f t="shared" si="1677"/>
        <v>0</v>
      </c>
      <c r="H166" s="22">
        <f t="shared" si="1677"/>
        <v>0</v>
      </c>
      <c r="I166" s="22">
        <f t="shared" si="1677"/>
        <v>0</v>
      </c>
      <c r="J166" s="22">
        <f t="shared" si="1677"/>
        <v>0</v>
      </c>
      <c r="K166" s="22">
        <f t="shared" si="1677"/>
        <v>0</v>
      </c>
      <c r="L166" s="22">
        <f t="shared" si="1677"/>
        <v>0</v>
      </c>
      <c r="M166" s="22">
        <f t="shared" si="1677"/>
        <v>0</v>
      </c>
      <c r="N166" s="22">
        <f t="shared" si="1677"/>
        <v>0</v>
      </c>
      <c r="O166" s="22">
        <f t="shared" si="1677"/>
        <v>0</v>
      </c>
      <c r="P166" s="22">
        <f t="shared" si="1677"/>
        <v>0</v>
      </c>
      <c r="Q166" s="22">
        <f t="shared" si="1677"/>
        <v>0</v>
      </c>
      <c r="R166" s="22">
        <f t="shared" si="1677"/>
        <v>0</v>
      </c>
      <c r="S166" s="22">
        <f t="shared" si="1677"/>
        <v>0</v>
      </c>
      <c r="T166" s="22">
        <f t="shared" si="1677"/>
        <v>0</v>
      </c>
      <c r="U166" s="22">
        <f t="shared" si="1677"/>
        <v>0</v>
      </c>
      <c r="V166" s="22">
        <f t="shared" si="1677"/>
        <v>0</v>
      </c>
      <c r="W166" s="22">
        <f t="shared" si="1677"/>
        <v>0</v>
      </c>
      <c r="X166" s="22">
        <f t="shared" ref="X166:Y166" si="1678">X165-X129</f>
        <v>0</v>
      </c>
      <c r="Y166" s="22">
        <f t="shared" si="1678"/>
        <v>0</v>
      </c>
      <c r="Z166" s="22">
        <f t="shared" ref="Z166:AA166" si="1679">Z165-Z129</f>
        <v>0</v>
      </c>
      <c r="AA166" s="22">
        <f t="shared" si="1679"/>
        <v>0</v>
      </c>
      <c r="AB166" s="23">
        <f t="shared" ref="AA166:AD166" si="1680">AB165-AB129</f>
        <v>0</v>
      </c>
      <c r="AC166" s="23">
        <f t="shared" si="1680"/>
        <v>0</v>
      </c>
      <c r="AD166" s="23">
        <f t="shared" si="1680"/>
        <v>0</v>
      </c>
      <c r="AE166" s="23">
        <f t="shared" ref="AE166" si="1681">AE165-AE129</f>
        <v>0</v>
      </c>
      <c r="AI166" s="22">
        <f t="shared" ref="AI166:AL166" si="1682">AI165-AI129</f>
        <v>0</v>
      </c>
      <c r="AJ166" s="22">
        <f t="shared" si="1682"/>
        <v>0</v>
      </c>
      <c r="AK166" s="22">
        <f t="shared" si="1682"/>
        <v>0</v>
      </c>
      <c r="AL166" s="22">
        <f t="shared" si="1682"/>
        <v>0</v>
      </c>
      <c r="AM166" s="22">
        <f t="shared" ref="AM166:AP166" si="1683">AM165-AM129</f>
        <v>0</v>
      </c>
      <c r="AN166" s="22">
        <f t="shared" si="1683"/>
        <v>0</v>
      </c>
      <c r="AO166" s="22">
        <f t="shared" si="1683"/>
        <v>0</v>
      </c>
      <c r="AP166" s="22">
        <f t="shared" si="1683"/>
        <v>0</v>
      </c>
      <c r="AQ166" s="22">
        <f t="shared" ref="AQ166:AT166" si="1684">AQ165-AQ129</f>
        <v>0</v>
      </c>
      <c r="AR166" s="22">
        <f t="shared" si="1684"/>
        <v>0</v>
      </c>
      <c r="AS166" s="22">
        <f t="shared" si="1684"/>
        <v>0</v>
      </c>
      <c r="AT166" s="22">
        <f t="shared" si="1684"/>
        <v>0</v>
      </c>
      <c r="AU166" s="22">
        <f t="shared" ref="AU166:AX166" si="1685">AU165-AU129</f>
        <v>0</v>
      </c>
      <c r="AV166" s="22">
        <f t="shared" si="1685"/>
        <v>0</v>
      </c>
      <c r="AW166" s="22">
        <f t="shared" si="1685"/>
        <v>0</v>
      </c>
      <c r="AX166" s="22">
        <f t="shared" si="1685"/>
        <v>0</v>
      </c>
      <c r="AY166" s="22">
        <f t="shared" ref="AY166:BB166" si="1686">AY165-AY129</f>
        <v>0</v>
      </c>
      <c r="AZ166" s="22">
        <f t="shared" si="1686"/>
        <v>0</v>
      </c>
      <c r="BA166" s="22">
        <f t="shared" si="1686"/>
        <v>0</v>
      </c>
      <c r="BB166" s="22">
        <f t="shared" si="1686"/>
        <v>0</v>
      </c>
      <c r="BC166" s="22">
        <f t="shared" ref="BC166:BF166" si="1687">BC165-BC129</f>
        <v>0</v>
      </c>
      <c r="BD166" s="22">
        <f t="shared" si="1687"/>
        <v>0</v>
      </c>
      <c r="BE166" s="22">
        <f t="shared" si="1687"/>
        <v>0</v>
      </c>
      <c r="BF166" s="22">
        <f t="shared" si="1687"/>
        <v>0</v>
      </c>
      <c r="BG166" s="22">
        <f t="shared" ref="BG166:BJ166" si="1688">BG165-BG129</f>
        <v>0</v>
      </c>
      <c r="BH166" s="22">
        <f t="shared" si="1688"/>
        <v>0</v>
      </c>
      <c r="BI166" s="22">
        <f t="shared" si="1688"/>
        <v>1.0000000000104592E-2</v>
      </c>
      <c r="BJ166" s="22">
        <f t="shared" si="1688"/>
        <v>1.0000000000104592E-2</v>
      </c>
      <c r="BK166" s="22">
        <f t="shared" ref="BK166:BN166" si="1689">BK165-BK129</f>
        <v>0</v>
      </c>
      <c r="BL166" s="22">
        <f t="shared" si="1689"/>
        <v>0</v>
      </c>
      <c r="BM166" s="22">
        <f t="shared" si="1689"/>
        <v>0</v>
      </c>
      <c r="BN166" s="22">
        <f t="shared" si="1689"/>
        <v>0</v>
      </c>
      <c r="BO166" s="22">
        <f t="shared" ref="BO166:BR166" si="1690">BO165-BO129</f>
        <v>0</v>
      </c>
      <c r="BP166" s="22">
        <f t="shared" si="1690"/>
        <v>0</v>
      </c>
      <c r="BQ166" s="22">
        <f t="shared" si="1690"/>
        <v>0</v>
      </c>
      <c r="BR166" s="22">
        <f t="shared" si="1690"/>
        <v>0</v>
      </c>
      <c r="BS166" s="22">
        <f t="shared" ref="BS166:BV166" si="1691">BS165-BS129</f>
        <v>0</v>
      </c>
      <c r="BT166" s="22">
        <f t="shared" si="1691"/>
        <v>0</v>
      </c>
      <c r="BU166" s="22">
        <f t="shared" si="1691"/>
        <v>0</v>
      </c>
      <c r="BV166" s="22">
        <f t="shared" si="1691"/>
        <v>0</v>
      </c>
      <c r="BW166" s="22">
        <f t="shared" ref="BW166:BZ166" si="1692">BW165-BW129</f>
        <v>0</v>
      </c>
      <c r="BX166" s="22">
        <f t="shared" si="1692"/>
        <v>0</v>
      </c>
      <c r="BY166" s="22">
        <f t="shared" si="1692"/>
        <v>0</v>
      </c>
      <c r="BZ166" s="22">
        <f t="shared" si="1692"/>
        <v>0</v>
      </c>
      <c r="CA166" s="22">
        <f t="shared" ref="CA166:CD166" si="1693">CA165-CA129</f>
        <v>0</v>
      </c>
      <c r="CB166" s="22">
        <f t="shared" si="1693"/>
        <v>0</v>
      </c>
      <c r="CC166" s="22">
        <f t="shared" si="1693"/>
        <v>0</v>
      </c>
      <c r="CD166" s="22">
        <f t="shared" si="1693"/>
        <v>0</v>
      </c>
      <c r="CE166" s="22">
        <f t="shared" ref="CE166" si="1694">CE165-CE129</f>
        <v>0</v>
      </c>
      <c r="CF166" s="22">
        <f t="shared" ref="CF166:CH166" si="1695">CF165-CF129</f>
        <v>0</v>
      </c>
      <c r="CG166" s="22">
        <f t="shared" ref="CG166" si="1696">CG165-CG129</f>
        <v>0</v>
      </c>
      <c r="CH166" s="22">
        <f t="shared" si="1695"/>
        <v>0</v>
      </c>
      <c r="CI166" s="22">
        <f t="shared" ref="CI166:CJ166" si="1697">CI165-CI129</f>
        <v>0</v>
      </c>
      <c r="CJ166" s="22">
        <f t="shared" si="1697"/>
        <v>0</v>
      </c>
      <c r="CK166" s="23">
        <f t="shared" ref="CK166:DA166" si="1698">CK165-CK129</f>
        <v>0</v>
      </c>
      <c r="CL166" s="22">
        <f t="shared" si="1698"/>
        <v>0</v>
      </c>
      <c r="CM166" s="23">
        <f t="shared" si="1698"/>
        <v>0</v>
      </c>
      <c r="CN166" s="23">
        <f t="shared" si="1698"/>
        <v>0</v>
      </c>
      <c r="CO166" s="23">
        <f t="shared" si="1698"/>
        <v>0</v>
      </c>
      <c r="CP166" s="23">
        <f t="shared" si="1698"/>
        <v>0</v>
      </c>
      <c r="CQ166" s="23">
        <f t="shared" si="1698"/>
        <v>0</v>
      </c>
      <c r="CR166" s="23">
        <f t="shared" si="1698"/>
        <v>0</v>
      </c>
      <c r="CS166" s="23">
        <f t="shared" si="1698"/>
        <v>0</v>
      </c>
      <c r="CT166" s="23">
        <f t="shared" si="1698"/>
        <v>0</v>
      </c>
      <c r="CU166" s="23">
        <f t="shared" si="1698"/>
        <v>0</v>
      </c>
      <c r="CV166" s="23">
        <f t="shared" si="1698"/>
        <v>0</v>
      </c>
      <c r="CW166" s="23">
        <f t="shared" si="1698"/>
        <v>0</v>
      </c>
      <c r="CX166" s="23">
        <f t="shared" si="1698"/>
        <v>0</v>
      </c>
      <c r="CY166" s="23">
        <f t="shared" si="1698"/>
        <v>0</v>
      </c>
      <c r="CZ166" s="23">
        <f t="shared" si="1698"/>
        <v>0</v>
      </c>
      <c r="DA166" s="23">
        <f t="shared" si="1698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699">B128-B161</f>
        <v>0</v>
      </c>
      <c r="C168" s="21">
        <f t="shared" si="1699"/>
        <v>0</v>
      </c>
      <c r="D168" s="21">
        <f t="shared" si="1699"/>
        <v>-4.811300000000001</v>
      </c>
      <c r="E168" s="21">
        <f t="shared" si="1699"/>
        <v>-30.4495</v>
      </c>
      <c r="F168" s="21">
        <f t="shared" si="1699"/>
        <v>-9.3086000000000002</v>
      </c>
      <c r="G168" s="21">
        <f t="shared" si="1699"/>
        <v>-5.4789999999999992</v>
      </c>
      <c r="H168" s="21">
        <f t="shared" si="1699"/>
        <v>18.197500000000005</v>
      </c>
      <c r="I168" s="21">
        <f t="shared" si="1699"/>
        <v>49.6678</v>
      </c>
      <c r="J168" s="21">
        <f t="shared" si="1699"/>
        <v>20.517999999999994</v>
      </c>
      <c r="K168" s="21">
        <f t="shared" si="1699"/>
        <v>-11.173200000000001</v>
      </c>
      <c r="L168" s="21">
        <f t="shared" si="1699"/>
        <v>-27.756900000000005</v>
      </c>
      <c r="M168" s="21">
        <f t="shared" si="1699"/>
        <v>-63.501599999999989</v>
      </c>
      <c r="N168" s="21">
        <f t="shared" si="1699"/>
        <v>-23.275799999999997</v>
      </c>
      <c r="O168" s="21">
        <f t="shared" si="1699"/>
        <v>-24.389199999999995</v>
      </c>
      <c r="P168" s="21">
        <f t="shared" si="1699"/>
        <v>-156.05409999999998</v>
      </c>
      <c r="Q168" s="21">
        <f t="shared" si="1699"/>
        <v>306.64829999999995</v>
      </c>
      <c r="R168" s="21">
        <f t="shared" si="1699"/>
        <v>209.3716</v>
      </c>
      <c r="S168" s="21">
        <f t="shared" si="1699"/>
        <v>223.54759999999999</v>
      </c>
      <c r="T168" s="21">
        <f t="shared" si="1699"/>
        <v>334.22720000000004</v>
      </c>
      <c r="U168" s="21">
        <f t="shared" si="1699"/>
        <v>167.18</v>
      </c>
      <c r="V168" s="21">
        <f t="shared" si="1699"/>
        <v>162.33000000000001</v>
      </c>
      <c r="W168" s="21">
        <f t="shared" si="1699"/>
        <v>315.89999999999998</v>
      </c>
      <c r="X168" s="21">
        <f t="shared" ref="X168:Y168" si="1700">X128-X161</f>
        <v>319.91000000000003</v>
      </c>
      <c r="Y168" s="21">
        <f t="shared" si="1700"/>
        <v>-191.77000000000004</v>
      </c>
      <c r="Z168" s="21">
        <f t="shared" ref="Z168:AA168" si="1701">Z128-Z161</f>
        <v>-227.46000000000004</v>
      </c>
      <c r="AA168" s="21">
        <f t="shared" si="1701"/>
        <v>-393.23</v>
      </c>
      <c r="AB168" s="20">
        <f t="shared" ref="AA168:AD168" si="1702">AB128-AB161</f>
        <v>-370.95684122502507</v>
      </c>
      <c r="AC168" s="20">
        <f t="shared" si="1702"/>
        <v>-544.90001114680911</v>
      </c>
      <c r="AD168" s="20">
        <f t="shared" si="1702"/>
        <v>-762.54730319084149</v>
      </c>
      <c r="AE168" s="20">
        <f t="shared" ref="AE168" si="1703">AE128-AE161</f>
        <v>-1034.2014811567651</v>
      </c>
      <c r="AI168" s="21">
        <f t="shared" ref="AI168:AL168" si="1704">AI128-AI161</f>
        <v>-63.120000000000005</v>
      </c>
      <c r="AJ168" s="21">
        <f t="shared" si="1704"/>
        <v>-102.91606339268243</v>
      </c>
      <c r="AK168" s="21">
        <f t="shared" si="1704"/>
        <v>-26.82</v>
      </c>
      <c r="AL168" s="21">
        <f t="shared" si="1704"/>
        <v>-36.829553924566831</v>
      </c>
      <c r="AM168" s="21">
        <f t="shared" ref="AM168:AP168" si="1705">AM128-AM161</f>
        <v>-6.759999999999998</v>
      </c>
      <c r="AN168" s="21">
        <f t="shared" si="1705"/>
        <v>-45.158004921127166</v>
      </c>
      <c r="AO168" s="21">
        <f t="shared" si="1705"/>
        <v>-30.090000000000003</v>
      </c>
      <c r="AP168" s="21">
        <f t="shared" si="1705"/>
        <v>-51.518290535583347</v>
      </c>
      <c r="AQ168" s="21">
        <f t="shared" ref="AQ168:AT168" si="1706">AQ128-AQ161</f>
        <v>-18.740000000000002</v>
      </c>
      <c r="AR168" s="21">
        <f t="shared" si="1706"/>
        <v>-40.344398902159462</v>
      </c>
      <c r="AS168" s="21">
        <f t="shared" si="1706"/>
        <v>-160.26000000000002</v>
      </c>
      <c r="AT168" s="21">
        <f t="shared" si="1706"/>
        <v>-108.23940929902628</v>
      </c>
      <c r="AU168" s="21">
        <f t="shared" ref="AU168:AX168" si="1707">AU128-AU161</f>
        <v>375.23</v>
      </c>
      <c r="AV168" s="21">
        <f t="shared" si="1707"/>
        <v>344.97588906835051</v>
      </c>
      <c r="AW168" s="21">
        <f t="shared" si="1707"/>
        <v>264.77999999999997</v>
      </c>
      <c r="AX168" s="21">
        <f t="shared" si="1707"/>
        <v>229.20089206234962</v>
      </c>
      <c r="AY168" s="21">
        <f t="shared" ref="AY168:BB168" si="1708">AY128-AY161</f>
        <v>232.55</v>
      </c>
      <c r="AZ168" s="21">
        <f t="shared" si="1708"/>
        <v>207.34354783459753</v>
      </c>
      <c r="BA168" s="21">
        <f t="shared" si="1708"/>
        <v>182.26</v>
      </c>
      <c r="BB168" s="21">
        <f t="shared" si="1708"/>
        <v>158.49461226364539</v>
      </c>
      <c r="BC168" s="21">
        <f t="shared" ref="BC168:BF168" si="1709">BC128-BC161</f>
        <v>197.65</v>
      </c>
      <c r="BD168" s="21">
        <f t="shared" si="1709"/>
        <v>171.55687184806325</v>
      </c>
      <c r="BE168" s="21">
        <f t="shared" si="1709"/>
        <v>212.05</v>
      </c>
      <c r="BF168" s="21">
        <f t="shared" si="1709"/>
        <v>188.65889110355761</v>
      </c>
      <c r="BG168" s="21">
        <f t="shared" ref="BG168:BJ168" si="1710">BG128-BG161</f>
        <v>285.74</v>
      </c>
      <c r="BH168" s="21">
        <f t="shared" si="1710"/>
        <v>308.99597366830142</v>
      </c>
      <c r="BI168" s="21">
        <f t="shared" si="1710"/>
        <v>330.64</v>
      </c>
      <c r="BJ168" s="21">
        <f t="shared" si="1710"/>
        <v>298.56679433017422</v>
      </c>
      <c r="BK168" s="21">
        <f t="shared" ref="BK168:BN168" si="1711">BK128-BK161</f>
        <v>-70.89</v>
      </c>
      <c r="BL168" s="21">
        <f t="shared" si="1711"/>
        <v>-91.458076844181633</v>
      </c>
      <c r="BM168" s="21">
        <f t="shared" si="1711"/>
        <v>163.42000000000002</v>
      </c>
      <c r="BN168" s="21">
        <f t="shared" si="1711"/>
        <v>81.751285600448739</v>
      </c>
      <c r="BO168" s="21">
        <f t="shared" ref="BO168:BR168" si="1712">BO128-BO161</f>
        <v>115.45</v>
      </c>
      <c r="BP168" s="21">
        <f t="shared" si="1712"/>
        <v>111.70679692254896</v>
      </c>
      <c r="BQ168" s="21">
        <f t="shared" si="1712"/>
        <v>160.57</v>
      </c>
      <c r="BR168" s="21">
        <f t="shared" si="1712"/>
        <v>191.60192609062045</v>
      </c>
      <c r="BS168" s="21">
        <f t="shared" ref="BS168:BV168" si="1713">BS128-BS161</f>
        <v>285.81</v>
      </c>
      <c r="BT168" s="21">
        <f t="shared" si="1713"/>
        <v>311.95547854038392</v>
      </c>
      <c r="BU168" s="21">
        <f t="shared" si="1713"/>
        <v>319.41000000000003</v>
      </c>
      <c r="BV168" s="21">
        <f t="shared" si="1713"/>
        <v>335.60024215124622</v>
      </c>
      <c r="BW168" s="21">
        <f t="shared" ref="BW168:BZ168" si="1714">BW128-BW161</f>
        <v>485.32</v>
      </c>
      <c r="BX168" s="21">
        <f t="shared" si="1714"/>
        <v>467.23991270011487</v>
      </c>
      <c r="BY168" s="21">
        <f t="shared" si="1714"/>
        <v>322.96999999999997</v>
      </c>
      <c r="BZ168" s="21">
        <f t="shared" si="1714"/>
        <v>265.93113655064866</v>
      </c>
      <c r="CA168" s="21">
        <f t="shared" ref="CA168:CD168" si="1715">CA128-CA161</f>
        <v>321.09999999999997</v>
      </c>
      <c r="CB168" s="21">
        <f t="shared" si="1715"/>
        <v>319.14967090236422</v>
      </c>
      <c r="CC168" s="21">
        <f t="shared" si="1715"/>
        <v>-188.82000000000005</v>
      </c>
      <c r="CD168" s="21">
        <f t="shared" si="1715"/>
        <v>-211.10943733125748</v>
      </c>
      <c r="CE168" s="21">
        <f t="shared" ref="CE168" si="1716">CE128-CE161</f>
        <v>-110.89000000000001</v>
      </c>
      <c r="CF168" s="21">
        <f t="shared" ref="CF168" si="1717">CF128-CF161</f>
        <v>-114.43938775510165</v>
      </c>
      <c r="CG168" s="21">
        <f t="shared" ref="CG168" si="1718">CG128-CG161</f>
        <v>-227.46000000000004</v>
      </c>
      <c r="CH168" s="21">
        <f t="shared" ref="CH168:CI168" si="1719">CH128-CH161</f>
        <v>-258.69220671609241</v>
      </c>
      <c r="CI168" s="21">
        <f t="shared" si="1719"/>
        <v>-176.39</v>
      </c>
      <c r="CJ168" s="21">
        <f t="shared" ref="CJ168:CL168" si="1720">CJ128-CJ161</f>
        <v>-204.27322542181855</v>
      </c>
      <c r="CK168" s="20">
        <f t="shared" ref="CK168:DA168" si="1721">CK128-CK161</f>
        <v>-235.67413586397277</v>
      </c>
      <c r="CL168" s="21">
        <f t="shared" si="1720"/>
        <v>-267.97120918609005</v>
      </c>
      <c r="CM168" s="20">
        <f t="shared" si="1721"/>
        <v>-310.44356189114126</v>
      </c>
      <c r="CN168" s="20">
        <f t="shared" si="1721"/>
        <v>-335.36121665777841</v>
      </c>
      <c r="CO168" s="20">
        <f t="shared" si="1721"/>
        <v>-370.95684122502507</v>
      </c>
      <c r="CP168" s="20">
        <f t="shared" si="1721"/>
        <v>-417.10708846507612</v>
      </c>
      <c r="CQ168" s="20">
        <f t="shared" si="1721"/>
        <v>-468.67227795802285</v>
      </c>
      <c r="CR168" s="20">
        <f t="shared" si="1721"/>
        <v>-500.61299909908041</v>
      </c>
      <c r="CS168" s="20">
        <f t="shared" si="1721"/>
        <v>-544.90001114680911</v>
      </c>
      <c r="CT168" s="20">
        <f t="shared" si="1721"/>
        <v>-601.94379564387475</v>
      </c>
      <c r="CU168" s="20">
        <f t="shared" si="1721"/>
        <v>-663.81113786598826</v>
      </c>
      <c r="CV168" s="20">
        <f t="shared" si="1721"/>
        <v>-706.53997006025509</v>
      </c>
      <c r="CW168" s="20">
        <f t="shared" si="1721"/>
        <v>-762.54730319084149</v>
      </c>
      <c r="CX168" s="20">
        <f t="shared" si="1721"/>
        <v>-832.06084379577396</v>
      </c>
      <c r="CY168" s="20">
        <f t="shared" si="1721"/>
        <v>-906.87006998581535</v>
      </c>
      <c r="CZ168" s="20">
        <f t="shared" si="1721"/>
        <v>-963.50066616052698</v>
      </c>
      <c r="DA168" s="20">
        <f t="shared" si="1721"/>
        <v>-1034.2014811567651</v>
      </c>
      <c r="DD168" s="125"/>
      <c r="DE168" s="21">
        <v>-235.67413586397277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21.369399999999999</v>
      </c>
      <c r="E170" s="48">
        <f>'Annual Raw'!F85</f>
        <v>33.563099999999999</v>
      </c>
      <c r="F170" s="48">
        <f>'Annual Raw'!G85</f>
        <v>22.245799999999999</v>
      </c>
      <c r="G170" s="48">
        <f>'Annual Raw'!H85</f>
        <v>122.4348</v>
      </c>
      <c r="H170" s="48">
        <f>'Annual Raw'!I85</f>
        <v>97.420900000000003</v>
      </c>
      <c r="I170" s="48">
        <f>'Annual Raw'!J85</f>
        <v>99.180400000000006</v>
      </c>
      <c r="J170" s="48">
        <f>'Annual Raw'!K85</f>
        <v>288.10449999999997</v>
      </c>
      <c r="K170" s="48">
        <f>'Annual Raw'!L85</f>
        <v>90.450100000000006</v>
      </c>
      <c r="L170" s="48">
        <f>'Annual Raw'!M85</f>
        <v>108.9336</v>
      </c>
      <c r="M170" s="48">
        <f>'Annual Raw'!N85</f>
        <v>113.9183</v>
      </c>
      <c r="N170" s="48">
        <f>'Annual Raw'!O85</f>
        <v>88.498999999999995</v>
      </c>
      <c r="O170" s="48">
        <f>'Annual Raw'!P85</f>
        <v>93.873699999999999</v>
      </c>
      <c r="P170" s="48">
        <f>'Annual Raw'!Q85</f>
        <v>98.686800000000005</v>
      </c>
      <c r="Q170" s="48">
        <f>'Annual Raw'!R85</f>
        <v>23.1938</v>
      </c>
      <c r="R170" s="48">
        <f>'Annual Raw'!S85</f>
        <v>27.218699999999998</v>
      </c>
      <c r="S170" s="48">
        <f>'Annual Raw'!T85</f>
        <v>27.333400000000001</v>
      </c>
      <c r="T170" s="48">
        <f>'Annual Raw'!U85</f>
        <v>22.002300000000002</v>
      </c>
      <c r="U170" s="48">
        <f>'Annual Raw'!V85</f>
        <v>20.78</v>
      </c>
      <c r="V170" s="48">
        <f>'Annual Raw'!W85</f>
        <v>28.39</v>
      </c>
      <c r="W170" s="48">
        <f>'Annual Raw'!X85</f>
        <v>37.83</v>
      </c>
      <c r="X170" s="48">
        <f>'Annual Raw'!Y85</f>
        <v>31.98</v>
      </c>
      <c r="Y170" s="48">
        <f>'Annual Raw'!Z85</f>
        <v>25.99</v>
      </c>
      <c r="Z170" s="48">
        <f>'Annual Raw'!AA85</f>
        <v>26.02</v>
      </c>
      <c r="AA170" s="48">
        <f>'Annual Raw'!AB85</f>
        <v>40.78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4.3512000000000004</v>
      </c>
      <c r="E171" s="28">
        <f>'Annual Raw'!F95</f>
        <v>2.0226999999999999</v>
      </c>
      <c r="F171" s="28">
        <f>'Annual Raw'!G95</f>
        <v>0.48020000000000002</v>
      </c>
      <c r="G171" s="28">
        <f>'Annual Raw'!H95</f>
        <v>0.64559999999999995</v>
      </c>
      <c r="H171" s="28">
        <f>'Annual Raw'!I95</f>
        <v>0.52659999999999996</v>
      </c>
      <c r="I171" s="28">
        <f>'Annual Raw'!J95</f>
        <v>16.171500000000002</v>
      </c>
      <c r="J171" s="28">
        <f>'Annual Raw'!K95</f>
        <v>6.9489000000000001</v>
      </c>
      <c r="K171" s="28">
        <f>'Annual Raw'!L95</f>
        <v>5.4244000000000003</v>
      </c>
      <c r="L171" s="28">
        <f>'Annual Raw'!M95</f>
        <v>8.5397999999999996</v>
      </c>
      <c r="M171" s="28">
        <f>'Annual Raw'!N95</f>
        <v>9.6477000000000004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16.949100000000001</v>
      </c>
      <c r="E172" s="28">
        <f>'Annual Raw'!F93</f>
        <v>9.8196999999999992</v>
      </c>
      <c r="F172" s="28">
        <f>'Annual Raw'!G93</f>
        <v>21.437899999999999</v>
      </c>
      <c r="G172" s="28">
        <f>'Annual Raw'!H93</f>
        <v>91.592100000000002</v>
      </c>
      <c r="H172" s="28">
        <f>'Annual Raw'!I93</f>
        <v>42.782200000000003</v>
      </c>
      <c r="I172" s="28">
        <f>'Annual Raw'!J93</f>
        <v>61.3887</v>
      </c>
      <c r="J172" s="28">
        <f>'Annual Raw'!K93</f>
        <v>272.67700000000002</v>
      </c>
      <c r="K172" s="28">
        <f>'Annual Raw'!L93</f>
        <v>77.452500000000001</v>
      </c>
      <c r="L172" s="28">
        <f>'Annual Raw'!M93</f>
        <v>82.617400000000004</v>
      </c>
      <c r="M172" s="28">
        <f>'Annual Raw'!N93</f>
        <v>86.033500000000004</v>
      </c>
      <c r="N172" s="28">
        <f>'Annual Raw'!O93</f>
        <v>88.498999999999995</v>
      </c>
      <c r="O172" s="28">
        <f>'Annual Raw'!P93</f>
        <v>93.873699999999999</v>
      </c>
      <c r="P172" s="28">
        <f>'Annual Raw'!Q93</f>
        <v>98.686800000000005</v>
      </c>
      <c r="Q172" s="28">
        <f>'Annual Raw'!R93</f>
        <v>23.1938</v>
      </c>
      <c r="R172" s="28">
        <f>'Annual Raw'!S93</f>
        <v>27.218699999999998</v>
      </c>
      <c r="S172" s="28">
        <f>'Annual Raw'!T93</f>
        <v>27.333400000000001</v>
      </c>
      <c r="T172" s="28">
        <f>'Annual Raw'!U93</f>
        <v>22.002300000000002</v>
      </c>
      <c r="U172" s="28">
        <f>'Annual Raw'!V93</f>
        <v>20.78</v>
      </c>
      <c r="V172" s="28">
        <f>'Annual Raw'!W93</f>
        <v>28.39</v>
      </c>
      <c r="W172" s="28">
        <f>'Annual Raw'!X93</f>
        <v>37.83</v>
      </c>
      <c r="X172" s="28">
        <f>'Annual Raw'!Y93</f>
        <v>31.98</v>
      </c>
      <c r="Y172" s="28">
        <f>'Annual Raw'!Z93</f>
        <v>25.99</v>
      </c>
      <c r="Z172" s="28">
        <f>'Annual Raw'!AA93</f>
        <v>26.02</v>
      </c>
      <c r="AA172" s="28">
        <f>'Annual Raw'!AB93</f>
        <v>40.78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22">B170-B171-B172</f>
        <v>0</v>
      </c>
      <c r="C173" s="28">
        <f t="shared" si="1722"/>
        <v>0</v>
      </c>
      <c r="D173" s="28">
        <f t="shared" si="1722"/>
        <v>6.9099999999998829E-2</v>
      </c>
      <c r="E173" s="28">
        <f t="shared" si="1722"/>
        <v>21.720700000000001</v>
      </c>
      <c r="F173" s="28">
        <f t="shared" si="1722"/>
        <v>0.3277000000000001</v>
      </c>
      <c r="G173" s="28">
        <f t="shared" si="1722"/>
        <v>30.197099999999992</v>
      </c>
      <c r="H173" s="28">
        <f t="shared" si="1722"/>
        <v>54.112099999999998</v>
      </c>
      <c r="I173" s="28">
        <f t="shared" si="1722"/>
        <v>21.620200000000011</v>
      </c>
      <c r="J173" s="28">
        <f t="shared" si="1722"/>
        <v>8.4785999999999717</v>
      </c>
      <c r="K173" s="28">
        <f t="shared" si="1722"/>
        <v>7.5731999999999999</v>
      </c>
      <c r="L173" s="28">
        <f t="shared" si="1722"/>
        <v>17.776399999999995</v>
      </c>
      <c r="M173" s="28">
        <f t="shared" si="1722"/>
        <v>18.237099999999998</v>
      </c>
      <c r="N173" s="28">
        <f t="shared" si="1722"/>
        <v>0</v>
      </c>
      <c r="O173" s="28">
        <f t="shared" si="1722"/>
        <v>0</v>
      </c>
      <c r="P173" s="28">
        <f t="shared" si="1722"/>
        <v>0</v>
      </c>
      <c r="Q173" s="28">
        <f t="shared" si="1722"/>
        <v>0</v>
      </c>
      <c r="R173" s="28">
        <f t="shared" si="1722"/>
        <v>0</v>
      </c>
      <c r="S173" s="28">
        <f t="shared" si="1722"/>
        <v>0</v>
      </c>
      <c r="T173" s="28">
        <f t="shared" si="1722"/>
        <v>0</v>
      </c>
      <c r="U173" s="28">
        <f t="shared" si="1722"/>
        <v>0</v>
      </c>
      <c r="V173" s="28">
        <f t="shared" si="1722"/>
        <v>0</v>
      </c>
      <c r="W173" s="28">
        <f t="shared" ref="W173" si="1723">W170-W171-W172</f>
        <v>0</v>
      </c>
      <c r="X173" s="28">
        <f t="shared" ref="X173:Y173" si="1724">X170-X171-X172</f>
        <v>0</v>
      </c>
      <c r="Y173" s="28">
        <f t="shared" si="1724"/>
        <v>0</v>
      </c>
      <c r="Z173" s="28">
        <f t="shared" ref="Z173:AA173" si="1725">Z170-Z171-Z172</f>
        <v>0</v>
      </c>
      <c r="AA173" s="28">
        <f t="shared" si="1725"/>
        <v>0</v>
      </c>
      <c r="AB173" s="29">
        <f t="shared" ref="AA173:AD173" si="1726">AB170-AB171-AB172</f>
        <v>0</v>
      </c>
      <c r="AC173" s="29">
        <f t="shared" si="1726"/>
        <v>0</v>
      </c>
      <c r="AD173" s="29">
        <f t="shared" si="1726"/>
        <v>0</v>
      </c>
      <c r="AE173" s="29">
        <f t="shared" ref="AE173" si="1727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28">B170/B120</f>
        <v>#DIV/0!</v>
      </c>
      <c r="C175" s="94" t="e">
        <f t="shared" si="1728"/>
        <v>#DIV/0!</v>
      </c>
      <c r="D175" s="94">
        <f t="shared" si="1728"/>
        <v>0.13149267140061779</v>
      </c>
      <c r="E175" s="94">
        <f t="shared" si="1728"/>
        <v>0.20470010484117385</v>
      </c>
      <c r="F175" s="94">
        <f t="shared" si="1728"/>
        <v>0.1239193308318256</v>
      </c>
      <c r="G175" s="94">
        <f t="shared" si="1728"/>
        <v>0.62218811775527105</v>
      </c>
      <c r="H175" s="94">
        <f t="shared" si="1728"/>
        <v>0.43520597042395781</v>
      </c>
      <c r="I175" s="94">
        <f t="shared" si="1728"/>
        <v>0.41625424730388538</v>
      </c>
      <c r="J175" s="94">
        <f t="shared" si="1728"/>
        <v>1.1703477271804037</v>
      </c>
      <c r="K175" s="94">
        <f t="shared" si="1728"/>
        <v>0.34582825297088887</v>
      </c>
      <c r="L175" s="94">
        <f t="shared" si="1728"/>
        <v>0.37094992460699605</v>
      </c>
      <c r="M175" s="94">
        <f t="shared" si="1728"/>
        <v>0.34643766325038922</v>
      </c>
      <c r="N175" s="94">
        <f t="shared" si="1728"/>
        <v>0.24932090978087121</v>
      </c>
      <c r="O175" s="94">
        <f t="shared" si="1728"/>
        <v>0.2402051860474102</v>
      </c>
      <c r="P175" s="94">
        <f t="shared" si="1728"/>
        <v>0.17390326724595187</v>
      </c>
      <c r="Q175" s="94">
        <f t="shared" si="1728"/>
        <v>3.7488734210114574E-2</v>
      </c>
      <c r="R175" s="94">
        <f t="shared" si="1728"/>
        <v>5.3453072363048922E-2</v>
      </c>
      <c r="S175" s="94">
        <f t="shared" si="1728"/>
        <v>4.9781629166621134E-2</v>
      </c>
      <c r="T175" s="94">
        <f t="shared" si="1728"/>
        <v>3.953849739585346E-2</v>
      </c>
      <c r="U175" s="94">
        <f t="shared" si="1728"/>
        <v>2.9798522979852297E-2</v>
      </c>
      <c r="V175" s="94">
        <f t="shared" si="1728"/>
        <v>3.7115477637892039E-2</v>
      </c>
      <c r="W175" s="94">
        <f t="shared" si="1728"/>
        <v>5.2932781104830129E-2</v>
      </c>
      <c r="X175" s="94">
        <f t="shared" ref="X175:Y175" si="1729">X170/X120</f>
        <v>4.2247939124920732E-2</v>
      </c>
      <c r="Y175" s="94">
        <f t="shared" si="1729"/>
        <v>2.2590963614554177E-2</v>
      </c>
      <c r="Z175" s="94">
        <f t="shared" ref="Z175:AA175" si="1730">Z170/Z120</f>
        <v>2.1800511080390432E-2</v>
      </c>
      <c r="AA175" s="94">
        <f t="shared" si="1730"/>
        <v>3.1526133912626687E-2</v>
      </c>
      <c r="AB175" s="86">
        <f t="shared" ref="AA175:AD175" si="1731">AB170/AB120</f>
        <v>0</v>
      </c>
      <c r="AC175" s="86">
        <f t="shared" si="1731"/>
        <v>0</v>
      </c>
      <c r="AD175" s="86">
        <f t="shared" si="1731"/>
        <v>0</v>
      </c>
      <c r="AE175" s="86">
        <f t="shared" ref="AE175" si="1732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33">B144/B8*365</f>
        <v>#DIV/0!</v>
      </c>
      <c r="C179" s="66" t="e">
        <f t="shared" si="1733"/>
        <v>#DIV/0!</v>
      </c>
      <c r="D179" s="66">
        <f t="shared" si="1733"/>
        <v>29.338868611747998</v>
      </c>
      <c r="E179" s="66">
        <f t="shared" si="1733"/>
        <v>30.497030869157367</v>
      </c>
      <c r="F179" s="66">
        <f t="shared" si="1733"/>
        <v>32.55586915908524</v>
      </c>
      <c r="G179" s="66">
        <f t="shared" si="1733"/>
        <v>41.253468762296933</v>
      </c>
      <c r="H179" s="66">
        <f t="shared" si="1733"/>
        <v>31.130167900178108</v>
      </c>
      <c r="I179" s="66">
        <f t="shared" si="1733"/>
        <v>40.738191918924343</v>
      </c>
      <c r="J179" s="66">
        <f t="shared" si="1733"/>
        <v>33.28890403020943</v>
      </c>
      <c r="K179" s="66">
        <f t="shared" si="1733"/>
        <v>44.255624963771346</v>
      </c>
      <c r="L179" s="66">
        <f t="shared" si="1733"/>
        <v>42.267989365136671</v>
      </c>
      <c r="M179" s="66">
        <f t="shared" si="1733"/>
        <v>36.171180054218674</v>
      </c>
      <c r="N179" s="66">
        <f t="shared" si="1733"/>
        <v>33.638532254733256</v>
      </c>
      <c r="O179" s="66">
        <f t="shared" si="1733"/>
        <v>29.44744891380838</v>
      </c>
      <c r="P179" s="66">
        <f t="shared" si="1733"/>
        <v>27.341859246308289</v>
      </c>
      <c r="Q179" s="66">
        <f t="shared" si="1733"/>
        <v>25.937470930421831</v>
      </c>
      <c r="R179" s="66">
        <f t="shared" si="1733"/>
        <v>28.222182759173513</v>
      </c>
      <c r="S179" s="66">
        <f t="shared" si="1733"/>
        <v>31.409677416461328</v>
      </c>
      <c r="T179" s="66">
        <f t="shared" si="1733"/>
        <v>32.435809245535474</v>
      </c>
      <c r="U179" s="66">
        <f t="shared" si="1733"/>
        <v>25.360140594853775</v>
      </c>
      <c r="V179" s="66">
        <f t="shared" si="1733"/>
        <v>33.631245091524193</v>
      </c>
      <c r="W179" s="66">
        <f t="shared" si="1733"/>
        <v>47.895921365158841</v>
      </c>
      <c r="X179" s="66">
        <f t="shared" si="1733"/>
        <v>36.137161026240776</v>
      </c>
      <c r="Y179" s="66">
        <f t="shared" si="1733"/>
        <v>38.171459902662825</v>
      </c>
      <c r="Z179" s="66">
        <f t="shared" si="1733"/>
        <v>35.994364198868901</v>
      </c>
      <c r="AA179" s="66">
        <f t="shared" ref="AA179" si="1734">AA144/AA8*365</f>
        <v>30.174370001205741</v>
      </c>
      <c r="AB179" s="17">
        <f t="shared" si="1733"/>
        <v>46.816313607379413</v>
      </c>
      <c r="AC179" s="17">
        <f t="shared" si="1733"/>
        <v>46.852895867438114</v>
      </c>
      <c r="AD179" s="17">
        <f t="shared" si="1733"/>
        <v>46.86041196929925</v>
      </c>
      <c r="AE179" s="17">
        <f t="shared" si="1733"/>
        <v>46.861639778242825</v>
      </c>
      <c r="AI179" s="66">
        <f>AI144/AI8*90</f>
        <v>34.108784973586381</v>
      </c>
      <c r="AJ179" s="66">
        <f t="shared" ref="AJ179:CL184" si="1735">+AI179</f>
        <v>34.108784973586381</v>
      </c>
      <c r="AK179" s="66">
        <f>AK144/AK8*90</f>
        <v>32.521100917431191</v>
      </c>
      <c r="AL179" s="66">
        <f t="shared" si="1735"/>
        <v>32.521100917431191</v>
      </c>
      <c r="AM179" s="66">
        <f>AM144/AM8*90</f>
        <v>34.054873938249969</v>
      </c>
      <c r="AN179" s="66">
        <f t="shared" si="1735"/>
        <v>34.054873938249969</v>
      </c>
      <c r="AO179" s="66">
        <f>AO144/AO8*90</f>
        <v>28.057093310211432</v>
      </c>
      <c r="AP179" s="66">
        <f t="shared" si="1735"/>
        <v>28.057093310211432</v>
      </c>
      <c r="AQ179" s="66">
        <f>AQ144/AQ8*90</f>
        <v>31.894679695982628</v>
      </c>
      <c r="AR179" s="66">
        <f t="shared" si="1735"/>
        <v>31.894679695982628</v>
      </c>
      <c r="AS179" s="66">
        <f>AS144/AS8*90</f>
        <v>28.511317469529885</v>
      </c>
      <c r="AT179" s="66">
        <f t="shared" si="1735"/>
        <v>28.511317469529885</v>
      </c>
      <c r="AU179" s="66">
        <f>AU144/AU8*90</f>
        <v>36.382240657807792</v>
      </c>
      <c r="AV179" s="66">
        <f t="shared" si="1735"/>
        <v>36.382240657807792</v>
      </c>
      <c r="AW179" s="66">
        <f>AW144/AW8*90</f>
        <v>26.60334476031743</v>
      </c>
      <c r="AX179" s="66">
        <f t="shared" si="1735"/>
        <v>26.60334476031743</v>
      </c>
      <c r="AY179" s="66">
        <f>AY144/AY8*90</f>
        <v>31.691425775105731</v>
      </c>
      <c r="AZ179" s="66">
        <f t="shared" si="1735"/>
        <v>31.691425775105731</v>
      </c>
      <c r="BA179" s="66">
        <f>BA144/BA8*90</f>
        <v>31.434203475465058</v>
      </c>
      <c r="BB179" s="66">
        <f t="shared" si="1735"/>
        <v>31.434203475465058</v>
      </c>
      <c r="BC179" s="66">
        <f>BC144/BC8*90</f>
        <v>37.377409778604388</v>
      </c>
      <c r="BD179" s="66">
        <f t="shared" si="1735"/>
        <v>37.377409778604388</v>
      </c>
      <c r="BE179" s="66">
        <f>BE144/BE8*90</f>
        <v>30.731433859514869</v>
      </c>
      <c r="BF179" s="66">
        <f t="shared" si="1735"/>
        <v>30.731433859514869</v>
      </c>
      <c r="BG179" s="66">
        <f>BG144/BG8*90</f>
        <v>35.831933902062204</v>
      </c>
      <c r="BH179" s="66">
        <f t="shared" si="1735"/>
        <v>35.831933902062204</v>
      </c>
      <c r="BI179" s="66">
        <f>BI144/BI8*90</f>
        <v>31.15582233676415</v>
      </c>
      <c r="BJ179" s="66">
        <f t="shared" si="1735"/>
        <v>31.15582233676415</v>
      </c>
      <c r="BK179" s="66">
        <f>BK144/BK8*90</f>
        <v>38.050650887573966</v>
      </c>
      <c r="BL179" s="66">
        <f t="shared" si="1735"/>
        <v>38.050650887573966</v>
      </c>
      <c r="BM179" s="66">
        <f>BM144/BM8*90</f>
        <v>24.152819998229198</v>
      </c>
      <c r="BN179" s="66">
        <f t="shared" si="1735"/>
        <v>24.152819998229198</v>
      </c>
      <c r="BO179" s="66">
        <f>BO144/BO8*90</f>
        <v>43.627085316562365</v>
      </c>
      <c r="BP179" s="66">
        <f t="shared" si="1735"/>
        <v>43.627085316562365</v>
      </c>
      <c r="BQ179" s="66">
        <f>BQ144/BQ8*90</f>
        <v>36.91918739129656</v>
      </c>
      <c r="BR179" s="66">
        <f t="shared" si="1735"/>
        <v>36.91918739129656</v>
      </c>
      <c r="BS179" s="66">
        <f>BS144/BS8*90</f>
        <v>51.618525896414347</v>
      </c>
      <c r="BT179" s="66">
        <f t="shared" si="1735"/>
        <v>51.618525896414347</v>
      </c>
      <c r="BU179" s="66">
        <f>BU144/BU8*90</f>
        <v>47.273909034569279</v>
      </c>
      <c r="BV179" s="66">
        <f t="shared" si="1735"/>
        <v>47.273909034569279</v>
      </c>
      <c r="BW179" s="66">
        <f>BW144/BW8*90</f>
        <v>50.642385860446339</v>
      </c>
      <c r="BX179" s="66">
        <f t="shared" si="1735"/>
        <v>50.642385860446339</v>
      </c>
      <c r="BY179" s="66">
        <f>BY144/BY8*90</f>
        <v>38.716201585078892</v>
      </c>
      <c r="BZ179" s="66">
        <f t="shared" si="1735"/>
        <v>38.716201585078892</v>
      </c>
      <c r="CA179" s="66">
        <f>CA144/CA8*90</f>
        <v>46.208782370918442</v>
      </c>
      <c r="CB179" s="66">
        <f t="shared" si="1735"/>
        <v>46.208782370918442</v>
      </c>
      <c r="CC179" s="66">
        <f>CC144/CC8*90</f>
        <v>40.233382472297215</v>
      </c>
      <c r="CD179" s="66">
        <f t="shared" si="1735"/>
        <v>40.233382472297215</v>
      </c>
      <c r="CE179" s="66">
        <f>CE144/CE8*90</f>
        <v>46.288529204785355</v>
      </c>
      <c r="CF179" s="66">
        <f t="shared" si="1735"/>
        <v>46.288529204785355</v>
      </c>
      <c r="CG179" s="66">
        <f>CG144/CG8*90</f>
        <v>36.374473033871205</v>
      </c>
      <c r="CH179" s="66">
        <f t="shared" si="1735"/>
        <v>36.374473033871205</v>
      </c>
      <c r="CI179" s="66">
        <f>CI144/CI8*90</f>
        <v>45.668131257860608</v>
      </c>
      <c r="CJ179" s="66">
        <f t="shared" si="1735"/>
        <v>45.668131257860608</v>
      </c>
      <c r="CK179" s="29">
        <f t="shared" ref="CK179:CK180" si="1736">+CJ179</f>
        <v>45.668131257860608</v>
      </c>
      <c r="CL179" s="66">
        <f t="shared" si="1735"/>
        <v>45.668131257860608</v>
      </c>
      <c r="CM179" s="29">
        <f t="shared" ref="CM179:CM180" si="1737">+CL179</f>
        <v>45.668131257860608</v>
      </c>
      <c r="CN179" s="29">
        <f t="shared" ref="CN179:CN180" si="1738">+CM179</f>
        <v>45.668131257860608</v>
      </c>
      <c r="CO179" s="29">
        <f t="shared" ref="CO179:CO180" si="1739">+CN179</f>
        <v>45.668131257860608</v>
      </c>
      <c r="CP179" s="29">
        <f t="shared" ref="CP179:CP180" si="1740">+CO179</f>
        <v>45.668131257860608</v>
      </c>
      <c r="CQ179" s="29">
        <f t="shared" ref="CQ179:CQ180" si="1741">+CP179</f>
        <v>45.668131257860608</v>
      </c>
      <c r="CR179" s="29">
        <f t="shared" ref="CR179:CR180" si="1742">+CQ179</f>
        <v>45.668131257860608</v>
      </c>
      <c r="CS179" s="29">
        <f t="shared" ref="CS179:CS180" si="1743">+CR179</f>
        <v>45.668131257860608</v>
      </c>
      <c r="CT179" s="29">
        <f t="shared" ref="CT179:CT180" si="1744">+CS179</f>
        <v>45.668131257860608</v>
      </c>
      <c r="CU179" s="29">
        <f t="shared" ref="CU179:CU180" si="1745">+CT179</f>
        <v>45.668131257860608</v>
      </c>
      <c r="CV179" s="29">
        <f t="shared" ref="CV179:CV180" si="1746">+CU179</f>
        <v>45.668131257860608</v>
      </c>
      <c r="CW179" s="29">
        <f t="shared" ref="CW179:CW180" si="1747">+CV179</f>
        <v>45.668131257860608</v>
      </c>
      <c r="CX179" s="29">
        <f t="shared" ref="CX179:CX180" si="1748">+CW179</f>
        <v>45.668131257860608</v>
      </c>
      <c r="CY179" s="29">
        <f t="shared" ref="CY179:CY180" si="1749">+CX179</f>
        <v>45.668131257860608</v>
      </c>
      <c r="CZ179" s="29">
        <f t="shared" ref="CZ179:CZ180" si="1750">+CY179</f>
        <v>45.668131257860608</v>
      </c>
      <c r="DA179" s="29">
        <f t="shared" ref="DA179:DA180" si="1751">+CZ179</f>
        <v>45.668131257860608</v>
      </c>
      <c r="DD179" s="138"/>
      <c r="DE179" s="61">
        <v>46.689981506085516</v>
      </c>
    </row>
    <row r="180" spans="1:109" s="61" customFormat="1" outlineLevel="1" x14ac:dyDescent="0.2">
      <c r="A180" s="67" t="s">
        <v>465</v>
      </c>
      <c r="B180" s="66" t="e">
        <f t="shared" ref="B180:AE180" si="1752">B145/B8*365</f>
        <v>#DIV/0!</v>
      </c>
      <c r="C180" s="66" t="e">
        <f t="shared" si="1752"/>
        <v>#DIV/0!</v>
      </c>
      <c r="D180" s="66">
        <f t="shared" si="1752"/>
        <v>59.971620313696512</v>
      </c>
      <c r="E180" s="66">
        <f t="shared" si="1752"/>
        <v>55.331323477398378</v>
      </c>
      <c r="F180" s="66">
        <f t="shared" si="1752"/>
        <v>62.575693718383249</v>
      </c>
      <c r="G180" s="66">
        <f t="shared" si="1752"/>
        <v>60.447662229825127</v>
      </c>
      <c r="H180" s="66">
        <f t="shared" si="1752"/>
        <v>57.615006497469977</v>
      </c>
      <c r="I180" s="66">
        <f t="shared" si="1752"/>
        <v>61.916449711658124</v>
      </c>
      <c r="J180" s="66">
        <f t="shared" si="1752"/>
        <v>50.596036810732855</v>
      </c>
      <c r="K180" s="66">
        <f t="shared" si="1752"/>
        <v>56.65213554685198</v>
      </c>
      <c r="L180" s="66">
        <f t="shared" si="1752"/>
        <v>56.304014374019175</v>
      </c>
      <c r="M180" s="66">
        <f t="shared" si="1752"/>
        <v>53.523043875405342</v>
      </c>
      <c r="N180" s="66">
        <f t="shared" si="1752"/>
        <v>60.305312971300815</v>
      </c>
      <c r="O180" s="66">
        <f t="shared" si="1752"/>
        <v>65.736673938495144</v>
      </c>
      <c r="P180" s="66">
        <f t="shared" si="1752"/>
        <v>68.395124416253211</v>
      </c>
      <c r="Q180" s="66">
        <f t="shared" si="1752"/>
        <v>69.612823384045626</v>
      </c>
      <c r="R180" s="66">
        <f t="shared" si="1752"/>
        <v>71.566759318919097</v>
      </c>
      <c r="S180" s="66">
        <f t="shared" si="1752"/>
        <v>86.191124221078653</v>
      </c>
      <c r="T180" s="66">
        <f t="shared" si="1752"/>
        <v>87.145556227612502</v>
      </c>
      <c r="U180" s="66">
        <f t="shared" si="1752"/>
        <v>86.244837532713149</v>
      </c>
      <c r="V180" s="66">
        <f t="shared" si="1752"/>
        <v>78.469965162407618</v>
      </c>
      <c r="W180" s="66">
        <f t="shared" si="1752"/>
        <v>86.762600115550612</v>
      </c>
      <c r="X180" s="66">
        <f t="shared" si="1752"/>
        <v>79.880358293851458</v>
      </c>
      <c r="Y180" s="66">
        <f t="shared" si="1752"/>
        <v>77.929802535726466</v>
      </c>
      <c r="Z180" s="66">
        <f t="shared" si="1752"/>
        <v>82.051096616548762</v>
      </c>
      <c r="AA180" s="66">
        <f t="shared" ref="AA180" si="1753">AA145/AA8*365</f>
        <v>81.229773722921109</v>
      </c>
      <c r="AB180" s="17">
        <f t="shared" si="1752"/>
        <v>90.796462204487526</v>
      </c>
      <c r="AC180" s="17">
        <f t="shared" si="1752"/>
        <v>90.867410545713867</v>
      </c>
      <c r="AD180" s="17">
        <f t="shared" si="1752"/>
        <v>90.881987418730446</v>
      </c>
      <c r="AE180" s="17">
        <f t="shared" si="1752"/>
        <v>90.88436865509334</v>
      </c>
      <c r="AI180" s="66">
        <f>AI145/AI8*90</f>
        <v>51.126198395617301</v>
      </c>
      <c r="AJ180" s="66">
        <f t="shared" si="1735"/>
        <v>51.126198395617301</v>
      </c>
      <c r="AK180" s="66">
        <f>AK145/AK8*90</f>
        <v>58.300917431192666</v>
      </c>
      <c r="AL180" s="66">
        <f t="shared" si="1735"/>
        <v>58.300917431192666</v>
      </c>
      <c r="AM180" s="66">
        <f>AM145/AM8*90</f>
        <v>58.927126870702438</v>
      </c>
      <c r="AN180" s="66">
        <f t="shared" si="1735"/>
        <v>58.927126870702438</v>
      </c>
      <c r="AO180" s="66">
        <f>AO145/AO8*90</f>
        <v>62.636230240779028</v>
      </c>
      <c r="AP180" s="66">
        <f t="shared" si="1735"/>
        <v>62.636230240779028</v>
      </c>
      <c r="AQ180" s="66">
        <f>AQ145/AQ8*90</f>
        <v>57.852877307274703</v>
      </c>
      <c r="AR180" s="66">
        <f t="shared" si="1735"/>
        <v>57.852877307274703</v>
      </c>
      <c r="AS180" s="66">
        <f>AS145/AS8*90</f>
        <v>71.323273360417872</v>
      </c>
      <c r="AT180" s="66">
        <f t="shared" si="1735"/>
        <v>71.323273360417872</v>
      </c>
      <c r="AU180" s="66">
        <f>AU145/AU8*90</f>
        <v>69.498751927171284</v>
      </c>
      <c r="AV180" s="66">
        <f t="shared" si="1735"/>
        <v>69.498751927171284</v>
      </c>
      <c r="AW180" s="66">
        <f>AW145/AW8*90</f>
        <v>71.399647720600768</v>
      </c>
      <c r="AX180" s="66">
        <f t="shared" si="1735"/>
        <v>71.399647720600768</v>
      </c>
      <c r="AY180" s="66">
        <f>AY145/AY8*90</f>
        <v>77.177461637946095</v>
      </c>
      <c r="AZ180" s="66">
        <f t="shared" si="1735"/>
        <v>77.177461637946095</v>
      </c>
      <c r="BA180" s="66">
        <f>BA145/BA8*90</f>
        <v>79.711972747454652</v>
      </c>
      <c r="BB180" s="66">
        <f t="shared" si="1735"/>
        <v>79.711972747454652</v>
      </c>
      <c r="BC180" s="66">
        <f>BC145/BC8*90</f>
        <v>71.286347866518838</v>
      </c>
      <c r="BD180" s="66">
        <f t="shared" si="1735"/>
        <v>71.286347866518838</v>
      </c>
      <c r="BE180" s="66">
        <f>BE145/BE8*90</f>
        <v>84.331654535423823</v>
      </c>
      <c r="BF180" s="66">
        <f t="shared" si="1735"/>
        <v>84.331654535423823</v>
      </c>
      <c r="BG180" s="66">
        <f>BG145/BG8*90</f>
        <v>85.20286155706323</v>
      </c>
      <c r="BH180" s="66">
        <f t="shared" si="1735"/>
        <v>85.20286155706323</v>
      </c>
      <c r="BI180" s="66">
        <f>BI145/BI8*90</f>
        <v>83.705123395370833</v>
      </c>
      <c r="BJ180" s="66">
        <f t="shared" si="1735"/>
        <v>83.705123395370833</v>
      </c>
      <c r="BK180" s="66">
        <f>BK145/BK8*90</f>
        <v>89.951715976331357</v>
      </c>
      <c r="BL180" s="66">
        <f t="shared" si="1735"/>
        <v>89.951715976331357</v>
      </c>
      <c r="BM180" s="66">
        <f>BM145/BM8*90</f>
        <v>82.13897824867928</v>
      </c>
      <c r="BN180" s="66">
        <f t="shared" si="1735"/>
        <v>82.13897824867928</v>
      </c>
      <c r="BO180" s="66">
        <f>BO145/BO8*90</f>
        <v>88.089857831738939</v>
      </c>
      <c r="BP180" s="66">
        <f t="shared" si="1735"/>
        <v>88.089857831738939</v>
      </c>
      <c r="BQ180" s="66">
        <f>BQ145/BQ8*90</f>
        <v>86.141543095874198</v>
      </c>
      <c r="BR180" s="66">
        <f t="shared" si="1735"/>
        <v>86.141543095874198</v>
      </c>
      <c r="BS180" s="66">
        <f>BS145/BS8*90</f>
        <v>80.948931546541104</v>
      </c>
      <c r="BT180" s="66">
        <f t="shared" si="1735"/>
        <v>80.948931546541104</v>
      </c>
      <c r="BU180" s="66">
        <f>BU145/BU8*90</f>
        <v>85.635835965959757</v>
      </c>
      <c r="BV180" s="66">
        <f t="shared" si="1735"/>
        <v>85.635835965959757</v>
      </c>
      <c r="BW180" s="66">
        <f>BW145/BW8*90</f>
        <v>87.90177501356176</v>
      </c>
      <c r="BX180" s="66">
        <f t="shared" si="1735"/>
        <v>87.90177501356176</v>
      </c>
      <c r="BY180" s="66">
        <f>BY145/BY8*90</f>
        <v>85.581267774393325</v>
      </c>
      <c r="BZ180" s="66">
        <f t="shared" si="1735"/>
        <v>85.581267774393325</v>
      </c>
      <c r="CA180" s="66">
        <f>CA145/CA8*90</f>
        <v>86.433006273122075</v>
      </c>
      <c r="CB180" s="66">
        <f t="shared" si="1735"/>
        <v>86.433006273122075</v>
      </c>
      <c r="CC180" s="66">
        <f>CC145/CC8*90</f>
        <v>82.139366935550655</v>
      </c>
      <c r="CD180" s="66">
        <f t="shared" si="1735"/>
        <v>82.139366935550655</v>
      </c>
      <c r="CE180" s="66">
        <f>CE145/CE8*90</f>
        <v>82.171710063335681</v>
      </c>
      <c r="CF180" s="66">
        <f t="shared" si="1735"/>
        <v>82.171710063335681</v>
      </c>
      <c r="CG180" s="66">
        <f>CG145/CG8*90</f>
        <v>82.917575228957702</v>
      </c>
      <c r="CH180" s="66">
        <f t="shared" si="1735"/>
        <v>82.917575228957702</v>
      </c>
      <c r="CI180" s="66">
        <f>CI145/CI8*90</f>
        <v>88.569655194943081</v>
      </c>
      <c r="CJ180" s="66">
        <f t="shared" si="1735"/>
        <v>88.569655194943081</v>
      </c>
      <c r="CK180" s="29">
        <f t="shared" si="1736"/>
        <v>88.569655194943081</v>
      </c>
      <c r="CL180" s="66">
        <f t="shared" si="1735"/>
        <v>88.569655194943081</v>
      </c>
      <c r="CM180" s="29">
        <f t="shared" si="1737"/>
        <v>88.569655194943081</v>
      </c>
      <c r="CN180" s="29">
        <f t="shared" si="1738"/>
        <v>88.569655194943081</v>
      </c>
      <c r="CO180" s="29">
        <f t="shared" si="1739"/>
        <v>88.569655194943081</v>
      </c>
      <c r="CP180" s="29">
        <f t="shared" si="1740"/>
        <v>88.569655194943081</v>
      </c>
      <c r="CQ180" s="29">
        <f t="shared" si="1741"/>
        <v>88.569655194943081</v>
      </c>
      <c r="CR180" s="29">
        <f t="shared" si="1742"/>
        <v>88.569655194943081</v>
      </c>
      <c r="CS180" s="29">
        <f t="shared" si="1743"/>
        <v>88.569655194943081</v>
      </c>
      <c r="CT180" s="29">
        <f t="shared" si="1744"/>
        <v>88.569655194943081</v>
      </c>
      <c r="CU180" s="29">
        <f t="shared" si="1745"/>
        <v>88.569655194943081</v>
      </c>
      <c r="CV180" s="29">
        <f t="shared" si="1746"/>
        <v>88.569655194943081</v>
      </c>
      <c r="CW180" s="29">
        <f t="shared" si="1747"/>
        <v>88.569655194943081</v>
      </c>
      <c r="CX180" s="29">
        <f t="shared" si="1748"/>
        <v>88.569655194943081</v>
      </c>
      <c r="CY180" s="29">
        <f t="shared" si="1749"/>
        <v>88.569655194943081</v>
      </c>
      <c r="CZ180" s="29">
        <f t="shared" si="1750"/>
        <v>88.569655194943081</v>
      </c>
      <c r="DA180" s="29">
        <f t="shared" si="1751"/>
        <v>88.569655194943081</v>
      </c>
      <c r="DD180" s="138"/>
      <c r="DE180" s="61">
        <v>90.551451288922038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54">C182-C180-C179</f>
        <v>#DIV/0!</v>
      </c>
      <c r="D181" s="66">
        <f t="shared" si="1754"/>
        <v>10.561852587083116</v>
      </c>
      <c r="E181" s="66">
        <f t="shared" si="1754"/>
        <v>9.9787256741274852</v>
      </c>
      <c r="F181" s="66">
        <f t="shared" si="1754"/>
        <v>10.065759083305032</v>
      </c>
      <c r="G181" s="66">
        <f t="shared" si="1754"/>
        <v>14.842330248162355</v>
      </c>
      <c r="H181" s="66">
        <f t="shared" si="1754"/>
        <v>11.625826296767301</v>
      </c>
      <c r="I181" s="66">
        <f t="shared" si="1754"/>
        <v>17.880954100749925</v>
      </c>
      <c r="J181" s="66">
        <f t="shared" si="1754"/>
        <v>17.54575465804816</v>
      </c>
      <c r="K181" s="66">
        <f t="shared" si="1754"/>
        <v>18.764405034757964</v>
      </c>
      <c r="L181" s="66">
        <f t="shared" si="1754"/>
        <v>68.027749121387941</v>
      </c>
      <c r="M181" s="66">
        <f t="shared" si="1754"/>
        <v>17.607328294519618</v>
      </c>
      <c r="N181" s="66">
        <f t="shared" si="1754"/>
        <v>12.841974987920779</v>
      </c>
      <c r="O181" s="66">
        <f t="shared" si="1754"/>
        <v>14.784709086298982</v>
      </c>
      <c r="P181" s="66">
        <f t="shared" si="1754"/>
        <v>15.8290024071121</v>
      </c>
      <c r="Q181" s="66">
        <f t="shared" si="1754"/>
        <v>15.559986336643711</v>
      </c>
      <c r="R181" s="66">
        <f t="shared" si="1754"/>
        <v>13.761160468402416</v>
      </c>
      <c r="S181" s="66">
        <f t="shared" si="1754"/>
        <v>13.87277177145122</v>
      </c>
      <c r="T181" s="66">
        <f t="shared" si="1754"/>
        <v>11.091767804955246</v>
      </c>
      <c r="U181" s="66">
        <f t="shared" si="1754"/>
        <v>14.969817952587462</v>
      </c>
      <c r="V181" s="66">
        <f>V182-V180-V179</f>
        <v>22.03568336051876</v>
      </c>
      <c r="W181" s="66">
        <f t="shared" ref="W181" si="1755">W182-W180-W179</f>
        <v>99.205891571224129</v>
      </c>
      <c r="X181" s="66">
        <f t="shared" ref="X181:Y181" si="1756">X182-X180-X179</f>
        <v>90.375039038879422</v>
      </c>
      <c r="Y181" s="66">
        <f t="shared" si="1756"/>
        <v>108.91927446604046</v>
      </c>
      <c r="Z181" s="66">
        <f t="shared" ref="Z181:AA181" si="1757">Z182-Z180-Z179</f>
        <v>111.3463258911857</v>
      </c>
      <c r="AA181" s="66">
        <f t="shared" si="1757"/>
        <v>104.91714561311844</v>
      </c>
      <c r="AB181" s="17">
        <f t="shared" ref="AA181:AD181" si="1758">AB182-AB180-AB179</f>
        <v>28.436999863878484</v>
      </c>
      <c r="AC181" s="17">
        <f t="shared" si="1758"/>
        <v>28.459220531080852</v>
      </c>
      <c r="AD181" s="17">
        <f t="shared" si="1758"/>
        <v>28.463785935127703</v>
      </c>
      <c r="AE181" s="17">
        <f t="shared" ref="AE181" si="1759">AE182-AE180-AE179</f>
        <v>28.464531726499779</v>
      </c>
      <c r="AI181" s="66">
        <f t="shared" ref="AI181:AK181" si="1760">AI182-AI180-AI179</f>
        <v>12.23478771277636</v>
      </c>
      <c r="AJ181" s="66">
        <f t="shared" si="1735"/>
        <v>12.23478771277636</v>
      </c>
      <c r="AK181" s="66">
        <f t="shared" si="1760"/>
        <v>12.414678899082574</v>
      </c>
      <c r="AL181" s="66">
        <f t="shared" si="1735"/>
        <v>12.414678899082574</v>
      </c>
      <c r="AM181" s="66">
        <f t="shared" ref="AM181:AO181" si="1761">AM182-AM180-AM179</f>
        <v>14.567210462451129</v>
      </c>
      <c r="AN181" s="66">
        <f t="shared" si="1735"/>
        <v>14.567210462451129</v>
      </c>
      <c r="AO181" s="66">
        <f t="shared" si="1761"/>
        <v>14.088574668178492</v>
      </c>
      <c r="AP181" s="66">
        <f t="shared" si="1735"/>
        <v>14.088574668178492</v>
      </c>
      <c r="AQ181" s="66">
        <f t="shared" ref="AQ181:BA181" si="1762">AQ182-AQ180-AQ179</f>
        <v>14.956568946796946</v>
      </c>
      <c r="AR181" s="66">
        <f t="shared" si="1735"/>
        <v>14.956568946796946</v>
      </c>
      <c r="AS181" s="66">
        <f t="shared" si="1762"/>
        <v>16.503192106790479</v>
      </c>
      <c r="AT181" s="66">
        <f t="shared" si="1735"/>
        <v>16.503192106790479</v>
      </c>
      <c r="AU181" s="66">
        <f t="shared" si="1762"/>
        <v>20.724249320901528</v>
      </c>
      <c r="AV181" s="66">
        <f t="shared" si="1735"/>
        <v>20.724249320901528</v>
      </c>
      <c r="AW181" s="66">
        <f t="shared" si="1762"/>
        <v>15.95825678516638</v>
      </c>
      <c r="AX181" s="66">
        <f t="shared" si="1735"/>
        <v>15.95825678516638</v>
      </c>
      <c r="AY181" s="66">
        <f t="shared" si="1762"/>
        <v>15.667971617323214</v>
      </c>
      <c r="AZ181" s="66">
        <f t="shared" si="1735"/>
        <v>15.667971617323214</v>
      </c>
      <c r="BA181" s="66">
        <f t="shared" si="1762"/>
        <v>16.01852560667535</v>
      </c>
      <c r="BB181" s="66">
        <f t="shared" si="1735"/>
        <v>16.01852560667535</v>
      </c>
      <c r="BC181" s="66">
        <f t="shared" ref="BC181:BE181" si="1763">BC182-BC180-BC179</f>
        <v>15.074573482599533</v>
      </c>
      <c r="BD181" s="66">
        <f t="shared" si="1735"/>
        <v>15.074573482599533</v>
      </c>
      <c r="BE181" s="66">
        <f t="shared" si="1763"/>
        <v>13.572636187289785</v>
      </c>
      <c r="BF181" s="66">
        <f t="shared" si="1735"/>
        <v>13.572636187289785</v>
      </c>
      <c r="BG181" s="66">
        <f t="shared" ref="BG181:BI181" si="1764">BG182-BG180-BG179</f>
        <v>13.658393228991713</v>
      </c>
      <c r="BH181" s="66">
        <f t="shared" si="1735"/>
        <v>13.658393228991713</v>
      </c>
      <c r="BI181" s="66">
        <f t="shared" si="1764"/>
        <v>10.654900745428758</v>
      </c>
      <c r="BJ181" s="66">
        <f t="shared" si="1735"/>
        <v>10.654900745428758</v>
      </c>
      <c r="BK181" s="66">
        <f t="shared" ref="BK181:BM181" si="1765">BK182-BK180-BK179</f>
        <v>13.144615384615392</v>
      </c>
      <c r="BL181" s="66">
        <f t="shared" si="1735"/>
        <v>13.144615384615392</v>
      </c>
      <c r="BM181" s="66">
        <f t="shared" si="1765"/>
        <v>14.257149603045768</v>
      </c>
      <c r="BN181" s="66">
        <f t="shared" si="1735"/>
        <v>14.257149603045768</v>
      </c>
      <c r="BO181" s="66">
        <f t="shared" ref="BO181:BQ181" si="1766">BO182-BO180-BO179</f>
        <v>27.395090435243965</v>
      </c>
      <c r="BP181" s="66">
        <f t="shared" si="1735"/>
        <v>27.395090435243965</v>
      </c>
      <c r="BQ181" s="66">
        <f t="shared" si="1766"/>
        <v>36.869161392121356</v>
      </c>
      <c r="BR181" s="66">
        <f t="shared" si="1735"/>
        <v>36.869161392121356</v>
      </c>
      <c r="BS181" s="66">
        <f t="shared" ref="BS181:BU181" si="1767">BS182-BS180-BS179</f>
        <v>38.469757334299153</v>
      </c>
      <c r="BT181" s="66">
        <f t="shared" si="1735"/>
        <v>38.469757334299153</v>
      </c>
      <c r="BU181" s="66">
        <f t="shared" si="1767"/>
        <v>39.327811115981682</v>
      </c>
      <c r="BV181" s="66">
        <f t="shared" si="1735"/>
        <v>39.327811115981682</v>
      </c>
      <c r="BW181" s="66">
        <f t="shared" ref="BW181:BY181" si="1768">BW182-BW180-BW179</f>
        <v>25.113981858781045</v>
      </c>
      <c r="BX181" s="66">
        <f t="shared" si="1735"/>
        <v>25.113981858781045</v>
      </c>
      <c r="BY181" s="66">
        <f t="shared" si="1768"/>
        <v>35.509664939152003</v>
      </c>
      <c r="BZ181" s="66">
        <f t="shared" si="1735"/>
        <v>35.509664939152003</v>
      </c>
      <c r="CA181" s="66">
        <f t="shared" ref="CA181:CC181" si="1769">CA182-CA180-CA179</f>
        <v>34.249798938394733</v>
      </c>
      <c r="CB181" s="66">
        <f t="shared" si="1735"/>
        <v>34.249798938394733</v>
      </c>
      <c r="CC181" s="66">
        <f t="shared" si="1769"/>
        <v>33.924602057211011</v>
      </c>
      <c r="CD181" s="66">
        <f t="shared" si="1735"/>
        <v>33.924602057211011</v>
      </c>
      <c r="CE181" s="66">
        <f t="shared" ref="CE181" si="1770">CE182-CE180-CE179</f>
        <v>33.666432090077414</v>
      </c>
      <c r="CF181" s="66">
        <f t="shared" si="1735"/>
        <v>33.666432090077414</v>
      </c>
      <c r="CG181" s="66">
        <f t="shared" ref="CG181" si="1771">CG182-CG180-CG179</f>
        <v>112.52216891990119</v>
      </c>
      <c r="CH181" s="66">
        <f t="shared" si="1735"/>
        <v>112.52216891990119</v>
      </c>
      <c r="CI181" s="66">
        <f t="shared" ref="CI181" si="1772">CI182-CI180-CI179</f>
        <v>27.739574996324919</v>
      </c>
      <c r="CJ181" s="66">
        <f t="shared" si="1735"/>
        <v>27.739574996324919</v>
      </c>
      <c r="CK181" s="29">
        <f t="shared" ref="CK181:DA181" si="1773">CJ181</f>
        <v>27.739574996324919</v>
      </c>
      <c r="CL181" s="66">
        <f t="shared" si="1735"/>
        <v>27.739574996324919</v>
      </c>
      <c r="CM181" s="29">
        <f t="shared" si="1773"/>
        <v>27.739574996324919</v>
      </c>
      <c r="CN181" s="29">
        <f t="shared" si="1773"/>
        <v>27.739574996324919</v>
      </c>
      <c r="CO181" s="29">
        <f t="shared" si="1773"/>
        <v>27.739574996324919</v>
      </c>
      <c r="CP181" s="29">
        <f t="shared" si="1773"/>
        <v>27.739574996324919</v>
      </c>
      <c r="CQ181" s="29">
        <f t="shared" si="1773"/>
        <v>27.739574996324919</v>
      </c>
      <c r="CR181" s="29">
        <f t="shared" si="1773"/>
        <v>27.739574996324919</v>
      </c>
      <c r="CS181" s="29">
        <f t="shared" si="1773"/>
        <v>27.739574996324919</v>
      </c>
      <c r="CT181" s="29">
        <f t="shared" si="1773"/>
        <v>27.739574996324919</v>
      </c>
      <c r="CU181" s="29">
        <f t="shared" si="1773"/>
        <v>27.739574996324919</v>
      </c>
      <c r="CV181" s="29">
        <f t="shared" si="1773"/>
        <v>27.739574996324919</v>
      </c>
      <c r="CW181" s="29">
        <f t="shared" si="1773"/>
        <v>27.739574996324919</v>
      </c>
      <c r="CX181" s="29">
        <f t="shared" si="1773"/>
        <v>27.739574996324919</v>
      </c>
      <c r="CY181" s="29">
        <f t="shared" si="1773"/>
        <v>27.739574996324919</v>
      </c>
      <c r="CZ181" s="29">
        <f t="shared" si="1773"/>
        <v>27.739574996324919</v>
      </c>
      <c r="DA181" s="29">
        <f t="shared" si="1773"/>
        <v>27.739574996324919</v>
      </c>
      <c r="DD181" s="138"/>
      <c r="DE181" s="61">
        <v>28.360263665094735</v>
      </c>
    </row>
    <row r="182" spans="1:109" s="7" customFormat="1" outlineLevel="1" x14ac:dyDescent="0.2">
      <c r="A182" s="68" t="s">
        <v>467</v>
      </c>
      <c r="B182" s="69" t="e">
        <f t="shared" ref="B182:AE182" si="1774">B148/B8*365</f>
        <v>#DIV/0!</v>
      </c>
      <c r="C182" s="69" t="e">
        <f t="shared" si="1774"/>
        <v>#DIV/0!</v>
      </c>
      <c r="D182" s="69">
        <f t="shared" si="1774"/>
        <v>99.872341512527626</v>
      </c>
      <c r="E182" s="69">
        <f t="shared" si="1774"/>
        <v>95.80708002068323</v>
      </c>
      <c r="F182" s="69">
        <f t="shared" si="1774"/>
        <v>105.19732196077352</v>
      </c>
      <c r="G182" s="69">
        <f t="shared" si="1774"/>
        <v>116.54346124028442</v>
      </c>
      <c r="H182" s="69">
        <f t="shared" si="1774"/>
        <v>100.37100069441539</v>
      </c>
      <c r="I182" s="69">
        <f t="shared" si="1774"/>
        <v>120.53559573133239</v>
      </c>
      <c r="J182" s="69">
        <f t="shared" si="1774"/>
        <v>101.43069549899045</v>
      </c>
      <c r="K182" s="69">
        <f t="shared" si="1774"/>
        <v>119.67216554538129</v>
      </c>
      <c r="L182" s="69">
        <f t="shared" si="1774"/>
        <v>166.59975286054379</v>
      </c>
      <c r="M182" s="69">
        <f t="shared" si="1774"/>
        <v>107.30155222414363</v>
      </c>
      <c r="N182" s="69">
        <f t="shared" si="1774"/>
        <v>106.78582021395485</v>
      </c>
      <c r="O182" s="69">
        <f t="shared" si="1774"/>
        <v>109.96883193860251</v>
      </c>
      <c r="P182" s="69">
        <f t="shared" si="1774"/>
        <v>111.5659860696736</v>
      </c>
      <c r="Q182" s="69">
        <f t="shared" si="1774"/>
        <v>111.11028065111117</v>
      </c>
      <c r="R182" s="69">
        <f t="shared" si="1774"/>
        <v>113.55010254649503</v>
      </c>
      <c r="S182" s="69">
        <f t="shared" si="1774"/>
        <v>131.4735734089912</v>
      </c>
      <c r="T182" s="69">
        <f t="shared" si="1774"/>
        <v>130.67313327810322</v>
      </c>
      <c r="U182" s="69">
        <f t="shared" si="1774"/>
        <v>126.57479608015439</v>
      </c>
      <c r="V182" s="69">
        <f t="shared" si="1774"/>
        <v>134.13689361445057</v>
      </c>
      <c r="W182" s="69">
        <f t="shared" si="1774"/>
        <v>233.86441305193358</v>
      </c>
      <c r="X182" s="69">
        <f t="shared" si="1774"/>
        <v>206.39255835897166</v>
      </c>
      <c r="Y182" s="69">
        <f t="shared" si="1774"/>
        <v>225.02053690442975</v>
      </c>
      <c r="Z182" s="69">
        <f t="shared" si="1774"/>
        <v>229.39178670660337</v>
      </c>
      <c r="AA182" s="69">
        <f t="shared" ref="AA182" si="1775">AA148/AA8*365</f>
        <v>216.3212893372453</v>
      </c>
      <c r="AB182" s="70">
        <f t="shared" si="1774"/>
        <v>166.04977567574542</v>
      </c>
      <c r="AC182" s="70">
        <f t="shared" si="1774"/>
        <v>166.17952694423283</v>
      </c>
      <c r="AD182" s="70">
        <f t="shared" si="1774"/>
        <v>166.2061853231574</v>
      </c>
      <c r="AE182" s="70">
        <f t="shared" si="1774"/>
        <v>166.21054015983594</v>
      </c>
      <c r="AI182" s="69">
        <f>AI148/AI8*90</f>
        <v>97.469771081980042</v>
      </c>
      <c r="AJ182" s="69">
        <f>+AJ179+AJ180+AJ181</f>
        <v>97.469771081980042</v>
      </c>
      <c r="AK182" s="69">
        <f>AK148/AK8*90</f>
        <v>103.23669724770643</v>
      </c>
      <c r="AL182" s="69">
        <f>+AL179+AL180+AL181</f>
        <v>103.23669724770643</v>
      </c>
      <c r="AM182" s="69">
        <f>AM148/AM8*90</f>
        <v>107.54921127140354</v>
      </c>
      <c r="AN182" s="69">
        <f>+AN179+AN180+AN181</f>
        <v>107.54921127140354</v>
      </c>
      <c r="AO182" s="69">
        <f>AO148/AO8*90</f>
        <v>104.78189821916895</v>
      </c>
      <c r="AP182" s="69">
        <f>+AP179+AP180+AP181</f>
        <v>104.78189821916895</v>
      </c>
      <c r="AQ182" s="69">
        <f>AQ148/AQ8*90</f>
        <v>104.70412595005428</v>
      </c>
      <c r="AR182" s="69">
        <f>+AR179+AR180+AR181</f>
        <v>104.70412595005428</v>
      </c>
      <c r="AS182" s="69">
        <f>AS148/AS8*90</f>
        <v>116.33778293673824</v>
      </c>
      <c r="AT182" s="69">
        <f>+AT179+AT180+AT181</f>
        <v>116.33778293673824</v>
      </c>
      <c r="AU182" s="69">
        <f>AU148/AU8*90</f>
        <v>126.6052419058806</v>
      </c>
      <c r="AV182" s="69">
        <f>+AV179+AV180+AV181</f>
        <v>126.6052419058806</v>
      </c>
      <c r="AW182" s="69">
        <f>AW148/AW8*90</f>
        <v>113.96124926608458</v>
      </c>
      <c r="AX182" s="69">
        <f>+AX179+AX180+AX181</f>
        <v>113.96124926608458</v>
      </c>
      <c r="AY182" s="69">
        <f>AY148/AY8*90</f>
        <v>124.53685903037504</v>
      </c>
      <c r="AZ182" s="69">
        <f>+AZ179+AZ180+AZ181</f>
        <v>124.53685903037504</v>
      </c>
      <c r="BA182" s="69">
        <f>BA148/BA8*90</f>
        <v>127.16470182959506</v>
      </c>
      <c r="BB182" s="69">
        <f>+BB179+BB180+BB181</f>
        <v>127.16470182959506</v>
      </c>
      <c r="BC182" s="69">
        <f>BC148/BC8*90</f>
        <v>123.73833112772276</v>
      </c>
      <c r="BD182" s="69">
        <f>+BD179+BD180+BD181</f>
        <v>123.73833112772276</v>
      </c>
      <c r="BE182" s="69">
        <f>BE148/BE8*90</f>
        <v>128.63572458222848</v>
      </c>
      <c r="BF182" s="69">
        <f>+BF179+BF180+BF181</f>
        <v>128.63572458222848</v>
      </c>
      <c r="BG182" s="69">
        <f>BG148/BG8*90</f>
        <v>134.69318868811715</v>
      </c>
      <c r="BH182" s="69">
        <f>+BH179+BH180+BH181</f>
        <v>134.69318868811715</v>
      </c>
      <c r="BI182" s="69">
        <f>BI148/BI8*90</f>
        <v>125.51584647756374</v>
      </c>
      <c r="BJ182" s="69">
        <f>+BJ179+BJ180+BJ181</f>
        <v>125.51584647756374</v>
      </c>
      <c r="BK182" s="69">
        <f>BK148/BK8*90</f>
        <v>141.14698224852071</v>
      </c>
      <c r="BL182" s="69">
        <f>+BL179+BL180+BL181</f>
        <v>141.14698224852071</v>
      </c>
      <c r="BM182" s="69">
        <f>BM148/BM8*90</f>
        <v>120.54894784995425</v>
      </c>
      <c r="BN182" s="69">
        <f>+BN179+BN180+BN181</f>
        <v>120.54894784995426</v>
      </c>
      <c r="BO182" s="69">
        <f>BO148/BO8*90</f>
        <v>159.11203358354527</v>
      </c>
      <c r="BP182" s="69">
        <f>+BP179+BP180+BP181</f>
        <v>159.11203358354527</v>
      </c>
      <c r="BQ182" s="69">
        <f>BQ148/BQ8*90</f>
        <v>159.92989187929211</v>
      </c>
      <c r="BR182" s="69">
        <f>+BR179+BR180+BR181</f>
        <v>159.92989187929211</v>
      </c>
      <c r="BS182" s="69">
        <f>BS148/BS8*90</f>
        <v>171.0372147772546</v>
      </c>
      <c r="BT182" s="69">
        <f>+BT179+BT180+BT181</f>
        <v>171.0372147772546</v>
      </c>
      <c r="BU182" s="69">
        <f>BU148/BU8*90</f>
        <v>172.23755611651072</v>
      </c>
      <c r="BV182" s="69">
        <f>+BV179+BV180+BV181</f>
        <v>172.23755611651072</v>
      </c>
      <c r="BW182" s="69">
        <f>BW148/BW8*90</f>
        <v>163.65814273278914</v>
      </c>
      <c r="BX182" s="69">
        <f>+BX179+BX180+BX181</f>
        <v>163.65814273278914</v>
      </c>
      <c r="BY182" s="69">
        <f>BY148/BY8*90</f>
        <v>159.80713429862422</v>
      </c>
      <c r="BZ182" s="69">
        <f>+BZ179+BZ180+BZ181</f>
        <v>159.80713429862422</v>
      </c>
      <c r="CA182" s="69">
        <f>CA148/CA8*90</f>
        <v>166.89158758243525</v>
      </c>
      <c r="CB182" s="69">
        <f>+CB179+CB180+CB181</f>
        <v>166.89158758243525</v>
      </c>
      <c r="CC182" s="69">
        <f>CC148/CC8*90</f>
        <v>156.29735146505888</v>
      </c>
      <c r="CD182" s="69">
        <f>+CD179+CD180+CD181</f>
        <v>156.29735146505888</v>
      </c>
      <c r="CE182" s="69">
        <f>CE148/CE8*90</f>
        <v>162.12667135819845</v>
      </c>
      <c r="CF182" s="69">
        <f>+CF179+CF180+CF181</f>
        <v>162.12667135819845</v>
      </c>
      <c r="CG182" s="69">
        <f>CG148/CG8*90</f>
        <v>231.81421718273009</v>
      </c>
      <c r="CH182" s="69">
        <f>+CH179+CH180+CH181</f>
        <v>231.81421718273009</v>
      </c>
      <c r="CI182" s="69">
        <f>CI148/CI8*90</f>
        <v>161.97736144912861</v>
      </c>
      <c r="CJ182" s="69">
        <f>+CJ179+CJ180+CJ181</f>
        <v>161.97736144912858</v>
      </c>
      <c r="CK182" s="49">
        <f t="shared" ref="CK182:DA182" si="1776">CK179+CK180+CK181</f>
        <v>161.97736144912858</v>
      </c>
      <c r="CL182" s="69">
        <f>+CL179+CL180+CL181</f>
        <v>161.97736144912858</v>
      </c>
      <c r="CM182" s="49">
        <f t="shared" si="1776"/>
        <v>161.97736144912858</v>
      </c>
      <c r="CN182" s="49">
        <f t="shared" si="1776"/>
        <v>161.97736144912858</v>
      </c>
      <c r="CO182" s="49">
        <f t="shared" si="1776"/>
        <v>161.97736144912858</v>
      </c>
      <c r="CP182" s="49">
        <f t="shared" si="1776"/>
        <v>161.97736144912858</v>
      </c>
      <c r="CQ182" s="49">
        <f t="shared" si="1776"/>
        <v>161.97736144912858</v>
      </c>
      <c r="CR182" s="49">
        <f t="shared" si="1776"/>
        <v>161.97736144912858</v>
      </c>
      <c r="CS182" s="49">
        <f t="shared" si="1776"/>
        <v>161.97736144912858</v>
      </c>
      <c r="CT182" s="49">
        <f t="shared" si="1776"/>
        <v>161.97736144912858</v>
      </c>
      <c r="CU182" s="49">
        <f t="shared" si="1776"/>
        <v>161.97736144912858</v>
      </c>
      <c r="CV182" s="49">
        <f t="shared" si="1776"/>
        <v>161.97736144912858</v>
      </c>
      <c r="CW182" s="49">
        <f t="shared" si="1776"/>
        <v>161.97736144912858</v>
      </c>
      <c r="CX182" s="49">
        <f t="shared" si="1776"/>
        <v>161.97736144912858</v>
      </c>
      <c r="CY182" s="49">
        <f t="shared" si="1776"/>
        <v>161.97736144912858</v>
      </c>
      <c r="CZ182" s="49">
        <f t="shared" si="1776"/>
        <v>161.97736144912858</v>
      </c>
      <c r="DA182" s="49">
        <f t="shared" si="1776"/>
        <v>161.97736144912858</v>
      </c>
      <c r="DD182" s="137"/>
      <c r="DE182" s="7">
        <v>165.60169646010229</v>
      </c>
    </row>
    <row r="183" spans="1:109" s="61" customFormat="1" outlineLevel="1" x14ac:dyDescent="0.2">
      <c r="A183" s="67" t="s">
        <v>468</v>
      </c>
      <c r="B183" s="66" t="e">
        <f t="shared" ref="B183:AE183" si="1777">B153/B8*365</f>
        <v>#DIV/0!</v>
      </c>
      <c r="C183" s="66" t="e">
        <f t="shared" si="1777"/>
        <v>#DIV/0!</v>
      </c>
      <c r="D183" s="66">
        <f t="shared" si="1777"/>
        <v>42.674961492876776</v>
      </c>
      <c r="E183" s="66">
        <f t="shared" si="1777"/>
        <v>35.034904167019079</v>
      </c>
      <c r="F183" s="66">
        <f t="shared" si="1777"/>
        <v>45.058381791667642</v>
      </c>
      <c r="G183" s="66">
        <f t="shared" si="1777"/>
        <v>44.417574606813112</v>
      </c>
      <c r="H183" s="66">
        <f t="shared" si="1777"/>
        <v>38.105396946728057</v>
      </c>
      <c r="I183" s="66">
        <f t="shared" si="1777"/>
        <v>46.414726274709061</v>
      </c>
      <c r="J183" s="66">
        <f t="shared" si="1777"/>
        <v>34.679587831135031</v>
      </c>
      <c r="K183" s="66">
        <f t="shared" si="1777"/>
        <v>47.485734091286169</v>
      </c>
      <c r="L183" s="66">
        <f t="shared" si="1777"/>
        <v>44.588097660976537</v>
      </c>
      <c r="M183" s="66">
        <f t="shared" si="1777"/>
        <v>49.052694249416938</v>
      </c>
      <c r="N183" s="66">
        <f t="shared" si="1777"/>
        <v>48.680640587440884</v>
      </c>
      <c r="O183" s="66">
        <f t="shared" si="1777"/>
        <v>46.793134430787404</v>
      </c>
      <c r="P183" s="66">
        <f t="shared" si="1777"/>
        <v>48.413634827706829</v>
      </c>
      <c r="Q183" s="66">
        <f t="shared" si="1777"/>
        <v>47.653418960310923</v>
      </c>
      <c r="R183" s="66">
        <f t="shared" si="1777"/>
        <v>50.380834566794867</v>
      </c>
      <c r="S183" s="66">
        <f t="shared" si="1777"/>
        <v>59.815374676075464</v>
      </c>
      <c r="T183" s="66">
        <f t="shared" si="1777"/>
        <v>55.285340302626608</v>
      </c>
      <c r="U183" s="66">
        <f t="shared" si="1777"/>
        <v>59.9057670633632</v>
      </c>
      <c r="V183" s="66">
        <f t="shared" si="1777"/>
        <v>60.247528141927944</v>
      </c>
      <c r="W183" s="66">
        <f t="shared" si="1777"/>
        <v>79.081334798485003</v>
      </c>
      <c r="X183" s="66">
        <f t="shared" si="1777"/>
        <v>57.960858124406109</v>
      </c>
      <c r="Y183" s="66">
        <f t="shared" si="1777"/>
        <v>66.11728509873214</v>
      </c>
      <c r="Z183" s="66">
        <f t="shared" si="1777"/>
        <v>68.7405757975841</v>
      </c>
      <c r="AA183" s="66">
        <f t="shared" ref="AA183" si="1778">AA153/AA8*365</f>
        <v>66.647964310116151</v>
      </c>
      <c r="AB183" s="17">
        <f t="shared" si="1777"/>
        <v>72.019301722032495</v>
      </c>
      <c r="AC183" s="17">
        <f t="shared" si="1777"/>
        <v>72.075577593023482</v>
      </c>
      <c r="AD183" s="17">
        <f t="shared" si="1777"/>
        <v>72.087139896118302</v>
      </c>
      <c r="AE183" s="17">
        <f t="shared" si="1777"/>
        <v>72.08902868094458</v>
      </c>
      <c r="AI183" s="66">
        <f>AI153/AI8*90</f>
        <v>0</v>
      </c>
      <c r="AJ183" s="66">
        <f t="shared" si="1735"/>
        <v>0</v>
      </c>
      <c r="AK183" s="66">
        <f>AK153/AK8*90</f>
        <v>47.064220183486235</v>
      </c>
      <c r="AL183" s="66">
        <f t="shared" si="1735"/>
        <v>47.064220183486235</v>
      </c>
      <c r="AM183" s="66">
        <f>AM153/AM8*90</f>
        <v>0</v>
      </c>
      <c r="AN183" s="66">
        <f t="shared" si="1735"/>
        <v>0</v>
      </c>
      <c r="AO183" s="66">
        <f>AO153/AO8*90</f>
        <v>44.585806709797907</v>
      </c>
      <c r="AP183" s="66">
        <f t="shared" si="1735"/>
        <v>44.585806709797907</v>
      </c>
      <c r="AQ183" s="66">
        <f>AQ153/AQ8*90</f>
        <v>45.901194353963078</v>
      </c>
      <c r="AR183" s="66">
        <f t="shared" si="1735"/>
        <v>45.901194353963078</v>
      </c>
      <c r="AS183" s="66">
        <f>AS153/AS8*90</f>
        <v>50.484619849100405</v>
      </c>
      <c r="AT183" s="66">
        <f t="shared" si="1735"/>
        <v>50.484619849100405</v>
      </c>
      <c r="AU183" s="66">
        <f>AU153/AU8*90</f>
        <v>54.967329858307018</v>
      </c>
      <c r="AV183" s="66">
        <f t="shared" si="1735"/>
        <v>54.967329858307018</v>
      </c>
      <c r="AW183" s="66">
        <f>AW153/AW8*90</f>
        <v>48.877062065569426</v>
      </c>
      <c r="AX183" s="66">
        <f t="shared" si="1735"/>
        <v>48.877062065569426</v>
      </c>
      <c r="AY183" s="66">
        <f>AY153/AY8*90</f>
        <v>58.903142367786351</v>
      </c>
      <c r="AZ183" s="66">
        <f t="shared" si="1735"/>
        <v>58.903142367786351</v>
      </c>
      <c r="BA183" s="66">
        <f>BA153/BA8*90</f>
        <v>55.675572226900414</v>
      </c>
      <c r="BB183" s="66">
        <f t="shared" si="1735"/>
        <v>55.675572226900414</v>
      </c>
      <c r="BC183" s="66">
        <f>BC153/BC8*90</f>
        <v>56.483779820451382</v>
      </c>
      <c r="BD183" s="66">
        <f t="shared" si="1735"/>
        <v>56.483779820451382</v>
      </c>
      <c r="BE183" s="66">
        <f>BE153/BE8*90</f>
        <v>58.523784947767439</v>
      </c>
      <c r="BF183" s="66">
        <f t="shared" si="1735"/>
        <v>58.523784947767439</v>
      </c>
      <c r="BG183" s="66">
        <f>BG153/BG8*90</f>
        <v>69.139853563511792</v>
      </c>
      <c r="BH183" s="66">
        <f t="shared" si="1735"/>
        <v>69.139853563511792</v>
      </c>
      <c r="BI183" s="66">
        <f>BI153/BI8*90</f>
        <v>53.102745200384952</v>
      </c>
      <c r="BJ183" s="66">
        <f t="shared" si="1735"/>
        <v>53.102745200384952</v>
      </c>
      <c r="BK183" s="66">
        <f>BK153/BK8*90</f>
        <v>65.777041420118351</v>
      </c>
      <c r="BL183" s="66">
        <f t="shared" si="1735"/>
        <v>65.777041420118351</v>
      </c>
      <c r="BM183" s="66">
        <f>BM153/BM8*90</f>
        <v>57.053832305285823</v>
      </c>
      <c r="BN183" s="66">
        <f t="shared" si="1735"/>
        <v>57.053832305285823</v>
      </c>
      <c r="BO183" s="66">
        <f>BO153/BO8*90</f>
        <v>65.604956381966005</v>
      </c>
      <c r="BP183" s="66">
        <f t="shared" si="1735"/>
        <v>65.604956381966005</v>
      </c>
      <c r="BQ183" s="66">
        <f>BQ153/BQ8*90</f>
        <v>66.137598393430281</v>
      </c>
      <c r="BR183" s="66">
        <f t="shared" si="1735"/>
        <v>66.137598393430281</v>
      </c>
      <c r="BS183" s="66">
        <f>BS153/BS8*90</f>
        <v>68.939695762404924</v>
      </c>
      <c r="BT183" s="66">
        <f t="shared" si="1735"/>
        <v>68.939695762404924</v>
      </c>
      <c r="BU183" s="66">
        <f>BU153/BU8*90</f>
        <v>78.054325317048836</v>
      </c>
      <c r="BV183" s="66">
        <f t="shared" si="1735"/>
        <v>78.054325317048836</v>
      </c>
      <c r="BW183" s="66">
        <f>BW153/BW8*90</f>
        <v>69.863625468353789</v>
      </c>
      <c r="BX183" s="66">
        <f t="shared" si="1735"/>
        <v>69.863625468353789</v>
      </c>
      <c r="BY183" s="66">
        <f>BY153/BY8*90</f>
        <v>62.097414502461341</v>
      </c>
      <c r="BZ183" s="66">
        <f t="shared" si="1735"/>
        <v>62.097414502461341</v>
      </c>
      <c r="CA183" s="66">
        <f>CA153/CA8*90</f>
        <v>65.72736046324593</v>
      </c>
      <c r="CB183" s="66">
        <f t="shared" si="1735"/>
        <v>65.72736046324593</v>
      </c>
      <c r="CC183" s="66">
        <f>CC153/CC8*90</f>
        <v>69.688768157951401</v>
      </c>
      <c r="CD183" s="66">
        <f t="shared" si="1735"/>
        <v>69.688768157951401</v>
      </c>
      <c r="CE183" s="66">
        <f>CE153/CE8*90</f>
        <v>72.180154820548907</v>
      </c>
      <c r="CF183" s="66">
        <f t="shared" si="1735"/>
        <v>72.180154820548907</v>
      </c>
      <c r="CG183" s="66">
        <f>CG153/CG8*90</f>
        <v>69.46649222270679</v>
      </c>
      <c r="CH183" s="66">
        <f t="shared" si="1735"/>
        <v>69.46649222270679</v>
      </c>
      <c r="CI183" s="66">
        <f>CI153/CI8*90</f>
        <v>70.253009489897579</v>
      </c>
      <c r="CJ183" s="66">
        <f t="shared" si="1735"/>
        <v>70.253009489897579</v>
      </c>
      <c r="CK183" s="29">
        <f t="shared" ref="CK183" si="1779">+CJ183</f>
        <v>70.253009489897579</v>
      </c>
      <c r="CL183" s="66">
        <f t="shared" si="1735"/>
        <v>70.253009489897579</v>
      </c>
      <c r="CM183" s="29">
        <f t="shared" ref="CM183" si="1780">+CL183</f>
        <v>70.253009489897579</v>
      </c>
      <c r="CN183" s="29">
        <f t="shared" ref="CN183" si="1781">+CM183</f>
        <v>70.253009489897579</v>
      </c>
      <c r="CO183" s="29">
        <f t="shared" ref="CO183" si="1782">+CN183</f>
        <v>70.253009489897579</v>
      </c>
      <c r="CP183" s="29">
        <f t="shared" ref="CP183" si="1783">+CO183</f>
        <v>70.253009489897579</v>
      </c>
      <c r="CQ183" s="29">
        <f t="shared" ref="CQ183" si="1784">+CP183</f>
        <v>70.253009489897579</v>
      </c>
      <c r="CR183" s="29">
        <f t="shared" ref="CR183" si="1785">+CQ183</f>
        <v>70.253009489897579</v>
      </c>
      <c r="CS183" s="29">
        <f t="shared" ref="CS183" si="1786">+CR183</f>
        <v>70.253009489897579</v>
      </c>
      <c r="CT183" s="29">
        <f t="shared" ref="CT183" si="1787">+CS183</f>
        <v>70.253009489897579</v>
      </c>
      <c r="CU183" s="29">
        <f t="shared" ref="CU183" si="1788">+CT183</f>
        <v>70.253009489897579</v>
      </c>
      <c r="CV183" s="29">
        <f t="shared" ref="CV183" si="1789">+CU183</f>
        <v>70.253009489897579</v>
      </c>
      <c r="CW183" s="29">
        <f t="shared" ref="CW183" si="1790">+CV183</f>
        <v>70.253009489897579</v>
      </c>
      <c r="CX183" s="29">
        <f t="shared" ref="CX183" si="1791">+CW183</f>
        <v>70.253009489897579</v>
      </c>
      <c r="CY183" s="29">
        <f t="shared" ref="CY183" si="1792">+CX183</f>
        <v>70.253009489897579</v>
      </c>
      <c r="CZ183" s="29">
        <f t="shared" ref="CZ183" si="1793">+CY183</f>
        <v>70.253009489897579</v>
      </c>
      <c r="DA183" s="29">
        <f t="shared" ref="DA183" si="1794">+CZ183</f>
        <v>70.253009489897579</v>
      </c>
      <c r="DD183" s="138"/>
      <c r="DE183" s="61">
        <v>71.82496028377733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795">C185-C183</f>
        <v>#DIV/0!</v>
      </c>
      <c r="D184" s="66">
        <f t="shared" si="1795"/>
        <v>21.86929255562822</v>
      </c>
      <c r="E184" s="66">
        <f t="shared" si="1795"/>
        <v>35.790544001860724</v>
      </c>
      <c r="F184" s="66">
        <f t="shared" si="1795"/>
        <v>23.807434333279915</v>
      </c>
      <c r="G184" s="66">
        <f t="shared" si="1795"/>
        <v>23.955821681117477</v>
      </c>
      <c r="H184" s="66">
        <f t="shared" si="1795"/>
        <v>26.642610285715115</v>
      </c>
      <c r="I184" s="66">
        <f t="shared" si="1795"/>
        <v>25.099781479152973</v>
      </c>
      <c r="J184" s="66">
        <f t="shared" si="1795"/>
        <v>33.142612153801956</v>
      </c>
      <c r="K184" s="66">
        <f t="shared" si="1795"/>
        <v>40.835913985053757</v>
      </c>
      <c r="L184" s="66">
        <f t="shared" si="1795"/>
        <v>78.194984307462363</v>
      </c>
      <c r="M184" s="66">
        <f t="shared" si="1795"/>
        <v>21.579395729947741</v>
      </c>
      <c r="N184" s="66">
        <f t="shared" si="1795"/>
        <v>18.842966702074129</v>
      </c>
      <c r="O184" s="66">
        <f t="shared" si="1795"/>
        <v>17.585087987743691</v>
      </c>
      <c r="P184" s="66">
        <f t="shared" si="1795"/>
        <v>19.261153364421759</v>
      </c>
      <c r="Q184" s="66">
        <f t="shared" si="1795"/>
        <v>31.067920968357136</v>
      </c>
      <c r="R184" s="66">
        <f t="shared" si="1795"/>
        <v>27.097829542677538</v>
      </c>
      <c r="S184" s="66">
        <f t="shared" si="1795"/>
        <v>18.770026362456406</v>
      </c>
      <c r="T184" s="66">
        <f t="shared" si="1795"/>
        <v>19.812722645031883</v>
      </c>
      <c r="U184" s="66">
        <f t="shared" si="1795"/>
        <v>15.97245410609564</v>
      </c>
      <c r="V184" s="66">
        <f t="shared" si="1795"/>
        <v>23.564509957912975</v>
      </c>
      <c r="W184" s="66">
        <f t="shared" ref="W184" si="1796">W185-W183</f>
        <v>95.024129688579748</v>
      </c>
      <c r="X184" s="66">
        <f t="shared" ref="X184:Y184" si="1797">X185-X183</f>
        <v>83.597274920094833</v>
      </c>
      <c r="Y184" s="66">
        <f t="shared" si="1797"/>
        <v>112.76767723736012</v>
      </c>
      <c r="Z184" s="66">
        <f t="shared" ref="Z184:AA184" si="1798">Z185-Z183</f>
        <v>114.44631209726684</v>
      </c>
      <c r="AA184" s="66">
        <f t="shared" si="1798"/>
        <v>110.50635022708093</v>
      </c>
      <c r="AB184" s="17">
        <f t="shared" ref="AA184:AD184" si="1799">AB185-AB183</f>
        <v>24.220427229054337</v>
      </c>
      <c r="AC184" s="17">
        <f t="shared" si="1799"/>
        <v>24.239353067065807</v>
      </c>
      <c r="AD184" s="17">
        <f t="shared" si="1799"/>
        <v>24.243241523549159</v>
      </c>
      <c r="AE184" s="17">
        <f t="shared" ref="AE184" si="1800">AE185-AE183</f>
        <v>24.243876730699753</v>
      </c>
      <c r="AI184" s="66">
        <f t="shared" ref="AI184:AK184" si="1801">AI185-AI183</f>
        <v>59.194678145177079</v>
      </c>
      <c r="AJ184" s="66">
        <f t="shared" si="1735"/>
        <v>59.194678145177079</v>
      </c>
      <c r="AK184" s="66">
        <f t="shared" si="1801"/>
        <v>19.515596330275237</v>
      </c>
      <c r="AL184" s="66">
        <f t="shared" si="1735"/>
        <v>19.515596330275237</v>
      </c>
      <c r="AM184" s="66">
        <f t="shared" ref="AM184:AO184" si="1802">AM185-AM183</f>
        <v>61.617904813266819</v>
      </c>
      <c r="AN184" s="66">
        <f t="shared" si="1735"/>
        <v>61.617904813266819</v>
      </c>
      <c r="AO184" s="66">
        <f t="shared" si="1802"/>
        <v>18.467618221836865</v>
      </c>
      <c r="AP184" s="66">
        <f t="shared" si="1735"/>
        <v>18.467618221836865</v>
      </c>
      <c r="AQ184" s="66">
        <f t="shared" ref="AQ184:BA184" si="1803">AQ185-AQ183</f>
        <v>11.463083604777424</v>
      </c>
      <c r="AR184" s="66">
        <f t="shared" si="1735"/>
        <v>11.463083604777424</v>
      </c>
      <c r="AS184" s="66">
        <f t="shared" si="1803"/>
        <v>21.305861868833411</v>
      </c>
      <c r="AT184" s="66">
        <f t="shared" si="1735"/>
        <v>21.305861868833411</v>
      </c>
      <c r="AU184" s="66">
        <f t="shared" si="1803"/>
        <v>36.155935687541294</v>
      </c>
      <c r="AV184" s="66">
        <f t="shared" si="1735"/>
        <v>36.155935687541294</v>
      </c>
      <c r="AW184" s="66">
        <f t="shared" si="1803"/>
        <v>39.002443228091444</v>
      </c>
      <c r="AX184" s="66">
        <f t="shared" si="1735"/>
        <v>39.002443228091444</v>
      </c>
      <c r="AY184" s="66">
        <f t="shared" si="1803"/>
        <v>32.923031213953657</v>
      </c>
      <c r="AZ184" s="66">
        <f t="shared" si="1735"/>
        <v>32.923031213953657</v>
      </c>
      <c r="BA184" s="66">
        <f t="shared" si="1803"/>
        <v>37.23187629181659</v>
      </c>
      <c r="BB184" s="66">
        <f t="shared" si="1735"/>
        <v>37.23187629181659</v>
      </c>
      <c r="BC184" s="66">
        <f t="shared" ref="BC184:BE184" si="1804">BC185-BC183</f>
        <v>32.827354340283982</v>
      </c>
      <c r="BD184" s="66">
        <f t="shared" si="1735"/>
        <v>32.827354340283982</v>
      </c>
      <c r="BE184" s="66">
        <f t="shared" si="1804"/>
        <v>20.206794682422441</v>
      </c>
      <c r="BF184" s="66">
        <f t="shared" si="1735"/>
        <v>20.206794682422441</v>
      </c>
      <c r="BG184" s="66">
        <f t="shared" ref="BG184:BI184" si="1805">BG185-BG183</f>
        <v>21.266709209377325</v>
      </c>
      <c r="BH184" s="66">
        <f t="shared" si="1735"/>
        <v>21.266709209377325</v>
      </c>
      <c r="BI184" s="66">
        <f t="shared" si="1805"/>
        <v>19.556983704960281</v>
      </c>
      <c r="BJ184" s="66">
        <f t="shared" si="1735"/>
        <v>19.556983704960281</v>
      </c>
      <c r="BK184" s="66">
        <f t="shared" ref="BK184:BM184" si="1806">BK185-BK183</f>
        <v>72.935857988165665</v>
      </c>
      <c r="BL184" s="66">
        <f t="shared" si="1735"/>
        <v>72.935857988165665</v>
      </c>
      <c r="BM184" s="66">
        <f t="shared" si="1806"/>
        <v>15.711418705545555</v>
      </c>
      <c r="BN184" s="66">
        <f t="shared" si="1735"/>
        <v>15.711418705545555</v>
      </c>
      <c r="BO184" s="66">
        <f t="shared" ref="BO184:BQ184" si="1807">BO185-BO183</f>
        <v>52.887061283727903</v>
      </c>
      <c r="BP184" s="66">
        <f t="shared" si="1735"/>
        <v>52.887061283727903</v>
      </c>
      <c r="BQ184" s="66">
        <f t="shared" si="1807"/>
        <v>26.152301375266717</v>
      </c>
      <c r="BR184" s="66">
        <f t="shared" si="1735"/>
        <v>26.152301375266717</v>
      </c>
      <c r="BS184" s="66">
        <f t="shared" ref="BS184:BU184" si="1808">BS185-BS183</f>
        <v>25.395689967403115</v>
      </c>
      <c r="BT184" s="66">
        <f t="shared" si="1735"/>
        <v>25.395689967403115</v>
      </c>
      <c r="BU184" s="66">
        <f t="shared" si="1808"/>
        <v>22.656105929833572</v>
      </c>
      <c r="BV184" s="66">
        <f t="shared" si="1735"/>
        <v>22.656105929833572</v>
      </c>
      <c r="BW184" s="66">
        <f t="shared" ref="BW184:BY184" si="1809">BW185-BW183</f>
        <v>15.97398665270542</v>
      </c>
      <c r="BX184" s="66">
        <f t="shared" si="1735"/>
        <v>15.97398665270542</v>
      </c>
      <c r="BY184" s="66">
        <f t="shared" si="1809"/>
        <v>19.436705114694469</v>
      </c>
      <c r="BZ184" s="66">
        <f t="shared" si="1735"/>
        <v>19.436705114694469</v>
      </c>
      <c r="CA184" s="66">
        <f t="shared" ref="CA184:CC184" si="1810">CA185-CA183</f>
        <v>20.375583078655296</v>
      </c>
      <c r="CB184" s="66">
        <f t="shared" si="1735"/>
        <v>20.375583078655296</v>
      </c>
      <c r="CC184" s="66">
        <f t="shared" si="1810"/>
        <v>26.843622148973893</v>
      </c>
      <c r="CD184" s="66">
        <f t="shared" si="1735"/>
        <v>26.843622148973893</v>
      </c>
      <c r="CE184" s="66">
        <f t="shared" ref="CE184" si="1811">CE185-CE183</f>
        <v>19.259676284306821</v>
      </c>
      <c r="CF184" s="66">
        <f t="shared" si="1735"/>
        <v>19.259676284306821</v>
      </c>
      <c r="CG184" s="66">
        <f t="shared" ref="CG184" si="1812">CG185-CG183</f>
        <v>115.6548916993749</v>
      </c>
      <c r="CH184" s="66">
        <f t="shared" si="1735"/>
        <v>115.6548916993749</v>
      </c>
      <c r="CI184" s="66">
        <f t="shared" ref="CI184" si="1813">CI185-CI183</f>
        <v>23.626414909429471</v>
      </c>
      <c r="CJ184" s="66">
        <f t="shared" si="1735"/>
        <v>23.626414909429471</v>
      </c>
      <c r="CK184" s="29">
        <f t="shared" ref="CK184:DA184" si="1814">CJ184</f>
        <v>23.626414909429471</v>
      </c>
      <c r="CL184" s="66">
        <f t="shared" si="1735"/>
        <v>23.626414909429471</v>
      </c>
      <c r="CM184" s="29">
        <f t="shared" si="1814"/>
        <v>23.626414909429471</v>
      </c>
      <c r="CN184" s="29">
        <f t="shared" si="1814"/>
        <v>23.626414909429471</v>
      </c>
      <c r="CO184" s="29">
        <f t="shared" si="1814"/>
        <v>23.626414909429471</v>
      </c>
      <c r="CP184" s="29">
        <f t="shared" si="1814"/>
        <v>23.626414909429471</v>
      </c>
      <c r="CQ184" s="29">
        <f t="shared" si="1814"/>
        <v>23.626414909429471</v>
      </c>
      <c r="CR184" s="29">
        <f t="shared" si="1814"/>
        <v>23.626414909429471</v>
      </c>
      <c r="CS184" s="29">
        <f t="shared" si="1814"/>
        <v>23.626414909429471</v>
      </c>
      <c r="CT184" s="29">
        <f t="shared" si="1814"/>
        <v>23.626414909429471</v>
      </c>
      <c r="CU184" s="29">
        <f t="shared" si="1814"/>
        <v>23.626414909429471</v>
      </c>
      <c r="CV184" s="29">
        <f t="shared" si="1814"/>
        <v>23.626414909429471</v>
      </c>
      <c r="CW184" s="29">
        <f t="shared" si="1814"/>
        <v>23.626414909429471</v>
      </c>
      <c r="CX184" s="29">
        <f t="shared" si="1814"/>
        <v>23.626414909429471</v>
      </c>
      <c r="CY184" s="29">
        <f t="shared" si="1814"/>
        <v>23.626414909429471</v>
      </c>
      <c r="CZ184" s="29">
        <f t="shared" si="1814"/>
        <v>23.626414909429471</v>
      </c>
      <c r="DA184" s="29">
        <f t="shared" si="1814"/>
        <v>23.626414909429471</v>
      </c>
      <c r="DD184" s="138"/>
      <c r="DE184" s="61">
        <v>24.155069296523735</v>
      </c>
    </row>
    <row r="185" spans="1:109" s="7" customFormat="1" outlineLevel="1" x14ac:dyDescent="0.2">
      <c r="A185" s="68" t="s">
        <v>469</v>
      </c>
      <c r="B185" s="69" t="e">
        <f t="shared" ref="B185:AE185" si="1815">B156/B8*365</f>
        <v>#DIV/0!</v>
      </c>
      <c r="C185" s="69" t="e">
        <f t="shared" si="1815"/>
        <v>#DIV/0!</v>
      </c>
      <c r="D185" s="69">
        <f t="shared" si="1815"/>
        <v>64.544254048504996</v>
      </c>
      <c r="E185" s="69">
        <f t="shared" si="1815"/>
        <v>70.825448168879802</v>
      </c>
      <c r="F185" s="69">
        <f t="shared" si="1815"/>
        <v>68.865816124947557</v>
      </c>
      <c r="G185" s="69">
        <f t="shared" si="1815"/>
        <v>68.373396287930589</v>
      </c>
      <c r="H185" s="69">
        <f t="shared" si="1815"/>
        <v>64.748007232443172</v>
      </c>
      <c r="I185" s="69">
        <f t="shared" si="1815"/>
        <v>71.514507753862034</v>
      </c>
      <c r="J185" s="69">
        <f t="shared" si="1815"/>
        <v>67.822199984936987</v>
      </c>
      <c r="K185" s="69">
        <f t="shared" si="1815"/>
        <v>88.321648076339926</v>
      </c>
      <c r="L185" s="69">
        <f t="shared" si="1815"/>
        <v>122.78308196843891</v>
      </c>
      <c r="M185" s="69">
        <f t="shared" si="1815"/>
        <v>70.632089979364679</v>
      </c>
      <c r="N185" s="69">
        <f t="shared" si="1815"/>
        <v>67.523607289515013</v>
      </c>
      <c r="O185" s="69">
        <f t="shared" si="1815"/>
        <v>64.378222418531095</v>
      </c>
      <c r="P185" s="69">
        <f t="shared" si="1815"/>
        <v>67.674788192128588</v>
      </c>
      <c r="Q185" s="69">
        <f t="shared" si="1815"/>
        <v>78.721339928668058</v>
      </c>
      <c r="R185" s="69">
        <f t="shared" si="1815"/>
        <v>77.478664109472405</v>
      </c>
      <c r="S185" s="69">
        <f t="shared" si="1815"/>
        <v>78.58540103853187</v>
      </c>
      <c r="T185" s="69">
        <f t="shared" si="1815"/>
        <v>75.098062947658491</v>
      </c>
      <c r="U185" s="69">
        <f t="shared" si="1815"/>
        <v>75.87822116945884</v>
      </c>
      <c r="V185" s="69">
        <f t="shared" si="1815"/>
        <v>83.812038099840919</v>
      </c>
      <c r="W185" s="69">
        <f t="shared" si="1815"/>
        <v>174.10546448706475</v>
      </c>
      <c r="X185" s="69">
        <f t="shared" si="1815"/>
        <v>141.55813304450095</v>
      </c>
      <c r="Y185" s="69">
        <f t="shared" si="1815"/>
        <v>178.88496233609226</v>
      </c>
      <c r="Z185" s="69">
        <f t="shared" si="1815"/>
        <v>183.18688789485094</v>
      </c>
      <c r="AA185" s="69">
        <f t="shared" ref="AA185" si="1816">AA156/AA8*365</f>
        <v>177.15431453719708</v>
      </c>
      <c r="AB185" s="70">
        <f t="shared" si="1815"/>
        <v>96.239728951086832</v>
      </c>
      <c r="AC185" s="70">
        <f t="shared" si="1815"/>
        <v>96.314930660089288</v>
      </c>
      <c r="AD185" s="70">
        <f t="shared" si="1815"/>
        <v>96.330381419667461</v>
      </c>
      <c r="AE185" s="70">
        <f t="shared" si="1815"/>
        <v>96.332905411644333</v>
      </c>
      <c r="AI185" s="69">
        <f>AI156/AI8*90</f>
        <v>59.194678145177079</v>
      </c>
      <c r="AJ185" s="69">
        <f>+AJ183+AJ184</f>
        <v>59.194678145177079</v>
      </c>
      <c r="AK185" s="69">
        <f>AK156/AK8*90</f>
        <v>66.579816513761472</v>
      </c>
      <c r="AL185" s="69">
        <f>+AL183+AL184</f>
        <v>66.579816513761472</v>
      </c>
      <c r="AM185" s="69">
        <f>AM156/AM8*90</f>
        <v>61.617904813266819</v>
      </c>
      <c r="AN185" s="69">
        <f>+AN183+AN184</f>
        <v>61.617904813266819</v>
      </c>
      <c r="AO185" s="69">
        <f>AO156/AO8*90</f>
        <v>63.053424931634773</v>
      </c>
      <c r="AP185" s="69">
        <f>+AP183+AP184</f>
        <v>63.053424931634773</v>
      </c>
      <c r="AQ185" s="69">
        <f>AQ156/AQ8*90</f>
        <v>57.364277958740502</v>
      </c>
      <c r="AR185" s="69">
        <f>+AR183+AR184</f>
        <v>57.364277958740502</v>
      </c>
      <c r="AS185" s="69">
        <f>AS156/AS8*90</f>
        <v>71.790481717933815</v>
      </c>
      <c r="AT185" s="69">
        <f>+AT183+AT184</f>
        <v>71.790481717933815</v>
      </c>
      <c r="AU185" s="69">
        <f>AU156/AU8*90</f>
        <v>91.123265545848312</v>
      </c>
      <c r="AV185" s="69">
        <f>+AV183+AV184</f>
        <v>91.123265545848312</v>
      </c>
      <c r="AW185" s="69">
        <f>AW156/AW8*90</f>
        <v>87.87950529366087</v>
      </c>
      <c r="AX185" s="69">
        <f>+AX183+AX184</f>
        <v>87.87950529366087</v>
      </c>
      <c r="AY185" s="69">
        <f>AY156/AY8*90</f>
        <v>91.826173581740008</v>
      </c>
      <c r="AZ185" s="69">
        <f>+AZ183+AZ184</f>
        <v>91.826173581740008</v>
      </c>
      <c r="BA185" s="69">
        <f>BA156/BA8*90</f>
        <v>92.907448518717004</v>
      </c>
      <c r="BB185" s="69">
        <f>+BB183+BB184</f>
        <v>92.907448518717004</v>
      </c>
      <c r="BC185" s="69">
        <f>BC156/BC8*90</f>
        <v>89.311134160735364</v>
      </c>
      <c r="BD185" s="69">
        <f>+BD183+BD184</f>
        <v>89.311134160735364</v>
      </c>
      <c r="BE185" s="69">
        <f>BE156/BE8*90</f>
        <v>78.730579630189879</v>
      </c>
      <c r="BF185" s="69">
        <f>+BF183+BF184</f>
        <v>78.730579630189879</v>
      </c>
      <c r="BG185" s="69">
        <f>BG156/BG8*90</f>
        <v>90.406562772889117</v>
      </c>
      <c r="BH185" s="69">
        <f>+BH183+BH184</f>
        <v>90.406562772889117</v>
      </c>
      <c r="BI185" s="69">
        <f>BI156/BI8*90</f>
        <v>72.659728905345233</v>
      </c>
      <c r="BJ185" s="69">
        <f>+BJ183+BJ184</f>
        <v>72.659728905345233</v>
      </c>
      <c r="BK185" s="69">
        <f>BK156/BK8*90</f>
        <v>138.71289940828402</v>
      </c>
      <c r="BL185" s="69">
        <f>+BL183+BL184</f>
        <v>138.71289940828402</v>
      </c>
      <c r="BM185" s="69">
        <f>BM156/BM8*90</f>
        <v>72.765251010831378</v>
      </c>
      <c r="BN185" s="69">
        <f>+BN183+BN184</f>
        <v>72.765251010831378</v>
      </c>
      <c r="BO185" s="69">
        <f>BO156/BO8*90</f>
        <v>118.49201766569391</v>
      </c>
      <c r="BP185" s="69">
        <f>+BP183+BP184</f>
        <v>118.49201766569391</v>
      </c>
      <c r="BQ185" s="69">
        <f>BQ156/BQ8*90</f>
        <v>92.289899768696998</v>
      </c>
      <c r="BR185" s="69">
        <f>+BR183+BR184</f>
        <v>92.289899768696998</v>
      </c>
      <c r="BS185" s="69">
        <f>BS156/BS8*90</f>
        <v>94.335385729808038</v>
      </c>
      <c r="BT185" s="69">
        <f>+BT183+BT184</f>
        <v>94.335385729808038</v>
      </c>
      <c r="BU185" s="69">
        <f>BU156/BU8*90</f>
        <v>100.71043124688241</v>
      </c>
      <c r="BV185" s="69">
        <f>+BV183+BV184</f>
        <v>100.71043124688241</v>
      </c>
      <c r="BW185" s="69">
        <f>BW156/BW8*90</f>
        <v>85.837612121059209</v>
      </c>
      <c r="BX185" s="69">
        <f>+BX183+BX184</f>
        <v>85.837612121059209</v>
      </c>
      <c r="BY185" s="69">
        <f>BY156/BY8*90</f>
        <v>81.53411961715581</v>
      </c>
      <c r="BZ185" s="69">
        <f>+BZ183+BZ184</f>
        <v>81.53411961715581</v>
      </c>
      <c r="CA185" s="69">
        <f>CA156/CA8*90</f>
        <v>86.102943541901226</v>
      </c>
      <c r="CB185" s="69">
        <f>+CB183+CB184</f>
        <v>86.102943541901226</v>
      </c>
      <c r="CC185" s="69">
        <f>CC156/CC8*90</f>
        <v>96.532390306925294</v>
      </c>
      <c r="CD185" s="69">
        <f>+CD183+CD184</f>
        <v>96.532390306925294</v>
      </c>
      <c r="CE185" s="69">
        <f>CE156/CE8*90</f>
        <v>91.439831104855728</v>
      </c>
      <c r="CF185" s="69">
        <f>+CF183+CF184</f>
        <v>91.439831104855728</v>
      </c>
      <c r="CG185" s="69">
        <f>CG156/CG8*90</f>
        <v>185.12138392208169</v>
      </c>
      <c r="CH185" s="69">
        <f>+CH183+CH184</f>
        <v>185.12138392208169</v>
      </c>
      <c r="CI185" s="69">
        <f>CI156/CI8*90</f>
        <v>93.87942439932705</v>
      </c>
      <c r="CJ185" s="69">
        <f>+CJ183+CJ184</f>
        <v>93.87942439932705</v>
      </c>
      <c r="CK185" s="49">
        <f t="shared" ref="CK185:DA185" si="1817">CK183+CK184</f>
        <v>93.87942439932705</v>
      </c>
      <c r="CL185" s="69">
        <f>+CL183+CL184</f>
        <v>93.87942439932705</v>
      </c>
      <c r="CM185" s="49">
        <f t="shared" si="1817"/>
        <v>93.87942439932705</v>
      </c>
      <c r="CN185" s="49">
        <f t="shared" si="1817"/>
        <v>93.87942439932705</v>
      </c>
      <c r="CO185" s="49">
        <f t="shared" si="1817"/>
        <v>93.87942439932705</v>
      </c>
      <c r="CP185" s="49">
        <f t="shared" si="1817"/>
        <v>93.87942439932705</v>
      </c>
      <c r="CQ185" s="49">
        <f t="shared" si="1817"/>
        <v>93.87942439932705</v>
      </c>
      <c r="CR185" s="49">
        <f t="shared" si="1817"/>
        <v>93.87942439932705</v>
      </c>
      <c r="CS185" s="49">
        <f t="shared" si="1817"/>
        <v>93.87942439932705</v>
      </c>
      <c r="CT185" s="49">
        <f t="shared" si="1817"/>
        <v>93.87942439932705</v>
      </c>
      <c r="CU185" s="49">
        <f t="shared" si="1817"/>
        <v>93.87942439932705</v>
      </c>
      <c r="CV185" s="49">
        <f t="shared" si="1817"/>
        <v>93.87942439932705</v>
      </c>
      <c r="CW185" s="49">
        <f t="shared" si="1817"/>
        <v>93.87942439932705</v>
      </c>
      <c r="CX185" s="49">
        <f t="shared" si="1817"/>
        <v>93.87942439932705</v>
      </c>
      <c r="CY185" s="49">
        <f t="shared" si="1817"/>
        <v>93.87942439932705</v>
      </c>
      <c r="CZ185" s="49">
        <f t="shared" si="1817"/>
        <v>93.87942439932705</v>
      </c>
      <c r="DA185" s="49">
        <f t="shared" si="1817"/>
        <v>93.87942439932705</v>
      </c>
      <c r="DD185" s="137"/>
      <c r="DE185" s="7">
        <v>95.980029580301064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18">C182-C185</f>
        <v>#DIV/0!</v>
      </c>
      <c r="D186" s="69">
        <f t="shared" si="1818"/>
        <v>35.32808746402263</v>
      </c>
      <c r="E186" s="69">
        <f t="shared" si="1818"/>
        <v>24.981631851803428</v>
      </c>
      <c r="F186" s="69">
        <f t="shared" si="1818"/>
        <v>36.331505835825965</v>
      </c>
      <c r="G186" s="69">
        <f t="shared" si="1818"/>
        <v>48.170064952353826</v>
      </c>
      <c r="H186" s="69">
        <f t="shared" si="1818"/>
        <v>35.622993461972214</v>
      </c>
      <c r="I186" s="69">
        <f t="shared" si="1818"/>
        <v>49.021087977470359</v>
      </c>
      <c r="J186" s="69">
        <f t="shared" si="1818"/>
        <v>33.608495514053459</v>
      </c>
      <c r="K186" s="69">
        <f t="shared" si="1818"/>
        <v>31.350517469041364</v>
      </c>
      <c r="L186" s="69">
        <f t="shared" si="1818"/>
        <v>43.816670892104881</v>
      </c>
      <c r="M186" s="69">
        <f t="shared" si="1818"/>
        <v>36.669462244778956</v>
      </c>
      <c r="N186" s="69">
        <f t="shared" si="1818"/>
        <v>39.262212924439837</v>
      </c>
      <c r="O186" s="69">
        <f t="shared" si="1818"/>
        <v>45.590609520071411</v>
      </c>
      <c r="P186" s="69">
        <f t="shared" si="1818"/>
        <v>43.891197877545011</v>
      </c>
      <c r="Q186" s="69">
        <f t="shared" si="1818"/>
        <v>32.38894072244311</v>
      </c>
      <c r="R186" s="69">
        <f t="shared" si="1818"/>
        <v>36.071438437022621</v>
      </c>
      <c r="S186" s="69">
        <f t="shared" si="1818"/>
        <v>52.88817237045933</v>
      </c>
      <c r="T186" s="69">
        <f t="shared" si="1818"/>
        <v>55.575070330444731</v>
      </c>
      <c r="U186" s="69">
        <f t="shared" si="1818"/>
        <v>50.696574910695546</v>
      </c>
      <c r="V186" s="69">
        <f t="shared" si="1818"/>
        <v>50.324855514609652</v>
      </c>
      <c r="W186" s="69">
        <f t="shared" ref="W186" si="1819">W182-W185</f>
        <v>59.758948564868831</v>
      </c>
      <c r="X186" s="69">
        <f t="shared" ref="X186:Y186" si="1820">X182-X185</f>
        <v>64.834425314470707</v>
      </c>
      <c r="Y186" s="69">
        <f t="shared" si="1820"/>
        <v>46.135574568337489</v>
      </c>
      <c r="Z186" s="69">
        <f t="shared" ref="Z186:AA186" si="1821">Z182-Z185</f>
        <v>46.204898811752429</v>
      </c>
      <c r="AA186" s="69">
        <f t="shared" si="1821"/>
        <v>39.166974800048223</v>
      </c>
      <c r="AB186" s="70">
        <f t="shared" ref="AA186:AD186" si="1822">AB182-AB185</f>
        <v>69.810046724658591</v>
      </c>
      <c r="AC186" s="70">
        <f t="shared" si="1822"/>
        <v>69.864596284143545</v>
      </c>
      <c r="AD186" s="70">
        <f t="shared" si="1822"/>
        <v>69.875803903489938</v>
      </c>
      <c r="AE186" s="70">
        <f t="shared" ref="AE186" si="1823">AE182-AE185</f>
        <v>69.87763474819161</v>
      </c>
      <c r="AI186" s="69">
        <f t="shared" ref="AI186:AL186" si="1824">AI182-AI185</f>
        <v>38.275092936802963</v>
      </c>
      <c r="AJ186" s="69">
        <f t="shared" si="1824"/>
        <v>38.275092936802963</v>
      </c>
      <c r="AK186" s="69">
        <f t="shared" si="1824"/>
        <v>36.656880733944959</v>
      </c>
      <c r="AL186" s="69">
        <f t="shared" si="1824"/>
        <v>36.656880733944959</v>
      </c>
      <c r="AM186" s="69">
        <f t="shared" ref="AM186:AP186" si="1825">AM182-AM185</f>
        <v>45.931306458136717</v>
      </c>
      <c r="AN186" s="69">
        <f t="shared" si="1825"/>
        <v>45.931306458136717</v>
      </c>
      <c r="AO186" s="69">
        <f t="shared" si="1825"/>
        <v>41.728473287534179</v>
      </c>
      <c r="AP186" s="69">
        <f t="shared" si="1825"/>
        <v>41.728473287534179</v>
      </c>
      <c r="AQ186" s="69">
        <f t="shared" ref="AQ186:BB186" si="1826">AQ182-AQ185</f>
        <v>47.339847991313775</v>
      </c>
      <c r="AR186" s="69">
        <f t="shared" si="1826"/>
        <v>47.339847991313775</v>
      </c>
      <c r="AS186" s="69">
        <f t="shared" si="1826"/>
        <v>44.547301218804421</v>
      </c>
      <c r="AT186" s="69">
        <f t="shared" si="1826"/>
        <v>44.547301218804421</v>
      </c>
      <c r="AU186" s="69">
        <f t="shared" si="1826"/>
        <v>35.481976360032291</v>
      </c>
      <c r="AV186" s="69">
        <f t="shared" si="1826"/>
        <v>35.481976360032291</v>
      </c>
      <c r="AW186" s="69">
        <f t="shared" si="1826"/>
        <v>26.081743972423709</v>
      </c>
      <c r="AX186" s="69">
        <f t="shared" si="1826"/>
        <v>26.081743972423709</v>
      </c>
      <c r="AY186" s="69">
        <f t="shared" si="1826"/>
        <v>32.710685448635033</v>
      </c>
      <c r="AZ186" s="69">
        <f t="shared" si="1826"/>
        <v>32.710685448635033</v>
      </c>
      <c r="BA186" s="69">
        <f t="shared" si="1826"/>
        <v>34.257253310878056</v>
      </c>
      <c r="BB186" s="69">
        <f t="shared" si="1826"/>
        <v>34.257253310878056</v>
      </c>
      <c r="BC186" s="69">
        <f t="shared" ref="BC186:BF186" si="1827">BC182-BC185</f>
        <v>34.427196966987395</v>
      </c>
      <c r="BD186" s="69">
        <f t="shared" si="1827"/>
        <v>34.427196966987395</v>
      </c>
      <c r="BE186" s="69">
        <f t="shared" si="1827"/>
        <v>49.905144952038597</v>
      </c>
      <c r="BF186" s="69">
        <f t="shared" si="1827"/>
        <v>49.905144952038597</v>
      </c>
      <c r="BG186" s="69">
        <f t="shared" ref="BG186:BJ186" si="1828">BG182-BG185</f>
        <v>44.286625915228029</v>
      </c>
      <c r="BH186" s="69">
        <f t="shared" si="1828"/>
        <v>44.286625915228029</v>
      </c>
      <c r="BI186" s="69">
        <f t="shared" si="1828"/>
        <v>52.856117572218508</v>
      </c>
      <c r="BJ186" s="69">
        <f t="shared" si="1828"/>
        <v>52.856117572218508</v>
      </c>
      <c r="BK186" s="69">
        <f t="shared" ref="BK186:BN186" si="1829">BK182-BK185</f>
        <v>2.4340828402366981</v>
      </c>
      <c r="BL186" s="69">
        <f t="shared" si="1829"/>
        <v>2.4340828402366981</v>
      </c>
      <c r="BM186" s="69">
        <f t="shared" si="1829"/>
        <v>47.783696839122868</v>
      </c>
      <c r="BN186" s="69">
        <f t="shared" si="1829"/>
        <v>47.783696839122882</v>
      </c>
      <c r="BO186" s="69">
        <f t="shared" ref="BO186:BR186" si="1830">BO182-BO185</f>
        <v>40.620015917851362</v>
      </c>
      <c r="BP186" s="69">
        <f t="shared" si="1830"/>
        <v>40.620015917851362</v>
      </c>
      <c r="BQ186" s="69">
        <f t="shared" si="1830"/>
        <v>67.639992110595117</v>
      </c>
      <c r="BR186" s="69">
        <f t="shared" si="1830"/>
        <v>67.639992110595117</v>
      </c>
      <c r="BS186" s="69">
        <f t="shared" ref="BS186:BV186" si="1831">BS182-BS185</f>
        <v>76.701829047446566</v>
      </c>
      <c r="BT186" s="69">
        <f t="shared" si="1831"/>
        <v>76.701829047446566</v>
      </c>
      <c r="BU186" s="69">
        <f t="shared" si="1831"/>
        <v>71.52712486962831</v>
      </c>
      <c r="BV186" s="69">
        <f t="shared" si="1831"/>
        <v>71.52712486962831</v>
      </c>
      <c r="BW186" s="69">
        <f t="shared" ref="BW186:BZ186" si="1832">BW182-BW185</f>
        <v>77.820530611729936</v>
      </c>
      <c r="BX186" s="69">
        <f t="shared" si="1832"/>
        <v>77.820530611729936</v>
      </c>
      <c r="BY186" s="69">
        <f t="shared" si="1832"/>
        <v>78.27301468146841</v>
      </c>
      <c r="BZ186" s="69">
        <f t="shared" si="1832"/>
        <v>78.27301468146841</v>
      </c>
      <c r="CA186" s="69">
        <f t="shared" ref="CA186:CD186" si="1833">CA182-CA185</f>
        <v>80.788644040534024</v>
      </c>
      <c r="CB186" s="69">
        <f t="shared" si="1833"/>
        <v>80.788644040534024</v>
      </c>
      <c r="CC186" s="69">
        <f t="shared" si="1833"/>
        <v>59.764961158133588</v>
      </c>
      <c r="CD186" s="69">
        <f t="shared" si="1833"/>
        <v>59.764961158133588</v>
      </c>
      <c r="CE186" s="69">
        <f t="shared" ref="CE186:CF186" si="1834">CE182-CE185</f>
        <v>70.686840253342723</v>
      </c>
      <c r="CF186" s="69">
        <f t="shared" si="1834"/>
        <v>70.686840253342723</v>
      </c>
      <c r="CG186" s="69">
        <f t="shared" ref="CG186:CI186" si="1835">CG182-CG185</f>
        <v>46.692833260648399</v>
      </c>
      <c r="CH186" s="69">
        <f t="shared" ref="CH186:CJ186" si="1836">CH182-CH185</f>
        <v>46.692833260648399</v>
      </c>
      <c r="CI186" s="69">
        <f t="shared" si="1835"/>
        <v>68.097937049801558</v>
      </c>
      <c r="CJ186" s="69">
        <f t="shared" si="1836"/>
        <v>68.09793704980153</v>
      </c>
      <c r="CK186" s="49">
        <f t="shared" ref="CK186:DA186" si="1837">CK182-CK185</f>
        <v>68.09793704980153</v>
      </c>
      <c r="CL186" s="69">
        <f t="shared" si="1837"/>
        <v>68.09793704980153</v>
      </c>
      <c r="CM186" s="49">
        <f t="shared" si="1837"/>
        <v>68.09793704980153</v>
      </c>
      <c r="CN186" s="49">
        <f t="shared" si="1837"/>
        <v>68.09793704980153</v>
      </c>
      <c r="CO186" s="49">
        <f t="shared" si="1837"/>
        <v>68.09793704980153</v>
      </c>
      <c r="CP186" s="49">
        <f t="shared" si="1837"/>
        <v>68.09793704980153</v>
      </c>
      <c r="CQ186" s="49">
        <f t="shared" si="1837"/>
        <v>68.09793704980153</v>
      </c>
      <c r="CR186" s="49">
        <f t="shared" si="1837"/>
        <v>68.09793704980153</v>
      </c>
      <c r="CS186" s="49">
        <f t="shared" si="1837"/>
        <v>68.09793704980153</v>
      </c>
      <c r="CT186" s="49">
        <f t="shared" si="1837"/>
        <v>68.09793704980153</v>
      </c>
      <c r="CU186" s="49">
        <f t="shared" si="1837"/>
        <v>68.09793704980153</v>
      </c>
      <c r="CV186" s="49">
        <f t="shared" si="1837"/>
        <v>68.09793704980153</v>
      </c>
      <c r="CW186" s="49">
        <f t="shared" si="1837"/>
        <v>68.09793704980153</v>
      </c>
      <c r="CX186" s="49">
        <f t="shared" si="1837"/>
        <v>68.09793704980153</v>
      </c>
      <c r="CY186" s="49">
        <f t="shared" si="1837"/>
        <v>68.09793704980153</v>
      </c>
      <c r="CZ186" s="49">
        <f t="shared" si="1837"/>
        <v>68.09793704980153</v>
      </c>
      <c r="DA186" s="49">
        <f t="shared" si="1837"/>
        <v>68.09793704980153</v>
      </c>
      <c r="DD186" s="137"/>
      <c r="DE186" s="7">
        <v>69.621666879801225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38">C10/B10-1</f>
        <v>#DIV/0!</v>
      </c>
      <c r="D188" s="85" t="e">
        <f t="shared" si="1838"/>
        <v>#DIV/0!</v>
      </c>
      <c r="E188" s="85">
        <f t="shared" si="1838"/>
        <v>0.1875635693896065</v>
      </c>
      <c r="F188" s="85">
        <f t="shared" si="1838"/>
        <v>2.980310121403118E-2</v>
      </c>
      <c r="G188" s="85">
        <f t="shared" si="1838"/>
        <v>9.8571624717559647E-2</v>
      </c>
      <c r="H188" s="85">
        <f t="shared" si="1838"/>
        <v>0.15789039607226707</v>
      </c>
      <c r="I188" s="85">
        <f t="shared" si="1838"/>
        <v>0.13843140799301845</v>
      </c>
      <c r="J188" s="85">
        <f t="shared" si="1838"/>
        <v>7.2733817816516666E-2</v>
      </c>
      <c r="K188" s="85">
        <f t="shared" si="1838"/>
        <v>-5.6194660771222038E-2</v>
      </c>
      <c r="L188" s="85">
        <f t="shared" si="1838"/>
        <v>0.23999644793603814</v>
      </c>
      <c r="M188" s="85">
        <f t="shared" si="1838"/>
        <v>0.12121218466631034</v>
      </c>
      <c r="N188" s="85">
        <f t="shared" si="1838"/>
        <v>0.12129785021784456</v>
      </c>
      <c r="O188" s="85">
        <f t="shared" si="1838"/>
        <v>0.20532501402140602</v>
      </c>
      <c r="P188" s="85">
        <f t="shared" si="1838"/>
        <v>0.12881929845442697</v>
      </c>
      <c r="Q188" s="85">
        <f t="shared" si="1838"/>
        <v>0.66271655935713181</v>
      </c>
      <c r="R188" s="85">
        <f t="shared" si="1838"/>
        <v>7.0568525463158061E-2</v>
      </c>
      <c r="S188" s="85">
        <f t="shared" si="1838"/>
        <v>-2.3022496445580631E-2</v>
      </c>
      <c r="T188" s="85">
        <f t="shared" si="1838"/>
        <v>0.11174845568312453</v>
      </c>
      <c r="U188" s="85">
        <f t="shared" si="1838"/>
        <v>9.7045733145180835E-2</v>
      </c>
      <c r="V188" s="85">
        <f t="shared" si="1838"/>
        <v>-5.2435955644137389E-2</v>
      </c>
      <c r="W188" s="85">
        <f t="shared" si="1838"/>
        <v>6.6016973240752286E-2</v>
      </c>
      <c r="X188" s="85">
        <f t="shared" si="1838"/>
        <v>0.13622927840078014</v>
      </c>
      <c r="Y188" s="85">
        <f t="shared" si="1838"/>
        <v>-0.14532069247582924</v>
      </c>
      <c r="Z188" s="85">
        <f t="shared" si="1838"/>
        <v>-1.1084787247395367E-2</v>
      </c>
      <c r="AA188" s="85">
        <f t="shared" si="1838"/>
        <v>-2.053403564997347E-2</v>
      </c>
      <c r="AB188" s="86">
        <f t="shared" si="1838"/>
        <v>-7.8134207983762138E-3</v>
      </c>
      <c r="AC188" s="86">
        <f t="shared" si="1838"/>
        <v>-9.0474708100389822E-3</v>
      </c>
      <c r="AD188" s="86">
        <f t="shared" si="1838"/>
        <v>-9.0769961469732152E-3</v>
      </c>
      <c r="AE188" s="86">
        <f t="shared" si="1838"/>
        <v>-9.0491199830383673E-3</v>
      </c>
      <c r="AN188" s="85">
        <f t="shared" ref="AN188:BS188" si="1839">+(AN10+AM10)/(AJ10+AI10)-1</f>
        <v>0.1838880681324413</v>
      </c>
      <c r="AO188" s="85">
        <f t="shared" si="1839"/>
        <v>0.21626286093594449</v>
      </c>
      <c r="AP188" s="85">
        <f t="shared" si="1839"/>
        <v>0.17783356654868721</v>
      </c>
      <c r="AQ188" s="85">
        <f t="shared" si="1839"/>
        <v>0.12556247187640635</v>
      </c>
      <c r="AR188" s="85">
        <f t="shared" si="1839"/>
        <v>0.1444248697056445</v>
      </c>
      <c r="AS188" s="85">
        <f t="shared" si="1839"/>
        <v>0.13607669777510956</v>
      </c>
      <c r="AT188" s="85">
        <f t="shared" si="1839"/>
        <v>0.31468604773052866</v>
      </c>
      <c r="AU188" s="85">
        <f t="shared" si="1839"/>
        <v>0.64442889743974185</v>
      </c>
      <c r="AV188" s="85">
        <f t="shared" si="1839"/>
        <v>0.70685673968121621</v>
      </c>
      <c r="AW188" s="85">
        <f t="shared" si="1839"/>
        <v>0.67616775288635522</v>
      </c>
      <c r="AX188" s="85">
        <f t="shared" si="1839"/>
        <v>0.39902990033222596</v>
      </c>
      <c r="AY188" s="85">
        <f t="shared" si="1839"/>
        <v>0.1115376823338734</v>
      </c>
      <c r="AZ188" s="85">
        <f t="shared" si="1839"/>
        <v>6.0398523153236905E-2</v>
      </c>
      <c r="BA188" s="85">
        <f t="shared" si="1839"/>
        <v>3.1325531406735108E-2</v>
      </c>
      <c r="BB188" s="85">
        <f t="shared" si="1839"/>
        <v>-1.8817025561138623E-2</v>
      </c>
      <c r="BC188" s="85">
        <f t="shared" si="1839"/>
        <v>-6.9342300717208372E-2</v>
      </c>
      <c r="BD188" s="85">
        <f t="shared" si="1839"/>
        <v>-6.2699340846268381E-2</v>
      </c>
      <c r="BE188" s="85">
        <f t="shared" si="1839"/>
        <v>2.5622024195490534E-2</v>
      </c>
      <c r="BF188" s="85">
        <f t="shared" si="1839"/>
        <v>7.7524783147459697E-2</v>
      </c>
      <c r="BG188" s="85">
        <f t="shared" si="1839"/>
        <v>0.12462544799357622</v>
      </c>
      <c r="BH188" s="85">
        <f t="shared" si="1839"/>
        <v>0.13906139231532699</v>
      </c>
      <c r="BI188" s="85">
        <f t="shared" si="1839"/>
        <v>0.10322434971098304</v>
      </c>
      <c r="BJ188" s="85">
        <f t="shared" si="1839"/>
        <v>0.11359879249622651</v>
      </c>
      <c r="BK188" s="85">
        <f t="shared" si="1839"/>
        <v>9.8250746632534858E-2</v>
      </c>
      <c r="BL188" s="85">
        <f t="shared" si="1839"/>
        <v>6.5406988805629451E-2</v>
      </c>
      <c r="BM188" s="85">
        <f t="shared" si="1839"/>
        <v>8.7033049799834616E-2</v>
      </c>
      <c r="BN188" s="85">
        <f t="shared" si="1839"/>
        <v>1.3295898279923835E-2</v>
      </c>
      <c r="BO188" s="85">
        <f t="shared" si="1839"/>
        <v>-3.3488460593183222E-2</v>
      </c>
      <c r="BP188" s="85">
        <f t="shared" si="1839"/>
        <v>3.3336189237395786E-2</v>
      </c>
      <c r="BQ188" s="85">
        <f t="shared" si="1839"/>
        <v>-6.340563337852112E-2</v>
      </c>
      <c r="BR188" s="85">
        <f t="shared" si="1839"/>
        <v>-5.2477785916749009E-2</v>
      </c>
      <c r="BS188" s="85">
        <f t="shared" si="1839"/>
        <v>6.2251351417860645E-2</v>
      </c>
      <c r="BT188" s="85">
        <f t="shared" ref="BT188:CL188" si="1840">+(BT10+BS10)/(BP10+BO10)-1</f>
        <v>3.5275761481581291E-3</v>
      </c>
      <c r="BU188" s="85">
        <f t="shared" si="1840"/>
        <v>6.9708349080499499E-2</v>
      </c>
      <c r="BV188" s="85">
        <f t="shared" si="1840"/>
        <v>0.16808537456409423</v>
      </c>
      <c r="BW188" s="85">
        <f t="shared" si="1840"/>
        <v>0.17467451234768117</v>
      </c>
      <c r="BX188" s="85">
        <f t="shared" si="1840"/>
        <v>0.17300224580695112</v>
      </c>
      <c r="BY188" s="85">
        <f t="shared" si="1840"/>
        <v>9.8804780876494247E-2</v>
      </c>
      <c r="BZ188" s="85">
        <f t="shared" si="1840"/>
        <v>-2.5782688766114337E-2</v>
      </c>
      <c r="CA188" s="85">
        <f t="shared" si="1840"/>
        <v>-0.15642461773097216</v>
      </c>
      <c r="CB188" s="85">
        <f t="shared" si="1840"/>
        <v>-0.17770378433758094</v>
      </c>
      <c r="CC188" s="85">
        <f t="shared" si="1840"/>
        <v>-0.13376523868813894</v>
      </c>
      <c r="CD188" s="85">
        <f t="shared" si="1840"/>
        <v>-0.10366700141776941</v>
      </c>
      <c r="CE188" s="85">
        <f t="shared" si="1840"/>
        <v>-2.6230683509581132E-2</v>
      </c>
      <c r="CF188" s="85">
        <f t="shared" si="1840"/>
        <v>6.0505536607018406E-3</v>
      </c>
      <c r="CG188" s="85">
        <f t="shared" si="1840"/>
        <v>4.2646954296681194E-3</v>
      </c>
      <c r="CH188" s="85">
        <f t="shared" si="1840"/>
        <v>1.251390204720515E-2</v>
      </c>
      <c r="CI188" s="85">
        <f t="shared" si="1840"/>
        <v>-2.1935545827765024E-2</v>
      </c>
      <c r="CJ188" s="85">
        <f t="shared" si="1840"/>
        <v>-4.2563566701497746E-2</v>
      </c>
      <c r="CK188" s="86"/>
      <c r="CL188" s="85">
        <f t="shared" si="1840"/>
        <v>5.3537720497298658E-3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-2.053403564997347E-2</v>
      </c>
    </row>
    <row r="189" spans="1:109" s="85" customFormat="1" x14ac:dyDescent="0.2">
      <c r="A189" s="85" t="s">
        <v>441</v>
      </c>
      <c r="C189" s="85" t="e">
        <f t="shared" ref="C189" si="1841">C186/B186-1</f>
        <v>#DIV/0!</v>
      </c>
      <c r="D189" s="85" t="e">
        <f t="shared" ref="D189" si="1842">D186/C186-1</f>
        <v>#DIV/0!</v>
      </c>
      <c r="E189" s="85">
        <f>E186/D186-1</f>
        <v>-0.29286769692120507</v>
      </c>
      <c r="F189" s="85">
        <f t="shared" ref="F189" si="1843">F186/E186-1</f>
        <v>0.45432876648541232</v>
      </c>
      <c r="G189" s="85">
        <f t="shared" ref="G189" si="1844">G186/F186-1</f>
        <v>0.32584829183859565</v>
      </c>
      <c r="H189" s="85">
        <f t="shared" ref="H189" si="1845">H186/G186-1</f>
        <v>-0.26047445654873458</v>
      </c>
      <c r="I189" s="85">
        <f t="shared" ref="I189" si="1846">I186/H186-1</f>
        <v>0.37610804745538018</v>
      </c>
      <c r="J189" s="85">
        <f t="shared" ref="J189" si="1847">J186/I186-1</f>
        <v>-0.31440739280410068</v>
      </c>
      <c r="K189" s="85">
        <f>K186/J186-1</f>
        <v>-6.7184740360303197E-2</v>
      </c>
      <c r="L189" s="85">
        <f t="shared" ref="L189" si="1848">L186/K186-1</f>
        <v>0.39763788382038179</v>
      </c>
      <c r="M189" s="85">
        <f t="shared" ref="M189" si="1849">M186/L186-1</f>
        <v>-0.16311619531582777</v>
      </c>
      <c r="N189" s="85">
        <f t="shared" ref="N189" si="1850">N186/M186-1</f>
        <v>7.0705991332884688E-2</v>
      </c>
      <c r="O189" s="85">
        <f t="shared" ref="O189" si="1851">O186/N186-1</f>
        <v>0.16118288105182921</v>
      </c>
      <c r="P189" s="85">
        <f t="shared" ref="P189" si="1852">P186/O186-1</f>
        <v>-3.7275475375652234E-2</v>
      </c>
      <c r="Q189" s="85">
        <f t="shared" ref="Q189" si="1853">Q186/P186-1</f>
        <v>-0.26206295820845027</v>
      </c>
      <c r="R189" s="85">
        <f t="shared" ref="R189" si="1854">R186/Q186-1</f>
        <v>0.11369614542620154</v>
      </c>
      <c r="S189" s="85">
        <f t="shared" ref="S189" si="1855">S186/R186-1</f>
        <v>0.46620635777520114</v>
      </c>
      <c r="T189" s="85">
        <f t="shared" ref="T189" si="1856">T186/S186-1</f>
        <v>5.0803380785496177E-2</v>
      </c>
      <c r="U189" s="85">
        <f t="shared" ref="U189" si="1857">U186/T186-1</f>
        <v>-8.778208269898824E-2</v>
      </c>
      <c r="V189" s="85">
        <f t="shared" ref="V189" si="1858">V186/U186-1</f>
        <v>-7.3322388492851331E-3</v>
      </c>
      <c r="W189" s="85">
        <f t="shared" ref="W189:AA189" si="1859">W186/V186-1</f>
        <v>0.18746388745260067</v>
      </c>
      <c r="X189" s="85">
        <f t="shared" si="1859"/>
        <v>8.4932497500226356E-2</v>
      </c>
      <c r="Y189" s="85">
        <f t="shared" si="1859"/>
        <v>-0.28840929267803239</v>
      </c>
      <c r="Z189" s="85">
        <f t="shared" si="1859"/>
        <v>1.5026201377910109E-3</v>
      </c>
      <c r="AA189" s="85">
        <f t="shared" si="1859"/>
        <v>-0.1523198663496278</v>
      </c>
      <c r="AB189" s="86">
        <f t="shared" ref="AB189" si="1860">AB186/AA186-1</f>
        <v>0.78237014936810079</v>
      </c>
      <c r="AC189" s="86">
        <f t="shared" ref="AC189" si="1861">AC186/AB186-1</f>
        <v>7.8139984206160307E-4</v>
      </c>
      <c r="AD189" s="86">
        <f t="shared" ref="AD189" si="1862">AD186/AC186-1</f>
        <v>1.6041915279685348E-4</v>
      </c>
      <c r="AE189" s="86">
        <f t="shared" ref="AE189" si="1863">AE186/AD186-1</f>
        <v>2.6201411638782091E-5</v>
      </c>
      <c r="AN189" s="85">
        <f t="shared" ref="AN189:CI189" si="1864">+AN186/AJ186-1</f>
        <v>0.20003121962303627</v>
      </c>
      <c r="AO189" s="85">
        <f t="shared" si="1864"/>
        <v>0.13835308547933356</v>
      </c>
      <c r="AP189" s="85">
        <f t="shared" si="1864"/>
        <v>0.13835308547933356</v>
      </c>
      <c r="AQ189" s="85">
        <f t="shared" si="1864"/>
        <v>3.0666263204615074E-2</v>
      </c>
      <c r="AR189" s="85">
        <f t="shared" si="1864"/>
        <v>3.0666263204615074E-2</v>
      </c>
      <c r="AS189" s="85">
        <f t="shared" si="1864"/>
        <v>6.7551666983999947E-2</v>
      </c>
      <c r="AT189" s="85">
        <f t="shared" si="1864"/>
        <v>6.7551666983999947E-2</v>
      </c>
      <c r="AU189" s="85">
        <f t="shared" si="1864"/>
        <v>-0.25048393973418004</v>
      </c>
      <c r="AV189" s="85">
        <f t="shared" si="1864"/>
        <v>-0.25048393973418004</v>
      </c>
      <c r="AW189" s="85">
        <f t="shared" si="1864"/>
        <v>-0.41451573363968419</v>
      </c>
      <c r="AX189" s="85">
        <f t="shared" si="1864"/>
        <v>-0.41451573363968419</v>
      </c>
      <c r="AY189" s="85">
        <f t="shared" si="1864"/>
        <v>-7.810418684904219E-2</v>
      </c>
      <c r="AZ189" s="85">
        <f t="shared" si="1864"/>
        <v>-7.810418684904219E-2</v>
      </c>
      <c r="BA189" s="85">
        <f t="shared" si="1864"/>
        <v>0.31345715789167827</v>
      </c>
      <c r="BB189" s="85">
        <f t="shared" si="1864"/>
        <v>0.31345715789167827</v>
      </c>
      <c r="BC189" s="85">
        <f t="shared" si="1864"/>
        <v>5.2475559432949348E-2</v>
      </c>
      <c r="BD189" s="85">
        <f t="shared" si="1864"/>
        <v>5.2475559432949348E-2</v>
      </c>
      <c r="BE189" s="85">
        <f t="shared" si="1864"/>
        <v>0.45677601467808593</v>
      </c>
      <c r="BF189" s="85">
        <f t="shared" si="1864"/>
        <v>0.45677601467808593</v>
      </c>
      <c r="BG189" s="85">
        <f t="shared" si="1864"/>
        <v>0.28638488802021689</v>
      </c>
      <c r="BH189" s="85">
        <f t="shared" si="1864"/>
        <v>0.28638488802021689</v>
      </c>
      <c r="BI189" s="85">
        <f t="shared" si="1864"/>
        <v>5.9131631077636415E-2</v>
      </c>
      <c r="BJ189" s="85">
        <f t="shared" si="1864"/>
        <v>5.9131631077636415E-2</v>
      </c>
      <c r="BK189" s="85">
        <f t="shared" si="1864"/>
        <v>-0.94503797049484106</v>
      </c>
      <c r="BL189" s="85">
        <f t="shared" si="1864"/>
        <v>-0.94503797049484106</v>
      </c>
      <c r="BM189" s="85">
        <f t="shared" si="1864"/>
        <v>-9.5966578062890773E-2</v>
      </c>
      <c r="BN189" s="85">
        <f t="shared" si="1864"/>
        <v>-9.5966578062890551E-2</v>
      </c>
      <c r="BO189" s="85">
        <f t="shared" si="1864"/>
        <v>15.688017041318666</v>
      </c>
      <c r="BP189" s="85">
        <f t="shared" si="1864"/>
        <v>15.688017041318666</v>
      </c>
      <c r="BQ189" s="85">
        <f t="shared" si="1864"/>
        <v>0.41554539696507797</v>
      </c>
      <c r="BR189" s="85">
        <f t="shared" si="1864"/>
        <v>0.41554539696507753</v>
      </c>
      <c r="BS189" s="85">
        <f t="shared" si="1864"/>
        <v>0.88827668611863486</v>
      </c>
      <c r="BT189" s="85">
        <f t="shared" si="1864"/>
        <v>0.88827668611863486</v>
      </c>
      <c r="BU189" s="85">
        <f t="shared" si="1864"/>
        <v>5.7467965884406391E-2</v>
      </c>
      <c r="BV189" s="85">
        <f t="shared" si="1864"/>
        <v>5.7467965884406391E-2</v>
      </c>
      <c r="BW189" s="85">
        <f t="shared" si="1864"/>
        <v>1.4585070241171838E-2</v>
      </c>
      <c r="BX189" s="85">
        <f t="shared" si="1864"/>
        <v>1.4585070241171838E-2</v>
      </c>
      <c r="BY189" s="85">
        <f t="shared" si="1864"/>
        <v>9.4312330100444486E-2</v>
      </c>
      <c r="BZ189" s="85">
        <f t="shared" si="1864"/>
        <v>9.4312330100444486E-2</v>
      </c>
      <c r="CA189" s="85">
        <f t="shared" si="1864"/>
        <v>3.8140493330903968E-2</v>
      </c>
      <c r="CB189" s="85">
        <f t="shared" si="1864"/>
        <v>3.8140493330903968E-2</v>
      </c>
      <c r="CC189" s="85">
        <f t="shared" si="1864"/>
        <v>-0.23645510012171167</v>
      </c>
      <c r="CD189" s="85">
        <f t="shared" si="1864"/>
        <v>-0.23645510012171167</v>
      </c>
      <c r="CE189" s="85">
        <f t="shared" si="1864"/>
        <v>-0.12503989771288815</v>
      </c>
      <c r="CF189" s="85">
        <f t="shared" si="1864"/>
        <v>-0.12503989771288815</v>
      </c>
      <c r="CG189" s="85">
        <f t="shared" si="1864"/>
        <v>-0.21872561521285561</v>
      </c>
      <c r="CH189" s="85">
        <f t="shared" si="1864"/>
        <v>-0.21872561521285561</v>
      </c>
      <c r="CI189" s="85">
        <f t="shared" si="1864"/>
        <v>-3.6624967168747302E-2</v>
      </c>
      <c r="CJ189" s="85">
        <f>+CJ186/CF186-1</f>
        <v>-3.6624967168747746E-2</v>
      </c>
      <c r="CK189" s="86"/>
      <c r="CL189" s="85">
        <f>+CL186/CH186-1</f>
        <v>0.45842375144951508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0.50680271292126777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>
        <f t="shared" ref="E190:U190" si="1865">IF(E189&gt;E188,"RF",0)</f>
        <v>0</v>
      </c>
      <c r="F190" s="102" t="str">
        <f t="shared" si="1865"/>
        <v>RF</v>
      </c>
      <c r="G190" s="102" t="str">
        <f t="shared" si="1865"/>
        <v>RF</v>
      </c>
      <c r="H190" s="102">
        <f t="shared" si="1865"/>
        <v>0</v>
      </c>
      <c r="I190" s="102" t="str">
        <f t="shared" si="1865"/>
        <v>RF</v>
      </c>
      <c r="J190" s="102">
        <f t="shared" si="1865"/>
        <v>0</v>
      </c>
      <c r="K190" s="102">
        <f t="shared" si="1865"/>
        <v>0</v>
      </c>
      <c r="L190" s="102" t="str">
        <f t="shared" si="1865"/>
        <v>RF</v>
      </c>
      <c r="M190" s="102">
        <f t="shared" si="1865"/>
        <v>0</v>
      </c>
      <c r="N190" s="102">
        <f t="shared" si="1865"/>
        <v>0</v>
      </c>
      <c r="O190" s="102">
        <f t="shared" si="1865"/>
        <v>0</v>
      </c>
      <c r="P190" s="102">
        <f t="shared" si="1865"/>
        <v>0</v>
      </c>
      <c r="Q190" s="102">
        <f t="shared" si="1865"/>
        <v>0</v>
      </c>
      <c r="R190" s="102" t="str">
        <f t="shared" si="1865"/>
        <v>RF</v>
      </c>
      <c r="S190" s="102" t="str">
        <f t="shared" si="1865"/>
        <v>RF</v>
      </c>
      <c r="T190" s="102">
        <f t="shared" si="1865"/>
        <v>0</v>
      </c>
      <c r="U190" s="102">
        <f t="shared" si="1865"/>
        <v>0</v>
      </c>
      <c r="V190" s="102" t="str">
        <f>IF(V189&gt;V188,"RF",0)</f>
        <v>RF</v>
      </c>
      <c r="W190" s="102" t="str">
        <f t="shared" ref="W190" si="1866">IF(W189&gt;W188,"RF",0)</f>
        <v>RF</v>
      </c>
      <c r="X190" s="102">
        <f t="shared" ref="X190:Y190" si="1867">IF(X189&gt;X188,"RF",0)</f>
        <v>0</v>
      </c>
      <c r="Y190" s="102">
        <f t="shared" si="1867"/>
        <v>0</v>
      </c>
      <c r="Z190" s="102" t="str">
        <f t="shared" ref="Z190:AA190" si="1868">IF(Z189&gt;Z188,"RF",0)</f>
        <v>RF</v>
      </c>
      <c r="AA190" s="102">
        <f t="shared" si="1868"/>
        <v>0</v>
      </c>
      <c r="AB190" s="72" t="str">
        <f t="shared" ref="AA190:AD190" si="1869">IF(AB189&gt;AB188,"RF",0)</f>
        <v>RF</v>
      </c>
      <c r="AC190" s="72" t="str">
        <f t="shared" si="1869"/>
        <v>RF</v>
      </c>
      <c r="AD190" s="72" t="str">
        <f t="shared" si="1869"/>
        <v>RF</v>
      </c>
      <c r="AE190" s="72" t="str">
        <f t="shared" ref="AE190" si="1870">IF(AE189&gt;AE188,"RF",0)</f>
        <v>RF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71">C48</f>
        <v>0</v>
      </c>
      <c r="D193" s="22">
        <f t="shared" si="1871"/>
        <v>25.146999999999998</v>
      </c>
      <c r="E193" s="22">
        <f t="shared" si="1871"/>
        <v>27.926399999999958</v>
      </c>
      <c r="F193" s="22">
        <f t="shared" si="1871"/>
        <v>24.109900000000025</v>
      </c>
      <c r="G193" s="22">
        <f t="shared" si="1871"/>
        <v>27.675100000000082</v>
      </c>
      <c r="H193" s="22">
        <f t="shared" si="1871"/>
        <v>39.935300000000012</v>
      </c>
      <c r="I193" s="22">
        <f t="shared" si="1871"/>
        <v>28.367499999999982</v>
      </c>
      <c r="J193" s="22">
        <f t="shared" si="1871"/>
        <v>21.28780000000004</v>
      </c>
      <c r="K193" s="22">
        <f t="shared" si="1871"/>
        <v>37.378499999999974</v>
      </c>
      <c r="L193" s="22">
        <f t="shared" si="1871"/>
        <v>48.123999999999995</v>
      </c>
      <c r="M193" s="22">
        <f t="shared" si="1871"/>
        <v>52.598899999999901</v>
      </c>
      <c r="N193" s="22">
        <f t="shared" si="1871"/>
        <v>45.075199999999931</v>
      </c>
      <c r="O193" s="22">
        <f t="shared" si="1871"/>
        <v>56.207399999999971</v>
      </c>
      <c r="P193" s="22">
        <f t="shared" si="1871"/>
        <v>66.603100000000097</v>
      </c>
      <c r="Q193" s="22">
        <f t="shared" si="1871"/>
        <v>76.931699999999992</v>
      </c>
      <c r="R193" s="22">
        <f t="shared" si="1871"/>
        <v>81.541099999999929</v>
      </c>
      <c r="S193" s="22">
        <f t="shared" si="1871"/>
        <v>63.615999999999758</v>
      </c>
      <c r="T193" s="22">
        <f t="shared" si="1871"/>
        <v>34.884900000000144</v>
      </c>
      <c r="U193" s="22">
        <f t="shared" si="1871"/>
        <v>170.03999999999976</v>
      </c>
      <c r="V193" s="22">
        <f t="shared" si="1871"/>
        <v>95.989999999999782</v>
      </c>
      <c r="W193" s="22">
        <f t="shared" si="1871"/>
        <v>-22.689999999999841</v>
      </c>
      <c r="X193" s="22">
        <f t="shared" si="1871"/>
        <v>49.639999999999823</v>
      </c>
      <c r="Y193" s="22">
        <f t="shared" si="1871"/>
        <v>409.62999999999971</v>
      </c>
      <c r="Z193" s="22">
        <f t="shared" si="1871"/>
        <v>87.969999999999899</v>
      </c>
      <c r="AA193" s="22">
        <f t="shared" ref="AA193" si="1872">AA48</f>
        <v>118.15999999999983</v>
      </c>
      <c r="AB193" s="23">
        <f t="shared" si="1871"/>
        <v>132.8669091196669</v>
      </c>
      <c r="AC193" s="23">
        <f t="shared" si="1871"/>
        <v>170.06629291528762</v>
      </c>
      <c r="AD193" s="23">
        <f t="shared" si="1871"/>
        <v>213.50278605656078</v>
      </c>
      <c r="AE193" s="23">
        <f t="shared" si="1871"/>
        <v>267.49821456170883</v>
      </c>
      <c r="AI193" s="22">
        <f t="shared" ref="AI193:BN193" si="1873">AI48</f>
        <v>13.359999999999964</v>
      </c>
      <c r="AJ193" s="22">
        <f t="shared" si="1873"/>
        <v>8.7799999999999656</v>
      </c>
      <c r="AK193" s="22">
        <f t="shared" si="1873"/>
        <v>10.030000000000022</v>
      </c>
      <c r="AL193" s="22">
        <f t="shared" si="1873"/>
        <v>15.629999999999983</v>
      </c>
      <c r="AM193" s="22">
        <f t="shared" si="1873"/>
        <v>14.770000000000024</v>
      </c>
      <c r="AN193" s="22">
        <f t="shared" si="1873"/>
        <v>9.1499999999999915</v>
      </c>
      <c r="AO193" s="22">
        <f t="shared" si="1873"/>
        <v>16.66</v>
      </c>
      <c r="AP193" s="22">
        <f t="shared" si="1873"/>
        <v>16.920000000000009</v>
      </c>
      <c r="AQ193" s="22">
        <f t="shared" si="1873"/>
        <v>18.669999999999963</v>
      </c>
      <c r="AR193" s="22">
        <f t="shared" si="1873"/>
        <v>13.219999999999992</v>
      </c>
      <c r="AS193" s="22">
        <f t="shared" si="1873"/>
        <v>17.790000000000017</v>
      </c>
      <c r="AT193" s="22">
        <f t="shared" si="1873"/>
        <v>20.479999999999944</v>
      </c>
      <c r="AU193" s="22">
        <f t="shared" si="1873"/>
        <v>19.920000000000087</v>
      </c>
      <c r="AV193" s="22">
        <f t="shared" si="1873"/>
        <v>15.969999999999922</v>
      </c>
      <c r="AW193" s="22">
        <f t="shared" si="1873"/>
        <v>20.559999999999928</v>
      </c>
      <c r="AX193" s="22">
        <f t="shared" si="1873"/>
        <v>34.279999999999973</v>
      </c>
      <c r="AY193" s="22">
        <f t="shared" si="1873"/>
        <v>18.260000000000016</v>
      </c>
      <c r="AZ193" s="22">
        <f t="shared" si="1873"/>
        <v>16.789999999999839</v>
      </c>
      <c r="BA193" s="22">
        <f t="shared" si="1873"/>
        <v>15.249999999999934</v>
      </c>
      <c r="BB193" s="22">
        <f t="shared" si="1873"/>
        <v>16.320000000000075</v>
      </c>
      <c r="BC193" s="22">
        <f t="shared" si="1873"/>
        <v>7.229999999999916</v>
      </c>
      <c r="BD193" s="22">
        <f t="shared" si="1873"/>
        <v>19.12999999999996</v>
      </c>
      <c r="BE193" s="22">
        <f t="shared" si="1873"/>
        <v>20.940000000000012</v>
      </c>
      <c r="BF193" s="22">
        <f t="shared" si="1873"/>
        <v>17.800000000000033</v>
      </c>
      <c r="BG193" s="22">
        <f t="shared" si="1873"/>
        <v>14.249999999999993</v>
      </c>
      <c r="BH193" s="22">
        <f t="shared" si="1873"/>
        <v>-15.120000000000012</v>
      </c>
      <c r="BI193" s="22">
        <f t="shared" si="1873"/>
        <v>17.960000000000115</v>
      </c>
      <c r="BJ193" s="22">
        <f t="shared" si="1873"/>
        <v>42.030000000000058</v>
      </c>
      <c r="BK193" s="22">
        <f t="shared" si="1873"/>
        <v>27.929999999999982</v>
      </c>
      <c r="BL193" s="22">
        <f t="shared" si="1873"/>
        <v>31.899999999999988</v>
      </c>
      <c r="BM193" s="22">
        <f t="shared" si="1873"/>
        <v>68.180000000000135</v>
      </c>
      <c r="BN193" s="22">
        <f t="shared" si="1873"/>
        <v>27.309999999999981</v>
      </c>
      <c r="BO193" s="22">
        <f t="shared" ref="BO193:CT193" si="1874">BO48</f>
        <v>26.720000000000041</v>
      </c>
      <c r="BP193" s="22">
        <f t="shared" si="1874"/>
        <v>36.879999999999924</v>
      </c>
      <c r="BQ193" s="22">
        <f t="shared" si="1874"/>
        <v>5.0799999999999805</v>
      </c>
      <c r="BR193" s="22">
        <f t="shared" si="1874"/>
        <v>16.170000000000066</v>
      </c>
      <c r="BS193" s="22">
        <f t="shared" si="1874"/>
        <v>-3.5000000000000782</v>
      </c>
      <c r="BT193" s="22">
        <f t="shared" si="1874"/>
        <v>-21.840000000000142</v>
      </c>
      <c r="BU193" s="22">
        <f t="shared" si="1874"/>
        <v>-13.519999999999921</v>
      </c>
      <c r="BV193" s="22">
        <f t="shared" si="1874"/>
        <v>24.610000000000174</v>
      </c>
      <c r="BW193" s="22">
        <f t="shared" si="1874"/>
        <v>8.1500000000000377</v>
      </c>
      <c r="BX193" s="22">
        <f t="shared" si="1874"/>
        <v>4.0000000000043556E-2</v>
      </c>
      <c r="BY193" s="22">
        <f t="shared" si="1874"/>
        <v>16.840000000000021</v>
      </c>
      <c r="BZ193" s="22">
        <f t="shared" si="1874"/>
        <v>35.489999999999995</v>
      </c>
      <c r="CA193" s="22">
        <f t="shared" si="1874"/>
        <v>14.460000000000026</v>
      </c>
      <c r="CB193" s="22">
        <f t="shared" si="1874"/>
        <v>32.270000000000003</v>
      </c>
      <c r="CC193" s="22">
        <f t="shared" si="1874"/>
        <v>327.42</v>
      </c>
      <c r="CD193" s="22">
        <f t="shared" si="1874"/>
        <v>26.029999999999955</v>
      </c>
      <c r="CE193" s="22">
        <f t="shared" si="1874"/>
        <v>38.540000000000099</v>
      </c>
      <c r="CF193" s="22">
        <f t="shared" si="1874"/>
        <v>11.709999999999985</v>
      </c>
      <c r="CG193" s="22">
        <f t="shared" si="1874"/>
        <v>11.690000000000007</v>
      </c>
      <c r="CH193" s="22">
        <f t="shared" si="1874"/>
        <v>26.15000000000002</v>
      </c>
      <c r="CI193" s="22">
        <f t="shared" si="1874"/>
        <v>24.939999999999976</v>
      </c>
      <c r="CJ193" s="22">
        <f t="shared" si="1874"/>
        <v>36.769999999999904</v>
      </c>
      <c r="CK193" s="23">
        <f t="shared" si="1874"/>
        <v>30.300000000000011</v>
      </c>
      <c r="CL193" s="22">
        <f t="shared" ref="CL193" si="1875">CL48</f>
        <v>25.600000000000037</v>
      </c>
      <c r="CM193" s="23">
        <f t="shared" si="1874"/>
        <v>32.764750711845046</v>
      </c>
      <c r="CN193" s="23">
        <f t="shared" si="1874"/>
        <v>37.031466917175059</v>
      </c>
      <c r="CO193" s="23">
        <f t="shared" si="1874"/>
        <v>37.470691490646928</v>
      </c>
      <c r="CP193" s="23">
        <f t="shared" si="1874"/>
        <v>37.825631931161467</v>
      </c>
      <c r="CQ193" s="23">
        <f t="shared" si="1874"/>
        <v>40.884500871608935</v>
      </c>
      <c r="CR193" s="23">
        <f t="shared" si="1874"/>
        <v>44.804302192054301</v>
      </c>
      <c r="CS193" s="23">
        <f t="shared" si="1874"/>
        <v>46.551857920462794</v>
      </c>
      <c r="CT193" s="23">
        <f t="shared" si="1874"/>
        <v>48.426216039850644</v>
      </c>
      <c r="CU193" s="23">
        <f t="shared" ref="CU193:DA193" si="1876">CU48</f>
        <v>51.140522020648575</v>
      </c>
      <c r="CV193" s="23">
        <f t="shared" si="1876"/>
        <v>55.663398098796357</v>
      </c>
      <c r="CW193" s="23">
        <f t="shared" si="1876"/>
        <v>58.272649897265467</v>
      </c>
      <c r="CX193" s="23">
        <f t="shared" si="1876"/>
        <v>60.899287527400617</v>
      </c>
      <c r="CY193" s="23">
        <f t="shared" si="1876"/>
        <v>64.177567279501432</v>
      </c>
      <c r="CZ193" s="23">
        <f t="shared" si="1876"/>
        <v>69.481207599206471</v>
      </c>
      <c r="DA193" s="23">
        <f t="shared" si="1876"/>
        <v>72.940152155600373</v>
      </c>
      <c r="DD193" s="122"/>
      <c r="DE193" s="22">
        <v>118.15999999999971</v>
      </c>
    </row>
    <row r="194" spans="1:109" s="22" customFormat="1" x14ac:dyDescent="0.2">
      <c r="A194" s="22" t="s">
        <v>88</v>
      </c>
      <c r="C194" s="22">
        <f t="shared" ref="C194:AE194" si="1877">C32</f>
        <v>0</v>
      </c>
      <c r="D194" s="22">
        <f t="shared" si="1877"/>
        <v>19.819700000000001</v>
      </c>
      <c r="E194" s="22">
        <f t="shared" si="1877"/>
        <v>21.509799999999998</v>
      </c>
      <c r="F194" s="22">
        <f t="shared" si="1877"/>
        <v>22.0886</v>
      </c>
      <c r="G194" s="22">
        <f t="shared" si="1877"/>
        <v>24.936</v>
      </c>
      <c r="H194" s="22">
        <f t="shared" si="1877"/>
        <v>23.059000000000001</v>
      </c>
      <c r="I194" s="22">
        <f t="shared" si="1877"/>
        <v>28.8597</v>
      </c>
      <c r="J194" s="22">
        <f t="shared" si="1877"/>
        <v>28.616399999999999</v>
      </c>
      <c r="K194" s="22">
        <f t="shared" si="1877"/>
        <v>31.146699999999999</v>
      </c>
      <c r="L194" s="22">
        <f t="shared" si="1877"/>
        <v>32.396700000000003</v>
      </c>
      <c r="M194" s="22">
        <f t="shared" si="1877"/>
        <v>32.0456</v>
      </c>
      <c r="N194" s="22">
        <f t="shared" si="1877"/>
        <v>35.652799999999999</v>
      </c>
      <c r="O194" s="22">
        <f t="shared" si="1877"/>
        <v>42.017400000000002</v>
      </c>
      <c r="P194" s="22">
        <f t="shared" si="1877"/>
        <v>43.857799999999997</v>
      </c>
      <c r="Q194" s="22">
        <f t="shared" si="1877"/>
        <v>90.530100000000004</v>
      </c>
      <c r="R194" s="22">
        <f t="shared" si="1877"/>
        <v>92.757800000000003</v>
      </c>
      <c r="S194" s="22">
        <f t="shared" si="1877"/>
        <v>85.245900000000006</v>
      </c>
      <c r="T194" s="22">
        <f t="shared" si="1877"/>
        <v>85.363</v>
      </c>
      <c r="U194" s="22">
        <f t="shared" si="1877"/>
        <v>86.93</v>
      </c>
      <c r="V194" s="22">
        <f t="shared" si="1877"/>
        <v>97.93</v>
      </c>
      <c r="W194" s="22">
        <f t="shared" si="1877"/>
        <v>92.16</v>
      </c>
      <c r="X194" s="22">
        <f t="shared" si="1877"/>
        <v>86.05</v>
      </c>
      <c r="Y194" s="22">
        <f t="shared" si="1877"/>
        <v>49.15</v>
      </c>
      <c r="Z194" s="22">
        <f t="shared" si="1877"/>
        <v>47.48</v>
      </c>
      <c r="AA194" s="22">
        <f t="shared" ref="AA194" si="1878">AA32</f>
        <v>52.16</v>
      </c>
      <c r="AB194" s="23">
        <f t="shared" si="1877"/>
        <v>94.04</v>
      </c>
      <c r="AC194" s="23">
        <f t="shared" si="1877"/>
        <v>94.04</v>
      </c>
      <c r="AD194" s="23">
        <f t="shared" si="1877"/>
        <v>94.04</v>
      </c>
      <c r="AE194" s="23">
        <f t="shared" si="1877"/>
        <v>94.04</v>
      </c>
      <c r="AI194" s="22">
        <f t="shared" ref="AI194:BN194" si="1879">AI32</f>
        <v>8.64</v>
      </c>
      <c r="AJ194" s="22">
        <f t="shared" si="1879"/>
        <v>8.74</v>
      </c>
      <c r="AK194" s="22">
        <f t="shared" si="1879"/>
        <v>9.82</v>
      </c>
      <c r="AL194" s="22">
        <f t="shared" si="1879"/>
        <v>10.26</v>
      </c>
      <c r="AM194" s="22">
        <f t="shared" si="1879"/>
        <v>10.39</v>
      </c>
      <c r="AN194" s="22">
        <f t="shared" si="1879"/>
        <v>10.6</v>
      </c>
      <c r="AO194" s="22">
        <f t="shared" si="1879"/>
        <v>10.77</v>
      </c>
      <c r="AP194" s="22">
        <f t="shared" si="1879"/>
        <v>10.93</v>
      </c>
      <c r="AQ194" s="22">
        <f t="shared" si="1879"/>
        <v>10.91</v>
      </c>
      <c r="AR194" s="22">
        <f t="shared" si="1879"/>
        <v>10.82</v>
      </c>
      <c r="AS194" s="22">
        <f t="shared" si="1879"/>
        <v>11.2</v>
      </c>
      <c r="AT194" s="22">
        <f t="shared" si="1879"/>
        <v>19.91</v>
      </c>
      <c r="AU194" s="22">
        <f t="shared" si="1879"/>
        <v>23.7</v>
      </c>
      <c r="AV194" s="22">
        <f t="shared" si="1879"/>
        <v>23.67</v>
      </c>
      <c r="AW194" s="22">
        <f t="shared" si="1879"/>
        <v>23.25</v>
      </c>
      <c r="AX194" s="22">
        <f t="shared" si="1879"/>
        <v>23.18</v>
      </c>
      <c r="AY194" s="22">
        <f t="shared" si="1879"/>
        <v>22.97</v>
      </c>
      <c r="AZ194" s="22">
        <f t="shared" si="1879"/>
        <v>23.06</v>
      </c>
      <c r="BA194" s="22">
        <f t="shared" si="1879"/>
        <v>21.77</v>
      </c>
      <c r="BB194" s="22">
        <f t="shared" si="1879"/>
        <v>20.63</v>
      </c>
      <c r="BC194" s="22">
        <f t="shared" si="1879"/>
        <v>22.1</v>
      </c>
      <c r="BD194" s="22">
        <f t="shared" si="1879"/>
        <v>21.36</v>
      </c>
      <c r="BE194" s="22">
        <f t="shared" si="1879"/>
        <v>21.16</v>
      </c>
      <c r="BF194" s="22">
        <f t="shared" si="1879"/>
        <v>20.02</v>
      </c>
      <c r="BG194" s="22">
        <f t="shared" si="1879"/>
        <v>20.72</v>
      </c>
      <c r="BH194" s="22">
        <f t="shared" si="1879"/>
        <v>22.59</v>
      </c>
      <c r="BI194" s="22">
        <f t="shared" si="1879"/>
        <v>22.03</v>
      </c>
      <c r="BJ194" s="22">
        <f t="shared" si="1879"/>
        <v>21.6</v>
      </c>
      <c r="BK194" s="22">
        <f t="shared" si="1879"/>
        <v>21.44</v>
      </c>
      <c r="BL194" s="22">
        <f t="shared" si="1879"/>
        <v>21.86</v>
      </c>
      <c r="BM194" s="22">
        <f t="shared" si="1879"/>
        <v>22.03</v>
      </c>
      <c r="BN194" s="22">
        <f t="shared" si="1879"/>
        <v>24.81</v>
      </c>
      <c r="BO194" s="22">
        <f t="shared" ref="BO194:CT194" si="1880">BO32</f>
        <v>24.74</v>
      </c>
      <c r="BP194" s="22">
        <f t="shared" si="1880"/>
        <v>24.54</v>
      </c>
      <c r="BQ194" s="22">
        <f t="shared" si="1880"/>
        <v>23.84</v>
      </c>
      <c r="BR194" s="22">
        <f t="shared" si="1880"/>
        <v>23</v>
      </c>
      <c r="BS194" s="22">
        <f t="shared" si="1880"/>
        <v>23.53</v>
      </c>
      <c r="BT194" s="22">
        <f t="shared" si="1880"/>
        <v>23.04</v>
      </c>
      <c r="BU194" s="22">
        <f t="shared" si="1880"/>
        <v>22.59</v>
      </c>
      <c r="BV194" s="22">
        <f t="shared" si="1880"/>
        <v>22.09</v>
      </c>
      <c r="BW194" s="22">
        <f t="shared" si="1880"/>
        <v>21.95</v>
      </c>
      <c r="BX194" s="22">
        <f t="shared" si="1880"/>
        <v>21.03</v>
      </c>
      <c r="BY194" s="22">
        <f t="shared" si="1880"/>
        <v>20.98</v>
      </c>
      <c r="BZ194" s="22">
        <f t="shared" si="1880"/>
        <v>15.59</v>
      </c>
      <c r="CA194" s="22">
        <f t="shared" si="1880"/>
        <v>11.55</v>
      </c>
      <c r="CB194" s="22">
        <f t="shared" si="1880"/>
        <v>10.83</v>
      </c>
      <c r="CC194" s="22">
        <f t="shared" si="1880"/>
        <v>11.18</v>
      </c>
      <c r="CD194" s="22">
        <f t="shared" si="1880"/>
        <v>9.52</v>
      </c>
      <c r="CE194" s="22">
        <f t="shared" si="1880"/>
        <v>11.95</v>
      </c>
      <c r="CF194" s="22">
        <f t="shared" si="1880"/>
        <v>12.19</v>
      </c>
      <c r="CG194" s="22">
        <f t="shared" si="1880"/>
        <v>13.82</v>
      </c>
      <c r="CH194" s="22">
        <f t="shared" si="1880"/>
        <v>12.68</v>
      </c>
      <c r="CI194" s="22">
        <f t="shared" si="1880"/>
        <v>13.09</v>
      </c>
      <c r="CJ194" s="22">
        <f t="shared" si="1880"/>
        <v>12.81</v>
      </c>
      <c r="CK194" s="23">
        <f t="shared" si="1880"/>
        <v>13.58</v>
      </c>
      <c r="CL194" s="22">
        <f t="shared" ref="CL194" si="1881">CL32</f>
        <v>23.51</v>
      </c>
      <c r="CM194" s="23">
        <f t="shared" si="1880"/>
        <v>23.51</v>
      </c>
      <c r="CN194" s="23">
        <f t="shared" si="1880"/>
        <v>23.51</v>
      </c>
      <c r="CO194" s="23">
        <f t="shared" si="1880"/>
        <v>23.51</v>
      </c>
      <c r="CP194" s="23">
        <f t="shared" si="1880"/>
        <v>23.51</v>
      </c>
      <c r="CQ194" s="23">
        <f t="shared" si="1880"/>
        <v>23.51</v>
      </c>
      <c r="CR194" s="23">
        <f t="shared" si="1880"/>
        <v>23.51</v>
      </c>
      <c r="CS194" s="23">
        <f t="shared" si="1880"/>
        <v>23.51</v>
      </c>
      <c r="CT194" s="23">
        <f t="shared" si="1880"/>
        <v>23.51</v>
      </c>
      <c r="CU194" s="23">
        <f t="shared" ref="CU194:DA194" si="1882">CU32</f>
        <v>23.51</v>
      </c>
      <c r="CV194" s="23">
        <f t="shared" si="1882"/>
        <v>23.51</v>
      </c>
      <c r="CW194" s="23">
        <f t="shared" si="1882"/>
        <v>23.51</v>
      </c>
      <c r="CX194" s="23">
        <f t="shared" si="1882"/>
        <v>23.51</v>
      </c>
      <c r="CY194" s="23">
        <f t="shared" si="1882"/>
        <v>23.51</v>
      </c>
      <c r="CZ194" s="23">
        <f t="shared" si="1882"/>
        <v>23.51</v>
      </c>
      <c r="DA194" s="23">
        <f t="shared" si="1882"/>
        <v>23.51</v>
      </c>
      <c r="DD194" s="122"/>
      <c r="DE194" s="22">
        <v>52.16</v>
      </c>
    </row>
    <row r="195" spans="1:109" s="21" customFormat="1" x14ac:dyDescent="0.2">
      <c r="A195" s="21" t="s">
        <v>89</v>
      </c>
      <c r="C195" s="21">
        <f t="shared" ref="C195:W195" si="1883">C193+C194</f>
        <v>0</v>
      </c>
      <c r="D195" s="21">
        <f t="shared" si="1883"/>
        <v>44.966700000000003</v>
      </c>
      <c r="E195" s="21">
        <f t="shared" si="1883"/>
        <v>49.436199999999957</v>
      </c>
      <c r="F195" s="21">
        <f t="shared" si="1883"/>
        <v>46.198500000000024</v>
      </c>
      <c r="G195" s="21">
        <f t="shared" si="1883"/>
        <v>52.611100000000079</v>
      </c>
      <c r="H195" s="21">
        <f t="shared" si="1883"/>
        <v>62.99430000000001</v>
      </c>
      <c r="I195" s="21">
        <f t="shared" si="1883"/>
        <v>57.227199999999982</v>
      </c>
      <c r="J195" s="21">
        <f t="shared" si="1883"/>
        <v>49.904200000000039</v>
      </c>
      <c r="K195" s="21">
        <f t="shared" si="1883"/>
        <v>68.52519999999997</v>
      </c>
      <c r="L195" s="21">
        <f t="shared" si="1883"/>
        <v>80.520700000000005</v>
      </c>
      <c r="M195" s="21">
        <f t="shared" si="1883"/>
        <v>84.644499999999908</v>
      </c>
      <c r="N195" s="21">
        <f t="shared" si="1883"/>
        <v>80.727999999999923</v>
      </c>
      <c r="O195" s="21">
        <f t="shared" si="1883"/>
        <v>98.224799999999973</v>
      </c>
      <c r="P195" s="21">
        <f t="shared" si="1883"/>
        <v>110.46090000000009</v>
      </c>
      <c r="Q195" s="21">
        <f t="shared" si="1883"/>
        <v>167.46179999999998</v>
      </c>
      <c r="R195" s="21">
        <f t="shared" si="1883"/>
        <v>174.29889999999995</v>
      </c>
      <c r="S195" s="21">
        <f t="shared" si="1883"/>
        <v>148.86189999999976</v>
      </c>
      <c r="T195" s="21">
        <f t="shared" si="1883"/>
        <v>120.24790000000014</v>
      </c>
      <c r="U195" s="21">
        <f t="shared" si="1883"/>
        <v>256.9699999999998</v>
      </c>
      <c r="V195" s="21">
        <f t="shared" si="1883"/>
        <v>193.91999999999979</v>
      </c>
      <c r="W195" s="21">
        <f t="shared" si="1883"/>
        <v>69.470000000000155</v>
      </c>
      <c r="X195" s="21">
        <f t="shared" ref="X195:Y195" si="1884">X193+X194</f>
        <v>135.68999999999983</v>
      </c>
      <c r="Y195" s="21">
        <f t="shared" si="1884"/>
        <v>458.77999999999969</v>
      </c>
      <c r="Z195" s="21">
        <f t="shared" ref="Z195:AA195" si="1885">Z193+Z194</f>
        <v>135.4499999999999</v>
      </c>
      <c r="AA195" s="21">
        <f t="shared" si="1885"/>
        <v>170.31999999999982</v>
      </c>
      <c r="AB195" s="20">
        <f t="shared" ref="AA195:AD195" si="1886">AB193+AB194</f>
        <v>226.90690911966692</v>
      </c>
      <c r="AC195" s="20">
        <f t="shared" si="1886"/>
        <v>264.10629291528761</v>
      </c>
      <c r="AD195" s="20">
        <f t="shared" si="1886"/>
        <v>307.54278605656077</v>
      </c>
      <c r="AE195" s="20">
        <f t="shared" ref="AE195" si="1887">AE193+AE194</f>
        <v>361.53821456170886</v>
      </c>
      <c r="AI195" s="21">
        <f t="shared" ref="AI195" si="1888">AI193+AI194</f>
        <v>21.999999999999964</v>
      </c>
      <c r="AJ195" s="21">
        <f t="shared" ref="AJ195:AL195" si="1889">AJ193+AJ194</f>
        <v>17.519999999999968</v>
      </c>
      <c r="AK195" s="21">
        <f t="shared" si="1889"/>
        <v>19.850000000000023</v>
      </c>
      <c r="AL195" s="21">
        <f t="shared" si="1889"/>
        <v>25.889999999999983</v>
      </c>
      <c r="AM195" s="21">
        <f t="shared" ref="AM195" si="1890">AM193+AM194</f>
        <v>25.160000000000025</v>
      </c>
      <c r="AN195" s="21">
        <f t="shared" ref="AN195:CD195" si="1891">AN193+AN194</f>
        <v>19.749999999999993</v>
      </c>
      <c r="AO195" s="21">
        <f t="shared" si="1891"/>
        <v>27.43</v>
      </c>
      <c r="AP195" s="21">
        <f t="shared" si="1891"/>
        <v>27.850000000000009</v>
      </c>
      <c r="AQ195" s="21">
        <f t="shared" si="1891"/>
        <v>29.579999999999963</v>
      </c>
      <c r="AR195" s="21">
        <f t="shared" si="1891"/>
        <v>24.039999999999992</v>
      </c>
      <c r="AS195" s="21">
        <f t="shared" si="1891"/>
        <v>28.990000000000016</v>
      </c>
      <c r="AT195" s="21">
        <f t="shared" si="1891"/>
        <v>40.389999999999944</v>
      </c>
      <c r="AU195" s="21">
        <f t="shared" si="1891"/>
        <v>43.62000000000009</v>
      </c>
      <c r="AV195" s="21">
        <f t="shared" si="1891"/>
        <v>39.639999999999922</v>
      </c>
      <c r="AW195" s="21">
        <f t="shared" si="1891"/>
        <v>43.809999999999931</v>
      </c>
      <c r="AX195" s="21">
        <f t="shared" si="1891"/>
        <v>57.459999999999972</v>
      </c>
      <c r="AY195" s="21">
        <f t="shared" si="1891"/>
        <v>41.230000000000018</v>
      </c>
      <c r="AZ195" s="21">
        <f t="shared" si="1891"/>
        <v>39.849999999999838</v>
      </c>
      <c r="BA195" s="21">
        <f t="shared" si="1891"/>
        <v>37.019999999999932</v>
      </c>
      <c r="BB195" s="21">
        <f t="shared" si="1891"/>
        <v>36.950000000000074</v>
      </c>
      <c r="BC195" s="21">
        <f t="shared" si="1891"/>
        <v>29.329999999999917</v>
      </c>
      <c r="BD195" s="21">
        <f t="shared" si="1891"/>
        <v>40.489999999999959</v>
      </c>
      <c r="BE195" s="21">
        <f t="shared" si="1891"/>
        <v>42.100000000000009</v>
      </c>
      <c r="BF195" s="21">
        <f t="shared" si="1891"/>
        <v>37.820000000000036</v>
      </c>
      <c r="BG195" s="21">
        <f t="shared" si="1891"/>
        <v>34.969999999999992</v>
      </c>
      <c r="BH195" s="21">
        <f t="shared" si="1891"/>
        <v>7.4699999999999882</v>
      </c>
      <c r="BI195" s="21">
        <f t="shared" si="1891"/>
        <v>39.990000000000116</v>
      </c>
      <c r="BJ195" s="21">
        <f t="shared" si="1891"/>
        <v>63.630000000000059</v>
      </c>
      <c r="BK195" s="21">
        <f t="shared" si="1891"/>
        <v>49.369999999999983</v>
      </c>
      <c r="BL195" s="21">
        <f t="shared" si="1891"/>
        <v>53.759999999999991</v>
      </c>
      <c r="BM195" s="21">
        <f t="shared" si="1891"/>
        <v>90.210000000000136</v>
      </c>
      <c r="BN195" s="21">
        <f t="shared" si="1891"/>
        <v>52.119999999999976</v>
      </c>
      <c r="BO195" s="21">
        <f t="shared" si="1891"/>
        <v>51.460000000000036</v>
      </c>
      <c r="BP195" s="21">
        <f t="shared" si="1891"/>
        <v>61.419999999999924</v>
      </c>
      <c r="BQ195" s="21">
        <f t="shared" si="1891"/>
        <v>28.91999999999998</v>
      </c>
      <c r="BR195" s="21">
        <f t="shared" si="1891"/>
        <v>39.170000000000066</v>
      </c>
      <c r="BS195" s="21">
        <f t="shared" si="1891"/>
        <v>20.029999999999923</v>
      </c>
      <c r="BT195" s="21">
        <f t="shared" si="1891"/>
        <v>1.1999999999998572</v>
      </c>
      <c r="BU195" s="21">
        <f t="shared" si="1891"/>
        <v>9.0700000000000784</v>
      </c>
      <c r="BV195" s="21">
        <f t="shared" si="1891"/>
        <v>46.700000000000173</v>
      </c>
      <c r="BW195" s="21">
        <f t="shared" si="1891"/>
        <v>30.100000000000037</v>
      </c>
      <c r="BX195" s="21">
        <f t="shared" si="1891"/>
        <v>21.070000000000043</v>
      </c>
      <c r="BY195" s="21">
        <f t="shared" si="1891"/>
        <v>37.820000000000022</v>
      </c>
      <c r="BZ195" s="21">
        <f t="shared" si="1891"/>
        <v>51.08</v>
      </c>
      <c r="CA195" s="21">
        <f t="shared" si="1891"/>
        <v>26.010000000000026</v>
      </c>
      <c r="CB195" s="21">
        <f t="shared" si="1891"/>
        <v>43.1</v>
      </c>
      <c r="CC195" s="21">
        <f t="shared" si="1891"/>
        <v>338.6</v>
      </c>
      <c r="CD195" s="21">
        <f t="shared" si="1891"/>
        <v>35.549999999999955</v>
      </c>
      <c r="CE195" s="21">
        <f t="shared" ref="CE195:CF195" si="1892">CE193+CE194</f>
        <v>50.490000000000094</v>
      </c>
      <c r="CF195" s="21">
        <f t="shared" si="1892"/>
        <v>23.899999999999984</v>
      </c>
      <c r="CG195" s="21">
        <f t="shared" ref="CG195:CH195" si="1893">CG193+CG194</f>
        <v>25.510000000000005</v>
      </c>
      <c r="CH195" s="21">
        <f t="shared" si="1893"/>
        <v>38.83000000000002</v>
      </c>
      <c r="CI195" s="21">
        <f t="shared" ref="CI195:CJ195" si="1894">CI193+CI194</f>
        <v>38.029999999999973</v>
      </c>
      <c r="CJ195" s="21">
        <f t="shared" si="1894"/>
        <v>49.579999999999906</v>
      </c>
      <c r="CK195" s="20">
        <f t="shared" ref="CK195:DA195" si="1895">CK193+CK194</f>
        <v>43.88000000000001</v>
      </c>
      <c r="CL195" s="21">
        <f t="shared" si="1895"/>
        <v>49.110000000000042</v>
      </c>
      <c r="CM195" s="20">
        <f t="shared" si="1895"/>
        <v>56.274750711845044</v>
      </c>
      <c r="CN195" s="20">
        <f t="shared" si="1895"/>
        <v>60.541466917175057</v>
      </c>
      <c r="CO195" s="20">
        <f t="shared" si="1895"/>
        <v>60.980691490646933</v>
      </c>
      <c r="CP195" s="20">
        <f t="shared" si="1895"/>
        <v>61.335631931161473</v>
      </c>
      <c r="CQ195" s="20">
        <f t="shared" si="1895"/>
        <v>64.39450087160894</v>
      </c>
      <c r="CR195" s="20">
        <f t="shared" si="1895"/>
        <v>68.314302192054299</v>
      </c>
      <c r="CS195" s="20">
        <f t="shared" si="1895"/>
        <v>70.061857920462799</v>
      </c>
      <c r="CT195" s="20">
        <f t="shared" si="1895"/>
        <v>71.936216039850649</v>
      </c>
      <c r="CU195" s="20">
        <f t="shared" si="1895"/>
        <v>74.65052202064858</v>
      </c>
      <c r="CV195" s="20">
        <f t="shared" si="1895"/>
        <v>79.173398098796355</v>
      </c>
      <c r="CW195" s="20">
        <f t="shared" si="1895"/>
        <v>81.782649897265472</v>
      </c>
      <c r="CX195" s="20">
        <f t="shared" si="1895"/>
        <v>84.409287527400622</v>
      </c>
      <c r="CY195" s="20">
        <f t="shared" si="1895"/>
        <v>87.687567279501437</v>
      </c>
      <c r="CZ195" s="20">
        <f t="shared" si="1895"/>
        <v>92.991207599206476</v>
      </c>
      <c r="DA195" s="20">
        <f t="shared" si="1895"/>
        <v>96.450152155600378</v>
      </c>
      <c r="DD195" s="125"/>
      <c r="DE195" s="21">
        <v>170.31999999999971</v>
      </c>
    </row>
    <row r="196" spans="1:109" s="22" customFormat="1" x14ac:dyDescent="0.2">
      <c r="A196" s="22" t="s">
        <v>65</v>
      </c>
      <c r="C196" s="22">
        <f t="shared" ref="C196:AA196" si="1896">B148-C148+B163+B164-C163-C164</f>
        <v>0</v>
      </c>
      <c r="D196" s="22">
        <f t="shared" si="1896"/>
        <v>-92.199799999999996</v>
      </c>
      <c r="E196" s="22">
        <f>D148-E148+D163+D164-E163-E164</f>
        <v>-7.8391999999999937</v>
      </c>
      <c r="F196" s="22">
        <f t="shared" si="1896"/>
        <v>-13.492400000000004</v>
      </c>
      <c r="G196" s="22">
        <f t="shared" si="1896"/>
        <v>-30.003299999999982</v>
      </c>
      <c r="H196" s="22">
        <f t="shared" si="1896"/>
        <v>1.406399999999973</v>
      </c>
      <c r="I196" s="22">
        <f t="shared" si="1896"/>
        <v>-50.062799999999982</v>
      </c>
      <c r="J196" s="22">
        <f>I148-J148+I163+I164-J163-J164</f>
        <v>9.8044999999999973</v>
      </c>
      <c r="K196" s="22">
        <f>J148-K148+J163+J164-K163-K164</f>
        <v>-16.159099999999999</v>
      </c>
      <c r="L196" s="22">
        <f t="shared" si="1896"/>
        <v>-147.80000000000001</v>
      </c>
      <c r="M196" s="22">
        <f t="shared" si="1896"/>
        <v>98.573899999999981</v>
      </c>
      <c r="N196" s="22">
        <f t="shared" si="1896"/>
        <v>-32.870400000000004</v>
      </c>
      <c r="O196" s="22">
        <f t="shared" si="1896"/>
        <v>-67.474699999999956</v>
      </c>
      <c r="P196" s="22">
        <f t="shared" si="1896"/>
        <v>-47.302600000000034</v>
      </c>
      <c r="Q196" s="22">
        <f t="shared" si="1896"/>
        <v>-268.90489999999988</v>
      </c>
      <c r="R196" s="22">
        <f t="shared" si="1896"/>
        <v>-88.660700000000119</v>
      </c>
      <c r="S196" s="22">
        <f t="shared" si="1896"/>
        <v>-60.342199999999934</v>
      </c>
      <c r="T196" s="22">
        <f t="shared" si="1896"/>
        <v>-46.575600000000037</v>
      </c>
      <c r="U196" s="22">
        <f t="shared" si="1896"/>
        <v>-54.017100000000163</v>
      </c>
      <c r="V196" s="22">
        <f t="shared" si="1896"/>
        <v>-6.3099999999998406</v>
      </c>
      <c r="W196" s="22">
        <f t="shared" si="1896"/>
        <v>-793.61</v>
      </c>
      <c r="X196" s="22">
        <f t="shared" si="1896"/>
        <v>-16.500000000000302</v>
      </c>
      <c r="Y196" s="22">
        <f t="shared" si="1896"/>
        <v>121.19000000000051</v>
      </c>
      <c r="Z196" s="22">
        <f t="shared" si="1896"/>
        <v>7.4999999999996803</v>
      </c>
      <c r="AA196" s="22">
        <f t="shared" si="1896"/>
        <v>132.50000000000017</v>
      </c>
      <c r="AB196" s="23">
        <f t="shared" ref="AB196" si="1897">AA148-AB148+AA163+AA164-AB163-AB164</f>
        <v>353.45678738798415</v>
      </c>
      <c r="AC196" s="23">
        <f t="shared" ref="AC196" si="1898">AB148-AC148+AB163+AB164-AC163-AC164</f>
        <v>9.2215173525135015</v>
      </c>
      <c r="AD196" s="23">
        <f t="shared" ref="AD196" si="1899">AC148-AD148+AC163+AC164-AD163-AD164</f>
        <v>9.8580981075790532</v>
      </c>
      <c r="AE196" s="23">
        <f t="shared" ref="AE196" si="1900">AD148-AE148+AD163+AD164-AE163-AE164</f>
        <v>9.8853506531545463</v>
      </c>
      <c r="AI196" s="22">
        <f>AH148-AI148+AH163+AH164-AI163-AJ164</f>
        <v>-275.36</v>
      </c>
      <c r="AJ196" s="22">
        <f t="shared" ref="AJ196:AL196" si="1901">AI148-AJ148+AI163+AI164-AJ163-AK164</f>
        <v>31.016063392682469</v>
      </c>
      <c r="AK196" s="22">
        <f t="shared" si="1901"/>
        <v>-36.296063392682527</v>
      </c>
      <c r="AL196" s="22">
        <f t="shared" si="1901"/>
        <v>-11.665583690112044</v>
      </c>
      <c r="AM196" s="22">
        <f t="shared" ref="AM196" si="1902">AL148-AM148+AL163+AL164-AM163-AM164</f>
        <v>-62.544416309887936</v>
      </c>
      <c r="AN196" s="22">
        <f t="shared" ref="AN196" si="1903">AM148-AN148+AM163+AM164-AN163-AN164</f>
        <v>29.248004921127176</v>
      </c>
      <c r="AO196" s="22">
        <f t="shared" ref="AO196" si="1904">AN148-AO148+AN163+AN164-AO163-AO164</f>
        <v>-22.518004921127162</v>
      </c>
      <c r="AP196" s="22">
        <f t="shared" ref="AP196" si="1905">AO148-AP148+AO163+AO164-AP163-AP164</f>
        <v>8.8677916360969107</v>
      </c>
      <c r="AQ196" s="22">
        <f t="shared" ref="AQ196" si="1906">AP148-AQ148+AP163+AP164-AQ163-AQ164</f>
        <v>-43.887791636096864</v>
      </c>
      <c r="AR196" s="22">
        <f t="shared" ref="AR196" si="1907">AQ148-AR148+AQ163+AQ164-AR163-AR164</f>
        <v>17.16172728917843</v>
      </c>
      <c r="AS196" s="22">
        <f t="shared" ref="AS196" si="1908">AR148-AS148+AR163+AR164-AS163-AS164</f>
        <v>-29.431727289178504</v>
      </c>
      <c r="AT196" s="22">
        <f t="shared" ref="AT196" si="1909">AS148-AT148+AS163+AS164-AT163-AT164</f>
        <v>-146.66810666150758</v>
      </c>
      <c r="AU196" s="22">
        <f t="shared" ref="AU196" si="1910">AT148-AU148+AT163+AT164-AU163-AU164</f>
        <v>-220.88189333849235</v>
      </c>
      <c r="AV196" s="22">
        <f t="shared" ref="AV196" si="1911">AU148-AV148+AU163+AU164-AV163-AV164</f>
        <v>29.705500697452521</v>
      </c>
      <c r="AW196" s="22">
        <f t="shared" ref="AW196" si="1912">AV148-AW148+AV163+AV164-AW163-AW164</f>
        <v>68.924499302547474</v>
      </c>
      <c r="AX196" s="22">
        <f t="shared" ref="AX196" si="1913">AW148-AX148+AW163+AW164-AX163-AX164</f>
        <v>2.5916346900509097</v>
      </c>
      <c r="AY196" s="22">
        <f t="shared" ref="AY196" si="1914">AX148-AY148+AX163+AX164-AY163-AY164</f>
        <v>-130.01163469005095</v>
      </c>
      <c r="AZ196" s="22">
        <f t="shared" ref="AZ196" si="1915">AY148-AZ148+AY163+AY164-AZ163-AZ164</f>
        <v>18.338359257576599</v>
      </c>
      <c r="BA196" s="22">
        <f t="shared" ref="BA196" si="1916">AZ148-BA148+AZ163+AZ164-BA163-BA164</f>
        <v>32.171640742423321</v>
      </c>
      <c r="BB196" s="22">
        <f t="shared" ref="BB196" si="1917">BA148-BB148+BA163+BA164-BB163-BB164</f>
        <v>14.918286764142863</v>
      </c>
      <c r="BC196" s="22">
        <f t="shared" ref="BC196" si="1918">BB148-BC148+BB163+BB164-BC163-BC164</f>
        <v>-56.438286764142852</v>
      </c>
      <c r="BD196" s="22">
        <f t="shared" ref="BD196" si="1919">BC148-BD148+BC163+BC164-BD163-BD164</f>
        <v>14.50057477019925</v>
      </c>
      <c r="BE196" s="22">
        <f t="shared" ref="BE196" si="1920">BD148-BE148+BD163+BD164-BE163-BE164</f>
        <v>-45.060574770199175</v>
      </c>
      <c r="BF196" s="22">
        <f t="shared" ref="BF196" si="1921">BE148-BF148+BE163+BE164-BF163-BF164</f>
        <v>11.378460963499263</v>
      </c>
      <c r="BG196" s="22">
        <f t="shared" ref="BG196" si="1922">BF148-BG148+BF163+BF164-BG163-BG164</f>
        <v>-95.628460963499208</v>
      </c>
      <c r="BH196" s="22">
        <f t="shared" ref="BH196" si="1923">BG148-BH148+BG163+BG164-BH163-BH164</f>
        <v>-18.975566265869816</v>
      </c>
      <c r="BI196" s="22">
        <f t="shared" ref="BI196" si="1924">BH148-BI148+BH163+BH164-BI163-BI164</f>
        <v>56.635566265869642</v>
      </c>
      <c r="BJ196" s="22">
        <f t="shared" ref="BJ196" si="1925">BI148-BJ148+BI163+BI164-BJ163-BJ164</f>
        <v>-18.518136917480774</v>
      </c>
      <c r="BK196" s="22">
        <f t="shared" ref="BK196" si="1926">BJ148-BK148+BJ163+BJ164-BK163-BK164</f>
        <v>-120.5618630825192</v>
      </c>
      <c r="BL196" s="22">
        <f t="shared" ref="BL196" si="1927">BK148-BL148+BK163+BK164-BL163-BL164</f>
        <v>-23.310653254437739</v>
      </c>
      <c r="BM196" s="22">
        <f t="shared" ref="BM196" si="1928">BL148-BM148+BL163+BL164-BM163-BM164</f>
        <v>108.38065325443776</v>
      </c>
      <c r="BN196" s="22">
        <f t="shared" ref="BN196" si="1929">BM148-BN148+BM163+BM164-BN163-BN164</f>
        <v>117.34614526458699</v>
      </c>
      <c r="BO196" s="22">
        <f t="shared" ref="BO196" si="1930">BN148-BO148+BN163+BN164-BO163-BO164</f>
        <v>-342.77614526458683</v>
      </c>
      <c r="BP196" s="22">
        <f t="shared" ref="BP196" si="1931">BO148-BP148+BO163+BO164-BP163-BP164</f>
        <v>-66.019458949109776</v>
      </c>
      <c r="BQ196" s="22">
        <f t="shared" ref="BQ196" si="1932">BP148-BQ148+BP163+BP164-BQ163-BQ164</f>
        <v>206.56945894910973</v>
      </c>
      <c r="BR196" s="22">
        <f t="shared" ref="BR196" si="1933">BQ148-BR148+BQ163+BQ164-BR163-BR164</f>
        <v>-102.04469240286176</v>
      </c>
      <c r="BS196" s="22">
        <f t="shared" ref="BS196" si="1934">BR148-BS148+BR163+BR164-BS163-BS164</f>
        <v>-162.10530759713825</v>
      </c>
      <c r="BT196" s="22">
        <f t="shared" ref="BT196" si="1935">BS148-BT148+BS163+BS164-BT163-BT164</f>
        <v>-8.9703979536398037</v>
      </c>
      <c r="BU196" s="22">
        <f t="shared" ref="BU196" si="1936">BT148-BU148+BT163+BT164-BU163-BU164</f>
        <v>-11.239602046360158</v>
      </c>
      <c r="BV196" s="22">
        <f t="shared" ref="BV196" si="1937">BU148-BV148+BU163+BU164-BV163-BV164</f>
        <v>-98.855314781504831</v>
      </c>
      <c r="BW196" s="22">
        <f t="shared" ref="BW196" si="1938">BV148-BW148+BV163+BV164-BW163-BW164</f>
        <v>-73.434685218495105</v>
      </c>
      <c r="BX196" s="22">
        <f t="shared" ref="BX196" si="1939">BW148-BX148+BW163+BW164-BX163-BX164</f>
        <v>36.390932922905904</v>
      </c>
      <c r="BY196" s="22">
        <f t="shared" ref="BY196" si="1940">BX148-BY148+BX163+BX164-BY163-BY164</f>
        <v>160.64906707709395</v>
      </c>
      <c r="BZ196" s="22">
        <f t="shared" ref="BZ196" si="1941">BY148-BZ148+BY163+BY164-BZ163-BZ164</f>
        <v>43.062167718092951</v>
      </c>
      <c r="CA196" s="22">
        <f t="shared" ref="CA196" si="1942">BZ148-CA148+BZ163+BZ164-CA163-CA164</f>
        <v>35.517832281906905</v>
      </c>
      <c r="CB196" s="22">
        <f t="shared" ref="CB196" si="1943">CA148-CB148+CA163+CA164-CB163-CB164</f>
        <v>-60.101468232266143</v>
      </c>
      <c r="CC196" s="22">
        <f t="shared" ref="CC196" si="1944">CB148-CC148+CB163+CB164-CC163-CC164</f>
        <v>173.32146823226623</v>
      </c>
      <c r="CD196" s="22">
        <f t="shared" ref="CD196" si="1945">CC148-CD148+CC163+CC164-CD163-CD164</f>
        <v>-8.6884652079570515</v>
      </c>
      <c r="CE196" s="22">
        <f t="shared" ref="CE196" si="1946">CD148-CE148+CD163+CD164-CE163-CE164</f>
        <v>-90.871534792042993</v>
      </c>
      <c r="CF196" s="22">
        <f t="shared" ref="CF196" si="1947">CE148-CF148+CE163+CE164-CF163-CF164</f>
        <v>-18.626734693877779</v>
      </c>
      <c r="CG196" s="22">
        <f t="shared" ref="CG196" si="1948">CF148-CG148+CF163+CF164-CG163-CG164</f>
        <v>-416.85326530612224</v>
      </c>
      <c r="CH196" s="22">
        <f t="shared" ref="CH196:CL196" si="1949">CG148-CH148+CG163+CG164-CH163-CH164</f>
        <v>12.167788922808541</v>
      </c>
      <c r="CI196" s="22">
        <f t="shared" si="1949"/>
        <v>486.56221107719142</v>
      </c>
      <c r="CJ196" s="22">
        <f t="shared" si="1949"/>
        <v>-18.644137007333711</v>
      </c>
      <c r="CK196" s="23">
        <f t="shared" ref="CK196" si="1950">CJ148-CK148+CJ163+CJ164-CK163-CK164</f>
        <v>0.12472534831681514</v>
      </c>
      <c r="CL196" s="22">
        <f t="shared" si="1949"/>
        <v>14.05022164872662</v>
      </c>
      <c r="CM196" s="23">
        <f t="shared" ref="CM196" si="1951">CL148-CM148+CL163+CL164-CM163-CM164</f>
        <v>24.969844716315947</v>
      </c>
      <c r="CN196" s="23">
        <f t="shared" ref="CN196" si="1952">CM148-CN148+CM163+CM164-CN163-CN164</f>
        <v>-28.813843917174154</v>
      </c>
      <c r="CO196" s="23">
        <f t="shared" ref="CO196" si="1953">CN148-CO148+CN163+CN164-CO163-CO164</f>
        <v>-4.4600234008671578</v>
      </c>
      <c r="CP196" s="23">
        <f t="shared" ref="CP196" si="1954">CO148-CP148+CO163+CO164-CP163-CP164</f>
        <v>19.800882100537592</v>
      </c>
      <c r="CQ196" s="23">
        <f t="shared" ref="CQ196" si="1955">CP148-CQ148+CP163+CP164-CQ163-CQ164</f>
        <v>25.405024532223706</v>
      </c>
      <c r="CR196" s="23">
        <f t="shared" ref="CR196" si="1956">CQ148-CR148+CQ163+CQ164-CR163-CR164</f>
        <v>-30.597239912035775</v>
      </c>
      <c r="CS196" s="23">
        <f t="shared" ref="CS196" si="1957">CR148-CS148+CR163+CR164-CS163-CS164</f>
        <v>-5.3871493682120217</v>
      </c>
      <c r="CT196" s="23">
        <f t="shared" ref="CT196" si="1958">CS148-CT148+CS163+CS164-CT163-CT164</f>
        <v>20.497698774429864</v>
      </c>
      <c r="CU196" s="23">
        <f t="shared" ref="CU196" si="1959">CT148-CU148+CT163+CT164-CU163-CU164</f>
        <v>25.514752843420183</v>
      </c>
      <c r="CV196" s="23">
        <f t="shared" ref="CV196" si="1960">CU148-CV148+CU163+CU164-CV163-CV164</f>
        <v>-30.766084076428569</v>
      </c>
      <c r="CW196" s="23">
        <f t="shared" ref="CW196" si="1961">CV148-CW148+CV163+CV164-CW163-CW164</f>
        <v>-5.3882694338424244</v>
      </c>
      <c r="CX196" s="23">
        <f t="shared" ref="CX196" si="1962">CW148-CX148+CW163+CW164-CX163-CX164</f>
        <v>20.489812831381869</v>
      </c>
      <c r="CY196" s="23">
        <f t="shared" ref="CY196" si="1963">CX148-CY148+CX163+CX164-CY163-CY164</f>
        <v>25.288402744079121</v>
      </c>
      <c r="CZ196" s="23">
        <f t="shared" ref="CZ196" si="1964">CY148-CZ148+CY163+CY164-CZ163-CZ164</f>
        <v>-30.566390433023116</v>
      </c>
      <c r="DA196" s="23">
        <f t="shared" ref="DA196" si="1965">CZ148-DA148+CZ163+CZ164-DA163-DA164</f>
        <v>-5.3264744892833278</v>
      </c>
      <c r="DD196" s="122"/>
      <c r="DE196" s="22">
        <v>480.21058834098307</v>
      </c>
    </row>
    <row r="197" spans="1:109" s="22" customFormat="1" x14ac:dyDescent="0.2">
      <c r="A197" s="22" t="s">
        <v>73</v>
      </c>
      <c r="C197" s="22">
        <f t="shared" ref="C197:AA197" si="1966">B156-C156</f>
        <v>0</v>
      </c>
      <c r="D197" s="22">
        <f t="shared" si="1966"/>
        <v>-62.649499999999989</v>
      </c>
      <c r="E197" s="22">
        <f>D156-E156</f>
        <v>-18.107500000000016</v>
      </c>
      <c r="F197" s="22">
        <f t="shared" si="1966"/>
        <v>0.57970000000000255</v>
      </c>
      <c r="G197" s="22">
        <f t="shared" si="1966"/>
        <v>-7.557699999999997</v>
      </c>
      <c r="H197" s="22">
        <f t="shared" si="1966"/>
        <v>-9.3633999999999986</v>
      </c>
      <c r="I197" s="22">
        <f t="shared" si="1966"/>
        <v>-21.981700000000004</v>
      </c>
      <c r="J197" s="22">
        <f>I156-J156</f>
        <v>-7.4851000000000028</v>
      </c>
      <c r="K197" s="22">
        <f>J156-K156</f>
        <v>-24.968299999999999</v>
      </c>
      <c r="L197" s="22">
        <f t="shared" si="1966"/>
        <v>-107.60079999999999</v>
      </c>
      <c r="M197" s="22">
        <f t="shared" si="1966"/>
        <v>94.376899999999978</v>
      </c>
      <c r="N197" s="22">
        <f t="shared" si="1966"/>
        <v>-13.128899999999987</v>
      </c>
      <c r="O197" s="22">
        <f t="shared" si="1966"/>
        <v>-26.486899999999991</v>
      </c>
      <c r="P197" s="22">
        <f t="shared" si="1966"/>
        <v>-38.813499999999976</v>
      </c>
      <c r="Q197" s="22">
        <f t="shared" si="1966"/>
        <v>-230.48700000000002</v>
      </c>
      <c r="R197" s="22">
        <f t="shared" si="1966"/>
        <v>-27.346899999999948</v>
      </c>
      <c r="S197" s="22">
        <f t="shared" si="1966"/>
        <v>20.96369999999996</v>
      </c>
      <c r="T197" s="22">
        <f t="shared" si="1966"/>
        <v>-11.308800000000019</v>
      </c>
      <c r="U197" s="22">
        <f t="shared" si="1966"/>
        <v>-52.764299999999992</v>
      </c>
      <c r="V197" s="22">
        <f t="shared" si="1966"/>
        <v>-26.009999999999991</v>
      </c>
      <c r="W197" s="22">
        <f t="shared" si="1966"/>
        <v>-693.05000000000007</v>
      </c>
      <c r="X197" s="22">
        <f t="shared" si="1966"/>
        <v>95.890000000000327</v>
      </c>
      <c r="Y197" s="22">
        <f t="shared" si="1966"/>
        <v>-97.500000000000227</v>
      </c>
      <c r="Z197" s="22">
        <f t="shared" si="1966"/>
        <v>-8.6500000000000909</v>
      </c>
      <c r="AA197" s="22">
        <f t="shared" si="1966"/>
        <v>65.839999999999918</v>
      </c>
      <c r="AB197" s="23">
        <f t="shared" ref="AB197" si="1967">AA156-AB156</f>
        <v>561.5868552826264</v>
      </c>
      <c r="AC197" s="23">
        <f t="shared" ref="AC197" si="1968">AB156-AC156</f>
        <v>5.3446403460168312</v>
      </c>
      <c r="AD197" s="23">
        <f t="shared" ref="AD197" si="1969">AC156-AD156</f>
        <v>5.7135921201079327</v>
      </c>
      <c r="AE197" s="23">
        <f t="shared" ref="AE197" si="1970">AD156-AE156</f>
        <v>5.7293872489403839</v>
      </c>
      <c r="AI197" s="22">
        <f t="shared" ref="AI197" si="1971">AH156-AI156</f>
        <v>-168.08</v>
      </c>
      <c r="AJ197" s="22">
        <f t="shared" ref="AJ197" si="1972">AI156-AJ156</f>
        <v>0</v>
      </c>
      <c r="AK197" s="22">
        <f t="shared" ref="AK197" si="1973">AJ156-AK156</f>
        <v>-13.349999999999994</v>
      </c>
      <c r="AL197" s="22">
        <f t="shared" ref="AL197" si="1974">AK156-AL156</f>
        <v>-6.0451376146788789</v>
      </c>
      <c r="AM197" s="22">
        <f t="shared" ref="AM197" si="1975">AL156-AM156</f>
        <v>-15.644862385321119</v>
      </c>
      <c r="AN197" s="22">
        <f t="shared" ref="AN197" si="1976">AM156-AN156</f>
        <v>0</v>
      </c>
      <c r="AO197" s="22">
        <f t="shared" ref="AO197" si="1977">AN156-AO156</f>
        <v>-6.9600000000000364</v>
      </c>
      <c r="AP197" s="22">
        <f t="shared" ref="AP197" si="1978">AO156-AP156</f>
        <v>4.3595011005135689</v>
      </c>
      <c r="AQ197" s="22">
        <f t="shared" ref="AQ197" si="1979">AP156-AQ156</f>
        <v>-5.609501100513512</v>
      </c>
      <c r="AR197" s="22">
        <f t="shared" ref="AR197" si="1980">AQ156-AR156</f>
        <v>8.7773283870189687</v>
      </c>
      <c r="AS197" s="22">
        <f t="shared" ref="AS197" si="1981">AR156-AS156</f>
        <v>-44.837328387018971</v>
      </c>
      <c r="AT197" s="22">
        <f t="shared" ref="AT197" si="1982">AS156-AT156</f>
        <v>-74.167515960533933</v>
      </c>
      <c r="AU197" s="22">
        <f t="shared" ref="AU197" si="1983">AT156-AU156</f>
        <v>-230.08248403946607</v>
      </c>
      <c r="AV197" s="22">
        <f t="shared" ref="AV197" si="1984">AU156-AV156</f>
        <v>15.421389765802928</v>
      </c>
      <c r="AW197" s="22">
        <f t="shared" ref="AW197" si="1985">AV156-AW156</f>
        <v>20.66861023419699</v>
      </c>
      <c r="AX197" s="22">
        <f t="shared" ref="AX197" si="1986">AW156-AX156</f>
        <v>1.2925267524005903</v>
      </c>
      <c r="AY197" s="22">
        <f t="shared" ref="AY197" si="1987">AX156-AY156</f>
        <v>-69.532526752400599</v>
      </c>
      <c r="AZ197" s="22">
        <f t="shared" ref="AZ197" si="1988">AY156-AZ156</f>
        <v>9.921907092174024</v>
      </c>
      <c r="BA197" s="22">
        <f t="shared" ref="BA197" si="1989">AZ156-BA156</f>
        <v>34.468092907825962</v>
      </c>
      <c r="BB197" s="22">
        <f t="shared" ref="BB197" si="1990">BA156-BB156</f>
        <v>7.472899027788344</v>
      </c>
      <c r="BC197" s="22">
        <f t="shared" ref="BC197" si="1991">BB156-BC156</f>
        <v>-22.97289902778823</v>
      </c>
      <c r="BD197" s="22">
        <f t="shared" ref="BD197" si="1992">BC156-BD156</f>
        <v>7.5374466182623792</v>
      </c>
      <c r="BE197" s="22">
        <f t="shared" ref="BE197" si="1993">BD156-BE156</f>
        <v>55.812553381737644</v>
      </c>
      <c r="BF197" s="22">
        <f t="shared" ref="BF197" si="1994">BE156-BF156</f>
        <v>5.7873520670569292</v>
      </c>
      <c r="BG197" s="22">
        <f t="shared" ref="BG197" si="1995">BF156-BG156</f>
        <v>-112.40735206705693</v>
      </c>
      <c r="BH197" s="22">
        <f t="shared" ref="BH197" si="1996">BG156-BH156</f>
        <v>-10.839592597568412</v>
      </c>
      <c r="BI197" s="22">
        <f t="shared" ref="BI197" si="1997">BH156-BI156</f>
        <v>114.05959259756833</v>
      </c>
      <c r="BJ197" s="22">
        <f t="shared" ref="BJ197" si="1998">BI156-BJ156</f>
        <v>-8.5613425873065125</v>
      </c>
      <c r="BK197" s="22">
        <f t="shared" ref="BK197" si="1999">BJ156-BK156</f>
        <v>-473.25865741269342</v>
      </c>
      <c r="BL197" s="22">
        <f t="shared" ref="BL197" si="2000">BK156-BL156</f>
        <v>-11.978730098619394</v>
      </c>
      <c r="BM197" s="22">
        <f t="shared" ref="BM197" si="2001">BL156-BM156</f>
        <v>440.85873009861939</v>
      </c>
      <c r="BN197" s="22">
        <f t="shared" ref="BN197" si="2002">BM156-BN156</f>
        <v>62.987430865035662</v>
      </c>
      <c r="BO197" s="22">
        <f t="shared" ref="BO197" si="2003">BN156-BO156</f>
        <v>-358.74743086503577</v>
      </c>
      <c r="BP197" s="22">
        <f t="shared" ref="BP197" si="2004">BO156-BP156</f>
        <v>-32.882662026560865</v>
      </c>
      <c r="BQ197" s="22">
        <f t="shared" ref="BQ197" si="2005">BP156-BQ156</f>
        <v>304.63266202656098</v>
      </c>
      <c r="BR197" s="22">
        <f t="shared" ref="BR197" si="2006">BQ156-BR156</f>
        <v>-54.842766312241224</v>
      </c>
      <c r="BS197" s="22">
        <f t="shared" ref="BS197" si="2007">BR156-BS156</f>
        <v>-67.817233687758744</v>
      </c>
      <c r="BT197" s="22">
        <f t="shared" ref="BT197" si="2008">BS156-BT156</f>
        <v>-4.6649194132560297</v>
      </c>
      <c r="BU197" s="22">
        <f t="shared" ref="BU197" si="2009">BT156-BU156</f>
        <v>-41.075080586743979</v>
      </c>
      <c r="BV197" s="22">
        <f t="shared" ref="BV197" si="2010">BU156-BV156</f>
        <v>-58.055072630258451</v>
      </c>
      <c r="BW197" s="22">
        <f t="shared" ref="BW197" si="2011">BV156-BW156</f>
        <v>42.345072630258301</v>
      </c>
      <c r="BX197" s="22">
        <f t="shared" ref="BX197" si="2012">BW156-BX156</f>
        <v>18.350845623020859</v>
      </c>
      <c r="BY197" s="22">
        <f t="shared" ref="BY197" si="2013">BX156-BY156</f>
        <v>110.10915437697918</v>
      </c>
      <c r="BZ197" s="22">
        <f t="shared" ref="BZ197" si="2014">BY156-BZ156</f>
        <v>21.513304268741649</v>
      </c>
      <c r="CA197" s="22">
        <f t="shared" ref="CA197" si="2015">BZ156-CA156</f>
        <v>11.256695731258446</v>
      </c>
      <c r="CB197" s="22">
        <f t="shared" ref="CB197" si="2016">CA156-CB156</f>
        <v>-29.781797329901906</v>
      </c>
      <c r="CC197" s="22">
        <f t="shared" ref="CC197" si="2017">CB156-CC156</f>
        <v>-22.98820267009819</v>
      </c>
      <c r="CD197" s="22">
        <f t="shared" ref="CD197" si="2018">CC156-CD156</f>
        <v>-4.9479025392145104</v>
      </c>
      <c r="CE197" s="22">
        <f t="shared" ref="CE197" si="2019">CD156-CE156</f>
        <v>2.8179025392145149</v>
      </c>
      <c r="CF197" s="22">
        <f t="shared" ref="CF197" si="2020">CE156-CF156</f>
        <v>-10.46612244897949</v>
      </c>
      <c r="CG197" s="22">
        <f t="shared" ref="CG197" si="2021">CF156-CG156</f>
        <v>-613.30387755102049</v>
      </c>
      <c r="CH197" s="22">
        <f t="shared" ref="CH197:CL197" si="2022">CG156-CH156</f>
        <v>7.0855822067162535</v>
      </c>
      <c r="CI197" s="22">
        <f t="shared" si="2022"/>
        <v>627.74441779328379</v>
      </c>
      <c r="CJ197" s="22">
        <f t="shared" si="2022"/>
        <v>-9.7573624291522947</v>
      </c>
      <c r="CK197" s="23">
        <f t="shared" ref="CK197" si="2023">CJ156-CK156</f>
        <v>-0.97618509383744367</v>
      </c>
      <c r="CL197" s="22">
        <f t="shared" si="2022"/>
        <v>7.3531483266093574</v>
      </c>
      <c r="CM197" s="23">
        <f t="shared" ref="CM197" si="2024">CL156-CM156</f>
        <v>15.262242723109807</v>
      </c>
      <c r="CN197" s="23">
        <f t="shared" ref="CN197" si="2025">CM156-CN156</f>
        <v>-16.700031766636243</v>
      </c>
      <c r="CO197" s="23">
        <f t="shared" ref="CO197" si="2026">CN156-CO156</f>
        <v>-2.5849564774669034</v>
      </c>
      <c r="CP197" s="23">
        <f t="shared" ref="CP197" si="2027">CO156-CP156</f>
        <v>11.476266791648072</v>
      </c>
      <c r="CQ197" s="23">
        <f t="shared" ref="CQ197" si="2028">CP156-CQ156</f>
        <v>14.724335910885884</v>
      </c>
      <c r="CR197" s="23">
        <f t="shared" ref="CR197" si="2029">CQ156-CR156</f>
        <v>-17.733658861038975</v>
      </c>
      <c r="CS197" s="23">
        <f t="shared" ref="CS197" si="2030">CR156-CS156</f>
        <v>-3.1223034954781497</v>
      </c>
      <c r="CT197" s="23">
        <f t="shared" ref="CT197" si="2031">CS156-CT156</f>
        <v>11.880130317214935</v>
      </c>
      <c r="CU197" s="23">
        <f t="shared" ref="CU197" si="2032">CT156-CU156</f>
        <v>14.787932641955308</v>
      </c>
      <c r="CV197" s="23">
        <f t="shared" ref="CV197" si="2033">CU156-CV156</f>
        <v>-17.831518171899006</v>
      </c>
      <c r="CW197" s="23">
        <f t="shared" ref="CW197" si="2034">CV156-CW156</f>
        <v>-3.1229526671633039</v>
      </c>
      <c r="CX197" s="23">
        <f t="shared" ref="CX197" si="2035">CW156-CX156</f>
        <v>11.875559753849984</v>
      </c>
      <c r="CY197" s="23">
        <f t="shared" ref="CY197" si="2036">CX156-CY156</f>
        <v>14.656743833539394</v>
      </c>
      <c r="CZ197" s="23">
        <f t="shared" ref="CZ197" si="2037">CY156-CZ156</f>
        <v>-17.71577900852833</v>
      </c>
      <c r="DA197" s="23">
        <f t="shared" ref="DA197" si="2038">CZ156-DA156</f>
        <v>-3.0871373299206653</v>
      </c>
      <c r="DD197" s="122"/>
      <c r="DE197" s="22">
        <v>624.0964524770103</v>
      </c>
    </row>
    <row r="198" spans="1:109" s="21" customFormat="1" x14ac:dyDescent="0.2">
      <c r="A198" s="21" t="s">
        <v>90</v>
      </c>
      <c r="C198" s="21">
        <f t="shared" ref="C198:W198" si="2039">C196-C197</f>
        <v>0</v>
      </c>
      <c r="D198" s="21">
        <f t="shared" si="2039"/>
        <v>-29.550300000000007</v>
      </c>
      <c r="E198" s="21">
        <f t="shared" si="2039"/>
        <v>10.268300000000021</v>
      </c>
      <c r="F198" s="21">
        <f t="shared" si="2039"/>
        <v>-14.072100000000006</v>
      </c>
      <c r="G198" s="21">
        <f t="shared" si="2039"/>
        <v>-22.445599999999985</v>
      </c>
      <c r="H198" s="21">
        <f t="shared" si="2039"/>
        <v>10.769799999999972</v>
      </c>
      <c r="I198" s="21">
        <f t="shared" si="2039"/>
        <v>-28.081099999999978</v>
      </c>
      <c r="J198" s="21">
        <f>J196-J197</f>
        <v>17.2896</v>
      </c>
      <c r="K198" s="21">
        <f t="shared" si="2039"/>
        <v>8.8092000000000006</v>
      </c>
      <c r="L198" s="21">
        <f t="shared" si="2039"/>
        <v>-40.199200000000019</v>
      </c>
      <c r="M198" s="21">
        <f t="shared" si="2039"/>
        <v>4.1970000000000027</v>
      </c>
      <c r="N198" s="21">
        <f t="shared" si="2039"/>
        <v>-19.741500000000016</v>
      </c>
      <c r="O198" s="21">
        <f t="shared" si="2039"/>
        <v>-40.987799999999964</v>
      </c>
      <c r="P198" s="21">
        <f t="shared" si="2039"/>
        <v>-8.4891000000000574</v>
      </c>
      <c r="Q198" s="21">
        <f t="shared" si="2039"/>
        <v>-38.417899999999861</v>
      </c>
      <c r="R198" s="21">
        <f t="shared" si="2039"/>
        <v>-61.313800000000171</v>
      </c>
      <c r="S198" s="21">
        <f t="shared" si="2039"/>
        <v>-81.305899999999895</v>
      </c>
      <c r="T198" s="21">
        <f t="shared" si="2039"/>
        <v>-35.266800000000018</v>
      </c>
      <c r="U198" s="21">
        <f t="shared" si="2039"/>
        <v>-1.2528000000001711</v>
      </c>
      <c r="V198" s="21">
        <f t="shared" si="2039"/>
        <v>19.700000000000152</v>
      </c>
      <c r="W198" s="21">
        <f t="shared" si="2039"/>
        <v>-100.55999999999995</v>
      </c>
      <c r="X198" s="21">
        <f t="shared" ref="X198:Y198" si="2040">X196-X197</f>
        <v>-112.39000000000063</v>
      </c>
      <c r="Y198" s="21">
        <f t="shared" si="2040"/>
        <v>218.69000000000074</v>
      </c>
      <c r="Z198" s="21">
        <f t="shared" ref="Z198:AA198" si="2041">Z196-Z197</f>
        <v>16.149999999999771</v>
      </c>
      <c r="AA198" s="21">
        <f t="shared" si="2041"/>
        <v>66.660000000000252</v>
      </c>
      <c r="AB198" s="20">
        <f t="shared" ref="AA198:AD198" si="2042">AB196-AB197</f>
        <v>-208.13006789464225</v>
      </c>
      <c r="AC198" s="20">
        <f t="shared" si="2042"/>
        <v>3.8768770064966702</v>
      </c>
      <c r="AD198" s="20">
        <f t="shared" si="2042"/>
        <v>4.1445059874711205</v>
      </c>
      <c r="AE198" s="20">
        <f t="shared" ref="AE198" si="2043">AE196-AE197</f>
        <v>4.1559634042141624</v>
      </c>
      <c r="AI198" s="21">
        <f t="shared" ref="AI198" si="2044">AI196-AI197</f>
        <v>-107.28</v>
      </c>
      <c r="AJ198" s="21">
        <f t="shared" ref="AJ198:AL198" si="2045">AJ196-AJ197</f>
        <v>31.016063392682469</v>
      </c>
      <c r="AK198" s="21">
        <f t="shared" si="2045"/>
        <v>-22.946063392682532</v>
      </c>
      <c r="AL198" s="21">
        <f t="shared" si="2045"/>
        <v>-5.6204460754331649</v>
      </c>
      <c r="AM198" s="21">
        <f t="shared" ref="AM198" si="2046">AM196-AM197</f>
        <v>-46.899553924566817</v>
      </c>
      <c r="AN198" s="21">
        <f t="shared" ref="AN198:CD198" si="2047">AN196-AN197</f>
        <v>29.248004921127176</v>
      </c>
      <c r="AO198" s="21">
        <f t="shared" si="2047"/>
        <v>-15.558004921127125</v>
      </c>
      <c r="AP198" s="21">
        <f t="shared" si="2047"/>
        <v>4.5082905355833418</v>
      </c>
      <c r="AQ198" s="21">
        <f t="shared" si="2047"/>
        <v>-38.278290535583352</v>
      </c>
      <c r="AR198" s="21">
        <f t="shared" si="2047"/>
        <v>8.3843989021594609</v>
      </c>
      <c r="AS198" s="21">
        <f t="shared" si="2047"/>
        <v>15.405601097840467</v>
      </c>
      <c r="AT198" s="21">
        <f t="shared" si="2047"/>
        <v>-72.500590700973646</v>
      </c>
      <c r="AU198" s="21">
        <f t="shared" si="2047"/>
        <v>9.20059070097372</v>
      </c>
      <c r="AV198" s="21">
        <f t="shared" si="2047"/>
        <v>14.284110931649593</v>
      </c>
      <c r="AW198" s="21">
        <f t="shared" si="2047"/>
        <v>48.255889068350484</v>
      </c>
      <c r="AX198" s="21">
        <f t="shared" si="2047"/>
        <v>1.2991079376503194</v>
      </c>
      <c r="AY198" s="21">
        <f t="shared" si="2047"/>
        <v>-60.479107937650355</v>
      </c>
      <c r="AZ198" s="21">
        <f t="shared" si="2047"/>
        <v>8.4164521654025748</v>
      </c>
      <c r="BA198" s="21">
        <f t="shared" si="2047"/>
        <v>-2.2964521654026413</v>
      </c>
      <c r="BB198" s="21">
        <f t="shared" si="2047"/>
        <v>7.4453877363545189</v>
      </c>
      <c r="BC198" s="21">
        <f t="shared" si="2047"/>
        <v>-33.465387736354621</v>
      </c>
      <c r="BD198" s="21">
        <f t="shared" si="2047"/>
        <v>6.9631281519368713</v>
      </c>
      <c r="BE198" s="21">
        <f t="shared" si="2047"/>
        <v>-100.87312815193681</v>
      </c>
      <c r="BF198" s="21">
        <f t="shared" si="2047"/>
        <v>5.5911088964423339</v>
      </c>
      <c r="BG198" s="21">
        <f t="shared" si="2047"/>
        <v>16.778891103557726</v>
      </c>
      <c r="BH198" s="21">
        <f t="shared" si="2047"/>
        <v>-8.1359736683014034</v>
      </c>
      <c r="BI198" s="21">
        <f t="shared" si="2047"/>
        <v>-57.424026331698684</v>
      </c>
      <c r="BJ198" s="21">
        <f t="shared" si="2047"/>
        <v>-9.9567943301742616</v>
      </c>
      <c r="BK198" s="21">
        <f t="shared" si="2047"/>
        <v>352.69679433017421</v>
      </c>
      <c r="BL198" s="21">
        <f t="shared" si="2047"/>
        <v>-11.331923155818345</v>
      </c>
      <c r="BM198" s="21">
        <f t="shared" si="2047"/>
        <v>-332.4780768441816</v>
      </c>
      <c r="BN198" s="21">
        <f t="shared" si="2047"/>
        <v>54.358714399551332</v>
      </c>
      <c r="BO198" s="21">
        <f t="shared" si="2047"/>
        <v>15.971285600448937</v>
      </c>
      <c r="BP198" s="21">
        <f t="shared" si="2047"/>
        <v>-33.136796922548911</v>
      </c>
      <c r="BQ198" s="21">
        <f t="shared" si="2047"/>
        <v>-98.063203077451249</v>
      </c>
      <c r="BR198" s="21">
        <f t="shared" si="2047"/>
        <v>-47.201926090620532</v>
      </c>
      <c r="BS198" s="21">
        <f t="shared" si="2047"/>
        <v>-94.288073909379506</v>
      </c>
      <c r="BT198" s="21">
        <f t="shared" si="2047"/>
        <v>-4.3054785403837741</v>
      </c>
      <c r="BU198" s="21">
        <f t="shared" si="2047"/>
        <v>29.835478540383821</v>
      </c>
      <c r="BV198" s="21">
        <f t="shared" si="2047"/>
        <v>-40.80024215124638</v>
      </c>
      <c r="BW198" s="21">
        <f t="shared" si="2047"/>
        <v>-115.77975784875341</v>
      </c>
      <c r="BX198" s="21">
        <f t="shared" si="2047"/>
        <v>18.040087299885045</v>
      </c>
      <c r="BY198" s="21">
        <f t="shared" si="2047"/>
        <v>50.539912700114769</v>
      </c>
      <c r="BZ198" s="21">
        <f t="shared" si="2047"/>
        <v>21.548863449351302</v>
      </c>
      <c r="CA198" s="21">
        <f t="shared" si="2047"/>
        <v>24.261136550648459</v>
      </c>
      <c r="CB198" s="21">
        <f t="shared" si="2047"/>
        <v>-30.319670902364237</v>
      </c>
      <c r="CC198" s="21">
        <f t="shared" si="2047"/>
        <v>196.30967090236442</v>
      </c>
      <c r="CD198" s="21">
        <f t="shared" si="2047"/>
        <v>-3.7405626687425411</v>
      </c>
      <c r="CE198" s="21">
        <f t="shared" ref="CE198:CF198" si="2048">CE196-CE197</f>
        <v>-93.689437331257508</v>
      </c>
      <c r="CF198" s="21">
        <f t="shared" si="2048"/>
        <v>-8.1606122448982887</v>
      </c>
      <c r="CG198" s="21">
        <f t="shared" ref="CG198:CH198" si="2049">CG196-CG197</f>
        <v>196.45061224489825</v>
      </c>
      <c r="CH198" s="21">
        <f t="shared" si="2049"/>
        <v>5.082206716092287</v>
      </c>
      <c r="CI198" s="21">
        <f t="shared" ref="CI198:CJ198" si="2050">CI196-CI197</f>
        <v>-141.18220671609237</v>
      </c>
      <c r="CJ198" s="21">
        <f t="shared" si="2050"/>
        <v>-8.8867745781814165</v>
      </c>
      <c r="CK198" s="20">
        <f t="shared" ref="CK198:DA198" si="2051">CK196-CK197</f>
        <v>1.1009104421542588</v>
      </c>
      <c r="CL198" s="21">
        <f t="shared" si="2051"/>
        <v>6.6970733221172623</v>
      </c>
      <c r="CM198" s="20">
        <f t="shared" si="2051"/>
        <v>9.7076019932061399</v>
      </c>
      <c r="CN198" s="20">
        <f t="shared" si="2051"/>
        <v>-12.11381215053791</v>
      </c>
      <c r="CO198" s="20">
        <f t="shared" si="2051"/>
        <v>-1.8750669234002544</v>
      </c>
      <c r="CP198" s="20">
        <f t="shared" si="2051"/>
        <v>8.3246153088895198</v>
      </c>
      <c r="CQ198" s="20">
        <f t="shared" si="2051"/>
        <v>10.680688621337822</v>
      </c>
      <c r="CR198" s="20">
        <f t="shared" si="2051"/>
        <v>-12.8635810509968</v>
      </c>
      <c r="CS198" s="20">
        <f t="shared" si="2051"/>
        <v>-2.2648458727338721</v>
      </c>
      <c r="CT198" s="20">
        <f t="shared" si="2051"/>
        <v>8.6175684572149294</v>
      </c>
      <c r="CU198" s="20">
        <f t="shared" si="2051"/>
        <v>10.726820201464875</v>
      </c>
      <c r="CV198" s="20">
        <f t="shared" si="2051"/>
        <v>-12.934565904529563</v>
      </c>
      <c r="CW198" s="20">
        <f t="shared" si="2051"/>
        <v>-2.2653167666791205</v>
      </c>
      <c r="CX198" s="20">
        <f t="shared" si="2051"/>
        <v>8.6142530775318846</v>
      </c>
      <c r="CY198" s="20">
        <f t="shared" si="2051"/>
        <v>10.631658910539727</v>
      </c>
      <c r="CZ198" s="20">
        <f t="shared" si="2051"/>
        <v>-12.850611424494787</v>
      </c>
      <c r="DA198" s="20">
        <f t="shared" si="2051"/>
        <v>-2.2393371593626625</v>
      </c>
      <c r="DD198" s="125"/>
      <c r="DE198" s="21">
        <v>-143.88586413602724</v>
      </c>
    </row>
    <row r="199" spans="1:109" s="21" customFormat="1" x14ac:dyDescent="0.2">
      <c r="A199" s="21" t="s">
        <v>91</v>
      </c>
      <c r="C199" s="21">
        <f t="shared" ref="C199:W199" si="2052">C195+C198</f>
        <v>0</v>
      </c>
      <c r="D199" s="21">
        <f>D195+D198</f>
        <v>15.416399999999996</v>
      </c>
      <c r="E199" s="21">
        <f t="shared" si="2052"/>
        <v>59.704499999999982</v>
      </c>
      <c r="F199" s="21">
        <f t="shared" si="2052"/>
        <v>32.126400000000018</v>
      </c>
      <c r="G199" s="21">
        <f t="shared" si="2052"/>
        <v>30.165500000000094</v>
      </c>
      <c r="H199" s="21">
        <f t="shared" si="2052"/>
        <v>73.764099999999985</v>
      </c>
      <c r="I199" s="21">
        <f t="shared" si="2052"/>
        <v>29.146100000000004</v>
      </c>
      <c r="J199" s="21">
        <f>J195+J198</f>
        <v>67.193800000000039</v>
      </c>
      <c r="K199" s="21">
        <f t="shared" si="2052"/>
        <v>77.334399999999974</v>
      </c>
      <c r="L199" s="21">
        <f t="shared" si="2052"/>
        <v>40.321499999999986</v>
      </c>
      <c r="M199" s="21">
        <f t="shared" si="2052"/>
        <v>88.841499999999911</v>
      </c>
      <c r="N199" s="21">
        <f t="shared" si="2052"/>
        <v>60.986499999999907</v>
      </c>
      <c r="O199" s="21">
        <f t="shared" si="2052"/>
        <v>57.237000000000009</v>
      </c>
      <c r="P199" s="21">
        <f t="shared" si="2052"/>
        <v>101.97180000000003</v>
      </c>
      <c r="Q199" s="21">
        <f t="shared" si="2052"/>
        <v>129.04390000000012</v>
      </c>
      <c r="R199" s="21">
        <f t="shared" si="2052"/>
        <v>112.98509999999978</v>
      </c>
      <c r="S199" s="21">
        <f t="shared" si="2052"/>
        <v>67.555999999999869</v>
      </c>
      <c r="T199" s="21">
        <f t="shared" si="2052"/>
        <v>84.981100000000126</v>
      </c>
      <c r="U199" s="21">
        <f t="shared" si="2052"/>
        <v>255.71719999999962</v>
      </c>
      <c r="V199" s="21">
        <f t="shared" si="2052"/>
        <v>213.61999999999995</v>
      </c>
      <c r="W199" s="21">
        <f t="shared" si="2052"/>
        <v>-31.08999999999979</v>
      </c>
      <c r="X199" s="21">
        <f t="shared" ref="X199:Y199" si="2053">X195+X198</f>
        <v>23.299999999999201</v>
      </c>
      <c r="Y199" s="21">
        <f t="shared" si="2053"/>
        <v>677.47000000000048</v>
      </c>
      <c r="Z199" s="21">
        <f t="shared" ref="Z199:AA199" si="2054">Z195+Z198</f>
        <v>151.59999999999968</v>
      </c>
      <c r="AA199" s="21">
        <f t="shared" si="2054"/>
        <v>236.98000000000008</v>
      </c>
      <c r="AB199" s="20">
        <f t="shared" ref="AA199:AD199" si="2055">AB195+AB198</f>
        <v>18.776841225024668</v>
      </c>
      <c r="AC199" s="20">
        <f t="shared" si="2055"/>
        <v>267.98316992178428</v>
      </c>
      <c r="AD199" s="20">
        <f t="shared" si="2055"/>
        <v>311.68729204403189</v>
      </c>
      <c r="AE199" s="20">
        <f t="shared" ref="AE199" si="2056">AE195+AE198</f>
        <v>365.69417796592302</v>
      </c>
      <c r="AI199" s="21">
        <f t="shared" ref="AI199" si="2057">AI195+AI198</f>
        <v>-85.28000000000003</v>
      </c>
      <c r="AJ199" s="21">
        <f t="shared" ref="AJ199:AL199" si="2058">AJ195+AJ198</f>
        <v>48.536063392682436</v>
      </c>
      <c r="AK199" s="21">
        <f t="shared" si="2058"/>
        <v>-3.0960633926825096</v>
      </c>
      <c r="AL199" s="21">
        <f t="shared" si="2058"/>
        <v>20.269553924566818</v>
      </c>
      <c r="AM199" s="21">
        <f t="shared" ref="AM199" si="2059">AM195+AM198</f>
        <v>-21.739553924566792</v>
      </c>
      <c r="AN199" s="21">
        <f t="shared" ref="AN199:CD199" si="2060">AN195+AN198</f>
        <v>48.998004921127169</v>
      </c>
      <c r="AO199" s="21">
        <f t="shared" si="2060"/>
        <v>11.871995078872875</v>
      </c>
      <c r="AP199" s="21">
        <f t="shared" si="2060"/>
        <v>32.35829053558335</v>
      </c>
      <c r="AQ199" s="21">
        <f t="shared" si="2060"/>
        <v>-8.6982905355833893</v>
      </c>
      <c r="AR199" s="21">
        <f t="shared" si="2060"/>
        <v>32.424398902159453</v>
      </c>
      <c r="AS199" s="21">
        <f t="shared" si="2060"/>
        <v>44.395601097840483</v>
      </c>
      <c r="AT199" s="21">
        <f t="shared" si="2060"/>
        <v>-32.110590700973702</v>
      </c>
      <c r="AU199" s="21">
        <f t="shared" si="2060"/>
        <v>52.82059070097381</v>
      </c>
      <c r="AV199" s="21">
        <f t="shared" si="2060"/>
        <v>53.924110931649516</v>
      </c>
      <c r="AW199" s="21">
        <f t="shared" si="2060"/>
        <v>92.065889068350415</v>
      </c>
      <c r="AX199" s="21">
        <f t="shared" si="2060"/>
        <v>58.759107937650292</v>
      </c>
      <c r="AY199" s="21">
        <f t="shared" si="2060"/>
        <v>-19.249107937650336</v>
      </c>
      <c r="AZ199" s="21">
        <f t="shared" si="2060"/>
        <v>48.266452165402413</v>
      </c>
      <c r="BA199" s="21">
        <f t="shared" si="2060"/>
        <v>34.723547834597291</v>
      </c>
      <c r="BB199" s="21">
        <f t="shared" si="2060"/>
        <v>44.395387736354593</v>
      </c>
      <c r="BC199" s="21">
        <f t="shared" si="2060"/>
        <v>-4.1353877363547049</v>
      </c>
      <c r="BD199" s="21">
        <f t="shared" si="2060"/>
        <v>47.453128151936831</v>
      </c>
      <c r="BE199" s="21">
        <f t="shared" si="2060"/>
        <v>-58.773128151936803</v>
      </c>
      <c r="BF199" s="21">
        <f t="shared" si="2060"/>
        <v>43.411108896442371</v>
      </c>
      <c r="BG199" s="21">
        <f t="shared" si="2060"/>
        <v>51.748891103557717</v>
      </c>
      <c r="BH199" s="21">
        <f t="shared" si="2060"/>
        <v>-0.66597366830141524</v>
      </c>
      <c r="BI199" s="21">
        <f t="shared" si="2060"/>
        <v>-17.434026331698568</v>
      </c>
      <c r="BJ199" s="21">
        <f t="shared" si="2060"/>
        <v>53.673205669825798</v>
      </c>
      <c r="BK199" s="21">
        <f t="shared" si="2060"/>
        <v>402.06679433017422</v>
      </c>
      <c r="BL199" s="21">
        <f t="shared" si="2060"/>
        <v>42.428076844181646</v>
      </c>
      <c r="BM199" s="21">
        <f t="shared" si="2060"/>
        <v>-242.26807684418145</v>
      </c>
      <c r="BN199" s="21">
        <f t="shared" si="2060"/>
        <v>106.47871439955131</v>
      </c>
      <c r="BO199" s="21">
        <f t="shared" si="2060"/>
        <v>67.431285600448973</v>
      </c>
      <c r="BP199" s="21">
        <f t="shared" si="2060"/>
        <v>28.283203077451013</v>
      </c>
      <c r="BQ199" s="21">
        <f t="shared" si="2060"/>
        <v>-69.143203077451261</v>
      </c>
      <c r="BR199" s="21">
        <f t="shared" si="2060"/>
        <v>-8.0319260906204661</v>
      </c>
      <c r="BS199" s="21">
        <f t="shared" si="2060"/>
        <v>-74.25807390937959</v>
      </c>
      <c r="BT199" s="21">
        <f t="shared" si="2060"/>
        <v>-3.1054785403839169</v>
      </c>
      <c r="BU199" s="21">
        <f t="shared" si="2060"/>
        <v>38.905478540383896</v>
      </c>
      <c r="BV199" s="21">
        <f t="shared" si="2060"/>
        <v>5.8997578487537936</v>
      </c>
      <c r="BW199" s="21">
        <f t="shared" si="2060"/>
        <v>-85.679757848753368</v>
      </c>
      <c r="BX199" s="21">
        <f t="shared" si="2060"/>
        <v>39.110087299885087</v>
      </c>
      <c r="BY199" s="21">
        <f t="shared" si="2060"/>
        <v>88.359912700114791</v>
      </c>
      <c r="BZ199" s="21">
        <f t="shared" si="2060"/>
        <v>72.6288634493513</v>
      </c>
      <c r="CA199" s="21">
        <f t="shared" si="2060"/>
        <v>50.271136550648485</v>
      </c>
      <c r="CB199" s="21">
        <f t="shared" si="2060"/>
        <v>12.780329097635764</v>
      </c>
      <c r="CC199" s="21">
        <f t="shared" si="2060"/>
        <v>534.9096709023645</v>
      </c>
      <c r="CD199" s="21">
        <f t="shared" si="2060"/>
        <v>31.809437331257413</v>
      </c>
      <c r="CE199" s="21">
        <f t="shared" ref="CE199:CF199" si="2061">CE195+CE198</f>
        <v>-43.199437331257414</v>
      </c>
      <c r="CF199" s="21">
        <f t="shared" si="2061"/>
        <v>15.739387755101696</v>
      </c>
      <c r="CG199" s="21">
        <f t="shared" ref="CG199:CH199" si="2062">CG195+CG198</f>
        <v>221.96061224489824</v>
      </c>
      <c r="CH199" s="21">
        <f t="shared" si="2062"/>
        <v>43.912206716092307</v>
      </c>
      <c r="CI199" s="21">
        <f t="shared" ref="CI199:CJ199" si="2063">CI195+CI198</f>
        <v>-103.15220671609239</v>
      </c>
      <c r="CJ199" s="21">
        <f t="shared" si="2063"/>
        <v>40.693225421818489</v>
      </c>
      <c r="CK199" s="20">
        <f t="shared" ref="CK199:DA199" si="2064">CK195+CK198</f>
        <v>44.980910442154268</v>
      </c>
      <c r="CL199" s="21">
        <f t="shared" si="2064"/>
        <v>55.807073322117304</v>
      </c>
      <c r="CM199" s="20">
        <f t="shared" si="2064"/>
        <v>65.982352705051184</v>
      </c>
      <c r="CN199" s="20">
        <f t="shared" si="2064"/>
        <v>48.427654766637147</v>
      </c>
      <c r="CO199" s="20">
        <f t="shared" si="2064"/>
        <v>59.105624567246679</v>
      </c>
      <c r="CP199" s="20">
        <f t="shared" si="2064"/>
        <v>69.660247240050992</v>
      </c>
      <c r="CQ199" s="20">
        <f t="shared" si="2064"/>
        <v>75.075189492946762</v>
      </c>
      <c r="CR199" s="20">
        <f t="shared" si="2064"/>
        <v>55.4507211410575</v>
      </c>
      <c r="CS199" s="20">
        <f t="shared" si="2064"/>
        <v>67.797012047728927</v>
      </c>
      <c r="CT199" s="20">
        <f t="shared" si="2064"/>
        <v>80.553784497065578</v>
      </c>
      <c r="CU199" s="20">
        <f t="shared" si="2064"/>
        <v>85.377342222113455</v>
      </c>
      <c r="CV199" s="20">
        <f t="shared" si="2064"/>
        <v>66.238832194266791</v>
      </c>
      <c r="CW199" s="20">
        <f t="shared" si="2064"/>
        <v>79.517333130586351</v>
      </c>
      <c r="CX199" s="20">
        <f t="shared" si="2064"/>
        <v>93.023540604932506</v>
      </c>
      <c r="CY199" s="20">
        <f t="shared" si="2064"/>
        <v>98.319226190041164</v>
      </c>
      <c r="CZ199" s="20">
        <f t="shared" si="2064"/>
        <v>80.140596174711689</v>
      </c>
      <c r="DA199" s="20">
        <f t="shared" si="2064"/>
        <v>94.210814996237715</v>
      </c>
      <c r="DD199" s="125"/>
      <c r="DE199" s="21">
        <v>26.434135863972472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65">C202+C203</f>
        <v>0</v>
      </c>
      <c r="D201" s="21">
        <f>D202+D203</f>
        <v>-147.97210000000001</v>
      </c>
      <c r="E201" s="21">
        <f t="shared" si="2065"/>
        <v>-7.5881999999999969</v>
      </c>
      <c r="F201" s="21">
        <f t="shared" si="2065"/>
        <v>-44.713499999999989</v>
      </c>
      <c r="G201" s="21">
        <f t="shared" si="2065"/>
        <v>-23.582600000000056</v>
      </c>
      <c r="H201" s="21">
        <f t="shared" si="2065"/>
        <v>-84.57439999999994</v>
      </c>
      <c r="I201" s="21">
        <f t="shared" si="2065"/>
        <v>-46.667599999999993</v>
      </c>
      <c r="J201" s="21">
        <f t="shared" si="2065"/>
        <v>-24.657400000000024</v>
      </c>
      <c r="K201" s="21">
        <f t="shared" si="2065"/>
        <v>-23.640999999999973</v>
      </c>
      <c r="L201" s="21">
        <f t="shared" si="2065"/>
        <v>-7.7287000000000603</v>
      </c>
      <c r="M201" s="21">
        <f t="shared" si="2065"/>
        <v>-35.664399999999944</v>
      </c>
      <c r="N201" s="21">
        <f t="shared" si="2065"/>
        <v>-100.78570000000001</v>
      </c>
      <c r="O201" s="21">
        <f t="shared" si="2065"/>
        <v>-37.372500000000116</v>
      </c>
      <c r="P201" s="21">
        <f t="shared" si="2065"/>
        <v>-82.283299999999912</v>
      </c>
      <c r="Q201" s="21">
        <f t="shared" si="2065"/>
        <v>-567.81770000000006</v>
      </c>
      <c r="R201" s="21">
        <f t="shared" si="2065"/>
        <v>199.14050000000003</v>
      </c>
      <c r="S201" s="21">
        <f t="shared" si="2065"/>
        <v>-57.974600000000066</v>
      </c>
      <c r="T201" s="21">
        <f t="shared" si="2065"/>
        <v>-168.18769999999989</v>
      </c>
      <c r="U201" s="21">
        <f t="shared" si="2065"/>
        <v>-59.502100000000077</v>
      </c>
      <c r="V201" s="21">
        <f t="shared" si="2065"/>
        <v>-180.33999999999992</v>
      </c>
      <c r="W201" s="21">
        <f t="shared" si="2065"/>
        <v>-94.939999999999941</v>
      </c>
      <c r="X201" s="21">
        <f t="shared" ref="X201:Y201" si="2066">X202+X203</f>
        <v>-19.949999999999989</v>
      </c>
      <c r="Y201" s="21">
        <f t="shared" si="2066"/>
        <v>-149.66000000000008</v>
      </c>
      <c r="Z201" s="21">
        <f t="shared" ref="Z201:AA201" si="2067">Z202+Z203</f>
        <v>-71.029999999999745</v>
      </c>
      <c r="AA201" s="21">
        <f t="shared" si="2067"/>
        <v>-53.0300000000002</v>
      </c>
      <c r="AB201" s="20">
        <f t="shared" ref="AA201:AD201" si="2068">AB202+AB203</f>
        <v>-44.240000000000009</v>
      </c>
      <c r="AC201" s="20">
        <f t="shared" si="2068"/>
        <v>-94.04000000000002</v>
      </c>
      <c r="AD201" s="20">
        <f t="shared" si="2068"/>
        <v>-94.04000000000002</v>
      </c>
      <c r="AE201" s="20">
        <f t="shared" ref="AE201" si="2069">AE202+AE203</f>
        <v>-94.04000000000002</v>
      </c>
      <c r="AI201" s="21">
        <f t="shared" ref="AI201" si="2070">AI202+AI203</f>
        <v>-193.34999999999997</v>
      </c>
      <c r="AJ201" s="21">
        <f t="shared" ref="AJ201:AL201" si="2071">AJ202+AJ203</f>
        <v>-8.7400000000000091</v>
      </c>
      <c r="AK201" s="21">
        <f t="shared" si="2071"/>
        <v>-72.559999999999988</v>
      </c>
      <c r="AL201" s="21">
        <f t="shared" si="2071"/>
        <v>-10.259999999999991</v>
      </c>
      <c r="AM201" s="21">
        <f t="shared" ref="AM201" si="2072">AM202+AM203</f>
        <v>-9.039999999999992</v>
      </c>
      <c r="AN201" s="21">
        <f t="shared" ref="AN201:CD201" si="2073">AN202+AN203</f>
        <v>-10.599999999999994</v>
      </c>
      <c r="AO201" s="21">
        <f t="shared" si="2073"/>
        <v>-7.4699999999999989</v>
      </c>
      <c r="AP201" s="21">
        <f t="shared" si="2073"/>
        <v>-10.930000000000007</v>
      </c>
      <c r="AQ201" s="21">
        <f t="shared" si="2073"/>
        <v>-25.090000000000032</v>
      </c>
      <c r="AR201" s="21">
        <f t="shared" si="2073"/>
        <v>-10.819999999999993</v>
      </c>
      <c r="AS201" s="21">
        <f t="shared" si="2073"/>
        <v>-35.449999999999989</v>
      </c>
      <c r="AT201" s="21">
        <f t="shared" si="2073"/>
        <v>-19.910000000000025</v>
      </c>
      <c r="AU201" s="21">
        <f t="shared" si="2073"/>
        <v>-535.77</v>
      </c>
      <c r="AV201" s="21">
        <f t="shared" si="2073"/>
        <v>-23.669999999999959</v>
      </c>
      <c r="AW201" s="21">
        <f t="shared" si="2073"/>
        <v>11.539999999999964</v>
      </c>
      <c r="AX201" s="21">
        <f t="shared" si="2073"/>
        <v>-23.17999999999995</v>
      </c>
      <c r="AY201" s="21">
        <f t="shared" si="2073"/>
        <v>13.529999999999973</v>
      </c>
      <c r="AZ201" s="21">
        <f t="shared" si="2073"/>
        <v>-23.059999999999945</v>
      </c>
      <c r="BA201" s="21">
        <f t="shared" si="2073"/>
        <v>15.450000000000045</v>
      </c>
      <c r="BB201" s="21">
        <f t="shared" si="2073"/>
        <v>-20.629999999999995</v>
      </c>
      <c r="BC201" s="21">
        <f t="shared" si="2073"/>
        <v>191.94999999999993</v>
      </c>
      <c r="BD201" s="21">
        <f t="shared" si="2073"/>
        <v>-21.360000000000014</v>
      </c>
      <c r="BE201" s="21">
        <f t="shared" si="2073"/>
        <v>10.230000000000018</v>
      </c>
      <c r="BF201" s="21">
        <f t="shared" si="2073"/>
        <v>-20.019999999999982</v>
      </c>
      <c r="BG201" s="21">
        <f t="shared" si="2073"/>
        <v>-122.96999999999991</v>
      </c>
      <c r="BH201" s="21">
        <f t="shared" si="2073"/>
        <v>-22.590000000000032</v>
      </c>
      <c r="BI201" s="21">
        <f t="shared" si="2073"/>
        <v>-2.6000000000001364</v>
      </c>
      <c r="BJ201" s="21">
        <f t="shared" si="2073"/>
        <v>-21.600000000000023</v>
      </c>
      <c r="BK201" s="21">
        <f t="shared" si="2073"/>
        <v>-5.0799999999998704</v>
      </c>
      <c r="BL201" s="21">
        <f t="shared" si="2073"/>
        <v>-21.860000000000014</v>
      </c>
      <c r="BM201" s="21">
        <f t="shared" si="2073"/>
        <v>-10.960000000000036</v>
      </c>
      <c r="BN201" s="21">
        <f t="shared" si="2073"/>
        <v>-24.810000000000002</v>
      </c>
      <c r="BO201" s="21">
        <f t="shared" si="2073"/>
        <v>-78.029999999999973</v>
      </c>
      <c r="BP201" s="21">
        <f t="shared" si="2073"/>
        <v>-24.539999999999964</v>
      </c>
      <c r="BQ201" s="21">
        <f t="shared" si="2073"/>
        <v>25.609999999999957</v>
      </c>
      <c r="BR201" s="21">
        <f t="shared" si="2073"/>
        <v>-23</v>
      </c>
      <c r="BS201" s="21">
        <f t="shared" si="2073"/>
        <v>0.93999999999999773</v>
      </c>
      <c r="BT201" s="21">
        <f t="shared" si="2073"/>
        <v>-23.04000000000002</v>
      </c>
      <c r="BU201" s="21">
        <f t="shared" si="2073"/>
        <v>-39.710000000000036</v>
      </c>
      <c r="BV201" s="21">
        <f t="shared" si="2073"/>
        <v>-22.089999999999975</v>
      </c>
      <c r="BW201" s="21">
        <f t="shared" si="2073"/>
        <v>-58.269999999999925</v>
      </c>
      <c r="BX201" s="21">
        <f t="shared" si="2073"/>
        <v>-21.029999999999973</v>
      </c>
      <c r="BY201" s="21">
        <f t="shared" si="2073"/>
        <v>57.499999999999886</v>
      </c>
      <c r="BZ201" s="21">
        <f t="shared" si="2073"/>
        <v>-15.589999999999975</v>
      </c>
      <c r="CA201" s="21">
        <f t="shared" si="2073"/>
        <v>-91.049999999999898</v>
      </c>
      <c r="CB201" s="21">
        <f t="shared" si="2073"/>
        <v>-10.830000000000041</v>
      </c>
      <c r="CC201" s="21">
        <f t="shared" si="2073"/>
        <v>-25.189999999999941</v>
      </c>
      <c r="CD201" s="21">
        <f t="shared" si="2073"/>
        <v>-9.5199999999999818</v>
      </c>
      <c r="CE201" s="21">
        <f t="shared" ref="CE201:CF201" si="2074">CE202+CE203</f>
        <v>-19.220000000000141</v>
      </c>
      <c r="CF201" s="21">
        <f t="shared" si="2074"/>
        <v>-12.190000000000055</v>
      </c>
      <c r="CG201" s="21">
        <f t="shared" ref="CG201:CH201" si="2075">CG202+CG203</f>
        <v>-101.85999999999979</v>
      </c>
      <c r="CH201" s="21">
        <f t="shared" si="2075"/>
        <v>-12.67999999999995</v>
      </c>
      <c r="CI201" s="21">
        <f t="shared" ref="CI201:CJ201" si="2076">CI202+CI203</f>
        <v>35.839999999999691</v>
      </c>
      <c r="CJ201" s="21">
        <f t="shared" si="2076"/>
        <v>-12.809999999999945</v>
      </c>
      <c r="CK201" s="20">
        <f t="shared" ref="CK201:DA201" si="2077">CK202+CK203</f>
        <v>-13.580000000000041</v>
      </c>
      <c r="CL201" s="21">
        <f t="shared" si="2077"/>
        <v>-23.509999999999991</v>
      </c>
      <c r="CM201" s="20">
        <f t="shared" si="2077"/>
        <v>-23.509999999999991</v>
      </c>
      <c r="CN201" s="20">
        <f t="shared" si="2077"/>
        <v>-23.509999999999991</v>
      </c>
      <c r="CO201" s="20">
        <f t="shared" si="2077"/>
        <v>-23.509999999999991</v>
      </c>
      <c r="CP201" s="20">
        <f t="shared" si="2077"/>
        <v>-23.509999999999991</v>
      </c>
      <c r="CQ201" s="20">
        <f t="shared" si="2077"/>
        <v>-23.509999999999991</v>
      </c>
      <c r="CR201" s="20">
        <f t="shared" si="2077"/>
        <v>-23.509999999999991</v>
      </c>
      <c r="CS201" s="20">
        <f t="shared" si="2077"/>
        <v>-23.509999999999991</v>
      </c>
      <c r="CT201" s="20">
        <f t="shared" si="2077"/>
        <v>-23.509999999999991</v>
      </c>
      <c r="CU201" s="20">
        <f t="shared" si="2077"/>
        <v>-23.509999999999991</v>
      </c>
      <c r="CV201" s="20">
        <f t="shared" si="2077"/>
        <v>-23.509999999999991</v>
      </c>
      <c r="CW201" s="20">
        <f t="shared" si="2077"/>
        <v>-23.509999999999991</v>
      </c>
      <c r="CX201" s="20">
        <f t="shared" si="2077"/>
        <v>-23.509999999999991</v>
      </c>
      <c r="CY201" s="20">
        <f t="shared" si="2077"/>
        <v>-23.509999999999991</v>
      </c>
      <c r="CZ201" s="20">
        <f t="shared" si="2077"/>
        <v>-23.509999999999991</v>
      </c>
      <c r="DA201" s="20">
        <f t="shared" si="2077"/>
        <v>-23.509999999999991</v>
      </c>
      <c r="DD201" s="125"/>
      <c r="DE201" s="21">
        <v>-3.2300000000002456</v>
      </c>
    </row>
    <row r="202" spans="1:109" s="22" customFormat="1" x14ac:dyDescent="0.2">
      <c r="A202" s="22" t="s">
        <v>93</v>
      </c>
      <c r="C202" s="22">
        <f t="shared" ref="C202:AA202" si="2078">B140-C140</f>
        <v>0</v>
      </c>
      <c r="D202" s="22">
        <f t="shared" si="2078"/>
        <v>-0.36109999999999998</v>
      </c>
      <c r="E202" s="22">
        <f>D140-E140</f>
        <v>0.33079999999999998</v>
      </c>
      <c r="F202" s="22">
        <f t="shared" si="2078"/>
        <v>-0.3306</v>
      </c>
      <c r="G202" s="22">
        <f t="shared" si="2078"/>
        <v>4.0000000000001146E-4</v>
      </c>
      <c r="H202" s="22">
        <f t="shared" si="2078"/>
        <v>4.4399999999999995E-2</v>
      </c>
      <c r="I202" s="22">
        <f t="shared" si="2078"/>
        <v>0</v>
      </c>
      <c r="J202" s="22">
        <f>I140-J140</f>
        <v>0</v>
      </c>
      <c r="K202" s="22">
        <f>J140-K140</f>
        <v>0.31109999999999999</v>
      </c>
      <c r="L202" s="22">
        <f t="shared" si="2078"/>
        <v>0</v>
      </c>
      <c r="M202" s="22">
        <f t="shared" si="2078"/>
        <v>0</v>
      </c>
      <c r="N202" s="22">
        <f t="shared" si="2078"/>
        <v>4.7000000000000002E-3</v>
      </c>
      <c r="O202" s="22">
        <f t="shared" si="2078"/>
        <v>0</v>
      </c>
      <c r="P202" s="22">
        <f t="shared" si="2078"/>
        <v>0</v>
      </c>
      <c r="Q202" s="22">
        <f t="shared" si="2078"/>
        <v>0</v>
      </c>
      <c r="R202" s="22">
        <f t="shared" si="2078"/>
        <v>0</v>
      </c>
      <c r="S202" s="22">
        <f t="shared" si="2078"/>
        <v>0</v>
      </c>
      <c r="T202" s="22">
        <f t="shared" si="2078"/>
        <v>0</v>
      </c>
      <c r="U202" s="22">
        <f t="shared" si="2078"/>
        <v>2.9999999999999997E-4</v>
      </c>
      <c r="V202" s="22">
        <f t="shared" si="2078"/>
        <v>0</v>
      </c>
      <c r="W202" s="22">
        <f t="shared" si="2078"/>
        <v>0</v>
      </c>
      <c r="X202" s="22">
        <f t="shared" si="2078"/>
        <v>0</v>
      </c>
      <c r="Y202" s="22">
        <f t="shared" si="2078"/>
        <v>0</v>
      </c>
      <c r="Z202" s="22">
        <f t="shared" si="2078"/>
        <v>0</v>
      </c>
      <c r="AA202" s="22">
        <f t="shared" si="2078"/>
        <v>0</v>
      </c>
      <c r="AB202" s="23">
        <f t="shared" ref="AB202" si="2079">AA140-AB140</f>
        <v>0</v>
      </c>
      <c r="AC202" s="23">
        <f t="shared" ref="AC202" si="2080">AB140-AC140</f>
        <v>0</v>
      </c>
      <c r="AD202" s="23">
        <f t="shared" ref="AD202" si="2081">AC140-AD140</f>
        <v>0</v>
      </c>
      <c r="AE202" s="23">
        <f t="shared" ref="AE202" si="2082">AD140-AE140</f>
        <v>0</v>
      </c>
      <c r="AI202" s="22">
        <f t="shared" ref="AI202" si="2083">AH140-AI140</f>
        <v>-0.01</v>
      </c>
      <c r="AJ202" s="22">
        <f t="shared" ref="AJ202" si="2084">AI140-AJ140</f>
        <v>0</v>
      </c>
      <c r="AK202" s="22">
        <f t="shared" ref="AK202" si="2085">AJ140-AK140</f>
        <v>0.01</v>
      </c>
      <c r="AL202" s="22">
        <f t="shared" ref="AL202" si="2086">AK140-AL140</f>
        <v>0</v>
      </c>
      <c r="AM202" s="22">
        <f t="shared" ref="AM202" si="2087">AL140-AM140</f>
        <v>0</v>
      </c>
      <c r="AN202" s="22">
        <f t="shared" ref="AN202" si="2088">AM140-AN140</f>
        <v>0</v>
      </c>
      <c r="AO202" s="22">
        <f t="shared" ref="AO202" si="2089">AN140-AO140</f>
        <v>0</v>
      </c>
      <c r="AP202" s="22">
        <f t="shared" ref="AP202" si="2090">AO140-AP140</f>
        <v>0</v>
      </c>
      <c r="AQ202" s="22">
        <f t="shared" ref="AQ202" si="2091">AP140-AQ140</f>
        <v>0</v>
      </c>
      <c r="AR202" s="22">
        <f t="shared" ref="AR202" si="2092">AQ140-AR140</f>
        <v>0</v>
      </c>
      <c r="AS202" s="22">
        <f t="shared" ref="AS202" si="2093">AR140-AS140</f>
        <v>0</v>
      </c>
      <c r="AT202" s="22">
        <f t="shared" ref="AT202" si="2094">AS140-AT140</f>
        <v>0</v>
      </c>
      <c r="AU202" s="22">
        <f t="shared" ref="AU202" si="2095">AT140-AU140</f>
        <v>0</v>
      </c>
      <c r="AV202" s="22">
        <f t="shared" ref="AV202" si="2096">AU140-AV140</f>
        <v>0</v>
      </c>
      <c r="AW202" s="22">
        <f t="shared" ref="AW202" si="2097">AV140-AW140</f>
        <v>0</v>
      </c>
      <c r="AX202" s="22">
        <f t="shared" ref="AX202" si="2098">AW140-AX140</f>
        <v>0</v>
      </c>
      <c r="AY202" s="22">
        <f t="shared" ref="AY202" si="2099">AX140-AY140</f>
        <v>0</v>
      </c>
      <c r="AZ202" s="22">
        <f t="shared" ref="AZ202" si="2100">AY140-AZ140</f>
        <v>0</v>
      </c>
      <c r="BA202" s="22">
        <f t="shared" ref="BA202" si="2101">AZ140-BA140</f>
        <v>0</v>
      </c>
      <c r="BB202" s="22">
        <f t="shared" ref="BB202" si="2102">BA140-BB140</f>
        <v>0</v>
      </c>
      <c r="BC202" s="22">
        <f t="shared" ref="BC202" si="2103">BB140-BC140</f>
        <v>0</v>
      </c>
      <c r="BD202" s="22">
        <f t="shared" ref="BD202" si="2104">BC140-BD140</f>
        <v>0</v>
      </c>
      <c r="BE202" s="22">
        <f t="shared" ref="BE202" si="2105">BD140-BE140</f>
        <v>0</v>
      </c>
      <c r="BF202" s="22">
        <f t="shared" ref="BF202" si="2106">BE140-BF140</f>
        <v>0</v>
      </c>
      <c r="BG202" s="22">
        <f t="shared" ref="BG202" si="2107">BF140-BG140</f>
        <v>0</v>
      </c>
      <c r="BH202" s="22">
        <f t="shared" ref="BH202" si="2108">BG140-BH140</f>
        <v>0</v>
      </c>
      <c r="BI202" s="22">
        <f t="shared" ref="BI202" si="2109">BH140-BI140</f>
        <v>0</v>
      </c>
      <c r="BJ202" s="22">
        <f t="shared" ref="BJ202" si="2110">BI140-BJ140</f>
        <v>0</v>
      </c>
      <c r="BK202" s="22">
        <f t="shared" ref="BK202" si="2111">BJ140-BK140</f>
        <v>0</v>
      </c>
      <c r="BL202" s="22">
        <f t="shared" ref="BL202" si="2112">BK140-BL140</f>
        <v>0</v>
      </c>
      <c r="BM202" s="22">
        <f t="shared" ref="BM202" si="2113">BL140-BM140</f>
        <v>0</v>
      </c>
      <c r="BN202" s="22">
        <f t="shared" ref="BN202" si="2114">BM140-BN140</f>
        <v>0</v>
      </c>
      <c r="BO202" s="22">
        <f t="shared" ref="BO202" si="2115">BN140-BO140</f>
        <v>0</v>
      </c>
      <c r="BP202" s="22">
        <f t="shared" ref="BP202" si="2116">BO140-BP140</f>
        <v>0</v>
      </c>
      <c r="BQ202" s="22">
        <f t="shared" ref="BQ202" si="2117">BP140-BQ140</f>
        <v>0</v>
      </c>
      <c r="BR202" s="22">
        <f t="shared" ref="BR202" si="2118">BQ140-BR140</f>
        <v>0</v>
      </c>
      <c r="BS202" s="22">
        <f t="shared" ref="BS202" si="2119">BR140-BS140</f>
        <v>0</v>
      </c>
      <c r="BT202" s="22">
        <f t="shared" ref="BT202" si="2120">BS140-BT140</f>
        <v>0</v>
      </c>
      <c r="BU202" s="22">
        <f t="shared" ref="BU202" si="2121">BT140-BU140</f>
        <v>0</v>
      </c>
      <c r="BV202" s="22">
        <f t="shared" ref="BV202" si="2122">BU140-BV140</f>
        <v>0</v>
      </c>
      <c r="BW202" s="22">
        <f t="shared" ref="BW202" si="2123">BV140-BW140</f>
        <v>0</v>
      </c>
      <c r="BX202" s="22">
        <f t="shared" ref="BX202" si="2124">BW140-BX140</f>
        <v>0</v>
      </c>
      <c r="BY202" s="22">
        <f t="shared" ref="BY202" si="2125">BX140-BY140</f>
        <v>0</v>
      </c>
      <c r="BZ202" s="22">
        <f t="shared" ref="BZ202" si="2126">BY140-BZ140</f>
        <v>0</v>
      </c>
      <c r="CA202" s="22">
        <f t="shared" ref="CA202" si="2127">BZ140-CA140</f>
        <v>0</v>
      </c>
      <c r="CB202" s="22">
        <f t="shared" ref="CB202" si="2128">CA140-CB140</f>
        <v>0</v>
      </c>
      <c r="CC202" s="22">
        <f t="shared" ref="CC202" si="2129">CB140-CC140</f>
        <v>0</v>
      </c>
      <c r="CD202" s="22">
        <f t="shared" ref="CD202" si="2130">CC140-CD140</f>
        <v>0</v>
      </c>
      <c r="CE202" s="22">
        <f t="shared" ref="CE202" si="2131">CD140-CE140</f>
        <v>0</v>
      </c>
      <c r="CF202" s="22">
        <f t="shared" ref="CF202" si="2132">CE140-CF140</f>
        <v>0</v>
      </c>
      <c r="CG202" s="22">
        <f t="shared" ref="CG202" si="2133">CF140-CG140</f>
        <v>0</v>
      </c>
      <c r="CH202" s="22">
        <f t="shared" ref="CH202:CL202" si="2134">CG140-CH140</f>
        <v>0</v>
      </c>
      <c r="CI202" s="22">
        <f t="shared" si="2134"/>
        <v>0</v>
      </c>
      <c r="CJ202" s="22">
        <f t="shared" si="2134"/>
        <v>0</v>
      </c>
      <c r="CK202" s="23">
        <f t="shared" ref="CK202" si="2135">CJ140-CK140</f>
        <v>0</v>
      </c>
      <c r="CL202" s="22">
        <f t="shared" si="2134"/>
        <v>0</v>
      </c>
      <c r="CM202" s="23">
        <f t="shared" ref="CM202" si="2136">CL140-CM140</f>
        <v>0</v>
      </c>
      <c r="CN202" s="23">
        <f t="shared" ref="CN202" si="2137">CM140-CN140</f>
        <v>0</v>
      </c>
      <c r="CO202" s="23">
        <f t="shared" ref="CO202" si="2138">CN140-CO140</f>
        <v>0</v>
      </c>
      <c r="CP202" s="23">
        <f t="shared" ref="CP202" si="2139">CO140-CP140</f>
        <v>0</v>
      </c>
      <c r="CQ202" s="23">
        <f t="shared" ref="CQ202" si="2140">CP140-CQ140</f>
        <v>0</v>
      </c>
      <c r="CR202" s="23">
        <f t="shared" ref="CR202" si="2141">CQ140-CR140</f>
        <v>0</v>
      </c>
      <c r="CS202" s="23">
        <f t="shared" ref="CS202" si="2142">CR140-CS140</f>
        <v>0</v>
      </c>
      <c r="CT202" s="23">
        <f t="shared" ref="CT202" si="2143">CS140-CT140</f>
        <v>0</v>
      </c>
      <c r="CU202" s="23">
        <f t="shared" ref="CU202" si="2144">CT140-CU140</f>
        <v>0</v>
      </c>
      <c r="CV202" s="23">
        <f t="shared" ref="CV202" si="2145">CU140-CV140</f>
        <v>0</v>
      </c>
      <c r="CW202" s="23">
        <f t="shared" ref="CW202" si="2146">CV140-CW140</f>
        <v>0</v>
      </c>
      <c r="CX202" s="23">
        <f t="shared" ref="CX202" si="2147">CW140-CX140</f>
        <v>0</v>
      </c>
      <c r="CY202" s="23">
        <f t="shared" ref="CY202" si="2148">CX140-CY140</f>
        <v>0</v>
      </c>
      <c r="CZ202" s="23">
        <f t="shared" ref="CZ202" si="2149">CY140-CZ140</f>
        <v>0</v>
      </c>
      <c r="DA202" s="23">
        <f t="shared" ref="DA202" si="2150">CZ140-DA140</f>
        <v>0</v>
      </c>
      <c r="DD202" s="122"/>
      <c r="DE202" s="22">
        <v>0</v>
      </c>
    </row>
    <row r="203" spans="1:109" s="22" customFormat="1" x14ac:dyDescent="0.2">
      <c r="A203" s="22" t="s">
        <v>94</v>
      </c>
      <c r="C203" s="22">
        <f t="shared" ref="C203:AE203" si="2151">B138-C32-C138</f>
        <v>0</v>
      </c>
      <c r="D203" s="22">
        <f t="shared" si="2151"/>
        <v>-147.61100000000002</v>
      </c>
      <c r="E203" s="22">
        <f t="shared" si="2151"/>
        <v>-7.9189999999999969</v>
      </c>
      <c r="F203" s="22">
        <f t="shared" si="2151"/>
        <v>-44.382899999999992</v>
      </c>
      <c r="G203" s="22">
        <f t="shared" si="2151"/>
        <v>-23.583000000000055</v>
      </c>
      <c r="H203" s="22">
        <f t="shared" si="2151"/>
        <v>-84.618799999999936</v>
      </c>
      <c r="I203" s="22">
        <f t="shared" si="2151"/>
        <v>-46.667599999999993</v>
      </c>
      <c r="J203" s="22">
        <f t="shared" si="2151"/>
        <v>-24.657400000000024</v>
      </c>
      <c r="K203" s="22">
        <f t="shared" si="2151"/>
        <v>-23.952099999999973</v>
      </c>
      <c r="L203" s="22">
        <f t="shared" si="2151"/>
        <v>-7.7287000000000603</v>
      </c>
      <c r="M203" s="22">
        <f t="shared" si="2151"/>
        <v>-35.664399999999944</v>
      </c>
      <c r="N203" s="22">
        <f t="shared" si="2151"/>
        <v>-100.79040000000001</v>
      </c>
      <c r="O203" s="22">
        <f t="shared" si="2151"/>
        <v>-37.372500000000116</v>
      </c>
      <c r="P203" s="22">
        <f t="shared" si="2151"/>
        <v>-82.283299999999912</v>
      </c>
      <c r="Q203" s="22">
        <f t="shared" si="2151"/>
        <v>-567.81770000000006</v>
      </c>
      <c r="R203" s="22">
        <f t="shared" si="2151"/>
        <v>199.14050000000003</v>
      </c>
      <c r="S203" s="22">
        <f t="shared" si="2151"/>
        <v>-57.974600000000066</v>
      </c>
      <c r="T203" s="22">
        <f t="shared" si="2151"/>
        <v>-168.18769999999989</v>
      </c>
      <c r="U203" s="22">
        <f t="shared" si="2151"/>
        <v>-59.50240000000008</v>
      </c>
      <c r="V203" s="22">
        <f t="shared" si="2151"/>
        <v>-180.33999999999992</v>
      </c>
      <c r="W203" s="22">
        <f t="shared" si="2151"/>
        <v>-94.939999999999941</v>
      </c>
      <c r="X203" s="22">
        <f t="shared" si="2151"/>
        <v>-19.949999999999989</v>
      </c>
      <c r="Y203" s="22">
        <f t="shared" si="2151"/>
        <v>-149.66000000000008</v>
      </c>
      <c r="Z203" s="22">
        <f t="shared" si="2151"/>
        <v>-71.029999999999745</v>
      </c>
      <c r="AA203" s="22">
        <f t="shared" si="2151"/>
        <v>-53.0300000000002</v>
      </c>
      <c r="AB203" s="23">
        <f t="shared" si="2151"/>
        <v>-44.240000000000009</v>
      </c>
      <c r="AC203" s="23">
        <f t="shared" si="2151"/>
        <v>-94.04000000000002</v>
      </c>
      <c r="AD203" s="23">
        <f t="shared" si="2151"/>
        <v>-94.04000000000002</v>
      </c>
      <c r="AE203" s="23">
        <f t="shared" si="2151"/>
        <v>-94.04000000000002</v>
      </c>
      <c r="AI203" s="22">
        <f t="shared" ref="AI203:BN203" si="2152">AH138-AI32-AI138</f>
        <v>-193.33999999999997</v>
      </c>
      <c r="AJ203" s="22">
        <f t="shared" si="2152"/>
        <v>-8.7400000000000091</v>
      </c>
      <c r="AK203" s="22">
        <f t="shared" si="2152"/>
        <v>-72.569999999999993</v>
      </c>
      <c r="AL203" s="22">
        <f t="shared" si="2152"/>
        <v>-10.259999999999991</v>
      </c>
      <c r="AM203" s="22">
        <f t="shared" si="2152"/>
        <v>-9.039999999999992</v>
      </c>
      <c r="AN203" s="22">
        <f t="shared" si="2152"/>
        <v>-10.599999999999994</v>
      </c>
      <c r="AO203" s="22">
        <f t="shared" si="2152"/>
        <v>-7.4699999999999989</v>
      </c>
      <c r="AP203" s="22">
        <f t="shared" si="2152"/>
        <v>-10.930000000000007</v>
      </c>
      <c r="AQ203" s="22">
        <f t="shared" si="2152"/>
        <v>-25.090000000000032</v>
      </c>
      <c r="AR203" s="22">
        <f t="shared" si="2152"/>
        <v>-10.819999999999993</v>
      </c>
      <c r="AS203" s="22">
        <f t="shared" si="2152"/>
        <v>-35.449999999999989</v>
      </c>
      <c r="AT203" s="22">
        <f t="shared" si="2152"/>
        <v>-19.910000000000025</v>
      </c>
      <c r="AU203" s="22">
        <f t="shared" si="2152"/>
        <v>-535.77</v>
      </c>
      <c r="AV203" s="22">
        <f t="shared" si="2152"/>
        <v>-23.669999999999959</v>
      </c>
      <c r="AW203" s="22">
        <f t="shared" si="2152"/>
        <v>11.539999999999964</v>
      </c>
      <c r="AX203" s="22">
        <f t="shared" si="2152"/>
        <v>-23.17999999999995</v>
      </c>
      <c r="AY203" s="22">
        <f t="shared" si="2152"/>
        <v>13.529999999999973</v>
      </c>
      <c r="AZ203" s="22">
        <f t="shared" si="2152"/>
        <v>-23.059999999999945</v>
      </c>
      <c r="BA203" s="22">
        <f t="shared" si="2152"/>
        <v>15.450000000000045</v>
      </c>
      <c r="BB203" s="22">
        <f t="shared" si="2152"/>
        <v>-20.629999999999995</v>
      </c>
      <c r="BC203" s="22">
        <f t="shared" si="2152"/>
        <v>191.94999999999993</v>
      </c>
      <c r="BD203" s="22">
        <f t="shared" si="2152"/>
        <v>-21.360000000000014</v>
      </c>
      <c r="BE203" s="22">
        <f t="shared" si="2152"/>
        <v>10.230000000000018</v>
      </c>
      <c r="BF203" s="22">
        <f t="shared" si="2152"/>
        <v>-20.019999999999982</v>
      </c>
      <c r="BG203" s="22">
        <f t="shared" si="2152"/>
        <v>-122.96999999999991</v>
      </c>
      <c r="BH203" s="22">
        <f t="shared" si="2152"/>
        <v>-22.590000000000032</v>
      </c>
      <c r="BI203" s="22">
        <f t="shared" si="2152"/>
        <v>-2.6000000000001364</v>
      </c>
      <c r="BJ203" s="22">
        <f t="shared" si="2152"/>
        <v>-21.600000000000023</v>
      </c>
      <c r="BK203" s="22">
        <f t="shared" si="2152"/>
        <v>-5.0799999999998704</v>
      </c>
      <c r="BL203" s="22">
        <f t="shared" si="2152"/>
        <v>-21.860000000000014</v>
      </c>
      <c r="BM203" s="22">
        <f t="shared" si="2152"/>
        <v>-10.960000000000036</v>
      </c>
      <c r="BN203" s="22">
        <f t="shared" si="2152"/>
        <v>-24.810000000000002</v>
      </c>
      <c r="BO203" s="22">
        <f t="shared" ref="BO203:CT203" si="2153">BN138-BO32-BO138</f>
        <v>-78.029999999999973</v>
      </c>
      <c r="BP203" s="22">
        <f t="shared" si="2153"/>
        <v>-24.539999999999964</v>
      </c>
      <c r="BQ203" s="22">
        <f t="shared" si="2153"/>
        <v>25.609999999999957</v>
      </c>
      <c r="BR203" s="22">
        <f t="shared" si="2153"/>
        <v>-23</v>
      </c>
      <c r="BS203" s="22">
        <f t="shared" si="2153"/>
        <v>0.93999999999999773</v>
      </c>
      <c r="BT203" s="22">
        <f t="shared" si="2153"/>
        <v>-23.04000000000002</v>
      </c>
      <c r="BU203" s="22">
        <f t="shared" si="2153"/>
        <v>-39.710000000000036</v>
      </c>
      <c r="BV203" s="22">
        <f t="shared" si="2153"/>
        <v>-22.089999999999975</v>
      </c>
      <c r="BW203" s="22">
        <f t="shared" si="2153"/>
        <v>-58.269999999999925</v>
      </c>
      <c r="BX203" s="22">
        <f t="shared" si="2153"/>
        <v>-21.029999999999973</v>
      </c>
      <c r="BY203" s="22">
        <f t="shared" si="2153"/>
        <v>57.499999999999886</v>
      </c>
      <c r="BZ203" s="22">
        <f t="shared" si="2153"/>
        <v>-15.589999999999975</v>
      </c>
      <c r="CA203" s="22">
        <f t="shared" si="2153"/>
        <v>-91.049999999999898</v>
      </c>
      <c r="CB203" s="22">
        <f t="shared" si="2153"/>
        <v>-10.830000000000041</v>
      </c>
      <c r="CC203" s="22">
        <f t="shared" si="2153"/>
        <v>-25.189999999999941</v>
      </c>
      <c r="CD203" s="22">
        <f t="shared" si="2153"/>
        <v>-9.5199999999999818</v>
      </c>
      <c r="CE203" s="22">
        <f t="shared" si="2153"/>
        <v>-19.220000000000141</v>
      </c>
      <c r="CF203" s="22">
        <f t="shared" si="2153"/>
        <v>-12.190000000000055</v>
      </c>
      <c r="CG203" s="22">
        <f t="shared" si="2153"/>
        <v>-101.85999999999979</v>
      </c>
      <c r="CH203" s="22">
        <f t="shared" si="2153"/>
        <v>-12.67999999999995</v>
      </c>
      <c r="CI203" s="22">
        <f t="shared" si="2153"/>
        <v>35.839999999999691</v>
      </c>
      <c r="CJ203" s="22">
        <f t="shared" si="2153"/>
        <v>-12.809999999999945</v>
      </c>
      <c r="CK203" s="23">
        <f t="shared" si="2153"/>
        <v>-13.580000000000041</v>
      </c>
      <c r="CL203" s="22">
        <f t="shared" si="2153"/>
        <v>-23.509999999999991</v>
      </c>
      <c r="CM203" s="23">
        <f t="shared" si="2153"/>
        <v>-23.509999999999991</v>
      </c>
      <c r="CN203" s="23">
        <f t="shared" si="2153"/>
        <v>-23.509999999999991</v>
      </c>
      <c r="CO203" s="23">
        <f t="shared" si="2153"/>
        <v>-23.509999999999991</v>
      </c>
      <c r="CP203" s="23">
        <f t="shared" si="2153"/>
        <v>-23.509999999999991</v>
      </c>
      <c r="CQ203" s="23">
        <f t="shared" si="2153"/>
        <v>-23.509999999999991</v>
      </c>
      <c r="CR203" s="23">
        <f t="shared" si="2153"/>
        <v>-23.509999999999991</v>
      </c>
      <c r="CS203" s="23">
        <f t="shared" si="2153"/>
        <v>-23.509999999999991</v>
      </c>
      <c r="CT203" s="23">
        <f t="shared" si="2153"/>
        <v>-23.509999999999991</v>
      </c>
      <c r="CU203" s="23">
        <f t="shared" ref="CU203:DA203" si="2154">CT138-CU32-CU138</f>
        <v>-23.509999999999991</v>
      </c>
      <c r="CV203" s="23">
        <f t="shared" si="2154"/>
        <v>-23.509999999999991</v>
      </c>
      <c r="CW203" s="23">
        <f t="shared" si="2154"/>
        <v>-23.509999999999991</v>
      </c>
      <c r="CX203" s="23">
        <f t="shared" si="2154"/>
        <v>-23.509999999999991</v>
      </c>
      <c r="CY203" s="23">
        <f t="shared" si="2154"/>
        <v>-23.509999999999991</v>
      </c>
      <c r="CZ203" s="23">
        <f t="shared" si="2154"/>
        <v>-23.509999999999991</v>
      </c>
      <c r="DA203" s="23">
        <f t="shared" si="2154"/>
        <v>-23.509999999999991</v>
      </c>
      <c r="DD203" s="122"/>
      <c r="DE203" s="22">
        <v>-3.2300000000002456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55">C206+C207</f>
        <v>0</v>
      </c>
      <c r="D205" s="21">
        <f t="shared" si="2155"/>
        <v>146.54239999999999</v>
      </c>
      <c r="E205" s="21">
        <f t="shared" si="2155"/>
        <v>-25.389099999999956</v>
      </c>
      <c r="F205" s="21">
        <f t="shared" si="2155"/>
        <v>-5.7975000000000527</v>
      </c>
      <c r="G205" s="21">
        <f t="shared" si="2155"/>
        <v>-7.138500000000052</v>
      </c>
      <c r="H205" s="21">
        <f t="shared" si="2155"/>
        <v>4.6126999999999825</v>
      </c>
      <c r="I205" s="21">
        <f t="shared" si="2155"/>
        <v>19.431300000000022</v>
      </c>
      <c r="J205" s="21">
        <f t="shared" si="2155"/>
        <v>-30.724900000000048</v>
      </c>
      <c r="K205" s="21">
        <f t="shared" si="2155"/>
        <v>-47.882499999999929</v>
      </c>
      <c r="L205" s="21">
        <f t="shared" si="2155"/>
        <v>-17.413300000000017</v>
      </c>
      <c r="M205" s="21">
        <f t="shared" si="2155"/>
        <v>-17.818299999999912</v>
      </c>
      <c r="N205" s="21">
        <f t="shared" si="2155"/>
        <v>29.290800000000054</v>
      </c>
      <c r="O205" s="21">
        <f t="shared" si="2155"/>
        <v>-24.40939999999997</v>
      </c>
      <c r="P205" s="21">
        <f t="shared" si="2155"/>
        <v>107.70819999999995</v>
      </c>
      <c r="Q205" s="21">
        <f t="shared" si="2155"/>
        <v>462.77600000000007</v>
      </c>
      <c r="R205" s="21">
        <f t="shared" si="2155"/>
        <v>-308.00399999999991</v>
      </c>
      <c r="S205" s="21">
        <f t="shared" si="2155"/>
        <v>-53.504699999999787</v>
      </c>
      <c r="T205" s="21">
        <f t="shared" si="2155"/>
        <v>-30.098600000000147</v>
      </c>
      <c r="U205" s="21">
        <f t="shared" si="2155"/>
        <v>-159.68039999999968</v>
      </c>
      <c r="V205" s="21">
        <f t="shared" si="2155"/>
        <v>-53.239999999999725</v>
      </c>
      <c r="W205" s="21">
        <f t="shared" si="2155"/>
        <v>73.379999999999768</v>
      </c>
      <c r="X205" s="21">
        <f t="shared" ref="X205:Y205" si="2156">X206+X207</f>
        <v>7.0200000000001523</v>
      </c>
      <c r="Y205" s="21">
        <f t="shared" si="2156"/>
        <v>-179.21999999999969</v>
      </c>
      <c r="Z205" s="21">
        <f t="shared" ref="Z205:AA205" si="2157">Z206+Z207</f>
        <v>-144.87999999999988</v>
      </c>
      <c r="AA205" s="21">
        <f t="shared" si="2157"/>
        <v>-18.179999999999836</v>
      </c>
      <c r="AB205" s="20">
        <f t="shared" ref="AA205:AD205" si="2158">AB206+AB207</f>
        <v>7.57000000000005</v>
      </c>
      <c r="AC205" s="20">
        <f t="shared" si="2158"/>
        <v>-2.2737367544323206E-13</v>
      </c>
      <c r="AD205" s="20">
        <f t="shared" si="2158"/>
        <v>2.2737367544323206E-13</v>
      </c>
      <c r="AE205" s="20">
        <f t="shared" ref="AE205" si="2159">AE206+AE207</f>
        <v>4.5474735088646412E-13</v>
      </c>
      <c r="AI205" s="21">
        <f t="shared" ref="AI205" si="2160">AI206+AI207</f>
        <v>364.19000000000005</v>
      </c>
      <c r="AJ205" s="21">
        <f t="shared" ref="AJ205:AL205" si="2161">AJ206+AJ207</f>
        <v>0</v>
      </c>
      <c r="AK205" s="21">
        <f t="shared" si="2161"/>
        <v>25.440000000000023</v>
      </c>
      <c r="AL205" s="21">
        <f t="shared" si="2161"/>
        <v>0</v>
      </c>
      <c r="AM205" s="21">
        <f t="shared" ref="AM205" si="2162">AM206+AM207</f>
        <v>-1.0000000000058407E-2</v>
      </c>
      <c r="AN205" s="21">
        <f t="shared" ref="AN205:CD205" si="2163">AN206+AN207</f>
        <v>0</v>
      </c>
      <c r="AO205" s="21">
        <f t="shared" si="2163"/>
        <v>-26.570000000000004</v>
      </c>
      <c r="AP205" s="21">
        <f t="shared" si="2163"/>
        <v>0</v>
      </c>
      <c r="AQ205" s="21">
        <f t="shared" si="2163"/>
        <v>6.8600000000000598</v>
      </c>
      <c r="AR205" s="21">
        <f t="shared" si="2163"/>
        <v>0</v>
      </c>
      <c r="AS205" s="21">
        <f t="shared" si="2163"/>
        <v>102.35000000000004</v>
      </c>
      <c r="AT205" s="21">
        <f t="shared" si="2163"/>
        <v>0</v>
      </c>
      <c r="AU205" s="21">
        <f t="shared" si="2163"/>
        <v>504.08999999999992</v>
      </c>
      <c r="AV205" s="21">
        <f t="shared" si="2163"/>
        <v>0</v>
      </c>
      <c r="AW205" s="21">
        <f t="shared" si="2163"/>
        <v>-78.979999999999876</v>
      </c>
      <c r="AX205" s="21">
        <f t="shared" si="2163"/>
        <v>0</v>
      </c>
      <c r="AY205" s="21">
        <f t="shared" si="2163"/>
        <v>-55.369999999999848</v>
      </c>
      <c r="AZ205" s="21">
        <f t="shared" si="2163"/>
        <v>0</v>
      </c>
      <c r="BA205" s="21">
        <f t="shared" si="2163"/>
        <v>-45.739999999999881</v>
      </c>
      <c r="BB205" s="21">
        <f t="shared" si="2163"/>
        <v>0</v>
      </c>
      <c r="BC205" s="21">
        <f t="shared" si="2163"/>
        <v>-237.96999999999983</v>
      </c>
      <c r="BD205" s="21">
        <f t="shared" si="2163"/>
        <v>-5.6843418860808015E-14</v>
      </c>
      <c r="BE205" s="21">
        <f t="shared" si="2163"/>
        <v>4.9100000000000819</v>
      </c>
      <c r="BF205" s="21">
        <f t="shared" si="2163"/>
        <v>0</v>
      </c>
      <c r="BG205" s="21">
        <f t="shared" si="2163"/>
        <v>-26.570000000000164</v>
      </c>
      <c r="BH205" s="21">
        <f t="shared" si="2163"/>
        <v>0</v>
      </c>
      <c r="BI205" s="21">
        <f t="shared" si="2163"/>
        <v>4.3699999999998909</v>
      </c>
      <c r="BJ205" s="21">
        <f t="shared" si="2163"/>
        <v>0</v>
      </c>
      <c r="BK205" s="21">
        <f t="shared" si="2163"/>
        <v>-376.21000000000009</v>
      </c>
      <c r="BL205" s="21">
        <f t="shared" si="2163"/>
        <v>0</v>
      </c>
      <c r="BM205" s="21">
        <f t="shared" si="2163"/>
        <v>216.35999999999996</v>
      </c>
      <c r="BN205" s="21">
        <f t="shared" si="2163"/>
        <v>0</v>
      </c>
      <c r="BO205" s="21">
        <f t="shared" si="2163"/>
        <v>-136.35000000000005</v>
      </c>
      <c r="BP205" s="21">
        <f t="shared" si="2163"/>
        <v>0</v>
      </c>
      <c r="BQ205" s="21">
        <f t="shared" si="2163"/>
        <v>85.110000000000184</v>
      </c>
      <c r="BR205" s="21">
        <f t="shared" si="2163"/>
        <v>0</v>
      </c>
      <c r="BS205" s="21">
        <f t="shared" si="2163"/>
        <v>77.640000000000128</v>
      </c>
      <c r="BT205" s="21">
        <f t="shared" si="2163"/>
        <v>0</v>
      </c>
      <c r="BU205" s="21">
        <f t="shared" si="2163"/>
        <v>1.0100000000000477</v>
      </c>
      <c r="BV205" s="21">
        <f t="shared" si="2163"/>
        <v>0</v>
      </c>
      <c r="BW205" s="21">
        <f t="shared" si="2163"/>
        <v>141.14999999999964</v>
      </c>
      <c r="BX205" s="21">
        <f t="shared" si="2163"/>
        <v>0</v>
      </c>
      <c r="BY205" s="21">
        <f t="shared" si="2163"/>
        <v>-134.58000000000004</v>
      </c>
      <c r="BZ205" s="21">
        <f t="shared" si="2163"/>
        <v>0</v>
      </c>
      <c r="CA205" s="21">
        <f t="shared" si="2163"/>
        <v>-7.8700000000001182</v>
      </c>
      <c r="CB205" s="21">
        <f t="shared" si="2163"/>
        <v>0</v>
      </c>
      <c r="CC205" s="21">
        <f t="shared" si="2163"/>
        <v>-171.4700000000002</v>
      </c>
      <c r="CD205" s="21">
        <f t="shared" si="2163"/>
        <v>0</v>
      </c>
      <c r="CE205" s="21">
        <f t="shared" ref="CE205:CF205" si="2164">CE206+CE207</f>
        <v>-31.970000000000169</v>
      </c>
      <c r="CF205" s="21">
        <f t="shared" si="2164"/>
        <v>0</v>
      </c>
      <c r="CG205" s="21">
        <f t="shared" ref="CG205:CH205" si="2165">CG206+CG207</f>
        <v>-115.85999999999993</v>
      </c>
      <c r="CH205" s="21">
        <f t="shared" si="2165"/>
        <v>0</v>
      </c>
      <c r="CI205" s="21">
        <f t="shared" ref="CI205:CJ205" si="2166">CI206+CI207</f>
        <v>-10.610000000000241</v>
      </c>
      <c r="CJ205" s="21">
        <f t="shared" si="2166"/>
        <v>0</v>
      </c>
      <c r="CK205" s="20">
        <f t="shared" ref="CK205:DA205" si="2167">CK206+CK207</f>
        <v>0</v>
      </c>
      <c r="CL205" s="21">
        <f t="shared" si="2167"/>
        <v>0</v>
      </c>
      <c r="CM205" s="20">
        <f t="shared" si="2167"/>
        <v>0</v>
      </c>
      <c r="CN205" s="20">
        <f t="shared" si="2167"/>
        <v>0</v>
      </c>
      <c r="CO205" s="20">
        <f t="shared" si="2167"/>
        <v>0</v>
      </c>
      <c r="CP205" s="20">
        <f t="shared" si="2167"/>
        <v>0</v>
      </c>
      <c r="CQ205" s="20">
        <f t="shared" si="2167"/>
        <v>0</v>
      </c>
      <c r="CR205" s="20">
        <f t="shared" si="2167"/>
        <v>0</v>
      </c>
      <c r="CS205" s="20">
        <f t="shared" si="2167"/>
        <v>-2.2737367544323206E-13</v>
      </c>
      <c r="CT205" s="20">
        <f t="shared" si="2167"/>
        <v>0</v>
      </c>
      <c r="CU205" s="20">
        <f t="shared" si="2167"/>
        <v>0</v>
      </c>
      <c r="CV205" s="20">
        <f t="shared" si="2167"/>
        <v>0</v>
      </c>
      <c r="CW205" s="20">
        <f t="shared" si="2167"/>
        <v>0</v>
      </c>
      <c r="CX205" s="20">
        <f t="shared" si="2167"/>
        <v>0</v>
      </c>
      <c r="CY205" s="20">
        <f t="shared" si="2167"/>
        <v>2.2737367544323206E-13</v>
      </c>
      <c r="CZ205" s="20">
        <f t="shared" si="2167"/>
        <v>0</v>
      </c>
      <c r="DA205" s="20">
        <f t="shared" si="2167"/>
        <v>2.2737367544323206E-13</v>
      </c>
      <c r="DD205" s="125"/>
      <c r="DE205" s="21">
        <v>-10.609999999999786</v>
      </c>
    </row>
    <row r="206" spans="1:109" s="22" customFormat="1" x14ac:dyDescent="0.2">
      <c r="A206" s="22" t="s">
        <v>49</v>
      </c>
      <c r="C206" s="22">
        <f t="shared" ref="C206:AA206" si="2168">C128-B128</f>
        <v>0</v>
      </c>
      <c r="D206" s="22">
        <f t="shared" si="2168"/>
        <v>9.1753999999999998</v>
      </c>
      <c r="E206" s="22">
        <f>E128-D128</f>
        <v>1.0890000000000004</v>
      </c>
      <c r="F206" s="22">
        <f t="shared" si="2168"/>
        <v>2.7562999999999995</v>
      </c>
      <c r="G206" s="22">
        <f t="shared" si="2168"/>
        <v>3.2739999999999991</v>
      </c>
      <c r="H206" s="22">
        <f t="shared" si="2168"/>
        <v>17.478900000000003</v>
      </c>
      <c r="I206" s="22">
        <f t="shared" si="2168"/>
        <v>33.380099999999999</v>
      </c>
      <c r="J206" s="22">
        <f>J128-I128</f>
        <v>-17.338300000000004</v>
      </c>
      <c r="K206" s="22">
        <f>K128-J128</f>
        <v>-25.880299999999998</v>
      </c>
      <c r="L206" s="22">
        <f t="shared" si="2168"/>
        <v>-1.4041999999999994</v>
      </c>
      <c r="M206" s="22">
        <f t="shared" si="2168"/>
        <v>-0.38589999999999591</v>
      </c>
      <c r="N206" s="22">
        <f t="shared" si="2168"/>
        <v>29.717399999999998</v>
      </c>
      <c r="O206" s="22">
        <f t="shared" si="2168"/>
        <v>-5.658299999999997</v>
      </c>
      <c r="P206" s="22">
        <f t="shared" si="2168"/>
        <v>-4.2682000000000002</v>
      </c>
      <c r="Q206" s="22">
        <f t="shared" si="2168"/>
        <v>486.70459999999997</v>
      </c>
      <c r="R206" s="22">
        <f t="shared" si="2168"/>
        <v>-93.155099999999948</v>
      </c>
      <c r="S206" s="22">
        <f t="shared" si="2168"/>
        <v>-29.747300000000052</v>
      </c>
      <c r="T206" s="22">
        <f t="shared" si="2168"/>
        <v>-2.6255999999999631</v>
      </c>
      <c r="U206" s="22">
        <f t="shared" si="2168"/>
        <v>-130.51249999999999</v>
      </c>
      <c r="V206" s="22">
        <f t="shared" si="2168"/>
        <v>-24.810000000000002</v>
      </c>
      <c r="W206" s="22">
        <f t="shared" si="2168"/>
        <v>100.91999999999996</v>
      </c>
      <c r="X206" s="22">
        <f t="shared" si="2168"/>
        <v>14.380000000000052</v>
      </c>
      <c r="Y206" s="22">
        <f t="shared" si="2168"/>
        <v>-163.09000000000003</v>
      </c>
      <c r="Z206" s="22">
        <f t="shared" si="2168"/>
        <v>-100</v>
      </c>
      <c r="AA206" s="22">
        <f t="shared" si="2168"/>
        <v>0</v>
      </c>
      <c r="AB206" s="23">
        <f t="shared" ref="AB206" si="2169">AB128-AA128</f>
        <v>4.3799999999999955</v>
      </c>
      <c r="AC206" s="23">
        <f t="shared" ref="AC206" si="2170">AC128-AB128</f>
        <v>0</v>
      </c>
      <c r="AD206" s="23">
        <f t="shared" ref="AD206" si="2171">AD128-AC128</f>
        <v>0</v>
      </c>
      <c r="AE206" s="23">
        <f t="shared" ref="AE206" si="2172">AE128-AD128</f>
        <v>0</v>
      </c>
      <c r="AI206" s="22">
        <f t="shared" ref="AI206" si="2173">AI128-AH128</f>
        <v>22.439999999999998</v>
      </c>
      <c r="AJ206" s="22">
        <f t="shared" ref="AJ206" si="2174">AJ128-AI128</f>
        <v>0</v>
      </c>
      <c r="AK206" s="22">
        <f t="shared" ref="AK206" si="2175">AK128-AJ128</f>
        <v>25.880000000000003</v>
      </c>
      <c r="AL206" s="22">
        <f t="shared" ref="AL206" si="2176">AL128-AK128</f>
        <v>0</v>
      </c>
      <c r="AM206" s="22">
        <f t="shared" ref="AM206" si="2177">AM128-AL128</f>
        <v>-0.71999999999999886</v>
      </c>
      <c r="AN206" s="22">
        <f t="shared" ref="AN206" si="2178">AN128-AM128</f>
        <v>0</v>
      </c>
      <c r="AO206" s="22">
        <f t="shared" ref="AO206" si="2179">AO128-AN128</f>
        <v>-7.1000000000000014</v>
      </c>
      <c r="AP206" s="22">
        <f t="shared" ref="AP206" si="2180">AP128-AO128</f>
        <v>0</v>
      </c>
      <c r="AQ206" s="22">
        <f t="shared" ref="AQ206" si="2181">AQ128-AP128</f>
        <v>5.8500000000000014</v>
      </c>
      <c r="AR206" s="22">
        <f t="shared" ref="AR206" si="2182">AR128-AQ128</f>
        <v>0</v>
      </c>
      <c r="AS206" s="22">
        <f t="shared" ref="AS206" si="2183">AS128-AR128</f>
        <v>-8.6200000000000045</v>
      </c>
      <c r="AT206" s="22">
        <f t="shared" ref="AT206" si="2184">AT128-AS128</f>
        <v>0</v>
      </c>
      <c r="AU206" s="22">
        <f t="shared" ref="AU206" si="2185">AU128-AT128</f>
        <v>504.61</v>
      </c>
      <c r="AV206" s="22">
        <f t="shared" ref="AV206" si="2186">AV128-AU128</f>
        <v>0</v>
      </c>
      <c r="AW206" s="22">
        <f t="shared" ref="AW206" si="2187">AW128-AV128</f>
        <v>-55.57000000000005</v>
      </c>
      <c r="AX206" s="22">
        <f t="shared" ref="AX206" si="2188">AX128-AW128</f>
        <v>0</v>
      </c>
      <c r="AY206" s="22">
        <f t="shared" ref="AY206" si="2189">AY128-AX128</f>
        <v>-57.739999999999952</v>
      </c>
      <c r="AZ206" s="22">
        <f t="shared" ref="AZ206" si="2190">AZ128-AY128</f>
        <v>0</v>
      </c>
      <c r="BA206" s="22">
        <f t="shared" ref="BA206" si="2191">BA128-AZ128</f>
        <v>-20.650000000000034</v>
      </c>
      <c r="BB206" s="22">
        <f t="shared" ref="BB206" si="2192">BB128-BA128</f>
        <v>0</v>
      </c>
      <c r="BC206" s="22">
        <f t="shared" ref="BC206" si="2193">BC128-BB128</f>
        <v>-11</v>
      </c>
      <c r="BD206" s="22">
        <f t="shared" ref="BD206" si="2194">BD128-BC128</f>
        <v>0</v>
      </c>
      <c r="BE206" s="22">
        <f t="shared" ref="BE206" si="2195">BE128-BD128</f>
        <v>-3.1399999999999864</v>
      </c>
      <c r="BF206" s="22">
        <f t="shared" ref="BF206" si="2196">BF128-BE128</f>
        <v>0</v>
      </c>
      <c r="BG206" s="22">
        <f t="shared" ref="BG206" si="2197">BG128-BF128</f>
        <v>-0.71000000000003638</v>
      </c>
      <c r="BH206" s="22">
        <f t="shared" ref="BH206" si="2198">BH128-BG128</f>
        <v>0</v>
      </c>
      <c r="BI206" s="22">
        <f t="shared" ref="BI206" si="2199">BI128-BH128</f>
        <v>5.9900000000000091</v>
      </c>
      <c r="BJ206" s="22">
        <f t="shared" ref="BJ206" si="2200">BJ128-BI128</f>
        <v>0</v>
      </c>
      <c r="BK206" s="22">
        <f t="shared" ref="BK206" si="2201">BK128-BJ128</f>
        <v>-348.69</v>
      </c>
      <c r="BL206" s="22">
        <f t="shared" ref="BL206" si="2202">BL128-BK128</f>
        <v>0</v>
      </c>
      <c r="BM206" s="22">
        <f t="shared" ref="BM206" si="2203">BM128-BL128</f>
        <v>218.01000000000005</v>
      </c>
      <c r="BN206" s="22">
        <f t="shared" ref="BN206" si="2204">BN128-BM128</f>
        <v>0</v>
      </c>
      <c r="BO206" s="22">
        <f t="shared" ref="BO206" si="2205">BO128-BN128</f>
        <v>-113.25000000000003</v>
      </c>
      <c r="BP206" s="22">
        <f t="shared" ref="BP206" si="2206">BP128-BO128</f>
        <v>0</v>
      </c>
      <c r="BQ206" s="22">
        <f t="shared" ref="BQ206" si="2207">BQ128-BP128</f>
        <v>90.44</v>
      </c>
      <c r="BR206" s="22">
        <f t="shared" ref="BR206" si="2208">BR128-BQ128</f>
        <v>0</v>
      </c>
      <c r="BS206" s="22">
        <f t="shared" ref="BS206" si="2209">BS128-BR128</f>
        <v>98.53</v>
      </c>
      <c r="BT206" s="22">
        <f t="shared" ref="BT206" si="2210">BT128-BS128</f>
        <v>0</v>
      </c>
      <c r="BU206" s="22">
        <f t="shared" ref="BU206" si="2211">BU128-BT128</f>
        <v>7.660000000000025</v>
      </c>
      <c r="BV206" s="22">
        <f t="shared" ref="BV206" si="2212">BV128-BU128</f>
        <v>0</v>
      </c>
      <c r="BW206" s="22">
        <f t="shared" ref="BW206" si="2213">BW128-BV128</f>
        <v>146.91999999999996</v>
      </c>
      <c r="BX206" s="22">
        <f t="shared" ref="BX206" si="2214">BX128-BW128</f>
        <v>0</v>
      </c>
      <c r="BY206" s="22">
        <f t="shared" ref="BY206" si="2215">BY128-BX128</f>
        <v>-132.99</v>
      </c>
      <c r="BZ206" s="22">
        <f t="shared" ref="BZ206" si="2216">BZ128-BY128</f>
        <v>0</v>
      </c>
      <c r="CA206" s="22">
        <f t="shared" ref="CA206" si="2217">CA128-BZ128</f>
        <v>6.5199999999999818</v>
      </c>
      <c r="CB206" s="22">
        <f t="shared" ref="CB206" si="2218">CB128-CA128</f>
        <v>0</v>
      </c>
      <c r="CC206" s="22">
        <f t="shared" ref="CC206" si="2219">CC128-CB128</f>
        <v>-169.71999999999997</v>
      </c>
      <c r="CD206" s="22">
        <f t="shared" ref="CD206" si="2220">CD128-CC128</f>
        <v>0</v>
      </c>
      <c r="CE206" s="22">
        <f t="shared" ref="CE206" si="2221">CE128-CD128</f>
        <v>5.8300000000000125</v>
      </c>
      <c r="CF206" s="22">
        <f t="shared" ref="CF206" si="2222">CF128-CE128</f>
        <v>0</v>
      </c>
      <c r="CG206" s="22">
        <f t="shared" ref="CG206" si="2223">CG128-CF128</f>
        <v>-108.78</v>
      </c>
      <c r="CH206" s="22">
        <f t="shared" ref="CH206:CL206" si="2224">CH128-CG128</f>
        <v>0</v>
      </c>
      <c r="CI206" s="22">
        <f t="shared" si="2224"/>
        <v>4.3799999999999955</v>
      </c>
      <c r="CJ206" s="22">
        <f t="shared" si="2224"/>
        <v>0</v>
      </c>
      <c r="CK206" s="23">
        <f t="shared" ref="CK206" si="2225">CK128-CJ128</f>
        <v>0</v>
      </c>
      <c r="CL206" s="22">
        <f t="shared" si="2224"/>
        <v>0</v>
      </c>
      <c r="CM206" s="23">
        <f t="shared" ref="CM206" si="2226">CM128-CL128</f>
        <v>0</v>
      </c>
      <c r="CN206" s="23">
        <f t="shared" ref="CN206" si="2227">CN128-CM128</f>
        <v>0</v>
      </c>
      <c r="CO206" s="23">
        <f t="shared" ref="CO206" si="2228">CO128-CN128</f>
        <v>0</v>
      </c>
      <c r="CP206" s="23">
        <f t="shared" ref="CP206" si="2229">CP128-CO128</f>
        <v>0</v>
      </c>
      <c r="CQ206" s="23">
        <f t="shared" ref="CQ206" si="2230">CQ128-CP128</f>
        <v>0</v>
      </c>
      <c r="CR206" s="23">
        <f t="shared" ref="CR206" si="2231">CR128-CQ128</f>
        <v>0</v>
      </c>
      <c r="CS206" s="23">
        <f t="shared" ref="CS206" si="2232">CS128-CR128</f>
        <v>0</v>
      </c>
      <c r="CT206" s="23">
        <f t="shared" ref="CT206" si="2233">CT128-CS128</f>
        <v>0</v>
      </c>
      <c r="CU206" s="23">
        <f t="shared" ref="CU206" si="2234">CU128-CT128</f>
        <v>0</v>
      </c>
      <c r="CV206" s="23">
        <f t="shared" ref="CV206" si="2235">CV128-CU128</f>
        <v>0</v>
      </c>
      <c r="CW206" s="23">
        <f t="shared" ref="CW206" si="2236">CW128-CV128</f>
        <v>0</v>
      </c>
      <c r="CX206" s="23">
        <f t="shared" ref="CX206" si="2237">CX128-CW128</f>
        <v>0</v>
      </c>
      <c r="CY206" s="23">
        <f t="shared" ref="CY206" si="2238">CY128-CX128</f>
        <v>0</v>
      </c>
      <c r="CZ206" s="23">
        <f t="shared" ref="CZ206" si="2239">CZ128-CY128</f>
        <v>0</v>
      </c>
      <c r="DA206" s="23">
        <f t="shared" ref="DA206" si="2240">DA128-CZ128</f>
        <v>0</v>
      </c>
      <c r="DD206" s="122"/>
      <c r="DE206" s="22">
        <v>4.3799999999999955</v>
      </c>
    </row>
    <row r="207" spans="1:109" s="22" customFormat="1" x14ac:dyDescent="0.2">
      <c r="A207" s="22" t="s">
        <v>27</v>
      </c>
      <c r="C207" s="22">
        <f t="shared" ref="C207:AE207" si="2241">C120-C48-B120+C122-B122</f>
        <v>0</v>
      </c>
      <c r="D207" s="22">
        <f t="shared" si="2241"/>
        <v>137.36699999999999</v>
      </c>
      <c r="E207" s="22">
        <f t="shared" si="2241"/>
        <v>-26.478099999999955</v>
      </c>
      <c r="F207" s="22">
        <f t="shared" si="2241"/>
        <v>-8.5538000000000523</v>
      </c>
      <c r="G207" s="22">
        <f t="shared" si="2241"/>
        <v>-10.412500000000051</v>
      </c>
      <c r="H207" s="22">
        <f t="shared" si="2241"/>
        <v>-12.866200000000021</v>
      </c>
      <c r="I207" s="22">
        <f t="shared" si="2241"/>
        <v>-13.948799999999977</v>
      </c>
      <c r="J207" s="22">
        <f t="shared" si="2241"/>
        <v>-13.386600000000044</v>
      </c>
      <c r="K207" s="22">
        <f t="shared" si="2241"/>
        <v>-22.002199999999931</v>
      </c>
      <c r="L207" s="22">
        <f t="shared" si="2241"/>
        <v>-16.009100000000018</v>
      </c>
      <c r="M207" s="22">
        <f t="shared" si="2241"/>
        <v>-17.432399999999916</v>
      </c>
      <c r="N207" s="22">
        <f t="shared" si="2241"/>
        <v>-0.42659999999994369</v>
      </c>
      <c r="O207" s="22">
        <f t="shared" si="2241"/>
        <v>-18.751099999999973</v>
      </c>
      <c r="P207" s="22">
        <f t="shared" si="2241"/>
        <v>111.97639999999994</v>
      </c>
      <c r="Q207" s="22">
        <f t="shared" si="2241"/>
        <v>-23.928599999999896</v>
      </c>
      <c r="R207" s="22">
        <f t="shared" si="2241"/>
        <v>-214.84889999999999</v>
      </c>
      <c r="S207" s="22">
        <f t="shared" si="2241"/>
        <v>-23.757399999999734</v>
      </c>
      <c r="T207" s="22">
        <f t="shared" si="2241"/>
        <v>-27.473000000000184</v>
      </c>
      <c r="U207" s="22">
        <f t="shared" si="2241"/>
        <v>-29.16789999999969</v>
      </c>
      <c r="V207" s="22">
        <f t="shared" si="2241"/>
        <v>-28.429999999999723</v>
      </c>
      <c r="W207" s="22">
        <f t="shared" si="2241"/>
        <v>-27.540000000000191</v>
      </c>
      <c r="X207" s="22">
        <f t="shared" si="2241"/>
        <v>-7.3599999999999</v>
      </c>
      <c r="Y207" s="22">
        <f t="shared" si="2241"/>
        <v>-16.129999999999654</v>
      </c>
      <c r="Z207" s="22">
        <f t="shared" si="2241"/>
        <v>-44.879999999999882</v>
      </c>
      <c r="AA207" s="22">
        <f t="shared" si="2241"/>
        <v>-18.179999999999836</v>
      </c>
      <c r="AB207" s="23">
        <f t="shared" si="2241"/>
        <v>3.1900000000000546</v>
      </c>
      <c r="AC207" s="23">
        <f t="shared" si="2241"/>
        <v>-2.2737367544323206E-13</v>
      </c>
      <c r="AD207" s="23">
        <f t="shared" si="2241"/>
        <v>2.2737367544323206E-13</v>
      </c>
      <c r="AE207" s="23">
        <f t="shared" si="2241"/>
        <v>4.5474735088646412E-13</v>
      </c>
      <c r="AI207" s="22">
        <f t="shared" ref="AI207:BN207" si="2242">AI120-AI48-AH120+AI122-AH122</f>
        <v>341.75000000000006</v>
      </c>
      <c r="AJ207" s="22">
        <f t="shared" si="2242"/>
        <v>0</v>
      </c>
      <c r="AK207" s="22">
        <f t="shared" si="2242"/>
        <v>-0.43999999999997996</v>
      </c>
      <c r="AL207" s="22">
        <f t="shared" si="2242"/>
        <v>0</v>
      </c>
      <c r="AM207" s="22">
        <f t="shared" si="2242"/>
        <v>0.70999999999994046</v>
      </c>
      <c r="AN207" s="22">
        <f t="shared" si="2242"/>
        <v>0</v>
      </c>
      <c r="AO207" s="22">
        <f t="shared" si="2242"/>
        <v>-19.470000000000002</v>
      </c>
      <c r="AP207" s="22">
        <f t="shared" si="2242"/>
        <v>0</v>
      </c>
      <c r="AQ207" s="22">
        <f t="shared" si="2242"/>
        <v>1.0100000000000584</v>
      </c>
      <c r="AR207" s="22">
        <f t="shared" si="2242"/>
        <v>0</v>
      </c>
      <c r="AS207" s="22">
        <f t="shared" si="2242"/>
        <v>110.97000000000004</v>
      </c>
      <c r="AT207" s="22">
        <f t="shared" si="2242"/>
        <v>0</v>
      </c>
      <c r="AU207" s="22">
        <f t="shared" si="2242"/>
        <v>-0.52000000000008839</v>
      </c>
      <c r="AV207" s="22">
        <f t="shared" si="2242"/>
        <v>0</v>
      </c>
      <c r="AW207" s="22">
        <f t="shared" si="2242"/>
        <v>-23.409999999999819</v>
      </c>
      <c r="AX207" s="22">
        <f t="shared" si="2242"/>
        <v>0</v>
      </c>
      <c r="AY207" s="22">
        <f t="shared" si="2242"/>
        <v>2.3700000000001076</v>
      </c>
      <c r="AZ207" s="22">
        <f t="shared" si="2242"/>
        <v>0</v>
      </c>
      <c r="BA207" s="22">
        <f t="shared" si="2242"/>
        <v>-25.089999999999847</v>
      </c>
      <c r="BB207" s="22">
        <f t="shared" si="2242"/>
        <v>0</v>
      </c>
      <c r="BC207" s="22">
        <f t="shared" si="2242"/>
        <v>-226.96999999999983</v>
      </c>
      <c r="BD207" s="22">
        <f t="shared" si="2242"/>
        <v>-5.6843418860808015E-14</v>
      </c>
      <c r="BE207" s="22">
        <f t="shared" si="2242"/>
        <v>8.0500000000000682</v>
      </c>
      <c r="BF207" s="22">
        <f t="shared" si="2242"/>
        <v>0</v>
      </c>
      <c r="BG207" s="22">
        <f t="shared" si="2242"/>
        <v>-25.860000000000127</v>
      </c>
      <c r="BH207" s="22">
        <f t="shared" si="2242"/>
        <v>0</v>
      </c>
      <c r="BI207" s="22">
        <f t="shared" si="2242"/>
        <v>-1.6200000000001182</v>
      </c>
      <c r="BJ207" s="22">
        <f t="shared" si="2242"/>
        <v>0</v>
      </c>
      <c r="BK207" s="22">
        <f t="shared" si="2242"/>
        <v>-27.520000000000095</v>
      </c>
      <c r="BL207" s="22">
        <f t="shared" si="2242"/>
        <v>0</v>
      </c>
      <c r="BM207" s="22">
        <f t="shared" si="2242"/>
        <v>-1.6500000000000909</v>
      </c>
      <c r="BN207" s="22">
        <f t="shared" si="2242"/>
        <v>0</v>
      </c>
      <c r="BO207" s="22">
        <f t="shared" ref="BO207:CT207" si="2243">BO120-BO48-BN120+BO122-BN122</f>
        <v>-23.100000000000023</v>
      </c>
      <c r="BP207" s="22">
        <f t="shared" si="2243"/>
        <v>0</v>
      </c>
      <c r="BQ207" s="22">
        <f t="shared" si="2243"/>
        <v>-5.3299999999998136</v>
      </c>
      <c r="BR207" s="22">
        <f t="shared" si="2243"/>
        <v>0</v>
      </c>
      <c r="BS207" s="22">
        <f t="shared" si="2243"/>
        <v>-20.889999999999873</v>
      </c>
      <c r="BT207" s="22">
        <f t="shared" si="2243"/>
        <v>0</v>
      </c>
      <c r="BU207" s="22">
        <f t="shared" si="2243"/>
        <v>-6.6499999999999773</v>
      </c>
      <c r="BV207" s="22">
        <f t="shared" si="2243"/>
        <v>0</v>
      </c>
      <c r="BW207" s="22">
        <f t="shared" si="2243"/>
        <v>-5.7700000000003229</v>
      </c>
      <c r="BX207" s="22">
        <f t="shared" si="2243"/>
        <v>0</v>
      </c>
      <c r="BY207" s="22">
        <f t="shared" si="2243"/>
        <v>-1.5900000000000318</v>
      </c>
      <c r="BZ207" s="22">
        <f t="shared" si="2243"/>
        <v>0</v>
      </c>
      <c r="CA207" s="22">
        <f t="shared" si="2243"/>
        <v>-14.3900000000001</v>
      </c>
      <c r="CB207" s="22">
        <f t="shared" si="2243"/>
        <v>0</v>
      </c>
      <c r="CC207" s="22">
        <f t="shared" si="2243"/>
        <v>-1.7500000000002274</v>
      </c>
      <c r="CD207" s="22">
        <f t="shared" si="2243"/>
        <v>0</v>
      </c>
      <c r="CE207" s="22">
        <f t="shared" si="2243"/>
        <v>-37.800000000000182</v>
      </c>
      <c r="CF207" s="22">
        <f t="shared" si="2243"/>
        <v>0</v>
      </c>
      <c r="CG207" s="22">
        <f t="shared" si="2243"/>
        <v>-7.0799999999999272</v>
      </c>
      <c r="CH207" s="22">
        <f t="shared" si="2243"/>
        <v>0</v>
      </c>
      <c r="CI207" s="22">
        <f t="shared" si="2243"/>
        <v>-14.990000000000236</v>
      </c>
      <c r="CJ207" s="22">
        <f t="shared" si="2243"/>
        <v>0</v>
      </c>
      <c r="CK207" s="23">
        <f t="shared" si="2243"/>
        <v>0</v>
      </c>
      <c r="CL207" s="22">
        <f t="shared" si="2243"/>
        <v>0</v>
      </c>
      <c r="CM207" s="23">
        <f t="shared" si="2243"/>
        <v>0</v>
      </c>
      <c r="CN207" s="23">
        <f t="shared" si="2243"/>
        <v>0</v>
      </c>
      <c r="CO207" s="23">
        <f t="shared" si="2243"/>
        <v>0</v>
      </c>
      <c r="CP207" s="23">
        <f t="shared" si="2243"/>
        <v>0</v>
      </c>
      <c r="CQ207" s="23">
        <f t="shared" si="2243"/>
        <v>0</v>
      </c>
      <c r="CR207" s="23">
        <f t="shared" si="2243"/>
        <v>0</v>
      </c>
      <c r="CS207" s="23">
        <f t="shared" si="2243"/>
        <v>-2.2737367544323206E-13</v>
      </c>
      <c r="CT207" s="23">
        <f t="shared" si="2243"/>
        <v>0</v>
      </c>
      <c r="CU207" s="23">
        <f t="shared" ref="CU207:DA207" si="2244">CU120-CU48-CT120+CU122-CT122</f>
        <v>0</v>
      </c>
      <c r="CV207" s="23">
        <f t="shared" si="2244"/>
        <v>0</v>
      </c>
      <c r="CW207" s="23">
        <f t="shared" si="2244"/>
        <v>0</v>
      </c>
      <c r="CX207" s="23">
        <f t="shared" si="2244"/>
        <v>0</v>
      </c>
      <c r="CY207" s="23">
        <f t="shared" si="2244"/>
        <v>2.2737367544323206E-13</v>
      </c>
      <c r="CZ207" s="23">
        <f t="shared" si="2244"/>
        <v>0</v>
      </c>
      <c r="DA207" s="23">
        <f t="shared" si="2244"/>
        <v>2.2737367544323206E-13</v>
      </c>
      <c r="DD207" s="122"/>
      <c r="DE207" s="22">
        <v>-14.989999999999782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45">B161</f>
        <v>0</v>
      </c>
      <c r="D209" s="22">
        <f t="shared" ref="D209" si="2246">C161</f>
        <v>0</v>
      </c>
      <c r="E209" s="22">
        <f>D161</f>
        <v>13.986700000000001</v>
      </c>
      <c r="F209" s="22">
        <f t="shared" ref="F209" si="2247">E161</f>
        <v>40.713900000000002</v>
      </c>
      <c r="G209" s="22">
        <f t="shared" ref="G209" si="2248">F161</f>
        <v>22.3293</v>
      </c>
      <c r="H209" s="22">
        <f t="shared" ref="H209" si="2249">G161</f>
        <v>21.773699999999998</v>
      </c>
      <c r="I209" s="22">
        <f t="shared" ref="I209" si="2250">H161</f>
        <v>15.576099999999999</v>
      </c>
      <c r="J209" s="22">
        <f>I161</f>
        <v>17.485900000000001</v>
      </c>
      <c r="K209" s="22">
        <f>J161</f>
        <v>29.297400000000003</v>
      </c>
      <c r="L209" s="22">
        <f t="shared" ref="L209" si="2251">K161</f>
        <v>35.1083</v>
      </c>
      <c r="M209" s="22">
        <f t="shared" ref="M209" si="2252">L161</f>
        <v>50.287800000000004</v>
      </c>
      <c r="N209" s="22">
        <f t="shared" ref="N209" si="2253">M161</f>
        <v>85.646599999999992</v>
      </c>
      <c r="O209" s="22">
        <f t="shared" ref="O209" si="2254">N161</f>
        <v>75.138199999999998</v>
      </c>
      <c r="P209" s="22">
        <f t="shared" ref="P209" si="2255">O161</f>
        <v>70.593299999999999</v>
      </c>
      <c r="Q209" s="22">
        <f t="shared" ref="Q209" si="2256">P161</f>
        <v>197.98999999999998</v>
      </c>
      <c r="R209" s="22">
        <f t="shared" ref="R209" si="2257">Q161</f>
        <v>221.99220000000003</v>
      </c>
      <c r="S209" s="22">
        <f t="shared" ref="S209" si="2258">R161</f>
        <v>226.11380000000003</v>
      </c>
      <c r="T209" s="22">
        <f t="shared" ref="T209" si="2259">S161</f>
        <v>182.19049999999999</v>
      </c>
      <c r="U209" s="22">
        <f t="shared" ref="U209" si="2260">T161</f>
        <v>68.885300000000001</v>
      </c>
      <c r="V209" s="22">
        <f t="shared" ref="V209" si="2261">U161</f>
        <v>105.42</v>
      </c>
      <c r="W209" s="22">
        <f t="shared" ref="W209:AA209" si="2262">V161</f>
        <v>85.460000000000008</v>
      </c>
      <c r="X209" s="22">
        <f t="shared" si="2262"/>
        <v>32.809999999999995</v>
      </c>
      <c r="Y209" s="22">
        <f t="shared" si="2262"/>
        <v>43.18</v>
      </c>
      <c r="Z209" s="22">
        <f t="shared" si="2262"/>
        <v>391.77000000000004</v>
      </c>
      <c r="AA209" s="22">
        <f t="shared" si="2262"/>
        <v>327.46000000000004</v>
      </c>
      <c r="AB209" s="23">
        <f t="shared" ref="AB209" si="2263">AA161</f>
        <v>493.23</v>
      </c>
      <c r="AC209" s="23">
        <f t="shared" ref="AC209" si="2264">AB161</f>
        <v>475.33684122502507</v>
      </c>
      <c r="AD209" s="23">
        <f t="shared" ref="AD209" si="2265">AC161</f>
        <v>649.2800111468091</v>
      </c>
      <c r="AE209" s="23">
        <f t="shared" ref="AE209" si="2266">AD161</f>
        <v>866.92730319084149</v>
      </c>
      <c r="AI209" s="22">
        <f t="shared" ref="AI209" si="2267">AH161</f>
        <v>0</v>
      </c>
      <c r="AJ209" s="22">
        <f t="shared" ref="AJ209" si="2268">AI161</f>
        <v>85.56</v>
      </c>
      <c r="AK209" s="22">
        <f t="shared" ref="AK209" si="2269">AJ161</f>
        <v>125.35606339268243</v>
      </c>
      <c r="AL209" s="22">
        <f t="shared" ref="AL209" si="2270">AK161</f>
        <v>75.14</v>
      </c>
      <c r="AM209" s="22">
        <f t="shared" ref="AM209" si="2271">AL161</f>
        <v>85.149553924566831</v>
      </c>
      <c r="AN209" s="22">
        <f t="shared" ref="AN209" si="2272">AM161</f>
        <v>54.36</v>
      </c>
      <c r="AO209" s="22">
        <f t="shared" ref="AO209" si="2273">AN161</f>
        <v>92.758004921127167</v>
      </c>
      <c r="AP209" s="22">
        <f t="shared" ref="AP209" si="2274">AO161</f>
        <v>70.59</v>
      </c>
      <c r="AQ209" s="22">
        <f t="shared" ref="AQ209" si="2275">AP161</f>
        <v>92.018290535583347</v>
      </c>
      <c r="AR209" s="22">
        <f t="shared" ref="AR209" si="2276">AQ161</f>
        <v>65.09</v>
      </c>
      <c r="AS209" s="22">
        <f t="shared" ref="AS209" si="2277">AR161</f>
        <v>86.694398902159463</v>
      </c>
      <c r="AT209" s="22">
        <f t="shared" ref="AT209" si="2278">AS161</f>
        <v>197.99</v>
      </c>
      <c r="AU209" s="22">
        <f t="shared" ref="AU209" si="2279">AT161</f>
        <v>145.96940929902627</v>
      </c>
      <c r="AV209" s="22">
        <f t="shared" ref="AV209" si="2280">AU161</f>
        <v>167.10999999999999</v>
      </c>
      <c r="AW209" s="22">
        <f t="shared" ref="AW209" si="2281">AV161</f>
        <v>197.36411093164955</v>
      </c>
      <c r="AX209" s="22">
        <f t="shared" ref="AX209" si="2282">AW161</f>
        <v>221.99</v>
      </c>
      <c r="AY209" s="22">
        <f t="shared" ref="AY209" si="2283">AX161</f>
        <v>257.56910793765036</v>
      </c>
      <c r="AZ209" s="22">
        <f t="shared" ref="AZ209" si="2284">AY161</f>
        <v>196.48000000000002</v>
      </c>
      <c r="BA209" s="22">
        <f t="shared" ref="BA209" si="2285">AZ161</f>
        <v>221.6864521654025</v>
      </c>
      <c r="BB209" s="22">
        <f t="shared" ref="BB209" si="2286">BA161</f>
        <v>226.12</v>
      </c>
      <c r="BC209" s="22">
        <f t="shared" ref="BC209" si="2287">BB161</f>
        <v>249.8853877363546</v>
      </c>
      <c r="BD209" s="22">
        <f t="shared" ref="BD209" si="2288">BC161</f>
        <v>199.73</v>
      </c>
      <c r="BE209" s="22">
        <f t="shared" ref="BE209" si="2289">BD161</f>
        <v>225.82312815193674</v>
      </c>
      <c r="BF209" s="22">
        <f t="shared" ref="BF209" si="2290">BE161</f>
        <v>182.19</v>
      </c>
      <c r="BG209" s="22">
        <f t="shared" ref="BG209" si="2291">BF161</f>
        <v>205.5811088964424</v>
      </c>
      <c r="BH209" s="22">
        <f t="shared" ref="BH209" si="2292">BG161</f>
        <v>107.78999999999999</v>
      </c>
      <c r="BI209" s="22">
        <f t="shared" ref="BI209" si="2293">BH161</f>
        <v>84.534026331698541</v>
      </c>
      <c r="BJ209" s="22">
        <f t="shared" ref="BJ209" si="2294">BI161</f>
        <v>68.88</v>
      </c>
      <c r="BK209" s="22">
        <f t="shared" ref="BK209" si="2295">BJ161</f>
        <v>100.95320566982576</v>
      </c>
      <c r="BL209" s="22">
        <f t="shared" ref="BL209" si="2296">BK161</f>
        <v>121.72</v>
      </c>
      <c r="BM209" s="22">
        <f t="shared" ref="BM209" si="2297">BL161</f>
        <v>142.28807684418163</v>
      </c>
      <c r="BN209" s="22">
        <f t="shared" ref="BN209" si="2298">BM161</f>
        <v>105.42</v>
      </c>
      <c r="BO209" s="22">
        <f t="shared" ref="BO209" si="2299">BN161</f>
        <v>187.08871439955129</v>
      </c>
      <c r="BP209" s="22">
        <f t="shared" ref="BP209" si="2300">BO161</f>
        <v>40.14</v>
      </c>
      <c r="BQ209" s="22">
        <f t="shared" ref="BQ209" si="2301">BP161</f>
        <v>43.88320307745105</v>
      </c>
      <c r="BR209" s="22">
        <f t="shared" ref="BR209" si="2302">BQ161</f>
        <v>85.460000000000008</v>
      </c>
      <c r="BS209" s="22">
        <f t="shared" ref="BS209" si="2303">BR161</f>
        <v>54.428073909379542</v>
      </c>
      <c r="BT209" s="22">
        <f t="shared" ref="BT209" si="2304">BS161</f>
        <v>58.75</v>
      </c>
      <c r="BU209" s="22">
        <f t="shared" ref="BU209" si="2305">BT161</f>
        <v>32.604521459616066</v>
      </c>
      <c r="BV209" s="22">
        <f t="shared" ref="BV209" si="2306">BU161</f>
        <v>32.809999999999995</v>
      </c>
      <c r="BW209" s="22">
        <f t="shared" ref="BW209" si="2307">BV161</f>
        <v>16.619757848753814</v>
      </c>
      <c r="BX209" s="22">
        <f t="shared" ref="BX209" si="2308">BW161</f>
        <v>13.82</v>
      </c>
      <c r="BY209" s="22">
        <f t="shared" ref="BY209" si="2309">BX161</f>
        <v>31.900087299885115</v>
      </c>
      <c r="BZ209" s="22">
        <f t="shared" ref="BZ209" si="2310">BY161</f>
        <v>43.18</v>
      </c>
      <c r="CA209" s="22">
        <f t="shared" ref="CA209" si="2311">BZ161</f>
        <v>100.21886344935132</v>
      </c>
      <c r="CB209" s="22">
        <f t="shared" ref="CB209" si="2312">CA161</f>
        <v>51.57</v>
      </c>
      <c r="CC209" s="22">
        <f t="shared" ref="CC209" si="2313">CB161</f>
        <v>53.520329097635724</v>
      </c>
      <c r="CD209" s="22">
        <f t="shared" ref="CD209" si="2314">CC161</f>
        <v>391.77000000000004</v>
      </c>
      <c r="CE209" s="22">
        <f t="shared" ref="CE209" si="2315">CD161</f>
        <v>414.05943733125747</v>
      </c>
      <c r="CF209" s="22">
        <f t="shared" ref="CF209" si="2316">CE161</f>
        <v>319.67</v>
      </c>
      <c r="CG209" s="22">
        <f t="shared" ref="CG209" si="2317">CF161</f>
        <v>323.21938775510165</v>
      </c>
      <c r="CH209" s="22">
        <f t="shared" ref="CH209:CL209" si="2318">CG161</f>
        <v>327.46000000000004</v>
      </c>
      <c r="CI209" s="22">
        <f t="shared" si="2318"/>
        <v>358.69220671609241</v>
      </c>
      <c r="CJ209" s="22">
        <f t="shared" si="2318"/>
        <v>280.77</v>
      </c>
      <c r="CK209" s="23">
        <f t="shared" ref="CK209" si="2319">CJ161</f>
        <v>308.65322542181855</v>
      </c>
      <c r="CL209" s="22">
        <f t="shared" si="2318"/>
        <v>340.05413586397276</v>
      </c>
      <c r="CM209" s="23">
        <f t="shared" ref="CM209" si="2320">CL161</f>
        <v>372.35120918609005</v>
      </c>
      <c r="CN209" s="23">
        <f t="shared" ref="CN209" si="2321">CM161</f>
        <v>414.82356189114125</v>
      </c>
      <c r="CO209" s="23">
        <f t="shared" ref="CO209" si="2322">CN161</f>
        <v>439.74121665777841</v>
      </c>
      <c r="CP209" s="23">
        <f t="shared" ref="CP209" si="2323">CO161</f>
        <v>475.33684122502507</v>
      </c>
      <c r="CQ209" s="23">
        <f t="shared" ref="CQ209" si="2324">CP161</f>
        <v>521.48708846507611</v>
      </c>
      <c r="CR209" s="23">
        <f t="shared" ref="CR209" si="2325">CQ161</f>
        <v>573.05227795802284</v>
      </c>
      <c r="CS209" s="23">
        <f t="shared" ref="CS209" si="2326">CR161</f>
        <v>604.99299909908041</v>
      </c>
      <c r="CT209" s="23">
        <f t="shared" ref="CT209" si="2327">CS161</f>
        <v>649.2800111468091</v>
      </c>
      <c r="CU209" s="23">
        <f t="shared" ref="CU209" si="2328">CT161</f>
        <v>706.32379564387475</v>
      </c>
      <c r="CV209" s="23">
        <f t="shared" ref="CV209" si="2329">CU161</f>
        <v>768.19113786598825</v>
      </c>
      <c r="CW209" s="23">
        <f t="shared" ref="CW209" si="2330">CV161</f>
        <v>810.91997006025508</v>
      </c>
      <c r="CX209" s="23">
        <f t="shared" ref="CX209" si="2331">CW161</f>
        <v>866.92730319084149</v>
      </c>
      <c r="CY209" s="23">
        <f t="shared" ref="CY209" si="2332">CX161</f>
        <v>936.44084379577396</v>
      </c>
      <c r="CZ209" s="23">
        <f t="shared" ref="CZ209" si="2333">CY161</f>
        <v>1011.2500699858153</v>
      </c>
      <c r="DA209" s="23">
        <f t="shared" ref="DA209" si="2334">CZ161</f>
        <v>1067.880666160527</v>
      </c>
      <c r="DD209" s="122"/>
      <c r="DE209" s="22">
        <v>327.46000000000004</v>
      </c>
    </row>
    <row r="210" spans="1:109" s="22" customFormat="1" x14ac:dyDescent="0.2">
      <c r="A210" s="22" t="s">
        <v>443</v>
      </c>
      <c r="C210" s="22">
        <f t="shared" ref="C210:W210" si="2335">C209+C205+C201+C199</f>
        <v>0</v>
      </c>
      <c r="D210" s="22">
        <f t="shared" si="2335"/>
        <v>13.986699999999971</v>
      </c>
      <c r="E210" s="22">
        <f t="shared" si="2335"/>
        <v>40.713900000000031</v>
      </c>
      <c r="F210" s="22">
        <f t="shared" si="2335"/>
        <v>22.329299999999982</v>
      </c>
      <c r="G210" s="22">
        <f t="shared" si="2335"/>
        <v>21.773699999999984</v>
      </c>
      <c r="H210" s="22">
        <f t="shared" si="2335"/>
        <v>15.576100000000025</v>
      </c>
      <c r="I210" s="22">
        <f t="shared" si="2335"/>
        <v>17.485900000000029</v>
      </c>
      <c r="J210" s="22">
        <f>J209+J205+J201+J199</f>
        <v>29.297399999999968</v>
      </c>
      <c r="K210" s="22">
        <f>K209+K205+K201+K199</f>
        <v>35.108300000000071</v>
      </c>
      <c r="L210" s="22">
        <f>L209+L205+L201+L199</f>
        <v>50.287799999999905</v>
      </c>
      <c r="M210" s="22">
        <f>M209+M205+M201+M199</f>
        <v>85.646600000000063</v>
      </c>
      <c r="N210" s="22">
        <f t="shared" si="2335"/>
        <v>75.138199999999955</v>
      </c>
      <c r="O210" s="22">
        <f t="shared" si="2335"/>
        <v>70.593299999999914</v>
      </c>
      <c r="P210" s="22">
        <f t="shared" si="2335"/>
        <v>197.99000000000007</v>
      </c>
      <c r="Q210" s="22">
        <f t="shared" si="2335"/>
        <v>221.99220000000014</v>
      </c>
      <c r="R210" s="22">
        <f t="shared" si="2335"/>
        <v>226.11379999999991</v>
      </c>
      <c r="S210" s="22">
        <f t="shared" si="2335"/>
        <v>182.19050000000004</v>
      </c>
      <c r="T210" s="22">
        <f t="shared" si="2335"/>
        <v>68.885300000000072</v>
      </c>
      <c r="U210" s="22">
        <f t="shared" si="2335"/>
        <v>105.41999999999987</v>
      </c>
      <c r="V210" s="22">
        <f t="shared" si="2335"/>
        <v>85.460000000000321</v>
      </c>
      <c r="W210" s="22">
        <f t="shared" si="2335"/>
        <v>32.810000000000045</v>
      </c>
      <c r="X210" s="22">
        <f t="shared" ref="X210:Y210" si="2336">X209+X205+X201+X199</f>
        <v>43.17999999999936</v>
      </c>
      <c r="Y210" s="22">
        <f t="shared" si="2336"/>
        <v>391.77000000000072</v>
      </c>
      <c r="Z210" s="22">
        <f t="shared" ref="Z210:AA210" si="2337">Z209+Z205+Z201+Z199</f>
        <v>327.46000000000009</v>
      </c>
      <c r="AA210" s="22">
        <f t="shared" si="2337"/>
        <v>493.23000000000008</v>
      </c>
      <c r="AB210" s="23">
        <f t="shared" ref="AA210:AD210" si="2338">AB209+AB205+AB201+AB199</f>
        <v>475.33684122502473</v>
      </c>
      <c r="AC210" s="23">
        <f t="shared" si="2338"/>
        <v>649.2800111468091</v>
      </c>
      <c r="AD210" s="23">
        <f t="shared" si="2338"/>
        <v>866.92730319084126</v>
      </c>
      <c r="AE210" s="23">
        <f t="shared" ref="AE210" si="2339">AE209+AE205+AE201+AE199</f>
        <v>1138.581481156765</v>
      </c>
      <c r="AI210" s="22">
        <f t="shared" ref="AI210" si="2340">AI209+AI205+AI201+AI199</f>
        <v>85.560000000000059</v>
      </c>
      <c r="AJ210" s="22">
        <f t="shared" ref="AJ210:AL210" si="2341">AJ209+AJ205+AJ201+AJ199</f>
        <v>125.35606339268243</v>
      </c>
      <c r="AK210" s="22">
        <f t="shared" si="2341"/>
        <v>75.139999999999944</v>
      </c>
      <c r="AL210" s="22">
        <f t="shared" si="2341"/>
        <v>85.149553924566831</v>
      </c>
      <c r="AM210" s="22">
        <f t="shared" ref="AM210" si="2342">AM209+AM205+AM201+AM199</f>
        <v>54.359999999999985</v>
      </c>
      <c r="AN210" s="22">
        <f t="shared" ref="AN210:CD210" si="2343">AN209+AN205+AN201+AN199</f>
        <v>92.758004921127167</v>
      </c>
      <c r="AO210" s="22">
        <f t="shared" si="2343"/>
        <v>70.590000000000032</v>
      </c>
      <c r="AP210" s="22">
        <f t="shared" si="2343"/>
        <v>92.018290535583347</v>
      </c>
      <c r="AQ210" s="22">
        <f t="shared" si="2343"/>
        <v>65.089999999999975</v>
      </c>
      <c r="AR210" s="22">
        <f t="shared" si="2343"/>
        <v>86.694398902159463</v>
      </c>
      <c r="AS210" s="22">
        <f t="shared" si="2343"/>
        <v>197.99</v>
      </c>
      <c r="AT210" s="22">
        <f t="shared" si="2343"/>
        <v>145.96940929902627</v>
      </c>
      <c r="AU210" s="22">
        <f t="shared" si="2343"/>
        <v>167.10999999999996</v>
      </c>
      <c r="AV210" s="22">
        <f t="shared" si="2343"/>
        <v>197.36411093164955</v>
      </c>
      <c r="AW210" s="22">
        <f t="shared" si="2343"/>
        <v>221.99000000000007</v>
      </c>
      <c r="AX210" s="22">
        <f t="shared" si="2343"/>
        <v>257.56910793765036</v>
      </c>
      <c r="AY210" s="22">
        <f t="shared" si="2343"/>
        <v>196.48000000000016</v>
      </c>
      <c r="AZ210" s="22">
        <f t="shared" si="2343"/>
        <v>221.6864521654025</v>
      </c>
      <c r="BA210" s="22">
        <f t="shared" si="2343"/>
        <v>226.11999999999995</v>
      </c>
      <c r="BB210" s="22">
        <f t="shared" si="2343"/>
        <v>249.8853877363546</v>
      </c>
      <c r="BC210" s="22">
        <f t="shared" si="2343"/>
        <v>199.73</v>
      </c>
      <c r="BD210" s="22">
        <f t="shared" si="2343"/>
        <v>225.82312815193674</v>
      </c>
      <c r="BE210" s="22">
        <f t="shared" si="2343"/>
        <v>182.19000000000005</v>
      </c>
      <c r="BF210" s="22">
        <f t="shared" si="2343"/>
        <v>205.5811088964424</v>
      </c>
      <c r="BG210" s="22">
        <f t="shared" si="2343"/>
        <v>107.79000000000005</v>
      </c>
      <c r="BH210" s="22">
        <f t="shared" si="2343"/>
        <v>84.534026331698541</v>
      </c>
      <c r="BI210" s="22">
        <f t="shared" si="2343"/>
        <v>68.86999999999972</v>
      </c>
      <c r="BJ210" s="22">
        <f t="shared" si="2343"/>
        <v>100.95320566982576</v>
      </c>
      <c r="BK210" s="22">
        <f t="shared" si="2343"/>
        <v>121.73000000000002</v>
      </c>
      <c r="BL210" s="22">
        <f t="shared" si="2343"/>
        <v>142.28807684418163</v>
      </c>
      <c r="BM210" s="22">
        <f t="shared" si="2343"/>
        <v>105.42000000000007</v>
      </c>
      <c r="BN210" s="22">
        <f t="shared" si="2343"/>
        <v>187.08871439955129</v>
      </c>
      <c r="BO210" s="22">
        <f t="shared" si="2343"/>
        <v>40.140000000000242</v>
      </c>
      <c r="BP210" s="22">
        <f t="shared" si="2343"/>
        <v>43.88320307745105</v>
      </c>
      <c r="BQ210" s="22">
        <f t="shared" si="2343"/>
        <v>85.459999999999923</v>
      </c>
      <c r="BR210" s="22">
        <f t="shared" si="2343"/>
        <v>54.428073909379542</v>
      </c>
      <c r="BS210" s="22">
        <f t="shared" si="2343"/>
        <v>58.750000000000085</v>
      </c>
      <c r="BT210" s="22">
        <f t="shared" si="2343"/>
        <v>32.604521459616066</v>
      </c>
      <c r="BU210" s="22">
        <f t="shared" si="2343"/>
        <v>32.809999999999974</v>
      </c>
      <c r="BV210" s="22">
        <f t="shared" si="2343"/>
        <v>16.619757848753814</v>
      </c>
      <c r="BW210" s="22">
        <f t="shared" si="2343"/>
        <v>13.820000000000149</v>
      </c>
      <c r="BX210" s="22">
        <f t="shared" si="2343"/>
        <v>31.900087299885115</v>
      </c>
      <c r="BY210" s="22">
        <f t="shared" si="2343"/>
        <v>43.179999999999751</v>
      </c>
      <c r="BZ210" s="22">
        <f t="shared" si="2343"/>
        <v>100.21886344935132</v>
      </c>
      <c r="CA210" s="22">
        <f t="shared" si="2343"/>
        <v>51.569999999999787</v>
      </c>
      <c r="CB210" s="22">
        <f t="shared" si="2343"/>
        <v>53.520329097635724</v>
      </c>
      <c r="CC210" s="22">
        <f t="shared" si="2343"/>
        <v>391.7700000000001</v>
      </c>
      <c r="CD210" s="22">
        <f t="shared" si="2343"/>
        <v>414.05943733125747</v>
      </c>
      <c r="CE210" s="22">
        <f t="shared" ref="CE210:CF210" si="2344">CE209+CE205+CE201+CE199</f>
        <v>319.66999999999973</v>
      </c>
      <c r="CF210" s="22">
        <f t="shared" si="2344"/>
        <v>323.21938775510165</v>
      </c>
      <c r="CG210" s="22">
        <f t="shared" ref="CG210:CH210" si="2345">CG209+CG205+CG201+CG199</f>
        <v>327.46000000000015</v>
      </c>
      <c r="CH210" s="22">
        <f t="shared" si="2345"/>
        <v>358.69220671609241</v>
      </c>
      <c r="CI210" s="22">
        <f t="shared" ref="CI210:CJ210" si="2346">CI209+CI205+CI201+CI199</f>
        <v>280.76999999999947</v>
      </c>
      <c r="CJ210" s="22">
        <f t="shared" si="2346"/>
        <v>308.65322542181855</v>
      </c>
      <c r="CK210" s="23">
        <f t="shared" ref="CK210:DA210" si="2347">CK209+CK205+CK201+CK199</f>
        <v>340.05413586397276</v>
      </c>
      <c r="CL210" s="22">
        <f t="shared" si="2347"/>
        <v>372.35120918609005</v>
      </c>
      <c r="CM210" s="23">
        <f t="shared" si="2347"/>
        <v>414.82356189114125</v>
      </c>
      <c r="CN210" s="23">
        <f t="shared" si="2347"/>
        <v>439.74121665777841</v>
      </c>
      <c r="CO210" s="23">
        <f t="shared" si="2347"/>
        <v>475.33684122502507</v>
      </c>
      <c r="CP210" s="23">
        <f t="shared" si="2347"/>
        <v>521.48708846507611</v>
      </c>
      <c r="CQ210" s="23">
        <f t="shared" si="2347"/>
        <v>573.05227795802284</v>
      </c>
      <c r="CR210" s="23">
        <f t="shared" si="2347"/>
        <v>604.99299909908041</v>
      </c>
      <c r="CS210" s="23">
        <f t="shared" si="2347"/>
        <v>649.2800111468091</v>
      </c>
      <c r="CT210" s="23">
        <f t="shared" si="2347"/>
        <v>706.32379564387475</v>
      </c>
      <c r="CU210" s="23">
        <f t="shared" si="2347"/>
        <v>768.19113786598825</v>
      </c>
      <c r="CV210" s="23">
        <f t="shared" si="2347"/>
        <v>810.91997006025508</v>
      </c>
      <c r="CW210" s="23">
        <f t="shared" si="2347"/>
        <v>866.92730319084149</v>
      </c>
      <c r="CX210" s="23">
        <f t="shared" si="2347"/>
        <v>936.44084379577396</v>
      </c>
      <c r="CY210" s="23">
        <f t="shared" si="2347"/>
        <v>1011.2500699858153</v>
      </c>
      <c r="CZ210" s="23">
        <f t="shared" si="2347"/>
        <v>1067.880666160527</v>
      </c>
      <c r="DA210" s="23">
        <f t="shared" si="2347"/>
        <v>1138.581481156765</v>
      </c>
      <c r="DD210" s="122"/>
      <c r="DE210" s="22">
        <v>340.05413586397248</v>
      </c>
    </row>
    <row r="211" spans="1:109" s="27" customFormat="1" x14ac:dyDescent="0.2">
      <c r="A211" s="27" t="s">
        <v>444</v>
      </c>
      <c r="C211" s="27">
        <f t="shared" ref="C211:W211" si="2348">C210-C161</f>
        <v>0</v>
      </c>
      <c r="D211" s="27">
        <f t="shared" si="2348"/>
        <v>-3.0198066269804258E-14</v>
      </c>
      <c r="E211" s="27">
        <f t="shared" si="2348"/>
        <v>0</v>
      </c>
      <c r="F211" s="27">
        <f t="shared" si="2348"/>
        <v>0</v>
      </c>
      <c r="G211" s="27">
        <f t="shared" si="2348"/>
        <v>0</v>
      </c>
      <c r="H211" s="27">
        <f t="shared" si="2348"/>
        <v>2.6645352591003757E-14</v>
      </c>
      <c r="I211" s="27">
        <f t="shared" si="2348"/>
        <v>2.8421709430404007E-14</v>
      </c>
      <c r="J211" s="27">
        <f>J210-J161</f>
        <v>-3.5527136788005009E-14</v>
      </c>
      <c r="K211" s="27">
        <f t="shared" si="2348"/>
        <v>7.1054273576010019E-14</v>
      </c>
      <c r="L211" s="27">
        <f t="shared" si="2348"/>
        <v>-9.9475983006414026E-14</v>
      </c>
      <c r="M211" s="27">
        <f t="shared" si="2348"/>
        <v>0</v>
      </c>
      <c r="N211" s="27">
        <f t="shared" si="2348"/>
        <v>0</v>
      </c>
      <c r="O211" s="27">
        <f t="shared" si="2348"/>
        <v>0</v>
      </c>
      <c r="P211" s="27">
        <f t="shared" si="2348"/>
        <v>0</v>
      </c>
      <c r="Q211" s="27">
        <f t="shared" si="2348"/>
        <v>0</v>
      </c>
      <c r="R211" s="27">
        <f t="shared" si="2348"/>
        <v>0</v>
      </c>
      <c r="S211" s="27">
        <f t="shared" si="2348"/>
        <v>0</v>
      </c>
      <c r="T211" s="27">
        <f t="shared" si="2348"/>
        <v>0</v>
      </c>
      <c r="U211" s="27">
        <f t="shared" si="2348"/>
        <v>-1.2789769243681803E-13</v>
      </c>
      <c r="V211" s="27">
        <f t="shared" si="2348"/>
        <v>3.1263880373444408E-13</v>
      </c>
      <c r="W211" s="27">
        <f t="shared" si="2348"/>
        <v>0</v>
      </c>
      <c r="X211" s="27">
        <f t="shared" ref="X211:Y211" si="2349">X210-X161</f>
        <v>-6.3948846218409017E-13</v>
      </c>
      <c r="Y211" s="27">
        <f t="shared" si="2349"/>
        <v>6.8212102632969618E-13</v>
      </c>
      <c r="Z211" s="27">
        <f t="shared" ref="Z211:AA211" si="2350">Z210-Z161</f>
        <v>0</v>
      </c>
      <c r="AA211" s="27">
        <f t="shared" si="2350"/>
        <v>0</v>
      </c>
      <c r="AB211" s="29">
        <f t="shared" ref="AA211:AD211" si="2351">AB210-AB161</f>
        <v>0</v>
      </c>
      <c r="AC211" s="29">
        <f t="shared" si="2351"/>
        <v>0</v>
      </c>
      <c r="AD211" s="29">
        <f t="shared" si="2351"/>
        <v>0</v>
      </c>
      <c r="AE211" s="29">
        <f t="shared" ref="AE211" si="2352">AE210-AE161</f>
        <v>0</v>
      </c>
      <c r="AI211" s="27">
        <f t="shared" ref="AI211" si="2353">AI210-AI161</f>
        <v>0</v>
      </c>
      <c r="AJ211" s="27">
        <f t="shared" ref="AJ211:AL211" si="2354">AJ210-AJ161</f>
        <v>0</v>
      </c>
      <c r="AK211" s="27">
        <f t="shared" si="2354"/>
        <v>0</v>
      </c>
      <c r="AL211" s="27">
        <f t="shared" si="2354"/>
        <v>0</v>
      </c>
      <c r="AM211" s="27">
        <f t="shared" ref="AM211" si="2355">AM210-AM161</f>
        <v>0</v>
      </c>
      <c r="AN211" s="27">
        <f t="shared" ref="AN211:CD211" si="2356">AN210-AN161</f>
        <v>0</v>
      </c>
      <c r="AO211" s="27">
        <f t="shared" si="2356"/>
        <v>0</v>
      </c>
      <c r="AP211" s="27">
        <f t="shared" si="2356"/>
        <v>0</v>
      </c>
      <c r="AQ211" s="27">
        <f t="shared" si="2356"/>
        <v>0</v>
      </c>
      <c r="AR211" s="27">
        <f t="shared" si="2356"/>
        <v>0</v>
      </c>
      <c r="AS211" s="27">
        <f t="shared" si="2356"/>
        <v>0</v>
      </c>
      <c r="AT211" s="27">
        <f t="shared" si="2356"/>
        <v>0</v>
      </c>
      <c r="AU211" s="27">
        <f t="shared" si="2356"/>
        <v>0</v>
      </c>
      <c r="AV211" s="27">
        <f t="shared" si="2356"/>
        <v>0</v>
      </c>
      <c r="AW211" s="27">
        <f t="shared" si="2356"/>
        <v>0</v>
      </c>
      <c r="AX211" s="27">
        <f t="shared" si="2356"/>
        <v>0</v>
      </c>
      <c r="AY211" s="27">
        <f t="shared" si="2356"/>
        <v>0</v>
      </c>
      <c r="AZ211" s="27">
        <f t="shared" si="2356"/>
        <v>0</v>
      </c>
      <c r="BA211" s="27">
        <f t="shared" si="2356"/>
        <v>0</v>
      </c>
      <c r="BB211" s="27">
        <f t="shared" si="2356"/>
        <v>0</v>
      </c>
      <c r="BC211" s="27">
        <f t="shared" si="2356"/>
        <v>0</v>
      </c>
      <c r="BD211" s="27">
        <f t="shared" si="2356"/>
        <v>0</v>
      </c>
      <c r="BE211" s="27">
        <f t="shared" si="2356"/>
        <v>0</v>
      </c>
      <c r="BF211" s="27">
        <f t="shared" si="2356"/>
        <v>0</v>
      </c>
      <c r="BG211" s="27">
        <f t="shared" si="2356"/>
        <v>0</v>
      </c>
      <c r="BH211" s="27">
        <f t="shared" si="2356"/>
        <v>0</v>
      </c>
      <c r="BI211" s="27">
        <f t="shared" si="2356"/>
        <v>-1.0000000000275122E-2</v>
      </c>
      <c r="BJ211" s="27">
        <f t="shared" si="2356"/>
        <v>0</v>
      </c>
      <c r="BK211" s="27">
        <f t="shared" si="2356"/>
        <v>1.0000000000019327E-2</v>
      </c>
      <c r="BL211" s="27">
        <f t="shared" si="2356"/>
        <v>0</v>
      </c>
      <c r="BM211" s="27">
        <f t="shared" si="2356"/>
        <v>0</v>
      </c>
      <c r="BN211" s="27">
        <f t="shared" si="2356"/>
        <v>0</v>
      </c>
      <c r="BO211" s="27">
        <f t="shared" si="2356"/>
        <v>2.4158453015843406E-13</v>
      </c>
      <c r="BP211" s="27">
        <f t="shared" si="2356"/>
        <v>0</v>
      </c>
      <c r="BQ211" s="27">
        <f t="shared" si="2356"/>
        <v>0</v>
      </c>
      <c r="BR211" s="27">
        <f t="shared" si="2356"/>
        <v>0</v>
      </c>
      <c r="BS211" s="27">
        <f t="shared" si="2356"/>
        <v>8.5265128291212022E-14</v>
      </c>
      <c r="BT211" s="27">
        <f t="shared" si="2356"/>
        <v>0</v>
      </c>
      <c r="BU211" s="27">
        <f t="shared" si="2356"/>
        <v>0</v>
      </c>
      <c r="BV211" s="27">
        <f t="shared" si="2356"/>
        <v>0</v>
      </c>
      <c r="BW211" s="27">
        <f t="shared" si="2356"/>
        <v>1.4921397450962104E-13</v>
      </c>
      <c r="BX211" s="27">
        <f t="shared" si="2356"/>
        <v>0</v>
      </c>
      <c r="BY211" s="27">
        <f t="shared" si="2356"/>
        <v>-2.4868995751603507E-13</v>
      </c>
      <c r="BZ211" s="27">
        <f t="shared" si="2356"/>
        <v>0</v>
      </c>
      <c r="CA211" s="27">
        <f t="shared" si="2356"/>
        <v>-2.1316282072803006E-13</v>
      </c>
      <c r="CB211" s="27">
        <f t="shared" si="2356"/>
        <v>0</v>
      </c>
      <c r="CC211" s="27">
        <f t="shared" si="2356"/>
        <v>0</v>
      </c>
      <c r="CD211" s="27">
        <f t="shared" si="2356"/>
        <v>0</v>
      </c>
      <c r="CE211" s="27">
        <f t="shared" ref="CE211:CF211" si="2357">CE210-CE161</f>
        <v>0</v>
      </c>
      <c r="CF211" s="27">
        <f t="shared" si="2357"/>
        <v>0</v>
      </c>
      <c r="CG211" s="27">
        <f t="shared" ref="CG211:CH211" si="2358">CG210-CG161</f>
        <v>0</v>
      </c>
      <c r="CH211" s="27">
        <f t="shared" si="2358"/>
        <v>0</v>
      </c>
      <c r="CI211" s="27">
        <f t="shared" ref="CI211:CJ211" si="2359">CI210-CI161</f>
        <v>-5.1159076974727213E-13</v>
      </c>
      <c r="CJ211" s="27">
        <f t="shared" si="2359"/>
        <v>0</v>
      </c>
      <c r="CK211" s="29">
        <f t="shared" ref="CK211:DA211" si="2360">CK210-CK161</f>
        <v>0</v>
      </c>
      <c r="CL211" s="27">
        <f t="shared" si="2360"/>
        <v>0</v>
      </c>
      <c r="CM211" s="29">
        <f t="shared" si="2360"/>
        <v>0</v>
      </c>
      <c r="CN211" s="29">
        <f t="shared" si="2360"/>
        <v>0</v>
      </c>
      <c r="CO211" s="29">
        <f t="shared" si="2360"/>
        <v>0</v>
      </c>
      <c r="CP211" s="29">
        <f t="shared" si="2360"/>
        <v>0</v>
      </c>
      <c r="CQ211" s="29">
        <f t="shared" si="2360"/>
        <v>0</v>
      </c>
      <c r="CR211" s="29">
        <f t="shared" si="2360"/>
        <v>0</v>
      </c>
      <c r="CS211" s="29">
        <f t="shared" si="2360"/>
        <v>0</v>
      </c>
      <c r="CT211" s="29">
        <f t="shared" si="2360"/>
        <v>0</v>
      </c>
      <c r="CU211" s="29">
        <f t="shared" si="2360"/>
        <v>0</v>
      </c>
      <c r="CV211" s="29">
        <f t="shared" si="2360"/>
        <v>0</v>
      </c>
      <c r="CW211" s="29">
        <f t="shared" si="2360"/>
        <v>0</v>
      </c>
      <c r="CX211" s="29">
        <f t="shared" si="2360"/>
        <v>0</v>
      </c>
      <c r="CY211" s="29">
        <f t="shared" si="2360"/>
        <v>0</v>
      </c>
      <c r="CZ211" s="29">
        <f t="shared" si="2360"/>
        <v>0</v>
      </c>
      <c r="DA211" s="29">
        <f t="shared" si="2360"/>
        <v>0</v>
      </c>
      <c r="DD211" s="138"/>
      <c r="DE211" s="27">
        <v>0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61">C199+C201</f>
        <v>0</v>
      </c>
      <c r="D213" s="21">
        <f t="shared" si="2361"/>
        <v>-132.5557</v>
      </c>
      <c r="E213" s="21">
        <f t="shared" si="2361"/>
        <v>52.116299999999981</v>
      </c>
      <c r="F213" s="21">
        <f t="shared" si="2361"/>
        <v>-12.587099999999971</v>
      </c>
      <c r="G213" s="21">
        <f t="shared" si="2361"/>
        <v>6.5829000000000377</v>
      </c>
      <c r="H213" s="21">
        <f t="shared" si="2361"/>
        <v>-10.810299999999955</v>
      </c>
      <c r="I213" s="21">
        <f t="shared" si="2361"/>
        <v>-17.521499999999989</v>
      </c>
      <c r="J213" s="21">
        <f>J199+J201</f>
        <v>42.536400000000015</v>
      </c>
      <c r="K213" s="21">
        <f t="shared" si="2361"/>
        <v>53.693399999999997</v>
      </c>
      <c r="L213" s="21">
        <f t="shared" si="2361"/>
        <v>32.592799999999926</v>
      </c>
      <c r="M213" s="21">
        <f t="shared" si="2361"/>
        <v>53.177099999999967</v>
      </c>
      <c r="N213" s="21">
        <f t="shared" si="2361"/>
        <v>-39.799200000000098</v>
      </c>
      <c r="O213" s="21">
        <f t="shared" si="2361"/>
        <v>19.864499999999893</v>
      </c>
      <c r="P213" s="21">
        <f t="shared" si="2361"/>
        <v>19.688500000000118</v>
      </c>
      <c r="Q213" s="21">
        <f t="shared" si="2361"/>
        <v>-438.77379999999994</v>
      </c>
      <c r="R213" s="21">
        <f t="shared" si="2361"/>
        <v>312.12559999999979</v>
      </c>
      <c r="S213" s="21">
        <f t="shared" si="2361"/>
        <v>9.5813999999998032</v>
      </c>
      <c r="T213" s="21">
        <f t="shared" si="2361"/>
        <v>-83.206599999999767</v>
      </c>
      <c r="U213" s="21">
        <f t="shared" si="2361"/>
        <v>196.21509999999955</v>
      </c>
      <c r="V213" s="21">
        <f t="shared" si="2361"/>
        <v>33.28000000000003</v>
      </c>
      <c r="W213" s="21">
        <f t="shared" si="2361"/>
        <v>-126.02999999999973</v>
      </c>
      <c r="X213" s="21">
        <f t="shared" ref="X213:Y213" si="2362">X199+X201</f>
        <v>3.3499999999992127</v>
      </c>
      <c r="Y213" s="21">
        <f t="shared" si="2362"/>
        <v>527.8100000000004</v>
      </c>
      <c r="Z213" s="21">
        <f t="shared" ref="Z213:AA213" si="2363">Z199+Z201</f>
        <v>80.569999999999936</v>
      </c>
      <c r="AA213" s="21">
        <f t="shared" si="2363"/>
        <v>183.94999999999987</v>
      </c>
      <c r="AB213" s="20">
        <f t="shared" ref="AA213:AD213" si="2364">AB199+AB201</f>
        <v>-25.463158774975341</v>
      </c>
      <c r="AC213" s="20">
        <f t="shared" si="2364"/>
        <v>173.94316992178426</v>
      </c>
      <c r="AD213" s="20">
        <f t="shared" si="2364"/>
        <v>217.64729204403187</v>
      </c>
      <c r="AE213" s="20">
        <f t="shared" ref="AE213" si="2365">AE199+AE201</f>
        <v>271.654177965923</v>
      </c>
      <c r="AI213" s="21">
        <f t="shared" ref="AI213" si="2366">AI199+AI201</f>
        <v>-278.63</v>
      </c>
      <c r="AJ213" s="21">
        <f t="shared" ref="AJ213:AL213" si="2367">AJ199+AJ201</f>
        <v>39.796063392682427</v>
      </c>
      <c r="AK213" s="21">
        <f t="shared" si="2367"/>
        <v>-75.656063392682498</v>
      </c>
      <c r="AL213" s="21">
        <f t="shared" si="2367"/>
        <v>10.009553924566827</v>
      </c>
      <c r="AM213" s="21">
        <f t="shared" ref="AM213" si="2368">AM199+AM201</f>
        <v>-30.779553924566784</v>
      </c>
      <c r="AN213" s="21">
        <f t="shared" ref="AN213:CD213" si="2369">AN199+AN201</f>
        <v>38.398004921127175</v>
      </c>
      <c r="AO213" s="21">
        <f t="shared" si="2369"/>
        <v>4.4019950788728757</v>
      </c>
      <c r="AP213" s="21">
        <f t="shared" si="2369"/>
        <v>21.428290535583344</v>
      </c>
      <c r="AQ213" s="21">
        <f t="shared" si="2369"/>
        <v>-33.788290535583421</v>
      </c>
      <c r="AR213" s="21">
        <f t="shared" si="2369"/>
        <v>21.60439890215946</v>
      </c>
      <c r="AS213" s="21">
        <f t="shared" si="2369"/>
        <v>8.9456010978404947</v>
      </c>
      <c r="AT213" s="21">
        <f t="shared" si="2369"/>
        <v>-52.020590700973727</v>
      </c>
      <c r="AU213" s="21">
        <f t="shared" si="2369"/>
        <v>-482.94940929902617</v>
      </c>
      <c r="AV213" s="21">
        <f t="shared" si="2369"/>
        <v>30.254110931649556</v>
      </c>
      <c r="AW213" s="21">
        <f t="shared" si="2369"/>
        <v>103.60588906835038</v>
      </c>
      <c r="AX213" s="21">
        <f t="shared" si="2369"/>
        <v>35.579107937650342</v>
      </c>
      <c r="AY213" s="21">
        <f t="shared" si="2369"/>
        <v>-5.7191079376503637</v>
      </c>
      <c r="AZ213" s="21">
        <f t="shared" si="2369"/>
        <v>25.206452165402467</v>
      </c>
      <c r="BA213" s="21">
        <f t="shared" si="2369"/>
        <v>50.173547834597336</v>
      </c>
      <c r="BB213" s="21">
        <f t="shared" si="2369"/>
        <v>23.765387736354597</v>
      </c>
      <c r="BC213" s="21">
        <f t="shared" si="2369"/>
        <v>187.81461226364522</v>
      </c>
      <c r="BD213" s="21">
        <f t="shared" si="2369"/>
        <v>26.093128151936817</v>
      </c>
      <c r="BE213" s="21">
        <f t="shared" si="2369"/>
        <v>-48.543128151936784</v>
      </c>
      <c r="BF213" s="21">
        <f t="shared" si="2369"/>
        <v>23.39110889644239</v>
      </c>
      <c r="BG213" s="21">
        <f t="shared" si="2369"/>
        <v>-71.221108896442189</v>
      </c>
      <c r="BH213" s="21">
        <f t="shared" si="2369"/>
        <v>-23.255973668301447</v>
      </c>
      <c r="BI213" s="21">
        <f t="shared" si="2369"/>
        <v>-20.034026331698705</v>
      </c>
      <c r="BJ213" s="21">
        <f t="shared" si="2369"/>
        <v>32.073205669825775</v>
      </c>
      <c r="BK213" s="21">
        <f t="shared" si="2369"/>
        <v>396.98679433017435</v>
      </c>
      <c r="BL213" s="21">
        <f t="shared" si="2369"/>
        <v>20.568076844181633</v>
      </c>
      <c r="BM213" s="21">
        <f t="shared" si="2369"/>
        <v>-253.22807684418149</v>
      </c>
      <c r="BN213" s="21">
        <f t="shared" si="2369"/>
        <v>81.668714399551305</v>
      </c>
      <c r="BO213" s="21">
        <f t="shared" si="2369"/>
        <v>-10.598714399551</v>
      </c>
      <c r="BP213" s="21">
        <f t="shared" si="2369"/>
        <v>3.7432030774510494</v>
      </c>
      <c r="BQ213" s="21">
        <f t="shared" si="2369"/>
        <v>-43.533203077451304</v>
      </c>
      <c r="BR213" s="21">
        <f t="shared" si="2369"/>
        <v>-31.031926090620466</v>
      </c>
      <c r="BS213" s="21">
        <f t="shared" si="2369"/>
        <v>-73.318073909379592</v>
      </c>
      <c r="BT213" s="21">
        <f t="shared" si="2369"/>
        <v>-26.145478540383937</v>
      </c>
      <c r="BU213" s="21">
        <f t="shared" si="2369"/>
        <v>-0.80452145961614008</v>
      </c>
      <c r="BV213" s="21">
        <f t="shared" si="2369"/>
        <v>-16.190242151246181</v>
      </c>
      <c r="BW213" s="21">
        <f t="shared" si="2369"/>
        <v>-143.94975784875328</v>
      </c>
      <c r="BX213" s="21">
        <f t="shared" si="2369"/>
        <v>18.080087299885115</v>
      </c>
      <c r="BY213" s="21">
        <f t="shared" si="2369"/>
        <v>145.85991270011468</v>
      </c>
      <c r="BZ213" s="21">
        <f t="shared" si="2369"/>
        <v>57.038863449351325</v>
      </c>
      <c r="CA213" s="21">
        <f t="shared" si="2369"/>
        <v>-40.778863449351412</v>
      </c>
      <c r="CB213" s="21">
        <f t="shared" si="2369"/>
        <v>1.9503290976357235</v>
      </c>
      <c r="CC213" s="21">
        <f t="shared" si="2369"/>
        <v>509.71967090236456</v>
      </c>
      <c r="CD213" s="21">
        <f t="shared" si="2369"/>
        <v>22.289437331257432</v>
      </c>
      <c r="CE213" s="21">
        <f t="shared" ref="CE213:CF213" si="2370">CE199+CE201</f>
        <v>-62.419437331257555</v>
      </c>
      <c r="CF213" s="21">
        <f t="shared" si="2370"/>
        <v>3.5493877551016411</v>
      </c>
      <c r="CG213" s="21">
        <f t="shared" ref="CG213:CH213" si="2371">CG199+CG201</f>
        <v>120.10061224489846</v>
      </c>
      <c r="CH213" s="21">
        <f t="shared" si="2371"/>
        <v>31.232206716092357</v>
      </c>
      <c r="CI213" s="21">
        <f t="shared" ref="CI213:CJ213" si="2372">CI199+CI201</f>
        <v>-67.312206716092703</v>
      </c>
      <c r="CJ213" s="21">
        <f t="shared" si="2372"/>
        <v>27.883225421818544</v>
      </c>
      <c r="CK213" s="20">
        <f t="shared" ref="CK213:DA213" si="2373">CK199+CK201</f>
        <v>31.400910442154228</v>
      </c>
      <c r="CL213" s="21">
        <f t="shared" si="2373"/>
        <v>32.297073322117313</v>
      </c>
      <c r="CM213" s="20">
        <f t="shared" si="2373"/>
        <v>42.472352705051193</v>
      </c>
      <c r="CN213" s="20">
        <f t="shared" si="2373"/>
        <v>24.917654766637156</v>
      </c>
      <c r="CO213" s="20">
        <f t="shared" si="2373"/>
        <v>35.595624567246688</v>
      </c>
      <c r="CP213" s="20">
        <f t="shared" si="2373"/>
        <v>46.150247240051002</v>
      </c>
      <c r="CQ213" s="20">
        <f t="shared" si="2373"/>
        <v>51.565189492946772</v>
      </c>
      <c r="CR213" s="20">
        <f t="shared" si="2373"/>
        <v>31.940721141057509</v>
      </c>
      <c r="CS213" s="20">
        <f t="shared" si="2373"/>
        <v>44.287012047728936</v>
      </c>
      <c r="CT213" s="20">
        <f t="shared" si="2373"/>
        <v>57.043784497065587</v>
      </c>
      <c r="CU213" s="20">
        <f t="shared" si="2373"/>
        <v>61.867342222113464</v>
      </c>
      <c r="CV213" s="20">
        <f t="shared" si="2373"/>
        <v>42.728832194266801</v>
      </c>
      <c r="CW213" s="20">
        <f t="shared" si="2373"/>
        <v>56.00733313058636</v>
      </c>
      <c r="CX213" s="20">
        <f t="shared" si="2373"/>
        <v>69.513540604932516</v>
      </c>
      <c r="CY213" s="20">
        <f t="shared" si="2373"/>
        <v>74.809226190041173</v>
      </c>
      <c r="CZ213" s="20">
        <f t="shared" si="2373"/>
        <v>56.630596174711698</v>
      </c>
      <c r="DA213" s="20">
        <f t="shared" si="2373"/>
        <v>70.700814996237725</v>
      </c>
      <c r="DD213" s="125"/>
      <c r="DE213" s="21">
        <v>23.204135863972226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74">SUM(AI10:AL10)</f>
        <v>946.2399999999999</v>
      </c>
      <c r="AM225" s="65">
        <f t="shared" si="2374"/>
        <v>985.31</v>
      </c>
      <c r="AN225" s="65">
        <f t="shared" si="2374"/>
        <v>1030.8800000000001</v>
      </c>
      <c r="AO225" s="65">
        <f t="shared" si="2374"/>
        <v>1083.05</v>
      </c>
      <c r="AP225" s="65">
        <f t="shared" si="2374"/>
        <v>1117.3</v>
      </c>
      <c r="AQ225" s="65">
        <f t="shared" si="2374"/>
        <v>1150.02</v>
      </c>
      <c r="AR225" s="65">
        <f t="shared" si="2374"/>
        <v>1196</v>
      </c>
      <c r="AS225" s="65">
        <f t="shared" si="2374"/>
        <v>1224.82</v>
      </c>
      <c r="AT225" s="65">
        <f t="shared" si="2374"/>
        <v>1376.12</v>
      </c>
      <c r="AU225" s="65">
        <f t="shared" si="2374"/>
        <v>1611.69</v>
      </c>
      <c r="AV225" s="65">
        <f t="shared" si="2374"/>
        <v>1816.93</v>
      </c>
      <c r="AW225" s="65">
        <f t="shared" si="2374"/>
        <v>2033.9499999999998</v>
      </c>
      <c r="AX225" s="65">
        <f t="shared" si="2374"/>
        <v>2117.1999999999998</v>
      </c>
      <c r="AY225" s="65">
        <f t="shared" si="2374"/>
        <v>2144.0600000000004</v>
      </c>
      <c r="AZ225" s="65">
        <f t="shared" si="2374"/>
        <v>2181.4899999999998</v>
      </c>
      <c r="BA225" s="65">
        <f t="shared" si="2374"/>
        <v>2176.85</v>
      </c>
      <c r="BB225" s="65">
        <f t="shared" si="2374"/>
        <v>2161.6799999999998</v>
      </c>
      <c r="BC225" s="65">
        <f t="shared" si="2374"/>
        <v>2100.7600000000002</v>
      </c>
      <c r="BD225" s="65">
        <f t="shared" si="2374"/>
        <v>2090.91</v>
      </c>
      <c r="BE225" s="65">
        <f t="shared" si="2374"/>
        <v>2128.42</v>
      </c>
      <c r="BF225" s="65">
        <f t="shared" si="2374"/>
        <v>2170.9899999999998</v>
      </c>
      <c r="BG225" s="65">
        <f t="shared" si="2374"/>
        <v>2255.69</v>
      </c>
      <c r="BH225" s="65">
        <f t="shared" si="2374"/>
        <v>2318.11</v>
      </c>
      <c r="BI225" s="65">
        <f t="shared" si="2374"/>
        <v>2369.98</v>
      </c>
      <c r="BJ225" s="65">
        <f t="shared" si="2374"/>
        <v>2444.5500000000002</v>
      </c>
      <c r="BK225" s="65">
        <f t="shared" si="2374"/>
        <v>2482.8200000000002</v>
      </c>
      <c r="BL225" s="65">
        <f t="shared" si="2374"/>
        <v>2523.37</v>
      </c>
      <c r="BM225" s="65">
        <f t="shared" si="2374"/>
        <v>2589.13</v>
      </c>
      <c r="BN225" s="65">
        <f t="shared" si="2374"/>
        <v>2539.85</v>
      </c>
      <c r="BO225" s="65">
        <f t="shared" si="2374"/>
        <v>2546.8900000000003</v>
      </c>
      <c r="BP225" s="65">
        <f t="shared" si="2374"/>
        <v>2582.65</v>
      </c>
      <c r="BQ225" s="65">
        <f t="shared" si="2374"/>
        <v>2462.7000000000003</v>
      </c>
      <c r="BR225" s="65">
        <f t="shared" ref="BR225:CW225" si="2375">SUM(BO10:BR10)</f>
        <v>2516.7400000000002</v>
      </c>
      <c r="BS225" s="65">
        <f t="shared" si="2375"/>
        <v>2538.5899999999997</v>
      </c>
      <c r="BT225" s="65">
        <f t="shared" si="2375"/>
        <v>2521.42</v>
      </c>
      <c r="BU225" s="65">
        <f t="shared" si="2375"/>
        <v>2625.28</v>
      </c>
      <c r="BV225" s="65">
        <f t="shared" si="2375"/>
        <v>2721.4500000000003</v>
      </c>
      <c r="BW225" s="65">
        <f t="shared" si="2375"/>
        <v>2851.48</v>
      </c>
      <c r="BX225" s="65">
        <f t="shared" si="2375"/>
        <v>2951.78</v>
      </c>
      <c r="BY225" s="65">
        <f t="shared" si="2375"/>
        <v>2982.9200000000005</v>
      </c>
      <c r="BZ225" s="65">
        <f t="shared" si="2375"/>
        <v>2915.9400000000005</v>
      </c>
      <c r="CA225" s="65">
        <f t="shared" si="2375"/>
        <v>2744.9700000000003</v>
      </c>
      <c r="CB225" s="65">
        <f t="shared" si="2375"/>
        <v>2638.42</v>
      </c>
      <c r="CC225" s="65">
        <f t="shared" si="2375"/>
        <v>2549.44</v>
      </c>
      <c r="CD225" s="65">
        <f t="shared" si="2375"/>
        <v>2498.0300000000002</v>
      </c>
      <c r="CE225" s="65">
        <f t="shared" si="2375"/>
        <v>2515.7799999999997</v>
      </c>
      <c r="CF225" s="65">
        <f t="shared" si="2375"/>
        <v>2505.8000000000002</v>
      </c>
      <c r="CG225" s="65">
        <f t="shared" si="2375"/>
        <v>2521.1800000000003</v>
      </c>
      <c r="CH225" s="65">
        <f t="shared" si="2375"/>
        <v>2520.9899999999998</v>
      </c>
      <c r="CI225" s="65">
        <f t="shared" si="2375"/>
        <v>2493.77</v>
      </c>
      <c r="CJ225" s="65">
        <f t="shared" si="2375"/>
        <v>2466</v>
      </c>
      <c r="CK225" s="49">
        <f t="shared" si="2375"/>
        <v>2469.41</v>
      </c>
      <c r="CL225" s="65">
        <f t="shared" si="2375"/>
        <v>2472.58</v>
      </c>
      <c r="CM225" s="49">
        <f t="shared" si="2375"/>
        <v>2461.1891555817706</v>
      </c>
      <c r="CN225" s="49">
        <f t="shared" si="2375"/>
        <v>2453.3082395223269</v>
      </c>
      <c r="CO225" s="49">
        <f t="shared" si="2375"/>
        <v>2450.1154605462816</v>
      </c>
      <c r="CP225" s="49">
        <f t="shared" si="2375"/>
        <v>2445.3406540454944</v>
      </c>
      <c r="CQ225" s="49">
        <f t="shared" si="2375"/>
        <v>2438.7108168341865</v>
      </c>
      <c r="CR225" s="49">
        <f t="shared" si="2375"/>
        <v>2433.0718936500098</v>
      </c>
      <c r="CS225" s="49">
        <f t="shared" si="2375"/>
        <v>2427.948112435764</v>
      </c>
      <c r="CT225" s="49">
        <f t="shared" si="2375"/>
        <v>2422.4371567417675</v>
      </c>
      <c r="CU225" s="49">
        <f t="shared" si="2375"/>
        <v>2416.8652323548677</v>
      </c>
      <c r="CV225" s="49">
        <f t="shared" si="2375"/>
        <v>2411.3871233916743</v>
      </c>
      <c r="CW225" s="49">
        <f t="shared" si="2375"/>
        <v>2405.9096367741336</v>
      </c>
      <c r="CX225" s="49">
        <f t="shared" ref="CX225:DA225" si="2376">SUM(CU10:CX10)</f>
        <v>2400.4365318483801</v>
      </c>
      <c r="CY225" s="49">
        <f t="shared" si="2376"/>
        <v>2395.0891945531057</v>
      </c>
      <c r="CZ225" s="49">
        <f t="shared" si="2376"/>
        <v>2389.6309008393182</v>
      </c>
      <c r="DA225" s="49">
        <f t="shared" si="2376"/>
        <v>2384.1382718026161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377">SUM(AI28:AL28)</f>
        <v>96.809999999999945</v>
      </c>
      <c r="AM226" s="65">
        <f t="shared" si="2377"/>
        <v>103.74</v>
      </c>
      <c r="AN226" s="65">
        <f t="shared" si="2377"/>
        <v>110.97000000000001</v>
      </c>
      <c r="AO226" s="65">
        <f t="shared" si="2377"/>
        <v>114.32000000000001</v>
      </c>
      <c r="AP226" s="65">
        <f t="shared" si="2377"/>
        <v>114.71000000000004</v>
      </c>
      <c r="AQ226" s="65">
        <f t="shared" si="2377"/>
        <v>115.01999999999995</v>
      </c>
      <c r="AR226" s="65">
        <f t="shared" si="2377"/>
        <v>117.02999999999997</v>
      </c>
      <c r="AS226" s="65">
        <f t="shared" si="2377"/>
        <v>118.51999999999998</v>
      </c>
      <c r="AT226" s="65">
        <f t="shared" si="2377"/>
        <v>141.12999999999991</v>
      </c>
      <c r="AU226" s="65">
        <f t="shared" si="2377"/>
        <v>172.44000000000005</v>
      </c>
      <c r="AV226" s="65">
        <f t="shared" si="2377"/>
        <v>195.76</v>
      </c>
      <c r="AW226" s="65">
        <f t="shared" si="2377"/>
        <v>232.20999999999989</v>
      </c>
      <c r="AX226" s="65">
        <f t="shared" si="2377"/>
        <v>257.05999999999995</v>
      </c>
      <c r="AY226" s="65">
        <f t="shared" si="2377"/>
        <v>253.58999999999983</v>
      </c>
      <c r="AZ226" s="65">
        <f t="shared" si="2377"/>
        <v>258.8499999999998</v>
      </c>
      <c r="BA226" s="65">
        <f t="shared" si="2377"/>
        <v>246.71999999999977</v>
      </c>
      <c r="BB226" s="65">
        <f t="shared" si="2377"/>
        <v>220.70999999999987</v>
      </c>
      <c r="BC226" s="65">
        <f t="shared" si="2377"/>
        <v>202.78999999999976</v>
      </c>
      <c r="BD226" s="65">
        <f t="shared" si="2377"/>
        <v>211.02999999999989</v>
      </c>
      <c r="BE226" s="65">
        <f t="shared" si="2377"/>
        <v>218.39999999999998</v>
      </c>
      <c r="BF226" s="65">
        <f t="shared" si="2377"/>
        <v>220.00999999999991</v>
      </c>
      <c r="BG226" s="65">
        <f t="shared" si="2377"/>
        <v>229.99</v>
      </c>
      <c r="BH226" s="65">
        <f t="shared" si="2377"/>
        <v>216.9</v>
      </c>
      <c r="BI226" s="65">
        <f t="shared" si="2377"/>
        <v>222.32000000000014</v>
      </c>
      <c r="BJ226" s="65">
        <f t="shared" si="2377"/>
        <v>255.01000000000016</v>
      </c>
      <c r="BK226" s="65">
        <f t="shared" si="2377"/>
        <v>275.31000000000017</v>
      </c>
      <c r="BL226" s="65">
        <f t="shared" si="2377"/>
        <v>290.81000000000017</v>
      </c>
      <c r="BM226" s="65">
        <f t="shared" si="2377"/>
        <v>291.07000000000016</v>
      </c>
      <c r="BN226" s="65">
        <f t="shared" si="2377"/>
        <v>253.78000000000009</v>
      </c>
      <c r="BO226" s="65">
        <f t="shared" si="2377"/>
        <v>249.65000000000015</v>
      </c>
      <c r="BP226" s="65">
        <f t="shared" si="2377"/>
        <v>260.91000000000008</v>
      </c>
      <c r="BQ226" s="65">
        <f t="shared" si="2377"/>
        <v>230.36999999999992</v>
      </c>
      <c r="BR226" s="65">
        <f t="shared" ref="BR226:CW226" si="2378">SUM(BO28:BR28)</f>
        <v>222.71</v>
      </c>
      <c r="BS226" s="65">
        <f t="shared" si="2378"/>
        <v>177.92999999999989</v>
      </c>
      <c r="BT226" s="65">
        <f t="shared" si="2378"/>
        <v>131.77999999999983</v>
      </c>
      <c r="BU226" s="65">
        <f t="shared" si="2378"/>
        <v>107.13999999999993</v>
      </c>
      <c r="BV226" s="65">
        <f t="shared" si="2378"/>
        <v>115.55000000000004</v>
      </c>
      <c r="BW226" s="65">
        <f t="shared" si="2378"/>
        <v>127.33000000000015</v>
      </c>
      <c r="BX226" s="65">
        <f t="shared" si="2378"/>
        <v>119.00000000000034</v>
      </c>
      <c r="BY226" s="65">
        <f t="shared" si="2378"/>
        <v>157.03000000000029</v>
      </c>
      <c r="BZ226" s="65">
        <f t="shared" si="2378"/>
        <v>157.60000000000011</v>
      </c>
      <c r="CA226" s="65">
        <f t="shared" si="2378"/>
        <v>163.0800000000001</v>
      </c>
      <c r="CB226" s="65">
        <f t="shared" si="2378"/>
        <v>185.88000000000005</v>
      </c>
      <c r="CC226" s="65">
        <f t="shared" si="2378"/>
        <v>194.72000000000006</v>
      </c>
      <c r="CD226" s="65">
        <f t="shared" si="2378"/>
        <v>184.49</v>
      </c>
      <c r="CE226" s="65">
        <f t="shared" si="2378"/>
        <v>176.48000000000008</v>
      </c>
      <c r="CF226" s="65">
        <f t="shared" si="2378"/>
        <v>148.81000000000006</v>
      </c>
      <c r="CG226" s="65">
        <f t="shared" si="2378"/>
        <v>117.33000000000004</v>
      </c>
      <c r="CH226" s="65">
        <f t="shared" si="2378"/>
        <v>115.0100000000001</v>
      </c>
      <c r="CI226" s="65">
        <f t="shared" si="2378"/>
        <v>125.63999999999999</v>
      </c>
      <c r="CJ226" s="65">
        <f t="shared" si="2378"/>
        <v>163.03999999999991</v>
      </c>
      <c r="CK226" s="49">
        <f t="shared" si="2378"/>
        <v>190.81999999999991</v>
      </c>
      <c r="CL226" s="65">
        <f t="shared" si="2378"/>
        <v>192.04999999999993</v>
      </c>
      <c r="CM226" s="49">
        <f t="shared" si="2378"/>
        <v>196.07385600510764</v>
      </c>
      <c r="CN226" s="49">
        <f t="shared" si="2378"/>
        <v>189.68593187975171</v>
      </c>
      <c r="CO226" s="49">
        <f t="shared" si="2378"/>
        <v>183.52750589807255</v>
      </c>
      <c r="CP226" s="49">
        <f t="shared" si="2378"/>
        <v>189.13462160656437</v>
      </c>
      <c r="CQ226" s="49">
        <f t="shared" si="2378"/>
        <v>188.47576755052506</v>
      </c>
      <c r="CR226" s="49">
        <f t="shared" si="2378"/>
        <v>186.61634663689989</v>
      </c>
      <c r="CS226" s="49">
        <f t="shared" si="2378"/>
        <v>185.86435145630398</v>
      </c>
      <c r="CT226" s="49">
        <f t="shared" si="2378"/>
        <v>186.44590260348556</v>
      </c>
      <c r="CU226" s="49">
        <f t="shared" si="2378"/>
        <v>185.79699623580629</v>
      </c>
      <c r="CV226" s="49">
        <f t="shared" si="2378"/>
        <v>185.13009545135486</v>
      </c>
      <c r="CW226" s="49">
        <f t="shared" si="2378"/>
        <v>184.75523463816822</v>
      </c>
      <c r="CX226" s="49">
        <f t="shared" ref="CX226:DA226" si="2379">SUM(CU28:CX28)</f>
        <v>184.47832463972992</v>
      </c>
      <c r="CY226" s="49">
        <f t="shared" si="2379"/>
        <v>183.99964418044027</v>
      </c>
      <c r="CZ226" s="49">
        <f t="shared" si="2379"/>
        <v>183.54928293387536</v>
      </c>
      <c r="DA226" s="49">
        <f t="shared" si="2379"/>
        <v>183.14959694987925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380">SUM(AI41:AL41)</f>
        <v>48.369999999999933</v>
      </c>
      <c r="AM227" s="65">
        <f t="shared" si="2380"/>
        <v>50.08</v>
      </c>
      <c r="AN227" s="65">
        <f t="shared" si="2380"/>
        <v>50.54000000000002</v>
      </c>
      <c r="AO227" s="65">
        <f t="shared" si="2380"/>
        <v>50.769999999999996</v>
      </c>
      <c r="AP227" s="65">
        <f t="shared" si="2380"/>
        <v>50.710000000000022</v>
      </c>
      <c r="AQ227" s="65">
        <f t="shared" si="2380"/>
        <v>52.249999999999957</v>
      </c>
      <c r="AR227" s="65">
        <f t="shared" si="2380"/>
        <v>56.789999999999964</v>
      </c>
      <c r="AS227" s="65">
        <f t="shared" si="2380"/>
        <v>62.229999999999976</v>
      </c>
      <c r="AT227" s="65">
        <f t="shared" si="2380"/>
        <v>67.409999999999911</v>
      </c>
      <c r="AU227" s="65">
        <f t="shared" si="2380"/>
        <v>71.430000000000035</v>
      </c>
      <c r="AV227" s="65">
        <f t="shared" si="2380"/>
        <v>73.96999999999997</v>
      </c>
      <c r="AW227" s="65">
        <f t="shared" si="2380"/>
        <v>78.729999999999876</v>
      </c>
      <c r="AX227" s="65">
        <f t="shared" si="2380"/>
        <v>92.39999999999992</v>
      </c>
      <c r="AY227" s="65">
        <f t="shared" si="2380"/>
        <v>91.719999999999843</v>
      </c>
      <c r="AZ227" s="65">
        <f t="shared" si="2380"/>
        <v>92.91999999999976</v>
      </c>
      <c r="BA227" s="65">
        <f t="shared" si="2380"/>
        <v>88.679999999999765</v>
      </c>
      <c r="BB227" s="65">
        <f t="shared" si="2380"/>
        <v>70.049999999999869</v>
      </c>
      <c r="BC227" s="65">
        <f t="shared" si="2380"/>
        <v>57.329999999999771</v>
      </c>
      <c r="BD227" s="65">
        <f t="shared" si="2380"/>
        <v>58.939999999999891</v>
      </c>
      <c r="BE227" s="65">
        <f t="shared" si="2380"/>
        <v>63.619999999999962</v>
      </c>
      <c r="BF227" s="65">
        <f t="shared" si="2380"/>
        <v>65.099999999999909</v>
      </c>
      <c r="BG227" s="65">
        <f t="shared" si="2380"/>
        <v>72.12</v>
      </c>
      <c r="BH227" s="65">
        <f t="shared" si="2380"/>
        <v>37.870000000000026</v>
      </c>
      <c r="BI227" s="65">
        <f t="shared" si="2380"/>
        <v>34.890000000000128</v>
      </c>
      <c r="BJ227" s="65">
        <f t="shared" si="2380"/>
        <v>59.120000000000154</v>
      </c>
      <c r="BK227" s="65">
        <f t="shared" si="2380"/>
        <v>72.800000000000139</v>
      </c>
      <c r="BL227" s="65">
        <f t="shared" si="2380"/>
        <v>119.82000000000015</v>
      </c>
      <c r="BM227" s="65">
        <f t="shared" si="2380"/>
        <v>170.04000000000016</v>
      </c>
      <c r="BN227" s="65">
        <f t="shared" si="2380"/>
        <v>155.32000000000008</v>
      </c>
      <c r="BO227" s="65">
        <f t="shared" si="2380"/>
        <v>154.11000000000013</v>
      </c>
      <c r="BP227" s="65">
        <f t="shared" si="2380"/>
        <v>159.09000000000009</v>
      </c>
      <c r="BQ227" s="65">
        <f t="shared" si="2380"/>
        <v>95.989999999999924</v>
      </c>
      <c r="BR227" s="65">
        <f t="shared" ref="BR227:CW227" si="2381">SUM(BO41:BR41)</f>
        <v>84.850000000000023</v>
      </c>
      <c r="BS227" s="65">
        <f t="shared" si="2381"/>
        <v>54.629999999999896</v>
      </c>
      <c r="BT227" s="65">
        <f t="shared" si="2381"/>
        <v>26.889999999999826</v>
      </c>
      <c r="BU227" s="65">
        <f t="shared" si="2381"/>
        <v>8.2899999999999245</v>
      </c>
      <c r="BV227" s="65">
        <f t="shared" si="2381"/>
        <v>16.730000000000032</v>
      </c>
      <c r="BW227" s="65">
        <f t="shared" si="2381"/>
        <v>28.380000000000148</v>
      </c>
      <c r="BX227" s="65">
        <f t="shared" si="2381"/>
        <v>19.280000000000335</v>
      </c>
      <c r="BY227" s="65">
        <f t="shared" si="2381"/>
        <v>49.640000000000271</v>
      </c>
      <c r="BZ227" s="65">
        <f t="shared" si="2381"/>
        <v>60.520000000000095</v>
      </c>
      <c r="CA227" s="65">
        <f t="shared" si="2381"/>
        <v>68.950000000000088</v>
      </c>
      <c r="CB227" s="65">
        <f t="shared" si="2381"/>
        <v>101.18000000000004</v>
      </c>
      <c r="CC227" s="65">
        <f t="shared" si="2381"/>
        <v>40.110000000000063</v>
      </c>
      <c r="CD227" s="65">
        <f t="shared" si="2381"/>
        <v>30.650000000000016</v>
      </c>
      <c r="CE227" s="65">
        <f t="shared" si="2381"/>
        <v>23.130000000000088</v>
      </c>
      <c r="CF227" s="65">
        <f t="shared" si="2381"/>
        <v>1.0400000000000684</v>
      </c>
      <c r="CG227" s="65">
        <f t="shared" si="2381"/>
        <v>57.100000000000044</v>
      </c>
      <c r="CH227" s="65">
        <f t="shared" si="2381"/>
        <v>56.550000000000104</v>
      </c>
      <c r="CI227" s="65">
        <f t="shared" si="2381"/>
        <v>72.149999999999977</v>
      </c>
      <c r="CJ227" s="65">
        <f t="shared" si="2381"/>
        <v>98.739999999999895</v>
      </c>
      <c r="CK227" s="49">
        <f t="shared" si="2381"/>
        <v>117.20999999999991</v>
      </c>
      <c r="CL227" s="65">
        <f t="shared" si="2381"/>
        <v>117.32999999999993</v>
      </c>
      <c r="CM227" s="49">
        <f t="shared" si="2381"/>
        <v>125.434750711845</v>
      </c>
      <c r="CN227" s="49">
        <f t="shared" si="2381"/>
        <v>125.69621762902017</v>
      </c>
      <c r="CO227" s="49">
        <f t="shared" si="2381"/>
        <v>132.86690911966707</v>
      </c>
      <c r="CP227" s="49">
        <f t="shared" si="2381"/>
        <v>145.09254105082852</v>
      </c>
      <c r="CQ227" s="49">
        <f t="shared" si="2381"/>
        <v>153.21229121059238</v>
      </c>
      <c r="CR227" s="49">
        <f t="shared" si="2381"/>
        <v>160.98512648547162</v>
      </c>
      <c r="CS227" s="49">
        <f t="shared" si="2381"/>
        <v>170.06629291528751</v>
      </c>
      <c r="CT227" s="49">
        <f t="shared" si="2381"/>
        <v>180.66687702397667</v>
      </c>
      <c r="CU227" s="49">
        <f t="shared" si="2381"/>
        <v>190.92289817301634</v>
      </c>
      <c r="CV227" s="49">
        <f t="shared" si="2381"/>
        <v>201.78199407975839</v>
      </c>
      <c r="CW227" s="49">
        <f t="shared" si="2381"/>
        <v>213.50278605656104</v>
      </c>
      <c r="CX227" s="49">
        <f t="shared" ref="CX227:DA227" si="2382">SUM(CU41:CX41)</f>
        <v>225.97585754411102</v>
      </c>
      <c r="CY227" s="49">
        <f t="shared" si="2382"/>
        <v>239.01290280296388</v>
      </c>
      <c r="CZ227" s="49">
        <f t="shared" si="2382"/>
        <v>252.83071230337399</v>
      </c>
      <c r="DA227" s="49">
        <f t="shared" si="2382"/>
        <v>267.49821456170889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383">B8-B237</f>
        <v>0</v>
      </c>
      <c r="C231" s="63">
        <f t="shared" si="2383"/>
        <v>0</v>
      </c>
      <c r="D231" s="63">
        <f t="shared" si="2383"/>
        <v>354.2851</v>
      </c>
      <c r="E231" s="63">
        <f t="shared" si="2383"/>
        <v>416.18239999999997</v>
      </c>
      <c r="F231" s="63">
        <f t="shared" si="2383"/>
        <v>424.95269999999999</v>
      </c>
      <c r="G231" s="63">
        <f t="shared" si="2383"/>
        <v>468.3587</v>
      </c>
      <c r="H231" s="63">
        <f t="shared" si="2383"/>
        <v>547.36689999999999</v>
      </c>
      <c r="I231" s="63">
        <f t="shared" si="2383"/>
        <v>607.7681</v>
      </c>
      <c r="J231" s="63">
        <f t="shared" si="2383"/>
        <v>681.13829999999996</v>
      </c>
      <c r="K231" s="63">
        <f t="shared" si="2383"/>
        <v>626.23069999999996</v>
      </c>
      <c r="L231" s="63">
        <f t="shared" si="2383"/>
        <v>770.33429999999998</v>
      </c>
      <c r="M231" s="63">
        <f t="shared" si="2383"/>
        <v>851.40409999999997</v>
      </c>
      <c r="N231" s="63">
        <f t="shared" si="2383"/>
        <v>961.56740000000002</v>
      </c>
      <c r="O231" s="63">
        <f t="shared" si="2383"/>
        <v>1158.7182</v>
      </c>
      <c r="P231" s="63">
        <f t="shared" si="2383"/>
        <v>1311.6132</v>
      </c>
      <c r="Q231" s="63">
        <f t="shared" si="2383"/>
        <v>2196.2393000000002</v>
      </c>
      <c r="R231" s="63">
        <f t="shared" si="2383"/>
        <v>2360.2952</v>
      </c>
      <c r="S231" s="63">
        <f t="shared" si="2383"/>
        <v>2229.6860000000001</v>
      </c>
      <c r="T231" s="63">
        <f t="shared" si="2383"/>
        <v>2388.1905000000002</v>
      </c>
      <c r="U231" s="63">
        <f t="shared" si="2383"/>
        <v>2617.4499999999998</v>
      </c>
      <c r="V231" s="63">
        <f t="shared" si="2383"/>
        <v>2482.9499999999998</v>
      </c>
      <c r="W231" s="63">
        <f t="shared" si="2383"/>
        <v>2648.19</v>
      </c>
      <c r="X231" s="63">
        <f t="shared" si="2383"/>
        <v>3009.82</v>
      </c>
      <c r="Y231" s="63">
        <f t="shared" si="2383"/>
        <v>2580.7199999999998</v>
      </c>
      <c r="Z231" s="63">
        <f t="shared" si="2383"/>
        <v>2537.35</v>
      </c>
      <c r="AA231" s="63">
        <f t="shared" ref="AA231" si="2384">AA8-AA237</f>
        <v>2488.1</v>
      </c>
      <c r="AB231" s="29"/>
      <c r="AC231" s="29"/>
      <c r="AD231" s="29"/>
      <c r="AE231" s="29"/>
      <c r="AI231" s="63">
        <f t="shared" ref="AI231:BN231" si="2385">AI8-AI237</f>
        <v>255.54999999999998</v>
      </c>
      <c r="AJ231" s="63">
        <f t="shared" si="2385"/>
        <v>237.39999999999998</v>
      </c>
      <c r="AK231" s="63">
        <f t="shared" si="2385"/>
        <v>245.25</v>
      </c>
      <c r="AL231" s="63">
        <f t="shared" si="2385"/>
        <v>275.28999999999996</v>
      </c>
      <c r="AM231" s="63">
        <f t="shared" si="2385"/>
        <v>296.68</v>
      </c>
      <c r="AN231" s="63">
        <f t="shared" si="2385"/>
        <v>286.89</v>
      </c>
      <c r="AO231" s="63">
        <f t="shared" si="2385"/>
        <v>299.86</v>
      </c>
      <c r="AP231" s="63">
        <f t="shared" si="2385"/>
        <v>312.14</v>
      </c>
      <c r="AQ231" s="63">
        <f t="shared" si="2385"/>
        <v>331.56</v>
      </c>
      <c r="AR231" s="63">
        <f t="shared" si="2385"/>
        <v>337.02</v>
      </c>
      <c r="AS231" s="63">
        <f t="shared" si="2385"/>
        <v>310.14000000000004</v>
      </c>
      <c r="AT231" s="63">
        <f t="shared" si="2385"/>
        <v>442.35999999999996</v>
      </c>
      <c r="AU231" s="63">
        <f t="shared" si="2385"/>
        <v>544.84</v>
      </c>
      <c r="AV231" s="63">
        <f t="shared" si="2385"/>
        <v>522.18999999999994</v>
      </c>
      <c r="AW231" s="63">
        <f t="shared" si="2385"/>
        <v>527.99</v>
      </c>
      <c r="AX231" s="63">
        <f t="shared" si="2385"/>
        <v>525.61</v>
      </c>
      <c r="AY231" s="63">
        <f t="shared" si="2385"/>
        <v>572.18000000000006</v>
      </c>
      <c r="AZ231" s="63">
        <f t="shared" si="2385"/>
        <v>557.46999999999991</v>
      </c>
      <c r="BA231" s="63">
        <f t="shared" si="2385"/>
        <v>522.52</v>
      </c>
      <c r="BB231" s="63">
        <f t="shared" si="2385"/>
        <v>562.18000000000006</v>
      </c>
      <c r="BC231" s="63">
        <f t="shared" si="2385"/>
        <v>559.17999999999995</v>
      </c>
      <c r="BD231" s="63">
        <f t="shared" si="2385"/>
        <v>546.41999999999996</v>
      </c>
      <c r="BE231" s="63">
        <f t="shared" si="2385"/>
        <v>561.91</v>
      </c>
      <c r="BF231" s="63">
        <f t="shared" si="2385"/>
        <v>553.0100000000001</v>
      </c>
      <c r="BG231" s="63">
        <f t="shared" si="2385"/>
        <v>595.4799999999999</v>
      </c>
      <c r="BH231" s="63">
        <f t="shared" si="2385"/>
        <v>607.51</v>
      </c>
      <c r="BI231" s="63">
        <f t="shared" si="2385"/>
        <v>613.07000000000005</v>
      </c>
      <c r="BJ231" s="63">
        <f t="shared" si="2385"/>
        <v>629.41000000000008</v>
      </c>
      <c r="BK231" s="63">
        <f t="shared" si="2385"/>
        <v>633.75</v>
      </c>
      <c r="BL231" s="63">
        <f t="shared" si="2385"/>
        <v>650.14</v>
      </c>
      <c r="BM231" s="63">
        <f t="shared" si="2385"/>
        <v>677.66000000000008</v>
      </c>
      <c r="BN231" s="63">
        <f t="shared" si="2385"/>
        <v>578.29999999999995</v>
      </c>
      <c r="BO231" s="63">
        <f t="shared" ref="BO231:CT231" si="2386">BO8-BO237</f>
        <v>640.79000000000008</v>
      </c>
      <c r="BP231" s="63">
        <f t="shared" si="2386"/>
        <v>685.9</v>
      </c>
      <c r="BQ231" s="63">
        <f t="shared" si="2386"/>
        <v>557.70999999999992</v>
      </c>
      <c r="BR231" s="63">
        <f t="shared" si="2386"/>
        <v>632.34</v>
      </c>
      <c r="BS231" s="63">
        <f t="shared" si="2386"/>
        <v>662.64</v>
      </c>
      <c r="BT231" s="63">
        <f t="shared" si="2386"/>
        <v>668.7299999999999</v>
      </c>
      <c r="BU231" s="63">
        <f t="shared" si="2386"/>
        <v>661.57</v>
      </c>
      <c r="BV231" s="63">
        <f t="shared" si="2386"/>
        <v>728.5100000000001</v>
      </c>
      <c r="BW231" s="63">
        <f t="shared" si="2386"/>
        <v>792.67000000000007</v>
      </c>
      <c r="BX231" s="63">
        <f t="shared" si="2386"/>
        <v>769.03000000000009</v>
      </c>
      <c r="BY231" s="63">
        <f t="shared" si="2386"/>
        <v>692.71</v>
      </c>
      <c r="BZ231" s="63">
        <f t="shared" si="2386"/>
        <v>661.53</v>
      </c>
      <c r="CA231" s="63">
        <f t="shared" si="2386"/>
        <v>621.70000000000005</v>
      </c>
      <c r="CB231" s="63">
        <f t="shared" si="2386"/>
        <v>662.48</v>
      </c>
      <c r="CC231" s="63">
        <f t="shared" si="2386"/>
        <v>603.73</v>
      </c>
      <c r="CD231" s="63">
        <f t="shared" si="2386"/>
        <v>610.12</v>
      </c>
      <c r="CE231" s="63">
        <f t="shared" si="2386"/>
        <v>639.45000000000005</v>
      </c>
      <c r="CF231" s="63">
        <f t="shared" si="2386"/>
        <v>652.5</v>
      </c>
      <c r="CG231" s="63">
        <f t="shared" si="2386"/>
        <v>619.11</v>
      </c>
      <c r="CH231" s="63">
        <f t="shared" si="2386"/>
        <v>609.92999999999995</v>
      </c>
      <c r="CI231" s="63">
        <f t="shared" si="2386"/>
        <v>612.23</v>
      </c>
      <c r="CJ231" s="63">
        <f t="shared" si="2386"/>
        <v>624.7299999999999</v>
      </c>
      <c r="CK231" s="29">
        <f t="shared" si="2386"/>
        <v>622.52</v>
      </c>
      <c r="CL231" s="63">
        <f t="shared" ref="CL231" si="2387">CL8-CL237</f>
        <v>613.1</v>
      </c>
      <c r="CM231" s="29">
        <f t="shared" si="2386"/>
        <v>600.8391555817708</v>
      </c>
      <c r="CN231" s="29">
        <f t="shared" si="2386"/>
        <v>616.8490839405564</v>
      </c>
      <c r="CO231" s="29">
        <f t="shared" si="2386"/>
        <v>619.32722102395439</v>
      </c>
      <c r="CP231" s="29">
        <f t="shared" si="2386"/>
        <v>608.32519349921245</v>
      </c>
      <c r="CQ231" s="29">
        <f t="shared" si="2386"/>
        <v>594.20931837046339</v>
      </c>
      <c r="CR231" s="29">
        <f t="shared" si="2386"/>
        <v>611.21016075637976</v>
      </c>
      <c r="CS231" s="29">
        <f t="shared" si="2386"/>
        <v>614.20343980970813</v>
      </c>
      <c r="CT231" s="29">
        <f t="shared" si="2386"/>
        <v>602.81423780521641</v>
      </c>
      <c r="CU231" s="29">
        <f t="shared" ref="CU231:DA231" si="2388">CU8-CU237</f>
        <v>588.63739398356302</v>
      </c>
      <c r="CV231" s="29">
        <f t="shared" si="2388"/>
        <v>605.73205179318654</v>
      </c>
      <c r="CW231" s="29">
        <f t="shared" si="2388"/>
        <v>608.72595319216771</v>
      </c>
      <c r="CX231" s="29">
        <f t="shared" si="2388"/>
        <v>597.34113287946286</v>
      </c>
      <c r="CY231" s="29">
        <f t="shared" si="2388"/>
        <v>583.29005668828836</v>
      </c>
      <c r="CZ231" s="29">
        <f t="shared" si="2388"/>
        <v>600.2737580793995</v>
      </c>
      <c r="DA231" s="29">
        <f t="shared" si="2388"/>
        <v>603.23332415546543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389">B28-B238</f>
        <v>0</v>
      </c>
      <c r="C232" s="63">
        <f t="shared" si="2389"/>
        <v>0</v>
      </c>
      <c r="D232" s="63">
        <f t="shared" si="2389"/>
        <v>56.082099999999997</v>
      </c>
      <c r="E232" s="63">
        <f t="shared" si="2389"/>
        <v>56.268399999999957</v>
      </c>
      <c r="F232" s="63">
        <f t="shared" si="2389"/>
        <v>50.849100000000021</v>
      </c>
      <c r="G232" s="63">
        <f t="shared" si="2389"/>
        <v>54.675000000000082</v>
      </c>
      <c r="H232" s="63">
        <f t="shared" si="2389"/>
        <v>55.011800000000008</v>
      </c>
      <c r="I232" s="63">
        <f t="shared" si="2389"/>
        <v>55.849599999999981</v>
      </c>
      <c r="J232" s="63">
        <f t="shared" si="2389"/>
        <v>49.166400000000039</v>
      </c>
      <c r="K232" s="63">
        <f t="shared" si="2389"/>
        <v>71.212099999999964</v>
      </c>
      <c r="L232" s="63">
        <f t="shared" si="2389"/>
        <v>68.137799999999999</v>
      </c>
      <c r="M232" s="63">
        <f t="shared" si="2389"/>
        <v>86.71219999999991</v>
      </c>
      <c r="N232" s="63">
        <f t="shared" si="2389"/>
        <v>90.419199999999933</v>
      </c>
      <c r="O232" s="63">
        <f t="shared" si="2389"/>
        <v>115.20929999999998</v>
      </c>
      <c r="P232" s="63">
        <f t="shared" si="2389"/>
        <v>119.79820000000009</v>
      </c>
      <c r="Q232" s="63">
        <f t="shared" si="2389"/>
        <v>234.7636</v>
      </c>
      <c r="R232" s="63">
        <f t="shared" si="2389"/>
        <v>250.26819999999992</v>
      </c>
      <c r="S232" s="63">
        <f t="shared" si="2389"/>
        <v>220.09019999999975</v>
      </c>
      <c r="T232" s="63">
        <f t="shared" si="2389"/>
        <v>222.98710000000017</v>
      </c>
      <c r="U232" s="63">
        <f t="shared" si="2389"/>
        <v>294.24999999999977</v>
      </c>
      <c r="V232" s="63">
        <f t="shared" si="2389"/>
        <v>234.47999999999979</v>
      </c>
      <c r="W232" s="63">
        <f t="shared" si="2389"/>
        <v>109.83000000000015</v>
      </c>
      <c r="X232" s="63">
        <f t="shared" si="2389"/>
        <v>157.69999999999982</v>
      </c>
      <c r="Y232" s="63">
        <f t="shared" si="2389"/>
        <v>193.02999999999975</v>
      </c>
      <c r="Z232" s="63">
        <f t="shared" si="2389"/>
        <v>112.36999999999989</v>
      </c>
      <c r="AA232" s="63">
        <f t="shared" ref="AA232" si="2390">AA28-AA238</f>
        <v>191.56999999999982</v>
      </c>
      <c r="AB232" s="29"/>
      <c r="AC232" s="29"/>
      <c r="AD232" s="29"/>
      <c r="AE232" s="29"/>
      <c r="AI232" s="63">
        <f t="shared" ref="AI232:BN232" si="2391">AI28-AI238</f>
        <v>24.179999999999964</v>
      </c>
      <c r="AJ232" s="63">
        <f t="shared" si="2391"/>
        <v>17.699999999999967</v>
      </c>
      <c r="AK232" s="63">
        <f t="shared" si="2391"/>
        <v>23.820000000000022</v>
      </c>
      <c r="AL232" s="63">
        <f t="shared" si="2391"/>
        <v>31.109999999999978</v>
      </c>
      <c r="AM232" s="63">
        <f t="shared" si="2391"/>
        <v>31.110000000000028</v>
      </c>
      <c r="AN232" s="63">
        <f t="shared" si="2391"/>
        <v>24.929999999999993</v>
      </c>
      <c r="AO232" s="63">
        <f t="shared" si="2391"/>
        <v>27.17</v>
      </c>
      <c r="AP232" s="63">
        <f t="shared" si="2391"/>
        <v>31.500000000000007</v>
      </c>
      <c r="AQ232" s="63">
        <f t="shared" si="2391"/>
        <v>31.419999999999959</v>
      </c>
      <c r="AR232" s="63">
        <f t="shared" si="2391"/>
        <v>26.939999999999991</v>
      </c>
      <c r="AS232" s="63">
        <f t="shared" si="2391"/>
        <v>28.660000000000018</v>
      </c>
      <c r="AT232" s="63">
        <f t="shared" si="2391"/>
        <v>54.109999999999943</v>
      </c>
      <c r="AU232" s="63">
        <f t="shared" si="2391"/>
        <v>62.730000000000089</v>
      </c>
      <c r="AV232" s="63">
        <f t="shared" si="2391"/>
        <v>50.25999999999992</v>
      </c>
      <c r="AW232" s="63">
        <f t="shared" si="2391"/>
        <v>65.109999999999928</v>
      </c>
      <c r="AX232" s="63">
        <f t="shared" si="2391"/>
        <v>78.95999999999998</v>
      </c>
      <c r="AY232" s="63">
        <f t="shared" si="2391"/>
        <v>59.260000000000019</v>
      </c>
      <c r="AZ232" s="63">
        <f t="shared" si="2391"/>
        <v>55.51999999999984</v>
      </c>
      <c r="BA232" s="63">
        <f t="shared" si="2391"/>
        <v>52.979999999999933</v>
      </c>
      <c r="BB232" s="63">
        <f t="shared" si="2391"/>
        <v>52.950000000000074</v>
      </c>
      <c r="BC232" s="63">
        <f t="shared" si="2391"/>
        <v>41.339999999999918</v>
      </c>
      <c r="BD232" s="63">
        <f t="shared" si="2391"/>
        <v>63.759999999999962</v>
      </c>
      <c r="BE232" s="63">
        <f t="shared" si="2391"/>
        <v>60.350000000000009</v>
      </c>
      <c r="BF232" s="63">
        <f t="shared" si="2391"/>
        <v>54.560000000000031</v>
      </c>
      <c r="BG232" s="63">
        <f t="shared" si="2391"/>
        <v>51.319999999999993</v>
      </c>
      <c r="BH232" s="63">
        <f t="shared" si="2391"/>
        <v>50.669999999999987</v>
      </c>
      <c r="BI232" s="63">
        <f t="shared" si="2391"/>
        <v>65.770000000000124</v>
      </c>
      <c r="BJ232" s="63">
        <f t="shared" si="2391"/>
        <v>87.250000000000057</v>
      </c>
      <c r="BK232" s="63">
        <f t="shared" si="2391"/>
        <v>71.619999999999976</v>
      </c>
      <c r="BL232" s="63">
        <f t="shared" si="2391"/>
        <v>66.169999999999987</v>
      </c>
      <c r="BM232" s="63">
        <f t="shared" si="2391"/>
        <v>66.030000000000143</v>
      </c>
      <c r="BN232" s="63">
        <f t="shared" si="2391"/>
        <v>49.95999999999998</v>
      </c>
      <c r="BO232" s="63">
        <f t="shared" ref="BO232:CT232" si="2392">BO28-BO238</f>
        <v>67.490000000000038</v>
      </c>
      <c r="BP232" s="63">
        <f t="shared" si="2392"/>
        <v>77.429999999999922</v>
      </c>
      <c r="BQ232" s="63">
        <f t="shared" si="2392"/>
        <v>35.489999999999981</v>
      </c>
      <c r="BR232" s="63">
        <f t="shared" si="2392"/>
        <v>42.300000000000068</v>
      </c>
      <c r="BS232" s="63">
        <f t="shared" si="2392"/>
        <v>22.709999999999923</v>
      </c>
      <c r="BT232" s="63">
        <f t="shared" si="2392"/>
        <v>31.279999999999859</v>
      </c>
      <c r="BU232" s="63">
        <f t="shared" si="2392"/>
        <v>10.85000000000008</v>
      </c>
      <c r="BV232" s="63">
        <f t="shared" si="2392"/>
        <v>50.710000000000178</v>
      </c>
      <c r="BW232" s="63">
        <f t="shared" si="2392"/>
        <v>34.490000000000038</v>
      </c>
      <c r="BX232" s="63">
        <f t="shared" si="2392"/>
        <v>22.950000000000045</v>
      </c>
      <c r="BY232" s="63">
        <f t="shared" si="2392"/>
        <v>48.880000000000024</v>
      </c>
      <c r="BZ232" s="63">
        <f t="shared" si="2392"/>
        <v>51.28</v>
      </c>
      <c r="CA232" s="63">
        <f t="shared" si="2392"/>
        <v>39.970000000000027</v>
      </c>
      <c r="CB232" s="63">
        <f t="shared" si="2392"/>
        <v>45.75</v>
      </c>
      <c r="CC232" s="63">
        <f t="shared" si="2392"/>
        <v>57.720000000000027</v>
      </c>
      <c r="CD232" s="63">
        <f t="shared" si="2392"/>
        <v>41.049999999999955</v>
      </c>
      <c r="CE232" s="63">
        <f t="shared" si="2392"/>
        <v>31.960000000000093</v>
      </c>
      <c r="CF232" s="63">
        <f t="shared" si="2392"/>
        <v>18.079999999999984</v>
      </c>
      <c r="CG232" s="63">
        <f t="shared" si="2392"/>
        <v>26.240000000000009</v>
      </c>
      <c r="CH232" s="63">
        <f t="shared" si="2392"/>
        <v>38.730000000000018</v>
      </c>
      <c r="CI232" s="63">
        <f t="shared" si="2392"/>
        <v>42.589999999999975</v>
      </c>
      <c r="CJ232" s="63">
        <f t="shared" si="2392"/>
        <v>55.479999999999905</v>
      </c>
      <c r="CK232" s="29">
        <f t="shared" si="2392"/>
        <v>54.02000000000001</v>
      </c>
      <c r="CL232" s="63">
        <f t="shared" ref="CL232" si="2393">CL28-CL238</f>
        <v>39.960000000000036</v>
      </c>
      <c r="CM232" s="29">
        <f t="shared" si="2392"/>
        <v>46.613856005107692</v>
      </c>
      <c r="CN232" s="29">
        <f t="shared" si="2392"/>
        <v>49.092075874643967</v>
      </c>
      <c r="CO232" s="29">
        <f t="shared" si="2392"/>
        <v>47.861574018320852</v>
      </c>
      <c r="CP232" s="29">
        <f t="shared" si="2392"/>
        <v>45.567115708491855</v>
      </c>
      <c r="CQ232" s="29">
        <f t="shared" si="2392"/>
        <v>45.955001949068389</v>
      </c>
      <c r="CR232" s="29">
        <f t="shared" si="2392"/>
        <v>47.232654961018795</v>
      </c>
      <c r="CS232" s="29">
        <f t="shared" si="2392"/>
        <v>47.109578837724939</v>
      </c>
      <c r="CT232" s="29">
        <f t="shared" si="2392"/>
        <v>46.14866685567344</v>
      </c>
      <c r="CU232" s="29">
        <f t="shared" ref="CU232:DA232" si="2394">CU28-CU238</f>
        <v>45.306095581389116</v>
      </c>
      <c r="CV232" s="29">
        <f t="shared" si="2394"/>
        <v>46.565754176567367</v>
      </c>
      <c r="CW232" s="29">
        <f t="shared" si="2394"/>
        <v>46.734718024538296</v>
      </c>
      <c r="CX232" s="29">
        <f t="shared" si="2394"/>
        <v>45.871756857235141</v>
      </c>
      <c r="CY232" s="29">
        <f t="shared" si="2394"/>
        <v>44.827415122099467</v>
      </c>
      <c r="CZ232" s="29">
        <f t="shared" si="2394"/>
        <v>46.115392930002457</v>
      </c>
      <c r="DA232" s="29">
        <f t="shared" si="2394"/>
        <v>46.335032040542188</v>
      </c>
      <c r="DD232" s="138"/>
    </row>
    <row r="233" spans="1:108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395">+C232/C231</f>
        <v>#DIV/0!</v>
      </c>
      <c r="D233" s="85">
        <f t="shared" ref="D233" si="2396">+D232/D231</f>
        <v>0.15829652446574805</v>
      </c>
      <c r="E233" s="85">
        <f t="shared" ref="E233" si="2397">+E232/E231</f>
        <v>0.13520129635467518</v>
      </c>
      <c r="F233" s="85">
        <f t="shared" ref="F233" si="2398">+F232/F231</f>
        <v>0.11965825843676255</v>
      </c>
      <c r="G233" s="85">
        <f t="shared" ref="G233" si="2399">+G232/G231</f>
        <v>0.11673744930968526</v>
      </c>
      <c r="H233" s="85">
        <f t="shared" ref="H233" si="2400">+H232/H231</f>
        <v>0.10050260620435764</v>
      </c>
      <c r="I233" s="85">
        <f t="shared" ref="I233" si="2401">+I232/I231</f>
        <v>9.1892944035726759E-2</v>
      </c>
      <c r="J233" s="85">
        <f t="shared" ref="J233" si="2402">+J232/J231</f>
        <v>7.2182697698837436E-2</v>
      </c>
      <c r="K233" s="85">
        <f t="shared" ref="K233" si="2403">+K232/K231</f>
        <v>0.11371544065150425</v>
      </c>
      <c r="L233" s="85">
        <f t="shared" ref="L233" si="2404">+L232/L231</f>
        <v>8.8452247290559435E-2</v>
      </c>
      <c r="M233" s="85">
        <f t="shared" ref="M233" si="2405">+M232/M231</f>
        <v>0.10184611514085956</v>
      </c>
      <c r="N233" s="85">
        <f t="shared" ref="N233" si="2406">+N232/N231</f>
        <v>9.4033137978679321E-2</v>
      </c>
      <c r="O233" s="85">
        <f t="shared" ref="O233" si="2407">+O232/O231</f>
        <v>9.9428230263406567E-2</v>
      </c>
      <c r="P233" s="85">
        <f t="shared" ref="P233" si="2408">+P232/P231</f>
        <v>9.1336531227346668E-2</v>
      </c>
      <c r="Q233" s="85">
        <f t="shared" ref="Q233" si="2409">+Q232/Q231</f>
        <v>0.10689345191118289</v>
      </c>
      <c r="R233" s="85">
        <f t="shared" ref="R233" si="2410">+R232/R231</f>
        <v>0.10603258439876501</v>
      </c>
      <c r="S233" s="85">
        <f t="shared" ref="S233" si="2411">+S232/S231</f>
        <v>9.8709055893968806E-2</v>
      </c>
      <c r="T233" s="85">
        <f t="shared" ref="T233" si="2412">+T232/T231</f>
        <v>9.3370734034826847E-2</v>
      </c>
      <c r="U233" s="85">
        <f t="shared" ref="U233" si="2413">+U232/U231</f>
        <v>0.1124185753309518</v>
      </c>
      <c r="V233" s="85">
        <f t="shared" ref="V233" si="2414">+V232/V231</f>
        <v>9.4436053887512764E-2</v>
      </c>
      <c r="W233" s="85">
        <f t="shared" ref="W233" si="2415">+W232/W231</f>
        <v>4.1473610277208264E-2</v>
      </c>
      <c r="X233" s="85">
        <f t="shared" ref="X233:Y233" si="2416">+X232/X231</f>
        <v>5.2395159843445727E-2</v>
      </c>
      <c r="Y233" s="85">
        <f t="shared" si="2416"/>
        <v>7.4796955888279143E-2</v>
      </c>
      <c r="Z233" s="85">
        <f t="shared" ref="Z233:AA233" si="2417">+Z232/Z231</f>
        <v>4.4286361755374662E-2</v>
      </c>
      <c r="AA233" s="85">
        <f t="shared" si="2417"/>
        <v>7.6994493790442445E-2</v>
      </c>
      <c r="AB233" s="86"/>
      <c r="AC233" s="86"/>
      <c r="AD233" s="86"/>
      <c r="AE233" s="86"/>
      <c r="AF233" s="85"/>
      <c r="AG233" s="85"/>
      <c r="AH233" s="85"/>
      <c r="AI233" s="85">
        <f t="shared" ref="AI233" si="2418">+AI232/AI231</f>
        <v>9.4619448248874846E-2</v>
      </c>
      <c r="AJ233" s="85">
        <f t="shared" ref="AJ233" si="2419">+AJ232/AJ231</f>
        <v>7.4557708508845702E-2</v>
      </c>
      <c r="AK233" s="85">
        <f t="shared" ref="AK233" si="2420">+AK232/AK231</f>
        <v>9.7125382262997023E-2</v>
      </c>
      <c r="AL233" s="85">
        <f t="shared" ref="AL233" si="2421">+AL232/AL231</f>
        <v>0.11300810054851242</v>
      </c>
      <c r="AM233" s="85">
        <f t="shared" ref="AM233" si="2422">+AM232/AM231</f>
        <v>0.10486045570985583</v>
      </c>
      <c r="AN233" s="85">
        <f t="shared" ref="AN233" si="2423">+AN232/AN231</f>
        <v>8.6897417128516133E-2</v>
      </c>
      <c r="AO233" s="85">
        <f t="shared" ref="AO233" si="2424">+AO232/AO231</f>
        <v>9.0608950843727068E-2</v>
      </c>
      <c r="AP233" s="85">
        <f t="shared" ref="AP233" si="2425">+AP232/AP231</f>
        <v>0.10091625552636641</v>
      </c>
      <c r="AQ233" s="85">
        <f t="shared" ref="AQ233" si="2426">+AQ232/AQ231</f>
        <v>9.4764145252744472E-2</v>
      </c>
      <c r="AR233" s="85">
        <f t="shared" ref="AR233" si="2427">+AR232/AR231</f>
        <v>7.9935908848139559E-2</v>
      </c>
      <c r="AS233" s="85">
        <f t="shared" ref="AS233" si="2428">+AS232/AS231</f>
        <v>9.2409879409299067E-2</v>
      </c>
      <c r="AT233" s="85">
        <f t="shared" ref="AT233" si="2429">+AT232/AT231</f>
        <v>0.12232118636404726</v>
      </c>
      <c r="AU233" s="85">
        <f t="shared" ref="AU233" si="2430">+AU232/AU231</f>
        <v>0.11513471844945321</v>
      </c>
      <c r="AV233" s="85">
        <f t="shared" ref="AV233" si="2431">+AV232/AV231</f>
        <v>9.624849192822521E-2</v>
      </c>
      <c r="AW233" s="85">
        <f t="shared" ref="AW233" si="2432">+AW232/AW231</f>
        <v>0.12331672948351281</v>
      </c>
      <c r="AX233" s="85">
        <f t="shared" ref="AX233" si="2433">+AX232/AX231</f>
        <v>0.15022545233157661</v>
      </c>
      <c r="AY233" s="85">
        <f t="shared" ref="AY233" si="2434">+AY232/AY231</f>
        <v>0.10356880701877035</v>
      </c>
      <c r="AZ233" s="85">
        <f t="shared" ref="AZ233" si="2435">+AZ232/AZ231</f>
        <v>9.9592803200171928E-2</v>
      </c>
      <c r="BA233" s="85">
        <f t="shared" ref="BA233" si="2436">+BA232/BA231</f>
        <v>0.10139324810533555</v>
      </c>
      <c r="BB233" s="85">
        <f t="shared" ref="BB233" si="2437">+BB232/BB231</f>
        <v>9.4186915222882472E-2</v>
      </c>
      <c r="BC233" s="85">
        <f t="shared" ref="BC233" si="2438">+BC232/BC231</f>
        <v>7.3929682749740558E-2</v>
      </c>
      <c r="BD233" s="85">
        <f t="shared" ref="BD233" si="2439">+BD232/BD231</f>
        <v>0.11668679770140179</v>
      </c>
      <c r="BE233" s="85">
        <f t="shared" ref="BE233" si="2440">+BE232/BE231</f>
        <v>0.10740154117207384</v>
      </c>
      <c r="BF233" s="85">
        <f t="shared" ref="BF233" si="2441">+BF232/BF231</f>
        <v>9.8660060396737886E-2</v>
      </c>
      <c r="BG233" s="85">
        <f t="shared" ref="BG233" si="2442">+BG232/BG231</f>
        <v>8.618257540135689E-2</v>
      </c>
      <c r="BH233" s="85">
        <f t="shared" ref="BH233" si="2443">+BH232/BH231</f>
        <v>8.3406034468568396E-2</v>
      </c>
      <c r="BI233" s="85">
        <f t="shared" ref="BI233" si="2444">+BI232/BI231</f>
        <v>0.1072797559821882</v>
      </c>
      <c r="BJ233" s="85">
        <f t="shared" ref="BJ233" si="2445">+BJ232/BJ231</f>
        <v>0.1386218839865907</v>
      </c>
      <c r="BK233" s="85">
        <f t="shared" ref="BK233" si="2446">+BK232/BK231</f>
        <v>0.11300986193293881</v>
      </c>
      <c r="BL233" s="85">
        <f t="shared" ref="BL233" si="2447">+BL232/BL231</f>
        <v>0.10177807856769309</v>
      </c>
      <c r="BM233" s="85">
        <f t="shared" ref="BM233" si="2448">+BM232/BM231</f>
        <v>9.7438243366880339E-2</v>
      </c>
      <c r="BN233" s="85">
        <f t="shared" ref="BN233" si="2449">+BN232/BN231</f>
        <v>8.6391146463773105E-2</v>
      </c>
      <c r="BO233" s="85">
        <f t="shared" ref="BO233" si="2450">+BO232/BO231</f>
        <v>0.10532311677772754</v>
      </c>
      <c r="BP233" s="85">
        <f t="shared" ref="BP233" si="2451">+BP232/BP231</f>
        <v>0.11288817611896768</v>
      </c>
      <c r="BQ233" s="85">
        <f t="shared" ref="BQ233" si="2452">+BQ232/BQ231</f>
        <v>6.3635222606731073E-2</v>
      </c>
      <c r="BR233" s="85">
        <f t="shared" ref="BR233" si="2453">+BR232/BR231</f>
        <v>6.6894392257330015E-2</v>
      </c>
      <c r="BS233" s="85">
        <f t="shared" ref="BS233" si="2454">+BS232/BS231</f>
        <v>3.4272002897500792E-2</v>
      </c>
      <c r="BT233" s="85">
        <f t="shared" ref="BT233" si="2455">+BT232/BT231</f>
        <v>4.677523066110368E-2</v>
      </c>
      <c r="BU233" s="85">
        <f t="shared" ref="BU233" si="2456">+BU232/BU231</f>
        <v>1.6400380912072916E-2</v>
      </c>
      <c r="BV233" s="85">
        <f t="shared" ref="BV233" si="2457">+BV232/BV231</f>
        <v>6.9607829679757552E-2</v>
      </c>
      <c r="BW233" s="85">
        <f t="shared" ref="BW233" si="2458">+BW232/BW231</f>
        <v>4.3511171105251913E-2</v>
      </c>
      <c r="BX233" s="85">
        <f t="shared" ref="BX233" si="2459">+BX232/BX231</f>
        <v>2.9842788967920683E-2</v>
      </c>
      <c r="BY233" s="85">
        <f t="shared" ref="BY233" si="2460">+BY232/BY231</f>
        <v>7.056343924586049E-2</v>
      </c>
      <c r="BZ233" s="85">
        <f t="shared" ref="BZ233" si="2461">+BZ232/BZ231</f>
        <v>7.7517270569739852E-2</v>
      </c>
      <c r="CA233" s="85">
        <f t="shared" ref="CA233" si="2462">+CA232/CA231</f>
        <v>6.4291458903007914E-2</v>
      </c>
      <c r="CB233" s="85">
        <f t="shared" ref="CB233:CC233" si="2463">+CB232/CB231</f>
        <v>6.9058688564183068E-2</v>
      </c>
      <c r="CC233" s="85">
        <f t="shared" si="2463"/>
        <v>9.5605651532970085E-2</v>
      </c>
      <c r="CD233" s="85">
        <f t="shared" ref="CD233" si="2464">+CD232/CD231</f>
        <v>6.7281846194191225E-2</v>
      </c>
      <c r="CE233" s="85">
        <f t="shared" ref="CE233:CF233" si="2465">+CE232/CE231</f>
        <v>4.9980451950895441E-2</v>
      </c>
      <c r="CF233" s="85">
        <f t="shared" si="2465"/>
        <v>2.7708812260536373E-2</v>
      </c>
      <c r="CG233" s="85">
        <f t="shared" ref="CG233:CH233" si="2466">+CG232/CG231</f>
        <v>4.2383421362924209E-2</v>
      </c>
      <c r="CH233" s="85">
        <f t="shared" si="2466"/>
        <v>6.3499090059515068E-2</v>
      </c>
      <c r="CI233" s="85">
        <f t="shared" ref="CI233:CJ233" si="2467">+CI232/CI231</f>
        <v>6.9565359423745934E-2</v>
      </c>
      <c r="CJ233" s="85">
        <f t="shared" si="2467"/>
        <v>8.88063643493988E-2</v>
      </c>
      <c r="CK233" s="46">
        <f t="shared" ref="CK233:DA233" si="2468">+CK232/CK231</f>
        <v>8.6776328471374439E-2</v>
      </c>
      <c r="CL233" s="85">
        <f t="shared" si="2468"/>
        <v>6.5176969499266088E-2</v>
      </c>
      <c r="CM233" s="46">
        <f t="shared" si="2468"/>
        <v>7.7581255435946392E-2</v>
      </c>
      <c r="CN233" s="46">
        <f t="shared" si="2468"/>
        <v>7.9585229438996458E-2</v>
      </c>
      <c r="CO233" s="46">
        <f t="shared" si="2468"/>
        <v>7.7279945711395848E-2</v>
      </c>
      <c r="CP233" s="46">
        <f t="shared" si="2468"/>
        <v>7.4905850021401169E-2</v>
      </c>
      <c r="CQ233" s="46">
        <f t="shared" si="2468"/>
        <v>7.7338070151935015E-2</v>
      </c>
      <c r="CR233" s="46">
        <f t="shared" si="2468"/>
        <v>7.7277273830932108E-2</v>
      </c>
      <c r="CS233" s="46">
        <f t="shared" si="2468"/>
        <v>7.6700284928916035E-2</v>
      </c>
      <c r="CT233" s="46">
        <f t="shared" si="2468"/>
        <v>7.655536973329613E-2</v>
      </c>
      <c r="CU233" s="46">
        <f t="shared" si="2468"/>
        <v>7.6967749661269791E-2</v>
      </c>
      <c r="CV233" s="46">
        <f t="shared" si="2468"/>
        <v>7.6875169538603488E-2</v>
      </c>
      <c r="CW233" s="46">
        <f t="shared" si="2468"/>
        <v>7.6774643465521319E-2</v>
      </c>
      <c r="CX233" s="46">
        <f t="shared" si="2468"/>
        <v>7.6793233099672675E-2</v>
      </c>
      <c r="CY233" s="46">
        <f t="shared" si="2468"/>
        <v>7.6852698941266798E-2</v>
      </c>
      <c r="CZ233" s="46">
        <f t="shared" si="2468"/>
        <v>7.6823936261266101E-2</v>
      </c>
      <c r="DA233" s="46">
        <f t="shared" si="2468"/>
        <v>7.6811127941931664E-2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69">B41-B240</f>
        <v>0</v>
      </c>
      <c r="C234" s="63">
        <f t="shared" si="2469"/>
        <v>0</v>
      </c>
      <c r="D234" s="63">
        <f t="shared" si="2469"/>
        <v>25.146999999999998</v>
      </c>
      <c r="E234" s="63">
        <f t="shared" si="2469"/>
        <v>27.926399999999958</v>
      </c>
      <c r="F234" s="63">
        <f t="shared" si="2469"/>
        <v>24.109900000000025</v>
      </c>
      <c r="G234" s="63">
        <f t="shared" si="2469"/>
        <v>28.471000000000082</v>
      </c>
      <c r="H234" s="63">
        <f t="shared" si="2469"/>
        <v>27.850500000000011</v>
      </c>
      <c r="I234" s="63">
        <f t="shared" si="2469"/>
        <v>31.552299999999981</v>
      </c>
      <c r="J234" s="63">
        <f t="shared" si="2469"/>
        <v>21.28780000000004</v>
      </c>
      <c r="K234" s="63">
        <f t="shared" si="2469"/>
        <v>37.378499999999974</v>
      </c>
      <c r="L234" s="63">
        <f t="shared" si="2469"/>
        <v>32.790399999999998</v>
      </c>
      <c r="M234" s="63">
        <f t="shared" si="2469"/>
        <v>49.657199999999904</v>
      </c>
      <c r="N234" s="63">
        <f t="shared" si="2469"/>
        <v>45.120799999999932</v>
      </c>
      <c r="O234" s="63">
        <f t="shared" si="2469"/>
        <v>50.770999999999972</v>
      </c>
      <c r="P234" s="63">
        <f t="shared" si="2469"/>
        <v>62.232600000000097</v>
      </c>
      <c r="Q234" s="63">
        <f t="shared" si="2469"/>
        <v>78.728599999999986</v>
      </c>
      <c r="R234" s="63">
        <f t="shared" si="2469"/>
        <v>84.091099999999926</v>
      </c>
      <c r="S234" s="63">
        <f t="shared" si="2469"/>
        <v>63.615999999999758</v>
      </c>
      <c r="T234" s="63">
        <f t="shared" si="2469"/>
        <v>34.884900000000144</v>
      </c>
      <c r="U234" s="63">
        <f t="shared" si="2469"/>
        <v>170.03999999999976</v>
      </c>
      <c r="V234" s="63">
        <f t="shared" si="2469"/>
        <v>95.989999999999782</v>
      </c>
      <c r="W234" s="63">
        <f t="shared" si="2469"/>
        <v>8.2900000000001572</v>
      </c>
      <c r="X234" s="63">
        <f t="shared" si="2469"/>
        <v>49.639999999999823</v>
      </c>
      <c r="Y234" s="63">
        <f t="shared" si="2469"/>
        <v>40.099999999999739</v>
      </c>
      <c r="Z234" s="63">
        <f t="shared" si="2469"/>
        <v>57.099999999999895</v>
      </c>
      <c r="AA234" s="63">
        <f t="shared" ref="AA234" si="2470">AA41-AA240</f>
        <v>117.20999999999982</v>
      </c>
      <c r="AB234" s="29"/>
      <c r="AC234" s="29"/>
      <c r="AD234" s="29"/>
      <c r="AE234" s="29"/>
      <c r="AI234" s="63">
        <f t="shared" ref="AI234:BN234" si="2471">AI41-AI240</f>
        <v>13.359999999999964</v>
      </c>
      <c r="AJ234" s="63">
        <f t="shared" si="2471"/>
        <v>8.7799999999999656</v>
      </c>
      <c r="AK234" s="63">
        <f t="shared" si="2471"/>
        <v>10.070000000000022</v>
      </c>
      <c r="AL234" s="63">
        <f t="shared" si="2471"/>
        <v>16.159999999999982</v>
      </c>
      <c r="AM234" s="63">
        <f t="shared" si="2471"/>
        <v>15.070000000000025</v>
      </c>
      <c r="AN234" s="63">
        <f t="shared" si="2471"/>
        <v>9.2399999999999913</v>
      </c>
      <c r="AO234" s="63">
        <f t="shared" si="2471"/>
        <v>10.3</v>
      </c>
      <c r="AP234" s="63">
        <f t="shared" si="2471"/>
        <v>16.100000000000009</v>
      </c>
      <c r="AQ234" s="63">
        <f t="shared" si="2471"/>
        <v>16.60999999999996</v>
      </c>
      <c r="AR234" s="63">
        <f t="shared" si="2471"/>
        <v>13.779999999999992</v>
      </c>
      <c r="AS234" s="63">
        <f t="shared" si="2471"/>
        <v>15.740000000000018</v>
      </c>
      <c r="AT234" s="63">
        <f t="shared" si="2471"/>
        <v>21.279999999999944</v>
      </c>
      <c r="AU234" s="63">
        <f t="shared" si="2471"/>
        <v>20.630000000000088</v>
      </c>
      <c r="AV234" s="63">
        <f t="shared" si="2471"/>
        <v>16.319999999999922</v>
      </c>
      <c r="AW234" s="63">
        <f t="shared" si="2471"/>
        <v>20.499999999999929</v>
      </c>
      <c r="AX234" s="63">
        <f t="shared" si="2471"/>
        <v>34.949999999999974</v>
      </c>
      <c r="AY234" s="63">
        <f t="shared" si="2471"/>
        <v>19.950000000000017</v>
      </c>
      <c r="AZ234" s="63">
        <f t="shared" si="2471"/>
        <v>17.51999999999984</v>
      </c>
      <c r="BA234" s="63">
        <f t="shared" si="2471"/>
        <v>16.259999999999934</v>
      </c>
      <c r="BB234" s="63">
        <f t="shared" si="2471"/>
        <v>16.320000000000075</v>
      </c>
      <c r="BC234" s="63">
        <f t="shared" si="2471"/>
        <v>7.229999999999916</v>
      </c>
      <c r="BD234" s="63">
        <f t="shared" si="2471"/>
        <v>19.12999999999996</v>
      </c>
      <c r="BE234" s="63">
        <f t="shared" si="2471"/>
        <v>20.940000000000012</v>
      </c>
      <c r="BF234" s="63">
        <f t="shared" si="2471"/>
        <v>17.800000000000033</v>
      </c>
      <c r="BG234" s="63">
        <f t="shared" si="2471"/>
        <v>14.249999999999993</v>
      </c>
      <c r="BH234" s="63">
        <f t="shared" si="2471"/>
        <v>-15.120000000000012</v>
      </c>
      <c r="BI234" s="63">
        <f t="shared" si="2471"/>
        <v>17.960000000000115</v>
      </c>
      <c r="BJ234" s="63">
        <f t="shared" si="2471"/>
        <v>42.030000000000058</v>
      </c>
      <c r="BK234" s="63">
        <f t="shared" si="2471"/>
        <v>27.929999999999982</v>
      </c>
      <c r="BL234" s="63">
        <f t="shared" si="2471"/>
        <v>31.899999999999988</v>
      </c>
      <c r="BM234" s="63">
        <f t="shared" si="2471"/>
        <v>68.180000000000135</v>
      </c>
      <c r="BN234" s="63">
        <f t="shared" si="2471"/>
        <v>27.309999999999981</v>
      </c>
      <c r="BO234" s="63">
        <f t="shared" ref="BO234:CT234" si="2472">BO41-BO240</f>
        <v>26.720000000000041</v>
      </c>
      <c r="BP234" s="63">
        <f t="shared" si="2472"/>
        <v>36.879999999999924</v>
      </c>
      <c r="BQ234" s="63">
        <f t="shared" si="2472"/>
        <v>5.0799999999999805</v>
      </c>
      <c r="BR234" s="63">
        <f t="shared" si="2472"/>
        <v>16.170000000000066</v>
      </c>
      <c r="BS234" s="63">
        <f t="shared" si="2472"/>
        <v>-3.5000000000000782</v>
      </c>
      <c r="BT234" s="63">
        <f t="shared" si="2472"/>
        <v>9.1399999999998585</v>
      </c>
      <c r="BU234" s="63">
        <f t="shared" si="2472"/>
        <v>-13.519999999999921</v>
      </c>
      <c r="BV234" s="63">
        <f t="shared" si="2472"/>
        <v>24.610000000000174</v>
      </c>
      <c r="BW234" s="63">
        <f t="shared" si="2472"/>
        <v>8.1500000000000377</v>
      </c>
      <c r="BX234" s="63">
        <f t="shared" si="2472"/>
        <v>4.0000000000043556E-2</v>
      </c>
      <c r="BY234" s="63">
        <f t="shared" si="2472"/>
        <v>16.840000000000021</v>
      </c>
      <c r="BZ234" s="63">
        <f t="shared" si="2472"/>
        <v>35.489999999999995</v>
      </c>
      <c r="CA234" s="63">
        <f t="shared" si="2472"/>
        <v>16.580000000000027</v>
      </c>
      <c r="CB234" s="63">
        <f t="shared" si="2472"/>
        <v>32.270000000000003</v>
      </c>
      <c r="CC234" s="63">
        <f t="shared" si="2472"/>
        <v>-44.229999999999968</v>
      </c>
      <c r="CD234" s="63">
        <f t="shared" si="2472"/>
        <v>26.029999999999955</v>
      </c>
      <c r="CE234" s="63">
        <f t="shared" si="2472"/>
        <v>9.0600000000000964</v>
      </c>
      <c r="CF234" s="63">
        <f t="shared" si="2472"/>
        <v>10.179999999999986</v>
      </c>
      <c r="CG234" s="63">
        <f t="shared" si="2472"/>
        <v>11.830000000000007</v>
      </c>
      <c r="CH234" s="63">
        <f t="shared" si="2472"/>
        <v>25.480000000000018</v>
      </c>
      <c r="CI234" s="63">
        <f t="shared" si="2472"/>
        <v>24.659999999999975</v>
      </c>
      <c r="CJ234" s="63">
        <f t="shared" si="2472"/>
        <v>36.769999999999904</v>
      </c>
      <c r="CK234" s="29">
        <f t="shared" si="2472"/>
        <v>30.300000000000011</v>
      </c>
      <c r="CL234" s="63">
        <f t="shared" ref="CL234" si="2473">CL41-CL240</f>
        <v>25.600000000000037</v>
      </c>
      <c r="CM234" s="29">
        <f t="shared" si="2472"/>
        <v>32.764750711845046</v>
      </c>
      <c r="CN234" s="29">
        <f t="shared" si="2472"/>
        <v>37.031466917175059</v>
      </c>
      <c r="CO234" s="29">
        <f t="shared" si="2472"/>
        <v>37.470691490646928</v>
      </c>
      <c r="CP234" s="29">
        <f t="shared" si="2472"/>
        <v>37.825631931161467</v>
      </c>
      <c r="CQ234" s="29">
        <f t="shared" si="2472"/>
        <v>40.884500871608935</v>
      </c>
      <c r="CR234" s="29">
        <f t="shared" si="2472"/>
        <v>44.804302192054301</v>
      </c>
      <c r="CS234" s="29">
        <f t="shared" si="2472"/>
        <v>46.551857920462794</v>
      </c>
      <c r="CT234" s="29">
        <f t="shared" si="2472"/>
        <v>48.426216039850644</v>
      </c>
      <c r="CU234" s="29">
        <f t="shared" ref="CU234:DA234" si="2474">CU41-CU240</f>
        <v>51.140522020648575</v>
      </c>
      <c r="CV234" s="29">
        <f t="shared" si="2474"/>
        <v>55.663398098796357</v>
      </c>
      <c r="CW234" s="29">
        <f t="shared" si="2474"/>
        <v>58.272649897265467</v>
      </c>
      <c r="CX234" s="29">
        <f t="shared" si="2474"/>
        <v>60.899287527400617</v>
      </c>
      <c r="CY234" s="29">
        <f t="shared" si="2474"/>
        <v>64.177567279501432</v>
      </c>
      <c r="CZ234" s="29">
        <f t="shared" si="2474"/>
        <v>69.481207599206471</v>
      </c>
      <c r="DA234" s="29">
        <f t="shared" si="2474"/>
        <v>72.940152155600373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75">+C238/C237</f>
        <v>#DIV/0!</v>
      </c>
      <c r="D239" s="85" t="e">
        <f t="shared" si="2475"/>
        <v>#DIV/0!</v>
      </c>
      <c r="E239" s="85" t="e">
        <f t="shared" si="2475"/>
        <v>#DIV/0!</v>
      </c>
      <c r="F239" s="85" t="e">
        <f t="shared" si="2475"/>
        <v>#DIV/0!</v>
      </c>
      <c r="G239" s="85" t="e">
        <f t="shared" si="2475"/>
        <v>#DIV/0!</v>
      </c>
      <c r="H239" s="85" t="e">
        <f t="shared" si="2475"/>
        <v>#DIV/0!</v>
      </c>
      <c r="I239" s="85" t="e">
        <f t="shared" si="2475"/>
        <v>#DIV/0!</v>
      </c>
      <c r="J239" s="85" t="e">
        <f t="shared" si="2475"/>
        <v>#DIV/0!</v>
      </c>
      <c r="K239" s="85" t="e">
        <f t="shared" si="2475"/>
        <v>#DIV/0!</v>
      </c>
      <c r="L239" s="85" t="e">
        <f t="shared" si="2475"/>
        <v>#DIV/0!</v>
      </c>
      <c r="M239" s="85" t="e">
        <f t="shared" si="2475"/>
        <v>#DIV/0!</v>
      </c>
      <c r="N239" s="85" t="e">
        <f t="shared" si="2475"/>
        <v>#DIV/0!</v>
      </c>
      <c r="O239" s="85" t="e">
        <f t="shared" si="2475"/>
        <v>#DIV/0!</v>
      </c>
      <c r="P239" s="85" t="e">
        <f t="shared" si="2475"/>
        <v>#DIV/0!</v>
      </c>
      <c r="Q239" s="85" t="e">
        <f t="shared" si="2475"/>
        <v>#DIV/0!</v>
      </c>
      <c r="R239" s="85" t="e">
        <f t="shared" si="2475"/>
        <v>#DIV/0!</v>
      </c>
      <c r="S239" s="85" t="e">
        <f t="shared" si="2475"/>
        <v>#DIV/0!</v>
      </c>
      <c r="T239" s="85" t="e">
        <f t="shared" si="2475"/>
        <v>#DIV/0!</v>
      </c>
      <c r="U239" s="85" t="e">
        <f t="shared" si="2475"/>
        <v>#DIV/0!</v>
      </c>
      <c r="V239" s="85" t="e">
        <f t="shared" si="2475"/>
        <v>#DIV/0!</v>
      </c>
      <c r="W239" s="85" t="e">
        <f t="shared" si="2475"/>
        <v>#DIV/0!</v>
      </c>
      <c r="X239" s="85" t="e">
        <f t="shared" si="2475"/>
        <v>#DIV/0!</v>
      </c>
      <c r="Y239" s="85" t="e">
        <f t="shared" ref="Y239:Z239" si="2476">+Y238/Y237</f>
        <v>#DIV/0!</v>
      </c>
      <c r="Z239" s="85" t="e">
        <f t="shared" si="2476"/>
        <v>#DIV/0!</v>
      </c>
      <c r="AA239" s="85" t="e">
        <f t="shared" ref="AA239" si="2477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478">+AI238/AI237</f>
        <v>#DIV/0!</v>
      </c>
      <c r="AJ239" s="85" t="e">
        <f t="shared" ref="AJ239" si="2479">+AJ238/AJ237</f>
        <v>#DIV/0!</v>
      </c>
      <c r="AK239" s="85" t="e">
        <f t="shared" ref="AK239" si="2480">+AK238/AK237</f>
        <v>#DIV/0!</v>
      </c>
      <c r="AL239" s="85" t="e">
        <f t="shared" ref="AL239" si="2481">+AL238/AL237</f>
        <v>#DIV/0!</v>
      </c>
      <c r="AM239" s="85" t="e">
        <f t="shared" ref="AM239" si="2482">+AM238/AM237</f>
        <v>#DIV/0!</v>
      </c>
      <c r="AN239" s="85" t="e">
        <f t="shared" ref="AN239" si="2483">+AN238/AN237</f>
        <v>#DIV/0!</v>
      </c>
      <c r="AO239" s="85" t="e">
        <f t="shared" ref="AO239" si="2484">+AO238/AO237</f>
        <v>#DIV/0!</v>
      </c>
      <c r="AP239" s="85" t="e">
        <f t="shared" ref="AP239" si="2485">+AP238/AP237</f>
        <v>#DIV/0!</v>
      </c>
      <c r="AQ239" s="85" t="e">
        <f t="shared" ref="AQ239" si="2486">+AQ238/AQ237</f>
        <v>#DIV/0!</v>
      </c>
      <c r="AR239" s="85" t="e">
        <f t="shared" ref="AR239" si="2487">+AR238/AR237</f>
        <v>#DIV/0!</v>
      </c>
      <c r="AS239" s="85" t="e">
        <f t="shared" ref="AS239" si="2488">+AS238/AS237</f>
        <v>#DIV/0!</v>
      </c>
      <c r="AT239" s="85" t="e">
        <f t="shared" ref="AT239" si="2489">+AT238/AT237</f>
        <v>#DIV/0!</v>
      </c>
      <c r="AU239" s="85" t="e">
        <f t="shared" ref="AU239" si="2490">+AU238/AU237</f>
        <v>#DIV/0!</v>
      </c>
      <c r="AV239" s="85" t="e">
        <f t="shared" ref="AV239" si="2491">+AV238/AV237</f>
        <v>#DIV/0!</v>
      </c>
      <c r="AW239" s="85" t="e">
        <f t="shared" ref="AW239" si="2492">+AW238/AW237</f>
        <v>#DIV/0!</v>
      </c>
      <c r="AX239" s="85" t="e">
        <f t="shared" ref="AX239" si="2493">+AX238/AX237</f>
        <v>#DIV/0!</v>
      </c>
      <c r="AY239" s="85" t="e">
        <f t="shared" ref="AY239" si="2494">+AY238/AY237</f>
        <v>#DIV/0!</v>
      </c>
      <c r="AZ239" s="85" t="e">
        <f t="shared" ref="AZ239" si="2495">+AZ238/AZ237</f>
        <v>#DIV/0!</v>
      </c>
      <c r="BA239" s="85" t="e">
        <f t="shared" ref="BA239" si="2496">+BA238/BA237</f>
        <v>#DIV/0!</v>
      </c>
      <c r="BB239" s="85" t="e">
        <f t="shared" ref="BB239" si="2497">+BB238/BB237</f>
        <v>#DIV/0!</v>
      </c>
      <c r="BC239" s="85" t="e">
        <f t="shared" ref="BC239" si="2498">+BC238/BC237</f>
        <v>#DIV/0!</v>
      </c>
      <c r="BD239" s="85" t="e">
        <f t="shared" ref="BD239" si="2499">+BD238/BD237</f>
        <v>#DIV/0!</v>
      </c>
      <c r="BE239" s="85" t="e">
        <f t="shared" ref="BE239" si="2500">+BE238/BE237</f>
        <v>#DIV/0!</v>
      </c>
      <c r="BF239" s="85" t="e">
        <f t="shared" ref="BF239" si="2501">+BF238/BF237</f>
        <v>#DIV/0!</v>
      </c>
      <c r="BG239" s="85" t="e">
        <f t="shared" ref="BG239" si="2502">+BG238/BG237</f>
        <v>#DIV/0!</v>
      </c>
      <c r="BH239" s="85" t="e">
        <f t="shared" ref="BH239" si="2503">+BH238/BH237</f>
        <v>#DIV/0!</v>
      </c>
      <c r="BI239" s="85" t="e">
        <f t="shared" ref="BI239" si="2504">+BI238/BI237</f>
        <v>#DIV/0!</v>
      </c>
      <c r="BJ239" s="85" t="e">
        <f t="shared" ref="BJ239" si="2505">+BJ238/BJ237</f>
        <v>#DIV/0!</v>
      </c>
      <c r="BK239" s="85" t="e">
        <f t="shared" ref="BK239" si="2506">+BK238/BK237</f>
        <v>#DIV/0!</v>
      </c>
      <c r="BL239" s="85" t="e">
        <f t="shared" ref="BL239" si="2507">+BL238/BL237</f>
        <v>#DIV/0!</v>
      </c>
      <c r="BM239" s="85" t="e">
        <f t="shared" ref="BM239" si="2508">+BM238/BM237</f>
        <v>#DIV/0!</v>
      </c>
      <c r="BN239" s="85" t="e">
        <f t="shared" ref="BN239" si="2509">+BN238/BN237</f>
        <v>#DIV/0!</v>
      </c>
      <c r="BO239" s="85" t="e">
        <f t="shared" ref="BO239" si="2510">+BO238/BO237</f>
        <v>#DIV/0!</v>
      </c>
      <c r="BP239" s="85" t="e">
        <f t="shared" ref="BP239" si="2511">+BP238/BP237</f>
        <v>#DIV/0!</v>
      </c>
      <c r="BQ239" s="85" t="e">
        <f t="shared" ref="BQ239" si="2512">+BQ238/BQ237</f>
        <v>#DIV/0!</v>
      </c>
      <c r="BR239" s="85" t="e">
        <f t="shared" ref="BR239" si="2513">+BR238/BR237</f>
        <v>#DIV/0!</v>
      </c>
      <c r="BS239" s="85" t="e">
        <f t="shared" ref="BS239" si="2514">+BS238/BS237</f>
        <v>#DIV/0!</v>
      </c>
      <c r="BT239" s="85" t="e">
        <f t="shared" ref="BT239" si="2515">+BT238/BT237</f>
        <v>#DIV/0!</v>
      </c>
      <c r="BU239" s="85" t="e">
        <f t="shared" ref="BU239" si="2516">+BU238/BU237</f>
        <v>#DIV/0!</v>
      </c>
      <c r="BV239" s="85" t="e">
        <f t="shared" ref="BV239" si="2517">+BV238/BV237</f>
        <v>#DIV/0!</v>
      </c>
      <c r="BW239" s="85" t="e">
        <f t="shared" ref="BW239" si="2518">+BW238/BW237</f>
        <v>#DIV/0!</v>
      </c>
      <c r="BX239" s="85" t="e">
        <f t="shared" ref="BX239" si="2519">+BX238/BX237</f>
        <v>#DIV/0!</v>
      </c>
      <c r="BY239" s="85" t="e">
        <f t="shared" ref="BY239" si="2520">+BY238/BY237</f>
        <v>#DIV/0!</v>
      </c>
      <c r="BZ239" s="85" t="e">
        <f t="shared" ref="BZ239" si="2521">+BZ238/BZ237</f>
        <v>#DIV/0!</v>
      </c>
      <c r="CA239" s="85" t="e">
        <f t="shared" ref="CA239" si="2522">+CA238/CA237</f>
        <v>#DIV/0!</v>
      </c>
      <c r="CB239" s="85" t="e">
        <f t="shared" ref="CB239:CC239" si="2523">+CB238/CB237</f>
        <v>#DIV/0!</v>
      </c>
      <c r="CC239" s="85" t="e">
        <f t="shared" si="2523"/>
        <v>#DIV/0!</v>
      </c>
      <c r="CD239" s="85" t="e">
        <f t="shared" ref="CD239" si="2524">+CD238/CD237</f>
        <v>#DIV/0!</v>
      </c>
      <c r="CE239" s="85" t="e">
        <f t="shared" ref="CE239:CF239" si="2525">+CE238/CE237</f>
        <v>#DIV/0!</v>
      </c>
      <c r="CF239" s="85" t="e">
        <f t="shared" si="2525"/>
        <v>#DIV/0!</v>
      </c>
      <c r="CG239" s="85" t="e">
        <f t="shared" ref="CG239:CH239" si="2526">+CG238/CG237</f>
        <v>#DIV/0!</v>
      </c>
      <c r="CH239" s="85" t="e">
        <f t="shared" si="2526"/>
        <v>#DIV/0!</v>
      </c>
      <c r="CI239" s="85" t="e">
        <f t="shared" ref="CI239:CJ239" si="2527">+CI238/CI237</f>
        <v>#DIV/0!</v>
      </c>
      <c r="CJ239" s="85" t="e">
        <f t="shared" si="2527"/>
        <v>#DIV/0!</v>
      </c>
      <c r="CK239" s="46" t="e">
        <f t="shared" ref="CK239:DA239" si="2528">+CK238/CK237</f>
        <v>#DIV/0!</v>
      </c>
      <c r="CL239" s="85" t="e">
        <f t="shared" si="2528"/>
        <v>#DIV/0!</v>
      </c>
      <c r="CM239" s="46" t="e">
        <f t="shared" si="2528"/>
        <v>#DIV/0!</v>
      </c>
      <c r="CN239" s="46" t="e">
        <f t="shared" si="2528"/>
        <v>#DIV/0!</v>
      </c>
      <c r="CO239" s="46" t="e">
        <f t="shared" si="2528"/>
        <v>#DIV/0!</v>
      </c>
      <c r="CP239" s="46" t="e">
        <f t="shared" si="2528"/>
        <v>#DIV/0!</v>
      </c>
      <c r="CQ239" s="46" t="e">
        <f t="shared" si="2528"/>
        <v>#DIV/0!</v>
      </c>
      <c r="CR239" s="46" t="e">
        <f t="shared" si="2528"/>
        <v>#DIV/0!</v>
      </c>
      <c r="CS239" s="46" t="e">
        <f t="shared" si="2528"/>
        <v>#DIV/0!</v>
      </c>
      <c r="CT239" s="46" t="e">
        <f t="shared" si="2528"/>
        <v>#DIV/0!</v>
      </c>
      <c r="CU239" s="46" t="e">
        <f t="shared" si="2528"/>
        <v>#DIV/0!</v>
      </c>
      <c r="CV239" s="46" t="e">
        <f t="shared" si="2528"/>
        <v>#DIV/0!</v>
      </c>
      <c r="CW239" s="46" t="e">
        <f t="shared" si="2528"/>
        <v>#DIV/0!</v>
      </c>
      <c r="CX239" s="46" t="e">
        <f t="shared" si="2528"/>
        <v>#DIV/0!</v>
      </c>
      <c r="CY239" s="46" t="e">
        <f t="shared" si="2528"/>
        <v>#DIV/0!</v>
      </c>
      <c r="CZ239" s="46" t="e">
        <f t="shared" si="2528"/>
        <v>#DIV/0!</v>
      </c>
      <c r="DA239" s="46" t="e">
        <f t="shared" si="2528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>
        <f>D8/D165</f>
        <v>2.0635234324308893</v>
      </c>
      <c r="E244" s="83">
        <f t="shared" ref="E244:AE244" si="2529">E10/(E161+E148+E138)</f>
        <v>1.4484537741131094</v>
      </c>
      <c r="F244" s="83">
        <f t="shared" si="2529"/>
        <v>1.4007124054169828</v>
      </c>
      <c r="G244" s="83">
        <f t="shared" si="2529"/>
        <v>1.4124481051591868</v>
      </c>
      <c r="H244" s="83">
        <f t="shared" si="2529"/>
        <v>1.3815000429991819</v>
      </c>
      <c r="I244" s="83">
        <f t="shared" si="2529"/>
        <v>1.3186631704912444</v>
      </c>
      <c r="J244" s="83">
        <f t="shared" si="2529"/>
        <v>1.4263439369330111</v>
      </c>
      <c r="K244" s="83">
        <f t="shared" si="2529"/>
        <v>1.3017367838267921</v>
      </c>
      <c r="L244" s="83">
        <f t="shared" si="2529"/>
        <v>1.2338176664135314</v>
      </c>
      <c r="M244" s="83">
        <f t="shared" si="2529"/>
        <v>1.5497745859884409</v>
      </c>
      <c r="N244" s="83">
        <f t="shared" si="2529"/>
        <v>1.4912795511327661</v>
      </c>
      <c r="O244" s="83">
        <f t="shared" si="2529"/>
        <v>1.6384998260368169</v>
      </c>
      <c r="P244" s="83">
        <f t="shared" si="2529"/>
        <v>1.3922303351043359</v>
      </c>
      <c r="Q244" s="83">
        <f t="shared" si="2529"/>
        <v>1.2354770340563144</v>
      </c>
      <c r="R244" s="83">
        <f t="shared" si="2529"/>
        <v>1.5284845874595692</v>
      </c>
      <c r="S244" s="83">
        <f t="shared" si="2529"/>
        <v>1.49574462798327</v>
      </c>
      <c r="T244" s="83">
        <f t="shared" si="2529"/>
        <v>1.6383105069439028</v>
      </c>
      <c r="U244" s="83">
        <f t="shared" si="2529"/>
        <v>1.7236444185059421</v>
      </c>
      <c r="V244" s="83">
        <f t="shared" si="2529"/>
        <v>1.5635297030645865</v>
      </c>
      <c r="W244" s="83">
        <f t="shared" si="2529"/>
        <v>1.1367308941329293</v>
      </c>
      <c r="X244" s="83">
        <f t="shared" si="2529"/>
        <v>1.3204954536198392</v>
      </c>
      <c r="Y244" s="83">
        <f t="shared" si="2529"/>
        <v>0.98164498230725683</v>
      </c>
      <c r="Z244" s="83">
        <f t="shared" si="2529"/>
        <v>0.98483593749999998</v>
      </c>
      <c r="AA244" s="83">
        <f t="shared" ref="AA244" si="2530">AA10/(AA161+AA148+AA138)</f>
        <v>0.94737185364786936</v>
      </c>
      <c r="AB244" s="49">
        <f t="shared" si="2529"/>
        <v>1.1244580596938807</v>
      </c>
      <c r="AC244" s="49">
        <f t="shared" si="2529"/>
        <v>1.0359679750190827</v>
      </c>
      <c r="AD244" s="49">
        <f t="shared" si="2529"/>
        <v>0.94296114656268148</v>
      </c>
      <c r="AE244" s="49">
        <f t="shared" si="2529"/>
        <v>0.84747974826231809</v>
      </c>
      <c r="AL244" s="83">
        <f t="shared" ref="AL244:BQ244" si="2531">SUM(AI10:AL10)/(AL161+AL148+AL138)</f>
        <v>1.5125679033999435</v>
      </c>
      <c r="AM244" s="83">
        <f t="shared" si="2531"/>
        <v>1.5043130429472205</v>
      </c>
      <c r="AN244" s="83">
        <f t="shared" si="2531"/>
        <v>1.5522028487969406</v>
      </c>
      <c r="AO244" s="83">
        <f t="shared" si="2531"/>
        <v>1.6347924528301887</v>
      </c>
      <c r="AP244" s="83">
        <f t="shared" si="2531"/>
        <v>1.6551109149794307</v>
      </c>
      <c r="AQ244" s="83">
        <f t="shared" si="2531"/>
        <v>1.6247810115851937</v>
      </c>
      <c r="AR244" s="83">
        <f t="shared" si="2531"/>
        <v>1.6792029566151625</v>
      </c>
      <c r="AS244" s="83">
        <f t="shared" si="2531"/>
        <v>1.3916511384811159</v>
      </c>
      <c r="AT244" s="83">
        <f t="shared" si="2531"/>
        <v>1.4117417512051311</v>
      </c>
      <c r="AU244" s="83">
        <f t="shared" si="2531"/>
        <v>0.93331210006659537</v>
      </c>
      <c r="AV244" s="83">
        <f t="shared" si="2531"/>
        <v>1.0518301851323504</v>
      </c>
      <c r="AW244" s="83">
        <f t="shared" si="2531"/>
        <v>1.2333996337307314</v>
      </c>
      <c r="AX244" s="83">
        <f t="shared" si="2531"/>
        <v>1.2587040696968161</v>
      </c>
      <c r="AY244" s="83">
        <f t="shared" si="2531"/>
        <v>1.2536603049864348</v>
      </c>
      <c r="AZ244" s="83">
        <f t="shared" si="2531"/>
        <v>1.2704441898621357</v>
      </c>
      <c r="BA244" s="83">
        <f t="shared" si="2531"/>
        <v>1.3199430026679602</v>
      </c>
      <c r="BB244" s="83">
        <f t="shared" si="2531"/>
        <v>1.3037506586709617</v>
      </c>
      <c r="BC244" s="83">
        <f t="shared" si="2531"/>
        <v>1.4596010477533752</v>
      </c>
      <c r="BD244" s="83">
        <f t="shared" si="2531"/>
        <v>1.4411496079531518</v>
      </c>
      <c r="BE244" s="83">
        <f t="shared" si="2531"/>
        <v>1.4939740431117383</v>
      </c>
      <c r="BF244" s="83">
        <f t="shared" si="2531"/>
        <v>1.5111131209968718</v>
      </c>
      <c r="BG244" s="83">
        <f t="shared" si="2531"/>
        <v>1.4641823209440601</v>
      </c>
      <c r="BH244" s="83">
        <f t="shared" si="2531"/>
        <v>1.5088918926812642</v>
      </c>
      <c r="BI244" s="83">
        <f t="shared" si="2531"/>
        <v>1.6389336468310223</v>
      </c>
      <c r="BJ244" s="83">
        <f t="shared" si="2531"/>
        <v>1.633357258308797</v>
      </c>
      <c r="BK244" s="83">
        <f t="shared" si="2531"/>
        <v>1.5312438326425895</v>
      </c>
      <c r="BL244" s="83">
        <f t="shared" si="2531"/>
        <v>1.5152474744883024</v>
      </c>
      <c r="BM244" s="83">
        <f t="shared" si="2531"/>
        <v>1.7171118951612903</v>
      </c>
      <c r="BN244" s="83">
        <f t="shared" si="2531"/>
        <v>1.7252510376570731</v>
      </c>
      <c r="BO244" s="83">
        <f t="shared" si="2531"/>
        <v>1.4798638024903694</v>
      </c>
      <c r="BP244" s="83">
        <f t="shared" si="2531"/>
        <v>1.442182590293468</v>
      </c>
      <c r="BQ244" s="83">
        <f t="shared" si="2531"/>
        <v>1.5635297030645869</v>
      </c>
      <c r="BR244" s="83">
        <f t="shared" ref="BR244:CW244" si="2532">SUM(BO10:BR10)/(BR161+BR148+BR138)</f>
        <v>1.5289081893946663</v>
      </c>
      <c r="BS244" s="83">
        <f t="shared" si="2532"/>
        <v>1.4165053148452975</v>
      </c>
      <c r="BT244" s="83">
        <f t="shared" si="2532"/>
        <v>1.4205383819358377</v>
      </c>
      <c r="BU244" s="83">
        <f t="shared" si="2532"/>
        <v>1.4665385560744533</v>
      </c>
      <c r="BV244" s="83">
        <f t="shared" si="2532"/>
        <v>1.4531566060476031</v>
      </c>
      <c r="BW244" s="83">
        <f t="shared" si="2532"/>
        <v>1.4381222324211462</v>
      </c>
      <c r="BX244" s="83">
        <f t="shared" si="2532"/>
        <v>1.502584040794543</v>
      </c>
      <c r="BY244" s="83">
        <f t="shared" si="2532"/>
        <v>1.731990129191465</v>
      </c>
      <c r="BZ244" s="83">
        <f t="shared" si="2532"/>
        <v>1.6794696263853228</v>
      </c>
      <c r="CA244" s="83">
        <f t="shared" si="2532"/>
        <v>1.5839502824597951</v>
      </c>
      <c r="CB244" s="83">
        <f t="shared" si="2532"/>
        <v>1.4698376405076532</v>
      </c>
      <c r="CC244" s="83">
        <f t="shared" si="2532"/>
        <v>1.2857712034940312</v>
      </c>
      <c r="CD244" s="83">
        <f t="shared" si="2532"/>
        <v>1.2404633064138473</v>
      </c>
      <c r="CE244" s="83">
        <f t="shared" si="2532"/>
        <v>1.2445545974879166</v>
      </c>
      <c r="CF244" s="83">
        <f t="shared" si="2532"/>
        <v>1.2261658313086012</v>
      </c>
      <c r="CG244" s="83">
        <f t="shared" si="2532"/>
        <v>0.98483593750000009</v>
      </c>
      <c r="CH244" s="83">
        <f t="shared" si="2532"/>
        <v>0.97748237019881268</v>
      </c>
      <c r="CI244" s="83">
        <f t="shared" si="2532"/>
        <v>1.2648522258684614</v>
      </c>
      <c r="CJ244" s="83">
        <f t="shared" si="2532"/>
        <v>1.2219309173534605</v>
      </c>
      <c r="CK244" s="49">
        <f t="shared" si="2532"/>
        <v>1.2049467038601076</v>
      </c>
      <c r="CL244" s="83">
        <f t="shared" si="2532"/>
        <v>1.1958462414262194</v>
      </c>
      <c r="CM244" s="49">
        <f t="shared" si="2532"/>
        <v>1.1803455519047885</v>
      </c>
      <c r="CN244" s="49">
        <f t="shared" si="2532"/>
        <v>1.1470090215632178</v>
      </c>
      <c r="CO244" s="49">
        <f t="shared" si="2532"/>
        <v>1.1244580596938807</v>
      </c>
      <c r="CP244" s="49">
        <f t="shared" si="2532"/>
        <v>1.1088575139291643</v>
      </c>
      <c r="CQ244" s="49">
        <f t="shared" si="2532"/>
        <v>1.0928867778401548</v>
      </c>
      <c r="CR244" s="49">
        <f t="shared" si="2532"/>
        <v>1.0606345728899551</v>
      </c>
      <c r="CS244" s="49">
        <f t="shared" si="2532"/>
        <v>1.0359679750190827</v>
      </c>
      <c r="CT244" s="49">
        <f t="shared" si="2532"/>
        <v>1.0177461573792317</v>
      </c>
      <c r="CU244" s="49">
        <f t="shared" si="2532"/>
        <v>1.0001302893784614</v>
      </c>
      <c r="CV244" s="49">
        <f t="shared" si="2532"/>
        <v>0.96841094639650049</v>
      </c>
      <c r="CW244" s="49">
        <f t="shared" si="2532"/>
        <v>0.94296114656268148</v>
      </c>
      <c r="CX244" s="49">
        <f t="shared" ref="CX244:DA244" si="2533">SUM(CU10:CX10)/(CX161+CX148+CX138)</f>
        <v>0.92307986268868092</v>
      </c>
      <c r="CY244" s="49">
        <f t="shared" si="2533"/>
        <v>0.90381220513535288</v>
      </c>
      <c r="CZ244" s="49">
        <f t="shared" si="2533"/>
        <v>0.87302580475306002</v>
      </c>
      <c r="DA244" s="49">
        <f t="shared" si="2533"/>
        <v>0.84747974826231809</v>
      </c>
      <c r="DD244" s="137"/>
      <c r="DE244" s="83">
        <v>1.2049467038601076</v>
      </c>
    </row>
    <row r="245" spans="1:109" s="83" customFormat="1" x14ac:dyDescent="0.2">
      <c r="A245" s="83" t="s">
        <v>514</v>
      </c>
      <c r="E245" s="180">
        <f>+E42</f>
        <v>7.2987698693657455E-2</v>
      </c>
      <c r="F245" s="180">
        <f t="shared" ref="F245:AE245" si="2534">+F42</f>
        <v>6.1189362701642186E-2</v>
      </c>
      <c r="G245" s="180">
        <f t="shared" si="2534"/>
        <v>6.5774092524980524E-2</v>
      </c>
      <c r="H245" s="180">
        <f t="shared" si="2534"/>
        <v>5.5567094415876643E-2</v>
      </c>
      <c r="I245" s="180">
        <f t="shared" si="2534"/>
        <v>5.5297926312428178E-2</v>
      </c>
      <c r="J245" s="180">
        <f t="shared" si="2534"/>
        <v>3.4778963300072407E-2</v>
      </c>
      <c r="K245" s="180">
        <f t="shared" si="2534"/>
        <v>6.4703130022678121E-2</v>
      </c>
      <c r="L245" s="180">
        <f t="shared" si="2534"/>
        <v>4.577514140004612E-2</v>
      </c>
      <c r="M245" s="180">
        <f t="shared" si="2534"/>
        <v>6.1826889639502398E-2</v>
      </c>
      <c r="N245" s="180">
        <f t="shared" si="2534"/>
        <v>5.0101528191658855E-2</v>
      </c>
      <c r="O245" s="180">
        <f t="shared" si="2534"/>
        <v>4.6771977237410473E-2</v>
      </c>
      <c r="P245" s="180">
        <f t="shared" si="2534"/>
        <v>5.0788283160066339E-2</v>
      </c>
      <c r="Q245" s="180">
        <f t="shared" si="2534"/>
        <v>3.8642026427237915E-2</v>
      </c>
      <c r="R245" s="180">
        <f t="shared" si="2534"/>
        <v>3.8553421556504423E-2</v>
      </c>
      <c r="S245" s="180">
        <f t="shared" si="2534"/>
        <v>2.985346106525074E-2</v>
      </c>
      <c r="T245" s="180">
        <f t="shared" si="2534"/>
        <v>1.4725134743705792E-2</v>
      </c>
      <c r="U245" s="180">
        <f t="shared" si="2534"/>
        <v>6.5425666992435405E-2</v>
      </c>
      <c r="V245" s="180">
        <f t="shared" si="2534"/>
        <v>3.897754497096674E-2</v>
      </c>
      <c r="W245" s="180">
        <f t="shared" si="2534"/>
        <v>3.1577584105315078E-3</v>
      </c>
      <c r="X245" s="180">
        <f t="shared" si="2534"/>
        <v>1.664141177101626E-2</v>
      </c>
      <c r="Y245" s="180">
        <f t="shared" si="2534"/>
        <v>1.5728944395631883E-2</v>
      </c>
      <c r="Z245" s="180">
        <f t="shared" si="2534"/>
        <v>2.2648125084285889E-2</v>
      </c>
      <c r="AA245" s="180">
        <f t="shared" ref="AA245" si="2535">+AA42</f>
        <v>4.746477903628795E-2</v>
      </c>
      <c r="AB245" s="181">
        <f t="shared" si="2534"/>
        <v>5.422883584843087E-2</v>
      </c>
      <c r="AC245" s="181">
        <f t="shared" si="2534"/>
        <v>7.0045274873965016E-2</v>
      </c>
      <c r="AD245" s="181">
        <f t="shared" si="2534"/>
        <v>8.8740982950144098E-2</v>
      </c>
      <c r="AE245" s="181">
        <f t="shared" si="2534"/>
        <v>0.11219911937383434</v>
      </c>
      <c r="AL245" s="180">
        <f t="shared" ref="AL245:CW245" si="2536">+AL42</f>
        <v>6.2925898524200718E-2</v>
      </c>
      <c r="AM245" s="180">
        <f t="shared" si="2536"/>
        <v>5.4492858434279604E-2</v>
      </c>
      <c r="AN245" s="180">
        <f t="shared" si="2536"/>
        <v>3.4430077877557072E-2</v>
      </c>
      <c r="AO245" s="180">
        <f t="shared" si="2536"/>
        <v>3.6613109626048634E-2</v>
      </c>
      <c r="AP245" s="180">
        <f t="shared" si="2536"/>
        <v>5.5315055315055345E-2</v>
      </c>
      <c r="AQ245" s="180">
        <f t="shared" si="2536"/>
        <v>5.3707116758819028E-2</v>
      </c>
      <c r="AR245" s="180">
        <f t="shared" si="2536"/>
        <v>4.3836487991092708E-2</v>
      </c>
      <c r="AS245" s="180">
        <f t="shared" si="2536"/>
        <v>5.0751273618365948E-2</v>
      </c>
      <c r="AT245" s="180">
        <f t="shared" si="2536"/>
        <v>4.8105615335925368E-2</v>
      </c>
      <c r="AU245" s="180">
        <f t="shared" si="2536"/>
        <v>3.786432714191338E-2</v>
      </c>
      <c r="AV245" s="180">
        <f t="shared" si="2536"/>
        <v>3.1409380473065157E-2</v>
      </c>
      <c r="AW245" s="180">
        <f t="shared" si="2536"/>
        <v>3.888762425070174E-2</v>
      </c>
      <c r="AX245" s="180">
        <f t="shared" si="2536"/>
        <v>6.6494168680200097E-2</v>
      </c>
      <c r="AY245" s="180">
        <f t="shared" si="2536"/>
        <v>3.4895924435892976E-2</v>
      </c>
      <c r="AZ245" s="180">
        <f t="shared" si="2536"/>
        <v>3.1453089655667378E-2</v>
      </c>
      <c r="BA245" s="180">
        <f t="shared" si="2536"/>
        <v>3.1118426088953408E-2</v>
      </c>
      <c r="BB245" s="180">
        <f t="shared" si="2536"/>
        <v>3.1972415954862617E-2</v>
      </c>
      <c r="BC245" s="180">
        <f t="shared" si="2536"/>
        <v>1.41548220368846E-2</v>
      </c>
      <c r="BD245" s="180">
        <f t="shared" si="2536"/>
        <v>3.4961712082168174E-2</v>
      </c>
      <c r="BE245" s="180">
        <f t="shared" si="2536"/>
        <v>3.7390854061389589E-2</v>
      </c>
      <c r="BF245" s="180">
        <f t="shared" si="2536"/>
        <v>3.2187483047322885E-2</v>
      </c>
      <c r="BG245" s="180">
        <f t="shared" si="2536"/>
        <v>2.3930274736347141E-2</v>
      </c>
      <c r="BH245" s="180">
        <f t="shared" si="2536"/>
        <v>-2.4803556488787563E-2</v>
      </c>
      <c r="BI245" s="180">
        <f t="shared" si="2536"/>
        <v>2.9351201176663035E-2</v>
      </c>
      <c r="BJ245" s="180">
        <f t="shared" si="2536"/>
        <v>6.6971541476783927E-2</v>
      </c>
      <c r="BK245" s="180">
        <f t="shared" si="2536"/>
        <v>4.4071005917159733E-2</v>
      </c>
      <c r="BL245" s="180">
        <f t="shared" si="2536"/>
        <v>4.9066354938936213E-2</v>
      </c>
      <c r="BM245" s="180">
        <f t="shared" si="2536"/>
        <v>0.10061092583301379</v>
      </c>
      <c r="BN245" s="180">
        <f t="shared" si="2536"/>
        <v>4.7224623897630956E-2</v>
      </c>
      <c r="BO245" s="180">
        <f t="shared" si="2536"/>
        <v>4.1698528379032193E-2</v>
      </c>
      <c r="BP245" s="180">
        <f t="shared" si="2536"/>
        <v>5.3768770957865468E-2</v>
      </c>
      <c r="BQ245" s="180">
        <f t="shared" si="2536"/>
        <v>9.1086765523300302E-3</v>
      </c>
      <c r="BR245" s="180">
        <f t="shared" si="2536"/>
        <v>2.5571686118227639E-2</v>
      </c>
      <c r="BS245" s="180">
        <f t="shared" si="2536"/>
        <v>-5.2819026922613765E-3</v>
      </c>
      <c r="BT245" s="180">
        <f t="shared" si="2536"/>
        <v>1.3667698473225158E-2</v>
      </c>
      <c r="BU245" s="180">
        <f t="shared" si="2536"/>
        <v>-2.043623501670257E-2</v>
      </c>
      <c r="BV245" s="180">
        <f t="shared" si="2536"/>
        <v>3.3781279598083996E-2</v>
      </c>
      <c r="BW245" s="180">
        <f t="shared" si="2536"/>
        <v>1.0281706132438515E-2</v>
      </c>
      <c r="BX245" s="180">
        <f t="shared" si="2536"/>
        <v>5.2013575543273411E-5</v>
      </c>
      <c r="BY245" s="180">
        <f t="shared" si="2536"/>
        <v>2.4310317448860301E-2</v>
      </c>
      <c r="BZ245" s="180">
        <f t="shared" si="2536"/>
        <v>5.3648360618566045E-2</v>
      </c>
      <c r="CA245" s="180">
        <f t="shared" si="2536"/>
        <v>2.6668811323789648E-2</v>
      </c>
      <c r="CB245" s="180">
        <f t="shared" si="2536"/>
        <v>4.871090448013525E-2</v>
      </c>
      <c r="CC245" s="180">
        <f t="shared" si="2536"/>
        <v>-7.3261226044755046E-2</v>
      </c>
      <c r="CD245" s="180">
        <f t="shared" si="2536"/>
        <v>4.2663738280993832E-2</v>
      </c>
      <c r="CE245" s="180">
        <f t="shared" si="2536"/>
        <v>1.4168425991086239E-2</v>
      </c>
      <c r="CF245" s="180">
        <f t="shared" si="2536"/>
        <v>1.5601532567049787E-2</v>
      </c>
      <c r="CG245" s="180">
        <f t="shared" si="2536"/>
        <v>1.9108074494031766E-2</v>
      </c>
      <c r="CH245" s="180">
        <f t="shared" si="2536"/>
        <v>4.1775285688521666E-2</v>
      </c>
      <c r="CI245" s="180">
        <f t="shared" si="2536"/>
        <v>4.0278980121849592E-2</v>
      </c>
      <c r="CJ245" s="180">
        <f t="shared" si="2536"/>
        <v>5.8857426408208201E-2</v>
      </c>
      <c r="CK245" s="181">
        <f t="shared" si="2536"/>
        <v>4.8673134999678742E-2</v>
      </c>
      <c r="CL245" s="180">
        <f t="shared" ref="CL245" si="2537">+CL42</f>
        <v>4.175501549502534E-2</v>
      </c>
      <c r="CM245" s="181">
        <f t="shared" si="2536"/>
        <v>5.4531650288537077E-2</v>
      </c>
      <c r="CN245" s="181">
        <f t="shared" si="2536"/>
        <v>6.0033268884198673E-2</v>
      </c>
      <c r="CO245" s="181">
        <f t="shared" si="2536"/>
        <v>6.0502251828517054E-2</v>
      </c>
      <c r="CP245" s="181">
        <f t="shared" si="2536"/>
        <v>6.217995298465382E-2</v>
      </c>
      <c r="CQ245" s="181">
        <f t="shared" si="2536"/>
        <v>6.8804880044171984E-2</v>
      </c>
      <c r="CR245" s="181">
        <f t="shared" si="2536"/>
        <v>7.3304249616217843E-2</v>
      </c>
      <c r="CS245" s="181">
        <f t="shared" si="2536"/>
        <v>7.5792245538197314E-2</v>
      </c>
      <c r="CT245" s="181">
        <f t="shared" si="2536"/>
        <v>8.0333563812569245E-2</v>
      </c>
      <c r="CU245" s="181">
        <f t="shared" si="2536"/>
        <v>8.6879499235613653E-2</v>
      </c>
      <c r="CV245" s="181">
        <f t="shared" si="2536"/>
        <v>9.1894424166613795E-2</v>
      </c>
      <c r="CW245" s="181">
        <f t="shared" si="2536"/>
        <v>9.5728873710218612E-2</v>
      </c>
      <c r="CX245" s="181">
        <f t="shared" ref="CX245:DA245" si="2538">+CX42</f>
        <v>0.10195060104740761</v>
      </c>
      <c r="CY245" s="181">
        <f t="shared" si="2538"/>
        <v>0.11002684949556422</v>
      </c>
      <c r="CZ245" s="181">
        <f t="shared" si="2538"/>
        <v>0.11574920053396044</v>
      </c>
      <c r="DA245" s="181">
        <f t="shared" si="2538"/>
        <v>0.12091532286900354</v>
      </c>
      <c r="DD245" s="137"/>
      <c r="DE245" s="83">
        <v>4.7464779036287909E-2</v>
      </c>
    </row>
    <row r="246" spans="1:109" s="83" customFormat="1" x14ac:dyDescent="0.2">
      <c r="A246" s="83" t="s">
        <v>515</v>
      </c>
      <c r="E246" s="83">
        <f>(E161+E148+E138+E140)/E120</f>
        <v>1.6112630769390284</v>
      </c>
      <c r="F246" s="83">
        <f t="shared" ref="F246:AE246" si="2539">(F161+F148+F138+F140)/F120</f>
        <v>1.5689834579630837</v>
      </c>
      <c r="G246" s="83">
        <f t="shared" si="2539"/>
        <v>1.5592033783749446</v>
      </c>
      <c r="H246" s="83">
        <f t="shared" si="2539"/>
        <v>1.6221288263887306</v>
      </c>
      <c r="I246" s="83">
        <f t="shared" si="2539"/>
        <v>1.8173487254730789</v>
      </c>
      <c r="J246" s="83">
        <f t="shared" si="2539"/>
        <v>1.7445143599951254</v>
      </c>
      <c r="K246" s="83">
        <f t="shared" si="2539"/>
        <v>1.6967963224866873</v>
      </c>
      <c r="L246" s="83">
        <f t="shared" si="2539"/>
        <v>1.9770752826726852</v>
      </c>
      <c r="M246" s="83">
        <f t="shared" si="2539"/>
        <v>1.5760576131512034</v>
      </c>
      <c r="N246" s="83">
        <f t="shared" si="2539"/>
        <v>1.7013251063076931</v>
      </c>
      <c r="O246" s="83">
        <f t="shared" si="2539"/>
        <v>1.6952050158863872</v>
      </c>
      <c r="P246" s="83">
        <f t="shared" si="2539"/>
        <v>1.5509298108659146</v>
      </c>
      <c r="Q246" s="83">
        <f t="shared" si="2539"/>
        <v>2.6654276991668806</v>
      </c>
      <c r="R246" s="83">
        <f t="shared" si="2539"/>
        <v>2.8024084096185562</v>
      </c>
      <c r="S246" s="83">
        <f t="shared" si="2539"/>
        <v>2.5947155715342052</v>
      </c>
      <c r="T246" s="83">
        <f t="shared" si="2539"/>
        <v>2.5985684247298946</v>
      </c>
      <c r="U246" s="83">
        <f t="shared" si="2539"/>
        <v>2.1622427762242777</v>
      </c>
      <c r="V246" s="83">
        <f t="shared" si="2539"/>
        <v>2.0591834333450993</v>
      </c>
      <c r="W246" s="83">
        <f t="shared" si="2539"/>
        <v>3.231516203055913</v>
      </c>
      <c r="X246" s="83">
        <f t="shared" si="2539"/>
        <v>2.9842263792010151</v>
      </c>
      <c r="Y246" s="83">
        <f t="shared" si="2539"/>
        <v>2.2574535403230009</v>
      </c>
      <c r="Z246" s="83">
        <f t="shared" si="2539"/>
        <v>2.1448619664027482</v>
      </c>
      <c r="AA246" s="83">
        <f t="shared" ref="AA246" si="2540">(AA161+AA148+AA138+AA140)/AA120</f>
        <v>2.015098219600628</v>
      </c>
      <c r="AB246" s="49">
        <f t="shared" si="2539"/>
        <v>1.5241676038981191</v>
      </c>
      <c r="AC246" s="49">
        <f t="shared" si="2539"/>
        <v>1.4650998750384772</v>
      </c>
      <c r="AD246" s="49">
        <f t="shared" si="2539"/>
        <v>1.4071822375461198</v>
      </c>
      <c r="AE246" s="49">
        <f t="shared" si="2539"/>
        <v>1.3520794200536366</v>
      </c>
      <c r="AL246" s="83">
        <f t="shared" ref="AL246:CW246" si="2541">(AL161+AL148+AL138+AL140)/AL120</f>
        <v>1.6880788408070342</v>
      </c>
      <c r="AM246" s="83">
        <f t="shared" si="2541"/>
        <v>1.7002128543245769</v>
      </c>
      <c r="AN246" s="83">
        <f t="shared" si="2541"/>
        <v>1.6839676462384949</v>
      </c>
      <c r="AO246" s="83">
        <f t="shared" si="2541"/>
        <v>1.6952405322415558</v>
      </c>
      <c r="AP246" s="83">
        <f t="shared" si="2541"/>
        <v>1.6556963084947669</v>
      </c>
      <c r="AQ246" s="83">
        <f t="shared" si="2541"/>
        <v>1.6599826449963646</v>
      </c>
      <c r="AR246" s="83">
        <f t="shared" si="2541"/>
        <v>1.6201694038192511</v>
      </c>
      <c r="AS246" s="83">
        <f t="shared" si="2541"/>
        <v>1.5509269049129486</v>
      </c>
      <c r="AT246" s="83">
        <f t="shared" si="2541"/>
        <v>1.657880665284261</v>
      </c>
      <c r="AU246" s="83">
        <f t="shared" si="2541"/>
        <v>2.8502929768094414</v>
      </c>
      <c r="AV246" s="83">
        <f t="shared" si="2541"/>
        <v>2.7779720984114333</v>
      </c>
      <c r="AW246" s="83">
        <f t="shared" si="2541"/>
        <v>2.6654490204952479</v>
      </c>
      <c r="AX246" s="83">
        <f t="shared" si="2541"/>
        <v>2.5760344787545937</v>
      </c>
      <c r="AY246" s="83">
        <f t="shared" si="2541"/>
        <v>2.5479194910835332</v>
      </c>
      <c r="AZ246" s="83">
        <f t="shared" si="2541"/>
        <v>2.4957240965492664</v>
      </c>
      <c r="BA246" s="83">
        <f t="shared" si="2541"/>
        <v>2.4365812218364487</v>
      </c>
      <c r="BB246" s="83">
        <f t="shared" si="2541"/>
        <v>2.3919775826596821</v>
      </c>
      <c r="BC246" s="83">
        <f t="shared" si="2541"/>
        <v>2.8730811458229359</v>
      </c>
      <c r="BD246" s="83">
        <f t="shared" si="2541"/>
        <v>2.7896911117169241</v>
      </c>
      <c r="BE246" s="83">
        <f t="shared" si="2541"/>
        <v>2.5946964867867481</v>
      </c>
      <c r="BF246" s="83">
        <f t="shared" si="2541"/>
        <v>2.5344129128952719</v>
      </c>
      <c r="BG246" s="83">
        <f t="shared" si="2541"/>
        <v>2.774520044663761</v>
      </c>
      <c r="BH246" s="83">
        <f t="shared" si="2541"/>
        <v>2.8442618443321517</v>
      </c>
      <c r="BI246" s="83">
        <f t="shared" si="2541"/>
        <v>2.5985659861989649</v>
      </c>
      <c r="BJ246" s="83">
        <f t="shared" si="2541"/>
        <v>2.5006120910048395</v>
      </c>
      <c r="BK246" s="83">
        <f t="shared" si="2541"/>
        <v>2.7072730915648169</v>
      </c>
      <c r="BL246" s="83">
        <f t="shared" si="2541"/>
        <v>2.6399269682296369</v>
      </c>
      <c r="BM246" s="83">
        <f t="shared" si="2541"/>
        <v>2.1622427762242777</v>
      </c>
      <c r="BN246" s="83">
        <f t="shared" si="2541"/>
        <v>2.0315217745355953</v>
      </c>
      <c r="BO246" s="83">
        <f t="shared" si="2541"/>
        <v>2.3631432965343002</v>
      </c>
      <c r="BP246" s="83">
        <f t="shared" si="2541"/>
        <v>2.3404159417985273</v>
      </c>
      <c r="BQ246" s="83">
        <f t="shared" si="2541"/>
        <v>2.0591834333450993</v>
      </c>
      <c r="BR246" s="83">
        <f t="shared" si="2541"/>
        <v>2.1074701263791686</v>
      </c>
      <c r="BS246" s="83">
        <f t="shared" si="2541"/>
        <v>2.3684071416299934</v>
      </c>
      <c r="BT246" s="83">
        <f t="shared" si="2541"/>
        <v>2.4154248069854471</v>
      </c>
      <c r="BU246" s="83">
        <f t="shared" si="2541"/>
        <v>2.5047853584821174</v>
      </c>
      <c r="BV246" s="83">
        <f t="shared" si="2541"/>
        <v>2.5332211616960301</v>
      </c>
      <c r="BW246" s="83">
        <f t="shared" si="2541"/>
        <v>2.6733992206776596</v>
      </c>
      <c r="BX246" s="83">
        <f t="shared" si="2541"/>
        <v>2.6485677075635747</v>
      </c>
      <c r="BY246" s="83">
        <f t="shared" si="2541"/>
        <v>2.2752192982456139</v>
      </c>
      <c r="BZ246" s="83">
        <f t="shared" si="2541"/>
        <v>2.190960559948588</v>
      </c>
      <c r="CA246" s="83">
        <f t="shared" si="2541"/>
        <v>2.1866829859183365</v>
      </c>
      <c r="CB246" s="83">
        <f t="shared" si="2541"/>
        <v>2.1763622222988905</v>
      </c>
      <c r="CC246" s="83">
        <f t="shared" si="2541"/>
        <v>1.7234932114110879</v>
      </c>
      <c r="CD246" s="83">
        <f t="shared" si="2541"/>
        <v>1.7116914742490075</v>
      </c>
      <c r="CE246" s="83">
        <f t="shared" si="2541"/>
        <v>1.7171071073621982</v>
      </c>
      <c r="CF246" s="83">
        <f t="shared" si="2541"/>
        <v>1.7188471432107422</v>
      </c>
      <c r="CG246" s="83">
        <f t="shared" si="2541"/>
        <v>2.1448619664027482</v>
      </c>
      <c r="CH246" s="83">
        <f t="shared" si="2541"/>
        <v>2.1145071884834659</v>
      </c>
      <c r="CI246" s="83">
        <f t="shared" si="2541"/>
        <v>1.603374944089782</v>
      </c>
      <c r="CJ246" s="83">
        <f t="shared" si="2541"/>
        <v>1.5935608742985365</v>
      </c>
      <c r="CK246" s="49">
        <f t="shared" si="2541"/>
        <v>1.5804441571989252</v>
      </c>
      <c r="CL246" s="83">
        <f t="shared" ref="CL246" si="2542">(CL161+CL148+CL138+CL140)/CL120</f>
        <v>1.5636460154851932</v>
      </c>
      <c r="CM246" s="49">
        <f t="shared" si="2541"/>
        <v>1.5387546100638807</v>
      </c>
      <c r="CN246" s="49">
        <f t="shared" si="2541"/>
        <v>1.5364194302051497</v>
      </c>
      <c r="CO246" s="49">
        <f t="shared" si="2541"/>
        <v>1.5241676038981191</v>
      </c>
      <c r="CP246" s="49">
        <f t="shared" si="2541"/>
        <v>1.5028353358608564</v>
      </c>
      <c r="CQ246" s="49">
        <f t="shared" si="2541"/>
        <v>1.4794430552572992</v>
      </c>
      <c r="CR246" s="49">
        <f t="shared" si="2541"/>
        <v>1.4770301717163818</v>
      </c>
      <c r="CS246" s="49">
        <f t="shared" si="2541"/>
        <v>1.4650998750384772</v>
      </c>
      <c r="CT246" s="49">
        <f t="shared" si="2541"/>
        <v>1.4442251787291671</v>
      </c>
      <c r="CU246" s="49">
        <f t="shared" si="2541"/>
        <v>1.4221527916932817</v>
      </c>
      <c r="CV246" s="49">
        <f t="shared" si="2541"/>
        <v>1.4189235509755067</v>
      </c>
      <c r="CW246" s="49">
        <f t="shared" si="2541"/>
        <v>1.4071822375461198</v>
      </c>
      <c r="CX246" s="49">
        <f t="shared" ref="CX246:DA246" si="2543">(CX161+CX148+CX138+CX140)/CX120</f>
        <v>1.3876136216192978</v>
      </c>
      <c r="CY246" s="49">
        <f t="shared" si="2543"/>
        <v>1.3672172883003626</v>
      </c>
      <c r="CZ246" s="49">
        <f t="shared" si="2543"/>
        <v>1.3633328100142474</v>
      </c>
      <c r="DA246" s="49">
        <f t="shared" si="2543"/>
        <v>1.3520794200536366</v>
      </c>
      <c r="DD246" s="137"/>
      <c r="DE246" s="83">
        <v>1.5804441571989252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44">B161/B120</f>
        <v>#DIV/0!</v>
      </c>
      <c r="C248" s="87" t="e">
        <f t="shared" si="2544"/>
        <v>#DIV/0!</v>
      </c>
      <c r="D248" s="87">
        <f t="shared" si="2544"/>
        <v>8.6064585204966973E-2</v>
      </c>
      <c r="F248" s="87">
        <f t="shared" si="2544"/>
        <v>0.12438446421091098</v>
      </c>
      <c r="G248" s="87">
        <f t="shared" si="2544"/>
        <v>0.11064940212723788</v>
      </c>
      <c r="H248" s="87">
        <f t="shared" si="2544"/>
        <v>6.9582725225496883E-2</v>
      </c>
      <c r="I248" s="87">
        <f t="shared" si="2544"/>
        <v>7.3387283605742759E-2</v>
      </c>
      <c r="J248" s="87">
        <f t="shared" si="2544"/>
        <v>0.11901287727992853</v>
      </c>
      <c r="K248" s="87">
        <f t="shared" si="2544"/>
        <v>0.13423359458726808</v>
      </c>
      <c r="L248" s="87">
        <f t="shared" si="2544"/>
        <v>0.17124427741901213</v>
      </c>
      <c r="M248" s="87">
        <f t="shared" si="2544"/>
        <v>0.26046041741617265</v>
      </c>
      <c r="N248" s="87">
        <f t="shared" si="2544"/>
        <v>0.21168063349074065</v>
      </c>
      <c r="O248" s="87">
        <f t="shared" si="2544"/>
        <v>0.18063501023397013</v>
      </c>
      <c r="P248" s="87">
        <f t="shared" si="2544"/>
        <v>0.34889273825907824</v>
      </c>
      <c r="Q248" s="87">
        <f t="shared" si="2544"/>
        <v>0.3588116903016581</v>
      </c>
      <c r="R248" s="87">
        <f t="shared" si="2544"/>
        <v>0.44405049887334713</v>
      </c>
      <c r="S248" s="87">
        <f t="shared" si="2544"/>
        <v>0.33181894344213625</v>
      </c>
      <c r="T248" s="87">
        <f t="shared" si="2544"/>
        <v>0.12378802464572268</v>
      </c>
      <c r="U248" s="87">
        <f t="shared" si="2544"/>
        <v>0.15117229511722952</v>
      </c>
      <c r="V248" s="87">
        <f t="shared" si="2544"/>
        <v>0.11172556248447529</v>
      </c>
      <c r="W248" s="87">
        <f t="shared" si="2544"/>
        <v>4.5908658420551841E-2</v>
      </c>
      <c r="X248" s="87">
        <f t="shared" si="2544"/>
        <v>5.7043965335024302E-2</v>
      </c>
      <c r="Y248" s="87">
        <f t="shared" si="2544"/>
        <v>0.34053335187664069</v>
      </c>
      <c r="Z248" s="87">
        <f t="shared" si="2544"/>
        <v>0.27435800762431406</v>
      </c>
      <c r="AA248" s="87">
        <f t="shared" ref="AA248" si="2545">AA161/AA120</f>
        <v>0.38130542005210549</v>
      </c>
      <c r="AB248" s="41">
        <f t="shared" si="2544"/>
        <v>0.33249943616071259</v>
      </c>
      <c r="AC248" s="41">
        <f t="shared" si="2544"/>
        <v>0.40588798267077236</v>
      </c>
      <c r="AD248" s="41">
        <f t="shared" si="2544"/>
        <v>0.47813167145279567</v>
      </c>
      <c r="AE248" s="41">
        <f t="shared" si="2544"/>
        <v>0.54722283006222749</v>
      </c>
      <c r="AL248" s="87">
        <f t="shared" ref="AL248:CW248" si="2546">AL161/AL120</f>
        <v>0.22976754344306868</v>
      </c>
      <c r="AM248" s="87">
        <f t="shared" si="2546"/>
        <v>0.14110684248779981</v>
      </c>
      <c r="AN248" s="87">
        <f t="shared" si="2546"/>
        <v>0.23519360257898825</v>
      </c>
      <c r="AO248" s="87">
        <f t="shared" si="2546"/>
        <v>0.18062947799385876</v>
      </c>
      <c r="AP248" s="87">
        <f t="shared" si="2546"/>
        <v>0.22568991105558556</v>
      </c>
      <c r="AQ248" s="87">
        <f t="shared" si="2546"/>
        <v>0.15265367386664791</v>
      </c>
      <c r="AR248" s="87">
        <f t="shared" si="2546"/>
        <v>0.19720752235426733</v>
      </c>
      <c r="AS248" s="87">
        <f t="shared" si="2546"/>
        <v>0.3488933530697117</v>
      </c>
      <c r="AT248" s="87">
        <f t="shared" si="2546"/>
        <v>0.2482641834461975</v>
      </c>
      <c r="AU248" s="87">
        <f t="shared" si="2546"/>
        <v>0.27582735000412645</v>
      </c>
      <c r="AV248" s="87">
        <f t="shared" si="2546"/>
        <v>0.31739749595003314</v>
      </c>
      <c r="AW248" s="87">
        <f t="shared" si="2546"/>
        <v>0.35881231007952419</v>
      </c>
      <c r="AX248" s="87">
        <f t="shared" si="2546"/>
        <v>0.39446383842448296</v>
      </c>
      <c r="AY248" s="87">
        <f t="shared" si="2546"/>
        <v>0.29271635653948724</v>
      </c>
      <c r="AZ248" s="87">
        <f t="shared" si="2546"/>
        <v>0.32220931392314545</v>
      </c>
      <c r="BA248" s="87">
        <f t="shared" si="2546"/>
        <v>0.33407697421880778</v>
      </c>
      <c r="BB248" s="87">
        <f t="shared" si="2546"/>
        <v>0.36049654159348299</v>
      </c>
      <c r="BC248" s="87">
        <f t="shared" si="2546"/>
        <v>0.39870246531589976</v>
      </c>
      <c r="BD248" s="87">
        <f t="shared" si="2546"/>
        <v>0.43420844514677892</v>
      </c>
      <c r="BE248" s="87">
        <f t="shared" si="2546"/>
        <v>0.33181561549529198</v>
      </c>
      <c r="BF248" s="87">
        <f t="shared" si="2546"/>
        <v>0.36266006120705341</v>
      </c>
      <c r="BG248" s="87">
        <f t="shared" si="2546"/>
        <v>0.19412527464611173</v>
      </c>
      <c r="BH248" s="87">
        <f t="shared" si="2546"/>
        <v>0.15650391811696698</v>
      </c>
      <c r="BI248" s="87">
        <f t="shared" si="2546"/>
        <v>0.12377803335250143</v>
      </c>
      <c r="BJ248" s="87">
        <f t="shared" si="2546"/>
        <v>0.16867421708881347</v>
      </c>
      <c r="BK248" s="87">
        <f t="shared" si="2546"/>
        <v>0.20323248513991854</v>
      </c>
      <c r="BL248" s="87">
        <f t="shared" si="2546"/>
        <v>0.22556050354171023</v>
      </c>
      <c r="BM248" s="87">
        <f t="shared" si="2546"/>
        <v>0.15117229511722952</v>
      </c>
      <c r="BN248" s="87">
        <f t="shared" si="2546"/>
        <v>0.2581744740975786</v>
      </c>
      <c r="BO248" s="87">
        <f t="shared" si="2546"/>
        <v>5.5116164112703911E-2</v>
      </c>
      <c r="BP248" s="87">
        <f t="shared" si="2546"/>
        <v>5.7351669033210123E-2</v>
      </c>
      <c r="BQ248" s="87">
        <f t="shared" si="2546"/>
        <v>0.11172556248447531</v>
      </c>
      <c r="BR248" s="87">
        <f t="shared" si="2546"/>
        <v>6.9683097646053585E-2</v>
      </c>
      <c r="BS248" s="87">
        <f t="shared" si="2546"/>
        <v>7.7640777597166602E-2</v>
      </c>
      <c r="BT248" s="87">
        <f t="shared" si="2546"/>
        <v>4.4368948029687785E-2</v>
      </c>
      <c r="BU248" s="87">
        <f t="shared" si="2546"/>
        <v>4.5908658420551841E-2</v>
      </c>
      <c r="BV248" s="87">
        <f t="shared" si="2546"/>
        <v>2.2480701549802931E-2</v>
      </c>
      <c r="BW248" s="87">
        <f t="shared" si="2546"/>
        <v>1.8633624118543288E-2</v>
      </c>
      <c r="BX248" s="87">
        <f t="shared" si="2546"/>
        <v>4.3008840786675537E-2</v>
      </c>
      <c r="BY248" s="87">
        <f t="shared" si="2546"/>
        <v>5.7043965335024302E-2</v>
      </c>
      <c r="BZ248" s="87">
        <f t="shared" si="2546"/>
        <v>0.1264671126876791</v>
      </c>
      <c r="CA248" s="87">
        <f t="shared" si="2546"/>
        <v>6.5070913036894967E-2</v>
      </c>
      <c r="CB248" s="87">
        <f t="shared" si="2546"/>
        <v>6.4889643542763276E-2</v>
      </c>
      <c r="CC248" s="87">
        <f t="shared" si="2546"/>
        <v>0.34053335187664074</v>
      </c>
      <c r="CD248" s="87">
        <f t="shared" si="2546"/>
        <v>0.3519447146437773</v>
      </c>
      <c r="CE248" s="87">
        <f t="shared" si="2546"/>
        <v>0.27154421820714736</v>
      </c>
      <c r="CF248" s="87">
        <f t="shared" si="2546"/>
        <v>0.27185508751922022</v>
      </c>
      <c r="CG248" s="87">
        <f t="shared" si="2546"/>
        <v>0.27435800762431406</v>
      </c>
      <c r="CH248" s="87">
        <f t="shared" si="2546"/>
        <v>0.29408232082978797</v>
      </c>
      <c r="CI248" s="87">
        <f t="shared" si="2546"/>
        <v>0.22833326556337169</v>
      </c>
      <c r="CJ248" s="87">
        <f t="shared" si="2546"/>
        <v>0.24372106048689895</v>
      </c>
      <c r="CK248" s="41">
        <f t="shared" si="2546"/>
        <v>0.26224176064529953</v>
      </c>
      <c r="CL248" s="87">
        <f t="shared" ref="CL248" si="2547">CL161/CL120</f>
        <v>0.28158933479497406</v>
      </c>
      <c r="CM248" s="41">
        <f t="shared" si="2546"/>
        <v>0.30612370309180192</v>
      </c>
      <c r="CN248" s="41">
        <f t="shared" si="2546"/>
        <v>0.31587967375793008</v>
      </c>
      <c r="CO248" s="41">
        <f t="shared" si="2546"/>
        <v>0.33249943616071259</v>
      </c>
      <c r="CP248" s="41">
        <f t="shared" si="2546"/>
        <v>0.35537865043161898</v>
      </c>
      <c r="CQ248" s="41">
        <f t="shared" si="2546"/>
        <v>0.37993330360684452</v>
      </c>
      <c r="CR248" s="41">
        <f t="shared" si="2546"/>
        <v>0.38953864884072981</v>
      </c>
      <c r="CS248" s="41">
        <f t="shared" si="2546"/>
        <v>0.40588798267077236</v>
      </c>
      <c r="CT248" s="41">
        <f t="shared" si="2546"/>
        <v>0.42857388296794763</v>
      </c>
      <c r="CU248" s="41">
        <f t="shared" si="2546"/>
        <v>0.45208458289562864</v>
      </c>
      <c r="CV248" s="41">
        <f t="shared" si="2546"/>
        <v>0.46209337818129848</v>
      </c>
      <c r="CW248" s="41">
        <f t="shared" si="2546"/>
        <v>0.47813167145279567</v>
      </c>
      <c r="CX248" s="41">
        <f t="shared" ref="CX248:DA248" si="2548">CX161/CX120</f>
        <v>0.49968688542898487</v>
      </c>
      <c r="CY248" s="41">
        <f t="shared" si="2548"/>
        <v>0.52173817696412583</v>
      </c>
      <c r="CZ248" s="41">
        <f t="shared" si="2548"/>
        <v>0.53188882445478047</v>
      </c>
      <c r="DA248" s="41">
        <f t="shared" si="2548"/>
        <v>0.54722283006222749</v>
      </c>
      <c r="DD248" s="124"/>
      <c r="DE248" s="87">
        <v>0.26224176064529953</v>
      </c>
    </row>
    <row r="249" spans="1:109" s="88" customFormat="1" x14ac:dyDescent="0.2">
      <c r="A249" s="88" t="s">
        <v>103</v>
      </c>
      <c r="C249" s="88" t="e">
        <f t="shared" ref="C249:AE249" si="2549">C128/B128-1</f>
        <v>#DIV/0!</v>
      </c>
      <c r="D249" s="88" t="e">
        <f t="shared" si="2549"/>
        <v>#DIV/0!</v>
      </c>
      <c r="F249" s="88">
        <f t="shared" si="2549"/>
        <v>0.26853006507930322</v>
      </c>
      <c r="G249" s="88">
        <f t="shared" si="2549"/>
        <v>0.25144577480473385</v>
      </c>
      <c r="H249" s="88">
        <f t="shared" si="2549"/>
        <v>1.0726739369242764</v>
      </c>
      <c r="I249" s="88">
        <f t="shared" si="2549"/>
        <v>0.98834888788876518</v>
      </c>
      <c r="J249" s="88">
        <f t="shared" si="2549"/>
        <v>-0.25818830533537251</v>
      </c>
      <c r="K249" s="88">
        <f>K128/J128-1</f>
        <v>-0.519524082914119</v>
      </c>
      <c r="L249" s="88">
        <f t="shared" si="2549"/>
        <v>-5.8666978621355281E-2</v>
      </c>
      <c r="M249" s="88">
        <f t="shared" si="2549"/>
        <v>-1.712758922191282E-2</v>
      </c>
      <c r="N249" s="88">
        <f t="shared" si="2549"/>
        <v>1.3419462632648451</v>
      </c>
      <c r="O249" s="88">
        <f t="shared" si="2549"/>
        <v>-0.10910216264577033</v>
      </c>
      <c r="P249" s="88">
        <f t="shared" si="2549"/>
        <v>-9.2377083419003969E-2</v>
      </c>
      <c r="Q249" s="88">
        <f t="shared" si="2549"/>
        <v>11.605917602817632</v>
      </c>
      <c r="R249" s="88">
        <f t="shared" si="2549"/>
        <v>-0.17621635118762169</v>
      </c>
      <c r="S249" s="88">
        <f t="shared" si="2549"/>
        <v>-6.8308374976520536E-2</v>
      </c>
      <c r="T249" s="88">
        <f t="shared" si="2549"/>
        <v>-6.4711694563560629E-3</v>
      </c>
      <c r="U249" s="88">
        <f t="shared" si="2549"/>
        <v>-0.32376197711556942</v>
      </c>
      <c r="V249" s="88">
        <f t="shared" si="2549"/>
        <v>-9.1012472487160712E-2</v>
      </c>
      <c r="W249" s="88">
        <f t="shared" si="2549"/>
        <v>0.40728035836797272</v>
      </c>
      <c r="X249" s="88">
        <f t="shared" si="2549"/>
        <v>4.1237704682974607E-2</v>
      </c>
      <c r="Y249" s="88">
        <f t="shared" si="2549"/>
        <v>-0.4491723815032086</v>
      </c>
      <c r="Z249" s="88">
        <f t="shared" si="2549"/>
        <v>-0.5</v>
      </c>
      <c r="AA249" s="88">
        <f t="shared" si="2549"/>
        <v>0</v>
      </c>
      <c r="AB249" s="46">
        <f t="shared" si="2549"/>
        <v>4.3800000000000061E-2</v>
      </c>
      <c r="AC249" s="46">
        <f t="shared" si="2549"/>
        <v>0</v>
      </c>
      <c r="AD249" s="46">
        <f t="shared" si="2549"/>
        <v>0</v>
      </c>
      <c r="AE249" s="46">
        <f t="shared" si="2549"/>
        <v>0</v>
      </c>
      <c r="AL249" s="88">
        <f t="shared" ref="AL249:CW249" si="2550">AL128/AK128-1</f>
        <v>0</v>
      </c>
      <c r="AM249" s="88">
        <f t="shared" si="2550"/>
        <v>-1.490066225165565E-2</v>
      </c>
      <c r="AN249" s="88">
        <f t="shared" si="2550"/>
        <v>0</v>
      </c>
      <c r="AO249" s="88">
        <f t="shared" si="2550"/>
        <v>-0.14915966386554624</v>
      </c>
      <c r="AP249" s="88">
        <f t="shared" si="2550"/>
        <v>0</v>
      </c>
      <c r="AQ249" s="88">
        <f t="shared" si="2550"/>
        <v>0.14444444444444438</v>
      </c>
      <c r="AR249" s="88">
        <f t="shared" si="2550"/>
        <v>0</v>
      </c>
      <c r="AS249" s="88">
        <f t="shared" si="2550"/>
        <v>-0.18597626752966567</v>
      </c>
      <c r="AT249" s="88">
        <f t="shared" si="2550"/>
        <v>0</v>
      </c>
      <c r="AU249" s="88">
        <f t="shared" si="2550"/>
        <v>13.374238006891071</v>
      </c>
      <c r="AV249" s="88">
        <f t="shared" si="2550"/>
        <v>0</v>
      </c>
      <c r="AW249" s="88">
        <f t="shared" si="2550"/>
        <v>-0.10246339934358528</v>
      </c>
      <c r="AX249" s="88">
        <f t="shared" si="2550"/>
        <v>0</v>
      </c>
      <c r="AY249" s="88">
        <f t="shared" si="2550"/>
        <v>-0.11861864946483958</v>
      </c>
      <c r="AZ249" s="88">
        <f t="shared" si="2550"/>
        <v>0</v>
      </c>
      <c r="BA249" s="88">
        <f t="shared" si="2550"/>
        <v>-4.8131832272801489E-2</v>
      </c>
      <c r="BB249" s="88">
        <f t="shared" si="2550"/>
        <v>0</v>
      </c>
      <c r="BC249" s="88">
        <f t="shared" si="2550"/>
        <v>-2.693569714481614E-2</v>
      </c>
      <c r="BD249" s="88">
        <f t="shared" si="2550"/>
        <v>0</v>
      </c>
      <c r="BE249" s="88">
        <f t="shared" si="2550"/>
        <v>-7.9017565051083816E-3</v>
      </c>
      <c r="BF249" s="88">
        <f t="shared" si="2550"/>
        <v>0</v>
      </c>
      <c r="BG249" s="88">
        <f t="shared" si="2550"/>
        <v>-1.8009334415585165E-3</v>
      </c>
      <c r="BH249" s="88">
        <f t="shared" si="2550"/>
        <v>0</v>
      </c>
      <c r="BI249" s="88">
        <f t="shared" si="2550"/>
        <v>1.5221202957843127E-2</v>
      </c>
      <c r="BJ249" s="88">
        <f t="shared" si="2550"/>
        <v>0</v>
      </c>
      <c r="BK249" s="88">
        <f t="shared" si="2550"/>
        <v>-0.87277232679215055</v>
      </c>
      <c r="BL249" s="88">
        <f t="shared" si="2550"/>
        <v>0</v>
      </c>
      <c r="BM249" s="88">
        <f t="shared" si="2550"/>
        <v>4.2890025575447579</v>
      </c>
      <c r="BN249" s="88">
        <f t="shared" si="2550"/>
        <v>0</v>
      </c>
      <c r="BO249" s="88">
        <f t="shared" si="2550"/>
        <v>-0.42125427763725642</v>
      </c>
      <c r="BP249" s="88">
        <f t="shared" si="2550"/>
        <v>0</v>
      </c>
      <c r="BQ249" s="88">
        <f t="shared" si="2550"/>
        <v>0.58127128992865873</v>
      </c>
      <c r="BR249" s="88">
        <f t="shared" si="2550"/>
        <v>0</v>
      </c>
      <c r="BS249" s="88">
        <f t="shared" si="2550"/>
        <v>0.40047961630695439</v>
      </c>
      <c r="BT249" s="88">
        <f t="shared" si="2550"/>
        <v>0</v>
      </c>
      <c r="BU249" s="88">
        <f t="shared" si="2550"/>
        <v>2.2231251451126255E-2</v>
      </c>
      <c r="BV249" s="88">
        <f t="shared" si="2550"/>
        <v>0</v>
      </c>
      <c r="BW249" s="88">
        <f t="shared" si="2550"/>
        <v>0.41712566009880181</v>
      </c>
      <c r="BX249" s="88">
        <f t="shared" si="2550"/>
        <v>0</v>
      </c>
      <c r="BY249" s="88">
        <f t="shared" si="2550"/>
        <v>-0.26643827383098928</v>
      </c>
      <c r="BZ249" s="88">
        <f t="shared" si="2550"/>
        <v>0</v>
      </c>
      <c r="CA249" s="88">
        <f t="shared" si="2550"/>
        <v>1.780690973644683E-2</v>
      </c>
      <c r="CB249" s="88">
        <f t="shared" si="2550"/>
        <v>0</v>
      </c>
      <c r="CC249" s="88">
        <f t="shared" si="2550"/>
        <v>-0.45541632006869348</v>
      </c>
      <c r="CD249" s="88">
        <f t="shared" si="2550"/>
        <v>0</v>
      </c>
      <c r="CE249" s="88">
        <f t="shared" si="2550"/>
        <v>2.872628726287263E-2</v>
      </c>
      <c r="CF249" s="88">
        <f t="shared" si="2550"/>
        <v>0</v>
      </c>
      <c r="CG249" s="88">
        <f t="shared" si="2550"/>
        <v>-0.52102691828719228</v>
      </c>
      <c r="CH249" s="88">
        <f t="shared" si="2550"/>
        <v>0</v>
      </c>
      <c r="CI249" s="88">
        <f t="shared" si="2550"/>
        <v>4.3800000000000061E-2</v>
      </c>
      <c r="CJ249" s="88">
        <f t="shared" si="2550"/>
        <v>0</v>
      </c>
      <c r="CK249" s="46">
        <f t="shared" si="2550"/>
        <v>0</v>
      </c>
      <c r="CL249" s="88">
        <f t="shared" si="2550"/>
        <v>0</v>
      </c>
      <c r="CM249" s="46">
        <f t="shared" si="2550"/>
        <v>0</v>
      </c>
      <c r="CN249" s="46">
        <f t="shared" si="2550"/>
        <v>0</v>
      </c>
      <c r="CO249" s="46">
        <f t="shared" si="2550"/>
        <v>0</v>
      </c>
      <c r="CP249" s="46">
        <f t="shared" si="2550"/>
        <v>0</v>
      </c>
      <c r="CQ249" s="46">
        <f t="shared" si="2550"/>
        <v>0</v>
      </c>
      <c r="CR249" s="46">
        <f t="shared" si="2550"/>
        <v>0</v>
      </c>
      <c r="CS249" s="46">
        <f t="shared" si="2550"/>
        <v>0</v>
      </c>
      <c r="CT249" s="46">
        <f t="shared" si="2550"/>
        <v>0</v>
      </c>
      <c r="CU249" s="46">
        <f t="shared" si="2550"/>
        <v>0</v>
      </c>
      <c r="CV249" s="46">
        <f t="shared" si="2550"/>
        <v>0</v>
      </c>
      <c r="CW249" s="46">
        <f t="shared" si="2550"/>
        <v>0</v>
      </c>
      <c r="CX249" s="46">
        <f t="shared" ref="CX249:DA249" si="2551">CX128/CW128-1</f>
        <v>0</v>
      </c>
      <c r="CY249" s="46">
        <f t="shared" si="2551"/>
        <v>0</v>
      </c>
      <c r="CZ249" s="46">
        <f t="shared" si="2551"/>
        <v>0</v>
      </c>
      <c r="DA249" s="46">
        <f t="shared" si="2551"/>
        <v>0</v>
      </c>
      <c r="DD249" s="129"/>
      <c r="DE249" s="88">
        <v>4.3800000000000061E-2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>
        <f t="shared" ref="F250:AE250" si="2552">F28/E28-1</f>
        <v>-9.6311606514490222E-2</v>
      </c>
      <c r="G250" s="88">
        <f t="shared" si="2552"/>
        <v>7.5240269739288657E-2</v>
      </c>
      <c r="H250" s="88">
        <f t="shared" si="2552"/>
        <v>6.1600365797882528E-3</v>
      </c>
      <c r="I250" s="88">
        <f t="shared" si="2552"/>
        <v>1.5229459861338279E-2</v>
      </c>
      <c r="J250" s="88">
        <f t="shared" si="2552"/>
        <v>-0.1196642411046801</v>
      </c>
      <c r="K250" s="88">
        <f t="shared" si="2552"/>
        <v>0.44838955058739116</v>
      </c>
      <c r="L250" s="88">
        <f t="shared" si="2552"/>
        <v>-4.3171034136052278E-2</v>
      </c>
      <c r="M250" s="88">
        <f t="shared" si="2552"/>
        <v>0.27260052423177616</v>
      </c>
      <c r="N250" s="88">
        <f t="shared" si="2552"/>
        <v>4.2750616406918907E-2</v>
      </c>
      <c r="O250" s="88">
        <f t="shared" si="2552"/>
        <v>0.27416853942525554</v>
      </c>
      <c r="P250" s="88">
        <f t="shared" si="2552"/>
        <v>3.9830985866593283E-2</v>
      </c>
      <c r="Q250" s="88">
        <f t="shared" si="2552"/>
        <v>0.95965882625949139</v>
      </c>
      <c r="R250" s="88">
        <f t="shared" si="2552"/>
        <v>6.6043458185169879E-2</v>
      </c>
      <c r="S250" s="88">
        <f t="shared" si="2552"/>
        <v>-0.12058263894494059</v>
      </c>
      <c r="T250" s="88">
        <f t="shared" si="2552"/>
        <v>1.3162330717135129E-2</v>
      </c>
      <c r="U250" s="88">
        <f t="shared" si="2552"/>
        <v>0.31958306108290357</v>
      </c>
      <c r="V250" s="88">
        <f t="shared" si="2552"/>
        <v>-0.20312659303313518</v>
      </c>
      <c r="W250" s="88">
        <f t="shared" si="2552"/>
        <v>-0.53160184237461516</v>
      </c>
      <c r="X250" s="88">
        <f t="shared" si="2552"/>
        <v>0.4358554129108585</v>
      </c>
      <c r="Y250" s="88">
        <f t="shared" si="2552"/>
        <v>0.22403297400126809</v>
      </c>
      <c r="Z250" s="88">
        <f t="shared" si="2552"/>
        <v>-0.41786250841838035</v>
      </c>
      <c r="AA250" s="88">
        <f t="shared" si="2552"/>
        <v>0.7048144522559403</v>
      </c>
      <c r="AB250" s="46">
        <f t="shared" si="2552"/>
        <v>-4.1982012329317975E-2</v>
      </c>
      <c r="AC250" s="46">
        <f t="shared" si="2552"/>
        <v>1.2732944562160453E-2</v>
      </c>
      <c r="AD250" s="46">
        <f t="shared" si="2552"/>
        <v>-5.9673455907273132E-3</v>
      </c>
      <c r="AE250" s="46">
        <f t="shared" si="2552"/>
        <v>-8.6906208175011601E-3</v>
      </c>
      <c r="AL250" s="88">
        <f t="shared" ref="AL250:CW250" si="2553">AL28/AK28-1</f>
        <v>0.30604534005037576</v>
      </c>
      <c r="AM250" s="88">
        <f t="shared" si="2553"/>
        <v>0</v>
      </c>
      <c r="AN250" s="88">
        <f t="shared" si="2553"/>
        <v>-0.19864995178399325</v>
      </c>
      <c r="AO250" s="88">
        <f t="shared" si="2553"/>
        <v>8.9851584436422272E-2</v>
      </c>
      <c r="AP250" s="88">
        <f t="shared" si="2553"/>
        <v>0.15936694884063329</v>
      </c>
      <c r="AQ250" s="88">
        <f t="shared" si="2553"/>
        <v>-2.5396825396840628E-3</v>
      </c>
      <c r="AR250" s="88">
        <f t="shared" si="2553"/>
        <v>-0.14258434118395846</v>
      </c>
      <c r="AS250" s="88">
        <f t="shared" si="2553"/>
        <v>6.3845582776541399E-2</v>
      </c>
      <c r="AT250" s="88">
        <f t="shared" si="2553"/>
        <v>0.887997208653172</v>
      </c>
      <c r="AU250" s="88">
        <f t="shared" si="2553"/>
        <v>0.15930511920162926</v>
      </c>
      <c r="AV250" s="88">
        <f t="shared" si="2553"/>
        <v>-0.19878845847282245</v>
      </c>
      <c r="AW250" s="88">
        <f t="shared" si="2553"/>
        <v>0.29546358933545624</v>
      </c>
      <c r="AX250" s="88">
        <f t="shared" si="2553"/>
        <v>0.21271694056212676</v>
      </c>
      <c r="AY250" s="88">
        <f t="shared" si="2553"/>
        <v>-0.24949341438703099</v>
      </c>
      <c r="AZ250" s="88">
        <f t="shared" si="2553"/>
        <v>-6.3111711103614243E-2</v>
      </c>
      <c r="BA250" s="88">
        <f t="shared" si="2553"/>
        <v>-4.5749279538903398E-2</v>
      </c>
      <c r="BB250" s="88">
        <f t="shared" si="2553"/>
        <v>-5.6625141562582915E-4</v>
      </c>
      <c r="BC250" s="88">
        <f t="shared" si="2553"/>
        <v>-0.21926345609065423</v>
      </c>
      <c r="BD250" s="88">
        <f t="shared" si="2553"/>
        <v>0.54233188195452553</v>
      </c>
      <c r="BE250" s="88">
        <f t="shared" si="2553"/>
        <v>-5.3481806775407037E-2</v>
      </c>
      <c r="BF250" s="88">
        <f t="shared" si="2553"/>
        <v>-9.594034797017359E-2</v>
      </c>
      <c r="BG250" s="88">
        <f t="shared" si="2553"/>
        <v>-5.9384164222874514E-2</v>
      </c>
      <c r="BH250" s="88">
        <f t="shared" si="2553"/>
        <v>-1.2665627435697657E-2</v>
      </c>
      <c r="BI250" s="88">
        <f t="shared" si="2553"/>
        <v>0.29800671008486557</v>
      </c>
      <c r="BJ250" s="88">
        <f t="shared" si="2553"/>
        <v>0.32659267143074189</v>
      </c>
      <c r="BK250" s="88">
        <f t="shared" si="2553"/>
        <v>-0.17914040114613261</v>
      </c>
      <c r="BL250" s="88">
        <f t="shared" si="2553"/>
        <v>-7.6096062552359567E-2</v>
      </c>
      <c r="BM250" s="88">
        <f t="shared" si="2553"/>
        <v>-2.1157624301019196E-3</v>
      </c>
      <c r="BN250" s="88">
        <f t="shared" si="2553"/>
        <v>-0.2433742238376515</v>
      </c>
      <c r="BO250" s="88">
        <f t="shared" si="2553"/>
        <v>0.35088070456365217</v>
      </c>
      <c r="BP250" s="88">
        <f t="shared" si="2553"/>
        <v>0.14728107867832096</v>
      </c>
      <c r="BQ250" s="88">
        <f t="shared" si="2553"/>
        <v>-0.54165052305307992</v>
      </c>
      <c r="BR250" s="88">
        <f t="shared" si="2553"/>
        <v>0.19188503803888679</v>
      </c>
      <c r="BS250" s="88">
        <f t="shared" si="2553"/>
        <v>-0.46312056737588925</v>
      </c>
      <c r="BT250" s="88">
        <f t="shared" si="2553"/>
        <v>0.37736679876706147</v>
      </c>
      <c r="BU250" s="88">
        <f t="shared" si="2553"/>
        <v>-0.65313299232736166</v>
      </c>
      <c r="BV250" s="88">
        <f t="shared" si="2553"/>
        <v>3.6737327188939917</v>
      </c>
      <c r="BW250" s="88">
        <f t="shared" si="2553"/>
        <v>-0.31985801617038223</v>
      </c>
      <c r="BX250" s="88">
        <f t="shared" si="2553"/>
        <v>-0.33458973615540677</v>
      </c>
      <c r="BY250" s="88">
        <f t="shared" si="2553"/>
        <v>1.1298474945533736</v>
      </c>
      <c r="BZ250" s="88">
        <f t="shared" si="2553"/>
        <v>4.9099836333878377E-2</v>
      </c>
      <c r="CA250" s="88">
        <f t="shared" si="2553"/>
        <v>-0.22055382215288555</v>
      </c>
      <c r="CB250" s="88">
        <f t="shared" si="2553"/>
        <v>0.14460845634225583</v>
      </c>
      <c r="CC250" s="88">
        <f t="shared" si="2553"/>
        <v>0.26163934426229574</v>
      </c>
      <c r="CD250" s="88">
        <f t="shared" si="2553"/>
        <v>-0.28880803880803996</v>
      </c>
      <c r="CE250" s="88">
        <f t="shared" si="2553"/>
        <v>-0.22143727161997251</v>
      </c>
      <c r="CF250" s="88">
        <f t="shared" si="2553"/>
        <v>-0.43429286608260542</v>
      </c>
      <c r="CG250" s="88">
        <f t="shared" si="2553"/>
        <v>0.4513274336283204</v>
      </c>
      <c r="CH250" s="88">
        <f t="shared" si="2553"/>
        <v>0.47599085365853666</v>
      </c>
      <c r="CI250" s="88">
        <f t="shared" si="2553"/>
        <v>9.9664342886649937E-2</v>
      </c>
      <c r="CJ250" s="88">
        <f t="shared" si="2553"/>
        <v>0.30265320497769288</v>
      </c>
      <c r="CK250" s="46">
        <f t="shared" si="2553"/>
        <v>-2.6315789473682405E-2</v>
      </c>
      <c r="CL250" s="88">
        <f t="shared" si="2553"/>
        <v>-0.26027397260273921</v>
      </c>
      <c r="CM250" s="46">
        <f t="shared" si="2553"/>
        <v>0.1665129130407319</v>
      </c>
      <c r="CN250" s="46">
        <f t="shared" si="2553"/>
        <v>5.3164875895800767E-2</v>
      </c>
      <c r="CO250" s="46">
        <f t="shared" si="2553"/>
        <v>-2.5065182810056541E-2</v>
      </c>
      <c r="CP250" s="46">
        <f t="shared" si="2553"/>
        <v>-4.7939466197887803E-2</v>
      </c>
      <c r="CQ250" s="46">
        <f t="shared" si="2553"/>
        <v>8.5124159066369831E-3</v>
      </c>
      <c r="CR250" s="46">
        <f t="shared" si="2553"/>
        <v>2.7802262164332348E-2</v>
      </c>
      <c r="CS250" s="46">
        <f t="shared" si="2553"/>
        <v>-2.6057422221010818E-3</v>
      </c>
      <c r="CT250" s="46">
        <f t="shared" si="2553"/>
        <v>-2.0397380018222777E-2</v>
      </c>
      <c r="CU250" s="46">
        <f t="shared" si="2553"/>
        <v>-1.8257759794435779E-2</v>
      </c>
      <c r="CV250" s="46">
        <f t="shared" si="2553"/>
        <v>2.7803291786981932E-2</v>
      </c>
      <c r="CW250" s="46">
        <f t="shared" si="2553"/>
        <v>3.6285001920135507E-3</v>
      </c>
      <c r="CX250" s="46">
        <f t="shared" ref="CX250:DA250" si="2554">CX28/CW28-1</f>
        <v>-1.8465098406072578E-2</v>
      </c>
      <c r="CY250" s="46">
        <f t="shared" si="2554"/>
        <v>-2.2766551941447055E-2</v>
      </c>
      <c r="CZ250" s="46">
        <f t="shared" si="2554"/>
        <v>2.873192229341881E-2</v>
      </c>
      <c r="DA250" s="46">
        <f t="shared" si="2554"/>
        <v>4.7628155499643832E-3</v>
      </c>
      <c r="DD250" s="129"/>
      <c r="DE250" s="88">
        <v>0.69814007297321257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55">IF(D249&gt;D250,"RF",0)</f>
        <v>#DIV/0!</v>
      </c>
      <c r="F251" s="102" t="str">
        <f t="shared" si="2555"/>
        <v>RF</v>
      </c>
      <c r="G251" s="102" t="str">
        <f t="shared" si="2555"/>
        <v>RF</v>
      </c>
      <c r="H251" s="102" t="str">
        <f t="shared" si="2555"/>
        <v>RF</v>
      </c>
      <c r="I251" s="102" t="str">
        <f t="shared" si="2555"/>
        <v>RF</v>
      </c>
      <c r="J251" s="102">
        <f t="shared" si="2555"/>
        <v>0</v>
      </c>
      <c r="K251" s="102">
        <f t="shared" si="2555"/>
        <v>0</v>
      </c>
      <c r="L251" s="102">
        <f t="shared" si="2555"/>
        <v>0</v>
      </c>
      <c r="M251" s="102">
        <f t="shared" si="2555"/>
        <v>0</v>
      </c>
      <c r="N251" s="102" t="str">
        <f t="shared" si="2555"/>
        <v>RF</v>
      </c>
      <c r="O251" s="102">
        <f t="shared" si="2555"/>
        <v>0</v>
      </c>
      <c r="P251" s="102">
        <f t="shared" si="2555"/>
        <v>0</v>
      </c>
      <c r="Q251" s="102" t="str">
        <f t="shared" si="2555"/>
        <v>RF</v>
      </c>
      <c r="R251" s="102">
        <f t="shared" si="2555"/>
        <v>0</v>
      </c>
      <c r="S251" s="102" t="str">
        <f t="shared" si="2555"/>
        <v>RF</v>
      </c>
      <c r="T251" s="102">
        <f t="shared" si="2555"/>
        <v>0</v>
      </c>
      <c r="U251" s="102">
        <f t="shared" si="2555"/>
        <v>0</v>
      </c>
      <c r="V251" s="102" t="str">
        <f>IF(V249&gt;V250,"RF",0)</f>
        <v>RF</v>
      </c>
      <c r="W251" s="102" t="str">
        <f t="shared" ref="W251:AE251" si="2556">IF(W249&gt;W250,"RF",0)</f>
        <v>RF</v>
      </c>
      <c r="X251" s="102">
        <f t="shared" si="2556"/>
        <v>0</v>
      </c>
      <c r="Y251" s="102">
        <f t="shared" si="2556"/>
        <v>0</v>
      </c>
      <c r="Z251" s="102">
        <f t="shared" si="2556"/>
        <v>0</v>
      </c>
      <c r="AA251" s="102">
        <f t="shared" ref="AA251" si="2557">IF(AA249&gt;AA250,"RF",0)</f>
        <v>0</v>
      </c>
      <c r="AB251" s="72" t="str">
        <f t="shared" si="2556"/>
        <v>RF</v>
      </c>
      <c r="AC251" s="72">
        <f t="shared" si="2556"/>
        <v>0</v>
      </c>
      <c r="AD251" s="72" t="str">
        <f t="shared" si="2556"/>
        <v>RF</v>
      </c>
      <c r="AE251" s="72" t="str">
        <f t="shared" si="2556"/>
        <v>RF</v>
      </c>
      <c r="AL251" s="102">
        <f t="shared" ref="AL251:CW251" si="2558">IF(AL249&gt;AL250,"RF",0)</f>
        <v>0</v>
      </c>
      <c r="AM251" s="102">
        <f t="shared" si="2558"/>
        <v>0</v>
      </c>
      <c r="AN251" s="102" t="str">
        <f t="shared" si="2558"/>
        <v>RF</v>
      </c>
      <c r="AO251" s="102">
        <f t="shared" si="2558"/>
        <v>0</v>
      </c>
      <c r="AP251" s="102">
        <f t="shared" si="2558"/>
        <v>0</v>
      </c>
      <c r="AQ251" s="102" t="str">
        <f t="shared" si="2558"/>
        <v>RF</v>
      </c>
      <c r="AR251" s="102" t="str">
        <f t="shared" si="2558"/>
        <v>RF</v>
      </c>
      <c r="AS251" s="102">
        <f t="shared" si="2558"/>
        <v>0</v>
      </c>
      <c r="AT251" s="102">
        <f t="shared" si="2558"/>
        <v>0</v>
      </c>
      <c r="AU251" s="102" t="str">
        <f t="shared" si="2558"/>
        <v>RF</v>
      </c>
      <c r="AV251" s="102" t="str">
        <f t="shared" si="2558"/>
        <v>RF</v>
      </c>
      <c r="AW251" s="102">
        <f t="shared" si="2558"/>
        <v>0</v>
      </c>
      <c r="AX251" s="102">
        <f t="shared" si="2558"/>
        <v>0</v>
      </c>
      <c r="AY251" s="102" t="str">
        <f t="shared" si="2558"/>
        <v>RF</v>
      </c>
      <c r="AZ251" s="102" t="str">
        <f t="shared" si="2558"/>
        <v>RF</v>
      </c>
      <c r="BA251" s="102">
        <f t="shared" si="2558"/>
        <v>0</v>
      </c>
      <c r="BB251" s="102" t="str">
        <f t="shared" si="2558"/>
        <v>RF</v>
      </c>
      <c r="BC251" s="102" t="str">
        <f t="shared" si="2558"/>
        <v>RF</v>
      </c>
      <c r="BD251" s="102">
        <f t="shared" si="2558"/>
        <v>0</v>
      </c>
      <c r="BE251" s="102" t="str">
        <f t="shared" si="2558"/>
        <v>RF</v>
      </c>
      <c r="BF251" s="102" t="str">
        <f t="shared" si="2558"/>
        <v>RF</v>
      </c>
      <c r="BG251" s="102" t="str">
        <f t="shared" si="2558"/>
        <v>RF</v>
      </c>
      <c r="BH251" s="102" t="str">
        <f t="shared" si="2558"/>
        <v>RF</v>
      </c>
      <c r="BI251" s="102">
        <f t="shared" si="2558"/>
        <v>0</v>
      </c>
      <c r="BJ251" s="102">
        <f t="shared" si="2558"/>
        <v>0</v>
      </c>
      <c r="BK251" s="102">
        <f t="shared" si="2558"/>
        <v>0</v>
      </c>
      <c r="BL251" s="102" t="str">
        <f t="shared" si="2558"/>
        <v>RF</v>
      </c>
      <c r="BM251" s="102" t="str">
        <f t="shared" si="2558"/>
        <v>RF</v>
      </c>
      <c r="BN251" s="102" t="str">
        <f t="shared" si="2558"/>
        <v>RF</v>
      </c>
      <c r="BO251" s="102">
        <f t="shared" si="2558"/>
        <v>0</v>
      </c>
      <c r="BP251" s="102">
        <f t="shared" si="2558"/>
        <v>0</v>
      </c>
      <c r="BQ251" s="102" t="str">
        <f t="shared" si="2558"/>
        <v>RF</v>
      </c>
      <c r="BR251" s="102">
        <f t="shared" si="2558"/>
        <v>0</v>
      </c>
      <c r="BS251" s="102" t="str">
        <f t="shared" si="2558"/>
        <v>RF</v>
      </c>
      <c r="BT251" s="102">
        <f t="shared" si="2558"/>
        <v>0</v>
      </c>
      <c r="BU251" s="102" t="str">
        <f t="shared" si="2558"/>
        <v>RF</v>
      </c>
      <c r="BV251" s="102">
        <f t="shared" si="2558"/>
        <v>0</v>
      </c>
      <c r="BW251" s="102" t="str">
        <f t="shared" si="2558"/>
        <v>RF</v>
      </c>
      <c r="BX251" s="102" t="str">
        <f t="shared" si="2558"/>
        <v>RF</v>
      </c>
      <c r="BY251" s="102">
        <f t="shared" si="2558"/>
        <v>0</v>
      </c>
      <c r="BZ251" s="102">
        <f t="shared" si="2558"/>
        <v>0</v>
      </c>
      <c r="CA251" s="102" t="str">
        <f t="shared" si="2558"/>
        <v>RF</v>
      </c>
      <c r="CB251" s="102">
        <f t="shared" si="2558"/>
        <v>0</v>
      </c>
      <c r="CC251" s="102">
        <f t="shared" si="2558"/>
        <v>0</v>
      </c>
      <c r="CD251" s="102" t="str">
        <f t="shared" si="2558"/>
        <v>RF</v>
      </c>
      <c r="CE251" s="102" t="str">
        <f t="shared" si="2558"/>
        <v>RF</v>
      </c>
      <c r="CF251" s="102" t="str">
        <f t="shared" si="2558"/>
        <v>RF</v>
      </c>
      <c r="CG251" s="102">
        <f t="shared" si="2558"/>
        <v>0</v>
      </c>
      <c r="CH251" s="102">
        <f t="shared" si="2558"/>
        <v>0</v>
      </c>
      <c r="CI251" s="102">
        <f t="shared" si="2558"/>
        <v>0</v>
      </c>
      <c r="CJ251" s="102">
        <f t="shared" si="2558"/>
        <v>0</v>
      </c>
      <c r="CK251" s="72" t="str">
        <f t="shared" si="2558"/>
        <v>RF</v>
      </c>
      <c r="CL251" s="102" t="str">
        <f t="shared" ref="CL251" si="2559">IF(CL249&gt;CL250,"RF",0)</f>
        <v>RF</v>
      </c>
      <c r="CM251" s="72">
        <f t="shared" si="2558"/>
        <v>0</v>
      </c>
      <c r="CN251" s="72">
        <f t="shared" si="2558"/>
        <v>0</v>
      </c>
      <c r="CO251" s="72" t="str">
        <f t="shared" si="2558"/>
        <v>RF</v>
      </c>
      <c r="CP251" s="72" t="str">
        <f t="shared" si="2558"/>
        <v>RF</v>
      </c>
      <c r="CQ251" s="72">
        <f t="shared" si="2558"/>
        <v>0</v>
      </c>
      <c r="CR251" s="72">
        <f t="shared" si="2558"/>
        <v>0</v>
      </c>
      <c r="CS251" s="72" t="str">
        <f t="shared" si="2558"/>
        <v>RF</v>
      </c>
      <c r="CT251" s="72" t="str">
        <f t="shared" si="2558"/>
        <v>RF</v>
      </c>
      <c r="CU251" s="72" t="str">
        <f t="shared" si="2558"/>
        <v>RF</v>
      </c>
      <c r="CV251" s="72">
        <f t="shared" si="2558"/>
        <v>0</v>
      </c>
      <c r="CW251" s="72">
        <f t="shared" si="2558"/>
        <v>0</v>
      </c>
      <c r="CX251" s="72" t="str">
        <f t="shared" ref="CX251:DA251" si="2560">IF(CX249&gt;CX250,"RF",0)</f>
        <v>RF</v>
      </c>
      <c r="CY251" s="72" t="str">
        <f t="shared" si="2560"/>
        <v>RF</v>
      </c>
      <c r="CZ251" s="72">
        <f t="shared" si="2560"/>
        <v>0</v>
      </c>
      <c r="DA251" s="72">
        <f t="shared" si="2560"/>
        <v>0</v>
      </c>
      <c r="DD251" s="141"/>
      <c r="DE251" s="102">
        <v>0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>
        <f>D36/D8</f>
        <v>1.1242640461029831E-2</v>
      </c>
      <c r="F252" s="85">
        <f t="shared" ref="F252:AE252" si="2561">F36/F8</f>
        <v>1.811025085850731E-3</v>
      </c>
      <c r="G252" s="85">
        <f t="shared" si="2561"/>
        <v>1.5052565480261175E-3</v>
      </c>
      <c r="H252" s="85">
        <f t="shared" si="2561"/>
        <v>1.1171665659724767E-3</v>
      </c>
      <c r="I252" s="85">
        <f t="shared" si="2561"/>
        <v>3.0394816707227639E-3</v>
      </c>
      <c r="J252" s="85">
        <f t="shared" si="2561"/>
        <v>3.69645929468362E-3</v>
      </c>
      <c r="K252" s="85">
        <f t="shared" si="2561"/>
        <v>1.8165829302204443E-3</v>
      </c>
      <c r="L252" s="85">
        <f t="shared" si="2561"/>
        <v>7.7498820966429764E-4</v>
      </c>
      <c r="M252" s="85">
        <f t="shared" si="2561"/>
        <v>6.984932301829414E-4</v>
      </c>
      <c r="N252" s="85">
        <f t="shared" si="2561"/>
        <v>1.347695439758045E-3</v>
      </c>
      <c r="O252" s="85">
        <f t="shared" si="2561"/>
        <v>3.7905678878609136E-3</v>
      </c>
      <c r="P252" s="85">
        <f t="shared" si="2561"/>
        <v>2.9367651987643917E-3</v>
      </c>
      <c r="Q252" s="85">
        <f t="shared" si="2561"/>
        <v>1.9509212862186737E-2</v>
      </c>
      <c r="R252" s="85">
        <f t="shared" si="2561"/>
        <v>1.6604448460514599E-2</v>
      </c>
      <c r="S252" s="85">
        <f t="shared" si="2561"/>
        <v>1.5003637283456056E-2</v>
      </c>
      <c r="T252" s="85">
        <f t="shared" si="2561"/>
        <v>1.7049226181914717E-2</v>
      </c>
      <c r="U252" s="85">
        <f t="shared" si="2561"/>
        <v>8.6228963303979066E-3</v>
      </c>
      <c r="V252" s="85">
        <f t="shared" si="2561"/>
        <v>1.0886244185344047E-2</v>
      </c>
      <c r="W252" s="85">
        <f t="shared" si="2561"/>
        <v>1.0433541399975077E-2</v>
      </c>
      <c r="X252" s="85">
        <f t="shared" si="2561"/>
        <v>1.094749852150627E-2</v>
      </c>
      <c r="Y252" s="85">
        <f t="shared" si="2561"/>
        <v>1.2081899624910878E-2</v>
      </c>
      <c r="Z252" s="85">
        <f t="shared" si="2561"/>
        <v>7.1610144442035995E-3</v>
      </c>
      <c r="AA252" s="85">
        <f t="shared" ref="AA252" si="2562">AA36/AA8</f>
        <v>6.957115871548571E-3</v>
      </c>
      <c r="AB252" s="86">
        <f t="shared" si="2561"/>
        <v>-2.7977760519214294E-2</v>
      </c>
      <c r="AC252" s="86">
        <f t="shared" si="2561"/>
        <v>-5.7093430001495964E-2</v>
      </c>
      <c r="AD252" s="86">
        <f t="shared" si="2561"/>
        <v>-8.2528699299146371E-2</v>
      </c>
      <c r="AE252" s="86">
        <f t="shared" si="2561"/>
        <v>-0.11464011663637905</v>
      </c>
      <c r="AL252" s="85">
        <f t="shared" ref="AL252:BQ252" si="2563">AL36/AL8</f>
        <v>3.1966290094082609E-3</v>
      </c>
      <c r="AM252" s="85">
        <f t="shared" si="2563"/>
        <v>3.2021032762572467E-3</v>
      </c>
      <c r="AN252" s="85">
        <f t="shared" si="2563"/>
        <v>3.450799958172122E-3</v>
      </c>
      <c r="AO252" s="85">
        <f t="shared" si="2563"/>
        <v>3.1014473420929766E-3</v>
      </c>
      <c r="AP252" s="85">
        <f t="shared" si="2563"/>
        <v>2.5309156147882363E-3</v>
      </c>
      <c r="AQ252" s="85">
        <f t="shared" si="2563"/>
        <v>2.1715526601520088E-3</v>
      </c>
      <c r="AR252" s="85">
        <f t="shared" si="2563"/>
        <v>2.0770280695507687E-3</v>
      </c>
      <c r="AS252" s="85">
        <f t="shared" si="2563"/>
        <v>2.8696717611401299E-3</v>
      </c>
      <c r="AT252" s="85">
        <f t="shared" si="2563"/>
        <v>1.9463785152364591E-2</v>
      </c>
      <c r="AU252" s="85">
        <f t="shared" si="2563"/>
        <v>2.0593201673885911E-2</v>
      </c>
      <c r="AV252" s="85">
        <f t="shared" si="2563"/>
        <v>2.0337425075164214E-2</v>
      </c>
      <c r="AW252" s="85">
        <f t="shared" si="2563"/>
        <v>1.8807174378302618E-2</v>
      </c>
      <c r="AX252" s="85">
        <f t="shared" si="2563"/>
        <v>1.8587926409314889E-2</v>
      </c>
      <c r="AY252" s="85">
        <f t="shared" si="2563"/>
        <v>1.3981614177356775E-2</v>
      </c>
      <c r="AZ252" s="85">
        <f t="shared" si="2563"/>
        <v>1.3973846126248949E-2</v>
      </c>
      <c r="BA252" s="85">
        <f t="shared" si="2563"/>
        <v>1.4831968154329021E-2</v>
      </c>
      <c r="BB252" s="85">
        <f t="shared" si="2563"/>
        <v>1.5173076238927032E-2</v>
      </c>
      <c r="BC252" s="85">
        <f t="shared" si="2563"/>
        <v>1.5165063128151938E-2</v>
      </c>
      <c r="BD252" s="85">
        <f t="shared" si="2563"/>
        <v>1.4494345009333481E-2</v>
      </c>
      <c r="BE252" s="85">
        <f t="shared" si="2563"/>
        <v>1.2172767880977381E-2</v>
      </c>
      <c r="BF252" s="85">
        <f t="shared" si="2563"/>
        <v>1.3019656064085639E-2</v>
      </c>
      <c r="BG252" s="85">
        <f t="shared" si="2563"/>
        <v>1.1939947605293211E-2</v>
      </c>
      <c r="BH252" s="85">
        <f t="shared" si="2563"/>
        <v>2.7341113726523019E-2</v>
      </c>
      <c r="BI252" s="85">
        <f t="shared" si="2563"/>
        <v>1.3424241929959058E-2</v>
      </c>
      <c r="BJ252" s="85">
        <f t="shared" si="2563"/>
        <v>1.0803768608697032E-2</v>
      </c>
      <c r="BK252" s="85">
        <f t="shared" si="2563"/>
        <v>1.0840236686390533E-2</v>
      </c>
      <c r="BL252" s="85">
        <f t="shared" si="2563"/>
        <v>1.2489617620820129E-2</v>
      </c>
      <c r="BM252" s="85">
        <f t="shared" si="2563"/>
        <v>-9.7393973378980599E-4</v>
      </c>
      <c r="BN252" s="85">
        <f t="shared" si="2563"/>
        <v>1.0807539339443197E-2</v>
      </c>
      <c r="BO252" s="85">
        <f t="shared" si="2563"/>
        <v>1.1033255824841211E-2</v>
      </c>
      <c r="BP252" s="85">
        <f t="shared" si="2563"/>
        <v>8.9809010059775478E-3</v>
      </c>
      <c r="BQ252" s="85">
        <f t="shared" si="2563"/>
        <v>1.1905829194384179E-2</v>
      </c>
      <c r="BR252" s="85">
        <f t="shared" ref="BR252:DA252" si="2564">BR36/BR8</f>
        <v>8.6978524211658286E-3</v>
      </c>
      <c r="BS252" s="85">
        <f t="shared" si="2564"/>
        <v>9.4923336955209468E-3</v>
      </c>
      <c r="BT252" s="85">
        <f t="shared" si="2564"/>
        <v>1.0437695332944539E-2</v>
      </c>
      <c r="BU252" s="85">
        <f t="shared" si="2564"/>
        <v>1.2183140106111221E-2</v>
      </c>
      <c r="BV252" s="85">
        <f t="shared" si="2564"/>
        <v>9.9243661720498002E-3</v>
      </c>
      <c r="BW252" s="85">
        <f t="shared" si="2564"/>
        <v>9.7770825185764555E-3</v>
      </c>
      <c r="BX252" s="85">
        <f t="shared" si="2564"/>
        <v>1.137796965007867E-2</v>
      </c>
      <c r="BY252" s="85">
        <f t="shared" si="2564"/>
        <v>1.2342827445828703E-2</v>
      </c>
      <c r="BZ252" s="85">
        <f t="shared" si="2564"/>
        <v>1.0294317718017323E-2</v>
      </c>
      <c r="CA252" s="85">
        <f t="shared" si="2564"/>
        <v>1.6004503779958178E-2</v>
      </c>
      <c r="CB252" s="85">
        <f t="shared" si="2564"/>
        <v>1.1351286076560801E-2</v>
      </c>
      <c r="CC252" s="85">
        <f t="shared" si="2564"/>
        <v>1.0335746111672437E-2</v>
      </c>
      <c r="CD252" s="85">
        <f t="shared" si="2564"/>
        <v>7.818134137546711E-3</v>
      </c>
      <c r="CE252" s="85">
        <f t="shared" si="2564"/>
        <v>7.8035812025959803E-3</v>
      </c>
      <c r="CF252" s="85">
        <f t="shared" si="2564"/>
        <v>7.3869731800766288E-3</v>
      </c>
      <c r="CG252" s="85">
        <f t="shared" si="2564"/>
        <v>4.7810566781347416E-3</v>
      </c>
      <c r="CH252" s="85">
        <f t="shared" si="2564"/>
        <v>4.9513878641811362E-3</v>
      </c>
      <c r="CI252" s="85">
        <f t="shared" si="2564"/>
        <v>4.9981216209594431E-3</v>
      </c>
      <c r="CJ252" s="85">
        <f t="shared" si="2564"/>
        <v>4.6420053463096063E-3</v>
      </c>
      <c r="CK252" s="86">
        <f t="shared" si="2564"/>
        <v>1.2176315620381675E-2</v>
      </c>
      <c r="CL252" s="85">
        <f t="shared" ref="CL252" si="2565">CL36/CL8</f>
        <v>5.7576251834937199E-3</v>
      </c>
      <c r="CM252" s="86">
        <f t="shared" si="2564"/>
        <v>-3.518012476153605E-2</v>
      </c>
      <c r="CN252" s="86">
        <f t="shared" si="2564"/>
        <v>-3.9698235157459717E-2</v>
      </c>
      <c r="CO252" s="86">
        <f t="shared" si="2564"/>
        <v>-4.2713005751521219E-2</v>
      </c>
      <c r="CP252" s="86">
        <f t="shared" si="2564"/>
        <v>-4.8101104445048705E-2</v>
      </c>
      <c r="CQ252" s="86">
        <f t="shared" si="2564"/>
        <v>-5.5370134539873155E-2</v>
      </c>
      <c r="CR252" s="86">
        <f t="shared" si="2564"/>
        <v>-6.0484788556715775E-2</v>
      </c>
      <c r="CS252" s="86">
        <f t="shared" si="2564"/>
        <v>-6.4292060473814625E-2</v>
      </c>
      <c r="CT252" s="86">
        <f t="shared" si="2564"/>
        <v>-7.1301847320193762E-2</v>
      </c>
      <c r="CU252" s="86">
        <f t="shared" si="2564"/>
        <v>-8.0663221197649959E-2</v>
      </c>
      <c r="CV252" s="86">
        <f t="shared" si="2564"/>
        <v>-8.6443321694256905E-2</v>
      </c>
      <c r="CW252" s="86">
        <f t="shared" si="2564"/>
        <v>-9.1555066751762809E-2</v>
      </c>
      <c r="CX252" s="86">
        <f t="shared" si="2564"/>
        <v>-0.10069591084028411</v>
      </c>
      <c r="CY252" s="86">
        <f t="shared" si="2564"/>
        <v>-0.11252213871133565</v>
      </c>
      <c r="CZ252" s="86">
        <f t="shared" si="2564"/>
        <v>-0.11916896771959885</v>
      </c>
      <c r="DA252" s="86">
        <f t="shared" si="2564"/>
        <v>-0.12598944436356554</v>
      </c>
      <c r="DD252" s="140"/>
      <c r="DE252" s="85">
        <v>6.7060552925597627E-3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>
        <f>D32/D8</f>
        <v>5.5942798610497592E-2</v>
      </c>
      <c r="F253" s="85">
        <f t="shared" ref="F253:AE253" si="2566">F32/F8</f>
        <v>5.1978961423236048E-2</v>
      </c>
      <c r="G253" s="85">
        <f t="shared" si="2566"/>
        <v>5.3241244371034425E-2</v>
      </c>
      <c r="H253" s="85">
        <f t="shared" si="2566"/>
        <v>4.2127136295599901E-2</v>
      </c>
      <c r="I253" s="85">
        <f t="shared" si="2566"/>
        <v>4.7484723202813703E-2</v>
      </c>
      <c r="J253" s="85">
        <f t="shared" si="2566"/>
        <v>4.2012613297475715E-2</v>
      </c>
      <c r="K253" s="85">
        <f t="shared" si="2566"/>
        <v>4.9736782307223205E-2</v>
      </c>
      <c r="L253" s="85">
        <f t="shared" si="2566"/>
        <v>4.2055377775596911E-2</v>
      </c>
      <c r="M253" s="85">
        <f t="shared" si="2566"/>
        <v>3.7638531456449416E-2</v>
      </c>
      <c r="N253" s="85">
        <f t="shared" si="2566"/>
        <v>3.7077796106648374E-2</v>
      </c>
      <c r="O253" s="85">
        <f t="shared" si="2566"/>
        <v>3.6261966024180858E-2</v>
      </c>
      <c r="P253" s="85">
        <f t="shared" si="2566"/>
        <v>3.3438059330296463E-2</v>
      </c>
      <c r="Q253" s="85">
        <f t="shared" si="2566"/>
        <v>4.1220508165936198E-2</v>
      </c>
      <c r="R253" s="85">
        <f t="shared" si="2566"/>
        <v>3.9299236807328171E-2</v>
      </c>
      <c r="S253" s="85">
        <f t="shared" si="2566"/>
        <v>3.8232244360865163E-2</v>
      </c>
      <c r="T253" s="85">
        <f t="shared" si="2566"/>
        <v>3.57437984951368E-2</v>
      </c>
      <c r="U253" s="85">
        <f t="shared" si="2566"/>
        <v>3.3211713690805944E-2</v>
      </c>
      <c r="V253" s="85">
        <f t="shared" si="2566"/>
        <v>3.9440987534988627E-2</v>
      </c>
      <c r="W253" s="85">
        <f t="shared" si="2566"/>
        <v>3.4801128317832178E-2</v>
      </c>
      <c r="X253" s="85">
        <f t="shared" si="2566"/>
        <v>2.8589749553129422E-2</v>
      </c>
      <c r="Y253" s="85">
        <f t="shared" si="2566"/>
        <v>1.9045072692891907E-2</v>
      </c>
      <c r="Z253" s="85">
        <f t="shared" si="2566"/>
        <v>1.8712436203125307E-2</v>
      </c>
      <c r="AA253" s="85">
        <f t="shared" ref="AA253" si="2567">AA32/AA8</f>
        <v>2.0963787629114584E-2</v>
      </c>
      <c r="AB253" s="86">
        <f t="shared" si="2566"/>
        <v>3.8381864656709973E-2</v>
      </c>
      <c r="AC253" s="86">
        <f t="shared" si="2566"/>
        <v>3.8732293955679835E-2</v>
      </c>
      <c r="AD253" s="86">
        <f t="shared" si="2566"/>
        <v>3.9087087296466268E-2</v>
      </c>
      <c r="AE253" s="86">
        <f t="shared" si="2566"/>
        <v>3.944402097488145E-2</v>
      </c>
      <c r="AL253" s="85">
        <f t="shared" ref="AL253:BQ253" si="2568">AL32/AL8</f>
        <v>3.7269788223328132E-2</v>
      </c>
      <c r="AM253" s="85">
        <f t="shared" si="2568"/>
        <v>3.5020897937171364E-2</v>
      </c>
      <c r="AN253" s="85">
        <f t="shared" si="2568"/>
        <v>3.6947959148105544E-2</v>
      </c>
      <c r="AO253" s="85">
        <f t="shared" si="2568"/>
        <v>3.5916761155205756E-2</v>
      </c>
      <c r="AP253" s="85">
        <f t="shared" si="2568"/>
        <v>3.5016338822323315E-2</v>
      </c>
      <c r="AQ253" s="85">
        <f t="shared" si="2568"/>
        <v>3.2905054892025574E-2</v>
      </c>
      <c r="AR253" s="85">
        <f t="shared" si="2568"/>
        <v>3.2104919589341883E-2</v>
      </c>
      <c r="AS253" s="85">
        <f t="shared" si="2568"/>
        <v>3.6112723286257808E-2</v>
      </c>
      <c r="AT253" s="85">
        <f t="shared" si="2568"/>
        <v>4.5008590288452846E-2</v>
      </c>
      <c r="AU253" s="85">
        <f t="shared" si="2568"/>
        <v>4.3499008883341891E-2</v>
      </c>
      <c r="AV253" s="85">
        <f t="shared" si="2568"/>
        <v>4.5328328769221937E-2</v>
      </c>
      <c r="AW253" s="85">
        <f t="shared" si="2568"/>
        <v>4.4034924903880751E-2</v>
      </c>
      <c r="AX253" s="85">
        <f t="shared" si="2568"/>
        <v>4.410113962824147E-2</v>
      </c>
      <c r="AY253" s="85">
        <f t="shared" si="2568"/>
        <v>4.0144709706735636E-2</v>
      </c>
      <c r="AZ253" s="85">
        <f t="shared" si="2568"/>
        <v>4.1365454643299195E-2</v>
      </c>
      <c r="BA253" s="85">
        <f t="shared" si="2568"/>
        <v>4.1663476996095843E-2</v>
      </c>
      <c r="BB253" s="85">
        <f t="shared" si="2568"/>
        <v>3.6696431747838765E-2</v>
      </c>
      <c r="BC253" s="85">
        <f t="shared" si="2568"/>
        <v>3.9522157444829939E-2</v>
      </c>
      <c r="BD253" s="85">
        <f t="shared" si="2568"/>
        <v>3.9090809267596359E-2</v>
      </c>
      <c r="BE253" s="85">
        <f t="shared" si="2568"/>
        <v>3.7657276076239969E-2</v>
      </c>
      <c r="BF253" s="85">
        <f t="shared" si="2568"/>
        <v>3.6201877000415897E-2</v>
      </c>
      <c r="BG253" s="85">
        <f t="shared" si="2568"/>
        <v>3.4795459125411439E-2</v>
      </c>
      <c r="BH253" s="85">
        <f t="shared" si="2568"/>
        <v>3.7184573093447019E-2</v>
      </c>
      <c r="BI253" s="85">
        <f t="shared" si="2568"/>
        <v>3.5933906405467564E-2</v>
      </c>
      <c r="BJ253" s="85">
        <f t="shared" si="2568"/>
        <v>3.4317853227625872E-2</v>
      </c>
      <c r="BK253" s="85">
        <f t="shared" si="2568"/>
        <v>3.3830374753451679E-2</v>
      </c>
      <c r="BL253" s="85">
        <f t="shared" si="2568"/>
        <v>3.3623527240286707E-2</v>
      </c>
      <c r="BM253" s="85">
        <f t="shared" si="2568"/>
        <v>3.2508927780893072E-2</v>
      </c>
      <c r="BN253" s="85">
        <f t="shared" si="2568"/>
        <v>4.2901608161853712E-2</v>
      </c>
      <c r="BO253" s="85">
        <f t="shared" si="2568"/>
        <v>3.8608592518609833E-2</v>
      </c>
      <c r="BP253" s="85">
        <f t="shared" si="2568"/>
        <v>3.5777810176410553E-2</v>
      </c>
      <c r="BQ253" s="85">
        <f t="shared" si="2568"/>
        <v>4.2746230119596211E-2</v>
      </c>
      <c r="BR253" s="85">
        <f t="shared" ref="BR253:DA253" si="2569">BR32/BR8</f>
        <v>3.6372837397602553E-2</v>
      </c>
      <c r="BS253" s="85">
        <f t="shared" si="2569"/>
        <v>3.5509477242544975E-2</v>
      </c>
      <c r="BT253" s="85">
        <f t="shared" si="2569"/>
        <v>3.4453366829662199E-2</v>
      </c>
      <c r="BU253" s="85">
        <f t="shared" si="2569"/>
        <v>3.4146046525688888E-2</v>
      </c>
      <c r="BV253" s="85">
        <f t="shared" si="2569"/>
        <v>3.032216441778424E-2</v>
      </c>
      <c r="BW253" s="85">
        <f t="shared" si="2569"/>
        <v>2.7691220810677833E-2</v>
      </c>
      <c r="BX253" s="85">
        <f t="shared" si="2569"/>
        <v>2.7346137341846221E-2</v>
      </c>
      <c r="BY253" s="85">
        <f t="shared" si="2569"/>
        <v>3.0286844422629959E-2</v>
      </c>
      <c r="BZ253" s="85">
        <f t="shared" si="2569"/>
        <v>2.3566580502773875E-2</v>
      </c>
      <c r="CA253" s="85">
        <f t="shared" si="2569"/>
        <v>1.8578092327489141E-2</v>
      </c>
      <c r="CB253" s="85">
        <f t="shared" si="2569"/>
        <v>1.6347663325685304E-2</v>
      </c>
      <c r="CC253" s="85">
        <f t="shared" si="2569"/>
        <v>1.8518211783413115E-2</v>
      </c>
      <c r="CD253" s="85">
        <f t="shared" si="2569"/>
        <v>1.5603487838458007E-2</v>
      </c>
      <c r="CE253" s="85">
        <f t="shared" si="2569"/>
        <v>1.8687934944092578E-2</v>
      </c>
      <c r="CF253" s="85">
        <f t="shared" si="2569"/>
        <v>1.8681992337164749E-2</v>
      </c>
      <c r="CG253" s="85">
        <f t="shared" si="2569"/>
        <v>2.2322365976966935E-2</v>
      </c>
      <c r="CH253" s="85">
        <f t="shared" si="2569"/>
        <v>2.0789270899939337E-2</v>
      </c>
      <c r="CI253" s="85">
        <f t="shared" si="2569"/>
        <v>2.1380853600770952E-2</v>
      </c>
      <c r="CJ253" s="85">
        <f t="shared" si="2569"/>
        <v>2.050485809869864E-2</v>
      </c>
      <c r="CK253" s="86">
        <f t="shared" si="2569"/>
        <v>2.1814560174773501E-2</v>
      </c>
      <c r="CL253" s="85">
        <f t="shared" ref="CL253" si="2570">CL32/CL8</f>
        <v>3.8346109933126732E-2</v>
      </c>
      <c r="CM253" s="86">
        <f t="shared" si="2569"/>
        <v>3.9128608349827204E-2</v>
      </c>
      <c r="CN253" s="86">
        <f t="shared" si="2569"/>
        <v>3.8113050034561745E-2</v>
      </c>
      <c r="CO253" s="86">
        <f t="shared" si="2569"/>
        <v>3.7960546867502665E-2</v>
      </c>
      <c r="CP253" s="86">
        <f t="shared" si="2569"/>
        <v>3.8647092461789413E-2</v>
      </c>
      <c r="CQ253" s="86">
        <f t="shared" si="2569"/>
        <v>3.9565182290430774E-2</v>
      </c>
      <c r="CR253" s="86">
        <f t="shared" si="2569"/>
        <v>3.8464674688827326E-2</v>
      </c>
      <c r="CS253" s="86">
        <f t="shared" si="2569"/>
        <v>3.827721969008159E-2</v>
      </c>
      <c r="CT253" s="86">
        <f t="shared" si="2569"/>
        <v>3.9000405971825504E-2</v>
      </c>
      <c r="CU253" s="86">
        <f t="shared" si="2569"/>
        <v>3.9939698429448556E-2</v>
      </c>
      <c r="CV253" s="86">
        <f t="shared" si="2569"/>
        <v>3.8812540842773427E-2</v>
      </c>
      <c r="CW253" s="86">
        <f t="shared" si="2569"/>
        <v>3.8621648833458179E-2</v>
      </c>
      <c r="CX253" s="86">
        <f t="shared" si="2569"/>
        <v>3.9357745023636391E-2</v>
      </c>
      <c r="CY253" s="86">
        <f t="shared" si="2569"/>
        <v>4.0305847374600121E-2</v>
      </c>
      <c r="CZ253" s="86">
        <f t="shared" si="2569"/>
        <v>3.9165463563193587E-2</v>
      </c>
      <c r="DA253" s="86">
        <f t="shared" si="2569"/>
        <v>3.8973311086409744E-2</v>
      </c>
      <c r="DD253" s="140"/>
      <c r="DE253" s="85">
        <v>2.1122454351444272E-2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109820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Huhtamaki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253.76</v>
      </c>
      <c r="D6">
        <f>_xll.EQNXTDZ($A$1,$B6,D$1,$B$1)</f>
        <v>235.39</v>
      </c>
      <c r="E6">
        <f>_xll.EQNXTDZ($A$1,$B6,E$1,$B$1)</f>
        <v>243.41</v>
      </c>
      <c r="F6">
        <f>_xll.EQNXTDZ($A$1,$B6,F$1,$B$1)</f>
        <v>273.20999999999998</v>
      </c>
      <c r="G6">
        <f>_xll.EQNXTDZ($A$1,$B6,G$1,$B$1)</f>
        <v>294.64</v>
      </c>
      <c r="H6">
        <f>_xll.EQNXTDZ($A$1,$B6,H$1,$B$1)</f>
        <v>282.76</v>
      </c>
      <c r="I6">
        <f>_xll.EQNXTDZ($A$1,$B6,I$1,$B$1)</f>
        <v>297.41000000000003</v>
      </c>
      <c r="J6">
        <f>_xll.EQNXTDZ($A$1,$B6,J$1,$B$1)</f>
        <v>309.58999999999997</v>
      </c>
      <c r="K6">
        <f>_xll.EQNXTDZ($A$1,$B6,K$1,$B$1)</f>
        <v>328.92</v>
      </c>
      <c r="L6">
        <f>_xll.EQNXTDZ($A$1,$B6,L$1,$B$1)</f>
        <v>334.25</v>
      </c>
      <c r="M6">
        <f>_xll.EQNXTDZ($A$1,$B6,M$1,$B$1)</f>
        <v>307.10000000000002</v>
      </c>
      <c r="N6">
        <f>_xll.EQNXTDZ($A$1,$B6,N$1,$B$1)</f>
        <v>435.9</v>
      </c>
      <c r="O6">
        <f>_xll.EQNXTDZ($A$1,$B6,O$1,$B$1)</f>
        <v>538.59</v>
      </c>
      <c r="P6">
        <f>_xll.EQNXTDZ($A$1,$B6,P$1,$B$1)</f>
        <v>514.65</v>
      </c>
      <c r="Q6">
        <f>_xll.EQNXTDZ($A$1,$B6,Q$1,$B$1)</f>
        <v>520.61</v>
      </c>
      <c r="R6">
        <f>_xll.EQNXTDZ($A$1,$B6,R$1,$B$1)</f>
        <v>520.01</v>
      </c>
      <c r="S6">
        <f>_xll.EQNXTDZ($A$1,$B6,S$1,$B$1)</f>
        <v>566.49</v>
      </c>
      <c r="T6">
        <f>_xll.EQNXTDZ($A$1,$B6,T$1,$B$1)</f>
        <v>550.41999999999996</v>
      </c>
      <c r="U6">
        <f>_xll.EQNXTDZ($A$1,$B6,U$1,$B$1)</f>
        <v>517.17999999999995</v>
      </c>
      <c r="V6">
        <f>_xll.EQNXTDZ($A$1,$B6,V$1,$B$1)</f>
        <v>555.95000000000005</v>
      </c>
      <c r="W6">
        <f>_xll.EQNXTDZ($A$1,$B6,W$1,$B$1)</f>
        <v>551.03</v>
      </c>
      <c r="X6">
        <f>_xll.EQNXTDZ($A$1,$B6,X$1,$B$1)</f>
        <v>538.5</v>
      </c>
      <c r="Y6">
        <f>_xll.EQNXTDZ($A$1,$B6,Y$1,$B$1)</f>
        <v>553.55999999999995</v>
      </c>
      <c r="Z6">
        <f>_xll.EQNXTDZ($A$1,$B6,Z$1,$B$1)</f>
        <v>545.19000000000005</v>
      </c>
      <c r="AA6">
        <f>_xll.EQNXTDZ($A$1,$B6,AA$1,$B$1)</f>
        <v>588.17999999999995</v>
      </c>
      <c r="AB6">
        <f>_xll.EQNXTDZ($A$1,$B6,AB$1,$B$1)</f>
        <v>595.16</v>
      </c>
      <c r="AC6">
        <f>_xll.EQNXTDZ($A$1,$B6,AC$1,$B$1)</f>
        <v>603.58000000000004</v>
      </c>
      <c r="AD6">
        <f>_xll.EQNXTDZ($A$1,$B6,AD$1,$B$1)</f>
        <v>619.69000000000005</v>
      </c>
      <c r="AE6">
        <f>_xll.EQNXTDZ($A$1,$B6,AE$1,$B$1)</f>
        <v>625.98</v>
      </c>
      <c r="AF6">
        <f>_xll.EQNXTDZ($A$1,$B6,AF$1,$B$1)</f>
        <v>638.80999999999995</v>
      </c>
      <c r="AG6">
        <f>_xll.EQNXTDZ($A$1,$B6,AG$1,$B$1)</f>
        <v>663.19</v>
      </c>
      <c r="AH6">
        <f>_xll.EQNXTDZ($A$1,$B6,AH$1,$B$1)</f>
        <v>567.49</v>
      </c>
      <c r="AI6">
        <f>_xll.EQNXTDZ($A$1,$B6,AI$1,$B$1)</f>
        <v>630.6</v>
      </c>
      <c r="AJ6">
        <f>_xll.EQNXTDZ($A$1,$B6,AJ$1,$B$1)</f>
        <v>673.3</v>
      </c>
      <c r="AK6">
        <f>_xll.EQNXTDZ($A$1,$B6,AK$1,$B$1)</f>
        <v>547.41</v>
      </c>
      <c r="AL6">
        <f>_xll.EQNXTDZ($A$1,$B6,AL$1,$B$1)</f>
        <v>620.52</v>
      </c>
      <c r="AM6">
        <f>_xll.EQNXTDZ($A$1,$B6,AM$1,$B$1)</f>
        <v>650.46</v>
      </c>
      <c r="AN6">
        <f>_xll.EQNXTDZ($A$1,$B6,AN$1,$B$1)</f>
        <v>651.41999999999996</v>
      </c>
      <c r="AO6">
        <f>_xll.EQNXTDZ($A$1,$B6,AO$1,$B$1)</f>
        <v>648.46</v>
      </c>
      <c r="AP6">
        <f>_xll.EQNXTDZ($A$1,$B6,AP$1,$B$1)</f>
        <v>711.07</v>
      </c>
      <c r="AQ6">
        <f>_xll.EQNXTDZ($A$1,$B6,AQ$1,$B$1)</f>
        <v>775.45</v>
      </c>
      <c r="AR6">
        <f>_xll.EQNXTDZ($A$1,$B6,AR$1,$B$1)</f>
        <v>753.46</v>
      </c>
      <c r="AS6">
        <f>_xll.EQNXTDZ($A$1,$B6,AS$1,$B$1)</f>
        <v>676.52</v>
      </c>
      <c r="AT6">
        <f>_xll.EQNXTDZ($A$1,$B6,AT$1,$B$1)</f>
        <v>646.02</v>
      </c>
      <c r="AU6">
        <f>_xll.EQNXTDZ($A$1,$B6,AU$1,$B$1)</f>
        <v>605.82000000000005</v>
      </c>
      <c r="AV6">
        <f>_xll.EQNXTDZ($A$1,$B6,AV$1,$B$1)</f>
        <v>644.29</v>
      </c>
      <c r="AW6">
        <f>_xll.EQNXTDZ($A$1,$B6,AW$1,$B$1)</f>
        <v>585.19000000000005</v>
      </c>
      <c r="AX6">
        <f>_xll.EQNXTDZ($A$1,$B6,AX$1,$B$1)</f>
        <v>593.65</v>
      </c>
      <c r="AY6">
        <f>_xll.EQNXTDZ($A$1,$B6,AY$1,$B$1)</f>
        <v>620.98</v>
      </c>
      <c r="AZ6">
        <f>_xll.EQNXTDZ($A$1,$B6,AZ$1,$B$1)</f>
        <v>634.66999999999996</v>
      </c>
      <c r="BA6">
        <f>_xll.EQNXTDZ($A$1,$B6,BA$1,$B$1)</f>
        <v>601.23</v>
      </c>
      <c r="BB6">
        <f>_xll.EQNXTDZ($A$1,$B6,BB$1,$B$1)</f>
        <v>593.04</v>
      </c>
      <c r="BC6">
        <f>_xll.EQNXTDZ($A$1,$B6,BC$1,$B$1)</f>
        <v>591.94000000000005</v>
      </c>
      <c r="BD6">
        <f>_xll.EQNXTDZ($A$1,$B6,BD$1,$B$1)</f>
        <v>604.92999999999995</v>
      </c>
      <c r="BE6">
        <f>_xll.EQNXTDZ($A$1,$B6,BE$1,$B$1)</f>
        <v>599.13</v>
      </c>
      <c r="BF6">
        <f>_xll.EQNXTDZ($A$1,$B6,BF$1,$B$1)</f>
        <v>593.63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16.98</v>
      </c>
      <c r="D7">
        <f>_xll.EQNXTDZ($A$1,$B7,D$1,$B$1)</f>
        <v>14.36</v>
      </c>
      <c r="E7">
        <f>_xll.EQNXTDZ($A$1,$B7,E$1,$B$1)</f>
        <v>15.86</v>
      </c>
      <c r="F7">
        <f>_xll.EQNXTDZ($A$1,$B7,F$1,$B$1)</f>
        <v>18.48</v>
      </c>
      <c r="G7">
        <f>_xll.EQNXTDZ($A$1,$B7,G$1,$B$1)</f>
        <v>18.899999999999999</v>
      </c>
      <c r="H7">
        <f>_xll.EQNXTDZ($A$1,$B7,H$1,$B$1)</f>
        <v>17.45</v>
      </c>
      <c r="I7">
        <f>_xll.EQNXTDZ($A$1,$B7,I$1,$B$1)</f>
        <v>18.39</v>
      </c>
      <c r="J7">
        <f>_xll.EQNXTDZ($A$1,$B7,J$1,$B$1)</f>
        <v>20.56</v>
      </c>
      <c r="K7">
        <f>_xll.EQNXTDZ($A$1,$B7,K$1,$B$1)</f>
        <v>22.29</v>
      </c>
      <c r="L7">
        <f>_xll.EQNXTDZ($A$1,$B7,L$1,$B$1)</f>
        <v>22.67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1.79</v>
      </c>
      <c r="D8">
        <f>_xll.EQNXTDZ($A$1,$B8,D$1,$B$1)</f>
        <v>2.0099999999999998</v>
      </c>
      <c r="E8">
        <f>_xll.EQNXTDZ($A$1,$B8,E$1,$B$1)</f>
        <v>1.84</v>
      </c>
      <c r="F8">
        <f>_xll.EQNXTDZ($A$1,$B8,F$1,$B$1)</f>
        <v>2.08</v>
      </c>
      <c r="G8">
        <f>_xll.EQNXTDZ($A$1,$B8,G$1,$B$1)</f>
        <v>2.04</v>
      </c>
      <c r="H8">
        <f>_xll.EQNXTDZ($A$1,$B8,H$1,$B$1)</f>
        <v>4.13</v>
      </c>
      <c r="I8">
        <f>_xll.EQNXTDZ($A$1,$B8,I$1,$B$1)</f>
        <v>2.4500000000000002</v>
      </c>
      <c r="J8">
        <f>_xll.EQNXTDZ($A$1,$B8,J$1,$B$1)</f>
        <v>2.5499999999999998</v>
      </c>
      <c r="K8">
        <f>_xll.EQNXTDZ($A$1,$B8,K$1,$B$1)</f>
        <v>2.64</v>
      </c>
      <c r="L8">
        <f>_xll.EQNXTDZ($A$1,$B8,L$1,$B$1)</f>
        <v>2.77</v>
      </c>
      <c r="M8">
        <f>_xll.EQNXTDZ($A$1,$B8,M$1,$B$1)</f>
        <v>3.04</v>
      </c>
      <c r="N8">
        <f>_xll.EQNXTDZ($A$1,$B8,N$1,$B$1)</f>
        <v>6.46</v>
      </c>
      <c r="O8">
        <f>_xll.EQNXTDZ($A$1,$B8,O$1,$B$1)</f>
        <v>6.25</v>
      </c>
      <c r="P8">
        <f>_xll.EQNXTDZ($A$1,$B8,P$1,$B$1)</f>
        <v>7.54</v>
      </c>
      <c r="Q8">
        <f>_xll.EQNXTDZ($A$1,$B8,Q$1,$B$1)</f>
        <v>7.38</v>
      </c>
      <c r="R8">
        <f>_xll.EQNXTDZ($A$1,$B8,R$1,$B$1)</f>
        <v>5.6</v>
      </c>
      <c r="S8">
        <f>_xll.EQNXTDZ($A$1,$B8,S$1,$B$1)</f>
        <v>5.69</v>
      </c>
      <c r="T8">
        <f>_xll.EQNXTDZ($A$1,$B8,T$1,$B$1)</f>
        <v>7.05</v>
      </c>
      <c r="U8">
        <f>_xll.EQNXTDZ($A$1,$B8,U$1,$B$1)</f>
        <v>5.34</v>
      </c>
      <c r="V8">
        <f>_xll.EQNXTDZ($A$1,$B8,V$1,$B$1)</f>
        <v>6.23</v>
      </c>
      <c r="W8">
        <f>_xll.EQNXTDZ($A$1,$B8,W$1,$B$1)</f>
        <v>8.15</v>
      </c>
      <c r="X8">
        <f>_xll.EQNXTDZ($A$1,$B8,X$1,$B$1)</f>
        <v>7.92</v>
      </c>
      <c r="Y8">
        <f>_xll.EQNXTDZ($A$1,$B8,Y$1,$B$1)</f>
        <v>8.35</v>
      </c>
      <c r="Z8">
        <f>_xll.EQNXTDZ($A$1,$B8,Z$1,$B$1)</f>
        <v>7.82</v>
      </c>
      <c r="AA8">
        <f>_xll.EQNXTDZ($A$1,$B8,AA$1,$B$1)</f>
        <v>7.3</v>
      </c>
      <c r="AB8">
        <f>_xll.EQNXTDZ($A$1,$B8,AB$1,$B$1)</f>
        <v>12.35</v>
      </c>
      <c r="AC8">
        <f>_xll.EQNXTDZ($A$1,$B8,AC$1,$B$1)</f>
        <v>9.49</v>
      </c>
      <c r="AD8">
        <f>_xll.EQNXTDZ($A$1,$B8,AD$1,$B$1)</f>
        <v>9.7200000000000006</v>
      </c>
      <c r="AE8">
        <f>_xll.EQNXTDZ($A$1,$B8,AE$1,$B$1)</f>
        <v>7.77</v>
      </c>
      <c r="AF8">
        <f>_xll.EQNXTDZ($A$1,$B8,AF$1,$B$1)</f>
        <v>11.33</v>
      </c>
      <c r="AG8">
        <f>_xll.EQNXTDZ($A$1,$B8,AG$1,$B$1)</f>
        <v>14.47</v>
      </c>
      <c r="AH8">
        <f>_xll.EQNXTDZ($A$1,$B8,AH$1,$B$1)</f>
        <v>10.81</v>
      </c>
      <c r="AI8">
        <f>_xll.EQNXTDZ($A$1,$B8,AI$1,$B$1)</f>
        <v>10.19</v>
      </c>
      <c r="AJ8">
        <f>_xll.EQNXTDZ($A$1,$B8,AJ$1,$B$1)</f>
        <v>12.6</v>
      </c>
      <c r="AK8">
        <f>_xll.EQNXTDZ($A$1,$B8,AK$1,$B$1)</f>
        <v>10.3</v>
      </c>
      <c r="AL8">
        <f>_xll.EQNXTDZ($A$1,$B8,AL$1,$B$1)</f>
        <v>11.82</v>
      </c>
      <c r="AM8">
        <f>_xll.EQNXTDZ($A$1,$B8,AM$1,$B$1)</f>
        <v>12.18</v>
      </c>
      <c r="AN8">
        <f>_xll.EQNXTDZ($A$1,$B8,AN$1,$B$1)</f>
        <v>17.309999999999999</v>
      </c>
      <c r="AO8">
        <f>_xll.EQNXTDZ($A$1,$B8,AO$1,$B$1)</f>
        <v>13.11</v>
      </c>
      <c r="AP8">
        <f>_xll.EQNXTDZ($A$1,$B8,AP$1,$B$1)</f>
        <v>17.440000000000001</v>
      </c>
      <c r="AQ8">
        <f>_xll.EQNXTDZ($A$1,$B8,AQ$1,$B$1)</f>
        <v>17.22</v>
      </c>
      <c r="AR8">
        <f>_xll.EQNXTDZ($A$1,$B8,AR$1,$B$1)</f>
        <v>15.57</v>
      </c>
      <c r="AS8">
        <f>_xll.EQNXTDZ($A$1,$B8,AS$1,$B$1)</f>
        <v>16.190000000000001</v>
      </c>
      <c r="AT8">
        <f>_xll.EQNXTDZ($A$1,$B8,AT$1,$B$1)</f>
        <v>15.51</v>
      </c>
      <c r="AU8">
        <f>_xll.EQNXTDZ($A$1,$B8,AU$1,$B$1)</f>
        <v>15.88</v>
      </c>
      <c r="AV8">
        <f>_xll.EQNXTDZ($A$1,$B8,AV$1,$B$1)</f>
        <v>18.190000000000001</v>
      </c>
      <c r="AW8">
        <f>_xll.EQNXTDZ($A$1,$B8,AW$1,$B$1)</f>
        <v>18.54</v>
      </c>
      <c r="AX8">
        <f>_xll.EQNXTDZ($A$1,$B8,AX$1,$B$1)</f>
        <v>16.47</v>
      </c>
      <c r="AY8">
        <f>_xll.EQNXTDZ($A$1,$B8,AY$1,$B$1)</f>
        <v>18.47</v>
      </c>
      <c r="AZ8">
        <f>_xll.EQNXTDZ($A$1,$B8,AZ$1,$B$1)</f>
        <v>17.829999999999998</v>
      </c>
      <c r="BA8">
        <f>_xll.EQNXTDZ($A$1,$B8,BA$1,$B$1)</f>
        <v>17.88</v>
      </c>
      <c r="BB8">
        <f>_xll.EQNXTDZ($A$1,$B8,BB$1,$B$1)</f>
        <v>16.89</v>
      </c>
      <c r="BC8">
        <f>_xll.EQNXTDZ($A$1,$B8,BC$1,$B$1)</f>
        <v>20.29</v>
      </c>
      <c r="BD8">
        <f>_xll.EQNXTDZ($A$1,$B8,BD$1,$B$1)</f>
        <v>19.8</v>
      </c>
      <c r="BE8">
        <f>_xll.EQNXTDZ($A$1,$B8,BE$1,$B$1)</f>
        <v>23.39</v>
      </c>
      <c r="BF8">
        <f>_xll.EQNXTDZ($A$1,$B8,BF$1,$B$1)</f>
        <v>19.47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238.57</v>
      </c>
      <c r="D9">
        <f>_xll.EQNXTDZ($A$1,$B9,D$1,$B$1)</f>
        <v>223.04</v>
      </c>
      <c r="E9">
        <f>_xll.EQNXTDZ($A$1,$B9,E$1,$B$1)</f>
        <v>229.39</v>
      </c>
      <c r="F9">
        <f>_xll.EQNXTDZ($A$1,$B9,F$1,$B$1)</f>
        <v>256.81</v>
      </c>
      <c r="G9">
        <f>_xll.EQNXTDZ($A$1,$B9,G$1,$B$1)</f>
        <v>277.77999999999997</v>
      </c>
      <c r="H9">
        <f>_xll.EQNXTDZ($A$1,$B9,H$1,$B$1)</f>
        <v>269.44</v>
      </c>
      <c r="I9">
        <f>_xll.EQNXTDZ($A$1,$B9,I$1,$B$1)</f>
        <v>281.47000000000003</v>
      </c>
      <c r="J9">
        <f>_xll.EQNXTDZ($A$1,$B9,J$1,$B$1)</f>
        <v>291.58</v>
      </c>
      <c r="K9">
        <f>_xll.EQNXTDZ($A$1,$B9,K$1,$B$1)</f>
        <v>309.27</v>
      </c>
      <c r="L9">
        <f>_xll.EQNXTDZ($A$1,$B9,L$1,$B$1)</f>
        <v>314.35000000000002</v>
      </c>
      <c r="M9">
        <f>_xll.EQNXTDZ($A$1,$B9,M$1,$B$1)</f>
        <v>310.14</v>
      </c>
      <c r="N9">
        <f>_xll.EQNXTDZ($A$1,$B9,N$1,$B$1)</f>
        <v>442.36</v>
      </c>
      <c r="O9">
        <f>_xll.EQNXTDZ($A$1,$B9,O$1,$B$1)</f>
        <v>544.84</v>
      </c>
      <c r="P9">
        <f>_xll.EQNXTDZ($A$1,$B9,P$1,$B$1)</f>
        <v>522.19000000000005</v>
      </c>
      <c r="Q9">
        <f>_xll.EQNXTDZ($A$1,$B9,Q$1,$B$1)</f>
        <v>527.99</v>
      </c>
      <c r="R9">
        <f>_xll.EQNXTDZ($A$1,$B9,R$1,$B$1)</f>
        <v>525.61</v>
      </c>
      <c r="S9">
        <f>_xll.EQNXTDZ($A$1,$B9,S$1,$B$1)</f>
        <v>572.17999999999995</v>
      </c>
      <c r="T9">
        <f>_xll.EQNXTDZ($A$1,$B9,T$1,$B$1)</f>
        <v>557.47</v>
      </c>
      <c r="U9">
        <f>_xll.EQNXTDZ($A$1,$B9,U$1,$B$1)</f>
        <v>522.52</v>
      </c>
      <c r="V9">
        <f>_xll.EQNXTDZ($A$1,$B9,V$1,$B$1)</f>
        <v>562.17999999999995</v>
      </c>
      <c r="W9">
        <f>_xll.EQNXTDZ($A$1,$B9,W$1,$B$1)</f>
        <v>559.17999999999995</v>
      </c>
      <c r="X9">
        <f>_xll.EQNXTDZ($A$1,$B9,X$1,$B$1)</f>
        <v>546.41999999999996</v>
      </c>
      <c r="Y9">
        <f>_xll.EQNXTDZ($A$1,$B9,Y$1,$B$1)</f>
        <v>561.91</v>
      </c>
      <c r="Z9">
        <f>_xll.EQNXTDZ($A$1,$B9,Z$1,$B$1)</f>
        <v>553.01</v>
      </c>
      <c r="AA9">
        <f>_xll.EQNXTDZ($A$1,$B9,AA$1,$B$1)</f>
        <v>595.48</v>
      </c>
      <c r="AB9">
        <f>_xll.EQNXTDZ($A$1,$B9,AB$1,$B$1)</f>
        <v>607.51</v>
      </c>
      <c r="AC9">
        <f>_xll.EQNXTDZ($A$1,$B9,AC$1,$B$1)</f>
        <v>613.07000000000005</v>
      </c>
      <c r="AD9">
        <f>_xll.EQNXTDZ($A$1,$B9,AD$1,$B$1)</f>
        <v>629.41</v>
      </c>
      <c r="AE9">
        <f>_xll.EQNXTDZ($A$1,$B9,AE$1,$B$1)</f>
        <v>633.75</v>
      </c>
      <c r="AF9">
        <f>_xll.EQNXTDZ($A$1,$B9,AF$1,$B$1)</f>
        <v>650.14</v>
      </c>
      <c r="AG9">
        <f>_xll.EQNXTDZ($A$1,$B9,AG$1,$B$1)</f>
        <v>677.66</v>
      </c>
      <c r="AH9">
        <f>_xll.EQNXTDZ($A$1,$B9,AH$1,$B$1)</f>
        <v>578.29999999999995</v>
      </c>
      <c r="AI9">
        <f>_xll.EQNXTDZ($A$1,$B9,AI$1,$B$1)</f>
        <v>640.79</v>
      </c>
      <c r="AJ9">
        <f>_xll.EQNXTDZ($A$1,$B9,AJ$1,$B$1)</f>
        <v>685.9</v>
      </c>
      <c r="AK9">
        <f>_xll.EQNXTDZ($A$1,$B9,AK$1,$B$1)</f>
        <v>557.71</v>
      </c>
      <c r="AL9">
        <f>_xll.EQNXTDZ($A$1,$B9,AL$1,$B$1)</f>
        <v>632.34</v>
      </c>
      <c r="AM9">
        <f>_xll.EQNXTDZ($A$1,$B9,AM$1,$B$1)</f>
        <v>662.64</v>
      </c>
      <c r="AN9">
        <f>_xll.EQNXTDZ($A$1,$B9,AN$1,$B$1)</f>
        <v>668.73</v>
      </c>
      <c r="AO9">
        <f>_xll.EQNXTDZ($A$1,$B9,AO$1,$B$1)</f>
        <v>661.57</v>
      </c>
      <c r="AP9">
        <f>_xll.EQNXTDZ($A$1,$B9,AP$1,$B$1)</f>
        <v>728.51</v>
      </c>
      <c r="AQ9">
        <f>_xll.EQNXTDZ($A$1,$B9,AQ$1,$B$1)</f>
        <v>792.67</v>
      </c>
      <c r="AR9">
        <f>_xll.EQNXTDZ($A$1,$B9,AR$1,$B$1)</f>
        <v>769.03</v>
      </c>
      <c r="AS9">
        <f>_xll.EQNXTDZ($A$1,$B9,AS$1,$B$1)</f>
        <v>692.71</v>
      </c>
      <c r="AT9">
        <f>_xll.EQNXTDZ($A$1,$B9,AT$1,$B$1)</f>
        <v>661.53</v>
      </c>
      <c r="AU9">
        <f>_xll.EQNXTDZ($A$1,$B9,AU$1,$B$1)</f>
        <v>621.70000000000005</v>
      </c>
      <c r="AV9">
        <f>_xll.EQNXTDZ($A$1,$B9,AV$1,$B$1)</f>
        <v>662.48</v>
      </c>
      <c r="AW9">
        <f>_xll.EQNXTDZ($A$1,$B9,AW$1,$B$1)</f>
        <v>603.73</v>
      </c>
      <c r="AX9">
        <f>_xll.EQNXTDZ($A$1,$B9,AX$1,$B$1)</f>
        <v>610.12</v>
      </c>
      <c r="AY9">
        <f>_xll.EQNXTDZ($A$1,$B9,AY$1,$B$1)</f>
        <v>639.45000000000005</v>
      </c>
      <c r="AZ9">
        <f>_xll.EQNXTDZ($A$1,$B9,AZ$1,$B$1)</f>
        <v>652.5</v>
      </c>
      <c r="BA9">
        <f>_xll.EQNXTDZ($A$1,$B9,BA$1,$B$1)</f>
        <v>619.11</v>
      </c>
      <c r="BB9">
        <f>_xll.EQNXTDZ($A$1,$B9,BB$1,$B$1)</f>
        <v>609.92999999999995</v>
      </c>
      <c r="BC9">
        <f>_xll.EQNXTDZ($A$1,$B9,BC$1,$B$1)</f>
        <v>612.23</v>
      </c>
      <c r="BD9">
        <f>_xll.EQNXTDZ($A$1,$B9,BD$1,$B$1)</f>
        <v>624.73</v>
      </c>
      <c r="BE9">
        <f>_xll.EQNXTDZ($A$1,$B9,BE$1,$B$1)</f>
        <v>622.52</v>
      </c>
      <c r="BF9">
        <f>_xll.EQNXTDZ($A$1,$B9,BF$1,$B$1)</f>
        <v>613.1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-1.23</v>
      </c>
      <c r="D10">
        <f>_xll.EQNXTDZ($A$1,$B10,D$1,$B$1)</f>
        <v>-2.4700000000000002</v>
      </c>
      <c r="E10">
        <f>_xll.EQNXTDZ($A$1,$B10,E$1,$B$1)</f>
        <v>2.4500000000000002</v>
      </c>
      <c r="F10">
        <f>_xll.EQNXTDZ($A$1,$B10,F$1,$B$1)</f>
        <v>-2.98</v>
      </c>
      <c r="G10">
        <f>_xll.EQNXTDZ($A$1,$B10,G$1,$B$1)</f>
        <v>-2.74</v>
      </c>
      <c r="H10">
        <f>_xll.EQNXTDZ($A$1,$B10,H$1,$B$1)</f>
        <v>3</v>
      </c>
      <c r="I10">
        <f>_xll.EQNXTDZ($A$1,$B10,I$1,$B$1)</f>
        <v>5.15</v>
      </c>
      <c r="J10">
        <f>_xll.EQNXTDZ($A$1,$B10,J$1,$B$1)</f>
        <v>-6.94</v>
      </c>
      <c r="K10">
        <f>_xll.EQNXTDZ($A$1,$B10,K$1,$B$1)</f>
        <v>-1.4</v>
      </c>
      <c r="L10">
        <f>_xll.EQNXTDZ($A$1,$B10,L$1,$B$1)</f>
        <v>-4.7300000000000004</v>
      </c>
      <c r="M10">
        <f>_xll.EQNXTDZ($A$1,$B10,M$1,$B$1)</f>
        <v>7.73</v>
      </c>
      <c r="N10">
        <f>_xll.EQNXTDZ($A$1,$B10,N$1,$B$1)</f>
        <v>-1.32</v>
      </c>
      <c r="O10">
        <f>_xll.EQNXTDZ($A$1,$B10,O$1,$B$1)</f>
        <v>2.56</v>
      </c>
      <c r="P10">
        <f>_xll.EQNXTDZ($A$1,$B10,P$1,$B$1)</f>
        <v>3.38</v>
      </c>
      <c r="Q10">
        <f>_xll.EQNXTDZ($A$1,$B10,Q$1,$B$1)</f>
        <v>-23.9</v>
      </c>
      <c r="R10">
        <f>_xll.EQNXTDZ($A$1,$B10,R$1,$B$1)</f>
        <v>-1.43</v>
      </c>
      <c r="S10">
        <f>_xll.EQNXTDZ($A$1,$B10,S$1,$B$1)</f>
        <v>-13.25</v>
      </c>
      <c r="T10">
        <f>_xll.EQNXTDZ($A$1,$B10,T$1,$B$1)</f>
        <v>2.61</v>
      </c>
      <c r="U10">
        <f>_xll.EQNXTDZ($A$1,$B10,U$1,$B$1)</f>
        <v>6.32</v>
      </c>
      <c r="V10">
        <f>_xll.EQNXTDZ($A$1,$B10,V$1,$B$1)</f>
        <v>-0.45</v>
      </c>
      <c r="W10">
        <f>_xll.EQNXTDZ($A$1,$B10,W$1,$B$1)</f>
        <v>-14.8</v>
      </c>
      <c r="X10">
        <f>_xll.EQNXTDZ($A$1,$B10,X$1,$B$1)</f>
        <v>12.24</v>
      </c>
      <c r="Y10">
        <f>_xll.EQNXTDZ($A$1,$B10,Y$1,$B$1)</f>
        <v>6.31</v>
      </c>
      <c r="Z10">
        <f>_xll.EQNXTDZ($A$1,$B10,Z$1,$B$1)</f>
        <v>-10.31</v>
      </c>
      <c r="AA10">
        <f>_xll.EQNXTDZ($A$1,$B10,AA$1,$B$1)</f>
        <v>-2.44</v>
      </c>
      <c r="AB10">
        <f>_xll.EQNXTDZ($A$1,$B10,AB$1,$B$1)</f>
        <v>0.33</v>
      </c>
      <c r="AC10">
        <f>_xll.EQNXTDZ($A$1,$B10,AC$1,$B$1)</f>
        <v>0.78</v>
      </c>
      <c r="AD10">
        <f>_xll.EQNXTDZ($A$1,$B10,AD$1,$B$1)</f>
        <v>-2.58</v>
      </c>
      <c r="AE10">
        <f>_xll.EQNXTDZ($A$1,$B10,AE$1,$B$1)</f>
        <v>-12.65</v>
      </c>
      <c r="AF10">
        <f>_xll.EQNXTDZ($A$1,$B10,AF$1,$B$1)</f>
        <v>-3.11</v>
      </c>
      <c r="AG10">
        <f>_xll.EQNXTDZ($A$1,$B10,AG$1,$B$1)</f>
        <v>20.18</v>
      </c>
      <c r="AH10">
        <f>_xll.EQNXTDZ($A$1,$B10,AH$1,$B$1)</f>
        <v>-39.35</v>
      </c>
      <c r="AI10">
        <f>_xll.EQNXTDZ($A$1,$B10,AI$1,$B$1)</f>
        <v>-6.3</v>
      </c>
      <c r="AJ10">
        <f>_xll.EQNXTDZ($A$1,$B10,AJ$1,$B$1)</f>
        <v>14.96</v>
      </c>
      <c r="AK10">
        <f>_xll.EQNXTDZ($A$1,$B10,AK$1,$B$1)</f>
        <v>19.920000000000002</v>
      </c>
      <c r="AL10">
        <f>_xll.EQNXTDZ($A$1,$B10,AL$1,$B$1)</f>
        <v>-42.49</v>
      </c>
      <c r="AM10">
        <f>_xll.EQNXTDZ($A$1,$B10,AM$1,$B$1)</f>
        <v>-25.18</v>
      </c>
      <c r="AN10">
        <f>_xll.EQNXTDZ($A$1,$B10,AN$1,$B$1)</f>
        <v>21.95</v>
      </c>
      <c r="AO10">
        <f>_xll.EQNXTDZ($A$1,$B10,AO$1,$B$1)</f>
        <v>-8.7200000000000006</v>
      </c>
      <c r="AP10">
        <f>_xll.EQNXTDZ($A$1,$B10,AP$1,$B$1)</f>
        <v>-9.6999999999999993</v>
      </c>
      <c r="AQ10">
        <f>_xll.EQNXTDZ($A$1,$B10,AQ$1,$B$1)</f>
        <v>-21.93</v>
      </c>
      <c r="AR10">
        <f>_xll.EQNXTDZ($A$1,$B10,AR$1,$B$1)</f>
        <v>25</v>
      </c>
      <c r="AS10">
        <f>_xll.EQNXTDZ($A$1,$B10,AS$1,$B$1)</f>
        <v>22.47</v>
      </c>
      <c r="AT10">
        <f>_xll.EQNXTDZ($A$1,$B10,AT$1,$B$1)</f>
        <v>-0.72</v>
      </c>
      <c r="AU10">
        <f>_xll.EQNXTDZ($A$1,$B10,AU$1,$B$1)</f>
        <v>-1.3</v>
      </c>
      <c r="AV10">
        <f>_xll.EQNXTDZ($A$1,$B10,AV$1,$B$1)</f>
        <v>16</v>
      </c>
      <c r="AW10">
        <f>_xll.EQNXTDZ($A$1,$B10,AW$1,$B$1)</f>
        <v>2.5099999999999998</v>
      </c>
      <c r="AX10">
        <f>_xll.EQNXTDZ($A$1,$B10,AX$1,$B$1)</f>
        <v>-25.65</v>
      </c>
      <c r="AY10">
        <f>_xll.EQNXTDZ($A$1,$B10,AY$1,$B$1)</f>
        <v>1.18</v>
      </c>
      <c r="AZ10">
        <f>_xll.EQNXTDZ($A$1,$B10,AZ$1,$B$1)</f>
        <v>8.01</v>
      </c>
      <c r="BA10">
        <f>_xll.EQNXTDZ($A$1,$B10,BA$1,$B$1)</f>
        <v>33.96</v>
      </c>
      <c r="BB10">
        <f>_xll.EQNXTDZ($A$1,$B10,BB$1,$B$1)</f>
        <v>-22.73</v>
      </c>
      <c r="BC10">
        <f>_xll.EQNXTDZ($A$1,$B10,BC$1,$B$1)</f>
        <v>-0.14000000000000001</v>
      </c>
      <c r="BD10">
        <f>_xll.EQNXTDZ($A$1,$B10,BD$1,$B$1)</f>
        <v>0.64</v>
      </c>
      <c r="BE10">
        <f>_xll.EQNXTDZ($A$1,$B10,BE$1,$B$1)</f>
        <v>32.380000000000003</v>
      </c>
      <c r="BF10">
        <f>_xll.EQNXTDZ($A$1,$B10,BF$1,$B$1)</f>
        <v>-26.24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167.83</v>
      </c>
      <c r="D11">
        <f>_xll.EQNXTDZ($A$1,$B11,D$1,$B$1)</f>
        <v>161.33000000000001</v>
      </c>
      <c r="E11">
        <f>_xll.EQNXTDZ($A$1,$B11,E$1,$B$1)</f>
        <v>153.51</v>
      </c>
      <c r="F11">
        <f>_xll.EQNXTDZ($A$1,$B11,F$1,$B$1)</f>
        <v>177.39</v>
      </c>
      <c r="G11">
        <f>_xll.EQNXTDZ($A$1,$B11,G$1,$B$1)</f>
        <v>193.29</v>
      </c>
      <c r="H11">
        <f>_xll.EQNXTDZ($A$1,$B11,H$1,$B$1)</f>
        <v>184.36</v>
      </c>
      <c r="I11">
        <f>_xll.EQNXTDZ($A$1,$B11,I$1,$B$1)</f>
        <v>194.83</v>
      </c>
      <c r="J11">
        <f>_xll.EQNXTDZ($A$1,$B11,J$1,$B$1)</f>
        <v>212.07</v>
      </c>
      <c r="K11">
        <f>_xll.EQNXTDZ($A$1,$B11,K$1,$B$1)</f>
        <v>222.12</v>
      </c>
      <c r="L11">
        <f>_xll.EQNXTDZ($A$1,$B11,L$1,$B$1)</f>
        <v>230.73</v>
      </c>
      <c r="M11">
        <f>_xll.EQNXTDZ($A$1,$B11,M$1,$B$1)</f>
        <v>212.15</v>
      </c>
      <c r="N11">
        <f>_xll.EQNXTDZ($A$1,$B11,N$1,$B$1)</f>
        <v>298.55</v>
      </c>
      <c r="O11">
        <f>_xll.EQNXTDZ($A$1,$B11,O$1,$B$1)</f>
        <v>366.62</v>
      </c>
      <c r="P11">
        <f>_xll.EQNXTDZ($A$1,$B11,P$1,$B$1)</f>
        <v>354.75</v>
      </c>
      <c r="Q11">
        <f>_xll.EQNXTDZ($A$1,$B11,Q$1,$B$1)</f>
        <v>365.92</v>
      </c>
      <c r="R11">
        <f>_xll.EQNXTDZ($A$1,$B11,R$1,$B$1)</f>
        <v>339.53</v>
      </c>
      <c r="S11">
        <f>_xll.EQNXTDZ($A$1,$B11,S$1,$B$1)</f>
        <v>404.47</v>
      </c>
      <c r="T11">
        <f>_xll.EQNXTDZ($A$1,$B11,T$1,$B$1)</f>
        <v>380.22</v>
      </c>
      <c r="U11">
        <f>_xll.EQNXTDZ($A$1,$B11,U$1,$B$1)</f>
        <v>348.56</v>
      </c>
      <c r="V11">
        <f>_xll.EQNXTDZ($A$1,$B11,V$1,$B$1)</f>
        <v>344.96</v>
      </c>
      <c r="W11">
        <f>_xll.EQNXTDZ($A$1,$B11,W$1,$B$1)</f>
        <v>359.98</v>
      </c>
      <c r="X11">
        <f>_xll.EQNXTDZ($A$1,$B11,X$1,$B$1)</f>
        <v>350.02</v>
      </c>
      <c r="Y11">
        <f>_xll.EQNXTDZ($A$1,$B11,Y$1,$B$1)</f>
        <v>370.04</v>
      </c>
      <c r="Z11">
        <f>_xll.EQNXTDZ($A$1,$B11,Z$1,$B$1)</f>
        <v>381.67</v>
      </c>
      <c r="AA11">
        <f>_xll.EQNXTDZ($A$1,$B11,AA$1,$B$1)</f>
        <v>411.46</v>
      </c>
      <c r="AB11">
        <f>_xll.EQNXTDZ($A$1,$B11,AB$1,$B$1)</f>
        <v>417.13</v>
      </c>
      <c r="AC11">
        <f>_xll.EQNXTDZ($A$1,$B11,AC$1,$B$1)</f>
        <v>409.08</v>
      </c>
      <c r="AD11">
        <f>_xll.EQNXTDZ($A$1,$B11,AD$1,$B$1)</f>
        <v>412.17</v>
      </c>
      <c r="AE11">
        <f>_xll.EQNXTDZ($A$1,$B11,AE$1,$B$1)</f>
        <v>427.87</v>
      </c>
      <c r="AF11">
        <f>_xll.EQNXTDZ($A$1,$B11,AF$1,$B$1)</f>
        <v>436.61</v>
      </c>
      <c r="AG11">
        <f>_xll.EQNXTDZ($A$1,$B11,AG$1,$B$1)</f>
        <v>441.96</v>
      </c>
      <c r="AH11">
        <f>_xll.EQNXTDZ($A$1,$B11,AH$1,$B$1)</f>
        <v>411.51</v>
      </c>
      <c r="AI11">
        <f>_xll.EQNXTDZ($A$1,$B11,AI$1,$B$1)</f>
        <v>425.45</v>
      </c>
      <c r="AJ11">
        <f>_xll.EQNXTDZ($A$1,$B11,AJ$1,$B$1)</f>
        <v>431.6</v>
      </c>
      <c r="AK11">
        <f>_xll.EQNXTDZ($A$1,$B11,AK$1,$B$1)</f>
        <v>354.65</v>
      </c>
      <c r="AL11">
        <f>_xll.EQNXTDZ($A$1,$B11,AL$1,$B$1)</f>
        <v>466.19</v>
      </c>
      <c r="AM11">
        <f>_xll.EQNXTDZ($A$1,$B11,AM$1,$B$1)</f>
        <v>502.48</v>
      </c>
      <c r="AN11">
        <f>_xll.EQNXTDZ($A$1,$B11,AN$1,$B$1)</f>
        <v>459.77</v>
      </c>
      <c r="AO11">
        <f>_xll.EQNXTDZ($A$1,$B11,AO$1,$B$1)</f>
        <v>498.24</v>
      </c>
      <c r="AP11">
        <f>_xll.EQNXTDZ($A$1,$B11,AP$1,$B$1)</f>
        <v>532.16</v>
      </c>
      <c r="AQ11">
        <f>_xll.EQNXTDZ($A$1,$B11,AQ$1,$B$1)</f>
        <v>606.76</v>
      </c>
      <c r="AR11">
        <f>_xll.EQNXTDZ($A$1,$B11,AR$1,$B$1)</f>
        <v>551.45000000000005</v>
      </c>
      <c r="AS11">
        <f>_xll.EQNXTDZ($A$1,$B11,AS$1,$B$1)</f>
        <v>477.53</v>
      </c>
      <c r="AT11">
        <f>_xll.EQNXTDZ($A$1,$B11,AT$1,$B$1)</f>
        <v>461.49</v>
      </c>
      <c r="AU11">
        <f>_xll.EQNXTDZ($A$1,$B11,AU$1,$B$1)</f>
        <v>425.82</v>
      </c>
      <c r="AV11">
        <f>_xll.EQNXTDZ($A$1,$B11,AV$1,$B$1)</f>
        <v>437.62</v>
      </c>
      <c r="AW11">
        <f>_xll.EQNXTDZ($A$1,$B11,AW$1,$B$1)</f>
        <v>395.29</v>
      </c>
      <c r="AX11">
        <f>_xll.EQNXTDZ($A$1,$B11,AX$1,$B$1)</f>
        <v>430.35</v>
      </c>
      <c r="AY11">
        <f>_xll.EQNXTDZ($A$1,$B11,AY$1,$B$1)</f>
        <v>441.82</v>
      </c>
      <c r="AZ11">
        <f>_xll.EQNXTDZ($A$1,$B11,AZ$1,$B$1)</f>
        <v>447.41</v>
      </c>
      <c r="BA11">
        <f>_xll.EQNXTDZ($A$1,$B11,BA$1,$B$1)</f>
        <v>402.7</v>
      </c>
      <c r="BB11">
        <f>_xll.EQNXTDZ($A$1,$B11,BB$1,$B$1)</f>
        <v>425.34</v>
      </c>
      <c r="BC11">
        <f>_xll.EQNXTDZ($A$1,$B11,BC$1,$B$1)</f>
        <v>401.6</v>
      </c>
      <c r="BD11">
        <f>_xll.EQNXTDZ($A$1,$B11,BD$1,$B$1)</f>
        <v>412.49</v>
      </c>
      <c r="BE11">
        <f>_xll.EQNXTDZ($A$1,$B11,BE$1,$B$1)</f>
        <v>380.64</v>
      </c>
      <c r="BF11">
        <f>_xll.EQNXTDZ($A$1,$B11,BF$1,$B$1)</f>
        <v>428.49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50.34</v>
      </c>
      <c r="W13">
        <f>_xll.EQNXTDZ($A$1,$B13,W$1,$B$1)</f>
        <v>48.4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28.78</v>
      </c>
      <c r="D14">
        <f>_xll.EQNXTDZ($A$1,$B14,D$1,$B$1)</f>
        <v>28.05</v>
      </c>
      <c r="E14">
        <f>_xll.EQNXTDZ($A$1,$B14,E$1,$B$1)</f>
        <v>31.03</v>
      </c>
      <c r="F14">
        <f>_xll.EQNXTDZ($A$1,$B14,F$1,$B$1)</f>
        <v>31.11</v>
      </c>
      <c r="G14">
        <f>_xll.EQNXTDZ($A$1,$B14,G$1,$B$1)</f>
        <v>32.840000000000003</v>
      </c>
      <c r="H14">
        <f>_xll.EQNXTDZ($A$1,$B14,H$1,$B$1)</f>
        <v>33.19</v>
      </c>
      <c r="I14">
        <f>_xll.EQNXTDZ($A$1,$B14,I$1,$B$1)</f>
        <v>35.19</v>
      </c>
      <c r="J14">
        <f>_xll.EQNXTDZ($A$1,$B14,J$1,$B$1)</f>
        <v>33.33</v>
      </c>
      <c r="K14">
        <f>_xll.EQNXTDZ($A$1,$B14,K$1,$B$1)</f>
        <v>34.299999999999997</v>
      </c>
      <c r="L14">
        <f>_xll.EQNXTDZ($A$1,$B14,L$1,$B$1)</f>
        <v>37.020000000000003</v>
      </c>
      <c r="M14">
        <f>_xll.EQNXTDZ($A$1,$B14,M$1,$B$1)</f>
        <v>37.67</v>
      </c>
      <c r="N14">
        <f>_xll.EQNXTDZ($A$1,$B14,N$1,$B$1)</f>
        <v>55.3</v>
      </c>
      <c r="O14">
        <f>_xll.EQNXTDZ($A$1,$B14,O$1,$B$1)</f>
        <v>67.77</v>
      </c>
      <c r="P14">
        <f>_xll.EQNXTDZ($A$1,$B14,P$1,$B$1)</f>
        <v>65.34</v>
      </c>
      <c r="Q14">
        <f>_xll.EQNXTDZ($A$1,$B14,Q$1,$B$1)</f>
        <v>69.73</v>
      </c>
      <c r="R14">
        <f>_xll.EQNXTDZ($A$1,$B14,R$1,$B$1)</f>
        <v>63.81</v>
      </c>
      <c r="S14">
        <f>_xll.EQNXTDZ($A$1,$B14,S$1,$B$1)</f>
        <v>70.83</v>
      </c>
      <c r="T14">
        <f>_xll.EQNXTDZ($A$1,$B14,T$1,$B$1)</f>
        <v>68.55</v>
      </c>
      <c r="U14">
        <f>_xll.EQNXTDZ($A$1,$B14,U$1,$B$1)</f>
        <v>67.12</v>
      </c>
      <c r="V14">
        <f>_xll.EQNXTDZ($A$1,$B14,V$1,$B$1)</f>
        <v>64.41</v>
      </c>
      <c r="W14">
        <f>_xll.EQNXTDZ($A$1,$B14,W$1,$B$1)</f>
        <v>71.819999999999993</v>
      </c>
      <c r="X14">
        <f>_xll.EQNXTDZ($A$1,$B14,X$1,$B$1)</f>
        <v>66.12</v>
      </c>
      <c r="Y14">
        <f>_xll.EQNXTDZ($A$1,$B14,Y$1,$B$1)</f>
        <v>70.25</v>
      </c>
      <c r="Z14">
        <f>_xll.EQNXTDZ($A$1,$B14,Z$1,$B$1)</f>
        <v>70.510000000000005</v>
      </c>
      <c r="AA14">
        <f>_xll.EQNXTDZ($A$1,$B14,AA$1,$B$1)</f>
        <v>78.209999999999994</v>
      </c>
      <c r="AB14">
        <f>_xll.EQNXTDZ($A$1,$B14,AB$1,$B$1)</f>
        <v>77.37</v>
      </c>
      <c r="AC14">
        <f>_xll.EQNXTDZ($A$1,$B14,AC$1,$B$1)</f>
        <v>78.7</v>
      </c>
      <c r="AD14">
        <f>_xll.EQNXTDZ($A$1,$B14,AD$1,$B$1)</f>
        <v>71.92</v>
      </c>
      <c r="AE14">
        <f>_xll.EQNXTDZ($A$1,$B14,AE$1,$B$1)</f>
        <v>80.3</v>
      </c>
      <c r="AF14">
        <f>_xll.EQNXTDZ($A$1,$B14,AF$1,$B$1)</f>
        <v>85.89</v>
      </c>
      <c r="AG14">
        <f>_xll.EQNXTDZ($A$1,$B14,AG$1,$B$1)</f>
        <v>87.77</v>
      </c>
      <c r="AH14">
        <f>_xll.EQNXTDZ($A$1,$B14,AH$1,$B$1)</f>
        <v>89.8</v>
      </c>
      <c r="AI14">
        <f>_xll.EQNXTDZ($A$1,$B14,AI$1,$B$1)</f>
        <v>77.510000000000005</v>
      </c>
      <c r="AJ14">
        <f>_xll.EQNXTDZ($A$1,$B14,AJ$1,$B$1)</f>
        <v>90.8</v>
      </c>
      <c r="AK14">
        <f>_xll.EQNXTDZ($A$1,$B14,AK$1,$B$1)</f>
        <v>85.73</v>
      </c>
      <c r="AL14">
        <f>_xll.EQNXTDZ($A$1,$B14,AL$1,$B$1)</f>
        <v>95.96</v>
      </c>
      <c r="AM14">
        <f>_xll.EQNXTDZ($A$1,$B14,AM$1,$B$1)</f>
        <v>96.22</v>
      </c>
      <c r="AN14">
        <f>_xll.EQNXTDZ($A$1,$B14,AN$1,$B$1)</f>
        <v>95.29</v>
      </c>
      <c r="AO14">
        <f>_xll.EQNXTDZ($A$1,$B14,AO$1,$B$1)</f>
        <v>100.66</v>
      </c>
      <c r="AP14">
        <f>_xll.EQNXTDZ($A$1,$B14,AP$1,$B$1)</f>
        <v>97.36</v>
      </c>
      <c r="AQ14">
        <f>_xll.EQNXTDZ($A$1,$B14,AQ$1,$B$1)</f>
        <v>105.78</v>
      </c>
      <c r="AR14">
        <f>_xll.EQNXTDZ($A$1,$B14,AR$1,$B$1)</f>
        <v>103.91</v>
      </c>
      <c r="AS14">
        <f>_xll.EQNXTDZ($A$1,$B14,AS$1,$B$1)</f>
        <v>81.510000000000005</v>
      </c>
      <c r="AT14">
        <f>_xll.EQNXTDZ($A$1,$B14,AT$1,$B$1)</f>
        <v>90.16</v>
      </c>
      <c r="AU14">
        <f>_xll.EQNXTDZ($A$1,$B14,AU$1,$B$1)</f>
        <v>92.66</v>
      </c>
      <c r="AV14">
        <f>_xll.EQNXTDZ($A$1,$B14,AV$1,$B$1)</f>
        <v>94.51</v>
      </c>
      <c r="AW14">
        <f>_xll.EQNXTDZ($A$1,$B14,AW$1,$B$1)</f>
        <v>85.21</v>
      </c>
      <c r="AX14">
        <f>_xll.EQNXTDZ($A$1,$B14,AX$1,$B$1)</f>
        <v>102.7</v>
      </c>
      <c r="AY14">
        <f>_xll.EQNXTDZ($A$1,$B14,AY$1,$B$1)</f>
        <v>99.19</v>
      </c>
      <c r="AZ14">
        <f>_xll.EQNXTDZ($A$1,$B14,AZ$1,$B$1)</f>
        <v>114.84</v>
      </c>
      <c r="BA14">
        <f>_xll.EQNXTDZ($A$1,$B14,BA$1,$B$1)</f>
        <v>93.1</v>
      </c>
      <c r="BB14">
        <f>_xll.EQNXTDZ($A$1,$B14,BB$1,$B$1)</f>
        <v>101.24</v>
      </c>
      <c r="BC14">
        <f>_xll.EQNXTDZ($A$1,$B14,BC$1,$B$1)</f>
        <v>97.01</v>
      </c>
      <c r="BD14">
        <f>_xll.EQNXTDZ($A$1,$B14,BD$1,$B$1)</f>
        <v>96.07</v>
      </c>
      <c r="BE14">
        <f>_xll.EQNXTDZ($A$1,$B14,BE$1,$B$1)</f>
        <v>95.1</v>
      </c>
      <c r="BF14">
        <f>_xll.EQNXTDZ($A$1,$B14,BF$1,$B$1)</f>
        <v>106.16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17.920000000000002</v>
      </c>
      <c r="D16">
        <f>_xll.EQNXTDZ($A$1,$B16,D$1,$B$1)</f>
        <v>18.190000000000001</v>
      </c>
      <c r="E16">
        <f>_xll.EQNXTDZ($A$1,$B16,E$1,$B$1)</f>
        <v>18.34</v>
      </c>
      <c r="F16">
        <f>_xll.EQNXTDZ($A$1,$B16,F$1,$B$1)</f>
        <v>20.18</v>
      </c>
      <c r="G16">
        <f>_xll.EQNXTDZ($A$1,$B16,G$1,$B$1)</f>
        <v>22.05</v>
      </c>
      <c r="H16">
        <f>_xll.EQNXTDZ($A$1,$B16,H$1,$B$1)</f>
        <v>22.89</v>
      </c>
      <c r="I16">
        <f>_xll.EQNXTDZ($A$1,$B16,I$1,$B$1)</f>
        <v>18.98</v>
      </c>
      <c r="J16">
        <f>_xll.EQNXTDZ($A$1,$B16,J$1,$B$1)</f>
        <v>21.1</v>
      </c>
      <c r="K16">
        <f>_xll.EQNXTDZ($A$1,$B16,K$1,$B$1)</f>
        <v>22.83</v>
      </c>
      <c r="L16">
        <f>_xll.EQNXTDZ($A$1,$B16,L$1,$B$1)</f>
        <v>24.39</v>
      </c>
      <c r="M16">
        <f>_xll.EQNXTDZ($A$1,$B16,M$1,$B$1)</f>
        <v>23.93</v>
      </c>
      <c r="N16">
        <f>_xll.EQNXTDZ($A$1,$B16,N$1,$B$1)</f>
        <v>35.72</v>
      </c>
      <c r="O16">
        <f>_xll.EQNXTDZ($A$1,$B16,O$1,$B$1)</f>
        <v>45.16</v>
      </c>
      <c r="P16">
        <f>_xll.EQNXTDZ($A$1,$B16,P$1,$B$1)</f>
        <v>45.86</v>
      </c>
      <c r="Q16">
        <f>_xll.EQNXTDZ($A$1,$B16,Q$1,$B$1)</f>
        <v>50.3</v>
      </c>
      <c r="R16">
        <f>_xll.EQNXTDZ($A$1,$B16,R$1,$B$1)</f>
        <v>44.74</v>
      </c>
      <c r="S16">
        <f>_xll.EQNXTDZ($A$1,$B16,S$1,$B$1)</f>
        <v>50.39</v>
      </c>
      <c r="T16">
        <f>_xll.EQNXTDZ($A$1,$B16,T$1,$B$1)</f>
        <v>50.12</v>
      </c>
      <c r="U16">
        <f>_xll.EQNXTDZ($A$1,$B16,U$1,$B$1)</f>
        <v>47.54</v>
      </c>
      <c r="V16">
        <f>_xll.EQNXTDZ($A$1,$B16,V$1,$B$1)</f>
        <v>48.57</v>
      </c>
      <c r="W16">
        <f>_xll.EQNXTDZ($A$1,$B16,W$1,$B$1)</f>
        <v>52.44</v>
      </c>
      <c r="X16">
        <f>_xll.EQNXTDZ($A$1,$B16,X$1,$B$1)</f>
        <v>55.03</v>
      </c>
      <c r="Y16">
        <f>_xll.EQNXTDZ($A$1,$B16,Y$1,$B$1)</f>
        <v>53.08</v>
      </c>
      <c r="Z16">
        <f>_xll.EQNXTDZ($A$1,$B16,Z$1,$B$1)</f>
        <v>56.58</v>
      </c>
      <c r="AA16">
        <f>_xll.EQNXTDZ($A$1,$B16,AA$1,$B$1)</f>
        <v>56.93</v>
      </c>
      <c r="AB16">
        <f>_xll.EQNXTDZ($A$1,$B16,AB$1,$B$1)</f>
        <v>64.09</v>
      </c>
      <c r="AC16">
        <f>_xll.EQNXTDZ($A$1,$B16,AC$1,$B$1)</f>
        <v>57.57</v>
      </c>
      <c r="AD16">
        <f>_xll.EQNXTDZ($A$1,$B16,AD$1,$B$1)</f>
        <v>58.82</v>
      </c>
      <c r="AE16">
        <f>_xll.EQNXTDZ($A$1,$B16,AE$1,$B$1)</f>
        <v>66.61</v>
      </c>
      <c r="AF16">
        <f>_xll.EQNXTDZ($A$1,$B16,AF$1,$B$1)</f>
        <v>64.58</v>
      </c>
      <c r="AG16">
        <f>_xll.EQNXTDZ($A$1,$B16,AG$1,$B$1)</f>
        <v>61.72</v>
      </c>
      <c r="AH16">
        <f>_xll.EQNXTDZ($A$1,$B16,AH$1,$B$1)</f>
        <v>66.38</v>
      </c>
      <c r="AI16">
        <f>_xll.EQNXTDZ($A$1,$B16,AI$1,$B$1)</f>
        <v>76.64</v>
      </c>
      <c r="AJ16">
        <f>_xll.EQNXTDZ($A$1,$B16,AJ$1,$B$1)</f>
        <v>71.11</v>
      </c>
      <c r="AK16">
        <f>_xll.EQNXTDZ($A$1,$B16,AK$1,$B$1)</f>
        <v>61.92</v>
      </c>
      <c r="AL16">
        <f>_xll.EQNXTDZ($A$1,$B16,AL$1,$B$1)</f>
        <v>70.38</v>
      </c>
      <c r="AM16">
        <f>_xll.EQNXTDZ($A$1,$B16,AM$1,$B$1)</f>
        <v>66.41</v>
      </c>
      <c r="AN16">
        <f>_xll.EQNXTDZ($A$1,$B16,AN$1,$B$1)</f>
        <v>60.44</v>
      </c>
      <c r="AO16">
        <f>_xll.EQNXTDZ($A$1,$B16,AO$1,$B$1)</f>
        <v>60.54</v>
      </c>
      <c r="AP16">
        <f>_xll.EQNXTDZ($A$1,$B16,AP$1,$B$1)</f>
        <v>57.98</v>
      </c>
      <c r="AQ16">
        <f>_xll.EQNXTDZ($A$1,$B16,AQ$1,$B$1)</f>
        <v>67.569999999999993</v>
      </c>
      <c r="AR16">
        <f>_xll.EQNXTDZ($A$1,$B16,AR$1,$B$1)</f>
        <v>65.72</v>
      </c>
      <c r="AS16">
        <f>_xll.EQNXTDZ($A$1,$B16,AS$1,$B$1)</f>
        <v>62.32</v>
      </c>
      <c r="AT16">
        <f>_xll.EQNXTDZ($A$1,$B16,AT$1,$B$1)</f>
        <v>59.32</v>
      </c>
      <c r="AU16">
        <f>_xll.EQNXTDZ($A$1,$B16,AU$1,$B$1)</f>
        <v>64.55</v>
      </c>
      <c r="AV16">
        <f>_xll.EQNXTDZ($A$1,$B16,AV$1,$B$1)</f>
        <v>68.599999999999994</v>
      </c>
      <c r="AW16">
        <f>_xll.EQNXTDZ($A$1,$B16,AW$1,$B$1)</f>
        <v>63</v>
      </c>
      <c r="AX16">
        <f>_xll.EQNXTDZ($A$1,$B16,AX$1,$B$1)</f>
        <v>61.67</v>
      </c>
      <c r="AY16">
        <f>_xll.EQNXTDZ($A$1,$B16,AY$1,$B$1)</f>
        <v>65.3</v>
      </c>
      <c r="AZ16">
        <f>_xll.EQNXTDZ($A$1,$B16,AZ$1,$B$1)</f>
        <v>64.16</v>
      </c>
      <c r="BA16">
        <f>_xll.EQNXTDZ($A$1,$B16,BA$1,$B$1)</f>
        <v>63.11</v>
      </c>
      <c r="BB16">
        <f>_xll.EQNXTDZ($A$1,$B16,BB$1,$B$1)</f>
        <v>67.349999999999994</v>
      </c>
      <c r="BC16">
        <f>_xll.EQNXTDZ($A$1,$B16,BC$1,$B$1)</f>
        <v>71.17</v>
      </c>
      <c r="BD16">
        <f>_xll.EQNXTDZ($A$1,$B16,BD$1,$B$1)</f>
        <v>60.05</v>
      </c>
      <c r="BE16">
        <f>_xll.EQNXTDZ($A$1,$B16,BE$1,$B$1)</f>
        <v>60.38</v>
      </c>
      <c r="BF16">
        <f>_xll.EQNXTDZ($A$1,$B16,BF$1,$B$1)</f>
        <v>64.73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1.0900000000000001</v>
      </c>
      <c r="D19">
        <f>_xll.EQNXTDZ($A$1,$B19,D$1,$B$1)</f>
        <v>0.24</v>
      </c>
      <c r="E19">
        <f>_xll.EQNXTDZ($A$1,$B19,E$1,$B$1)</f>
        <v>0.24</v>
      </c>
      <c r="F19">
        <f>_xll.EQNXTDZ($A$1,$B19,F$1,$B$1)</f>
        <v>0</v>
      </c>
      <c r="G19">
        <f>_xll.EQNXTDZ($A$1,$B19,G$1,$B$1)</f>
        <v>1.23</v>
      </c>
      <c r="H19">
        <f>_xll.EQNXTDZ($A$1,$B19,H$1,$B$1)</f>
        <v>1.07</v>
      </c>
      <c r="I19">
        <f>_xll.EQNXTDZ($A$1,$B19,I$1,$B$1)</f>
        <v>0.15</v>
      </c>
      <c r="J19">
        <f>_xll.EQNXTDZ($A$1,$B19,J$1,$B$1)</f>
        <v>0.52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2.6</v>
      </c>
      <c r="Q19">
        <f>_xll.EQNXTDZ($A$1,$B19,Q$1,$B$1)</f>
        <v>0.83</v>
      </c>
      <c r="R19">
        <f>_xll.EQNXTDZ($A$1,$B19,R$1,$B$1)</f>
        <v>0</v>
      </c>
      <c r="S19">
        <f>_xll.EQNXTDZ($A$1,$B19,S$1,$B$1)</f>
        <v>0.48</v>
      </c>
      <c r="T19">
        <f>_xll.EQNXTDZ($A$1,$B19,T$1,$B$1)</f>
        <v>0.45</v>
      </c>
      <c r="U19">
        <f>_xll.EQNXTDZ($A$1,$B19,U$1,$B$1)</f>
        <v>0</v>
      </c>
      <c r="V19">
        <f>_xll.EQNXTDZ($A$1,$B19,V$1,$B$1)</f>
        <v>1.4</v>
      </c>
      <c r="W19">
        <f>_xll.EQNXTDZ($A$1,$B19,W$1,$B$1)</f>
        <v>0</v>
      </c>
      <c r="X19">
        <f>_xll.EQNXTDZ($A$1,$B19,X$1,$B$1)</f>
        <v>-0.75</v>
      </c>
      <c r="Y19">
        <f>_xll.EQNXTDZ($A$1,$B19,Y$1,$B$1)</f>
        <v>1.88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-2.08</v>
      </c>
      <c r="AC19">
        <f>_xll.EQNXTDZ($A$1,$B19,AC$1,$B$1)</f>
        <v>1.17</v>
      </c>
      <c r="AD19">
        <f>_xll.EQNXTDZ($A$1,$B19,AD$1,$B$1)</f>
        <v>1.83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24.18</v>
      </c>
      <c r="D22">
        <f>_xll.EQNXTDZ($A$1,$B22,D$1,$B$1)</f>
        <v>17.7</v>
      </c>
      <c r="E22">
        <f>_xll.EQNXTDZ($A$1,$B22,E$1,$B$1)</f>
        <v>23.82</v>
      </c>
      <c r="F22">
        <f>_xll.EQNXTDZ($A$1,$B22,F$1,$B$1)</f>
        <v>31.11</v>
      </c>
      <c r="G22">
        <f>_xll.EQNXTDZ($A$1,$B22,G$1,$B$1)</f>
        <v>31.11</v>
      </c>
      <c r="H22">
        <f>_xll.EQNXTDZ($A$1,$B22,H$1,$B$1)</f>
        <v>24.93</v>
      </c>
      <c r="I22">
        <f>_xll.EQNXTDZ($A$1,$B22,I$1,$B$1)</f>
        <v>27.17</v>
      </c>
      <c r="J22">
        <f>_xll.EQNXTDZ($A$1,$B22,J$1,$B$1)</f>
        <v>31.5</v>
      </c>
      <c r="K22">
        <f>_xll.EQNXTDZ($A$1,$B22,K$1,$B$1)</f>
        <v>31.42</v>
      </c>
      <c r="L22">
        <f>_xll.EQNXTDZ($A$1,$B22,L$1,$B$1)</f>
        <v>26.94</v>
      </c>
      <c r="M22">
        <f>_xll.EQNXTDZ($A$1,$B22,M$1,$B$1)</f>
        <v>28.66</v>
      </c>
      <c r="N22">
        <f>_xll.EQNXTDZ($A$1,$B22,N$1,$B$1)</f>
        <v>54.11</v>
      </c>
      <c r="O22">
        <f>_xll.EQNXTDZ($A$1,$B22,O$1,$B$1)</f>
        <v>62.729999999999897</v>
      </c>
      <c r="P22">
        <f>_xll.EQNXTDZ($A$1,$B22,P$1,$B$1)</f>
        <v>50.259999999999899</v>
      </c>
      <c r="Q22">
        <f>_xll.EQNXTDZ($A$1,$B22,Q$1,$B$1)</f>
        <v>65.1099999999999</v>
      </c>
      <c r="R22">
        <f>_xll.EQNXTDZ($A$1,$B22,R$1,$B$1)</f>
        <v>78.959999999999994</v>
      </c>
      <c r="S22">
        <f>_xll.EQNXTDZ($A$1,$B22,S$1,$B$1)</f>
        <v>59.26</v>
      </c>
      <c r="T22">
        <f>_xll.EQNXTDZ($A$1,$B22,T$1,$B$1)</f>
        <v>55.52</v>
      </c>
      <c r="U22">
        <f>_xll.EQNXTDZ($A$1,$B22,U$1,$B$1)</f>
        <v>52.98</v>
      </c>
      <c r="V22">
        <f>_xll.EQNXTDZ($A$1,$B22,V$1,$B$1)</f>
        <v>52.95</v>
      </c>
      <c r="W22">
        <f>_xll.EQNXTDZ($A$1,$B22,W$1,$B$1)</f>
        <v>41.35</v>
      </c>
      <c r="X22">
        <f>_xll.EQNXTDZ($A$1,$B22,X$1,$B$1)</f>
        <v>63.759999999999899</v>
      </c>
      <c r="Y22">
        <f>_xll.EQNXTDZ($A$1,$B22,Y$1,$B$1)</f>
        <v>60.35</v>
      </c>
      <c r="Z22">
        <f>_xll.EQNXTDZ($A$1,$B22,Z$1,$B$1)</f>
        <v>54.56</v>
      </c>
      <c r="AA22">
        <f>_xll.EQNXTDZ($A$1,$B22,AA$1,$B$1)</f>
        <v>51.32</v>
      </c>
      <c r="AB22">
        <f>_xll.EQNXTDZ($A$1,$B22,AB$1,$B$1)</f>
        <v>50.670000000000101</v>
      </c>
      <c r="AC22">
        <f>_xll.EQNXTDZ($A$1,$B22,AC$1,$B$1)</f>
        <v>65.77</v>
      </c>
      <c r="AD22">
        <f>_xll.EQNXTDZ($A$1,$B22,AD$1,$B$1)</f>
        <v>87.250000000000099</v>
      </c>
      <c r="AE22">
        <f>_xll.EQNXTDZ($A$1,$B22,AE$1,$B$1)</f>
        <v>71.62</v>
      </c>
      <c r="AF22">
        <f>_xll.EQNXTDZ($A$1,$B22,AF$1,$B$1)</f>
        <v>66.17</v>
      </c>
      <c r="AG22">
        <f>_xll.EQNXTDZ($A$1,$B22,AG$1,$B$1)</f>
        <v>66.03</v>
      </c>
      <c r="AH22">
        <f>_xll.EQNXTDZ($A$1,$B22,AH$1,$B$1)</f>
        <v>49.959999999999901</v>
      </c>
      <c r="AI22">
        <f>_xll.EQNXTDZ($A$1,$B22,AI$1,$B$1)</f>
        <v>67.489999999999995</v>
      </c>
      <c r="AJ22">
        <f>_xll.EQNXTDZ($A$1,$B22,AJ$1,$B$1)</f>
        <v>77.429999999999893</v>
      </c>
      <c r="AK22">
        <f>_xll.EQNXTDZ($A$1,$B22,AK$1,$B$1)</f>
        <v>35.490000000000101</v>
      </c>
      <c r="AL22">
        <f>_xll.EQNXTDZ($A$1,$B22,AL$1,$B$1)</f>
        <v>42.299999999999898</v>
      </c>
      <c r="AM22">
        <f>_xll.EQNXTDZ($A$1,$B22,AM$1,$B$1)</f>
        <v>22.709999999999901</v>
      </c>
      <c r="AN22">
        <f>_xll.EQNXTDZ($A$1,$B22,AN$1,$B$1)</f>
        <v>31.280000000000101</v>
      </c>
      <c r="AO22">
        <f>_xll.EQNXTDZ($A$1,$B22,AO$1,$B$1)</f>
        <v>10.85</v>
      </c>
      <c r="AP22">
        <f>_xll.EQNXTDZ($A$1,$B22,AP$1,$B$1)</f>
        <v>50.709999999999901</v>
      </c>
      <c r="AQ22">
        <f>_xll.EQNXTDZ($A$1,$B22,AQ$1,$B$1)</f>
        <v>34.49</v>
      </c>
      <c r="AR22">
        <f>_xll.EQNXTDZ($A$1,$B22,AR$1,$B$1)</f>
        <v>22.95</v>
      </c>
      <c r="AS22">
        <f>_xll.EQNXTDZ($A$1,$B22,AS$1,$B$1)</f>
        <v>48.88</v>
      </c>
      <c r="AT22">
        <f>_xll.EQNXTDZ($A$1,$B22,AT$1,$B$1)</f>
        <v>51.28</v>
      </c>
      <c r="AU22">
        <f>_xll.EQNXTDZ($A$1,$B22,AU$1,$B$1)</f>
        <v>39.97</v>
      </c>
      <c r="AV22">
        <f>_xll.EQNXTDZ($A$1,$B22,AV$1,$B$1)</f>
        <v>45.75</v>
      </c>
      <c r="AW22">
        <f>_xll.EQNXTDZ($A$1,$B22,AW$1,$B$1)</f>
        <v>57.72</v>
      </c>
      <c r="AX22">
        <f>_xll.EQNXTDZ($A$1,$B22,AX$1,$B$1)</f>
        <v>41.05</v>
      </c>
      <c r="AY22">
        <f>_xll.EQNXTDZ($A$1,$B22,AY$1,$B$1)</f>
        <v>31.96</v>
      </c>
      <c r="AZ22">
        <f>_xll.EQNXTDZ($A$1,$B22,AZ$1,$B$1)</f>
        <v>18.079999999999899</v>
      </c>
      <c r="BA22">
        <f>_xll.EQNXTDZ($A$1,$B22,BA$1,$B$1)</f>
        <v>26.24</v>
      </c>
      <c r="BB22">
        <f>_xll.EQNXTDZ($A$1,$B22,BB$1,$B$1)</f>
        <v>38.730000000000103</v>
      </c>
      <c r="BC22">
        <f>_xll.EQNXTDZ($A$1,$B22,BC$1,$B$1)</f>
        <v>42.590000000000103</v>
      </c>
      <c r="BD22">
        <f>_xll.EQNXTDZ($A$1,$B22,BD$1,$B$1)</f>
        <v>55.480000000000103</v>
      </c>
      <c r="BE22">
        <f>_xll.EQNXTDZ($A$1,$B22,BE$1,$B$1)</f>
        <v>54.02</v>
      </c>
      <c r="BF22">
        <f>_xll.EQNXTDZ($A$1,$B22,BF$1,$B$1)</f>
        <v>39.96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2.59</v>
      </c>
      <c r="D23">
        <f>_xll.EQNXTDZ($A$1,$B23,D$1,$B$1)</f>
        <v>1.78</v>
      </c>
      <c r="E23">
        <f>_xll.EQNXTDZ($A$1,$B23,E$1,$B$1)</f>
        <v>1.72</v>
      </c>
      <c r="F23">
        <f>_xll.EQNXTDZ($A$1,$B23,F$1,$B$1)</f>
        <v>1.69</v>
      </c>
      <c r="G23">
        <f>_xll.EQNXTDZ($A$1,$B23,G$1,$B$1)</f>
        <v>2.0099999999999998</v>
      </c>
      <c r="H23">
        <f>_xll.EQNXTDZ($A$1,$B23,H$1,$B$1)</f>
        <v>0.68</v>
      </c>
      <c r="I23">
        <f>_xll.EQNXTDZ($A$1,$B23,I$1,$B$1)</f>
        <v>0.77</v>
      </c>
      <c r="J23">
        <f>_xll.EQNXTDZ($A$1,$B23,J$1,$B$1)</f>
        <v>1.39</v>
      </c>
      <c r="K23">
        <f>_xll.EQNXTDZ($A$1,$B23,K$1,$B$1)</f>
        <v>2.11</v>
      </c>
      <c r="L23">
        <f>_xll.EQNXTDZ($A$1,$B23,L$1,$B$1)</f>
        <v>2.5299999999999998</v>
      </c>
      <c r="M23">
        <f>_xll.EQNXTDZ($A$1,$B23,M$1,$B$1)</f>
        <v>3.75</v>
      </c>
      <c r="N23">
        <f>_xll.EQNXTDZ($A$1,$B23,N$1,$B$1)</f>
        <v>3.22</v>
      </c>
      <c r="O23">
        <f>_xll.EQNXTDZ($A$1,$B23,O$1,$B$1)</f>
        <v>2.99</v>
      </c>
      <c r="P23">
        <f>_xll.EQNXTDZ($A$1,$B23,P$1,$B$1)</f>
        <v>5.07</v>
      </c>
      <c r="Q23">
        <f>_xll.EQNXTDZ($A$1,$B23,Q$1,$B$1)</f>
        <v>3.04</v>
      </c>
      <c r="R23">
        <f>_xll.EQNXTDZ($A$1,$B23,R$1,$B$1)</f>
        <v>4.1900000000000004</v>
      </c>
      <c r="S23">
        <f>_xll.EQNXTDZ($A$1,$B23,S$1,$B$1)</f>
        <v>4.22</v>
      </c>
      <c r="T23">
        <f>_xll.EQNXTDZ($A$1,$B23,T$1,$B$1)</f>
        <v>4.42</v>
      </c>
      <c r="U23">
        <f>_xll.EQNXTDZ($A$1,$B23,U$1,$B$1)</f>
        <v>4.88</v>
      </c>
      <c r="V23">
        <f>_xll.EQNXTDZ($A$1,$B23,V$1,$B$1)</f>
        <v>5.51</v>
      </c>
      <c r="W23">
        <f>_xll.EQNXTDZ($A$1,$B23,W$1,$B$1)</f>
        <v>3.36</v>
      </c>
      <c r="X23">
        <f>_xll.EQNXTDZ($A$1,$B23,X$1,$B$1)</f>
        <v>1.69</v>
      </c>
      <c r="Y23">
        <f>_xll.EQNXTDZ($A$1,$B23,Y$1,$B$1)</f>
        <v>3.03</v>
      </c>
      <c r="Z23">
        <f>_xll.EQNXTDZ($A$1,$B23,Z$1,$B$1)</f>
        <v>5.39</v>
      </c>
      <c r="AA23">
        <f>_xll.EQNXTDZ($A$1,$B23,AA$1,$B$1)</f>
        <v>2.9</v>
      </c>
      <c r="AB23">
        <f>_xll.EQNXTDZ($A$1,$B23,AB$1,$B$1)</f>
        <v>3.56</v>
      </c>
      <c r="AC23">
        <f>_xll.EQNXTDZ($A$1,$B23,AC$1,$B$1)</f>
        <v>3.91</v>
      </c>
      <c r="AD23">
        <f>_xll.EQNXTDZ($A$1,$B23,AD$1,$B$1)</f>
        <v>8.77</v>
      </c>
      <c r="AE23">
        <f>_xll.EQNXTDZ($A$1,$B23,AE$1,$B$1)</f>
        <v>2.74</v>
      </c>
      <c r="AF23">
        <f>_xll.EQNXTDZ($A$1,$B23,AF$1,$B$1)</f>
        <v>2.98</v>
      </c>
      <c r="AG23">
        <f>_xll.EQNXTDZ($A$1,$B23,AG$1,$B$1)</f>
        <v>4.08</v>
      </c>
      <c r="AH23">
        <f>_xll.EQNXTDZ($A$1,$B23,AH$1,$B$1)</f>
        <v>5.28</v>
      </c>
      <c r="AI23">
        <f>_xll.EQNXTDZ($A$1,$B23,AI$1,$B$1)</f>
        <v>0.36</v>
      </c>
      <c r="AJ23">
        <f>_xll.EQNXTDZ($A$1,$B23,AJ$1,$B$1)</f>
        <v>2.88</v>
      </c>
      <c r="AK23">
        <f>_xll.EQNXTDZ($A$1,$B23,AK$1,$B$1)</f>
        <v>2.75</v>
      </c>
      <c r="AL23">
        <f>_xll.EQNXTDZ($A$1,$B23,AL$1,$B$1)</f>
        <v>6.06</v>
      </c>
      <c r="AM23">
        <f>_xll.EQNXTDZ($A$1,$B23,AM$1,$B$1)</f>
        <v>2.5</v>
      </c>
      <c r="AN23">
        <f>_xll.EQNXTDZ($A$1,$B23,AN$1,$B$1)</f>
        <v>1.01</v>
      </c>
      <c r="AO23">
        <f>_xll.EQNXTDZ($A$1,$B23,AO$1,$B$1)</f>
        <v>1.69</v>
      </c>
      <c r="AP23">
        <f>_xll.EQNXTDZ($A$1,$B23,AP$1,$B$1)</f>
        <v>12.56</v>
      </c>
      <c r="AQ23">
        <f>_xll.EQNXTDZ($A$1,$B23,AQ$1,$B$1)</f>
        <v>5.84</v>
      </c>
      <c r="AR23">
        <f>_xll.EQNXTDZ($A$1,$B23,AR$1,$B$1)</f>
        <v>2.11</v>
      </c>
      <c r="AS23">
        <f>_xll.EQNXTDZ($A$1,$B23,AS$1,$B$1)</f>
        <v>-3.28</v>
      </c>
      <c r="AT23">
        <f>_xll.EQNXTDZ($A$1,$B23,AT$1,$B$1)</f>
        <v>6.28</v>
      </c>
      <c r="AU23">
        <f>_xll.EQNXTDZ($A$1,$B23,AU$1,$B$1)</f>
        <v>2.12</v>
      </c>
      <c r="AV23">
        <f>_xll.EQNXTDZ($A$1,$B23,AV$1,$B$1)</f>
        <v>3</v>
      </c>
      <c r="AW23">
        <f>_xll.EQNXTDZ($A$1,$B23,AW$1,$B$1)</f>
        <v>4.07</v>
      </c>
      <c r="AX23">
        <f>_xll.EQNXTDZ($A$1,$B23,AX$1,$B$1)</f>
        <v>8.32</v>
      </c>
      <c r="AY23">
        <f>_xll.EQNXTDZ($A$1,$B23,AY$1,$B$1)</f>
        <v>6.32</v>
      </c>
      <c r="AZ23">
        <f>_xll.EQNXTDZ($A$1,$B23,AZ$1,$B$1)</f>
        <v>13.25</v>
      </c>
      <c r="BA23">
        <f>_xll.EQNXTDZ($A$1,$B23,BA$1,$B$1)</f>
        <v>5.77</v>
      </c>
      <c r="BB23">
        <f>_xll.EQNXTDZ($A$1,$B23,BB$1,$B$1)</f>
        <v>11.02</v>
      </c>
      <c r="BC23">
        <f>_xll.EQNXTDZ($A$1,$B23,BC$1,$B$1)</f>
        <v>6.68</v>
      </c>
      <c r="BD23">
        <f>_xll.EQNXTDZ($A$1,$B23,BD$1,$B$1)</f>
        <v>9.4</v>
      </c>
      <c r="BE23">
        <f>_xll.EQNXTDZ($A$1,$B23,BE$1,$B$1)</f>
        <v>8.1199999999999992</v>
      </c>
      <c r="BF23">
        <f>_xll.EQNXTDZ($A$1,$B23,BF$1,$B$1)</f>
        <v>22.12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26.77</v>
      </c>
      <c r="D24">
        <f>_xll.EQNXTDZ($A$1,$B24,D$1,$B$1)</f>
        <v>19.48</v>
      </c>
      <c r="E24">
        <f>_xll.EQNXTDZ($A$1,$B24,E$1,$B$1)</f>
        <v>25.54</v>
      </c>
      <c r="F24">
        <f>_xll.EQNXTDZ($A$1,$B24,F$1,$B$1)</f>
        <v>32.799999999999997</v>
      </c>
      <c r="G24">
        <f>_xll.EQNXTDZ($A$1,$B24,G$1,$B$1)</f>
        <v>33.119999999999997</v>
      </c>
      <c r="H24">
        <f>_xll.EQNXTDZ($A$1,$B24,H$1,$B$1)</f>
        <v>25.61</v>
      </c>
      <c r="I24">
        <f>_xll.EQNXTDZ($A$1,$B24,I$1,$B$1)</f>
        <v>27.94</v>
      </c>
      <c r="J24">
        <f>_xll.EQNXTDZ($A$1,$B24,J$1,$B$1)</f>
        <v>32.89</v>
      </c>
      <c r="K24">
        <f>_xll.EQNXTDZ($A$1,$B24,K$1,$B$1)</f>
        <v>33.53</v>
      </c>
      <c r="L24">
        <f>_xll.EQNXTDZ($A$1,$B24,L$1,$B$1)</f>
        <v>29.47</v>
      </c>
      <c r="M24">
        <f>_xll.EQNXTDZ($A$1,$B24,M$1,$B$1)</f>
        <v>32.409999999999997</v>
      </c>
      <c r="N24">
        <f>_xll.EQNXTDZ($A$1,$B24,N$1,$B$1)</f>
        <v>57.33</v>
      </c>
      <c r="O24">
        <f>_xll.EQNXTDZ($A$1,$B24,O$1,$B$1)</f>
        <v>65.72</v>
      </c>
      <c r="P24">
        <f>_xll.EQNXTDZ($A$1,$B24,P$1,$B$1)</f>
        <v>55.33</v>
      </c>
      <c r="Q24">
        <f>_xll.EQNXTDZ($A$1,$B24,Q$1,$B$1)</f>
        <v>68.150000000000006</v>
      </c>
      <c r="R24">
        <f>_xll.EQNXTDZ($A$1,$B24,R$1,$B$1)</f>
        <v>83.15</v>
      </c>
      <c r="S24">
        <f>_xll.EQNXTDZ($A$1,$B24,S$1,$B$1)</f>
        <v>63.48</v>
      </c>
      <c r="T24">
        <f>_xll.EQNXTDZ($A$1,$B24,T$1,$B$1)</f>
        <v>59.94</v>
      </c>
      <c r="U24">
        <f>_xll.EQNXTDZ($A$1,$B24,U$1,$B$1)</f>
        <v>57.86</v>
      </c>
      <c r="V24">
        <f>_xll.EQNXTDZ($A$1,$B24,V$1,$B$1)</f>
        <v>58.46</v>
      </c>
      <c r="W24">
        <f>_xll.EQNXTDZ($A$1,$B24,W$1,$B$1)</f>
        <v>44.7</v>
      </c>
      <c r="X24">
        <f>_xll.EQNXTDZ($A$1,$B24,X$1,$B$1)</f>
        <v>65.45</v>
      </c>
      <c r="Y24">
        <f>_xll.EQNXTDZ($A$1,$B24,Y$1,$B$1)</f>
        <v>63.38</v>
      </c>
      <c r="Z24">
        <f>_xll.EQNXTDZ($A$1,$B24,Z$1,$B$1)</f>
        <v>59.95</v>
      </c>
      <c r="AA24">
        <f>_xll.EQNXTDZ($A$1,$B24,AA$1,$B$1)</f>
        <v>54.22</v>
      </c>
      <c r="AB24">
        <f>_xll.EQNXTDZ($A$1,$B24,AB$1,$B$1)</f>
        <v>54.23</v>
      </c>
      <c r="AC24">
        <f>_xll.EQNXTDZ($A$1,$B24,AC$1,$B$1)</f>
        <v>69.680000000000007</v>
      </c>
      <c r="AD24">
        <f>_xll.EQNXTDZ($A$1,$B24,AD$1,$B$1)</f>
        <v>96.020000000000095</v>
      </c>
      <c r="AE24">
        <f>_xll.EQNXTDZ($A$1,$B24,AE$1,$B$1)</f>
        <v>74.3599999999999</v>
      </c>
      <c r="AF24">
        <f>_xll.EQNXTDZ($A$1,$B24,AF$1,$B$1)</f>
        <v>69.150000000000006</v>
      </c>
      <c r="AG24">
        <f>_xll.EQNXTDZ($A$1,$B24,AG$1,$B$1)</f>
        <v>70.1099999999999</v>
      </c>
      <c r="AH24">
        <f>_xll.EQNXTDZ($A$1,$B24,AH$1,$B$1)</f>
        <v>55.24</v>
      </c>
      <c r="AI24">
        <f>_xll.EQNXTDZ($A$1,$B24,AI$1,$B$1)</f>
        <v>67.849999999999994</v>
      </c>
      <c r="AJ24">
        <f>_xll.EQNXTDZ($A$1,$B24,AJ$1,$B$1)</f>
        <v>80.309999999999903</v>
      </c>
      <c r="AK24">
        <f>_xll.EQNXTDZ($A$1,$B24,AK$1,$B$1)</f>
        <v>38.240000000000101</v>
      </c>
      <c r="AL24">
        <f>_xll.EQNXTDZ($A$1,$B24,AL$1,$B$1)</f>
        <v>48.3599999999999</v>
      </c>
      <c r="AM24">
        <f>_xll.EQNXTDZ($A$1,$B24,AM$1,$B$1)</f>
        <v>25.209999999999901</v>
      </c>
      <c r="AN24">
        <f>_xll.EQNXTDZ($A$1,$B24,AN$1,$B$1)</f>
        <v>32.290000000000099</v>
      </c>
      <c r="AO24">
        <f>_xll.EQNXTDZ($A$1,$B24,AO$1,$B$1)</f>
        <v>12.5400000000001</v>
      </c>
      <c r="AP24">
        <f>_xll.EQNXTDZ($A$1,$B24,AP$1,$B$1)</f>
        <v>63.269999999999897</v>
      </c>
      <c r="AQ24">
        <f>_xll.EQNXTDZ($A$1,$B24,AQ$1,$B$1)</f>
        <v>40.33</v>
      </c>
      <c r="AR24">
        <f>_xll.EQNXTDZ($A$1,$B24,AR$1,$B$1)</f>
        <v>25.059999999999899</v>
      </c>
      <c r="AS24">
        <f>_xll.EQNXTDZ($A$1,$B24,AS$1,$B$1)</f>
        <v>45.6</v>
      </c>
      <c r="AT24">
        <f>_xll.EQNXTDZ($A$1,$B24,AT$1,$B$1)</f>
        <v>57.56</v>
      </c>
      <c r="AU24">
        <f>_xll.EQNXTDZ($A$1,$B24,AU$1,$B$1)</f>
        <v>42.09</v>
      </c>
      <c r="AV24">
        <f>_xll.EQNXTDZ($A$1,$B24,AV$1,$B$1)</f>
        <v>48.75</v>
      </c>
      <c r="AW24">
        <f>_xll.EQNXTDZ($A$1,$B24,AW$1,$B$1)</f>
        <v>61.79</v>
      </c>
      <c r="AX24">
        <f>_xll.EQNXTDZ($A$1,$B24,AX$1,$B$1)</f>
        <v>49.37</v>
      </c>
      <c r="AY24">
        <f>_xll.EQNXTDZ($A$1,$B24,AY$1,$B$1)</f>
        <v>38.28</v>
      </c>
      <c r="AZ24">
        <f>_xll.EQNXTDZ($A$1,$B24,AZ$1,$B$1)</f>
        <v>31.329999999999899</v>
      </c>
      <c r="BA24">
        <f>_xll.EQNXTDZ($A$1,$B24,BA$1,$B$1)</f>
        <v>32.009999999999899</v>
      </c>
      <c r="BB24">
        <f>_xll.EQNXTDZ($A$1,$B24,BB$1,$B$1)</f>
        <v>49.750000000000099</v>
      </c>
      <c r="BC24">
        <f>_xll.EQNXTDZ($A$1,$B24,BC$1,$B$1)</f>
        <v>49.270000000000103</v>
      </c>
      <c r="BD24">
        <f>_xll.EQNXTDZ($A$1,$B24,BD$1,$B$1)</f>
        <v>64.880000000000095</v>
      </c>
      <c r="BE24">
        <f>_xll.EQNXTDZ($A$1,$B24,BE$1,$B$1)</f>
        <v>62.14</v>
      </c>
      <c r="BF24">
        <f>_xll.EQNXTDZ($A$1,$B24,BF$1,$B$1)</f>
        <v>62.08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0.56999999999999995</v>
      </c>
      <c r="F25">
        <f>_xll.EQNXTDZ($A$1,$B25,F$1,$B$1)</f>
        <v>0.88</v>
      </c>
      <c r="G25">
        <f>_xll.EQNXTDZ($A$1,$B25,G$1,$B$1)</f>
        <v>0.95</v>
      </c>
      <c r="H25">
        <f>_xll.EQNXTDZ($A$1,$B25,H$1,$B$1)</f>
        <v>0.99</v>
      </c>
      <c r="I25">
        <f>_xll.EQNXTDZ($A$1,$B25,I$1,$B$1)</f>
        <v>0.93</v>
      </c>
      <c r="J25">
        <f>_xll.EQNXTDZ($A$1,$B25,J$1,$B$1)</f>
        <v>0.79</v>
      </c>
      <c r="K25">
        <f>_xll.EQNXTDZ($A$1,$B25,K$1,$B$1)</f>
        <v>0.72</v>
      </c>
      <c r="L25">
        <f>_xll.EQNXTDZ($A$1,$B25,L$1,$B$1)</f>
        <v>0.7</v>
      </c>
      <c r="M25">
        <f>_xll.EQNXTDZ($A$1,$B25,M$1,$B$1)</f>
        <v>0.89</v>
      </c>
      <c r="N25">
        <f>_xll.EQNXTDZ($A$1,$B25,N$1,$B$1)</f>
        <v>8.61</v>
      </c>
      <c r="O25">
        <f>_xll.EQNXTDZ($A$1,$B25,O$1,$B$1)</f>
        <v>11.22</v>
      </c>
      <c r="P25">
        <f>_xll.EQNXTDZ($A$1,$B25,P$1,$B$1)</f>
        <v>10.62</v>
      </c>
      <c r="Q25">
        <f>_xll.EQNXTDZ($A$1,$B25,Q$1,$B$1)</f>
        <v>9.93</v>
      </c>
      <c r="R25">
        <f>_xll.EQNXTDZ($A$1,$B25,R$1,$B$1)</f>
        <v>9.77</v>
      </c>
      <c r="S25">
        <f>_xll.EQNXTDZ($A$1,$B25,S$1,$B$1)</f>
        <v>8</v>
      </c>
      <c r="T25">
        <f>_xll.EQNXTDZ($A$1,$B25,T$1,$B$1)</f>
        <v>7.79</v>
      </c>
      <c r="U25">
        <f>_xll.EQNXTDZ($A$1,$B25,U$1,$B$1)</f>
        <v>7.75</v>
      </c>
      <c r="V25">
        <f>_xll.EQNXTDZ($A$1,$B25,V$1,$B$1)</f>
        <v>8.5299999999999994</v>
      </c>
      <c r="W25">
        <f>_xll.EQNXTDZ($A$1,$B25,W$1,$B$1)</f>
        <v>8.48</v>
      </c>
      <c r="X25">
        <f>_xll.EQNXTDZ($A$1,$B25,X$1,$B$1)</f>
        <v>7.92</v>
      </c>
      <c r="Y25">
        <f>_xll.EQNXTDZ($A$1,$B25,Y$1,$B$1)</f>
        <v>6.84</v>
      </c>
      <c r="Z25">
        <f>_xll.EQNXTDZ($A$1,$B25,Z$1,$B$1)</f>
        <v>7.2</v>
      </c>
      <c r="AA25">
        <f>_xll.EQNXTDZ($A$1,$B25,AA$1,$B$1)</f>
        <v>7.11</v>
      </c>
      <c r="AB25">
        <f>_xll.EQNXTDZ($A$1,$B25,AB$1,$B$1)</f>
        <v>16.61</v>
      </c>
      <c r="AC25">
        <f>_xll.EQNXTDZ($A$1,$B25,AC$1,$B$1)</f>
        <v>8.23</v>
      </c>
      <c r="AD25">
        <f>_xll.EQNXTDZ($A$1,$B25,AD$1,$B$1)</f>
        <v>6.8</v>
      </c>
      <c r="AE25">
        <f>_xll.EQNXTDZ($A$1,$B25,AE$1,$B$1)</f>
        <v>6.87</v>
      </c>
      <c r="AF25">
        <f>_xll.EQNXTDZ($A$1,$B25,AF$1,$B$1)</f>
        <v>8.1199999999999992</v>
      </c>
      <c r="AG25">
        <f>_xll.EQNXTDZ($A$1,$B25,AG$1,$B$1)</f>
        <v>-0.66</v>
      </c>
      <c r="AH25">
        <f>_xll.EQNXTDZ($A$1,$B25,AH$1,$B$1)</f>
        <v>6.25</v>
      </c>
      <c r="AI25">
        <f>_xll.EQNXTDZ($A$1,$B25,AI$1,$B$1)</f>
        <v>7.07</v>
      </c>
      <c r="AJ25">
        <f>_xll.EQNXTDZ($A$1,$B25,AJ$1,$B$1)</f>
        <v>6.16</v>
      </c>
      <c r="AK25">
        <f>_xll.EQNXTDZ($A$1,$B25,AK$1,$B$1)</f>
        <v>6.64</v>
      </c>
      <c r="AL25">
        <f>_xll.EQNXTDZ($A$1,$B25,AL$1,$B$1)</f>
        <v>5.5</v>
      </c>
      <c r="AM25">
        <f>_xll.EQNXTDZ($A$1,$B25,AM$1,$B$1)</f>
        <v>6.29</v>
      </c>
      <c r="AN25">
        <f>_xll.EQNXTDZ($A$1,$B25,AN$1,$B$1)</f>
        <v>6.98</v>
      </c>
      <c r="AO25">
        <f>_xll.EQNXTDZ($A$1,$B25,AO$1,$B$1)</f>
        <v>8.06</v>
      </c>
      <c r="AP25">
        <f>_xll.EQNXTDZ($A$1,$B25,AP$1,$B$1)</f>
        <v>7.23</v>
      </c>
      <c r="AQ25">
        <f>_xll.EQNXTDZ($A$1,$B25,AQ$1,$B$1)</f>
        <v>7.75</v>
      </c>
      <c r="AR25">
        <f>_xll.EQNXTDZ($A$1,$B25,AR$1,$B$1)</f>
        <v>8.75</v>
      </c>
      <c r="AS25">
        <f>_xll.EQNXTDZ($A$1,$B25,AS$1,$B$1)</f>
        <v>8.5500000000000007</v>
      </c>
      <c r="AT25">
        <f>_xll.EQNXTDZ($A$1,$B25,AT$1,$B$1)</f>
        <v>6.81</v>
      </c>
      <c r="AU25">
        <f>_xll.EQNXTDZ($A$1,$B25,AU$1,$B$1)</f>
        <v>9.9499999999999993</v>
      </c>
      <c r="AV25">
        <f>_xll.EQNXTDZ($A$1,$B25,AV$1,$B$1)</f>
        <v>7.52</v>
      </c>
      <c r="AW25">
        <f>_xll.EQNXTDZ($A$1,$B25,AW$1,$B$1)</f>
        <v>6.24</v>
      </c>
      <c r="AX25">
        <f>_xll.EQNXTDZ($A$1,$B25,AX$1,$B$1)</f>
        <v>4.7699999999999996</v>
      </c>
      <c r="AY25">
        <f>_xll.EQNXTDZ($A$1,$B25,AY$1,$B$1)</f>
        <v>4.99</v>
      </c>
      <c r="AZ25">
        <f>_xll.EQNXTDZ($A$1,$B25,AZ$1,$B$1)</f>
        <v>4.82</v>
      </c>
      <c r="BA25">
        <f>_xll.EQNXTDZ($A$1,$B25,BA$1,$B$1)</f>
        <v>2.96</v>
      </c>
      <c r="BB25">
        <f>_xll.EQNXTDZ($A$1,$B25,BB$1,$B$1)</f>
        <v>3.02</v>
      </c>
      <c r="BC25">
        <f>_xll.EQNXTDZ($A$1,$B25,BC$1,$B$1)</f>
        <v>3.06</v>
      </c>
      <c r="BD25">
        <f>_xll.EQNXTDZ($A$1,$B25,BD$1,$B$1)</f>
        <v>2.9</v>
      </c>
      <c r="BE25">
        <f>_xll.EQNXTDZ($A$1,$B25,BE$1,$B$1)</f>
        <v>7.58</v>
      </c>
      <c r="BF25">
        <f>_xll.EQNXTDZ($A$1,$B25,BF$1,$B$1)</f>
        <v>3.53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7.05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-30.98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-2.12</v>
      </c>
      <c r="AV26">
        <f>_xll.EQNXTDZ($A$1,$B26,AV$1,$B$1)</f>
        <v>0</v>
      </c>
      <c r="AW26">
        <f>_xll.EQNXTDZ($A$1,$B26,AW$1,$B$1)</f>
        <v>371.65</v>
      </c>
      <c r="AX26">
        <f>_xll.EQNXTDZ($A$1,$B26,AX$1,$B$1)</f>
        <v>0</v>
      </c>
      <c r="AY26">
        <f>_xll.EQNXTDZ($A$1,$B26,AY$1,$B$1)</f>
        <v>29.48</v>
      </c>
      <c r="AZ26">
        <f>_xll.EQNXTDZ($A$1,$B26,AZ$1,$B$1)</f>
        <v>1.53</v>
      </c>
      <c r="BA26">
        <f>_xll.EQNXTDZ($A$1,$B26,BA$1,$B$1)</f>
        <v>-0.14000000000000001</v>
      </c>
      <c r="BB26">
        <f>_xll.EQNXTDZ($A$1,$B26,BB$1,$B$1)</f>
        <v>0.67</v>
      </c>
      <c r="BC26">
        <f>_xll.EQNXTDZ($A$1,$B26,BC$1,$B$1)</f>
        <v>0.28000000000000003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26.77</v>
      </c>
      <c r="D27">
        <f>_xll.EQNXTDZ($A$1,$B27,D$1,$B$1)</f>
        <v>19.48</v>
      </c>
      <c r="E27">
        <f>_xll.EQNXTDZ($A$1,$B27,E$1,$B$1)</f>
        <v>24.97</v>
      </c>
      <c r="F27">
        <f>_xll.EQNXTDZ($A$1,$B27,F$1,$B$1)</f>
        <v>31.92</v>
      </c>
      <c r="G27">
        <f>_xll.EQNXTDZ($A$1,$B27,G$1,$B$1)</f>
        <v>32.17</v>
      </c>
      <c r="H27">
        <f>_xll.EQNXTDZ($A$1,$B27,H$1,$B$1)</f>
        <v>24.62</v>
      </c>
      <c r="I27">
        <f>_xll.EQNXTDZ($A$1,$B27,I$1,$B$1)</f>
        <v>34.06</v>
      </c>
      <c r="J27">
        <f>_xll.EQNXTDZ($A$1,$B27,J$1,$B$1)</f>
        <v>32.1</v>
      </c>
      <c r="K27">
        <f>_xll.EQNXTDZ($A$1,$B27,K$1,$B$1)</f>
        <v>32.81</v>
      </c>
      <c r="L27">
        <f>_xll.EQNXTDZ($A$1,$B27,L$1,$B$1)</f>
        <v>28.77</v>
      </c>
      <c r="M27">
        <f>_xll.EQNXTDZ($A$1,$B27,M$1,$B$1)</f>
        <v>31.52</v>
      </c>
      <c r="N27">
        <f>_xll.EQNXTDZ($A$1,$B27,N$1,$B$1)</f>
        <v>48.72</v>
      </c>
      <c r="O27">
        <f>_xll.EQNXTDZ($A$1,$B27,O$1,$B$1)</f>
        <v>54.5</v>
      </c>
      <c r="P27">
        <f>_xll.EQNXTDZ($A$1,$B27,P$1,$B$1)</f>
        <v>44.71</v>
      </c>
      <c r="Q27">
        <f>_xll.EQNXTDZ($A$1,$B27,Q$1,$B$1)</f>
        <v>58.22</v>
      </c>
      <c r="R27">
        <f>_xll.EQNXTDZ($A$1,$B27,R$1,$B$1)</f>
        <v>73.38</v>
      </c>
      <c r="S27">
        <f>_xll.EQNXTDZ($A$1,$B27,S$1,$B$1)</f>
        <v>55.48</v>
      </c>
      <c r="T27">
        <f>_xll.EQNXTDZ($A$1,$B27,T$1,$B$1)</f>
        <v>52.15</v>
      </c>
      <c r="U27">
        <f>_xll.EQNXTDZ($A$1,$B27,U$1,$B$1)</f>
        <v>50.11</v>
      </c>
      <c r="V27">
        <f>_xll.EQNXTDZ($A$1,$B27,V$1,$B$1)</f>
        <v>49.93</v>
      </c>
      <c r="W27">
        <f>_xll.EQNXTDZ($A$1,$B27,W$1,$B$1)</f>
        <v>36.22</v>
      </c>
      <c r="X27">
        <f>_xll.EQNXTDZ($A$1,$B27,X$1,$B$1)</f>
        <v>57.53</v>
      </c>
      <c r="Y27">
        <f>_xll.EQNXTDZ($A$1,$B27,Y$1,$B$1)</f>
        <v>56.54</v>
      </c>
      <c r="Z27">
        <f>_xll.EQNXTDZ($A$1,$B27,Z$1,$B$1)</f>
        <v>52.75</v>
      </c>
      <c r="AA27">
        <f>_xll.EQNXTDZ($A$1,$B27,AA$1,$B$1)</f>
        <v>47.11</v>
      </c>
      <c r="AB27">
        <f>_xll.EQNXTDZ($A$1,$B27,AB$1,$B$1)</f>
        <v>37.619999999999997</v>
      </c>
      <c r="AC27">
        <f>_xll.EQNXTDZ($A$1,$B27,AC$1,$B$1)</f>
        <v>61.45</v>
      </c>
      <c r="AD27">
        <f>_xll.EQNXTDZ($A$1,$B27,AD$1,$B$1)</f>
        <v>89.220000000000098</v>
      </c>
      <c r="AE27">
        <f>_xll.EQNXTDZ($A$1,$B27,AE$1,$B$1)</f>
        <v>67.489999999999895</v>
      </c>
      <c r="AF27">
        <f>_xll.EQNXTDZ($A$1,$B27,AF$1,$B$1)</f>
        <v>61.03</v>
      </c>
      <c r="AG27">
        <f>_xll.EQNXTDZ($A$1,$B27,AG$1,$B$1)</f>
        <v>70.769999999999897</v>
      </c>
      <c r="AH27">
        <f>_xll.EQNXTDZ($A$1,$B27,AH$1,$B$1)</f>
        <v>48.99</v>
      </c>
      <c r="AI27">
        <f>_xll.EQNXTDZ($A$1,$B27,AI$1,$B$1)</f>
        <v>60.78</v>
      </c>
      <c r="AJ27">
        <f>_xll.EQNXTDZ($A$1,$B27,AJ$1,$B$1)</f>
        <v>74.149999999999906</v>
      </c>
      <c r="AK27">
        <f>_xll.EQNXTDZ($A$1,$B27,AK$1,$B$1)</f>
        <v>31.600000000000101</v>
      </c>
      <c r="AL27">
        <f>_xll.EQNXTDZ($A$1,$B27,AL$1,$B$1)</f>
        <v>42.8599999999999</v>
      </c>
      <c r="AM27">
        <f>_xll.EQNXTDZ($A$1,$B27,AM$1,$B$1)</f>
        <v>18.919999999999899</v>
      </c>
      <c r="AN27">
        <f>_xll.EQNXTDZ($A$1,$B27,AN$1,$B$1)</f>
        <v>-5.6699999999999502</v>
      </c>
      <c r="AO27">
        <f>_xll.EQNXTDZ($A$1,$B27,AO$1,$B$1)</f>
        <v>4.4800000000000599</v>
      </c>
      <c r="AP27">
        <f>_xll.EQNXTDZ($A$1,$B27,AP$1,$B$1)</f>
        <v>56.0399999999999</v>
      </c>
      <c r="AQ27">
        <f>_xll.EQNXTDZ($A$1,$B27,AQ$1,$B$1)</f>
        <v>32.58</v>
      </c>
      <c r="AR27">
        <f>_xll.EQNXTDZ($A$1,$B27,AR$1,$B$1)</f>
        <v>16.309999999999899</v>
      </c>
      <c r="AS27">
        <f>_xll.EQNXTDZ($A$1,$B27,AS$1,$B$1)</f>
        <v>37.049999999999997</v>
      </c>
      <c r="AT27">
        <f>_xll.EQNXTDZ($A$1,$B27,AT$1,$B$1)</f>
        <v>50.75</v>
      </c>
      <c r="AU27">
        <f>_xll.EQNXTDZ($A$1,$B27,AU$1,$B$1)</f>
        <v>30.02</v>
      </c>
      <c r="AV27">
        <f>_xll.EQNXTDZ($A$1,$B27,AV$1,$B$1)</f>
        <v>41.23</v>
      </c>
      <c r="AW27">
        <f>_xll.EQNXTDZ($A$1,$B27,AW$1,$B$1)</f>
        <v>427.2</v>
      </c>
      <c r="AX27">
        <f>_xll.EQNXTDZ($A$1,$B27,AX$1,$B$1)</f>
        <v>44.6</v>
      </c>
      <c r="AY27">
        <f>_xll.EQNXTDZ($A$1,$B27,AY$1,$B$1)</f>
        <v>62.77</v>
      </c>
      <c r="AZ27">
        <f>_xll.EQNXTDZ($A$1,$B27,AZ$1,$B$1)</f>
        <v>28.0399999999999</v>
      </c>
      <c r="BA27">
        <f>_xll.EQNXTDZ($A$1,$B27,BA$1,$B$1)</f>
        <v>28.909999999999901</v>
      </c>
      <c r="BB27">
        <f>_xll.EQNXTDZ($A$1,$B27,BB$1,$B$1)</f>
        <v>47.400000000000098</v>
      </c>
      <c r="BC27">
        <f>_xll.EQNXTDZ($A$1,$B27,BC$1,$B$1)</f>
        <v>46.490000000000101</v>
      </c>
      <c r="BD27">
        <f>_xll.EQNXTDZ($A$1,$B27,BD$1,$B$1)</f>
        <v>61.980000000000103</v>
      </c>
      <c r="BE27">
        <f>_xll.EQNXTDZ($A$1,$B27,BE$1,$B$1)</f>
        <v>54.56</v>
      </c>
      <c r="BF27">
        <f>_xll.EQNXTDZ($A$1,$B27,BF$1,$B$1)</f>
        <v>58.55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8.64</v>
      </c>
      <c r="D28">
        <f>_xll.EQNXTDZ($A$1,$B28,D$1,$B$1)</f>
        <v>8.74</v>
      </c>
      <c r="E28">
        <f>_xll.EQNXTDZ($A$1,$B28,E$1,$B$1)</f>
        <v>9.82</v>
      </c>
      <c r="F28">
        <f>_xll.EQNXTDZ($A$1,$B28,F$1,$B$1)</f>
        <v>10.26</v>
      </c>
      <c r="G28">
        <f>_xll.EQNXTDZ($A$1,$B28,G$1,$B$1)</f>
        <v>10.39</v>
      </c>
      <c r="H28">
        <f>_xll.EQNXTDZ($A$1,$B28,H$1,$B$1)</f>
        <v>10.6</v>
      </c>
      <c r="I28">
        <f>_xll.EQNXTDZ($A$1,$B28,I$1,$B$1)</f>
        <v>10.77</v>
      </c>
      <c r="J28">
        <f>_xll.EQNXTDZ($A$1,$B28,J$1,$B$1)</f>
        <v>10.93</v>
      </c>
      <c r="K28">
        <f>_xll.EQNXTDZ($A$1,$B28,K$1,$B$1)</f>
        <v>10.91</v>
      </c>
      <c r="L28">
        <f>_xll.EQNXTDZ($A$1,$B28,L$1,$B$1)</f>
        <v>10.82</v>
      </c>
      <c r="M28">
        <f>_xll.EQNXTDZ($A$1,$B28,M$1,$B$1)</f>
        <v>11.2</v>
      </c>
      <c r="N28">
        <f>_xll.EQNXTDZ($A$1,$B28,N$1,$B$1)</f>
        <v>19.91</v>
      </c>
      <c r="O28">
        <f>_xll.EQNXTDZ($A$1,$B28,O$1,$B$1)</f>
        <v>23.7</v>
      </c>
      <c r="P28">
        <f>_xll.EQNXTDZ($A$1,$B28,P$1,$B$1)</f>
        <v>23.67</v>
      </c>
      <c r="Q28">
        <f>_xll.EQNXTDZ($A$1,$B28,Q$1,$B$1)</f>
        <v>23.25</v>
      </c>
      <c r="R28">
        <f>_xll.EQNXTDZ($A$1,$B28,R$1,$B$1)</f>
        <v>23.18</v>
      </c>
      <c r="S28">
        <f>_xll.EQNXTDZ($A$1,$B28,S$1,$B$1)</f>
        <v>22.97</v>
      </c>
      <c r="T28">
        <f>_xll.EQNXTDZ($A$1,$B28,T$1,$B$1)</f>
        <v>23.06</v>
      </c>
      <c r="U28">
        <f>_xll.EQNXTDZ($A$1,$B28,U$1,$B$1)</f>
        <v>21.77</v>
      </c>
      <c r="V28">
        <f>_xll.EQNXTDZ($A$1,$B28,V$1,$B$1)</f>
        <v>20.63</v>
      </c>
      <c r="W28">
        <f>_xll.EQNXTDZ($A$1,$B28,W$1,$B$1)</f>
        <v>22.1</v>
      </c>
      <c r="X28">
        <f>_xll.EQNXTDZ($A$1,$B28,X$1,$B$1)</f>
        <v>21.36</v>
      </c>
      <c r="Y28">
        <f>_xll.EQNXTDZ($A$1,$B28,Y$1,$B$1)</f>
        <v>21.16</v>
      </c>
      <c r="Z28">
        <f>_xll.EQNXTDZ($A$1,$B28,Z$1,$B$1)</f>
        <v>20.02</v>
      </c>
      <c r="AA28">
        <f>_xll.EQNXTDZ($A$1,$B28,AA$1,$B$1)</f>
        <v>20.72</v>
      </c>
      <c r="AB28">
        <f>_xll.EQNXTDZ($A$1,$B28,AB$1,$B$1)</f>
        <v>22.59</v>
      </c>
      <c r="AC28">
        <f>_xll.EQNXTDZ($A$1,$B28,AC$1,$B$1)</f>
        <v>22.03</v>
      </c>
      <c r="AD28">
        <f>_xll.EQNXTDZ($A$1,$B28,AD$1,$B$1)</f>
        <v>21.6</v>
      </c>
      <c r="AE28">
        <f>_xll.EQNXTDZ($A$1,$B28,AE$1,$B$1)</f>
        <v>21.44</v>
      </c>
      <c r="AF28">
        <f>_xll.EQNXTDZ($A$1,$B28,AF$1,$B$1)</f>
        <v>21.86</v>
      </c>
      <c r="AG28">
        <f>_xll.EQNXTDZ($A$1,$B28,AG$1,$B$1)</f>
        <v>22.03</v>
      </c>
      <c r="AH28">
        <f>_xll.EQNXTDZ($A$1,$B28,AH$1,$B$1)</f>
        <v>24.81</v>
      </c>
      <c r="AI28">
        <f>_xll.EQNXTDZ($A$1,$B28,AI$1,$B$1)</f>
        <v>24.74</v>
      </c>
      <c r="AJ28">
        <f>_xll.EQNXTDZ($A$1,$B28,AJ$1,$B$1)</f>
        <v>24.54</v>
      </c>
      <c r="AK28">
        <f>_xll.EQNXTDZ($A$1,$B28,AK$1,$B$1)</f>
        <v>23.84</v>
      </c>
      <c r="AL28">
        <f>_xll.EQNXTDZ($A$1,$B28,AL$1,$B$1)</f>
        <v>23</v>
      </c>
      <c r="AM28">
        <f>_xll.EQNXTDZ($A$1,$B28,AM$1,$B$1)</f>
        <v>23.53</v>
      </c>
      <c r="AN28">
        <f>_xll.EQNXTDZ($A$1,$B28,AN$1,$B$1)</f>
        <v>23.04</v>
      </c>
      <c r="AO28">
        <f>_xll.EQNXTDZ($A$1,$B28,AO$1,$B$1)</f>
        <v>22.59</v>
      </c>
      <c r="AP28">
        <f>_xll.EQNXTDZ($A$1,$B28,AP$1,$B$1)</f>
        <v>22.09</v>
      </c>
      <c r="AQ28">
        <f>_xll.EQNXTDZ($A$1,$B28,AQ$1,$B$1)</f>
        <v>21.95</v>
      </c>
      <c r="AR28">
        <f>_xll.EQNXTDZ($A$1,$B28,AR$1,$B$1)</f>
        <v>21.03</v>
      </c>
      <c r="AS28">
        <f>_xll.EQNXTDZ($A$1,$B28,AS$1,$B$1)</f>
        <v>20.98</v>
      </c>
      <c r="AT28">
        <f>_xll.EQNXTDZ($A$1,$B28,AT$1,$B$1)</f>
        <v>15.59</v>
      </c>
      <c r="AU28">
        <f>_xll.EQNXTDZ($A$1,$B28,AU$1,$B$1)</f>
        <v>11.55</v>
      </c>
      <c r="AV28">
        <f>_xll.EQNXTDZ($A$1,$B28,AV$1,$B$1)</f>
        <v>10.83</v>
      </c>
      <c r="AW28">
        <f>_xll.EQNXTDZ($A$1,$B28,AW$1,$B$1)</f>
        <v>11.18</v>
      </c>
      <c r="AX28">
        <f>_xll.EQNXTDZ($A$1,$B28,AX$1,$B$1)</f>
        <v>9.52</v>
      </c>
      <c r="AY28">
        <f>_xll.EQNXTDZ($A$1,$B28,AY$1,$B$1)</f>
        <v>11.95</v>
      </c>
      <c r="AZ28">
        <f>_xll.EQNXTDZ($A$1,$B28,AZ$1,$B$1)</f>
        <v>12.19</v>
      </c>
      <c r="BA28">
        <f>_xll.EQNXTDZ($A$1,$B28,BA$1,$B$1)</f>
        <v>13.82</v>
      </c>
      <c r="BB28">
        <f>_xll.EQNXTDZ($A$1,$B28,BB$1,$B$1)</f>
        <v>12.68</v>
      </c>
      <c r="BC28">
        <f>_xll.EQNXTDZ($A$1,$B28,BC$1,$B$1)</f>
        <v>13.09</v>
      </c>
      <c r="BD28">
        <f>_xll.EQNXTDZ($A$1,$B28,BD$1,$B$1)</f>
        <v>12.81</v>
      </c>
      <c r="BE28">
        <f>_xll.EQNXTDZ($A$1,$B28,BE$1,$B$1)</f>
        <v>13.58</v>
      </c>
      <c r="BF28">
        <f>_xll.EQNXTDZ($A$1,$B28,BF$1,$B$1)</f>
        <v>23.51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4.7699999999999996</v>
      </c>
      <c r="D29">
        <f>_xll.EQNXTDZ($A$1,$B29,D$1,$B$1)</f>
        <v>1.96</v>
      </c>
      <c r="E29">
        <f>_xll.EQNXTDZ($A$1,$B29,E$1,$B$1)</f>
        <v>5.08</v>
      </c>
      <c r="F29">
        <f>_xll.EQNXTDZ($A$1,$B29,F$1,$B$1)</f>
        <v>5.5</v>
      </c>
      <c r="G29">
        <f>_xll.EQNXTDZ($A$1,$B29,G$1,$B$1)</f>
        <v>6.71</v>
      </c>
      <c r="H29">
        <f>_xll.EQNXTDZ($A$1,$B29,H$1,$B$1)</f>
        <v>4.78</v>
      </c>
      <c r="I29">
        <f>_xll.EQNXTDZ($A$1,$B29,I$1,$B$1)</f>
        <v>5.94</v>
      </c>
      <c r="J29">
        <f>_xll.EQNXTDZ($A$1,$B29,J$1,$B$1)</f>
        <v>5.07</v>
      </c>
      <c r="K29">
        <f>_xll.EQNXTDZ($A$1,$B29,K$1,$B$1)</f>
        <v>5.29</v>
      </c>
      <c r="L29">
        <f>_xll.EQNXTDZ($A$1,$B29,L$1,$B$1)</f>
        <v>4.17</v>
      </c>
      <c r="M29">
        <f>_xll.EQNXTDZ($A$1,$B29,M$1,$B$1)</f>
        <v>4.58</v>
      </c>
      <c r="N29">
        <f>_xll.EQNXTDZ($A$1,$B29,N$1,$B$1)</f>
        <v>7.53</v>
      </c>
      <c r="O29">
        <f>_xll.EQNXTDZ($A$1,$B29,O$1,$B$1)</f>
        <v>10.17</v>
      </c>
      <c r="P29">
        <f>_xll.EQNXTDZ($A$1,$B29,P$1,$B$1)</f>
        <v>4.72</v>
      </c>
      <c r="Q29">
        <f>_xll.EQNXTDZ($A$1,$B29,Q$1,$B$1)</f>
        <v>14.47</v>
      </c>
      <c r="R29">
        <f>_xll.EQNXTDZ($A$1,$B29,R$1,$B$1)</f>
        <v>15.25</v>
      </c>
      <c r="S29">
        <f>_xll.EQNXTDZ($A$1,$B29,S$1,$B$1)</f>
        <v>12.56</v>
      </c>
      <c r="T29">
        <f>_xll.EQNXTDZ($A$1,$B29,T$1,$B$1)</f>
        <v>11.57</v>
      </c>
      <c r="U29">
        <f>_xll.EQNXTDZ($A$1,$B29,U$1,$B$1)</f>
        <v>12.08</v>
      </c>
      <c r="V29">
        <f>_xll.EQNXTDZ($A$1,$B29,V$1,$B$1)</f>
        <v>12.98</v>
      </c>
      <c r="W29">
        <f>_xll.EQNXTDZ($A$1,$B29,W$1,$B$1)</f>
        <v>6.89</v>
      </c>
      <c r="X29">
        <f>_xll.EQNXTDZ($A$1,$B29,X$1,$B$1)</f>
        <v>17.04</v>
      </c>
      <c r="Y29">
        <f>_xll.EQNXTDZ($A$1,$B29,Y$1,$B$1)</f>
        <v>14.44</v>
      </c>
      <c r="Z29">
        <f>_xll.EQNXTDZ($A$1,$B29,Z$1,$B$1)</f>
        <v>14.93</v>
      </c>
      <c r="AA29">
        <f>_xll.EQNXTDZ($A$1,$B29,AA$1,$B$1)</f>
        <v>12.14</v>
      </c>
      <c r="AB29">
        <f>_xll.EQNXTDZ($A$1,$B29,AB$1,$B$1)</f>
        <v>30.15</v>
      </c>
      <c r="AC29">
        <f>_xll.EQNXTDZ($A$1,$B29,AC$1,$B$1)</f>
        <v>21.46</v>
      </c>
      <c r="AD29">
        <f>_xll.EQNXTDZ($A$1,$B29,AD$1,$B$1)</f>
        <v>25.59</v>
      </c>
      <c r="AE29">
        <f>_xll.EQNXTDZ($A$1,$B29,AE$1,$B$1)</f>
        <v>18.12</v>
      </c>
      <c r="AF29">
        <f>_xll.EQNXTDZ($A$1,$B29,AF$1,$B$1)</f>
        <v>7.27</v>
      </c>
      <c r="AG29">
        <f>_xll.EQNXTDZ($A$1,$B29,AG$1,$B$1)</f>
        <v>-19.440000000000001</v>
      </c>
      <c r="AH29">
        <f>_xll.EQNXTDZ($A$1,$B29,AH$1,$B$1)</f>
        <v>-3.13</v>
      </c>
      <c r="AI29">
        <f>_xll.EQNXTDZ($A$1,$B29,AI$1,$B$1)</f>
        <v>9.32</v>
      </c>
      <c r="AJ29">
        <f>_xll.EQNXTDZ($A$1,$B29,AJ$1,$B$1)</f>
        <v>12.73</v>
      </c>
      <c r="AK29">
        <f>_xll.EQNXTDZ($A$1,$B29,AK$1,$B$1)</f>
        <v>2.68</v>
      </c>
      <c r="AL29">
        <f>_xll.EQNXTDZ($A$1,$B29,AL$1,$B$1)</f>
        <v>3.69</v>
      </c>
      <c r="AM29">
        <f>_xll.EQNXTDZ($A$1,$B29,AM$1,$B$1)</f>
        <v>-1.1100000000000001</v>
      </c>
      <c r="AN29">
        <f>_xll.EQNXTDZ($A$1,$B29,AN$1,$B$1)</f>
        <v>-6.87</v>
      </c>
      <c r="AO29">
        <f>_xll.EQNXTDZ($A$1,$B29,AO$1,$B$1)</f>
        <v>-4.59</v>
      </c>
      <c r="AP29">
        <f>_xll.EQNXTDZ($A$1,$B29,AP$1,$B$1)</f>
        <v>9.34</v>
      </c>
      <c r="AQ29">
        <f>_xll.EQNXTDZ($A$1,$B29,AQ$1,$B$1)</f>
        <v>2.48</v>
      </c>
      <c r="AR29">
        <f>_xll.EQNXTDZ($A$1,$B29,AR$1,$B$1)</f>
        <v>-4.76</v>
      </c>
      <c r="AS29">
        <f>_xll.EQNXTDZ($A$1,$B29,AS$1,$B$1)</f>
        <v>-0.77</v>
      </c>
      <c r="AT29">
        <f>_xll.EQNXTDZ($A$1,$B29,AT$1,$B$1)</f>
        <v>-0.33</v>
      </c>
      <c r="AU29">
        <f>_xll.EQNXTDZ($A$1,$B29,AU$1,$B$1)</f>
        <v>4.01</v>
      </c>
      <c r="AV29">
        <f>_xll.EQNXTDZ($A$1,$B29,AV$1,$B$1)</f>
        <v>-1.87</v>
      </c>
      <c r="AW29">
        <f>_xll.EQNXTDZ($A$1,$B29,AW$1,$B$1)</f>
        <v>88.6</v>
      </c>
      <c r="AX29">
        <f>_xll.EQNXTDZ($A$1,$B29,AX$1,$B$1)</f>
        <v>9.0500000000000007</v>
      </c>
      <c r="AY29">
        <f>_xll.EQNXTDZ($A$1,$B29,AY$1,$B$1)</f>
        <v>12.28</v>
      </c>
      <c r="AZ29">
        <f>_xll.EQNXTDZ($A$1,$B29,AZ$1,$B$1)</f>
        <v>4.1399999999999997</v>
      </c>
      <c r="BA29">
        <f>_xll.EQNXTDZ($A$1,$B29,BA$1,$B$1)</f>
        <v>3.4</v>
      </c>
      <c r="BB29">
        <f>_xll.EQNXTDZ($A$1,$B29,BB$1,$B$1)</f>
        <v>8.57</v>
      </c>
      <c r="BC29">
        <f>_xll.EQNXTDZ($A$1,$B29,BC$1,$B$1)</f>
        <v>8.4600000000000009</v>
      </c>
      <c r="BD29">
        <f>_xll.EQNXTDZ($A$1,$B29,BD$1,$B$1)</f>
        <v>12.4</v>
      </c>
      <c r="BE29">
        <f>_xll.EQNXTDZ($A$1,$B29,BE$1,$B$1)</f>
        <v>10.68</v>
      </c>
      <c r="BF29">
        <f>_xll.EQNXTDZ($A$1,$B29,BF$1,$B$1)</f>
        <v>9.44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13.36</v>
      </c>
      <c r="D30">
        <f>_xll.EQNXTDZ($A$1,$B30,D$1,$B$1)</f>
        <v>8.7799999999999994</v>
      </c>
      <c r="E30">
        <f>_xll.EQNXTDZ($A$1,$B30,E$1,$B$1)</f>
        <v>10.07</v>
      </c>
      <c r="F30">
        <f>_xll.EQNXTDZ($A$1,$B30,F$1,$B$1)</f>
        <v>16.16</v>
      </c>
      <c r="G30">
        <f>_xll.EQNXTDZ($A$1,$B30,G$1,$B$1)</f>
        <v>15.07</v>
      </c>
      <c r="H30">
        <f>_xll.EQNXTDZ($A$1,$B30,H$1,$B$1)</f>
        <v>9.24</v>
      </c>
      <c r="I30">
        <f>_xll.EQNXTDZ($A$1,$B30,I$1,$B$1)</f>
        <v>17.350000000000001</v>
      </c>
      <c r="J30">
        <f>_xll.EQNXTDZ($A$1,$B30,J$1,$B$1)</f>
        <v>16.100000000000001</v>
      </c>
      <c r="K30">
        <f>_xll.EQNXTDZ($A$1,$B30,K$1,$B$1)</f>
        <v>16.61</v>
      </c>
      <c r="L30">
        <f>_xll.EQNXTDZ($A$1,$B30,L$1,$B$1)</f>
        <v>13.78</v>
      </c>
      <c r="M30">
        <f>_xll.EQNXTDZ($A$1,$B30,M$1,$B$1)</f>
        <v>15.74</v>
      </c>
      <c r="N30">
        <f>_xll.EQNXTDZ($A$1,$B30,N$1,$B$1)</f>
        <v>21.28</v>
      </c>
      <c r="O30">
        <f>_xll.EQNXTDZ($A$1,$B30,O$1,$B$1)</f>
        <v>20.63</v>
      </c>
      <c r="P30">
        <f>_xll.EQNXTDZ($A$1,$B30,P$1,$B$1)</f>
        <v>16.32</v>
      </c>
      <c r="Q30">
        <f>_xll.EQNXTDZ($A$1,$B30,Q$1,$B$1)</f>
        <v>20.5</v>
      </c>
      <c r="R30">
        <f>_xll.EQNXTDZ($A$1,$B30,R$1,$B$1)</f>
        <v>34.950000000000003</v>
      </c>
      <c r="S30">
        <f>_xll.EQNXTDZ($A$1,$B30,S$1,$B$1)</f>
        <v>19.95</v>
      </c>
      <c r="T30">
        <f>_xll.EQNXTDZ($A$1,$B30,T$1,$B$1)</f>
        <v>17.52</v>
      </c>
      <c r="U30">
        <f>_xll.EQNXTDZ($A$1,$B30,U$1,$B$1)</f>
        <v>16.260000000000002</v>
      </c>
      <c r="V30">
        <f>_xll.EQNXTDZ($A$1,$B30,V$1,$B$1)</f>
        <v>16.32</v>
      </c>
      <c r="W30">
        <f>_xll.EQNXTDZ($A$1,$B30,W$1,$B$1)</f>
        <v>7.23</v>
      </c>
      <c r="X30">
        <f>_xll.EQNXTDZ($A$1,$B30,X$1,$B$1)</f>
        <v>19.13</v>
      </c>
      <c r="Y30">
        <f>_xll.EQNXTDZ($A$1,$B30,Y$1,$B$1)</f>
        <v>20.94</v>
      </c>
      <c r="Z30">
        <f>_xll.EQNXTDZ($A$1,$B30,Z$1,$B$1)</f>
        <v>17.8</v>
      </c>
      <c r="AA30">
        <f>_xll.EQNXTDZ($A$1,$B30,AA$1,$B$1)</f>
        <v>14.25</v>
      </c>
      <c r="AB30">
        <f>_xll.EQNXTDZ($A$1,$B30,AB$1,$B$1)</f>
        <v>-15.12</v>
      </c>
      <c r="AC30">
        <f>_xll.EQNXTDZ($A$1,$B30,AC$1,$B$1)</f>
        <v>17.96</v>
      </c>
      <c r="AD30">
        <f>_xll.EQNXTDZ($A$1,$B30,AD$1,$B$1)</f>
        <v>42.030000000000101</v>
      </c>
      <c r="AE30">
        <f>_xll.EQNXTDZ($A$1,$B30,AE$1,$B$1)</f>
        <v>27.9299999999999</v>
      </c>
      <c r="AF30">
        <f>_xll.EQNXTDZ($A$1,$B30,AF$1,$B$1)</f>
        <v>31.9</v>
      </c>
      <c r="AG30">
        <f>_xll.EQNXTDZ($A$1,$B30,AG$1,$B$1)</f>
        <v>68.180000000000007</v>
      </c>
      <c r="AH30">
        <f>_xll.EQNXTDZ($A$1,$B30,AH$1,$B$1)</f>
        <v>27.31</v>
      </c>
      <c r="AI30">
        <f>_xll.EQNXTDZ($A$1,$B30,AI$1,$B$1)</f>
        <v>26.72</v>
      </c>
      <c r="AJ30">
        <f>_xll.EQNXTDZ($A$1,$B30,AJ$1,$B$1)</f>
        <v>36.879999999999903</v>
      </c>
      <c r="AK30">
        <f>_xll.EQNXTDZ($A$1,$B30,AK$1,$B$1)</f>
        <v>5.0800000000000596</v>
      </c>
      <c r="AL30">
        <f>_xll.EQNXTDZ($A$1,$B30,AL$1,$B$1)</f>
        <v>16.169999999999899</v>
      </c>
      <c r="AM30">
        <f>_xll.EQNXTDZ($A$1,$B30,AM$1,$B$1)</f>
        <v>-3.50000000000006</v>
      </c>
      <c r="AN30">
        <f>_xll.EQNXTDZ($A$1,$B30,AN$1,$B$1)</f>
        <v>-21.8399999999999</v>
      </c>
      <c r="AO30">
        <f>_xll.EQNXTDZ($A$1,$B30,AO$1,$B$1)</f>
        <v>-13.5199999999999</v>
      </c>
      <c r="AP30">
        <f>_xll.EQNXTDZ($A$1,$B30,AP$1,$B$1)</f>
        <v>24.6099999999999</v>
      </c>
      <c r="AQ30">
        <f>_xll.EQNXTDZ($A$1,$B30,AQ$1,$B$1)</f>
        <v>8.1500000000000199</v>
      </c>
      <c r="AR30">
        <f>_xll.EQNXTDZ($A$1,$B30,AR$1,$B$1)</f>
        <v>3.9999999999944399E-2</v>
      </c>
      <c r="AS30">
        <f>_xll.EQNXTDZ($A$1,$B30,AS$1,$B$1)</f>
        <v>16.84</v>
      </c>
      <c r="AT30">
        <f>_xll.EQNXTDZ($A$1,$B30,AT$1,$B$1)</f>
        <v>35.49</v>
      </c>
      <c r="AU30">
        <f>_xll.EQNXTDZ($A$1,$B30,AU$1,$B$1)</f>
        <v>14.46</v>
      </c>
      <c r="AV30">
        <f>_xll.EQNXTDZ($A$1,$B30,AV$1,$B$1)</f>
        <v>32.270000000000003</v>
      </c>
      <c r="AW30">
        <f>_xll.EQNXTDZ($A$1,$B30,AW$1,$B$1)</f>
        <v>327.42</v>
      </c>
      <c r="AX30">
        <f>_xll.EQNXTDZ($A$1,$B30,AX$1,$B$1)</f>
        <v>26.03</v>
      </c>
      <c r="AY30">
        <f>_xll.EQNXTDZ($A$1,$B30,AY$1,$B$1)</f>
        <v>38.54</v>
      </c>
      <c r="AZ30">
        <f>_xll.EQNXTDZ($A$1,$B30,AZ$1,$B$1)</f>
        <v>11.7099999999999</v>
      </c>
      <c r="BA30">
        <f>_xll.EQNXTDZ($A$1,$B30,BA$1,$B$1)</f>
        <v>11.6899999999999</v>
      </c>
      <c r="BB30">
        <f>_xll.EQNXTDZ($A$1,$B30,BB$1,$B$1)</f>
        <v>26.150000000000102</v>
      </c>
      <c r="BC30">
        <f>_xll.EQNXTDZ($A$1,$B30,BC$1,$B$1)</f>
        <v>24.940000000000101</v>
      </c>
      <c r="BD30">
        <f>_xll.EQNXTDZ($A$1,$B30,BD$1,$B$1)</f>
        <v>36.770000000000103</v>
      </c>
      <c r="BE30">
        <f>_xll.EQNXTDZ($A$1,$B30,BE$1,$B$1)</f>
        <v>30.3</v>
      </c>
      <c r="BF30">
        <f>_xll.EQNXTDZ($A$1,$B30,BF$1,$B$1)</f>
        <v>25.6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1.25</v>
      </c>
      <c r="K31">
        <f>_xll.EQNXTDZ($A$1,$B31,K$1,$B$1)</f>
        <v>2.64</v>
      </c>
      <c r="L31">
        <f>_xll.EQNXTDZ($A$1,$B31,L$1,$B$1)</f>
        <v>0</v>
      </c>
      <c r="M31">
        <f>_xll.EQNXTDZ($A$1,$B31,M$1,$B$1)</f>
        <v>2.38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-0.04</v>
      </c>
      <c r="F34">
        <f>_xll.EQNXTDZ($A$1,$B34,F$1,$B$1)</f>
        <v>-0.53</v>
      </c>
      <c r="G34">
        <f>_xll.EQNXTDZ($A$1,$B34,G$1,$B$1)</f>
        <v>-0.3</v>
      </c>
      <c r="H34">
        <f>_xll.EQNXTDZ($A$1,$B34,H$1,$B$1)</f>
        <v>-0.09</v>
      </c>
      <c r="I34">
        <f>_xll.EQNXTDZ($A$1,$B34,I$1,$B$1)</f>
        <v>-0.69</v>
      </c>
      <c r="J34">
        <f>_xll.EQNXTDZ($A$1,$B34,J$1,$B$1)</f>
        <v>-0.43</v>
      </c>
      <c r="K34">
        <f>_xll.EQNXTDZ($A$1,$B34,K$1,$B$1)</f>
        <v>-0.57999999999999996</v>
      </c>
      <c r="L34">
        <f>_xll.EQNXTDZ($A$1,$B34,L$1,$B$1)</f>
        <v>-0.56000000000000005</v>
      </c>
      <c r="M34">
        <f>_xll.EQNXTDZ($A$1,$B34,M$1,$B$1)</f>
        <v>-0.33</v>
      </c>
      <c r="N34">
        <f>_xll.EQNXTDZ($A$1,$B34,N$1,$B$1)</f>
        <v>-0.8</v>
      </c>
      <c r="O34">
        <f>_xll.EQNXTDZ($A$1,$B34,O$1,$B$1)</f>
        <v>-0.71</v>
      </c>
      <c r="P34">
        <f>_xll.EQNXTDZ($A$1,$B34,P$1,$B$1)</f>
        <v>-0.35</v>
      </c>
      <c r="Q34">
        <f>_xll.EQNXTDZ($A$1,$B34,Q$1,$B$1)</f>
        <v>0.06</v>
      </c>
      <c r="R34">
        <f>_xll.EQNXTDZ($A$1,$B34,R$1,$B$1)</f>
        <v>-0.67</v>
      </c>
      <c r="S34">
        <f>_xll.EQNXTDZ($A$1,$B34,S$1,$B$1)</f>
        <v>-1.69</v>
      </c>
      <c r="T34">
        <f>_xll.EQNXTDZ($A$1,$B34,T$1,$B$1)</f>
        <v>-0.73</v>
      </c>
      <c r="U34">
        <f>_xll.EQNXTDZ($A$1,$B34,U$1,$B$1)</f>
        <v>-1.01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13.36</v>
      </c>
      <c r="D38">
        <f>_xll.EQNXTDZ($A$1,$B38,D$1,$B$1)</f>
        <v>8.7799999999999994</v>
      </c>
      <c r="E38">
        <f>_xll.EQNXTDZ($A$1,$B38,E$1,$B$1)</f>
        <v>10.029999999999999</v>
      </c>
      <c r="F38">
        <f>_xll.EQNXTDZ($A$1,$B38,F$1,$B$1)</f>
        <v>15.63</v>
      </c>
      <c r="G38">
        <f>_xll.EQNXTDZ($A$1,$B38,G$1,$B$1)</f>
        <v>14.77</v>
      </c>
      <c r="H38">
        <f>_xll.EQNXTDZ($A$1,$B38,H$1,$B$1)</f>
        <v>9.15</v>
      </c>
      <c r="I38">
        <f>_xll.EQNXTDZ($A$1,$B38,I$1,$B$1)</f>
        <v>16.66</v>
      </c>
      <c r="J38">
        <f>_xll.EQNXTDZ($A$1,$B38,J$1,$B$1)</f>
        <v>16.920000000000002</v>
      </c>
      <c r="K38">
        <f>_xll.EQNXTDZ($A$1,$B38,K$1,$B$1)</f>
        <v>18.670000000000002</v>
      </c>
      <c r="L38">
        <f>_xll.EQNXTDZ($A$1,$B38,L$1,$B$1)</f>
        <v>13.22</v>
      </c>
      <c r="M38">
        <f>_xll.EQNXTDZ($A$1,$B38,M$1,$B$1)</f>
        <v>17.79</v>
      </c>
      <c r="N38">
        <f>_xll.EQNXTDZ($A$1,$B38,N$1,$B$1)</f>
        <v>20.48</v>
      </c>
      <c r="O38">
        <f>_xll.EQNXTDZ($A$1,$B38,O$1,$B$1)</f>
        <v>19.920000000000002</v>
      </c>
      <c r="P38">
        <f>_xll.EQNXTDZ($A$1,$B38,P$1,$B$1)</f>
        <v>15.97</v>
      </c>
      <c r="Q38">
        <f>_xll.EQNXTDZ($A$1,$B38,Q$1,$B$1)</f>
        <v>20.56</v>
      </c>
      <c r="R38">
        <f>_xll.EQNXTDZ($A$1,$B38,R$1,$B$1)</f>
        <v>34.28</v>
      </c>
      <c r="S38">
        <f>_xll.EQNXTDZ($A$1,$B38,S$1,$B$1)</f>
        <v>18.260000000000002</v>
      </c>
      <c r="T38">
        <f>_xll.EQNXTDZ($A$1,$B38,T$1,$B$1)</f>
        <v>16.79</v>
      </c>
      <c r="U38">
        <f>_xll.EQNXTDZ($A$1,$B38,U$1,$B$1)</f>
        <v>15.25</v>
      </c>
      <c r="V38">
        <f>_xll.EQNXTDZ($A$1,$B38,V$1,$B$1)</f>
        <v>16.32</v>
      </c>
      <c r="W38">
        <f>_xll.EQNXTDZ($A$1,$B38,W$1,$B$1)</f>
        <v>7.23</v>
      </c>
      <c r="X38">
        <f>_xll.EQNXTDZ($A$1,$B38,X$1,$B$1)</f>
        <v>19.13</v>
      </c>
      <c r="Y38">
        <f>_xll.EQNXTDZ($A$1,$B38,Y$1,$B$1)</f>
        <v>20.94</v>
      </c>
      <c r="Z38">
        <f>_xll.EQNXTDZ($A$1,$B38,Z$1,$B$1)</f>
        <v>17.8</v>
      </c>
      <c r="AA38">
        <f>_xll.EQNXTDZ($A$1,$B38,AA$1,$B$1)</f>
        <v>14.25</v>
      </c>
      <c r="AB38">
        <f>_xll.EQNXTDZ($A$1,$B38,AB$1,$B$1)</f>
        <v>-15.12</v>
      </c>
      <c r="AC38">
        <f>_xll.EQNXTDZ($A$1,$B38,AC$1,$B$1)</f>
        <v>17.96</v>
      </c>
      <c r="AD38">
        <f>_xll.EQNXTDZ($A$1,$B38,AD$1,$B$1)</f>
        <v>42.030000000000101</v>
      </c>
      <c r="AE38">
        <f>_xll.EQNXTDZ($A$1,$B38,AE$1,$B$1)</f>
        <v>27.9299999999999</v>
      </c>
      <c r="AF38">
        <f>_xll.EQNXTDZ($A$1,$B38,AF$1,$B$1)</f>
        <v>31.9</v>
      </c>
      <c r="AG38">
        <f>_xll.EQNXTDZ($A$1,$B38,AG$1,$B$1)</f>
        <v>68.180000000000007</v>
      </c>
      <c r="AH38">
        <f>_xll.EQNXTDZ($A$1,$B38,AH$1,$B$1)</f>
        <v>27.31</v>
      </c>
      <c r="AI38">
        <f>_xll.EQNXTDZ($A$1,$B38,AI$1,$B$1)</f>
        <v>26.72</v>
      </c>
      <c r="AJ38">
        <f>_xll.EQNXTDZ($A$1,$B38,AJ$1,$B$1)</f>
        <v>36.879999999999903</v>
      </c>
      <c r="AK38">
        <f>_xll.EQNXTDZ($A$1,$B38,AK$1,$B$1)</f>
        <v>5.0800000000000596</v>
      </c>
      <c r="AL38">
        <f>_xll.EQNXTDZ($A$1,$B38,AL$1,$B$1)</f>
        <v>16.169999999999899</v>
      </c>
      <c r="AM38">
        <f>_xll.EQNXTDZ($A$1,$B38,AM$1,$B$1)</f>
        <v>-3.50000000000006</v>
      </c>
      <c r="AN38">
        <f>_xll.EQNXTDZ($A$1,$B38,AN$1,$B$1)</f>
        <v>-21.8399999999999</v>
      </c>
      <c r="AO38">
        <f>_xll.EQNXTDZ($A$1,$B38,AO$1,$B$1)</f>
        <v>-13.5199999999999</v>
      </c>
      <c r="AP38">
        <f>_xll.EQNXTDZ($A$1,$B38,AP$1,$B$1)</f>
        <v>24.6099999999999</v>
      </c>
      <c r="AQ38">
        <f>_xll.EQNXTDZ($A$1,$B38,AQ$1,$B$1)</f>
        <v>8.1500000000000199</v>
      </c>
      <c r="AR38">
        <f>_xll.EQNXTDZ($A$1,$B38,AR$1,$B$1)</f>
        <v>3.9999999999944399E-2</v>
      </c>
      <c r="AS38">
        <f>_xll.EQNXTDZ($A$1,$B38,AS$1,$B$1)</f>
        <v>16.84</v>
      </c>
      <c r="AT38">
        <f>_xll.EQNXTDZ($A$1,$B38,AT$1,$B$1)</f>
        <v>35.49</v>
      </c>
      <c r="AU38">
        <f>_xll.EQNXTDZ($A$1,$B38,AU$1,$B$1)</f>
        <v>14.46</v>
      </c>
      <c r="AV38">
        <f>_xll.EQNXTDZ($A$1,$B38,AV$1,$B$1)</f>
        <v>32.270000000000003</v>
      </c>
      <c r="AW38">
        <f>_xll.EQNXTDZ($A$1,$B38,AW$1,$B$1)</f>
        <v>327.42</v>
      </c>
      <c r="AX38">
        <f>_xll.EQNXTDZ($A$1,$B38,AX$1,$B$1)</f>
        <v>26.03</v>
      </c>
      <c r="AY38">
        <f>_xll.EQNXTDZ($A$1,$B38,AY$1,$B$1)</f>
        <v>38.54</v>
      </c>
      <c r="AZ38">
        <f>_xll.EQNXTDZ($A$1,$B38,AZ$1,$B$1)</f>
        <v>11.7099999999999</v>
      </c>
      <c r="BA38">
        <f>_xll.EQNXTDZ($A$1,$B38,BA$1,$B$1)</f>
        <v>11.6899999999999</v>
      </c>
      <c r="BB38">
        <f>_xll.EQNXTDZ($A$1,$B38,BB$1,$B$1)</f>
        <v>26.150000000000102</v>
      </c>
      <c r="BC38">
        <f>_xll.EQNXTDZ($A$1,$B38,BC$1,$B$1)</f>
        <v>24.940000000000101</v>
      </c>
      <c r="BD38">
        <f>_xll.EQNXTDZ($A$1,$B38,BD$1,$B$1)</f>
        <v>36.770000000000103</v>
      </c>
      <c r="BE38">
        <f>_xll.EQNXTDZ($A$1,$B38,BE$1,$B$1)</f>
        <v>30.3</v>
      </c>
      <c r="BF38">
        <f>_xll.EQNXTDZ($A$1,$B38,BF$1,$B$1)</f>
        <v>25.6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0.4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0.26</v>
      </c>
      <c r="Z40">
        <f>_xll.EQNXTDZ($A$1,$B40,Z$1,$B$1)</f>
        <v>0.2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-0.54</v>
      </c>
      <c r="AD40">
        <f>_xll.EQNXTDZ($A$1,$B40,AD$1,$B$1)</f>
        <v>0.21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-1.2</v>
      </c>
      <c r="AH40">
        <f>_xll.EQNXTDZ($A$1,$B40,AH$1,$B$1)</f>
        <v>-1.03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-4.7300000000000004</v>
      </c>
      <c r="AL40">
        <f>_xll.EQNXTDZ($A$1,$B40,AL$1,$B$1)</f>
        <v>2.4500000000000002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-4.8899999999999997</v>
      </c>
      <c r="AP40">
        <f>_xll.EQNXTDZ($A$1,$B40,AP$1,$B$1)</f>
        <v>0.27</v>
      </c>
      <c r="AQ40">
        <f>_xll.EQNXTDZ($A$1,$B40,AQ$1,$B$1)</f>
        <v>0</v>
      </c>
      <c r="AR40">
        <f>_xll.EQNXTDZ($A$1,$B40,AR$1,$B$1)</f>
        <v>-0.31</v>
      </c>
      <c r="AS40">
        <f>_xll.EQNXTDZ($A$1,$B40,AS$1,$B$1)</f>
        <v>-0.95</v>
      </c>
      <c r="AT40">
        <f>_xll.EQNXTDZ($A$1,$B40,AT$1,$B$1)</f>
        <v>-0.02</v>
      </c>
      <c r="AU40">
        <f>_xll.EQNXTDZ($A$1,$B40,AU$1,$B$1)</f>
        <v>0.43</v>
      </c>
      <c r="AV40">
        <f>_xll.EQNXTDZ($A$1,$B40,AV$1,$B$1)</f>
        <v>-0.61</v>
      </c>
      <c r="AW40">
        <f>_xll.EQNXTDZ($A$1,$B40,AW$1,$B$1)</f>
        <v>0.85</v>
      </c>
      <c r="AX40">
        <f>_xll.EQNXTDZ($A$1,$B40,AX$1,$B$1)</f>
        <v>-0.13</v>
      </c>
      <c r="AY40">
        <f>_xll.EQNXTDZ($A$1,$B40,AY$1,$B$1)</f>
        <v>0.1</v>
      </c>
      <c r="AZ40">
        <f>_xll.EQNXTDZ($A$1,$B40,AZ$1,$B$1)</f>
        <v>-0.28999999999999998</v>
      </c>
      <c r="BA40">
        <f>_xll.EQNXTDZ($A$1,$B40,BA$1,$B$1)</f>
        <v>-6.8</v>
      </c>
      <c r="BB40">
        <f>_xll.EQNXTDZ($A$1,$B40,BB$1,$B$1)</f>
        <v>7.0000000000000007E-2</v>
      </c>
      <c r="BC40">
        <f>_xll.EQNXTDZ($A$1,$B40,BC$1,$B$1)</f>
        <v>0.04</v>
      </c>
      <c r="BD40">
        <f>_xll.EQNXTDZ($A$1,$B40,BD$1,$B$1)</f>
        <v>-1.72</v>
      </c>
      <c r="BE40">
        <f>_xll.EQNXTDZ($A$1,$B40,BE$1,$B$1)</f>
        <v>-1.47</v>
      </c>
      <c r="BF40">
        <f>_xll.EQNXTDZ($A$1,$B40,BF$1,$B$1)</f>
        <v>-1.0900000000000001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19.920000000000002</v>
      </c>
      <c r="P41">
        <f>_xll.EQNXTDZ($A$1,$B41,P$1,$B$1)</f>
        <v>15.97</v>
      </c>
      <c r="Q41">
        <f>_xll.EQNXTDZ($A$1,$B41,Q$1,$B$1)</f>
        <v>20.56</v>
      </c>
      <c r="R41">
        <f>_xll.EQNXTDZ($A$1,$B41,R$1,$B$1)</f>
        <v>0</v>
      </c>
      <c r="S41">
        <f>_xll.EQNXTDZ($A$1,$B41,S$1,$B$1)</f>
        <v>18.260000000000002</v>
      </c>
      <c r="T41">
        <f>_xll.EQNXTDZ($A$1,$B41,T$1,$B$1)</f>
        <v>16.79</v>
      </c>
      <c r="U41">
        <f>_xll.EQNXTDZ($A$1,$B41,U$1,$B$1)</f>
        <v>15.25</v>
      </c>
      <c r="V41">
        <f>_xll.EQNXTDZ($A$1,$B41,V$1,$B$1)</f>
        <v>16.72</v>
      </c>
      <c r="W41">
        <f>_xll.EQNXTDZ($A$1,$B41,W$1,$B$1)</f>
        <v>7.23</v>
      </c>
      <c r="X41">
        <f>_xll.EQNXTDZ($A$1,$B41,X$1,$B$1)</f>
        <v>19.13</v>
      </c>
      <c r="Y41">
        <f>_xll.EQNXTDZ($A$1,$B41,Y$1,$B$1)</f>
        <v>21.2</v>
      </c>
      <c r="Z41">
        <f>_xll.EQNXTDZ($A$1,$B41,Z$1,$B$1)</f>
        <v>18</v>
      </c>
      <c r="AA41">
        <f>_xll.EQNXTDZ($A$1,$B41,AA$1,$B$1)</f>
        <v>14.25</v>
      </c>
      <c r="AB41">
        <f>_xll.EQNXTDZ($A$1,$B41,AB$1,$B$1)</f>
        <v>-15.12</v>
      </c>
      <c r="AC41">
        <f>_xll.EQNXTDZ($A$1,$B41,AC$1,$B$1)</f>
        <v>17.420000000000002</v>
      </c>
      <c r="AD41">
        <f>_xll.EQNXTDZ($A$1,$B41,AD$1,$B$1)</f>
        <v>42.24</v>
      </c>
      <c r="AE41">
        <f>_xll.EQNXTDZ($A$1,$B41,AE$1,$B$1)</f>
        <v>27.93</v>
      </c>
      <c r="AF41">
        <f>_xll.EQNXTDZ($A$1,$B41,AF$1,$B$1)</f>
        <v>31.9</v>
      </c>
      <c r="AG41">
        <f>_xll.EQNXTDZ($A$1,$B41,AG$1,$B$1)</f>
        <v>66.98</v>
      </c>
      <c r="AH41">
        <f>_xll.EQNXTDZ($A$1,$B41,AH$1,$B$1)</f>
        <v>26.28</v>
      </c>
      <c r="AI41">
        <f>_xll.EQNXTDZ($A$1,$B41,AI$1,$B$1)</f>
        <v>26.72</v>
      </c>
      <c r="AJ41">
        <f>_xll.EQNXTDZ($A$1,$B41,AJ$1,$B$1)</f>
        <v>36.880000000000003</v>
      </c>
      <c r="AK41">
        <f>_xll.EQNXTDZ($A$1,$B41,AK$1,$B$1)</f>
        <v>0.35</v>
      </c>
      <c r="AL41">
        <f>_xll.EQNXTDZ($A$1,$B41,AL$1,$B$1)</f>
        <v>18.62</v>
      </c>
      <c r="AM41">
        <f>_xll.EQNXTDZ($A$1,$B41,AM$1,$B$1)</f>
        <v>-3.5</v>
      </c>
      <c r="AN41">
        <f>_xll.EQNXTDZ($A$1,$B41,AN$1,$B$1)</f>
        <v>-21.84</v>
      </c>
      <c r="AO41">
        <f>_xll.EQNXTDZ($A$1,$B41,AO$1,$B$1)</f>
        <v>-18.41</v>
      </c>
      <c r="AP41">
        <f>_xll.EQNXTDZ($A$1,$B41,AP$1,$B$1)</f>
        <v>24.88</v>
      </c>
      <c r="AQ41">
        <f>_xll.EQNXTDZ($A$1,$B41,AQ$1,$B$1)</f>
        <v>8.15</v>
      </c>
      <c r="AR41">
        <f>_xll.EQNXTDZ($A$1,$B41,AR$1,$B$1)</f>
        <v>-0.27</v>
      </c>
      <c r="AS41">
        <f>_xll.EQNXTDZ($A$1,$B41,AS$1,$B$1)</f>
        <v>15.89</v>
      </c>
      <c r="AT41">
        <f>_xll.EQNXTDZ($A$1,$B41,AT$1,$B$1)</f>
        <v>35.47</v>
      </c>
      <c r="AU41">
        <f>_xll.EQNXTDZ($A$1,$B41,AU$1,$B$1)</f>
        <v>14.89</v>
      </c>
      <c r="AV41">
        <f>_xll.EQNXTDZ($A$1,$B41,AV$1,$B$1)</f>
        <v>31.66</v>
      </c>
      <c r="AW41">
        <f>_xll.EQNXTDZ($A$1,$B41,AW$1,$B$1)</f>
        <v>328.27</v>
      </c>
      <c r="AX41">
        <f>_xll.EQNXTDZ($A$1,$B41,AX$1,$B$1)</f>
        <v>25.9</v>
      </c>
      <c r="AY41">
        <f>_xll.EQNXTDZ($A$1,$B41,AY$1,$B$1)</f>
        <v>38.64</v>
      </c>
      <c r="AZ41">
        <f>_xll.EQNXTDZ($A$1,$B41,AZ$1,$B$1)</f>
        <v>11.42</v>
      </c>
      <c r="BA41">
        <f>_xll.EQNXTDZ($A$1,$B41,BA$1,$B$1)</f>
        <v>4.8899999999999997</v>
      </c>
      <c r="BB41">
        <f>_xll.EQNXTDZ($A$1,$B41,BB$1,$B$1)</f>
        <v>26.22</v>
      </c>
      <c r="BC41">
        <f>_xll.EQNXTDZ($A$1,$B41,BC$1,$B$1)</f>
        <v>24.98</v>
      </c>
      <c r="BD41">
        <f>_xll.EQNXTDZ($A$1,$B41,BD$1,$B$1)</f>
        <v>35.049999999999997</v>
      </c>
      <c r="BE41">
        <f>_xll.EQNXTDZ($A$1,$B41,BE$1,$B$1)</f>
        <v>28.83</v>
      </c>
      <c r="BF41">
        <f>_xll.EQNXTDZ($A$1,$B41,BF$1,$B$1)</f>
        <v>24.51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13.36</v>
      </c>
      <c r="D42">
        <f>_xll.EQNXTDZ($A$1,$B42,D$1,$B$1)</f>
        <v>8.7799999999999994</v>
      </c>
      <c r="E42">
        <f>_xll.EQNXTDZ($A$1,$B42,E$1,$B$1)</f>
        <v>10.029999999999999</v>
      </c>
      <c r="F42">
        <f>_xll.EQNXTDZ($A$1,$B42,F$1,$B$1)</f>
        <v>15.63</v>
      </c>
      <c r="G42">
        <f>_xll.EQNXTDZ($A$1,$B42,G$1,$B$1)</f>
        <v>14.77</v>
      </c>
      <c r="H42">
        <f>_xll.EQNXTDZ($A$1,$B42,H$1,$B$1)</f>
        <v>9.15</v>
      </c>
      <c r="I42">
        <f>_xll.EQNXTDZ($A$1,$B42,I$1,$B$1)</f>
        <v>16.66</v>
      </c>
      <c r="J42">
        <f>_xll.EQNXTDZ($A$1,$B42,J$1,$B$1)</f>
        <v>16.920000000000002</v>
      </c>
      <c r="K42">
        <f>_xll.EQNXTDZ($A$1,$B42,K$1,$B$1)</f>
        <v>18.670000000000002</v>
      </c>
      <c r="L42">
        <f>_xll.EQNXTDZ($A$1,$B42,L$1,$B$1)</f>
        <v>13.22</v>
      </c>
      <c r="M42">
        <f>_xll.EQNXTDZ($A$1,$B42,M$1,$B$1)</f>
        <v>17.79</v>
      </c>
      <c r="N42">
        <f>_xll.EQNXTDZ($A$1,$B42,N$1,$B$1)</f>
        <v>20.48</v>
      </c>
      <c r="O42">
        <f>_xll.EQNXTDZ($A$1,$B42,O$1,$B$1)</f>
        <v>19.920000000000002</v>
      </c>
      <c r="P42">
        <f>_xll.EQNXTDZ($A$1,$B42,P$1,$B$1)</f>
        <v>15.97</v>
      </c>
      <c r="Q42">
        <f>_xll.EQNXTDZ($A$1,$B42,Q$1,$B$1)</f>
        <v>20.56</v>
      </c>
      <c r="R42">
        <f>_xll.EQNXTDZ($A$1,$B42,R$1,$B$1)</f>
        <v>34.28</v>
      </c>
      <c r="S42">
        <f>_xll.EQNXTDZ($A$1,$B42,S$1,$B$1)</f>
        <v>18.260000000000002</v>
      </c>
      <c r="T42">
        <f>_xll.EQNXTDZ($A$1,$B42,T$1,$B$1)</f>
        <v>16.79</v>
      </c>
      <c r="U42">
        <f>_xll.EQNXTDZ($A$1,$B42,U$1,$B$1)</f>
        <v>15.25</v>
      </c>
      <c r="V42">
        <f>_xll.EQNXTDZ($A$1,$B42,V$1,$B$1)</f>
        <v>16.32</v>
      </c>
      <c r="W42">
        <f>_xll.EQNXTDZ($A$1,$B42,W$1,$B$1)</f>
        <v>7.23</v>
      </c>
      <c r="X42">
        <f>_xll.EQNXTDZ($A$1,$B42,X$1,$B$1)</f>
        <v>19.13</v>
      </c>
      <c r="Y42">
        <f>_xll.EQNXTDZ($A$1,$B42,Y$1,$B$1)</f>
        <v>20.94</v>
      </c>
      <c r="Z42">
        <f>_xll.EQNXTDZ($A$1,$B42,Z$1,$B$1)</f>
        <v>17.8</v>
      </c>
      <c r="AA42">
        <f>_xll.EQNXTDZ($A$1,$B42,AA$1,$B$1)</f>
        <v>14.25</v>
      </c>
      <c r="AB42">
        <f>_xll.EQNXTDZ($A$1,$B42,AB$1,$B$1)</f>
        <v>-15.12</v>
      </c>
      <c r="AC42">
        <f>_xll.EQNXTDZ($A$1,$B42,AC$1,$B$1)</f>
        <v>17.96</v>
      </c>
      <c r="AD42">
        <f>_xll.EQNXTDZ($A$1,$B42,AD$1,$B$1)</f>
        <v>42.030000000000101</v>
      </c>
      <c r="AE42">
        <f>_xll.EQNXTDZ($A$1,$B42,AE$1,$B$1)</f>
        <v>27.9299999999999</v>
      </c>
      <c r="AF42">
        <f>_xll.EQNXTDZ($A$1,$B42,AF$1,$B$1)</f>
        <v>31.9</v>
      </c>
      <c r="AG42">
        <f>_xll.EQNXTDZ($A$1,$B42,AG$1,$B$1)</f>
        <v>68.180000000000007</v>
      </c>
      <c r="AH42">
        <f>_xll.EQNXTDZ($A$1,$B42,AH$1,$B$1)</f>
        <v>27.31</v>
      </c>
      <c r="AI42">
        <f>_xll.EQNXTDZ($A$1,$B42,AI$1,$B$1)</f>
        <v>26.72</v>
      </c>
      <c r="AJ42">
        <f>_xll.EQNXTDZ($A$1,$B42,AJ$1,$B$1)</f>
        <v>36.879999999999903</v>
      </c>
      <c r="AK42">
        <f>_xll.EQNXTDZ($A$1,$B42,AK$1,$B$1)</f>
        <v>5.0800000000000596</v>
      </c>
      <c r="AL42">
        <f>_xll.EQNXTDZ($A$1,$B42,AL$1,$B$1)</f>
        <v>16.169999999999899</v>
      </c>
      <c r="AM42">
        <f>_xll.EQNXTDZ($A$1,$B42,AM$1,$B$1)</f>
        <v>-3.50000000000006</v>
      </c>
      <c r="AN42">
        <f>_xll.EQNXTDZ($A$1,$B42,AN$1,$B$1)</f>
        <v>-21.8399999999999</v>
      </c>
      <c r="AO42">
        <f>_xll.EQNXTDZ($A$1,$B42,AO$1,$B$1)</f>
        <v>-13.5199999999999</v>
      </c>
      <c r="AP42">
        <f>_xll.EQNXTDZ($A$1,$B42,AP$1,$B$1)</f>
        <v>24.6099999999999</v>
      </c>
      <c r="AQ42">
        <f>_xll.EQNXTDZ($A$1,$B42,AQ$1,$B$1)</f>
        <v>8.1500000000000199</v>
      </c>
      <c r="AR42">
        <f>_xll.EQNXTDZ($A$1,$B42,AR$1,$B$1)</f>
        <v>3.9999999999944399E-2</v>
      </c>
      <c r="AS42">
        <f>_xll.EQNXTDZ($A$1,$B42,AS$1,$B$1)</f>
        <v>16.84</v>
      </c>
      <c r="AT42">
        <f>_xll.EQNXTDZ($A$1,$B42,AT$1,$B$1)</f>
        <v>35.49</v>
      </c>
      <c r="AU42">
        <f>_xll.EQNXTDZ($A$1,$B42,AU$1,$B$1)</f>
        <v>14.46</v>
      </c>
      <c r="AV42">
        <f>_xll.EQNXTDZ($A$1,$B42,AV$1,$B$1)</f>
        <v>32.270000000000003</v>
      </c>
      <c r="AW42">
        <f>_xll.EQNXTDZ($A$1,$B42,AW$1,$B$1)</f>
        <v>327.42</v>
      </c>
      <c r="AX42">
        <f>_xll.EQNXTDZ($A$1,$B42,AX$1,$B$1)</f>
        <v>26.03</v>
      </c>
      <c r="AY42">
        <f>_xll.EQNXTDZ($A$1,$B42,AY$1,$B$1)</f>
        <v>38.54</v>
      </c>
      <c r="AZ42">
        <f>_xll.EQNXTDZ($A$1,$B42,AZ$1,$B$1)</f>
        <v>11.7099999999999</v>
      </c>
      <c r="BA42">
        <f>_xll.EQNXTDZ($A$1,$B42,BA$1,$B$1)</f>
        <v>11.6899999999999</v>
      </c>
      <c r="BB42">
        <f>_xll.EQNXTDZ($A$1,$B42,BB$1,$B$1)</f>
        <v>26.150000000000102</v>
      </c>
      <c r="BC42">
        <f>_xll.EQNXTDZ($A$1,$B42,BC$1,$B$1)</f>
        <v>24.940000000000101</v>
      </c>
      <c r="BD42">
        <f>_xll.EQNXTDZ($A$1,$B42,BD$1,$B$1)</f>
        <v>36.770000000000103</v>
      </c>
      <c r="BE42">
        <f>_xll.EQNXTDZ($A$1,$B42,BE$1,$B$1)</f>
        <v>30.3</v>
      </c>
      <c r="BF42">
        <f>_xll.EQNXTDZ($A$1,$B42,BF$1,$B$1)</f>
        <v>25.6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12.54</v>
      </c>
      <c r="D45">
        <f>_xll.EQNXTDZ($A$1,$B45,D$1,$B$1)</f>
        <v>12.54</v>
      </c>
      <c r="E45">
        <f>_xll.EQNXTDZ($A$1,$B45,E$1,$B$1)</f>
        <v>12.54</v>
      </c>
      <c r="F45">
        <f>_xll.EQNXTDZ($A$1,$B45,F$1,$B$1)</f>
        <v>12.54</v>
      </c>
      <c r="G45">
        <f>_xll.EQNXTDZ($A$1,$B45,G$1,$B$1)</f>
        <v>12.54</v>
      </c>
      <c r="H45">
        <f>_xll.EQNXTDZ($A$1,$B45,H$1,$B$1)</f>
        <v>12.54</v>
      </c>
      <c r="I45">
        <f>_xll.EQNXTDZ($A$1,$B45,I$1,$B$1)</f>
        <v>12.54</v>
      </c>
      <c r="J45">
        <f>_xll.EQNXTDZ($A$1,$B45,J$1,$B$1)</f>
        <v>12.54</v>
      </c>
      <c r="K45">
        <f>_xll.EQNXTDZ($A$1,$B45,K$1,$B$1)</f>
        <v>12.54</v>
      </c>
      <c r="L45">
        <f>_xll.EQNXTDZ($A$1,$B45,L$1,$B$1)</f>
        <v>14.54</v>
      </c>
      <c r="M45">
        <f>_xll.EQNXTDZ($A$1,$B45,M$1,$B$1)</f>
        <v>14.54</v>
      </c>
      <c r="N45">
        <f>_xll.EQNXTDZ($A$1,$B45,N$1,$B$1)</f>
        <v>14.54</v>
      </c>
      <c r="O45">
        <f>_xll.EQNXTDZ($A$1,$B45,O$1,$B$1)</f>
        <v>14.54</v>
      </c>
      <c r="P45">
        <f>_xll.EQNXTDZ($A$1,$B45,P$1,$B$1)</f>
        <v>14.54</v>
      </c>
      <c r="Q45">
        <f>_xll.EQNXTDZ($A$1,$B45,Q$1,$B$1)</f>
        <v>14.54</v>
      </c>
      <c r="R45">
        <f>_xll.EQNXTDZ($A$1,$B45,R$1,$B$1)</f>
        <v>14.54</v>
      </c>
      <c r="S45">
        <f>_xll.EQNXTDZ($A$1,$B45,S$1,$B$1)</f>
        <v>14.54</v>
      </c>
      <c r="T45">
        <f>_xll.EQNXTDZ($A$1,$B45,T$1,$B$1)</f>
        <v>14.54</v>
      </c>
      <c r="U45">
        <f>_xll.EQNXTDZ($A$1,$B45,U$1,$B$1)</f>
        <v>14.54</v>
      </c>
      <c r="V45">
        <f>_xll.EQNXTDZ($A$1,$B45,V$1,$B$1)</f>
        <v>14.54</v>
      </c>
      <c r="W45">
        <f>_xll.EQNXTDZ($A$1,$B45,W$1,$B$1)</f>
        <v>15.1</v>
      </c>
      <c r="X45">
        <f>_xll.EQNXTDZ($A$1,$B45,X$1,$B$1)</f>
        <v>15.1</v>
      </c>
      <c r="Y45">
        <f>_xll.EQNXTDZ($A$1,$B45,Y$1,$B$1)</f>
        <v>15.11</v>
      </c>
      <c r="Z45">
        <f>_xll.EQNXTDZ($A$1,$B45,Z$1,$B$1)</f>
        <v>15.11</v>
      </c>
      <c r="AA45">
        <f>_xll.EQNXTDZ($A$1,$B45,AA$1,$B$1)</f>
        <v>15.11</v>
      </c>
      <c r="AB45">
        <f>_xll.EQNXTDZ($A$1,$B45,AB$1,$B$1)</f>
        <v>15.11</v>
      </c>
      <c r="AC45">
        <f>_xll.EQNXTDZ($A$1,$B45,AC$1,$B$1)</f>
        <v>15.11</v>
      </c>
      <c r="AD45">
        <f>_xll.EQNXTDZ($A$1,$B45,AD$1,$B$1)</f>
        <v>15.11</v>
      </c>
      <c r="AE45">
        <f>_xll.EQNXTDZ($A$1,$B45,AE$1,$B$1)</f>
        <v>15.11</v>
      </c>
      <c r="AF45">
        <f>_xll.EQNXTDZ($A$1,$B45,AF$1,$B$1)</f>
        <v>15.11</v>
      </c>
      <c r="AG45">
        <f>_xll.EQNXTDZ($A$1,$B45,AG$1,$B$1)</f>
        <v>15.11</v>
      </c>
      <c r="AH45">
        <f>_xll.EQNXTDZ($A$1,$B45,AH$1,$B$1)</f>
        <v>15.11</v>
      </c>
      <c r="AI45">
        <f>_xll.EQNXTDZ($A$1,$B45,AI$1,$B$1)</f>
        <v>15.11</v>
      </c>
      <c r="AJ45">
        <f>_xll.EQNXTDZ($A$1,$B45,AJ$1,$B$1)</f>
        <v>15.11</v>
      </c>
      <c r="AK45">
        <f>_xll.EQNXTDZ($A$1,$B45,AK$1,$B$1)</f>
        <v>15.11</v>
      </c>
      <c r="AL45">
        <f>_xll.EQNXTDZ($A$1,$B45,AL$1,$B$1)</f>
        <v>15.11</v>
      </c>
      <c r="AM45">
        <f>_xll.EQNXTDZ($A$1,$B45,AM$1,$B$1)</f>
        <v>15.11</v>
      </c>
      <c r="AN45">
        <f>_xll.EQNXTDZ($A$1,$B45,AN$1,$B$1)</f>
        <v>15.11</v>
      </c>
      <c r="AO45">
        <f>_xll.EQNXTDZ($A$1,$B45,AO$1,$B$1)</f>
        <v>15.11</v>
      </c>
      <c r="AP45">
        <f>_xll.EQNXTDZ($A$1,$B45,AP$1,$B$1)</f>
        <v>15.11</v>
      </c>
      <c r="AQ45">
        <f>_xll.EQNXTDZ($A$1,$B45,AQ$1,$B$1)</f>
        <v>15.11</v>
      </c>
      <c r="AR45">
        <f>_xll.EQNXTDZ($A$1,$B45,AR$1,$B$1)</f>
        <v>15.11</v>
      </c>
      <c r="AS45">
        <f>_xll.EQNXTDZ($A$1,$B45,AS$1,$B$1)</f>
        <v>15.11</v>
      </c>
      <c r="AT45">
        <f>_xll.EQNXTDZ($A$1,$B45,AT$1,$B$1)</f>
        <v>15.11</v>
      </c>
      <c r="AU45">
        <f>_xll.EQNXTDZ($A$1,$B45,AU$1,$B$1)</f>
        <v>15.11</v>
      </c>
      <c r="AV45">
        <f>_xll.EQNXTDZ($A$1,$B45,AV$1,$B$1)</f>
        <v>15.11</v>
      </c>
      <c r="AW45">
        <f>_xll.EQNXTDZ($A$1,$B45,AW$1,$B$1)</f>
        <v>15.11</v>
      </c>
      <c r="AX45">
        <f>_xll.EQNXTDZ($A$1,$B45,AX$1,$B$1)</f>
        <v>15.11</v>
      </c>
      <c r="AY45">
        <f>_xll.EQNXTDZ($A$1,$B45,AY$1,$B$1)</f>
        <v>15.11</v>
      </c>
      <c r="AZ45">
        <f>_xll.EQNXTDZ($A$1,$B45,AZ$1,$B$1)</f>
        <v>15.11</v>
      </c>
      <c r="BA45">
        <f>_xll.EQNXTDZ($A$1,$B45,BA$1,$B$1)</f>
        <v>15.11</v>
      </c>
      <c r="BB45">
        <f>_xll.EQNXTDZ($A$1,$B45,BB$1,$B$1)</f>
        <v>15.11</v>
      </c>
      <c r="BC45">
        <f>_xll.EQNXTDZ($A$1,$B45,BC$1,$B$1)</f>
        <v>15.11</v>
      </c>
      <c r="BD45">
        <f>_xll.EQNXTDZ($A$1,$B45,BD$1,$B$1)</f>
        <v>15.11</v>
      </c>
      <c r="BE45">
        <f>_xll.EQNXTDZ($A$1,$B45,BE$1,$B$1)</f>
        <v>15.11</v>
      </c>
      <c r="BF45">
        <f>_xll.EQNXTDZ($A$1,$B45,BF$1,$B$1)</f>
        <v>15.11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71.400000000000006</v>
      </c>
      <c r="D48" s="54">
        <f>_xll.EQNXTDZ($A$1,$B48,D$5)</f>
        <v>71.650000000000006</v>
      </c>
      <c r="E48" s="54">
        <f>_xll.EQNXTDZ($A$1,$B48,E$5)</f>
        <v>72.349999999999994</v>
      </c>
      <c r="F48" s="54">
        <f>_xll.EQNXTDZ($A$1,$B48,F$5)</f>
        <v>62.15</v>
      </c>
      <c r="G48" s="54">
        <f>_xll.EQNXTDZ($A$1,$B48,G$5)</f>
        <v>62.85</v>
      </c>
      <c r="H48" s="54">
        <f>_xll.EQNXTDZ($A$1,$B48,H$5)</f>
        <v>60.1</v>
      </c>
      <c r="I48" s="54">
        <f>_xll.EQNXTDZ($A$1,$B48,I$5)</f>
        <v>74.599999999999994</v>
      </c>
      <c r="J48" s="54">
        <f>_xll.EQNXTDZ($A$1,$B48,J$5)</f>
        <v>89.5</v>
      </c>
      <c r="K48" s="54">
        <f>_xll.EQNXTDZ($A$1,$B48,K$5)</f>
        <v>134.30000000000001</v>
      </c>
      <c r="L48" s="54">
        <f>_xll.EQNXTDZ($A$1,$B48,L$5)</f>
        <v>192.05</v>
      </c>
      <c r="M48" s="54">
        <f>_xll.EQNXTDZ($A$1,$B48,M$5)</f>
        <v>180.7</v>
      </c>
      <c r="N48" s="54">
        <f>_xll.EQNXTDZ($A$1,$B48,N$5)</f>
        <v>231.1</v>
      </c>
      <c r="O48" s="54">
        <f>_xll.EQNXTDZ($A$1,$B48,O$5)</f>
        <v>236.7</v>
      </c>
      <c r="P48" s="54">
        <f>_xll.EQNXTDZ($A$1,$B48,P$5)</f>
        <v>272.39999999999998</v>
      </c>
      <c r="Q48" s="54">
        <f>_xll.EQNXTDZ($A$1,$B48,Q$5)</f>
        <v>239.7</v>
      </c>
      <c r="R48" s="54">
        <f>_xll.EQNXTDZ($A$1,$B48,R$5)</f>
        <v>209.6</v>
      </c>
      <c r="S48" s="54">
        <f>_xll.EQNXTDZ($A$1,$B48,S$5)</f>
        <v>297.7</v>
      </c>
      <c r="T48" s="54">
        <f>_xll.EQNXTDZ($A$1,$B48,T$5)</f>
        <v>257.5</v>
      </c>
      <c r="U48" s="54">
        <f>_xll.EQNXTDZ($A$1,$B48,U$5)</f>
        <v>242</v>
      </c>
      <c r="V48" s="54">
        <f>_xll.EQNXTDZ($A$1,$B48,V$5)</f>
        <v>237.4</v>
      </c>
      <c r="W48" s="54">
        <f>_xll.EQNXTDZ($A$1,$B48,W$5)</f>
        <v>259.75</v>
      </c>
      <c r="X48" s="54">
        <f>_xll.EQNXTDZ($A$1,$B48,X$5)</f>
        <v>218.35</v>
      </c>
      <c r="Y48" s="54">
        <f>_xll.EQNXTDZ($A$1,$B48,Y$5)</f>
        <v>353.65</v>
      </c>
      <c r="Z48" s="54">
        <f>_xll.EQNXTDZ($A$1,$B48,Z$5)</f>
        <v>320.10000000000002</v>
      </c>
      <c r="AA48" s="54">
        <f>_xll.EQNXTDZ($A$1,$B48,AA$5)</f>
        <v>275.05</v>
      </c>
      <c r="AB48" s="54">
        <f>_xll.EQNXTDZ($A$1,$B48,AB$5)</f>
        <v>237</v>
      </c>
      <c r="AC48" s="54">
        <f>_xll.EQNXTDZ($A$1,$B48,AC$5)</f>
        <v>194</v>
      </c>
      <c r="AD48" s="54">
        <f>_xll.EQNXTDZ($A$1,$B48,AD$5)</f>
        <v>196.75</v>
      </c>
      <c r="AE48" s="54">
        <f>_xll.EQNXTDZ($A$1,$B48,AE$5)</f>
        <v>258.75</v>
      </c>
      <c r="AF48" s="54">
        <f>_xll.EQNXTDZ($A$1,$B48,AF$5)</f>
        <v>244.1</v>
      </c>
      <c r="AG48" s="54">
        <f>_xll.EQNXTDZ($A$1,$B48,AG$5)</f>
        <v>246.3</v>
      </c>
      <c r="AH48" s="54">
        <f>_xll.EQNXTDZ($A$1,$B48,AH$5)</f>
        <v>195.75</v>
      </c>
      <c r="AI48" s="54">
        <f>_xll.EQNXTDZ($A$1,$B48,AI$5)</f>
        <v>203.9</v>
      </c>
      <c r="AJ48" s="54">
        <f>_xll.EQNXTDZ($A$1,$B48,AJ$5)</f>
        <v>310.5</v>
      </c>
      <c r="AK48" s="54">
        <f>_xll.EQNXTDZ($A$1,$B48,AK$5)</f>
        <v>312.60000000000002</v>
      </c>
      <c r="AL48" s="54">
        <f>_xll.EQNXTDZ($A$1,$B48,AL$5)</f>
        <v>280.3</v>
      </c>
      <c r="AM48" s="54">
        <f>_xll.EQNXTDZ($A$1,$B48,AM$5)</f>
        <v>293.10000000000002</v>
      </c>
      <c r="AN48" s="54">
        <f>_xll.EQNXTDZ($A$1,$B48,AN$5)</f>
        <v>265.5</v>
      </c>
      <c r="AO48" s="54">
        <f>_xll.EQNXTDZ($A$1,$B48,AO$5)</f>
        <v>227.8</v>
      </c>
      <c r="AP48" s="54">
        <f>_xll.EQNXTDZ($A$1,$B48,AP$5)</f>
        <v>151</v>
      </c>
      <c r="AQ48" s="54">
        <f>_xll.EQNXTDZ($A$1,$B48,AQ$5)</f>
        <v>165</v>
      </c>
      <c r="AR48" s="54">
        <f>_xll.EQNXTDZ($A$1,$B48,AR$5)</f>
        <v>217.75</v>
      </c>
      <c r="AS48" s="54">
        <f>_xll.EQNXTDZ($A$1,$B48,AS$5)</f>
        <v>198.85</v>
      </c>
      <c r="AT48" s="54">
        <f>_xll.EQNXTDZ($A$1,$B48,AT$5)</f>
        <v>189.8</v>
      </c>
      <c r="AU48" s="54">
        <f>_xll.EQNXTDZ($A$1,$B48,AU$5)</f>
        <v>273</v>
      </c>
      <c r="AV48" s="54">
        <f>_xll.EQNXTDZ($A$1,$B48,AV$5)</f>
        <v>256.55</v>
      </c>
      <c r="AW48" s="54">
        <f>_xll.EQNXTDZ($A$1,$B48,AW$5)</f>
        <v>286.60000000000002</v>
      </c>
      <c r="AX48" s="54">
        <f>_xll.EQNXTDZ($A$1,$B48,AX$5)</f>
        <v>299.5</v>
      </c>
      <c r="AY48" s="54">
        <f>_xll.EQNXTDZ($A$1,$B48,AY$5)</f>
        <v>360.65</v>
      </c>
      <c r="AZ48" s="54">
        <f>_xll.EQNXTDZ($A$1,$B48,AZ$5)</f>
        <v>385</v>
      </c>
      <c r="BA48" s="54">
        <f>_xll.EQNXTDZ($A$1,$B48,BA$5)</f>
        <v>272.39999999999998</v>
      </c>
      <c r="BB48" s="54">
        <f>_xll.EQNXTDZ($A$1,$B48,BB$5)</f>
        <v>180.95</v>
      </c>
      <c r="BC48" s="54">
        <f>_xll.EQNXTDZ($A$1,$B48,BC$5)</f>
        <v>211.6</v>
      </c>
      <c r="BD48" s="54">
        <f>_xll.EQNXTDZ($A$1,$B48,BD$5)</f>
        <v>233.9</v>
      </c>
      <c r="BE48" s="54">
        <f>_xll.EQNXTDZ($A$1,$B48,BE$5)</f>
        <v>211.65</v>
      </c>
      <c r="BF48" s="54">
        <f>_xll.EQNXTDZ($A$1,$B48,BF$5)</f>
        <v>150.15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63.7</v>
      </c>
      <c r="D49" s="54">
        <f>_xll.EQNXTDZ($A$1,$B49,D$5)</f>
        <v>63.7</v>
      </c>
      <c r="E49" s="54">
        <f>_xll.EQNXTDZ($A$1,$B49,E$5)</f>
        <v>63.7</v>
      </c>
      <c r="F49" s="54">
        <f>_xll.EQNXTDZ($A$1,$B49,F$5)</f>
        <v>63.7</v>
      </c>
      <c r="G49" s="54">
        <f>_xll.EQNXTDZ($A$1,$B49,G$5)</f>
        <v>63.7</v>
      </c>
      <c r="H49" s="54">
        <f>_xll.EQNXTDZ($A$1,$B49,H$5)</f>
        <v>63.78</v>
      </c>
      <c r="I49" s="54">
        <f>_xll.EQNXTDZ($A$1,$B49,I$5)</f>
        <v>63.78</v>
      </c>
      <c r="J49" s="54">
        <f>_xll.EQNXTDZ($A$1,$B49,J$5)</f>
        <v>63.78</v>
      </c>
      <c r="K49" s="54">
        <f>_xll.EQNXTDZ($A$1,$B49,K$5)</f>
        <v>63.78</v>
      </c>
      <c r="L49" s="54">
        <f>_xll.EQNXTDZ($A$1,$B49,L$5)</f>
        <v>68.77</v>
      </c>
      <c r="M49" s="54">
        <f>_xll.EQNXTDZ($A$1,$B49,M$5)</f>
        <v>68.77</v>
      </c>
      <c r="N49" s="54">
        <f>_xll.EQNXTDZ($A$1,$B49,N$5)</f>
        <v>68.77</v>
      </c>
      <c r="O49" s="54">
        <f>_xll.EQNXTDZ($A$1,$B49,O$5)</f>
        <v>68.77</v>
      </c>
      <c r="P49" s="54">
        <f>_xll.EQNXTDZ($A$1,$B49,P$5)</f>
        <v>68.77</v>
      </c>
      <c r="Q49" s="54">
        <f>_xll.EQNXTDZ($A$1,$B49,Q$5)</f>
        <v>68.77</v>
      </c>
      <c r="R49" s="54">
        <f>_xll.EQNXTDZ($A$1,$B49,R$5)</f>
        <v>68.77</v>
      </c>
      <c r="S49" s="54">
        <f>_xll.EQNXTDZ($A$1,$B49,S$5)</f>
        <v>68.77</v>
      </c>
      <c r="T49" s="54">
        <f>_xll.EQNXTDZ($A$1,$B49,T$5)</f>
        <v>68.77</v>
      </c>
      <c r="U49" s="54">
        <f>_xll.EQNXTDZ($A$1,$B49,U$5)</f>
        <v>68.77</v>
      </c>
      <c r="V49" s="54">
        <f>_xll.EQNXTDZ($A$1,$B49,V$5)</f>
        <v>68.77</v>
      </c>
      <c r="W49" s="54">
        <f>_xll.EQNXTDZ($A$1,$B49,W$5)</f>
        <v>66.209999999999994</v>
      </c>
      <c r="X49" s="54">
        <f>_xll.EQNXTDZ($A$1,$B49,X$5)</f>
        <v>66.209999999999994</v>
      </c>
      <c r="Y49" s="54">
        <f>_xll.EQNXTDZ($A$1,$B49,Y$5)</f>
        <v>66.209999999999994</v>
      </c>
      <c r="Z49" s="54">
        <f>_xll.EQNXTDZ($A$1,$B49,Z$5)</f>
        <v>66.209999999999994</v>
      </c>
      <c r="AA49" s="54">
        <f>_xll.EQNXTDZ($A$1,$B49,AA$5)</f>
        <v>66.94</v>
      </c>
      <c r="AB49" s="54">
        <f>_xll.EQNXTDZ($A$1,$B49,AB$5)</f>
        <v>66.94</v>
      </c>
      <c r="AC49" s="54">
        <f>_xll.EQNXTDZ($A$1,$B49,AC$5)</f>
        <v>66.94</v>
      </c>
      <c r="AD49" s="54">
        <f>_xll.EQNXTDZ($A$1,$B49,AD$5)</f>
        <v>66.94</v>
      </c>
      <c r="AE49" s="54">
        <f>_xll.EQNXTDZ($A$1,$B49,AE$5)</f>
        <v>66.94</v>
      </c>
      <c r="AF49" s="54">
        <f>_xll.EQNXTDZ($A$1,$B49,AF$5)</f>
        <v>66.94</v>
      </c>
      <c r="AG49" s="54">
        <f>_xll.EQNXTDZ($A$1,$B49,AG$5)</f>
        <v>66.94</v>
      </c>
      <c r="AH49" s="54">
        <f>_xll.EQNXTDZ($A$1,$B49,AH$5)</f>
        <v>66.94</v>
      </c>
      <c r="AI49" s="54">
        <f>_xll.EQNXTDZ($A$1,$B49,AI$5)</f>
        <v>66.94</v>
      </c>
      <c r="AJ49" s="54">
        <f>_xll.EQNXTDZ($A$1,$B49,AJ$5)</f>
        <v>66.94</v>
      </c>
      <c r="AK49" s="54">
        <f>_xll.EQNXTDZ($A$1,$B49,AK$5)</f>
        <v>66.94</v>
      </c>
      <c r="AL49" s="54">
        <f>_xll.EQNXTDZ($A$1,$B49,AL$5)</f>
        <v>67.73</v>
      </c>
      <c r="AM49" s="54">
        <f>_xll.EQNXTDZ($A$1,$B49,AM$5)</f>
        <v>67.73</v>
      </c>
      <c r="AN49" s="54">
        <f>_xll.EQNXTDZ($A$1,$B49,AN$5)</f>
        <v>67.73</v>
      </c>
      <c r="AO49" s="54">
        <f>_xll.EQNXTDZ($A$1,$B49,AO$5)</f>
        <v>67.73</v>
      </c>
      <c r="AP49" s="54">
        <f>_xll.EQNXTDZ($A$1,$B49,AP$5)</f>
        <v>67.73</v>
      </c>
      <c r="AQ49" s="54">
        <f>_xll.EQNXTDZ($A$1,$B49,AQ$5)</f>
        <v>67.73</v>
      </c>
      <c r="AR49" s="54">
        <f>_xll.EQNXTDZ($A$1,$B49,AR$5)</f>
        <v>67.73</v>
      </c>
      <c r="AS49" s="54">
        <f>_xll.EQNXTDZ($A$1,$B49,AS$5)</f>
        <v>67.73</v>
      </c>
      <c r="AT49" s="54">
        <f>_xll.EQNXTDZ($A$1,$B49,AT$5)</f>
        <v>67.73</v>
      </c>
      <c r="AU49" s="54">
        <f>_xll.EQNXTDZ($A$1,$B49,AU$5)</f>
        <v>67.73</v>
      </c>
      <c r="AV49" s="54">
        <f>_xll.EQNXTDZ($A$1,$B49,AV$5)</f>
        <v>67.73</v>
      </c>
      <c r="AW49" s="54">
        <f>_xll.EQNXTDZ($A$1,$B49,AW$5)</f>
        <v>67.73</v>
      </c>
      <c r="AX49" s="54">
        <f>_xll.EQNXTDZ($A$1,$B49,AX$5)</f>
        <v>67.73</v>
      </c>
      <c r="AY49" s="54">
        <f>_xll.EQNXTDZ($A$1,$B49,AY$5)</f>
        <v>67.73</v>
      </c>
      <c r="AZ49" s="54">
        <f>_xll.EQNXTDZ($A$1,$B49,AZ$5)</f>
        <v>67.73</v>
      </c>
      <c r="BA49" s="54">
        <f>_xll.EQNXTDZ($A$1,$B49,BA$5)</f>
        <v>67.73</v>
      </c>
      <c r="BB49" s="54">
        <f>_xll.EQNXTDZ($A$1,$B49,BB$5)</f>
        <v>67.73</v>
      </c>
      <c r="BC49" s="54">
        <f>_xll.EQNXTDZ($A$1,$B49,BC$5)</f>
        <v>67.73</v>
      </c>
      <c r="BD49" s="54">
        <f>_xll.EQNXTDZ($A$1,$B49,BD$5)</f>
        <v>67.73</v>
      </c>
      <c r="BE49" s="54">
        <f>_xll.EQNXTDZ($A$1,$B49,BE$5)</f>
        <v>67.73</v>
      </c>
      <c r="BF49" s="54">
        <f>_xll.EQNXTDZ($A$1,$B49,BF$5)</f>
        <v>67.73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12.54</v>
      </c>
      <c r="D56" s="54">
        <f>_xll.EQNXTDZ($A$1,$B56,D$5,$B$1)</f>
        <v>0</v>
      </c>
      <c r="E56" s="54">
        <f>_xll.EQNXTDZ($A$1,$B56,E$5,$B$1)</f>
        <v>12.54</v>
      </c>
      <c r="F56" s="54">
        <f>_xll.EQNXTDZ($A$1,$B56,F$5,$B$1)</f>
        <v>0</v>
      </c>
      <c r="G56" s="54">
        <f>_xll.EQNXTDZ($A$1,$B56,G$5,$B$1)</f>
        <v>12.54</v>
      </c>
      <c r="H56" s="54">
        <f>_xll.EQNXTDZ($A$1,$B56,H$5,$B$1)</f>
        <v>0</v>
      </c>
      <c r="I56" s="54">
        <f>_xll.EQNXTDZ($A$1,$B56,I$5,$B$1)</f>
        <v>12.54</v>
      </c>
      <c r="J56" s="54">
        <f>_xll.EQNXTDZ($A$1,$B56,J$5,$B$1)</f>
        <v>0</v>
      </c>
      <c r="K56" s="54">
        <f>_xll.EQNXTDZ($A$1,$B56,K$5,$B$1)</f>
        <v>12.54</v>
      </c>
      <c r="L56" s="54">
        <f>_xll.EQNXTDZ($A$1,$B56,L$5,$B$1)</f>
        <v>0</v>
      </c>
      <c r="M56" s="54">
        <f>_xll.EQNXTDZ($A$1,$B56,M$5,$B$1)</f>
        <v>14.54</v>
      </c>
      <c r="N56" s="54">
        <f>_xll.EQNXTDZ($A$1,$B56,N$5,$B$1)</f>
        <v>0</v>
      </c>
      <c r="O56" s="54">
        <f>_xll.EQNXTDZ($A$1,$B56,O$5,$B$1)</f>
        <v>14.54</v>
      </c>
      <c r="P56" s="54">
        <f>_xll.EQNXTDZ($A$1,$B56,P$5,$B$1)</f>
        <v>0</v>
      </c>
      <c r="Q56" s="54">
        <f>_xll.EQNXTDZ($A$1,$B56,Q$5,$B$1)</f>
        <v>14.54</v>
      </c>
      <c r="R56" s="54">
        <f>_xll.EQNXTDZ($A$1,$B56,R$5,$B$1)</f>
        <v>0</v>
      </c>
      <c r="S56" s="54">
        <f>_xll.EQNXTDZ($A$1,$B56,S$5,$B$1)</f>
        <v>14.54</v>
      </c>
      <c r="T56" s="54">
        <f>_xll.EQNXTDZ($A$1,$B56,T$5,$B$1)</f>
        <v>0</v>
      </c>
      <c r="U56" s="54">
        <f>_xll.EQNXTDZ($A$1,$B56,U$5,$B$1)</f>
        <v>14.54</v>
      </c>
      <c r="V56" s="54">
        <f>_xll.EQNXTDZ($A$1,$B56,V$5,$B$1)</f>
        <v>0</v>
      </c>
      <c r="W56" s="54">
        <f>_xll.EQNXTDZ($A$1,$B56,W$5,$B$1)</f>
        <v>15.1</v>
      </c>
      <c r="X56" s="54">
        <f>_xll.EQNXTDZ($A$1,$B56,X$5,$B$1)</f>
        <v>0</v>
      </c>
      <c r="Y56" s="54">
        <f>_xll.EQNXTDZ($A$1,$B56,Y$5,$B$1)</f>
        <v>15.11</v>
      </c>
      <c r="Z56" s="54">
        <f>_xll.EQNXTDZ($A$1,$B56,Z$5,$B$1)</f>
        <v>0</v>
      </c>
      <c r="AA56" s="54">
        <f>_xll.EQNXTDZ($A$1,$B56,AA$5,$B$1)</f>
        <v>15.11</v>
      </c>
      <c r="AB56" s="54">
        <f>_xll.EQNXTDZ($A$1,$B56,AB$5,$B$1)</f>
        <v>0</v>
      </c>
      <c r="AC56" s="54">
        <f>_xll.EQNXTDZ($A$1,$B56,AC$5,$B$1)</f>
        <v>15.11</v>
      </c>
      <c r="AD56" s="54">
        <f>_xll.EQNXTDZ($A$1,$B56,AD$5,$B$1)</f>
        <v>0</v>
      </c>
      <c r="AE56" s="54">
        <f>_xll.EQNXTDZ($A$1,$B56,AE$5,$B$1)</f>
        <v>15.11</v>
      </c>
      <c r="AF56" s="54">
        <f>_xll.EQNXTDZ($A$1,$B56,AF$5,$B$1)</f>
        <v>0</v>
      </c>
      <c r="AG56" s="54">
        <f>_xll.EQNXTDZ($A$1,$B56,AG$5,$B$1)</f>
        <v>15.11</v>
      </c>
      <c r="AH56" s="54">
        <f>_xll.EQNXTDZ($A$1,$B56,AH$5,$B$1)</f>
        <v>0</v>
      </c>
      <c r="AI56" s="54">
        <f>_xll.EQNXTDZ($A$1,$B56,AI$5,$B$1)</f>
        <v>15.11</v>
      </c>
      <c r="AJ56" s="54">
        <f>_xll.EQNXTDZ($A$1,$B56,AJ$5,$B$1)</f>
        <v>0</v>
      </c>
      <c r="AK56" s="54">
        <f>_xll.EQNXTDZ($A$1,$B56,AK$5,$B$1)</f>
        <v>15.11</v>
      </c>
      <c r="AL56" s="54">
        <f>_xll.EQNXTDZ($A$1,$B56,AL$5,$B$1)</f>
        <v>0</v>
      </c>
      <c r="AM56" s="54">
        <f>_xll.EQNXTDZ($A$1,$B56,AM$5,$B$1)</f>
        <v>15.11</v>
      </c>
      <c r="AN56" s="54">
        <f>_xll.EQNXTDZ($A$1,$B56,AN$5,$B$1)</f>
        <v>0</v>
      </c>
      <c r="AO56" s="54">
        <f>_xll.EQNXTDZ($A$1,$B56,AO$5,$B$1)</f>
        <v>15.11</v>
      </c>
      <c r="AP56" s="54">
        <f>_xll.EQNXTDZ($A$1,$B56,AP$5,$B$1)</f>
        <v>0</v>
      </c>
      <c r="AQ56" s="54">
        <f>_xll.EQNXTDZ($A$1,$B56,AQ$5,$B$1)</f>
        <v>15.11</v>
      </c>
      <c r="AR56" s="54">
        <f>_xll.EQNXTDZ($A$1,$B56,AR$5,$B$1)</f>
        <v>0</v>
      </c>
      <c r="AS56" s="54">
        <f>_xll.EQNXTDZ($A$1,$B56,AS$5,$B$1)</f>
        <v>15.11</v>
      </c>
      <c r="AT56" s="54">
        <f>_xll.EQNXTDZ($A$1,$B56,AT$5,$B$1)</f>
        <v>0</v>
      </c>
      <c r="AU56" s="54">
        <f>_xll.EQNXTDZ($A$1,$B56,AU$5,$B$1)</f>
        <v>15.11</v>
      </c>
      <c r="AV56" s="54">
        <f>_xll.EQNXTDZ($A$1,$B56,AV$5,$B$1)</f>
        <v>0</v>
      </c>
      <c r="AW56" s="54">
        <f>_xll.EQNXTDZ($A$1,$B56,AW$5,$B$1)</f>
        <v>15.11</v>
      </c>
      <c r="AX56" s="54">
        <f>_xll.EQNXTDZ($A$1,$B56,AX$5,$B$1)</f>
        <v>0</v>
      </c>
      <c r="AY56" s="54">
        <f>_xll.EQNXTDZ($A$1,$B56,AY$5,$B$1)</f>
        <v>15.11</v>
      </c>
      <c r="AZ56" s="54">
        <f>_xll.EQNXTDZ($A$1,$B56,AZ$5,$B$1)</f>
        <v>0</v>
      </c>
      <c r="BA56" s="54">
        <f>_xll.EQNXTDZ($A$1,$B56,BA$5,$B$1)</f>
        <v>15.11</v>
      </c>
      <c r="BB56" s="54">
        <f>_xll.EQNXTDZ($A$1,$B56,BB$5,$B$1)</f>
        <v>0</v>
      </c>
      <c r="BC56" s="54">
        <f>_xll.EQNXTDZ($A$1,$B56,BC$5,$B$1)</f>
        <v>15.11</v>
      </c>
      <c r="BD56" s="54">
        <f>_xll.EQNXTDZ($A$1,$B56,BD$5,$B$1)</f>
        <v>0</v>
      </c>
      <c r="BE56" s="54">
        <f>_xll.EQNXTDZ($A$1,$B56,BE$5,$B$1)</f>
        <v>15.11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342.57</v>
      </c>
      <c r="D58" s="54">
        <f>_xll.EQNXTDZ($A$1,$B58,D$5,$B$1)</f>
        <v>0</v>
      </c>
      <c r="E58" s="54">
        <f>_xll.EQNXTDZ($A$1,$B58,E$5,$B$1)</f>
        <v>342.42</v>
      </c>
      <c r="F58" s="54">
        <f>_xll.EQNXTDZ($A$1,$B58,F$5,$B$1)</f>
        <v>0</v>
      </c>
      <c r="G58" s="54">
        <f>_xll.EQNXTDZ($A$1,$B58,G$5,$B$1)</f>
        <v>372.7</v>
      </c>
      <c r="H58" s="54">
        <f>_xll.EQNXTDZ($A$1,$B58,H$5,$B$1)</f>
        <v>0</v>
      </c>
      <c r="I58" s="54">
        <f>_xll.EQNXTDZ($A$1,$B58,I$5,$B$1)</f>
        <v>378.26</v>
      </c>
      <c r="J58" s="54">
        <f>_xll.EQNXTDZ($A$1,$B58,J$5,$B$1)</f>
        <v>0</v>
      </c>
      <c r="K58" s="54">
        <f>_xll.EQNXTDZ($A$1,$B58,K$5,$B$1)</f>
        <v>413.85</v>
      </c>
      <c r="L58" s="54">
        <f>_xll.EQNXTDZ($A$1,$B58,L$5,$B$1)</f>
        <v>0</v>
      </c>
      <c r="M58" s="54">
        <f>_xll.EQNXTDZ($A$1,$B58,M$5,$B$1)</f>
        <v>552.94000000000005</v>
      </c>
      <c r="N58" s="54">
        <f>_xll.EQNXTDZ($A$1,$B58,N$5,$B$1)</f>
        <v>0</v>
      </c>
      <c r="O58" s="54">
        <f>_xll.EQNXTDZ($A$1,$B58,O$5,$B$1)</f>
        <v>591.30999999999995</v>
      </c>
      <c r="P58" s="54">
        <f>_xll.EQNXTDZ($A$1,$B58,P$5,$B$1)</f>
        <v>0</v>
      </c>
      <c r="Q58" s="54">
        <f>_xll.EQNXTDZ($A$1,$B58,Q$5,$B$1)</f>
        <v>604.14</v>
      </c>
      <c r="R58" s="54">
        <f>_xll.EQNXTDZ($A$1,$B58,R$5,$B$1)</f>
        <v>0</v>
      </c>
      <c r="S58" s="54">
        <f>_xll.EQNXTDZ($A$1,$B58,S$5,$B$1)</f>
        <v>656.69</v>
      </c>
      <c r="T58" s="54">
        <f>_xll.EQNXTDZ($A$1,$B58,T$5,$B$1)</f>
        <v>0</v>
      </c>
      <c r="U58" s="54">
        <f>_xll.EQNXTDZ($A$1,$B58,U$5,$B$1)</f>
        <v>662.31</v>
      </c>
      <c r="V58" s="54">
        <f>_xll.EQNXTDZ($A$1,$B58,V$5,$B$1)</f>
        <v>0</v>
      </c>
      <c r="W58" s="54">
        <f>_xll.EQNXTDZ($A$1,$B58,W$5,$B$1)</f>
        <v>485.85</v>
      </c>
      <c r="X58" s="54">
        <f>_xll.EQNXTDZ($A$1,$B58,X$5,$B$1)</f>
        <v>0</v>
      </c>
      <c r="Y58" s="54">
        <f>_xll.EQNXTDZ($A$1,$B58,Y$5,$B$1)</f>
        <v>533.96</v>
      </c>
      <c r="Z58" s="54">
        <f>_xll.EQNXTDZ($A$1,$B58,Z$5,$B$1)</f>
        <v>0</v>
      </c>
      <c r="AA58" s="54">
        <f>_xll.EQNXTDZ($A$1,$B58,AA$5,$B$1)</f>
        <v>540.15</v>
      </c>
      <c r="AB58" s="54">
        <f>_xll.EQNXTDZ($A$1,$B58,AB$5,$B$1)</f>
        <v>0</v>
      </c>
      <c r="AC58" s="54">
        <f>_xll.EQNXTDZ($A$1,$B58,AC$5,$B$1)</f>
        <v>541.37</v>
      </c>
      <c r="AD58" s="54">
        <f>_xll.EQNXTDZ($A$1,$B58,AD$5,$B$1)</f>
        <v>0</v>
      </c>
      <c r="AE58" s="54">
        <f>_xll.EQNXTDZ($A$1,$B58,AE$5,$B$1)</f>
        <v>583.80999999999995</v>
      </c>
      <c r="AF58" s="54">
        <f>_xll.EQNXTDZ($A$1,$B58,AF$5,$B$1)</f>
        <v>0</v>
      </c>
      <c r="AG58" s="54">
        <f>_xll.EQNXTDZ($A$1,$B58,AG$5,$B$1)</f>
        <v>682.24</v>
      </c>
      <c r="AH58" s="54">
        <f>_xll.EQNXTDZ($A$1,$B58,AH$5,$B$1)</f>
        <v>0</v>
      </c>
      <c r="AI58" s="54">
        <f>_xll.EQNXTDZ($A$1,$B58,AI$5,$B$1)</f>
        <v>713.17</v>
      </c>
      <c r="AJ58" s="54">
        <f>_xll.EQNXTDZ($A$1,$B58,AJ$5,$B$1)</f>
        <v>0</v>
      </c>
      <c r="AK58" s="54">
        <f>_xll.EQNXTDZ($A$1,$B58,AK$5,$B$1)</f>
        <v>749.8</v>
      </c>
      <c r="AL58" s="54">
        <f>_xll.EQNXTDZ($A$1,$B58,AL$5,$B$1)</f>
        <v>0</v>
      </c>
      <c r="AM58" s="54">
        <f>_xll.EQNXTDZ($A$1,$B58,AM$5,$B$1)</f>
        <v>741.58</v>
      </c>
      <c r="AN58" s="54">
        <f>_xll.EQNXTDZ($A$1,$B58,AN$5,$B$1)</f>
        <v>0</v>
      </c>
      <c r="AO58" s="54">
        <f>_xll.EQNXTDZ($A$1,$B58,AO$5,$B$1)</f>
        <v>699.57</v>
      </c>
      <c r="AP58" s="54">
        <f>_xll.EQNXTDZ($A$1,$B58,AP$5,$B$1)</f>
        <v>0</v>
      </c>
      <c r="AQ58" s="54">
        <f>_xll.EQNXTDZ($A$1,$B58,AQ$5,$B$1)</f>
        <v>726.56</v>
      </c>
      <c r="AR58" s="54">
        <f>_xll.EQNXTDZ($A$1,$B58,AR$5,$B$1)</f>
        <v>0</v>
      </c>
      <c r="AS58" s="54">
        <f>_xll.EQNXTDZ($A$1,$B58,AS$5,$B$1)</f>
        <v>741.85</v>
      </c>
      <c r="AT58" s="54">
        <f>_xll.EQNXTDZ($A$1,$B58,AT$5,$B$1)</f>
        <v>0</v>
      </c>
      <c r="AU58" s="54">
        <f>_xll.EQNXTDZ($A$1,$B58,AU$5,$B$1)</f>
        <v>777.41</v>
      </c>
      <c r="AV58" s="54">
        <f>_xll.EQNXTDZ($A$1,$B58,AV$5,$B$1)</f>
        <v>0</v>
      </c>
      <c r="AW58" s="54">
        <f>_xll.EQNXTDZ($A$1,$B58,AW$5,$B$1)</f>
        <v>1135.3499999999999</v>
      </c>
      <c r="AX58" s="54">
        <f>_xll.EQNXTDZ($A$1,$B58,AX$5,$B$1)</f>
        <v>0</v>
      </c>
      <c r="AY58" s="54">
        <f>_xll.EQNXTDZ($A$1,$B58,AY$5,$B$1)</f>
        <v>1162.1199999999999</v>
      </c>
      <c r="AZ58" s="54">
        <f>_xll.EQNXTDZ($A$1,$B58,AZ$5,$B$1)</f>
        <v>0</v>
      </c>
      <c r="BA58" s="54">
        <f>_xll.EQNXTDZ($A$1,$B58,BA$5,$B$1)</f>
        <v>1178.44</v>
      </c>
      <c r="BB58" s="54">
        <f>_xll.EQNXTDZ($A$1,$B58,BB$5,$B$1)</f>
        <v>0</v>
      </c>
      <c r="BC58" s="54">
        <f>_xll.EQNXTDZ($A$1,$B58,BC$5,$B$1)</f>
        <v>1214.54</v>
      </c>
      <c r="BD58" s="54">
        <f>_xll.EQNXTDZ($A$1,$B58,BD$5,$B$1)</f>
        <v>0</v>
      </c>
      <c r="BE58" s="54">
        <f>_xll.EQNXTDZ($A$1,$B58,BE$5,$B$1)</f>
        <v>1278.42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355.11</v>
      </c>
      <c r="D59" s="54">
        <f>_xll.EQNXTDZ($A$1,$B59,D$5,$B$1)</f>
        <v>0</v>
      </c>
      <c r="E59" s="54">
        <f>_xll.EQNXTDZ($A$1,$B59,E$5,$B$1)</f>
        <v>354.96</v>
      </c>
      <c r="F59" s="54">
        <f>_xll.EQNXTDZ($A$1,$B59,F$5,$B$1)</f>
        <v>0</v>
      </c>
      <c r="G59" s="54">
        <f>_xll.EQNXTDZ($A$1,$B59,G$5,$B$1)</f>
        <v>385.24</v>
      </c>
      <c r="H59" s="54">
        <f>_xll.EQNXTDZ($A$1,$B59,H$5,$B$1)</f>
        <v>0</v>
      </c>
      <c r="I59" s="54">
        <f>_xll.EQNXTDZ($A$1,$B59,I$5,$B$1)</f>
        <v>390.8</v>
      </c>
      <c r="J59" s="54">
        <f>_xll.EQNXTDZ($A$1,$B59,J$5,$B$1)</f>
        <v>0</v>
      </c>
      <c r="K59" s="54">
        <f>_xll.EQNXTDZ($A$1,$B59,K$5,$B$1)</f>
        <v>426.39</v>
      </c>
      <c r="L59" s="54">
        <f>_xll.EQNXTDZ($A$1,$B59,L$5,$B$1)</f>
        <v>0</v>
      </c>
      <c r="M59" s="54">
        <f>_xll.EQNXTDZ($A$1,$B59,M$5,$B$1)</f>
        <v>567.48</v>
      </c>
      <c r="N59" s="54">
        <f>_xll.EQNXTDZ($A$1,$B59,N$5,$B$1)</f>
        <v>0</v>
      </c>
      <c r="O59" s="54">
        <f>_xll.EQNXTDZ($A$1,$B59,O$5,$B$1)</f>
        <v>605.85</v>
      </c>
      <c r="P59" s="54">
        <f>_xll.EQNXTDZ($A$1,$B59,P$5,$B$1)</f>
        <v>0</v>
      </c>
      <c r="Q59" s="54">
        <f>_xll.EQNXTDZ($A$1,$B59,Q$5,$B$1)</f>
        <v>618.67999999999995</v>
      </c>
      <c r="R59" s="54">
        <f>_xll.EQNXTDZ($A$1,$B59,R$5,$B$1)</f>
        <v>0</v>
      </c>
      <c r="S59" s="54">
        <f>_xll.EQNXTDZ($A$1,$B59,S$5,$B$1)</f>
        <v>671.23</v>
      </c>
      <c r="T59" s="54">
        <f>_xll.EQNXTDZ($A$1,$B59,T$5,$B$1)</f>
        <v>0</v>
      </c>
      <c r="U59" s="54">
        <f>_xll.EQNXTDZ($A$1,$B59,U$5,$B$1)</f>
        <v>676.85</v>
      </c>
      <c r="V59" s="54">
        <f>_xll.EQNXTDZ($A$1,$B59,V$5,$B$1)</f>
        <v>0</v>
      </c>
      <c r="W59" s="54">
        <f>_xll.EQNXTDZ($A$1,$B59,W$5,$B$1)</f>
        <v>500.95</v>
      </c>
      <c r="X59" s="54">
        <f>_xll.EQNXTDZ($A$1,$B59,X$5,$B$1)</f>
        <v>0</v>
      </c>
      <c r="Y59" s="54">
        <f>_xll.EQNXTDZ($A$1,$B59,Y$5,$B$1)</f>
        <v>549.07000000000005</v>
      </c>
      <c r="Z59" s="54">
        <f>_xll.EQNXTDZ($A$1,$B59,Z$5,$B$1)</f>
        <v>0</v>
      </c>
      <c r="AA59" s="54">
        <f>_xll.EQNXTDZ($A$1,$B59,AA$5,$B$1)</f>
        <v>555.26</v>
      </c>
      <c r="AB59" s="54">
        <f>_xll.EQNXTDZ($A$1,$B59,AB$5,$B$1)</f>
        <v>0</v>
      </c>
      <c r="AC59" s="54">
        <f>_xll.EQNXTDZ($A$1,$B59,AC$5,$B$1)</f>
        <v>556.48</v>
      </c>
      <c r="AD59" s="54">
        <f>_xll.EQNXTDZ($A$1,$B59,AD$5,$B$1)</f>
        <v>0</v>
      </c>
      <c r="AE59" s="54">
        <f>_xll.EQNXTDZ($A$1,$B59,AE$5,$B$1)</f>
        <v>598.91999999999996</v>
      </c>
      <c r="AF59" s="54">
        <f>_xll.EQNXTDZ($A$1,$B59,AF$5,$B$1)</f>
        <v>0</v>
      </c>
      <c r="AG59" s="54">
        <f>_xll.EQNXTDZ($A$1,$B59,AG$5,$B$1)</f>
        <v>697.35</v>
      </c>
      <c r="AH59" s="54">
        <f>_xll.EQNXTDZ($A$1,$B59,AH$5,$B$1)</f>
        <v>0</v>
      </c>
      <c r="AI59" s="54">
        <f>_xll.EQNXTDZ($A$1,$B59,AI$5,$B$1)</f>
        <v>728.28</v>
      </c>
      <c r="AJ59" s="54">
        <f>_xll.EQNXTDZ($A$1,$B59,AJ$5,$B$1)</f>
        <v>0</v>
      </c>
      <c r="AK59" s="54">
        <f>_xll.EQNXTDZ($A$1,$B59,AK$5,$B$1)</f>
        <v>764.91</v>
      </c>
      <c r="AL59" s="54">
        <f>_xll.EQNXTDZ($A$1,$B59,AL$5,$B$1)</f>
        <v>0</v>
      </c>
      <c r="AM59" s="54">
        <f>_xll.EQNXTDZ($A$1,$B59,AM$5,$B$1)</f>
        <v>756.69</v>
      </c>
      <c r="AN59" s="54">
        <f>_xll.EQNXTDZ($A$1,$B59,AN$5,$B$1)</f>
        <v>0</v>
      </c>
      <c r="AO59" s="54">
        <f>_xll.EQNXTDZ($A$1,$B59,AO$5,$B$1)</f>
        <v>714.68</v>
      </c>
      <c r="AP59" s="54">
        <f>_xll.EQNXTDZ($A$1,$B59,AP$5,$B$1)</f>
        <v>0</v>
      </c>
      <c r="AQ59" s="54">
        <f>_xll.EQNXTDZ($A$1,$B59,AQ$5,$B$1)</f>
        <v>741.67</v>
      </c>
      <c r="AR59" s="54">
        <f>_xll.EQNXTDZ($A$1,$B59,AR$5,$B$1)</f>
        <v>0</v>
      </c>
      <c r="AS59" s="54">
        <f>_xll.EQNXTDZ($A$1,$B59,AS$5,$B$1)</f>
        <v>756.96</v>
      </c>
      <c r="AT59" s="54">
        <f>_xll.EQNXTDZ($A$1,$B59,AT$5,$B$1)</f>
        <v>0</v>
      </c>
      <c r="AU59" s="54">
        <f>_xll.EQNXTDZ($A$1,$B59,AU$5,$B$1)</f>
        <v>792.52</v>
      </c>
      <c r="AV59" s="54">
        <f>_xll.EQNXTDZ($A$1,$B59,AV$5,$B$1)</f>
        <v>0</v>
      </c>
      <c r="AW59" s="54">
        <f>_xll.EQNXTDZ($A$1,$B59,AW$5,$B$1)</f>
        <v>1150.46</v>
      </c>
      <c r="AX59" s="54">
        <f>_xll.EQNXTDZ($A$1,$B59,AX$5,$B$1)</f>
        <v>0</v>
      </c>
      <c r="AY59" s="54">
        <f>_xll.EQNXTDZ($A$1,$B59,AY$5,$B$1)</f>
        <v>1177.23</v>
      </c>
      <c r="AZ59" s="54">
        <f>_xll.EQNXTDZ($A$1,$B59,AZ$5,$B$1)</f>
        <v>0</v>
      </c>
      <c r="BA59" s="54">
        <f>_xll.EQNXTDZ($A$1,$B59,BA$5,$B$1)</f>
        <v>1193.55</v>
      </c>
      <c r="BB59" s="54">
        <f>_xll.EQNXTDZ($A$1,$B59,BB$5,$B$1)</f>
        <v>0</v>
      </c>
      <c r="BC59" s="54">
        <f>_xll.EQNXTDZ($A$1,$B59,BC$5,$B$1)</f>
        <v>1229.6500000000001</v>
      </c>
      <c r="BD59" s="54">
        <f>_xll.EQNXTDZ($A$1,$B59,BD$5,$B$1)</f>
        <v>0</v>
      </c>
      <c r="BE59" s="54">
        <f>_xll.EQNXTDZ($A$1,$B59,BE$5,$B$1)</f>
        <v>1293.53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18.52</v>
      </c>
      <c r="F60" s="54">
        <f>_xll.EQNXTDZ($A$1,$B60,F$5,$B$1)</f>
        <v>0</v>
      </c>
      <c r="G60" s="54">
        <f>_xll.EQNXTDZ($A$1,$B60,G$5,$B$1)</f>
        <v>19.350000000000001</v>
      </c>
      <c r="H60" s="54">
        <f>_xll.EQNXTDZ($A$1,$B60,H$5,$B$1)</f>
        <v>0</v>
      </c>
      <c r="I60" s="54">
        <f>_xll.EQNXTDZ($A$1,$B60,I$5,$B$1)</f>
        <v>20.13</v>
      </c>
      <c r="J60" s="54">
        <f>_xll.EQNXTDZ($A$1,$B60,J$5,$B$1)</f>
        <v>0</v>
      </c>
      <c r="K60" s="54">
        <f>_xll.EQNXTDZ($A$1,$B60,K$5,$B$1)</f>
        <v>21.14</v>
      </c>
      <c r="L60" s="54">
        <f>_xll.EQNXTDZ($A$1,$B60,L$5,$B$1)</f>
        <v>0</v>
      </c>
      <c r="M60" s="54">
        <f>_xll.EQNXTDZ($A$1,$B60,M$5,$B$1)</f>
        <v>22.03</v>
      </c>
      <c r="N60" s="54">
        <f>_xll.EQNXTDZ($A$1,$B60,N$5,$B$1)</f>
        <v>0</v>
      </c>
      <c r="O60" s="54">
        <f>_xll.EQNXTDZ($A$1,$B60,O$5,$B$1)</f>
        <v>23.54</v>
      </c>
      <c r="P60" s="54">
        <f>_xll.EQNXTDZ($A$1,$B60,P$5,$B$1)</f>
        <v>0</v>
      </c>
      <c r="Q60" s="54">
        <f>_xll.EQNXTDZ($A$1,$B60,Q$5,$B$1)</f>
        <v>23.83</v>
      </c>
      <c r="R60" s="54">
        <f>_xll.EQNXTDZ($A$1,$B60,R$5,$B$1)</f>
        <v>0</v>
      </c>
      <c r="S60" s="54">
        <f>_xll.EQNXTDZ($A$1,$B60,S$5,$B$1)</f>
        <v>26.19</v>
      </c>
      <c r="T60" s="54">
        <f>_xll.EQNXTDZ($A$1,$B60,T$5,$B$1)</f>
        <v>0</v>
      </c>
      <c r="U60" s="54">
        <f>_xll.EQNXTDZ($A$1,$B60,U$5,$B$1)</f>
        <v>27.52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20.61</v>
      </c>
      <c r="D61" s="54">
        <f>_xll.EQNXTDZ($A$1,$B61,D$5,$B$1)</f>
        <v>0</v>
      </c>
      <c r="E61" s="54">
        <f>_xll.EQNXTDZ($A$1,$B61,E$5,$B$1)</f>
        <v>34.26</v>
      </c>
      <c r="F61" s="54">
        <f>_xll.EQNXTDZ($A$1,$B61,F$5,$B$1)</f>
        <v>0</v>
      </c>
      <c r="G61" s="54">
        <f>_xll.EQNXTDZ($A$1,$B61,G$5,$B$1)</f>
        <v>36.090000000000003</v>
      </c>
      <c r="H61" s="54">
        <f>_xll.EQNXTDZ($A$1,$B61,H$5,$B$1)</f>
        <v>0</v>
      </c>
      <c r="I61" s="54">
        <f>_xll.EQNXTDZ($A$1,$B61,I$5,$B$1)</f>
        <v>39.909999999999997</v>
      </c>
      <c r="J61" s="54">
        <f>_xll.EQNXTDZ($A$1,$B61,J$5,$B$1)</f>
        <v>0</v>
      </c>
      <c r="K61" s="54">
        <f>_xll.EQNXTDZ($A$1,$B61,K$5,$B$1)</f>
        <v>35.49</v>
      </c>
      <c r="L61" s="54">
        <f>_xll.EQNXTDZ($A$1,$B61,L$5,$B$1)</f>
        <v>0</v>
      </c>
      <c r="M61" s="54">
        <f>_xll.EQNXTDZ($A$1,$B61,M$5,$B$1)</f>
        <v>35.409999999999997</v>
      </c>
      <c r="N61" s="54">
        <f>_xll.EQNXTDZ($A$1,$B61,N$5,$B$1)</f>
        <v>0</v>
      </c>
      <c r="O61" s="54">
        <f>_xll.EQNXTDZ($A$1,$B61,O$5,$B$1)</f>
        <v>457.58</v>
      </c>
      <c r="P61" s="54">
        <f>_xll.EQNXTDZ($A$1,$B61,P$5,$B$1)</f>
        <v>0</v>
      </c>
      <c r="Q61" s="54">
        <f>_xll.EQNXTDZ($A$1,$B61,Q$5,$B$1)</f>
        <v>435.21</v>
      </c>
      <c r="R61" s="54">
        <f>_xll.EQNXTDZ($A$1,$B61,R$5,$B$1)</f>
        <v>0</v>
      </c>
      <c r="S61" s="54">
        <f>_xll.EQNXTDZ($A$1,$B61,S$5,$B$1)</f>
        <v>420.37</v>
      </c>
      <c r="T61" s="54">
        <f>_xll.EQNXTDZ($A$1,$B61,T$5,$B$1)</f>
        <v>0</v>
      </c>
      <c r="U61" s="54">
        <f>_xll.EQNXTDZ($A$1,$B61,U$5,$B$1)</f>
        <v>408.21</v>
      </c>
      <c r="V61" s="54">
        <f>_xll.EQNXTDZ($A$1,$B61,V$5,$B$1)</f>
        <v>0</v>
      </c>
      <c r="W61" s="54">
        <f>_xll.EQNXTDZ($A$1,$B61,W$5,$B$1)</f>
        <v>394.17</v>
      </c>
      <c r="X61" s="54">
        <f>_xll.EQNXTDZ($A$1,$B61,X$5,$B$1)</f>
        <v>0</v>
      </c>
      <c r="Y61" s="54">
        <f>_xll.EQNXTDZ($A$1,$B61,Y$5,$B$1)</f>
        <v>394.24</v>
      </c>
      <c r="Z61" s="54">
        <f>_xll.EQNXTDZ($A$1,$B61,Z$5,$B$1)</f>
        <v>0</v>
      </c>
      <c r="AA61" s="54">
        <f>_xll.EQNXTDZ($A$1,$B61,AA$5,$B$1)</f>
        <v>390.52</v>
      </c>
      <c r="AB61" s="54">
        <f>_xll.EQNXTDZ($A$1,$B61,AB$5,$B$1)</f>
        <v>0</v>
      </c>
      <c r="AC61" s="54">
        <f>_xll.EQNXTDZ($A$1,$B61,AC$5,$B$1)</f>
        <v>390.37</v>
      </c>
      <c r="AD61" s="54">
        <f>_xll.EQNXTDZ($A$1,$B61,AD$5,$B$1)</f>
        <v>0</v>
      </c>
      <c r="AE61" s="54">
        <f>_xll.EQNXTDZ($A$1,$B61,AE$5,$B$1)</f>
        <v>1.76</v>
      </c>
      <c r="AF61" s="54">
        <f>_xll.EQNXTDZ($A$1,$B61,AF$5,$B$1)</f>
        <v>0</v>
      </c>
      <c r="AG61" s="54">
        <f>_xll.EQNXTDZ($A$1,$B61,AG$5,$B$1)</f>
        <v>101.76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125</v>
      </c>
      <c r="AL61" s="54">
        <f>_xll.EQNXTDZ($A$1,$B61,AL$5,$B$1)</f>
        <v>0</v>
      </c>
      <c r="AM61" s="54">
        <f>_xll.EQNXTDZ($A$1,$B61,AM$5,$B$1)</f>
        <v>250</v>
      </c>
      <c r="AN61" s="54">
        <f>_xll.EQNXTDZ($A$1,$B61,AN$5,$B$1)</f>
        <v>0</v>
      </c>
      <c r="AO61" s="54">
        <f>_xll.EQNXTDZ($A$1,$B61,AO$5,$B$1)</f>
        <v>200</v>
      </c>
      <c r="AP61" s="54">
        <f>_xll.EQNXTDZ($A$1,$B61,AP$5,$B$1)</f>
        <v>0</v>
      </c>
      <c r="AQ61" s="54">
        <f>_xll.EQNXTDZ($A$1,$B61,AQ$5,$B$1)</f>
        <v>200</v>
      </c>
      <c r="AR61" s="54">
        <f>_xll.EQNXTDZ($A$1,$B61,AR$5,$B$1)</f>
        <v>0</v>
      </c>
      <c r="AS61" s="54">
        <f>_xll.EQNXTDZ($A$1,$B61,AS$5,$B$1)</f>
        <v>200</v>
      </c>
      <c r="AT61" s="54">
        <f>_xll.EQNXTDZ($A$1,$B61,AT$5,$B$1)</f>
        <v>0</v>
      </c>
      <c r="AU61" s="54">
        <f>_xll.EQNXTDZ($A$1,$B61,AU$5,$B$1)</f>
        <v>200</v>
      </c>
      <c r="AV61" s="54">
        <f>_xll.EQNXTDZ($A$1,$B61,AV$5,$B$1)</f>
        <v>0</v>
      </c>
      <c r="AW61" s="54">
        <f>_xll.EQNXTDZ($A$1,$B61,AW$5,$B$1)</f>
        <v>200</v>
      </c>
      <c r="AX61" s="54">
        <f>_xll.EQNXTDZ($A$1,$B61,AX$5,$B$1)</f>
        <v>0</v>
      </c>
      <c r="AY61" s="54">
        <f>_xll.EQNXTDZ($A$1,$B61,AY$5,$B$1)</f>
        <v>200</v>
      </c>
      <c r="AZ61" s="54">
        <f>_xll.EQNXTDZ($A$1,$B61,AZ$5,$B$1)</f>
        <v>0</v>
      </c>
      <c r="BA61" s="54">
        <f>_xll.EQNXTDZ($A$1,$B61,BA$5,$B$1)</f>
        <v>100</v>
      </c>
      <c r="BB61" s="54">
        <f>_xll.EQNXTDZ($A$1,$B61,BB$5,$B$1)</f>
        <v>0</v>
      </c>
      <c r="BC61" s="54">
        <f>_xll.EQNXTDZ($A$1,$B61,BC$5,$B$1)</f>
        <v>100</v>
      </c>
      <c r="BD61" s="54">
        <f>_xll.EQNXTDZ($A$1,$B61,BD$5,$B$1)</f>
        <v>0</v>
      </c>
      <c r="BE61" s="54">
        <f>_xll.EQNXTDZ($A$1,$B61,BE$5,$B$1)</f>
        <v>100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20.61</v>
      </c>
      <c r="D63" s="54">
        <f>_xll.EQNXTDZ($A$1,$B63,D$5,$B$1)</f>
        <v>0</v>
      </c>
      <c r="E63" s="54">
        <f>_xll.EQNXTDZ($A$1,$B63,E$5,$B$1)</f>
        <v>34.26</v>
      </c>
      <c r="F63" s="54">
        <f>_xll.EQNXTDZ($A$1,$B63,F$5,$B$1)</f>
        <v>0</v>
      </c>
      <c r="G63" s="54">
        <f>_xll.EQNXTDZ($A$1,$B63,G$5,$B$1)</f>
        <v>36.090000000000003</v>
      </c>
      <c r="H63" s="54">
        <f>_xll.EQNXTDZ($A$1,$B63,H$5,$B$1)</f>
        <v>0</v>
      </c>
      <c r="I63" s="54">
        <f>_xll.EQNXTDZ($A$1,$B63,I$5,$B$1)</f>
        <v>39.909999999999997</v>
      </c>
      <c r="J63" s="54">
        <f>_xll.EQNXTDZ($A$1,$B63,J$5,$B$1)</f>
        <v>0</v>
      </c>
      <c r="K63" s="54">
        <f>_xll.EQNXTDZ($A$1,$B63,K$5,$B$1)</f>
        <v>35.49</v>
      </c>
      <c r="L63" s="54">
        <f>_xll.EQNXTDZ($A$1,$B63,L$5,$B$1)</f>
        <v>0</v>
      </c>
      <c r="M63" s="54">
        <f>_xll.EQNXTDZ($A$1,$B63,M$5,$B$1)</f>
        <v>35.409999999999997</v>
      </c>
      <c r="N63" s="54">
        <f>_xll.EQNXTDZ($A$1,$B63,N$5,$B$1)</f>
        <v>0</v>
      </c>
      <c r="O63" s="54">
        <f>_xll.EQNXTDZ($A$1,$B63,O$5,$B$1)</f>
        <v>457.58</v>
      </c>
      <c r="P63" s="54">
        <f>_xll.EQNXTDZ($A$1,$B63,P$5,$B$1)</f>
        <v>0</v>
      </c>
      <c r="Q63" s="54">
        <f>_xll.EQNXTDZ($A$1,$B63,Q$5,$B$1)</f>
        <v>435.21</v>
      </c>
      <c r="R63" s="54">
        <f>_xll.EQNXTDZ($A$1,$B63,R$5,$B$1)</f>
        <v>0</v>
      </c>
      <c r="S63" s="54">
        <f>_xll.EQNXTDZ($A$1,$B63,S$5,$B$1)</f>
        <v>420.37</v>
      </c>
      <c r="T63" s="54">
        <f>_xll.EQNXTDZ($A$1,$B63,T$5,$B$1)</f>
        <v>0</v>
      </c>
      <c r="U63" s="54">
        <f>_xll.EQNXTDZ($A$1,$B63,U$5,$B$1)</f>
        <v>408.21</v>
      </c>
      <c r="V63" s="54">
        <f>_xll.EQNXTDZ($A$1,$B63,V$5,$B$1)</f>
        <v>0</v>
      </c>
      <c r="W63" s="54">
        <f>_xll.EQNXTDZ($A$1,$B63,W$5,$B$1)</f>
        <v>394.17</v>
      </c>
      <c r="X63" s="54">
        <f>_xll.EQNXTDZ($A$1,$B63,X$5,$B$1)</f>
        <v>0</v>
      </c>
      <c r="Y63" s="54">
        <f>_xll.EQNXTDZ($A$1,$B63,Y$5,$B$1)</f>
        <v>394.24</v>
      </c>
      <c r="Z63" s="54">
        <f>_xll.EQNXTDZ($A$1,$B63,Z$5,$B$1)</f>
        <v>0</v>
      </c>
      <c r="AA63" s="54">
        <f>_xll.EQNXTDZ($A$1,$B63,AA$5,$B$1)</f>
        <v>390.52</v>
      </c>
      <c r="AB63" s="54">
        <f>_xll.EQNXTDZ($A$1,$B63,AB$5,$B$1)</f>
        <v>0</v>
      </c>
      <c r="AC63" s="54">
        <f>_xll.EQNXTDZ($A$1,$B63,AC$5,$B$1)</f>
        <v>390.37</v>
      </c>
      <c r="AD63" s="54">
        <f>_xll.EQNXTDZ($A$1,$B63,AD$5,$B$1)</f>
        <v>0</v>
      </c>
      <c r="AE63" s="54">
        <f>_xll.EQNXTDZ($A$1,$B63,AE$5,$B$1)</f>
        <v>1.76</v>
      </c>
      <c r="AF63" s="54">
        <f>_xll.EQNXTDZ($A$1,$B63,AF$5,$B$1)</f>
        <v>0</v>
      </c>
      <c r="AG63" s="54">
        <f>_xll.EQNXTDZ($A$1,$B63,AG$5,$B$1)</f>
        <v>101.76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125</v>
      </c>
      <c r="AL63" s="54">
        <f>_xll.EQNXTDZ($A$1,$B63,AL$5,$B$1)</f>
        <v>0</v>
      </c>
      <c r="AM63" s="54">
        <f>_xll.EQNXTDZ($A$1,$B63,AM$5,$B$1)</f>
        <v>250</v>
      </c>
      <c r="AN63" s="54">
        <f>_xll.EQNXTDZ($A$1,$B63,AN$5,$B$1)</f>
        <v>0</v>
      </c>
      <c r="AO63" s="54">
        <f>_xll.EQNXTDZ($A$1,$B63,AO$5,$B$1)</f>
        <v>200</v>
      </c>
      <c r="AP63" s="54">
        <f>_xll.EQNXTDZ($A$1,$B63,AP$5,$B$1)</f>
        <v>0</v>
      </c>
      <c r="AQ63" s="54">
        <f>_xll.EQNXTDZ($A$1,$B63,AQ$5,$B$1)</f>
        <v>200</v>
      </c>
      <c r="AR63" s="54">
        <f>_xll.EQNXTDZ($A$1,$B63,AR$5,$B$1)</f>
        <v>0</v>
      </c>
      <c r="AS63" s="54">
        <f>_xll.EQNXTDZ($A$1,$B63,AS$5,$B$1)</f>
        <v>200</v>
      </c>
      <c r="AT63" s="54">
        <f>_xll.EQNXTDZ($A$1,$B63,AT$5,$B$1)</f>
        <v>0</v>
      </c>
      <c r="AU63" s="54">
        <f>_xll.EQNXTDZ($A$1,$B63,AU$5,$B$1)</f>
        <v>200</v>
      </c>
      <c r="AV63" s="54">
        <f>_xll.EQNXTDZ($A$1,$B63,AV$5,$B$1)</f>
        <v>0</v>
      </c>
      <c r="AW63" s="54">
        <f>_xll.EQNXTDZ($A$1,$B63,AW$5,$B$1)</f>
        <v>200</v>
      </c>
      <c r="AX63" s="54">
        <f>_xll.EQNXTDZ($A$1,$B63,AX$5,$B$1)</f>
        <v>0</v>
      </c>
      <c r="AY63" s="54">
        <f>_xll.EQNXTDZ($A$1,$B63,AY$5,$B$1)</f>
        <v>200</v>
      </c>
      <c r="AZ63" s="54">
        <f>_xll.EQNXTDZ($A$1,$B63,AZ$5,$B$1)</f>
        <v>0</v>
      </c>
      <c r="BA63" s="54">
        <f>_xll.EQNXTDZ($A$1,$B63,BA$5,$B$1)</f>
        <v>100</v>
      </c>
      <c r="BB63" s="54">
        <f>_xll.EQNXTDZ($A$1,$B63,BB$5,$B$1)</f>
        <v>0</v>
      </c>
      <c r="BC63" s="54">
        <f>_xll.EQNXTDZ($A$1,$B63,BC$5,$B$1)</f>
        <v>100</v>
      </c>
      <c r="BD63" s="54">
        <f>_xll.EQNXTDZ($A$1,$B63,BD$5,$B$1)</f>
        <v>0</v>
      </c>
      <c r="BE63" s="54">
        <f>_xll.EQNXTDZ($A$1,$B63,BE$5,$B$1)</f>
        <v>100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0</v>
      </c>
      <c r="E64" s="54">
        <f>_xll.EQNXTDZ($A$1,$B64,E$5,$B$1)</f>
        <v>0</v>
      </c>
      <c r="F64" s="54">
        <f>_xll.EQNXTDZ($A$1,$B64,F$5,$B$1)</f>
        <v>0</v>
      </c>
      <c r="G64" s="54">
        <f>_xll.EQNXTDZ($A$1,$B64,G$5,$B$1)</f>
        <v>0</v>
      </c>
      <c r="H64" s="54">
        <f>_xll.EQNXTDZ($A$1,$B64,H$5,$B$1)</f>
        <v>0</v>
      </c>
      <c r="I64" s="54">
        <f>_xll.EQNXTDZ($A$1,$B64,I$5,$B$1)</f>
        <v>0</v>
      </c>
      <c r="J64" s="54">
        <f>_xll.EQNXTDZ($A$1,$B64,J$5,$B$1)</f>
        <v>0</v>
      </c>
      <c r="K64" s="54">
        <f>_xll.EQNXTDZ($A$1,$B64,K$5,$B$1)</f>
        <v>0</v>
      </c>
      <c r="L64" s="54">
        <f>_xll.EQNXTDZ($A$1,$B64,L$5,$B$1)</f>
        <v>0</v>
      </c>
      <c r="M64" s="54">
        <f>_xll.EQNXTDZ($A$1,$B64,M$5,$B$1)</f>
        <v>0</v>
      </c>
      <c r="N64" s="54">
        <f>_xll.EQNXTDZ($A$1,$B64,N$5,$B$1)</f>
        <v>0</v>
      </c>
      <c r="O64" s="54">
        <f>_xll.EQNXTDZ($A$1,$B64,O$5,$B$1)</f>
        <v>49.42</v>
      </c>
      <c r="P64" s="54">
        <f>_xll.EQNXTDZ($A$1,$B64,P$5,$B$1)</f>
        <v>0</v>
      </c>
      <c r="Q64" s="54">
        <f>_xll.EQNXTDZ($A$1,$B64,Q$5,$B$1)</f>
        <v>35.6</v>
      </c>
      <c r="R64" s="54">
        <f>_xll.EQNXTDZ($A$1,$B64,R$5,$B$1)</f>
        <v>0</v>
      </c>
      <c r="S64" s="54">
        <f>_xll.EQNXTDZ($A$1,$B64,S$5,$B$1)</f>
        <v>35.6</v>
      </c>
      <c r="T64" s="54">
        <f>_xll.EQNXTDZ($A$1,$B64,T$5,$B$1)</f>
        <v>0</v>
      </c>
      <c r="U64" s="54">
        <f>_xll.EQNXTDZ($A$1,$B64,U$5,$B$1)</f>
        <v>0.2</v>
      </c>
      <c r="V64" s="54">
        <f>_xll.EQNXTDZ($A$1,$B64,V$5,$B$1)</f>
        <v>0</v>
      </c>
      <c r="W64" s="54">
        <f>_xll.EQNXTDZ($A$1,$B64,W$5,$B$1)</f>
        <v>13.2</v>
      </c>
      <c r="X64" s="54">
        <f>_xll.EQNXTDZ($A$1,$B64,X$5,$B$1)</f>
        <v>0</v>
      </c>
      <c r="Y64" s="54">
        <f>_xll.EQNXTDZ($A$1,$B64,Y$5,$B$1)</f>
        <v>12.58</v>
      </c>
      <c r="Z64" s="54">
        <f>_xll.EQNXTDZ($A$1,$B64,Z$5,$B$1)</f>
        <v>0</v>
      </c>
      <c r="AA64" s="54">
        <f>_xll.EQNXTDZ($A$1,$B64,AA$5,$B$1)</f>
        <v>13.73</v>
      </c>
      <c r="AB64" s="54">
        <f>_xll.EQNXTDZ($A$1,$B64,AB$5,$B$1)</f>
        <v>0</v>
      </c>
      <c r="AC64" s="54">
        <f>_xll.EQNXTDZ($A$1,$B64,AC$5,$B$1)</f>
        <v>11.9</v>
      </c>
      <c r="AD64" s="54">
        <f>_xll.EQNXTDZ($A$1,$B64,AD$5,$B$1)</f>
        <v>0</v>
      </c>
      <c r="AE64" s="54">
        <f>_xll.EQNXTDZ($A$1,$B64,AE$5,$B$1)</f>
        <v>12.14</v>
      </c>
      <c r="AF64" s="54">
        <f>_xll.EQNXTDZ($A$1,$B64,AF$5,$B$1)</f>
        <v>0</v>
      </c>
      <c r="AG64" s="54">
        <f>_xll.EQNXTDZ($A$1,$B64,AG$5,$B$1)</f>
        <v>9.01</v>
      </c>
      <c r="AH64" s="54">
        <f>_xll.EQNXTDZ($A$1,$B64,AH$5,$B$1)</f>
        <v>0</v>
      </c>
      <c r="AI64" s="54">
        <f>_xll.EQNXTDZ($A$1,$B64,AI$5,$B$1)</f>
        <v>51.36</v>
      </c>
      <c r="AJ64" s="54">
        <f>_xll.EQNXTDZ($A$1,$B64,AJ$5,$B$1)</f>
        <v>0</v>
      </c>
      <c r="AK64" s="54">
        <f>_xll.EQNXTDZ($A$1,$B64,AK$5,$B$1)</f>
        <v>52.95</v>
      </c>
      <c r="AL64" s="54">
        <f>_xll.EQNXTDZ($A$1,$B64,AL$5,$B$1)</f>
        <v>0</v>
      </c>
      <c r="AM64" s="54">
        <f>_xll.EQNXTDZ($A$1,$B64,AM$5,$B$1)</f>
        <v>66.599999999999994</v>
      </c>
      <c r="AN64" s="54">
        <f>_xll.EQNXTDZ($A$1,$B64,AN$5,$B$1)</f>
        <v>0</v>
      </c>
      <c r="AO64" s="54">
        <f>_xll.EQNXTDZ($A$1,$B64,AO$5,$B$1)</f>
        <v>64.099999999999994</v>
      </c>
      <c r="AP64" s="54">
        <f>_xll.EQNXTDZ($A$1,$B64,AP$5,$B$1)</f>
        <v>0</v>
      </c>
      <c r="AQ64" s="54">
        <f>_xll.EQNXTDZ($A$1,$B64,AQ$5,$B$1)</f>
        <v>44.77</v>
      </c>
      <c r="AR64" s="54">
        <f>_xll.EQNXTDZ($A$1,$B64,AR$5,$B$1)</f>
        <v>0</v>
      </c>
      <c r="AS64" s="54">
        <f>_xll.EQNXTDZ($A$1,$B64,AS$5,$B$1)</f>
        <v>48.45</v>
      </c>
      <c r="AT64" s="54">
        <f>_xll.EQNXTDZ($A$1,$B64,AT$5,$B$1)</f>
        <v>0</v>
      </c>
      <c r="AU64" s="54">
        <f>_xll.EQNXTDZ($A$1,$B64,AU$5,$B$1)</f>
        <v>51.37</v>
      </c>
      <c r="AV64" s="54">
        <f>_xll.EQNXTDZ($A$1,$B64,AV$5,$B$1)</f>
        <v>0</v>
      </c>
      <c r="AW64" s="54">
        <f>_xll.EQNXTDZ($A$1,$B64,AW$5,$B$1)</f>
        <v>62.32</v>
      </c>
      <c r="AX64" s="54">
        <f>_xll.EQNXTDZ($A$1,$B64,AX$5,$B$1)</f>
        <v>0</v>
      </c>
      <c r="AY64" s="54">
        <f>_xll.EQNXTDZ($A$1,$B64,AY$5,$B$1)</f>
        <v>59.23</v>
      </c>
      <c r="AZ64" s="54">
        <f>_xll.EQNXTDZ($A$1,$B64,AZ$5,$B$1)</f>
        <v>0</v>
      </c>
      <c r="BA64" s="54">
        <f>_xll.EQNXTDZ($A$1,$B64,BA$5,$B$1)</f>
        <v>57.32</v>
      </c>
      <c r="BB64" s="54">
        <f>_xll.EQNXTDZ($A$1,$B64,BB$5,$B$1)</f>
        <v>0</v>
      </c>
      <c r="BC64" s="54">
        <f>_xll.EQNXTDZ($A$1,$B64,BC$5,$B$1)</f>
        <v>55.87</v>
      </c>
      <c r="BD64" s="54">
        <f>_xll.EQNXTDZ($A$1,$B64,BD$5,$B$1)</f>
        <v>0</v>
      </c>
      <c r="BE64" s="54">
        <f>_xll.EQNXTDZ($A$1,$B64,BE$5,$B$1)</f>
        <v>52.93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3.53</v>
      </c>
      <c r="D66" s="54">
        <f>_xll.EQNXTDZ($A$1,$B66,D$5,$B$1)</f>
        <v>0</v>
      </c>
      <c r="E66" s="54">
        <f>_xll.EQNXTDZ($A$1,$B66,E$5,$B$1)</f>
        <v>1.52</v>
      </c>
      <c r="F66" s="54">
        <f>_xll.EQNXTDZ($A$1,$B66,F$5,$B$1)</f>
        <v>0</v>
      </c>
      <c r="G66" s="54">
        <f>_xll.EQNXTDZ($A$1,$B66,G$5,$B$1)</f>
        <v>1.41</v>
      </c>
      <c r="H66" s="54">
        <f>_xll.EQNXTDZ($A$1,$B66,H$5,$B$1)</f>
        <v>0</v>
      </c>
      <c r="I66" s="54">
        <f>_xll.EQNXTDZ($A$1,$B66,I$5,$B$1)</f>
        <v>1.27</v>
      </c>
      <c r="J66" s="54">
        <f>_xll.EQNXTDZ($A$1,$B66,J$5,$B$1)</f>
        <v>0</v>
      </c>
      <c r="K66" s="54">
        <f>_xll.EQNXTDZ($A$1,$B66,K$5,$B$1)</f>
        <v>1.66</v>
      </c>
      <c r="L66" s="54">
        <f>_xll.EQNXTDZ($A$1,$B66,L$5,$B$1)</f>
        <v>0</v>
      </c>
      <c r="M66" s="54">
        <f>_xll.EQNXTDZ($A$1,$B66,M$5,$B$1)</f>
        <v>1.44</v>
      </c>
      <c r="N66" s="54">
        <f>_xll.EQNXTDZ($A$1,$B66,N$5,$B$1)</f>
        <v>0</v>
      </c>
      <c r="O66" s="54">
        <f>_xll.EQNXTDZ($A$1,$B66,O$5,$B$1)</f>
        <v>5.89</v>
      </c>
      <c r="P66" s="54">
        <f>_xll.EQNXTDZ($A$1,$B66,P$5,$B$1)</f>
        <v>0</v>
      </c>
      <c r="Q66" s="54">
        <f>_xll.EQNXTDZ($A$1,$B66,Q$5,$B$1)</f>
        <v>6.49</v>
      </c>
      <c r="R66" s="54">
        <f>_xll.EQNXTDZ($A$1,$B66,R$5,$B$1)</f>
        <v>0</v>
      </c>
      <c r="S66" s="54">
        <f>_xll.EQNXTDZ($A$1,$B66,S$5,$B$1)</f>
        <v>6.26</v>
      </c>
      <c r="T66" s="54">
        <f>_xll.EQNXTDZ($A$1,$B66,T$5,$B$1)</f>
        <v>0</v>
      </c>
      <c r="U66" s="54">
        <f>_xll.EQNXTDZ($A$1,$B66,U$5,$B$1)</f>
        <v>8.49</v>
      </c>
      <c r="V66" s="54">
        <f>_xll.EQNXTDZ($A$1,$B66,V$5,$B$1)</f>
        <v>0</v>
      </c>
      <c r="W66" s="54">
        <f>_xll.EQNXTDZ($A$1,$B66,W$5,$B$1)</f>
        <v>4.3099999999999996</v>
      </c>
      <c r="X66" s="54">
        <f>_xll.EQNXTDZ($A$1,$B66,X$5,$B$1)</f>
        <v>0</v>
      </c>
      <c r="Y66" s="54">
        <f>_xll.EQNXTDZ($A$1,$B66,Y$5,$B$1)</f>
        <v>3.24</v>
      </c>
      <c r="Z66" s="54">
        <f>_xll.EQNXTDZ($A$1,$B66,Z$5,$B$1)</f>
        <v>0</v>
      </c>
      <c r="AA66" s="54">
        <f>_xll.EQNXTDZ($A$1,$B66,AA$5,$B$1)</f>
        <v>3.1</v>
      </c>
      <c r="AB66" s="54">
        <f>_xll.EQNXTDZ($A$1,$B66,AB$5,$B$1)</f>
        <v>0</v>
      </c>
      <c r="AC66" s="54">
        <f>_xll.EQNXTDZ($A$1,$B66,AC$5,$B$1)</f>
        <v>3.35</v>
      </c>
      <c r="AD66" s="54">
        <f>_xll.EQNXTDZ($A$1,$B66,AD$5,$B$1)</f>
        <v>0</v>
      </c>
      <c r="AE66" s="54">
        <f>_xll.EQNXTDZ($A$1,$B66,AE$5,$B$1)</f>
        <v>4.29</v>
      </c>
      <c r="AF66" s="54">
        <f>_xll.EQNXTDZ($A$1,$B66,AF$5,$B$1)</f>
        <v>0</v>
      </c>
      <c r="AG66" s="54">
        <f>_xll.EQNXTDZ($A$1,$B66,AG$5,$B$1)</f>
        <v>4.3600000000000003</v>
      </c>
      <c r="AH66" s="54">
        <f>_xll.EQNXTDZ($A$1,$B66,AH$5,$B$1)</f>
        <v>0</v>
      </c>
      <c r="AI66" s="54">
        <f>_xll.EQNXTDZ($A$1,$B66,AI$5,$B$1)</f>
        <v>11.4</v>
      </c>
      <c r="AJ66" s="54">
        <f>_xll.EQNXTDZ($A$1,$B66,AJ$5,$B$1)</f>
        <v>0</v>
      </c>
      <c r="AK66" s="54">
        <f>_xll.EQNXTDZ($A$1,$B66,AK$5,$B$1)</f>
        <v>7.73</v>
      </c>
      <c r="AL66" s="54">
        <f>_xll.EQNXTDZ($A$1,$B66,AL$5,$B$1)</f>
        <v>0</v>
      </c>
      <c r="AM66" s="54">
        <f>_xll.EQNXTDZ($A$1,$B66,AM$5,$B$1)</f>
        <v>3.33</v>
      </c>
      <c r="AN66" s="54">
        <f>_xll.EQNXTDZ($A$1,$B66,AN$5,$B$1)</f>
        <v>0</v>
      </c>
      <c r="AO66" s="54">
        <f>_xll.EQNXTDZ($A$1,$B66,AO$5,$B$1)</f>
        <v>6.17</v>
      </c>
      <c r="AP66" s="54">
        <f>_xll.EQNXTDZ($A$1,$B66,AP$5,$B$1)</f>
        <v>0</v>
      </c>
      <c r="AQ66" s="54">
        <f>_xll.EQNXTDZ($A$1,$B66,AQ$5,$B$1)</f>
        <v>6.07</v>
      </c>
      <c r="AR66" s="54">
        <f>_xll.EQNXTDZ($A$1,$B66,AR$5,$B$1)</f>
        <v>0</v>
      </c>
      <c r="AS66" s="54">
        <f>_xll.EQNXTDZ($A$1,$B66,AS$5,$B$1)</f>
        <v>5.95</v>
      </c>
      <c r="AT66" s="54">
        <f>_xll.EQNXTDZ($A$1,$B66,AT$5,$B$1)</f>
        <v>0</v>
      </c>
      <c r="AU66" s="54">
        <f>_xll.EQNXTDZ($A$1,$B66,AU$5,$B$1)</f>
        <v>5.03</v>
      </c>
      <c r="AV66" s="54">
        <f>_xll.EQNXTDZ($A$1,$B66,AV$5,$B$1)</f>
        <v>0</v>
      </c>
      <c r="AW66" s="54">
        <f>_xll.EQNXTDZ($A$1,$B66,AW$5,$B$1)</f>
        <v>3.03</v>
      </c>
      <c r="AX66" s="54">
        <f>_xll.EQNXTDZ($A$1,$B66,AX$5,$B$1)</f>
        <v>0</v>
      </c>
      <c r="AY66" s="54">
        <f>_xll.EQNXTDZ($A$1,$B66,AY$5,$B$1)</f>
        <v>6.65</v>
      </c>
      <c r="AZ66" s="54">
        <f>_xll.EQNXTDZ($A$1,$B66,AZ$5,$B$1)</f>
        <v>0</v>
      </c>
      <c r="BA66" s="54">
        <f>_xll.EQNXTDZ($A$1,$B66,BA$5,$B$1)</f>
        <v>9.01</v>
      </c>
      <c r="BB66" s="54">
        <f>_xll.EQNXTDZ($A$1,$B66,BB$5,$B$1)</f>
        <v>0</v>
      </c>
      <c r="BC66" s="54">
        <f>_xll.EQNXTDZ($A$1,$B66,BC$5,$B$1)</f>
        <v>9.3699999999999992</v>
      </c>
      <c r="BD66" s="54">
        <f>_xll.EQNXTDZ($A$1,$B66,BD$5,$B$1)</f>
        <v>0</v>
      </c>
      <c r="BE66" s="54">
        <f>_xll.EQNXTDZ($A$1,$B66,BE$5,$B$1)</f>
        <v>4.8499999999999996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379.25</v>
      </c>
      <c r="D67" s="54">
        <f>_xll.EQNXTDZ($A$1,$B67,D$5,$B$1)</f>
        <v>0</v>
      </c>
      <c r="E67" s="54">
        <f>_xll.EQNXTDZ($A$1,$B67,E$5,$B$1)</f>
        <v>409.26</v>
      </c>
      <c r="F67" s="54">
        <f>_xll.EQNXTDZ($A$1,$B67,F$5,$B$1)</f>
        <v>0</v>
      </c>
      <c r="G67" s="54">
        <f>_xll.EQNXTDZ($A$1,$B67,G$5,$B$1)</f>
        <v>442.09</v>
      </c>
      <c r="H67" s="54">
        <f>_xll.EQNXTDZ($A$1,$B67,H$5,$B$1)</f>
        <v>0</v>
      </c>
      <c r="I67" s="54">
        <f>_xll.EQNXTDZ($A$1,$B67,I$5,$B$1)</f>
        <v>452.11</v>
      </c>
      <c r="J67" s="54">
        <f>_xll.EQNXTDZ($A$1,$B67,J$5,$B$1)</f>
        <v>0</v>
      </c>
      <c r="K67" s="54">
        <f>_xll.EQNXTDZ($A$1,$B67,K$5,$B$1)</f>
        <v>484.68</v>
      </c>
      <c r="L67" s="54">
        <f>_xll.EQNXTDZ($A$1,$B67,L$5,$B$1)</f>
        <v>0</v>
      </c>
      <c r="M67" s="54">
        <f>_xll.EQNXTDZ($A$1,$B67,M$5,$B$1)</f>
        <v>626.36</v>
      </c>
      <c r="N67" s="54">
        <f>_xll.EQNXTDZ($A$1,$B67,N$5,$B$1)</f>
        <v>0</v>
      </c>
      <c r="O67" s="54">
        <f>_xll.EQNXTDZ($A$1,$B67,O$5,$B$1)</f>
        <v>1142.28</v>
      </c>
      <c r="P67" s="54">
        <f>_xll.EQNXTDZ($A$1,$B67,P$5,$B$1)</f>
        <v>0</v>
      </c>
      <c r="Q67" s="54">
        <f>_xll.EQNXTDZ($A$1,$B67,Q$5,$B$1)</f>
        <v>1119.81</v>
      </c>
      <c r="R67" s="54">
        <f>_xll.EQNXTDZ($A$1,$B67,R$5,$B$1)</f>
        <v>0</v>
      </c>
      <c r="S67" s="54">
        <f>_xll.EQNXTDZ($A$1,$B67,S$5,$B$1)</f>
        <v>1159.6500000000001</v>
      </c>
      <c r="T67" s="54">
        <f>_xll.EQNXTDZ($A$1,$B67,T$5,$B$1)</f>
        <v>0</v>
      </c>
      <c r="U67" s="54">
        <f>_xll.EQNXTDZ($A$1,$B67,U$5,$B$1)</f>
        <v>1121.27</v>
      </c>
      <c r="V67" s="54">
        <f>_xll.EQNXTDZ($A$1,$B67,V$5,$B$1)</f>
        <v>0</v>
      </c>
      <c r="W67" s="54">
        <f>_xll.EQNXTDZ($A$1,$B67,W$5,$B$1)</f>
        <v>912.63</v>
      </c>
      <c r="X67" s="54">
        <f>_xll.EQNXTDZ($A$1,$B67,X$5,$B$1)</f>
        <v>0</v>
      </c>
      <c r="Y67" s="54">
        <f>_xll.EQNXTDZ($A$1,$B67,Y$5,$B$1)</f>
        <v>959.13</v>
      </c>
      <c r="Z67" s="54">
        <f>_xll.EQNXTDZ($A$1,$B67,Z$5,$B$1)</f>
        <v>0</v>
      </c>
      <c r="AA67" s="54">
        <f>_xll.EQNXTDZ($A$1,$B67,AA$5,$B$1)</f>
        <v>962.61</v>
      </c>
      <c r="AB67" s="54">
        <f>_xll.EQNXTDZ($A$1,$B67,AB$5,$B$1)</f>
        <v>0</v>
      </c>
      <c r="AC67" s="54">
        <f>_xll.EQNXTDZ($A$1,$B67,AC$5,$B$1)</f>
        <v>962.1</v>
      </c>
      <c r="AD67" s="54">
        <f>_xll.EQNXTDZ($A$1,$B67,AD$5,$B$1)</f>
        <v>0</v>
      </c>
      <c r="AE67" s="54">
        <f>_xll.EQNXTDZ($A$1,$B67,AE$5,$B$1)</f>
        <v>617.11</v>
      </c>
      <c r="AF67" s="54">
        <f>_xll.EQNXTDZ($A$1,$B67,AF$5,$B$1)</f>
        <v>0</v>
      </c>
      <c r="AG67" s="54">
        <f>_xll.EQNXTDZ($A$1,$B67,AG$5,$B$1)</f>
        <v>812.48</v>
      </c>
      <c r="AH67" s="54">
        <f>_xll.EQNXTDZ($A$1,$B67,AH$5,$B$1)</f>
        <v>0</v>
      </c>
      <c r="AI67" s="54">
        <f>_xll.EQNXTDZ($A$1,$B67,AI$5,$B$1)</f>
        <v>791.04</v>
      </c>
      <c r="AJ67" s="54">
        <f>_xll.EQNXTDZ($A$1,$B67,AJ$5,$B$1)</f>
        <v>0</v>
      </c>
      <c r="AK67" s="54">
        <f>_xll.EQNXTDZ($A$1,$B67,AK$5,$B$1)</f>
        <v>950.59</v>
      </c>
      <c r="AL67" s="54">
        <f>_xll.EQNXTDZ($A$1,$B67,AL$5,$B$1)</f>
        <v>0</v>
      </c>
      <c r="AM67" s="54">
        <f>_xll.EQNXTDZ($A$1,$B67,AM$5,$B$1)</f>
        <v>1076.6199999999999</v>
      </c>
      <c r="AN67" s="54">
        <f>_xll.EQNXTDZ($A$1,$B67,AN$5,$B$1)</f>
        <v>0</v>
      </c>
      <c r="AO67" s="54">
        <f>_xll.EQNXTDZ($A$1,$B67,AO$5,$B$1)</f>
        <v>984.95</v>
      </c>
      <c r="AP67" s="54">
        <f>_xll.EQNXTDZ($A$1,$B67,AP$5,$B$1)</f>
        <v>0</v>
      </c>
      <c r="AQ67" s="54">
        <f>_xll.EQNXTDZ($A$1,$B67,AQ$5,$B$1)</f>
        <v>992.51</v>
      </c>
      <c r="AR67" s="54">
        <f>_xll.EQNXTDZ($A$1,$B67,AR$5,$B$1)</f>
        <v>0</v>
      </c>
      <c r="AS67" s="54">
        <f>_xll.EQNXTDZ($A$1,$B67,AS$5,$B$1)</f>
        <v>1011.36</v>
      </c>
      <c r="AT67" s="54">
        <f>_xll.EQNXTDZ($A$1,$B67,AT$5,$B$1)</f>
        <v>0</v>
      </c>
      <c r="AU67" s="54">
        <f>_xll.EQNXTDZ($A$1,$B67,AU$5,$B$1)</f>
        <v>1048.92</v>
      </c>
      <c r="AV67" s="54">
        <f>_xll.EQNXTDZ($A$1,$B67,AV$5,$B$1)</f>
        <v>0</v>
      </c>
      <c r="AW67" s="54">
        <f>_xll.EQNXTDZ($A$1,$B67,AW$5,$B$1)</f>
        <v>1415.81</v>
      </c>
      <c r="AX67" s="54">
        <f>_xll.EQNXTDZ($A$1,$B67,AX$5,$B$1)</f>
        <v>0</v>
      </c>
      <c r="AY67" s="54">
        <f>_xll.EQNXTDZ($A$1,$B67,AY$5,$B$1)</f>
        <v>1443.11</v>
      </c>
      <c r="AZ67" s="54">
        <f>_xll.EQNXTDZ($A$1,$B67,AZ$5,$B$1)</f>
        <v>0</v>
      </c>
      <c r="BA67" s="54">
        <f>_xll.EQNXTDZ($A$1,$B67,BA$5,$B$1)</f>
        <v>1359.88</v>
      </c>
      <c r="BB67" s="54">
        <f>_xll.EQNXTDZ($A$1,$B67,BB$5,$B$1)</f>
        <v>0</v>
      </c>
      <c r="BC67" s="54">
        <f>_xll.EQNXTDZ($A$1,$B67,BC$5,$B$1)</f>
        <v>1394.89</v>
      </c>
      <c r="BD67" s="54">
        <f>_xll.EQNXTDZ($A$1,$B67,BD$5,$B$1)</f>
        <v>0</v>
      </c>
      <c r="BE67" s="54">
        <f>_xll.EQNXTDZ($A$1,$B67,BE$5,$B$1)</f>
        <v>1451.31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184.7</v>
      </c>
      <c r="D68" s="54">
        <f>_xll.EQNXTDZ($A$1,$B68,D$5,$B$1)</f>
        <v>0</v>
      </c>
      <c r="E68" s="54">
        <f>_xll.EQNXTDZ($A$1,$B68,E$5,$B$1)</f>
        <v>227.88</v>
      </c>
      <c r="F68" s="54">
        <f>_xll.EQNXTDZ($A$1,$B68,F$5,$B$1)</f>
        <v>0</v>
      </c>
      <c r="G68" s="54">
        <f>_xll.EQNXTDZ($A$1,$B68,G$5,$B$1)</f>
        <v>226.53</v>
      </c>
      <c r="H68" s="54">
        <f>_xll.EQNXTDZ($A$1,$B68,H$5,$B$1)</f>
        <v>0</v>
      </c>
      <c r="I68" s="54">
        <f>_xll.EQNXTDZ($A$1,$B68,I$5,$B$1)</f>
        <v>223.23</v>
      </c>
      <c r="J68" s="54">
        <f>_xll.EQNXTDZ($A$1,$B68,J$5,$B$1)</f>
        <v>0</v>
      </c>
      <c r="K68" s="54">
        <f>_xll.EQNXTDZ($A$1,$B68,K$5,$B$1)</f>
        <v>237.41</v>
      </c>
      <c r="L68" s="54">
        <f>_xll.EQNXTDZ($A$1,$B68,L$5,$B$1)</f>
        <v>0</v>
      </c>
      <c r="M68" s="54">
        <f>_xll.EQNXTDZ($A$1,$B68,M$5,$B$1)</f>
        <v>261.66000000000003</v>
      </c>
      <c r="N68" s="54">
        <f>_xll.EQNXTDZ($A$1,$B68,N$5,$B$1)</f>
        <v>0</v>
      </c>
      <c r="O68" s="54">
        <f>_xll.EQNXTDZ($A$1,$B68,O$5,$B$1)</f>
        <v>568.9</v>
      </c>
      <c r="P68" s="54">
        <f>_xll.EQNXTDZ($A$1,$B68,P$5,$B$1)</f>
        <v>0</v>
      </c>
      <c r="Q68" s="54">
        <f>_xll.EQNXTDZ($A$1,$B68,Q$5,$B$1)</f>
        <v>531.35</v>
      </c>
      <c r="R68" s="54">
        <f>_xll.EQNXTDZ($A$1,$B68,R$5,$B$1)</f>
        <v>0</v>
      </c>
      <c r="S68" s="54">
        <f>_xll.EQNXTDZ($A$1,$B68,S$5,$B$1)</f>
        <v>494.48</v>
      </c>
      <c r="T68" s="54">
        <f>_xll.EQNXTDZ($A$1,$B68,T$5,$B$1)</f>
        <v>0</v>
      </c>
      <c r="U68" s="54">
        <f>_xll.EQNXTDZ($A$1,$B68,U$5,$B$1)</f>
        <v>458.74</v>
      </c>
      <c r="V68" s="54">
        <f>_xll.EQNXTDZ($A$1,$B68,V$5,$B$1)</f>
        <v>0</v>
      </c>
      <c r="W68" s="54">
        <f>_xll.EQNXTDZ($A$1,$B68,W$5,$B$1)</f>
        <v>453.8</v>
      </c>
      <c r="X68" s="54">
        <f>_xll.EQNXTDZ($A$1,$B68,X$5,$B$1)</f>
        <v>0</v>
      </c>
      <c r="Y68" s="54">
        <f>_xll.EQNXTDZ($A$1,$B68,Y$5,$B$1)</f>
        <v>437.28</v>
      </c>
      <c r="Z68" s="54">
        <f>_xll.EQNXTDZ($A$1,$B68,Z$5,$B$1)</f>
        <v>0</v>
      </c>
      <c r="AA68" s="54">
        <f>_xll.EQNXTDZ($A$1,$B68,AA$5,$B$1)</f>
        <v>525.30999999999995</v>
      </c>
      <c r="AB68" s="54">
        <f>_xll.EQNXTDZ($A$1,$B68,AB$5,$B$1)</f>
        <v>0</v>
      </c>
      <c r="AC68" s="54">
        <f>_xll.EQNXTDZ($A$1,$B68,AC$5,$B$1)</f>
        <v>517.72</v>
      </c>
      <c r="AD68" s="54">
        <f>_xll.EQNXTDZ($A$1,$B68,AD$5,$B$1)</f>
        <v>0</v>
      </c>
      <c r="AE68" s="54">
        <f>_xll.EQNXTDZ($A$1,$B68,AE$5,$B$1)</f>
        <v>483.84</v>
      </c>
      <c r="AF68" s="54">
        <f>_xll.EQNXTDZ($A$1,$B68,AF$5,$B$1)</f>
        <v>0</v>
      </c>
      <c r="AG68" s="54">
        <f>_xll.EQNXTDZ($A$1,$B68,AG$5,$B$1)</f>
        <v>486.45</v>
      </c>
      <c r="AH68" s="54">
        <f>_xll.EQNXTDZ($A$1,$B68,AH$5,$B$1)</f>
        <v>0</v>
      </c>
      <c r="AI68" s="54">
        <f>_xll.EQNXTDZ($A$1,$B68,AI$5,$B$1)</f>
        <v>523.52</v>
      </c>
      <c r="AJ68" s="54">
        <f>_xll.EQNXTDZ($A$1,$B68,AJ$5,$B$1)</f>
        <v>0</v>
      </c>
      <c r="AK68" s="54">
        <f>_xll.EQNXTDZ($A$1,$B68,AK$5,$B$1)</f>
        <v>482.08</v>
      </c>
      <c r="AL68" s="54">
        <f>_xll.EQNXTDZ($A$1,$B68,AL$5,$B$1)</f>
        <v>0</v>
      </c>
      <c r="AM68" s="54">
        <f>_xll.EQNXTDZ($A$1,$B68,AM$5,$B$1)</f>
        <v>448.9</v>
      </c>
      <c r="AN68" s="54">
        <f>_xll.EQNXTDZ($A$1,$B68,AN$5,$B$1)</f>
        <v>0</v>
      </c>
      <c r="AO68" s="54">
        <f>_xll.EQNXTDZ($A$1,$B68,AO$5,$B$1)</f>
        <v>448.32</v>
      </c>
      <c r="AP68" s="54">
        <f>_xll.EQNXTDZ($A$1,$B68,AP$5,$B$1)</f>
        <v>0</v>
      </c>
      <c r="AQ68" s="54">
        <f>_xll.EQNXTDZ($A$1,$B68,AQ$5,$B$1)</f>
        <v>480.01</v>
      </c>
      <c r="AR68" s="54">
        <f>_xll.EQNXTDZ($A$1,$B68,AR$5,$B$1)</f>
        <v>0</v>
      </c>
      <c r="AS68" s="54">
        <f>_xll.EQNXTDZ($A$1,$B68,AS$5,$B$1)</f>
        <v>414.04</v>
      </c>
      <c r="AT68" s="54">
        <f>_xll.EQNXTDZ($A$1,$B68,AT$5,$B$1)</f>
        <v>0</v>
      </c>
      <c r="AU68" s="54">
        <f>_xll.EQNXTDZ($A$1,$B68,AU$5,$B$1)</f>
        <v>416.14</v>
      </c>
      <c r="AV68" s="54">
        <f>_xll.EQNXTDZ($A$1,$B68,AV$5,$B$1)</f>
        <v>0</v>
      </c>
      <c r="AW68" s="54">
        <f>_xll.EQNXTDZ($A$1,$B68,AW$5,$B$1)</f>
        <v>411.46</v>
      </c>
      <c r="AX68" s="54">
        <f>_xll.EQNXTDZ($A$1,$B68,AX$5,$B$1)</f>
        <v>0</v>
      </c>
      <c r="AY68" s="54">
        <f>_xll.EQNXTDZ($A$1,$B68,AY$5,$B$1)</f>
        <v>519.48</v>
      </c>
      <c r="AZ68" s="54">
        <f>_xll.EQNXTDZ($A$1,$B68,AZ$5,$B$1)</f>
        <v>0</v>
      </c>
      <c r="BA68" s="54">
        <f>_xll.EQNXTDZ($A$1,$B68,BA$5,$B$1)</f>
        <v>532.64</v>
      </c>
      <c r="BB68" s="54">
        <f>_xll.EQNXTDZ($A$1,$B68,BB$5,$B$1)</f>
        <v>0</v>
      </c>
      <c r="BC68" s="54">
        <f>_xll.EQNXTDZ($A$1,$B68,BC$5,$B$1)</f>
        <v>557.75</v>
      </c>
      <c r="BD68" s="54">
        <f>_xll.EQNXTDZ($A$1,$B68,BD$5,$B$1)</f>
        <v>0</v>
      </c>
      <c r="BE68" s="54">
        <f>_xll.EQNXTDZ($A$1,$B68,BE$5,$B$1)</f>
        <v>547.14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184.7</v>
      </c>
      <c r="D71" s="54">
        <f>_xll.EQNXTDZ($A$1,$B71,D$5,$B$1)</f>
        <v>0</v>
      </c>
      <c r="E71" s="54">
        <f>_xll.EQNXTDZ($A$1,$B71,E$5,$B$1)</f>
        <v>227.88</v>
      </c>
      <c r="F71" s="54">
        <f>_xll.EQNXTDZ($A$1,$B71,F$5,$B$1)</f>
        <v>0</v>
      </c>
      <c r="G71" s="54">
        <f>_xll.EQNXTDZ($A$1,$B71,G$5,$B$1)</f>
        <v>226.53</v>
      </c>
      <c r="H71" s="54">
        <f>_xll.EQNXTDZ($A$1,$B71,H$5,$B$1)</f>
        <v>0</v>
      </c>
      <c r="I71" s="54">
        <f>_xll.EQNXTDZ($A$1,$B71,I$5,$B$1)</f>
        <v>223.23</v>
      </c>
      <c r="J71" s="54">
        <f>_xll.EQNXTDZ($A$1,$B71,J$5,$B$1)</f>
        <v>0</v>
      </c>
      <c r="K71" s="54">
        <f>_xll.EQNXTDZ($A$1,$B71,K$5,$B$1)</f>
        <v>237.41</v>
      </c>
      <c r="L71" s="54">
        <f>_xll.EQNXTDZ($A$1,$B71,L$5,$B$1)</f>
        <v>0</v>
      </c>
      <c r="M71" s="54">
        <f>_xll.EQNXTDZ($A$1,$B71,M$5,$B$1)</f>
        <v>261.66000000000003</v>
      </c>
      <c r="N71" s="54">
        <f>_xll.EQNXTDZ($A$1,$B71,N$5,$B$1)</f>
        <v>0</v>
      </c>
      <c r="O71" s="54">
        <f>_xll.EQNXTDZ($A$1,$B71,O$5,$B$1)</f>
        <v>568.9</v>
      </c>
      <c r="P71" s="54">
        <f>_xll.EQNXTDZ($A$1,$B71,P$5,$B$1)</f>
        <v>0</v>
      </c>
      <c r="Q71" s="54">
        <f>_xll.EQNXTDZ($A$1,$B71,Q$5,$B$1)</f>
        <v>531.35</v>
      </c>
      <c r="R71" s="54">
        <f>_xll.EQNXTDZ($A$1,$B71,R$5,$B$1)</f>
        <v>0</v>
      </c>
      <c r="S71" s="54">
        <f>_xll.EQNXTDZ($A$1,$B71,S$5,$B$1)</f>
        <v>494.48</v>
      </c>
      <c r="T71" s="54">
        <f>_xll.EQNXTDZ($A$1,$B71,T$5,$B$1)</f>
        <v>0</v>
      </c>
      <c r="U71" s="54">
        <f>_xll.EQNXTDZ($A$1,$B71,U$5,$B$1)</f>
        <v>458.74</v>
      </c>
      <c r="V71" s="54">
        <f>_xll.EQNXTDZ($A$1,$B71,V$5,$B$1)</f>
        <v>0</v>
      </c>
      <c r="W71" s="54">
        <f>_xll.EQNXTDZ($A$1,$B71,W$5,$B$1)</f>
        <v>453.8</v>
      </c>
      <c r="X71" s="54">
        <f>_xll.EQNXTDZ($A$1,$B71,X$5,$B$1)</f>
        <v>0</v>
      </c>
      <c r="Y71" s="54">
        <f>_xll.EQNXTDZ($A$1,$B71,Y$5,$B$1)</f>
        <v>437.28</v>
      </c>
      <c r="Z71" s="54">
        <f>_xll.EQNXTDZ($A$1,$B71,Z$5,$B$1)</f>
        <v>0</v>
      </c>
      <c r="AA71" s="54">
        <f>_xll.EQNXTDZ($A$1,$B71,AA$5,$B$1)</f>
        <v>525.30999999999995</v>
      </c>
      <c r="AB71" s="54">
        <f>_xll.EQNXTDZ($A$1,$B71,AB$5,$B$1)</f>
        <v>0</v>
      </c>
      <c r="AC71" s="54">
        <f>_xll.EQNXTDZ($A$1,$B71,AC$5,$B$1)</f>
        <v>517.72</v>
      </c>
      <c r="AD71" s="54">
        <f>_xll.EQNXTDZ($A$1,$B71,AD$5,$B$1)</f>
        <v>0</v>
      </c>
      <c r="AE71" s="54">
        <f>_xll.EQNXTDZ($A$1,$B71,AE$5,$B$1)</f>
        <v>483.84</v>
      </c>
      <c r="AF71" s="54">
        <f>_xll.EQNXTDZ($A$1,$B71,AF$5,$B$1)</f>
        <v>0</v>
      </c>
      <c r="AG71" s="54">
        <f>_xll.EQNXTDZ($A$1,$B71,AG$5,$B$1)</f>
        <v>486.45</v>
      </c>
      <c r="AH71" s="54">
        <f>_xll.EQNXTDZ($A$1,$B71,AH$5,$B$1)</f>
        <v>0</v>
      </c>
      <c r="AI71" s="54">
        <f>_xll.EQNXTDZ($A$1,$B71,AI$5,$B$1)</f>
        <v>523.52</v>
      </c>
      <c r="AJ71" s="54">
        <f>_xll.EQNXTDZ($A$1,$B71,AJ$5,$B$1)</f>
        <v>0</v>
      </c>
      <c r="AK71" s="54">
        <f>_xll.EQNXTDZ($A$1,$B71,AK$5,$B$1)</f>
        <v>482.08</v>
      </c>
      <c r="AL71" s="54">
        <f>_xll.EQNXTDZ($A$1,$B71,AL$5,$B$1)</f>
        <v>0</v>
      </c>
      <c r="AM71" s="54">
        <f>_xll.EQNXTDZ($A$1,$B71,AM$5,$B$1)</f>
        <v>448.9</v>
      </c>
      <c r="AN71" s="54">
        <f>_xll.EQNXTDZ($A$1,$B71,AN$5,$B$1)</f>
        <v>0</v>
      </c>
      <c r="AO71" s="54">
        <f>_xll.EQNXTDZ($A$1,$B71,AO$5,$B$1)</f>
        <v>448.32</v>
      </c>
      <c r="AP71" s="54">
        <f>_xll.EQNXTDZ($A$1,$B71,AP$5,$B$1)</f>
        <v>0</v>
      </c>
      <c r="AQ71" s="54">
        <f>_xll.EQNXTDZ($A$1,$B71,AQ$5,$B$1)</f>
        <v>480.01</v>
      </c>
      <c r="AR71" s="54">
        <f>_xll.EQNXTDZ($A$1,$B71,AR$5,$B$1)</f>
        <v>0</v>
      </c>
      <c r="AS71" s="54">
        <f>_xll.EQNXTDZ($A$1,$B71,AS$5,$B$1)</f>
        <v>414.04</v>
      </c>
      <c r="AT71" s="54">
        <f>_xll.EQNXTDZ($A$1,$B71,AT$5,$B$1)</f>
        <v>0</v>
      </c>
      <c r="AU71" s="54">
        <f>_xll.EQNXTDZ($A$1,$B71,AU$5,$B$1)</f>
        <v>416.14</v>
      </c>
      <c r="AV71" s="54">
        <f>_xll.EQNXTDZ($A$1,$B71,AV$5,$B$1)</f>
        <v>0</v>
      </c>
      <c r="AW71" s="54">
        <f>_xll.EQNXTDZ($A$1,$B71,AW$5,$B$1)</f>
        <v>411.46</v>
      </c>
      <c r="AX71" s="54">
        <f>_xll.EQNXTDZ($A$1,$B71,AX$5,$B$1)</f>
        <v>0</v>
      </c>
      <c r="AY71" s="54">
        <f>_xll.EQNXTDZ($A$1,$B71,AY$5,$B$1)</f>
        <v>519.48</v>
      </c>
      <c r="AZ71" s="54">
        <f>_xll.EQNXTDZ($A$1,$B71,AZ$5,$B$1)</f>
        <v>0</v>
      </c>
      <c r="BA71" s="54">
        <f>_xll.EQNXTDZ($A$1,$B71,BA$5,$B$1)</f>
        <v>532.64</v>
      </c>
      <c r="BB71" s="54">
        <f>_xll.EQNXTDZ($A$1,$B71,BB$5,$B$1)</f>
        <v>0</v>
      </c>
      <c r="BC71" s="54">
        <f>_xll.EQNXTDZ($A$1,$B71,BC$5,$B$1)</f>
        <v>557.75</v>
      </c>
      <c r="BD71" s="54">
        <f>_xll.EQNXTDZ($A$1,$B71,BD$5,$B$1)</f>
        <v>0</v>
      </c>
      <c r="BE71" s="54">
        <f>_xll.EQNXTDZ($A$1,$B71,BE$5,$B$1)</f>
        <v>547.14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19.57</v>
      </c>
      <c r="F72" s="54">
        <f>_xll.EQNXTDZ($A$1,$B72,F$5,$B$1)</f>
        <v>0</v>
      </c>
      <c r="G72" s="54">
        <f>_xll.EQNXTDZ($A$1,$B72,G$5,$B$1)</f>
        <v>19.57</v>
      </c>
      <c r="H72" s="54">
        <f>_xll.EQNXTDZ($A$1,$B72,H$5,$B$1)</f>
        <v>0</v>
      </c>
      <c r="I72" s="54">
        <f>_xll.EQNXTDZ($A$1,$B72,I$5,$B$1)</f>
        <v>19.57</v>
      </c>
      <c r="J72" s="54">
        <f>_xll.EQNXTDZ($A$1,$B72,J$5,$B$1)</f>
        <v>0</v>
      </c>
      <c r="K72" s="54">
        <f>_xll.EQNXTDZ($A$1,$B72,K$5,$B$1)</f>
        <v>19.57</v>
      </c>
      <c r="L72" s="54">
        <f>_xll.EQNXTDZ($A$1,$B72,L$5,$B$1)</f>
        <v>0</v>
      </c>
      <c r="M72" s="54">
        <f>_xll.EQNXTDZ($A$1,$B72,M$5,$B$1)</f>
        <v>19.57</v>
      </c>
      <c r="N72" s="54">
        <f>_xll.EQNXTDZ($A$1,$B72,N$5,$B$1)</f>
        <v>0</v>
      </c>
      <c r="O72" s="54">
        <f>_xll.EQNXTDZ($A$1,$B72,O$5,$B$1)</f>
        <v>224.4</v>
      </c>
      <c r="P72" s="54">
        <f>_xll.EQNXTDZ($A$1,$B72,P$5,$B$1)</f>
        <v>0</v>
      </c>
      <c r="Q72" s="54">
        <f>_xll.EQNXTDZ($A$1,$B72,Q$5,$B$1)</f>
        <v>227.16</v>
      </c>
      <c r="R72" s="54">
        <f>_xll.EQNXTDZ($A$1,$B72,R$5,$B$1)</f>
        <v>0</v>
      </c>
      <c r="S72" s="54">
        <f>_xll.EQNXTDZ($A$1,$B72,S$5,$B$1)</f>
        <v>227.53</v>
      </c>
      <c r="T72" s="54">
        <f>_xll.EQNXTDZ($A$1,$B72,T$5,$B$1)</f>
        <v>0</v>
      </c>
      <c r="U72" s="54">
        <f>_xll.EQNXTDZ($A$1,$B72,U$5,$B$1)</f>
        <v>226.05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</v>
      </c>
      <c r="W74" s="54">
        <f>_xll.EQNXTDZ($A$1,$B74,W$5,$B$1)</f>
        <v>16.940000000000001</v>
      </c>
      <c r="X74" s="54">
        <f>_xll.EQNXTDZ($A$1,$B74,X$5,$B$1)</f>
        <v>0</v>
      </c>
      <c r="Y74" s="54">
        <f>_xll.EQNXTDZ($A$1,$B74,Y$5,$B$1)</f>
        <v>2.0699999999999998</v>
      </c>
      <c r="Z74" s="54">
        <f>_xll.EQNXTDZ($A$1,$B74,Z$5,$B$1)</f>
        <v>0</v>
      </c>
      <c r="AA74" s="54">
        <f>_xll.EQNXTDZ($A$1,$B74,AA$5,$B$1)</f>
        <v>16.29</v>
      </c>
      <c r="AB74" s="54">
        <f>_xll.EQNXTDZ($A$1,$B74,AB$5,$B$1)</f>
        <v>0</v>
      </c>
      <c r="AC74" s="54">
        <f>_xll.EQNXTDZ($A$1,$B74,AC$5,$B$1)</f>
        <v>4.45</v>
      </c>
      <c r="AD74" s="54">
        <f>_xll.EQNXTDZ($A$1,$B74,AD$5,$B$1)</f>
        <v>0</v>
      </c>
      <c r="AE74" s="54">
        <f>_xll.EQNXTDZ($A$1,$B74,AE$5,$B$1)</f>
        <v>21.97</v>
      </c>
      <c r="AF74" s="54">
        <f>_xll.EQNXTDZ($A$1,$B74,AF$5,$B$1)</f>
        <v>0</v>
      </c>
      <c r="AG74" s="54">
        <f>_xll.EQNXTDZ($A$1,$B74,AG$5,$B$1)</f>
        <v>8.2899999999999991</v>
      </c>
      <c r="AH74" s="54">
        <f>_xll.EQNXTDZ($A$1,$B74,AH$5,$B$1)</f>
        <v>0</v>
      </c>
      <c r="AI74" s="54">
        <f>_xll.EQNXTDZ($A$1,$B74,AI$5,$B$1)</f>
        <v>24.51</v>
      </c>
      <c r="AJ74" s="54">
        <f>_xll.EQNXTDZ($A$1,$B74,AJ$5,$B$1)</f>
        <v>0</v>
      </c>
      <c r="AK74" s="54">
        <f>_xll.EQNXTDZ($A$1,$B74,AK$5,$B$1)</f>
        <v>16.5</v>
      </c>
      <c r="AL74" s="54">
        <f>_xll.EQNXTDZ($A$1,$B74,AL$5,$B$1)</f>
        <v>0</v>
      </c>
      <c r="AM74" s="54">
        <f>_xll.EQNXTDZ($A$1,$B74,AM$5,$B$1)</f>
        <v>25.21</v>
      </c>
      <c r="AN74" s="54">
        <f>_xll.EQNXTDZ($A$1,$B74,AN$5,$B$1)</f>
        <v>0</v>
      </c>
      <c r="AO74" s="54">
        <f>_xll.EQNXTDZ($A$1,$B74,AO$5,$B$1)</f>
        <v>42.91</v>
      </c>
      <c r="AP74" s="54">
        <f>_xll.EQNXTDZ($A$1,$B74,AP$5,$B$1)</f>
        <v>0</v>
      </c>
      <c r="AQ74" s="54">
        <f>_xll.EQNXTDZ($A$1,$B74,AQ$5,$B$1)</f>
        <v>47.54</v>
      </c>
      <c r="AR74" s="54">
        <f>_xll.EQNXTDZ($A$1,$B74,AR$5,$B$1)</f>
        <v>0</v>
      </c>
      <c r="AS74" s="54">
        <f>_xll.EQNXTDZ($A$1,$B74,AS$5,$B$1)</f>
        <v>35.03</v>
      </c>
      <c r="AT74" s="54">
        <f>_xll.EQNXTDZ($A$1,$B74,AT$5,$B$1)</f>
        <v>0</v>
      </c>
      <c r="AU74" s="54">
        <f>_xll.EQNXTDZ($A$1,$B74,AU$5,$B$1)</f>
        <v>112.43</v>
      </c>
      <c r="AV74" s="54">
        <f>_xll.EQNXTDZ($A$1,$B74,AV$5,$B$1)</f>
        <v>0</v>
      </c>
      <c r="AW74" s="54">
        <f>_xll.EQNXTDZ($A$1,$B74,AW$5,$B$1)</f>
        <v>131.12</v>
      </c>
      <c r="AX74" s="54">
        <f>_xll.EQNXTDZ($A$1,$B74,AX$5,$B$1)</f>
        <v>0</v>
      </c>
      <c r="AY74" s="54">
        <f>_xll.EQNXTDZ($A$1,$B74,AY$5,$B$1)</f>
        <v>30.37</v>
      </c>
      <c r="AZ74" s="54">
        <f>_xll.EQNXTDZ($A$1,$B74,AZ$5,$B$1)</f>
        <v>0</v>
      </c>
      <c r="BA74" s="54">
        <f>_xll.EQNXTDZ($A$1,$B74,BA$5,$B$1)</f>
        <v>40.29</v>
      </c>
      <c r="BB74" s="54">
        <f>_xll.EQNXTDZ($A$1,$B74,BB$5,$B$1)</f>
        <v>0</v>
      </c>
      <c r="BC74" s="54">
        <f>_xll.EQNXTDZ($A$1,$B74,BC$5,$B$1)</f>
        <v>31.21</v>
      </c>
      <c r="BD74" s="54">
        <f>_xll.EQNXTDZ($A$1,$B74,BD$5,$B$1)</f>
        <v>0</v>
      </c>
      <c r="BE74" s="54">
        <f>_xll.EQNXTDZ($A$1,$B74,BE$5,$B$1)</f>
        <v>34.57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0.01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0</v>
      </c>
      <c r="BB77" s="54">
        <f>_xll.EQNXTDZ($A$1,$B77,BB$5,$B$1)</f>
        <v>0</v>
      </c>
      <c r="BC77" s="54">
        <f>_xll.EQNXTDZ($A$1,$B77,BC$5,$B$1)</f>
        <v>0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9.16</v>
      </c>
      <c r="D78" s="54">
        <f>_xll.EQNXTDZ($A$1,$B78,D$5,$B$1)</f>
        <v>0</v>
      </c>
      <c r="E78" s="54">
        <f>_xll.EQNXTDZ($A$1,$B78,E$5,$B$1)</f>
        <v>11.55</v>
      </c>
      <c r="F78" s="54">
        <f>_xll.EQNXTDZ($A$1,$B78,F$5,$B$1)</f>
        <v>0</v>
      </c>
      <c r="G78" s="54">
        <f>_xll.EQNXTDZ($A$1,$B78,G$5,$B$1)</f>
        <v>13.23</v>
      </c>
      <c r="H78" s="54">
        <f>_xll.EQNXTDZ($A$1,$B78,H$5,$B$1)</f>
        <v>0</v>
      </c>
      <c r="I78" s="54">
        <f>_xll.EQNXTDZ($A$1,$B78,I$5,$B$1)</f>
        <v>16.760000000000002</v>
      </c>
      <c r="J78" s="54">
        <f>_xll.EQNXTDZ($A$1,$B78,J$5,$B$1)</f>
        <v>0</v>
      </c>
      <c r="K78" s="54">
        <f>_xll.EQNXTDZ($A$1,$B78,K$5,$B$1)</f>
        <v>25.63</v>
      </c>
      <c r="L78" s="54">
        <f>_xll.EQNXTDZ($A$1,$B78,L$5,$B$1)</f>
        <v>0</v>
      </c>
      <c r="M78" s="54">
        <f>_xll.EQNXTDZ($A$1,$B78,M$5,$B$1)</f>
        <v>25.15</v>
      </c>
      <c r="N78" s="54">
        <f>_xll.EQNXTDZ($A$1,$B78,N$5,$B$1)</f>
        <v>0</v>
      </c>
      <c r="O78" s="54">
        <f>_xll.EQNXTDZ($A$1,$B78,O$5,$B$1)</f>
        <v>30.24</v>
      </c>
      <c r="P78" s="54">
        <f>_xll.EQNXTDZ($A$1,$B78,P$5,$B$1)</f>
        <v>0</v>
      </c>
      <c r="Q78" s="54">
        <f>_xll.EQNXTDZ($A$1,$B78,Q$5,$B$1)</f>
        <v>40.06</v>
      </c>
      <c r="R78" s="54">
        <f>_xll.EQNXTDZ($A$1,$B78,R$5,$B$1)</f>
        <v>0</v>
      </c>
      <c r="S78" s="54">
        <f>_xll.EQNXTDZ($A$1,$B78,S$5,$B$1)</f>
        <v>42.41</v>
      </c>
      <c r="T78" s="54">
        <f>_xll.EQNXTDZ($A$1,$B78,T$5,$B$1)</f>
        <v>0</v>
      </c>
      <c r="U78" s="54">
        <f>_xll.EQNXTDZ($A$1,$B78,U$5,$B$1)</f>
        <v>42.41</v>
      </c>
      <c r="V78" s="54">
        <f>_xll.EQNXTDZ($A$1,$B78,V$5,$B$1)</f>
        <v>0</v>
      </c>
      <c r="W78" s="54">
        <f>_xll.EQNXTDZ($A$1,$B78,W$5,$B$1)</f>
        <v>8.56</v>
      </c>
      <c r="X78" s="54">
        <f>_xll.EQNXTDZ($A$1,$B78,X$5,$B$1)</f>
        <v>0</v>
      </c>
      <c r="Y78" s="54">
        <f>_xll.EQNXTDZ($A$1,$B78,Y$5,$B$1)</f>
        <v>9.19</v>
      </c>
      <c r="Z78" s="54">
        <f>_xll.EQNXTDZ($A$1,$B78,Z$5,$B$1)</f>
        <v>0</v>
      </c>
      <c r="AA78" s="54">
        <f>_xll.EQNXTDZ($A$1,$B78,AA$5,$B$1)</f>
        <v>8.68</v>
      </c>
      <c r="AB78" s="54">
        <f>_xll.EQNXTDZ($A$1,$B78,AB$5,$B$1)</f>
        <v>0</v>
      </c>
      <c r="AC78" s="54">
        <f>_xll.EQNXTDZ($A$1,$B78,AC$5,$B$1)</f>
        <v>9.18</v>
      </c>
      <c r="AD78" s="54">
        <f>_xll.EQNXTDZ($A$1,$B78,AD$5,$B$1)</f>
        <v>0</v>
      </c>
      <c r="AE78" s="54">
        <f>_xll.EQNXTDZ($A$1,$B78,AE$5,$B$1)</f>
        <v>8.43</v>
      </c>
      <c r="AF78" s="54">
        <f>_xll.EQNXTDZ($A$1,$B78,AF$5,$B$1)</f>
        <v>0</v>
      </c>
      <c r="AG78" s="54">
        <f>_xll.EQNXTDZ($A$1,$B78,AG$5,$B$1)</f>
        <v>10.130000000000001</v>
      </c>
      <c r="AH78" s="54">
        <f>_xll.EQNXTDZ($A$1,$B78,AH$5,$B$1)</f>
        <v>0</v>
      </c>
      <c r="AI78" s="54">
        <f>_xll.EQNXTDZ($A$1,$B78,AI$5,$B$1)</f>
        <v>9.69</v>
      </c>
      <c r="AJ78" s="54">
        <f>_xll.EQNXTDZ($A$1,$B78,AJ$5,$B$1)</f>
        <v>0</v>
      </c>
      <c r="AK78" s="54">
        <f>_xll.EQNXTDZ($A$1,$B78,AK$5,$B$1)</f>
        <v>10.65</v>
      </c>
      <c r="AL78" s="54">
        <f>_xll.EQNXTDZ($A$1,$B78,AL$5,$B$1)</f>
        <v>0</v>
      </c>
      <c r="AM78" s="54">
        <f>_xll.EQNXTDZ($A$1,$B78,AM$5,$B$1)</f>
        <v>11.79</v>
      </c>
      <c r="AN78" s="54">
        <f>_xll.EQNXTDZ($A$1,$B78,AN$5,$B$1)</f>
        <v>0</v>
      </c>
      <c r="AO78" s="54">
        <f>_xll.EQNXTDZ($A$1,$B78,AO$5,$B$1)</f>
        <v>0.31</v>
      </c>
      <c r="AP78" s="54">
        <f>_xll.EQNXTDZ($A$1,$B78,AP$5,$B$1)</f>
        <v>0</v>
      </c>
      <c r="AQ78" s="54">
        <f>_xll.EQNXTDZ($A$1,$B78,AQ$5,$B$1)</f>
        <v>0.14000000000000001</v>
      </c>
      <c r="AR78" s="54">
        <f>_xll.EQNXTDZ($A$1,$B78,AR$5,$B$1)</f>
        <v>0</v>
      </c>
      <c r="AS78" s="54">
        <f>_xll.EQNXTDZ($A$1,$B78,AS$5,$B$1)</f>
        <v>0.06</v>
      </c>
      <c r="AT78" s="54">
        <f>_xll.EQNXTDZ($A$1,$B78,AT$5,$B$1)</f>
        <v>0</v>
      </c>
      <c r="AU78" s="54">
        <f>_xll.EQNXTDZ($A$1,$B78,AU$5,$B$1)</f>
        <v>0.14000000000000001</v>
      </c>
      <c r="AV78" s="54">
        <f>_xll.EQNXTDZ($A$1,$B78,AV$5,$B$1)</f>
        <v>0</v>
      </c>
      <c r="AW78" s="54">
        <f>_xll.EQNXTDZ($A$1,$B78,AW$5,$B$1)</f>
        <v>0.31</v>
      </c>
      <c r="AX78" s="54">
        <f>_xll.EQNXTDZ($A$1,$B78,AX$5,$B$1)</f>
        <v>0</v>
      </c>
      <c r="AY78" s="54">
        <f>_xll.EQNXTDZ($A$1,$B78,AY$5,$B$1)</f>
        <v>0.1</v>
      </c>
      <c r="AZ78" s="54">
        <f>_xll.EQNXTDZ($A$1,$B78,AZ$5,$B$1)</f>
        <v>0</v>
      </c>
      <c r="BA78" s="54">
        <f>_xll.EQNXTDZ($A$1,$B78,BA$5,$B$1)</f>
        <v>0.12</v>
      </c>
      <c r="BB78" s="54">
        <f>_xll.EQNXTDZ($A$1,$B78,BB$5,$B$1)</f>
        <v>0</v>
      </c>
      <c r="BC78" s="54">
        <f>_xll.EQNXTDZ($A$1,$B78,BC$5,$B$1)</f>
        <v>0.14000000000000001</v>
      </c>
      <c r="BD78" s="54">
        <f>_xll.EQNXTDZ($A$1,$B78,BD$5,$B$1)</f>
        <v>0</v>
      </c>
      <c r="BE78" s="54">
        <f>_xll.EQNXTDZ($A$1,$B78,BE$5,$B$1)</f>
        <v>0.05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2.91</v>
      </c>
      <c r="D79" s="54">
        <f>_xll.EQNXTDZ($A$1,$B79,D$5,$B$1)</f>
        <v>0</v>
      </c>
      <c r="E79" s="54">
        <f>_xll.EQNXTDZ($A$1,$B79,E$5,$B$1)</f>
        <v>4.3099999999999996</v>
      </c>
      <c r="F79" s="54">
        <f>_xll.EQNXTDZ($A$1,$B79,F$5,$B$1)</f>
        <v>0</v>
      </c>
      <c r="G79" s="54">
        <f>_xll.EQNXTDZ($A$1,$B79,G$5,$B$1)</f>
        <v>4.1100000000000003</v>
      </c>
      <c r="H79" s="54">
        <f>_xll.EQNXTDZ($A$1,$B79,H$5,$B$1)</f>
        <v>0</v>
      </c>
      <c r="I79" s="54">
        <f>_xll.EQNXTDZ($A$1,$B79,I$5,$B$1)</f>
        <v>4.28</v>
      </c>
      <c r="J79" s="54">
        <f>_xll.EQNXTDZ($A$1,$B79,J$5,$B$1)</f>
        <v>0</v>
      </c>
      <c r="K79" s="54">
        <f>_xll.EQNXTDZ($A$1,$B79,K$5,$B$1)</f>
        <v>0.04</v>
      </c>
      <c r="L79" s="54">
        <f>_xll.EQNXTDZ($A$1,$B79,L$5,$B$1)</f>
        <v>0</v>
      </c>
      <c r="M79" s="54">
        <f>_xll.EQNXTDZ($A$1,$B79,M$5,$B$1)</f>
        <v>0.28000000000000003</v>
      </c>
      <c r="N79" s="54">
        <f>_xll.EQNXTDZ($A$1,$B79,N$5,$B$1)</f>
        <v>0</v>
      </c>
      <c r="O79" s="54">
        <f>_xll.EQNXTDZ($A$1,$B79,O$5,$B$1)</f>
        <v>0.04</v>
      </c>
      <c r="P79" s="54">
        <f>_xll.EQNXTDZ($A$1,$B79,P$5,$B$1)</f>
        <v>0</v>
      </c>
      <c r="Q79" s="54">
        <f>_xll.EQNXTDZ($A$1,$B79,Q$5,$B$1)</f>
        <v>0.16</v>
      </c>
      <c r="R79" s="54">
        <f>_xll.EQNXTDZ($A$1,$B79,R$5,$B$1)</f>
        <v>0</v>
      </c>
      <c r="S79" s="54">
        <f>_xll.EQNXTDZ($A$1,$B79,S$5,$B$1)</f>
        <v>0.05</v>
      </c>
      <c r="T79" s="54">
        <f>_xll.EQNXTDZ($A$1,$B79,T$5,$B$1)</f>
        <v>0</v>
      </c>
      <c r="U79" s="54">
        <f>_xll.EQNXTDZ($A$1,$B79,U$5,$B$1)</f>
        <v>0.04</v>
      </c>
      <c r="V79" s="54">
        <f>_xll.EQNXTDZ($A$1,$B79,V$5,$B$1)</f>
        <v>0</v>
      </c>
      <c r="W79" s="54">
        <f>_xll.EQNXTDZ($A$1,$B79,W$5,$B$1)</f>
        <v>26.14</v>
      </c>
      <c r="X79" s="54">
        <f>_xll.EQNXTDZ($A$1,$B79,X$5,$B$1)</f>
        <v>0</v>
      </c>
      <c r="Y79" s="54">
        <f>_xll.EQNXTDZ($A$1,$B79,Y$5,$B$1)</f>
        <v>33.46</v>
      </c>
      <c r="Z79" s="54">
        <f>_xll.EQNXTDZ($A$1,$B79,Z$5,$B$1)</f>
        <v>0</v>
      </c>
      <c r="AA79" s="54">
        <f>_xll.EQNXTDZ($A$1,$B79,AA$5,$B$1)</f>
        <v>27.55</v>
      </c>
      <c r="AB79" s="54">
        <f>_xll.EQNXTDZ($A$1,$B79,AB$5,$B$1)</f>
        <v>0</v>
      </c>
      <c r="AC79" s="54">
        <f>_xll.EQNXTDZ($A$1,$B79,AC$5,$B$1)</f>
        <v>26.2</v>
      </c>
      <c r="AD79" s="54">
        <f>_xll.EQNXTDZ($A$1,$B79,AD$5,$B$1)</f>
        <v>0</v>
      </c>
      <c r="AE79" s="54">
        <f>_xll.EQNXTDZ($A$1,$B79,AE$5,$B$1)</f>
        <v>30.95</v>
      </c>
      <c r="AF79" s="54">
        <f>_xll.EQNXTDZ($A$1,$B79,AF$5,$B$1)</f>
        <v>0</v>
      </c>
      <c r="AG79" s="54">
        <f>_xll.EQNXTDZ($A$1,$B79,AG$5,$B$1)</f>
        <v>60.43</v>
      </c>
      <c r="AH79" s="54">
        <f>_xll.EQNXTDZ($A$1,$B79,AH$5,$B$1)</f>
        <v>0</v>
      </c>
      <c r="AI79" s="54">
        <f>_xll.EQNXTDZ($A$1,$B79,AI$5,$B$1)</f>
        <v>116.35</v>
      </c>
      <c r="AJ79" s="54">
        <f>_xll.EQNXTDZ($A$1,$B79,AJ$5,$B$1)</f>
        <v>0</v>
      </c>
      <c r="AK79" s="54">
        <f>_xll.EQNXTDZ($A$1,$B79,AK$5,$B$1)</f>
        <v>152.11000000000001</v>
      </c>
      <c r="AL79" s="54">
        <f>_xll.EQNXTDZ($A$1,$B79,AL$5,$B$1)</f>
        <v>0</v>
      </c>
      <c r="AM79" s="54">
        <f>_xll.EQNXTDZ($A$1,$B79,AM$5,$B$1)</f>
        <v>181.36</v>
      </c>
      <c r="AN79" s="54">
        <f>_xll.EQNXTDZ($A$1,$B79,AN$5,$B$1)</f>
        <v>0</v>
      </c>
      <c r="AO79" s="54">
        <f>_xll.EQNXTDZ($A$1,$B79,AO$5,$B$1)</f>
        <v>198.4</v>
      </c>
      <c r="AP79" s="54">
        <f>_xll.EQNXTDZ($A$1,$B79,AP$5,$B$1)</f>
        <v>0</v>
      </c>
      <c r="AQ79" s="54">
        <f>_xll.EQNXTDZ($A$1,$B79,AQ$5,$B$1)</f>
        <v>124.99</v>
      </c>
      <c r="AR79" s="54">
        <f>_xll.EQNXTDZ($A$1,$B79,AR$5,$B$1)</f>
        <v>0</v>
      </c>
      <c r="AS79" s="54">
        <f>_xll.EQNXTDZ($A$1,$B79,AS$5,$B$1)</f>
        <v>210.82</v>
      </c>
      <c r="AT79" s="54">
        <f>_xll.EQNXTDZ($A$1,$B79,AT$5,$B$1)</f>
        <v>0</v>
      </c>
      <c r="AU79" s="54">
        <f>_xll.EQNXTDZ($A$1,$B79,AU$5,$B$1)</f>
        <v>159.52000000000001</v>
      </c>
      <c r="AV79" s="54">
        <f>_xll.EQNXTDZ($A$1,$B79,AV$5,$B$1)</f>
        <v>0</v>
      </c>
      <c r="AW79" s="54">
        <f>_xll.EQNXTDZ($A$1,$B79,AW$5,$B$1)</f>
        <v>179.48</v>
      </c>
      <c r="AX79" s="54">
        <f>_xll.EQNXTDZ($A$1,$B79,AX$5,$B$1)</f>
        <v>0</v>
      </c>
      <c r="AY79" s="54">
        <f>_xll.EQNXTDZ($A$1,$B79,AY$5,$B$1)</f>
        <v>181.47</v>
      </c>
      <c r="AZ79" s="54">
        <f>_xll.EQNXTDZ($A$1,$B79,AZ$5,$B$1)</f>
        <v>0</v>
      </c>
      <c r="BA79" s="54">
        <f>_xll.EQNXTDZ($A$1,$B79,BA$5,$B$1)</f>
        <v>167.32</v>
      </c>
      <c r="BB79" s="54">
        <f>_xll.EQNXTDZ($A$1,$B79,BB$5,$B$1)</f>
        <v>0</v>
      </c>
      <c r="BC79" s="54">
        <f>_xll.EQNXTDZ($A$1,$B79,BC$5,$B$1)</f>
        <v>121.58</v>
      </c>
      <c r="BD79" s="54">
        <f>_xll.EQNXTDZ($A$1,$B79,BD$5,$B$1)</f>
        <v>0</v>
      </c>
      <c r="BE79" s="54">
        <f>_xll.EQNXTDZ($A$1,$B79,BE$5,$B$1)</f>
        <v>121.78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83.81</v>
      </c>
      <c r="D80" s="54">
        <f>_xll.EQNXTDZ($A$1,$B80,D$5,$B$1)</f>
        <v>0</v>
      </c>
      <c r="E80" s="54">
        <f>_xll.EQNXTDZ($A$1,$B80,E$5,$B$1)</f>
        <v>60.38</v>
      </c>
      <c r="F80" s="54">
        <f>_xll.EQNXTDZ($A$1,$B80,F$5,$B$1)</f>
        <v>0</v>
      </c>
      <c r="G80" s="54">
        <f>_xll.EQNXTDZ($A$1,$B80,G$5,$B$1)</f>
        <v>50.99</v>
      </c>
      <c r="H80" s="54">
        <f>_xll.EQNXTDZ($A$1,$B80,H$5,$B$1)</f>
        <v>0</v>
      </c>
      <c r="I80" s="54">
        <f>_xll.EQNXTDZ($A$1,$B80,I$5,$B$1)</f>
        <v>54.79</v>
      </c>
      <c r="J80" s="54">
        <f>_xll.EQNXTDZ($A$1,$B80,J$5,$B$1)</f>
        <v>0</v>
      </c>
      <c r="K80" s="54">
        <f>_xll.EQNXTDZ($A$1,$B80,K$5,$B$1)</f>
        <v>62.36</v>
      </c>
      <c r="L80" s="54">
        <f>_xll.EQNXTDZ($A$1,$B80,L$5,$B$1)</f>
        <v>0</v>
      </c>
      <c r="M80" s="54">
        <f>_xll.EQNXTDZ($A$1,$B80,M$5,$B$1)</f>
        <v>186.34</v>
      </c>
      <c r="N80" s="54">
        <f>_xll.EQNXTDZ($A$1,$B80,N$5,$B$1)</f>
        <v>0</v>
      </c>
      <c r="O80" s="54">
        <f>_xll.EQNXTDZ($A$1,$B80,O$5,$B$1)</f>
        <v>148.38</v>
      </c>
      <c r="P80" s="54">
        <f>_xll.EQNXTDZ($A$1,$B80,P$5,$B$1)</f>
        <v>0</v>
      </c>
      <c r="Q80" s="54">
        <f>_xll.EQNXTDZ($A$1,$B80,Q$5,$B$1)</f>
        <v>206.62</v>
      </c>
      <c r="R80" s="54">
        <f>_xll.EQNXTDZ($A$1,$B80,R$5,$B$1)</f>
        <v>0</v>
      </c>
      <c r="S80" s="54">
        <f>_xll.EQNXTDZ($A$1,$B80,S$5,$B$1)</f>
        <v>184.58</v>
      </c>
      <c r="T80" s="54">
        <f>_xll.EQNXTDZ($A$1,$B80,T$5,$B$1)</f>
        <v>0</v>
      </c>
      <c r="U80" s="54">
        <f>_xll.EQNXTDZ($A$1,$B80,U$5,$B$1)</f>
        <v>195.02</v>
      </c>
      <c r="V80" s="54">
        <f>_xll.EQNXTDZ($A$1,$B80,V$5,$B$1)</f>
        <v>0</v>
      </c>
      <c r="W80" s="54">
        <f>_xll.EQNXTDZ($A$1,$B80,W$5,$B$1)</f>
        <v>172.72</v>
      </c>
      <c r="X80" s="54">
        <f>_xll.EQNXTDZ($A$1,$B80,X$5,$B$1)</f>
        <v>0</v>
      </c>
      <c r="Y80" s="54">
        <f>_xll.EQNXTDZ($A$1,$B80,Y$5,$B$1)</f>
        <v>137.5</v>
      </c>
      <c r="Z80" s="54">
        <f>_xll.EQNXTDZ($A$1,$B80,Z$5,$B$1)</f>
        <v>0</v>
      </c>
      <c r="AA80" s="54">
        <f>_xll.EQNXTDZ($A$1,$B80,AA$5,$B$1)</f>
        <v>69.13</v>
      </c>
      <c r="AB80" s="54">
        <f>_xll.EQNXTDZ($A$1,$B80,AB$5,$B$1)</f>
        <v>0</v>
      </c>
      <c r="AC80" s="54">
        <f>_xll.EQNXTDZ($A$1,$B80,AC$5,$B$1)</f>
        <v>21.12</v>
      </c>
      <c r="AD80" s="54">
        <f>_xll.EQNXTDZ($A$1,$B80,AD$5,$B$1)</f>
        <v>0</v>
      </c>
      <c r="AE80" s="54">
        <f>_xll.EQNXTDZ($A$1,$B80,AE$5,$B$1)</f>
        <v>63.96</v>
      </c>
      <c r="AF80" s="54">
        <f>_xll.EQNXTDZ($A$1,$B80,AF$5,$B$1)</f>
        <v>0</v>
      </c>
      <c r="AG80" s="54">
        <f>_xll.EQNXTDZ($A$1,$B80,AG$5,$B$1)</f>
        <v>60.81</v>
      </c>
      <c r="AH80" s="54">
        <f>_xll.EQNXTDZ($A$1,$B80,AH$5,$B$1)</f>
        <v>0</v>
      </c>
      <c r="AI80" s="54">
        <f>_xll.EQNXTDZ($A$1,$B80,AI$5,$B$1)</f>
        <v>23.05</v>
      </c>
      <c r="AJ80" s="54">
        <f>_xll.EQNXTDZ($A$1,$B80,AJ$5,$B$1)</f>
        <v>0</v>
      </c>
      <c r="AK80" s="54">
        <f>_xll.EQNXTDZ($A$1,$B80,AK$5,$B$1)</f>
        <v>18.350000000000001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0.62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79.73</v>
      </c>
      <c r="AX80" s="54">
        <f>_xll.EQNXTDZ($A$1,$B80,AX$5,$B$1)</f>
        <v>0</v>
      </c>
      <c r="AY80" s="54">
        <f>_xll.EQNXTDZ($A$1,$B80,AY$5,$B$1)</f>
        <v>90.39</v>
      </c>
      <c r="AZ80" s="54">
        <f>_xll.EQNXTDZ($A$1,$B80,AZ$5,$B$1)</f>
        <v>0</v>
      </c>
      <c r="BA80" s="54">
        <f>_xll.EQNXTDZ($A$1,$B80,BA$5,$B$1)</f>
        <v>151.47</v>
      </c>
      <c r="BB80" s="54">
        <f>_xll.EQNXTDZ($A$1,$B80,BB$5,$B$1)</f>
        <v>0</v>
      </c>
      <c r="BC80" s="54">
        <f>_xll.EQNXTDZ($A$1,$B80,BC$5,$B$1)</f>
        <v>125.03</v>
      </c>
      <c r="BD80" s="54">
        <f>_xll.EQNXTDZ($A$1,$B80,BD$5,$B$1)</f>
        <v>0</v>
      </c>
      <c r="BE80" s="54">
        <f>_xll.EQNXTDZ($A$1,$B80,BE$5,$B$1)</f>
        <v>194.3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96.85</v>
      </c>
      <c r="D81" s="54">
        <f>_xll.EQNXTDZ($A$1,$B81,D$5,$B$1)</f>
        <v>0</v>
      </c>
      <c r="E81" s="54">
        <f>_xll.EQNXTDZ($A$1,$B81,E$5,$B$1)</f>
        <v>88.62</v>
      </c>
      <c r="F81" s="54">
        <f>_xll.EQNXTDZ($A$1,$B81,F$5,$B$1)</f>
        <v>0</v>
      </c>
      <c r="G81" s="54">
        <f>_xll.EQNXTDZ($A$1,$B81,G$5,$B$1)</f>
        <v>112.26</v>
      </c>
      <c r="H81" s="54">
        <f>_xll.EQNXTDZ($A$1,$B81,H$5,$B$1)</f>
        <v>0</v>
      </c>
      <c r="I81" s="54">
        <f>_xll.EQNXTDZ($A$1,$B81,I$5,$B$1)</f>
        <v>93.48</v>
      </c>
      <c r="J81" s="54">
        <f>_xll.EQNXTDZ($A$1,$B81,J$5,$B$1)</f>
        <v>0</v>
      </c>
      <c r="K81" s="54">
        <f>_xll.EQNXTDZ($A$1,$B81,K$5,$B$1)</f>
        <v>117.5</v>
      </c>
      <c r="L81" s="54">
        <f>_xll.EQNXTDZ($A$1,$B81,L$5,$B$1)</f>
        <v>0</v>
      </c>
      <c r="M81" s="54">
        <f>_xll.EQNXTDZ($A$1,$B81,M$5,$B$1)</f>
        <v>98.25</v>
      </c>
      <c r="N81" s="54">
        <f>_xll.EQNXTDZ($A$1,$B81,N$5,$B$1)</f>
        <v>0</v>
      </c>
      <c r="O81" s="54">
        <f>_xll.EQNXTDZ($A$1,$B81,O$5,$B$1)</f>
        <v>220.25</v>
      </c>
      <c r="P81" s="54">
        <f>_xll.EQNXTDZ($A$1,$B81,P$5,$B$1)</f>
        <v>0</v>
      </c>
      <c r="Q81" s="54">
        <f>_xll.EQNXTDZ($A$1,$B81,Q$5,$B$1)</f>
        <v>156.07</v>
      </c>
      <c r="R81" s="54">
        <f>_xll.EQNXTDZ($A$1,$B81,R$5,$B$1)</f>
        <v>0</v>
      </c>
      <c r="S81" s="54">
        <f>_xll.EQNXTDZ($A$1,$B81,S$5,$B$1)</f>
        <v>201.48</v>
      </c>
      <c r="T81" s="54">
        <f>_xll.EQNXTDZ($A$1,$B81,T$5,$B$1)</f>
        <v>0</v>
      </c>
      <c r="U81" s="54">
        <f>_xll.EQNXTDZ($A$1,$B81,U$5,$B$1)</f>
        <v>182.5</v>
      </c>
      <c r="V81" s="54">
        <f>_xll.EQNXTDZ($A$1,$B81,V$5,$B$1)</f>
        <v>0</v>
      </c>
      <c r="W81" s="54">
        <f>_xll.EQNXTDZ($A$1,$B81,W$5,$B$1)</f>
        <v>232.23</v>
      </c>
      <c r="X81" s="54">
        <f>_xll.EQNXTDZ($A$1,$B81,X$5,$B$1)</f>
        <v>0</v>
      </c>
      <c r="Y81" s="54">
        <f>_xll.EQNXTDZ($A$1,$B81,Y$5,$B$1)</f>
        <v>191.87</v>
      </c>
      <c r="Z81" s="54">
        <f>_xll.EQNXTDZ($A$1,$B81,Z$5,$B$1)</f>
        <v>0</v>
      </c>
      <c r="AA81" s="54">
        <f>_xll.EQNXTDZ($A$1,$B81,AA$5,$B$1)</f>
        <v>237.08</v>
      </c>
      <c r="AB81" s="54">
        <f>_xll.EQNXTDZ($A$1,$B81,AB$5,$B$1)</f>
        <v>0</v>
      </c>
      <c r="AC81" s="54">
        <f>_xll.EQNXTDZ($A$1,$B81,AC$5,$B$1)</f>
        <v>212.23</v>
      </c>
      <c r="AD81" s="54">
        <f>_xll.EQNXTDZ($A$1,$B81,AD$5,$B$1)</f>
        <v>0</v>
      </c>
      <c r="AE81" s="54">
        <f>_xll.EQNXTDZ($A$1,$B81,AE$5,$B$1)</f>
        <v>267.94</v>
      </c>
      <c r="AF81" s="54">
        <f>_xll.EQNXTDZ($A$1,$B81,AF$5,$B$1)</f>
        <v>0</v>
      </c>
      <c r="AG81" s="54">
        <f>_xll.EQNXTDZ($A$1,$B81,AG$5,$B$1)</f>
        <v>181.86</v>
      </c>
      <c r="AH81" s="54">
        <f>_xll.EQNXTDZ($A$1,$B81,AH$5,$B$1)</f>
        <v>0</v>
      </c>
      <c r="AI81" s="54">
        <f>_xll.EQNXTDZ($A$1,$B81,AI$5,$B$1)</f>
        <v>310.62</v>
      </c>
      <c r="AJ81" s="54">
        <f>_xll.EQNXTDZ($A$1,$B81,AJ$5,$B$1)</f>
        <v>0</v>
      </c>
      <c r="AK81" s="54">
        <f>_xll.EQNXTDZ($A$1,$B81,AK$5,$B$1)</f>
        <v>228.78</v>
      </c>
      <c r="AL81" s="54">
        <f>_xll.EQNXTDZ($A$1,$B81,AL$5,$B$1)</f>
        <v>0</v>
      </c>
      <c r="AM81" s="54">
        <f>_xll.EQNXTDZ($A$1,$B81,AM$5,$B$1)</f>
        <v>380.05</v>
      </c>
      <c r="AN81" s="54">
        <f>_xll.EQNXTDZ($A$1,$B81,AN$5,$B$1)</f>
        <v>0</v>
      </c>
      <c r="AO81" s="54">
        <f>_xll.EQNXTDZ($A$1,$B81,AO$5,$B$1)</f>
        <v>347.5</v>
      </c>
      <c r="AP81" s="54">
        <f>_xll.EQNXTDZ($A$1,$B81,AP$5,$B$1)</f>
        <v>0</v>
      </c>
      <c r="AQ81" s="54">
        <f>_xll.EQNXTDZ($A$1,$B81,AQ$5,$B$1)</f>
        <v>446.03</v>
      </c>
      <c r="AR81" s="54">
        <f>_xll.EQNXTDZ($A$1,$B81,AR$5,$B$1)</f>
        <v>0</v>
      </c>
      <c r="AS81" s="54">
        <f>_xll.EQNXTDZ($A$1,$B81,AS$5,$B$1)</f>
        <v>297.99</v>
      </c>
      <c r="AT81" s="54">
        <f>_xll.EQNXTDZ($A$1,$B81,AT$5,$B$1)</f>
        <v>0</v>
      </c>
      <c r="AU81" s="54">
        <f>_xll.EQNXTDZ($A$1,$B81,AU$5,$B$1)</f>
        <v>319.2</v>
      </c>
      <c r="AV81" s="54">
        <f>_xll.EQNXTDZ($A$1,$B81,AV$5,$B$1)</f>
        <v>0</v>
      </c>
      <c r="AW81" s="54">
        <f>_xll.EQNXTDZ($A$1,$B81,AW$5,$B$1)</f>
        <v>269.89</v>
      </c>
      <c r="AX81" s="54">
        <f>_xll.EQNXTDZ($A$1,$B81,AX$5,$B$1)</f>
        <v>0</v>
      </c>
      <c r="AY81" s="54">
        <f>_xll.EQNXTDZ($A$1,$B81,AY$5,$B$1)</f>
        <v>328.88</v>
      </c>
      <c r="AZ81" s="54">
        <f>_xll.EQNXTDZ($A$1,$B81,AZ$5,$B$1)</f>
        <v>0</v>
      </c>
      <c r="BA81" s="54">
        <f>_xll.EQNXTDZ($A$1,$B81,BA$5,$B$1)</f>
        <v>250.22</v>
      </c>
      <c r="BB81" s="54">
        <f>_xll.EQNXTDZ($A$1,$B81,BB$5,$B$1)</f>
        <v>0</v>
      </c>
      <c r="BC81" s="54">
        <f>_xll.EQNXTDZ($A$1,$B81,BC$5,$B$1)</f>
        <v>310.66000000000003</v>
      </c>
      <c r="BD81" s="54">
        <f>_xll.EQNXTDZ($A$1,$B81,BD$5,$B$1)</f>
        <v>0</v>
      </c>
      <c r="BE81" s="54">
        <f>_xll.EQNXTDZ($A$1,$B81,BE$5,$B$1)</f>
        <v>205.69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145.16999999999999</v>
      </c>
      <c r="D82" s="54">
        <f>_xll.EQNXTDZ($A$1,$B82,D$5,$B$1)</f>
        <v>0</v>
      </c>
      <c r="E82" s="54">
        <f>_xll.EQNXTDZ($A$1,$B82,E$5,$B$1)</f>
        <v>158.87</v>
      </c>
      <c r="F82" s="54">
        <f>_xll.EQNXTDZ($A$1,$B82,F$5,$B$1)</f>
        <v>0</v>
      </c>
      <c r="G82" s="54">
        <f>_xll.EQNXTDZ($A$1,$B82,G$5,$B$1)</f>
        <v>194.25</v>
      </c>
      <c r="H82" s="54">
        <f>_xll.EQNXTDZ($A$1,$B82,H$5,$B$1)</f>
        <v>0</v>
      </c>
      <c r="I82" s="54">
        <f>_xll.EQNXTDZ($A$1,$B82,I$5,$B$1)</f>
        <v>208.69</v>
      </c>
      <c r="J82" s="54">
        <f>_xll.EQNXTDZ($A$1,$B82,J$5,$B$1)</f>
        <v>0</v>
      </c>
      <c r="K82" s="54">
        <f>_xll.EQNXTDZ($A$1,$B82,K$5,$B$1)</f>
        <v>213.13</v>
      </c>
      <c r="L82" s="54">
        <f>_xll.EQNXTDZ($A$1,$B82,L$5,$B$1)</f>
        <v>0</v>
      </c>
      <c r="M82" s="54">
        <f>_xll.EQNXTDZ($A$1,$B82,M$5,$B$1)</f>
        <v>245.78</v>
      </c>
      <c r="N82" s="54">
        <f>_xll.EQNXTDZ($A$1,$B82,N$5,$B$1)</f>
        <v>0</v>
      </c>
      <c r="O82" s="54">
        <f>_xll.EQNXTDZ($A$1,$B82,O$5,$B$1)</f>
        <v>420.73</v>
      </c>
      <c r="P82" s="54">
        <f>_xll.EQNXTDZ($A$1,$B82,P$5,$B$1)</f>
        <v>0</v>
      </c>
      <c r="Q82" s="54">
        <f>_xll.EQNXTDZ($A$1,$B82,Q$5,$B$1)</f>
        <v>418.87</v>
      </c>
      <c r="R82" s="54">
        <f>_xll.EQNXTDZ($A$1,$B82,R$5,$B$1)</f>
        <v>0</v>
      </c>
      <c r="S82" s="54">
        <f>_xll.EQNXTDZ($A$1,$B82,S$5,$B$1)</f>
        <v>490.66</v>
      </c>
      <c r="T82" s="54">
        <f>_xll.EQNXTDZ($A$1,$B82,T$5,$B$1)</f>
        <v>0</v>
      </c>
      <c r="U82" s="54">
        <f>_xll.EQNXTDZ($A$1,$B82,U$5,$B$1)</f>
        <v>462.79</v>
      </c>
      <c r="V82" s="54">
        <f>_xll.EQNXTDZ($A$1,$B82,V$5,$B$1)</f>
        <v>0</v>
      </c>
      <c r="W82" s="54">
        <f>_xll.EQNXTDZ($A$1,$B82,W$5,$B$1)</f>
        <v>442.91</v>
      </c>
      <c r="X82" s="54">
        <f>_xll.EQNXTDZ($A$1,$B82,X$5,$B$1)</f>
        <v>0</v>
      </c>
      <c r="Y82" s="54">
        <f>_xll.EQNXTDZ($A$1,$B82,Y$5,$B$1)</f>
        <v>526.52</v>
      </c>
      <c r="Z82" s="54">
        <f>_xll.EQNXTDZ($A$1,$B82,Z$5,$B$1)</f>
        <v>0</v>
      </c>
      <c r="AA82" s="54">
        <f>_xll.EQNXTDZ($A$1,$B82,AA$5,$B$1)</f>
        <v>563.74</v>
      </c>
      <c r="AB82" s="54">
        <f>_xll.EQNXTDZ($A$1,$B82,AB$5,$B$1)</f>
        <v>0</v>
      </c>
      <c r="AC82" s="54">
        <f>_xll.EQNXTDZ($A$1,$B82,AC$5,$B$1)</f>
        <v>570.19000000000005</v>
      </c>
      <c r="AD82" s="54">
        <f>_xll.EQNXTDZ($A$1,$B82,AD$5,$B$1)</f>
        <v>0</v>
      </c>
      <c r="AE82" s="54">
        <f>_xll.EQNXTDZ($A$1,$B82,AE$5,$B$1)</f>
        <v>633.41</v>
      </c>
      <c r="AF82" s="54">
        <f>_xll.EQNXTDZ($A$1,$B82,AF$5,$B$1)</f>
        <v>0</v>
      </c>
      <c r="AG82" s="54">
        <f>_xll.EQNXTDZ($A$1,$B82,AG$5,$B$1)</f>
        <v>618.47</v>
      </c>
      <c r="AH82" s="54">
        <f>_xll.EQNXTDZ($A$1,$B82,AH$5,$B$1)</f>
        <v>0</v>
      </c>
      <c r="AI82" s="54">
        <f>_xll.EQNXTDZ($A$1,$B82,AI$5,$B$1)</f>
        <v>627.19000000000005</v>
      </c>
      <c r="AJ82" s="54">
        <f>_xll.EQNXTDZ($A$1,$B82,AJ$5,$B$1)</f>
        <v>0</v>
      </c>
      <c r="AK82" s="54">
        <f>_xll.EQNXTDZ($A$1,$B82,AK$5,$B$1)</f>
        <v>533.79999999999995</v>
      </c>
      <c r="AL82" s="54">
        <f>_xll.EQNXTDZ($A$1,$B82,AL$5,$B$1)</f>
        <v>0</v>
      </c>
      <c r="AM82" s="54">
        <f>_xll.EQNXTDZ($A$1,$B82,AM$5,$B$1)</f>
        <v>596</v>
      </c>
      <c r="AN82" s="54">
        <f>_xll.EQNXTDZ($A$1,$B82,AN$5,$B$1)</f>
        <v>0</v>
      </c>
      <c r="AO82" s="54">
        <f>_xll.EQNXTDZ($A$1,$B82,AO$5,$B$1)</f>
        <v>629.49</v>
      </c>
      <c r="AP82" s="54">
        <f>_xll.EQNXTDZ($A$1,$B82,AP$5,$B$1)</f>
        <v>0</v>
      </c>
      <c r="AQ82" s="54">
        <f>_xll.EQNXTDZ($A$1,$B82,AQ$5,$B$1)</f>
        <v>774.19</v>
      </c>
      <c r="AR82" s="54">
        <f>_xll.EQNXTDZ($A$1,$B82,AR$5,$B$1)</f>
        <v>0</v>
      </c>
      <c r="AS82" s="54">
        <f>_xll.EQNXTDZ($A$1,$B82,AS$5,$B$1)</f>
        <v>658.7</v>
      </c>
      <c r="AT82" s="54">
        <f>_xll.EQNXTDZ($A$1,$B82,AT$5,$B$1)</f>
        <v>0</v>
      </c>
      <c r="AU82" s="54">
        <f>_xll.EQNXTDZ($A$1,$B82,AU$5,$B$1)</f>
        <v>597.05999999999995</v>
      </c>
      <c r="AV82" s="54">
        <f>_xll.EQNXTDZ($A$1,$B82,AV$5,$B$1)</f>
        <v>0</v>
      </c>
      <c r="AW82" s="54">
        <f>_xll.EQNXTDZ($A$1,$B82,AW$5,$B$1)</f>
        <v>551</v>
      </c>
      <c r="AX82" s="54">
        <f>_xll.EQNXTDZ($A$1,$B82,AX$5,$B$1)</f>
        <v>0</v>
      </c>
      <c r="AY82" s="54">
        <f>_xll.EQNXTDZ($A$1,$B82,AY$5,$B$1)</f>
        <v>583.83000000000004</v>
      </c>
      <c r="AZ82" s="54">
        <f>_xll.EQNXTDZ($A$1,$B82,AZ$5,$B$1)</f>
        <v>0</v>
      </c>
      <c r="BA82" s="54">
        <f>_xll.EQNXTDZ($A$1,$B82,BA$5,$B$1)</f>
        <v>570.39</v>
      </c>
      <c r="BB82" s="54">
        <f>_xll.EQNXTDZ($A$1,$B82,BB$5,$B$1)</f>
        <v>0</v>
      </c>
      <c r="BC82" s="54">
        <f>_xll.EQNXTDZ($A$1,$B82,BC$5,$B$1)</f>
        <v>602.5</v>
      </c>
      <c r="BD82" s="54">
        <f>_xll.EQNXTDZ($A$1,$B82,BD$5,$B$1)</f>
        <v>0</v>
      </c>
      <c r="BE82" s="54">
        <f>_xll.EQNXTDZ($A$1,$B82,BE$5,$B$1)</f>
        <v>553.72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1.75</v>
      </c>
      <c r="D83" s="54">
        <f>_xll.EQNXTDZ($A$1,$B83,D$5,$B$1)</f>
        <v>0</v>
      </c>
      <c r="E83" s="54">
        <f>_xll.EQNXTDZ($A$1,$B83,E$5,$B$1)</f>
        <v>14.76</v>
      </c>
      <c r="F83" s="54">
        <f>_xll.EQNXTDZ($A$1,$B83,F$5,$B$1)</f>
        <v>0</v>
      </c>
      <c r="G83" s="54">
        <f>_xll.EQNXTDZ($A$1,$B83,G$5,$B$1)</f>
        <v>3.37</v>
      </c>
      <c r="H83" s="54">
        <f>_xll.EQNXTDZ($A$1,$B83,H$5,$B$1)</f>
        <v>0</v>
      </c>
      <c r="I83" s="54">
        <f>_xll.EQNXTDZ($A$1,$B83,I$5,$B$1)</f>
        <v>15.8</v>
      </c>
      <c r="J83" s="54">
        <f>_xll.EQNXTDZ($A$1,$B83,J$5,$B$1)</f>
        <v>0</v>
      </c>
      <c r="K83" s="54">
        <f>_xll.EQNXTDZ($A$1,$B83,K$5,$B$1)</f>
        <v>2.73</v>
      </c>
      <c r="L83" s="54">
        <f>_xll.EQNXTDZ($A$1,$B83,L$5,$B$1)</f>
        <v>0</v>
      </c>
      <c r="M83" s="54">
        <f>_xll.EQNXTDZ($A$1,$B83,M$5,$B$1)</f>
        <v>11.65</v>
      </c>
      <c r="N83" s="54">
        <f>_xll.EQNXTDZ($A$1,$B83,N$5,$B$1)</f>
        <v>0</v>
      </c>
      <c r="O83" s="54">
        <f>_xll.EQNXTDZ($A$1,$B83,O$5,$B$1)</f>
        <v>18.73</v>
      </c>
      <c r="P83" s="54">
        <f>_xll.EQNXTDZ($A$1,$B83,P$5,$B$1)</f>
        <v>0</v>
      </c>
      <c r="Q83" s="54">
        <f>_xll.EQNXTDZ($A$1,$B83,Q$5,$B$1)</f>
        <v>15.37</v>
      </c>
      <c r="R83" s="54">
        <f>_xll.EQNXTDZ($A$1,$B83,R$5,$B$1)</f>
        <v>0</v>
      </c>
      <c r="S83" s="54">
        <f>_xll.EQNXTDZ($A$1,$B83,S$5,$B$1)</f>
        <v>11.9</v>
      </c>
      <c r="T83" s="54">
        <f>_xll.EQNXTDZ($A$1,$B83,T$5,$B$1)</f>
        <v>0</v>
      </c>
      <c r="U83" s="54">
        <f>_xll.EQNXTDZ($A$1,$B83,U$5,$B$1)</f>
        <v>31.1</v>
      </c>
      <c r="V83" s="54">
        <f>_xll.EQNXTDZ($A$1,$B83,V$5,$B$1)</f>
        <v>0</v>
      </c>
      <c r="W83" s="54">
        <f>_xll.EQNXTDZ($A$1,$B83,W$5,$B$1)</f>
        <v>27.01</v>
      </c>
      <c r="X83" s="54">
        <f>_xll.EQNXTDZ($A$1,$B83,X$5,$B$1)</f>
        <v>0</v>
      </c>
      <c r="Y83" s="54">
        <f>_xll.EQNXTDZ($A$1,$B83,Y$5,$B$1)</f>
        <v>44.69</v>
      </c>
      <c r="Z83" s="54">
        <f>_xll.EQNXTDZ($A$1,$B83,Z$5,$B$1)</f>
        <v>0</v>
      </c>
      <c r="AA83" s="54">
        <f>_xll.EQNXTDZ($A$1,$B83,AA$5,$B$1)</f>
        <v>38.659999999999997</v>
      </c>
      <c r="AB83" s="54">
        <f>_xll.EQNXTDZ($A$1,$B83,AB$5,$B$1)</f>
        <v>0</v>
      </c>
      <c r="AC83" s="54">
        <f>_xll.EQNXTDZ($A$1,$B83,AC$5,$B$1)</f>
        <v>47.76</v>
      </c>
      <c r="AD83" s="54">
        <f>_xll.EQNXTDZ($A$1,$B83,AD$5,$B$1)</f>
        <v>0</v>
      </c>
      <c r="AE83" s="54">
        <f>_xll.EQNXTDZ($A$1,$B83,AE$5,$B$1)</f>
        <v>57.76</v>
      </c>
      <c r="AF83" s="54">
        <f>_xll.EQNXTDZ($A$1,$B83,AF$5,$B$1)</f>
        <v>0</v>
      </c>
      <c r="AG83" s="54">
        <f>_xll.EQNXTDZ($A$1,$B83,AG$5,$B$1)</f>
        <v>44.61</v>
      </c>
      <c r="AH83" s="54">
        <f>_xll.EQNXTDZ($A$1,$B83,AH$5,$B$1)</f>
        <v>0</v>
      </c>
      <c r="AI83" s="54">
        <f>_xll.EQNXTDZ($A$1,$B83,AI$5,$B$1)</f>
        <v>17.09</v>
      </c>
      <c r="AJ83" s="54">
        <f>_xll.EQNXTDZ($A$1,$B83,AJ$5,$B$1)</f>
        <v>0</v>
      </c>
      <c r="AK83" s="54">
        <f>_xll.EQNXTDZ($A$1,$B83,AK$5,$B$1)</f>
        <v>67.11</v>
      </c>
      <c r="AL83" s="54">
        <f>_xll.EQNXTDZ($A$1,$B83,AL$5,$B$1)</f>
        <v>0</v>
      </c>
      <c r="AM83" s="54">
        <f>_xll.EQNXTDZ($A$1,$B83,AM$5,$B$1)</f>
        <v>58.75</v>
      </c>
      <c r="AN83" s="54">
        <f>_xll.EQNXTDZ($A$1,$B83,AN$5,$B$1)</f>
        <v>0</v>
      </c>
      <c r="AO83" s="54">
        <f>_xll.EQNXTDZ($A$1,$B83,AO$5,$B$1)</f>
        <v>32.19</v>
      </c>
      <c r="AP83" s="54">
        <f>_xll.EQNXTDZ($A$1,$B83,AP$5,$B$1)</f>
        <v>0</v>
      </c>
      <c r="AQ83" s="54">
        <f>_xll.EQNXTDZ($A$1,$B83,AQ$5,$B$1)</f>
        <v>13.82</v>
      </c>
      <c r="AR83" s="54">
        <f>_xll.EQNXTDZ($A$1,$B83,AR$5,$B$1)</f>
        <v>0</v>
      </c>
      <c r="AS83" s="54">
        <f>_xll.EQNXTDZ($A$1,$B83,AS$5,$B$1)</f>
        <v>43.18</v>
      </c>
      <c r="AT83" s="54">
        <f>_xll.EQNXTDZ($A$1,$B83,AT$5,$B$1)</f>
        <v>0</v>
      </c>
      <c r="AU83" s="54">
        <f>_xll.EQNXTDZ($A$1,$B83,AU$5,$B$1)</f>
        <v>51.57</v>
      </c>
      <c r="AV83" s="54">
        <f>_xll.EQNXTDZ($A$1,$B83,AV$5,$B$1)</f>
        <v>0</v>
      </c>
      <c r="AW83" s="54">
        <f>_xll.EQNXTDZ($A$1,$B83,AW$5,$B$1)</f>
        <v>312.04000000000002</v>
      </c>
      <c r="AX83" s="54">
        <f>_xll.EQNXTDZ($A$1,$B83,AX$5,$B$1)</f>
        <v>0</v>
      </c>
      <c r="AY83" s="54">
        <f>_xll.EQNXTDZ($A$1,$B83,AY$5,$B$1)</f>
        <v>229.28</v>
      </c>
      <c r="AZ83" s="54">
        <f>_xll.EQNXTDZ($A$1,$B83,AZ$5,$B$1)</f>
        <v>0</v>
      </c>
      <c r="BA83" s="54">
        <f>_xll.EQNXTDZ($A$1,$B83,BA$5,$B$1)</f>
        <v>175.99</v>
      </c>
      <c r="BB83" s="54">
        <f>_xll.EQNXTDZ($A$1,$B83,BB$5,$B$1)</f>
        <v>0</v>
      </c>
      <c r="BC83" s="54">
        <f>_xll.EQNXTDZ($A$1,$B83,BC$5,$B$1)</f>
        <v>155.74</v>
      </c>
      <c r="BD83" s="54">
        <f>_xll.EQNXTDZ($A$1,$B83,BD$5,$B$1)</f>
        <v>0</v>
      </c>
      <c r="BE83" s="54">
        <f>_xll.EQNXTDZ($A$1,$B83,BE$5,$B$1)</f>
        <v>298.93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9.1999999999999993</v>
      </c>
      <c r="D84" s="54">
        <f>_xll.EQNXTDZ($A$1,$B84,D$5,$B$1)</f>
        <v>0</v>
      </c>
      <c r="E84" s="54">
        <f>_xll.EQNXTDZ($A$1,$B84,E$5,$B$1)</f>
        <v>9.43</v>
      </c>
      <c r="F84" s="54">
        <f>_xll.EQNXTDZ($A$1,$B84,F$5,$B$1)</f>
        <v>0</v>
      </c>
      <c r="G84" s="54">
        <f>_xll.EQNXTDZ($A$1,$B84,G$5,$B$1)</f>
        <v>15.1</v>
      </c>
      <c r="H84" s="54">
        <f>_xll.EQNXTDZ($A$1,$B84,H$5,$B$1)</f>
        <v>0</v>
      </c>
      <c r="I84" s="54">
        <f>_xll.EQNXTDZ($A$1,$B84,I$5,$B$1)</f>
        <v>13.84</v>
      </c>
      <c r="J84" s="54">
        <f>_xll.EQNXTDZ($A$1,$B84,J$5,$B$1)</f>
        <v>0</v>
      </c>
      <c r="K84" s="54">
        <f>_xll.EQNXTDZ($A$1,$B84,K$5,$B$1)</f>
        <v>12.07</v>
      </c>
      <c r="L84" s="54">
        <f>_xll.EQNXTDZ($A$1,$B84,L$5,$B$1)</f>
        <v>0</v>
      </c>
      <c r="M84" s="54">
        <f>_xll.EQNXTDZ($A$1,$B84,M$5,$B$1)</f>
        <v>15.3</v>
      </c>
      <c r="N84" s="54">
        <f>_xll.EQNXTDZ($A$1,$B84,N$5,$B$1)</f>
        <v>0</v>
      </c>
      <c r="O84" s="54">
        <f>_xll.EQNXTDZ($A$1,$B84,O$5,$B$1)</f>
        <v>41.3</v>
      </c>
      <c r="P84" s="54">
        <f>_xll.EQNXTDZ($A$1,$B84,P$5,$B$1)</f>
        <v>0</v>
      </c>
      <c r="Q84" s="54">
        <f>_xll.EQNXTDZ($A$1,$B84,Q$5,$B$1)</f>
        <v>32.75</v>
      </c>
      <c r="R84" s="54">
        <f>_xll.EQNXTDZ($A$1,$B84,R$5,$B$1)</f>
        <v>0</v>
      </c>
      <c r="S84" s="54">
        <f>_xll.EQNXTDZ($A$1,$B84,S$5,$B$1)</f>
        <v>29.22</v>
      </c>
      <c r="T84" s="54">
        <f>_xll.EQNXTDZ($A$1,$B84,T$5,$B$1)</f>
        <v>0</v>
      </c>
      <c r="U84" s="54">
        <f>_xll.EQNXTDZ($A$1,$B84,U$5,$B$1)</f>
        <v>28.73</v>
      </c>
      <c r="V84" s="54">
        <f>_xll.EQNXTDZ($A$1,$B84,V$5,$B$1)</f>
        <v>0</v>
      </c>
      <c r="W84" s="54">
        <f>_xll.EQNXTDZ($A$1,$B84,W$5,$B$1)</f>
        <v>56.58</v>
      </c>
      <c r="X84" s="54">
        <f>_xll.EQNXTDZ($A$1,$B84,X$5,$B$1)</f>
        <v>0</v>
      </c>
      <c r="Y84" s="54">
        <f>_xll.EQNXTDZ($A$1,$B84,Y$5,$B$1)</f>
        <v>41.1</v>
      </c>
      <c r="Z84" s="54">
        <f>_xll.EQNXTDZ($A$1,$B84,Z$5,$B$1)</f>
        <v>0</v>
      </c>
      <c r="AA84" s="54">
        <f>_xll.EQNXTDZ($A$1,$B84,AA$5,$B$1)</f>
        <v>50.88</v>
      </c>
      <c r="AB84" s="54">
        <f>_xll.EQNXTDZ($A$1,$B84,AB$5,$B$1)</f>
        <v>0</v>
      </c>
      <c r="AC84" s="54">
        <f>_xll.EQNXTDZ($A$1,$B84,AC$5,$B$1)</f>
        <v>35.380000000000003</v>
      </c>
      <c r="AD84" s="54">
        <f>_xll.EQNXTDZ($A$1,$B84,AD$5,$B$1)</f>
        <v>0</v>
      </c>
      <c r="AE84" s="54">
        <f>_xll.EQNXTDZ($A$1,$B84,AE$5,$B$1)</f>
        <v>46.82</v>
      </c>
      <c r="AF84" s="54">
        <f>_xll.EQNXTDZ($A$1,$B84,AF$5,$B$1)</f>
        <v>0</v>
      </c>
      <c r="AG84" s="54">
        <f>_xll.EQNXTDZ($A$1,$B84,AG$5,$B$1)</f>
        <v>35.06</v>
      </c>
      <c r="AH84" s="54">
        <f>_xll.EQNXTDZ($A$1,$B84,AH$5,$B$1)</f>
        <v>0</v>
      </c>
      <c r="AI84" s="54">
        <f>_xll.EQNXTDZ($A$1,$B84,AI$5,$B$1)</f>
        <v>62.24</v>
      </c>
      <c r="AJ84" s="54">
        <f>_xll.EQNXTDZ($A$1,$B84,AJ$5,$B$1)</f>
        <v>0</v>
      </c>
      <c r="AK84" s="54">
        <f>_xll.EQNXTDZ($A$1,$B84,AK$5,$B$1)</f>
        <v>63.98</v>
      </c>
      <c r="AL84" s="54">
        <f>_xll.EQNXTDZ($A$1,$B84,AL$5,$B$1)</f>
        <v>0</v>
      </c>
      <c r="AM84" s="54">
        <f>_xll.EQNXTDZ($A$1,$B84,AM$5,$B$1)</f>
        <v>89.34</v>
      </c>
      <c r="AN84" s="54">
        <f>_xll.EQNXTDZ($A$1,$B84,AN$5,$B$1)</f>
        <v>0</v>
      </c>
      <c r="AO84" s="54">
        <f>_xll.EQNXTDZ($A$1,$B84,AO$5,$B$1)</f>
        <v>89.55</v>
      </c>
      <c r="AP84" s="54">
        <f>_xll.EQNXTDZ($A$1,$B84,AP$5,$B$1)</f>
        <v>0</v>
      </c>
      <c r="AQ84" s="54">
        <f>_xll.EQNXTDZ($A$1,$B84,AQ$5,$B$1)</f>
        <v>95.31</v>
      </c>
      <c r="AR84" s="54">
        <f>_xll.EQNXTDZ($A$1,$B84,AR$5,$B$1)</f>
        <v>0</v>
      </c>
      <c r="AS84" s="54">
        <f>_xll.EQNXTDZ($A$1,$B84,AS$5,$B$1)</f>
        <v>61.59</v>
      </c>
      <c r="AT84" s="54">
        <f>_xll.EQNXTDZ($A$1,$B84,AT$5,$B$1)</f>
        <v>0</v>
      </c>
      <c r="AU84" s="54">
        <f>_xll.EQNXTDZ($A$1,$B84,AU$5,$B$1)</f>
        <v>75.989999999999995</v>
      </c>
      <c r="AV84" s="54">
        <f>_xll.EQNXTDZ($A$1,$B84,AV$5,$B$1)</f>
        <v>0</v>
      </c>
      <c r="AW84" s="54">
        <f>_xll.EQNXTDZ($A$1,$B84,AW$5,$B$1)</f>
        <v>47.31</v>
      </c>
      <c r="AX84" s="54">
        <f>_xll.EQNXTDZ($A$1,$B84,AX$5,$B$1)</f>
        <v>0</v>
      </c>
      <c r="AY84" s="54">
        <f>_xll.EQNXTDZ($A$1,$B84,AY$5,$B$1)</f>
        <v>56.88</v>
      </c>
      <c r="AZ84" s="54">
        <f>_xll.EQNXTDZ($A$1,$B84,AZ$5,$B$1)</f>
        <v>0</v>
      </c>
      <c r="BA84" s="54">
        <f>_xll.EQNXTDZ($A$1,$B84,BA$5,$B$1)</f>
        <v>41.18</v>
      </c>
      <c r="BB84" s="54">
        <f>_xll.EQNXTDZ($A$1,$B84,BB$5,$B$1)</f>
        <v>0</v>
      </c>
      <c r="BC84" s="54">
        <f>_xll.EQNXTDZ($A$1,$B84,BC$5,$B$1)</f>
        <v>66.540000000000006</v>
      </c>
      <c r="BD84" s="54">
        <f>_xll.EQNXTDZ($A$1,$B84,BD$5,$B$1)</f>
        <v>0</v>
      </c>
      <c r="BE84" s="54">
        <f>_xll.EQNXTDZ($A$1,$B84,BE$5,$B$1)</f>
        <v>47.61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13.47</v>
      </c>
      <c r="D85" s="54">
        <f>_xll.EQNXTDZ($A$1,$B85,D$5,$B$1)</f>
        <v>0</v>
      </c>
      <c r="E85" s="54">
        <f>_xll.EQNXTDZ($A$1,$B85,E$5,$B$1)</f>
        <v>8.5399999999999991</v>
      </c>
      <c r="F85" s="54">
        <f>_xll.EQNXTDZ($A$1,$B85,F$5,$B$1)</f>
        <v>0</v>
      </c>
      <c r="G85" s="54">
        <f>_xll.EQNXTDZ($A$1,$B85,G$5,$B$1)</f>
        <v>15.58</v>
      </c>
      <c r="H85" s="54">
        <f>_xll.EQNXTDZ($A$1,$B85,H$5,$B$1)</f>
        <v>0</v>
      </c>
      <c r="I85" s="54">
        <f>_xll.EQNXTDZ($A$1,$B85,I$5,$B$1)</f>
        <v>12.06</v>
      </c>
      <c r="J85" s="54">
        <f>_xll.EQNXTDZ($A$1,$B85,J$5,$B$1)</f>
        <v>0</v>
      </c>
      <c r="K85" s="54">
        <f>_xll.EQNXTDZ($A$1,$B85,K$5,$B$1)</f>
        <v>17.36</v>
      </c>
      <c r="L85" s="54">
        <f>_xll.EQNXTDZ($A$1,$B85,L$5,$B$1)</f>
        <v>0</v>
      </c>
      <c r="M85" s="54">
        <f>_xll.EQNXTDZ($A$1,$B85,M$5,$B$1)</f>
        <v>16.14</v>
      </c>
      <c r="N85" s="54">
        <f>_xll.EQNXTDZ($A$1,$B85,N$5,$B$1)</f>
        <v>0</v>
      </c>
      <c r="O85" s="54">
        <f>_xll.EQNXTDZ($A$1,$B85,O$5,$B$1)</f>
        <v>53.88</v>
      </c>
      <c r="P85" s="54">
        <f>_xll.EQNXTDZ($A$1,$B85,P$5,$B$1)</f>
        <v>0</v>
      </c>
      <c r="Q85" s="54">
        <f>_xll.EQNXTDZ($A$1,$B85,Q$5,$B$1)</f>
        <v>20.65</v>
      </c>
      <c r="R85" s="54">
        <f>_xll.EQNXTDZ($A$1,$B85,R$5,$B$1)</f>
        <v>0</v>
      </c>
      <c r="S85" s="54">
        <f>_xll.EQNXTDZ($A$1,$B85,S$5,$B$1)</f>
        <v>27.93</v>
      </c>
      <c r="T85" s="54">
        <f>_xll.EQNXTDZ($A$1,$B85,T$5,$B$1)</f>
        <v>0</v>
      </c>
      <c r="U85" s="54">
        <f>_xll.EQNXTDZ($A$1,$B85,U$5,$B$1)</f>
        <v>21.82</v>
      </c>
      <c r="V85" s="54">
        <f>_xll.EQNXTDZ($A$1,$B85,V$5,$B$1)</f>
        <v>0</v>
      </c>
      <c r="W85" s="54">
        <f>_xll.EQNXTDZ($A$1,$B85,W$5,$B$1)</f>
        <v>2.38</v>
      </c>
      <c r="X85" s="54">
        <f>_xll.EQNXTDZ($A$1,$B85,X$5,$B$1)</f>
        <v>0</v>
      </c>
      <c r="Y85" s="54">
        <f>_xll.EQNXTDZ($A$1,$B85,Y$5,$B$1)</f>
        <v>0.99</v>
      </c>
      <c r="Z85" s="54">
        <f>_xll.EQNXTDZ($A$1,$B85,Z$5,$B$1)</f>
        <v>0</v>
      </c>
      <c r="AA85" s="54">
        <f>_xll.EQNXTDZ($A$1,$B85,AA$5,$B$1)</f>
        <v>3.26</v>
      </c>
      <c r="AB85" s="54">
        <f>_xll.EQNXTDZ($A$1,$B85,AB$5,$B$1)</f>
        <v>0</v>
      </c>
      <c r="AC85" s="54">
        <f>_xll.EQNXTDZ($A$1,$B85,AC$5,$B$1)</f>
        <v>1.82</v>
      </c>
      <c r="AD85" s="54">
        <f>_xll.EQNXTDZ($A$1,$B85,AD$5,$B$1)</f>
        <v>0</v>
      </c>
      <c r="AE85" s="54">
        <f>_xll.EQNXTDZ($A$1,$B85,AE$5,$B$1)</f>
        <v>6.36</v>
      </c>
      <c r="AF85" s="54">
        <f>_xll.EQNXTDZ($A$1,$B85,AF$5,$B$1)</f>
        <v>0</v>
      </c>
      <c r="AG85" s="54">
        <f>_xll.EQNXTDZ($A$1,$B85,AG$5,$B$1)</f>
        <v>1.73</v>
      </c>
      <c r="AH85" s="54">
        <f>_xll.EQNXTDZ($A$1,$B85,AH$5,$B$1)</f>
        <v>0</v>
      </c>
      <c r="AI85" s="54">
        <f>_xll.EQNXTDZ($A$1,$B85,AI$5,$B$1)</f>
        <v>6.77</v>
      </c>
      <c r="AJ85" s="54">
        <f>_xll.EQNXTDZ($A$1,$B85,AJ$5,$B$1)</f>
        <v>0</v>
      </c>
      <c r="AK85" s="54">
        <f>_xll.EQNXTDZ($A$1,$B85,AK$5,$B$1)</f>
        <v>1.73</v>
      </c>
      <c r="AL85" s="54">
        <f>_xll.EQNXTDZ($A$1,$B85,AL$5,$B$1)</f>
        <v>0</v>
      </c>
      <c r="AM85" s="54">
        <f>_xll.EQNXTDZ($A$1,$B85,AM$5,$B$1)</f>
        <v>0.75</v>
      </c>
      <c r="AN85" s="54">
        <f>_xll.EQNXTDZ($A$1,$B85,AN$5,$B$1)</f>
        <v>0</v>
      </c>
      <c r="AO85" s="54">
        <f>_xll.EQNXTDZ($A$1,$B85,AO$5,$B$1)</f>
        <v>0.83</v>
      </c>
      <c r="AP85" s="54">
        <f>_xll.EQNXTDZ($A$1,$B85,AP$5,$B$1)</f>
        <v>0</v>
      </c>
      <c r="AQ85" s="54">
        <f>_xll.EQNXTDZ($A$1,$B85,AQ$5,$B$1)</f>
        <v>0.75</v>
      </c>
      <c r="AR85" s="54">
        <f>_xll.EQNXTDZ($A$1,$B85,AR$5,$B$1)</f>
        <v>0</v>
      </c>
      <c r="AS85" s="54">
        <f>_xll.EQNXTDZ($A$1,$B85,AS$5,$B$1)</f>
        <v>0.84</v>
      </c>
      <c r="AT85" s="54">
        <f>_xll.EQNXTDZ($A$1,$B85,AT$5,$B$1)</f>
        <v>0</v>
      </c>
      <c r="AU85" s="54">
        <f>_xll.EQNXTDZ($A$1,$B85,AU$5,$B$1)</f>
        <v>0.94</v>
      </c>
      <c r="AV85" s="54">
        <f>_xll.EQNXTDZ($A$1,$B85,AV$5,$B$1)</f>
        <v>0</v>
      </c>
      <c r="AW85" s="54">
        <f>_xll.EQNXTDZ($A$1,$B85,AW$5,$B$1)</f>
        <v>0.47</v>
      </c>
      <c r="AX85" s="54">
        <f>_xll.EQNXTDZ($A$1,$B85,AX$5,$B$1)</f>
        <v>0</v>
      </c>
      <c r="AY85" s="54">
        <f>_xll.EQNXTDZ($A$1,$B85,AY$5,$B$1)</f>
        <v>0.75</v>
      </c>
      <c r="AZ85" s="54">
        <f>_xll.EQNXTDZ($A$1,$B85,AZ$5,$B$1)</f>
        <v>0</v>
      </c>
      <c r="BA85" s="54">
        <f>_xll.EQNXTDZ($A$1,$B85,BA$5,$B$1)</f>
        <v>0.44</v>
      </c>
      <c r="BB85" s="54">
        <f>_xll.EQNXTDZ($A$1,$B85,BB$5,$B$1)</f>
        <v>0</v>
      </c>
      <c r="BC85" s="54">
        <f>_xll.EQNXTDZ($A$1,$B85,BC$5,$B$1)</f>
        <v>0.44</v>
      </c>
      <c r="BD85" s="54">
        <f>_xll.EQNXTDZ($A$1,$B85,BD$5,$B$1)</f>
        <v>0</v>
      </c>
      <c r="BE85" s="54">
        <f>_xll.EQNXTDZ($A$1,$B85,BE$5,$B$1)</f>
        <v>0.53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350.25</v>
      </c>
      <c r="D86" s="54">
        <f>_xll.EQNXTDZ($A$1,$B86,D$5,$B$1)</f>
        <v>0</v>
      </c>
      <c r="E86" s="54">
        <f>_xll.EQNXTDZ($A$1,$B86,E$5,$B$1)</f>
        <v>340.6</v>
      </c>
      <c r="F86" s="54">
        <f>_xll.EQNXTDZ($A$1,$B86,F$5,$B$1)</f>
        <v>0</v>
      </c>
      <c r="G86" s="54">
        <f>_xll.EQNXTDZ($A$1,$B86,G$5,$B$1)</f>
        <v>391.55</v>
      </c>
      <c r="H86" s="54">
        <f>_xll.EQNXTDZ($A$1,$B86,H$5,$B$1)</f>
        <v>0</v>
      </c>
      <c r="I86" s="54">
        <f>_xll.EQNXTDZ($A$1,$B86,I$5,$B$1)</f>
        <v>398.66</v>
      </c>
      <c r="J86" s="54">
        <f>_xll.EQNXTDZ($A$1,$B86,J$5,$B$1)</f>
        <v>0</v>
      </c>
      <c r="K86" s="54">
        <f>_xll.EQNXTDZ($A$1,$B86,K$5,$B$1)</f>
        <v>425.15</v>
      </c>
      <c r="L86" s="54">
        <f>_xll.EQNXTDZ($A$1,$B86,L$5,$B$1)</f>
        <v>0</v>
      </c>
      <c r="M86" s="54">
        <f>_xll.EQNXTDZ($A$1,$B86,M$5,$B$1)</f>
        <v>573.46</v>
      </c>
      <c r="N86" s="54">
        <f>_xll.EQNXTDZ($A$1,$B86,N$5,$B$1)</f>
        <v>0</v>
      </c>
      <c r="O86" s="54">
        <f>_xll.EQNXTDZ($A$1,$B86,O$5,$B$1)</f>
        <v>903.27</v>
      </c>
      <c r="P86" s="54">
        <f>_xll.EQNXTDZ($A$1,$B86,P$5,$B$1)</f>
        <v>0</v>
      </c>
      <c r="Q86" s="54">
        <f>_xll.EQNXTDZ($A$1,$B86,Q$5,$B$1)</f>
        <v>850.33</v>
      </c>
      <c r="R86" s="54">
        <f>_xll.EQNXTDZ($A$1,$B86,R$5,$B$1)</f>
        <v>0</v>
      </c>
      <c r="S86" s="54">
        <f>_xll.EQNXTDZ($A$1,$B86,S$5,$B$1)</f>
        <v>945.77</v>
      </c>
      <c r="T86" s="54">
        <f>_xll.EQNXTDZ($A$1,$B86,T$5,$B$1)</f>
        <v>0</v>
      </c>
      <c r="U86" s="54">
        <f>_xll.EQNXTDZ($A$1,$B86,U$5,$B$1)</f>
        <v>921.96</v>
      </c>
      <c r="V86" s="54">
        <f>_xll.EQNXTDZ($A$1,$B86,V$5,$B$1)</f>
        <v>0</v>
      </c>
      <c r="W86" s="54">
        <f>_xll.EQNXTDZ($A$1,$B86,W$5,$B$1)</f>
        <v>933.83</v>
      </c>
      <c r="X86" s="54">
        <f>_xll.EQNXTDZ($A$1,$B86,X$5,$B$1)</f>
        <v>0</v>
      </c>
      <c r="Y86" s="54">
        <f>_xll.EQNXTDZ($A$1,$B86,Y$5,$B$1)</f>
        <v>942.67</v>
      </c>
      <c r="Z86" s="54">
        <f>_xll.EQNXTDZ($A$1,$B86,Z$5,$B$1)</f>
        <v>0</v>
      </c>
      <c r="AA86" s="54">
        <f>_xll.EQNXTDZ($A$1,$B86,AA$5,$B$1)</f>
        <v>962.75</v>
      </c>
      <c r="AB86" s="54">
        <f>_xll.EQNXTDZ($A$1,$B86,AB$5,$B$1)</f>
        <v>0</v>
      </c>
      <c r="AC86" s="54">
        <f>_xll.EQNXTDZ($A$1,$B86,AC$5,$B$1)</f>
        <v>888.5</v>
      </c>
      <c r="AD86" s="54">
        <f>_xll.EQNXTDZ($A$1,$B86,AD$5,$B$1)</f>
        <v>0</v>
      </c>
      <c r="AE86" s="54">
        <f>_xll.EQNXTDZ($A$1,$B86,AE$5,$B$1)</f>
        <v>1076.25</v>
      </c>
      <c r="AF86" s="54">
        <f>_xll.EQNXTDZ($A$1,$B86,AF$5,$B$1)</f>
        <v>0</v>
      </c>
      <c r="AG86" s="54">
        <f>_xll.EQNXTDZ($A$1,$B86,AG$5,$B$1)</f>
        <v>942.54</v>
      </c>
      <c r="AH86" s="54">
        <f>_xll.EQNXTDZ($A$1,$B86,AH$5,$B$1)</f>
        <v>0</v>
      </c>
      <c r="AI86" s="54">
        <f>_xll.EQNXTDZ($A$1,$B86,AI$5,$B$1)</f>
        <v>1046.96</v>
      </c>
      <c r="AJ86" s="54">
        <f>_xll.EQNXTDZ($A$1,$B86,AJ$5,$B$1)</f>
        <v>0</v>
      </c>
      <c r="AK86" s="54">
        <f>_xll.EQNXTDZ($A$1,$B86,AK$5,$B$1)</f>
        <v>913.75</v>
      </c>
      <c r="AL86" s="54">
        <f>_xll.EQNXTDZ($A$1,$B86,AL$5,$B$1)</f>
        <v>0</v>
      </c>
      <c r="AM86" s="54">
        <f>_xll.EQNXTDZ($A$1,$B86,AM$5,$B$1)</f>
        <v>1124.8900000000001</v>
      </c>
      <c r="AN86" s="54">
        <f>_xll.EQNXTDZ($A$1,$B86,AN$5,$B$1)</f>
        <v>0</v>
      </c>
      <c r="AO86" s="54">
        <f>_xll.EQNXTDZ($A$1,$B86,AO$5,$B$1)</f>
        <v>1100.18</v>
      </c>
      <c r="AP86" s="54">
        <f>_xll.EQNXTDZ($A$1,$B86,AP$5,$B$1)</f>
        <v>0</v>
      </c>
      <c r="AQ86" s="54">
        <f>_xll.EQNXTDZ($A$1,$B86,AQ$5,$B$1)</f>
        <v>1330.1</v>
      </c>
      <c r="AR86" s="54">
        <f>_xll.EQNXTDZ($A$1,$B86,AR$5,$B$1)</f>
        <v>0</v>
      </c>
      <c r="AS86" s="54">
        <f>_xll.EQNXTDZ($A$1,$B86,AS$5,$B$1)</f>
        <v>1062.3</v>
      </c>
      <c r="AT86" s="54">
        <f>_xll.EQNXTDZ($A$1,$B86,AT$5,$B$1)</f>
        <v>0</v>
      </c>
      <c r="AU86" s="54">
        <f>_xll.EQNXTDZ($A$1,$B86,AU$5,$B$1)</f>
        <v>1044.76</v>
      </c>
      <c r="AV86" s="54">
        <f>_xll.EQNXTDZ($A$1,$B86,AV$5,$B$1)</f>
        <v>0</v>
      </c>
      <c r="AW86" s="54">
        <f>_xll.EQNXTDZ($A$1,$B86,AW$5,$B$1)</f>
        <v>1260.44</v>
      </c>
      <c r="AX86" s="54">
        <f>_xll.EQNXTDZ($A$1,$B86,AX$5,$B$1)</f>
        <v>0</v>
      </c>
      <c r="AY86" s="54">
        <f>_xll.EQNXTDZ($A$1,$B86,AY$5,$B$1)</f>
        <v>1290.01</v>
      </c>
      <c r="AZ86" s="54">
        <f>_xll.EQNXTDZ($A$1,$B86,AZ$5,$B$1)</f>
        <v>0</v>
      </c>
      <c r="BA86" s="54">
        <f>_xll.EQNXTDZ($A$1,$B86,BA$5,$B$1)</f>
        <v>1189.69</v>
      </c>
      <c r="BB86" s="54">
        <f>_xll.EQNXTDZ($A$1,$B86,BB$5,$B$1)</f>
        <v>0</v>
      </c>
      <c r="BC86" s="54">
        <f>_xll.EQNXTDZ($A$1,$B86,BC$5,$B$1)</f>
        <v>1260.9100000000001</v>
      </c>
      <c r="BD86" s="54">
        <f>_xll.EQNXTDZ($A$1,$B86,BD$5,$B$1)</f>
        <v>0</v>
      </c>
      <c r="BE86" s="54">
        <f>_xll.EQNXTDZ($A$1,$B86,BE$5,$B$1)</f>
        <v>1300.78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155.71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187.75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1.83</v>
      </c>
      <c r="D88" s="54">
        <f>_xll.EQNXTDZ($A$1,$B88,D$5,$B$1)</f>
        <v>0</v>
      </c>
      <c r="E88" s="54">
        <f>_xll.EQNXTDZ($A$1,$B88,E$5,$B$1)</f>
        <v>14.06</v>
      </c>
      <c r="F88" s="54">
        <f>_xll.EQNXTDZ($A$1,$B88,F$5,$B$1)</f>
        <v>0</v>
      </c>
      <c r="G88" s="54">
        <f>_xll.EQNXTDZ($A$1,$B88,G$5,$B$1)</f>
        <v>11.51</v>
      </c>
      <c r="H88" s="54">
        <f>_xll.EQNXTDZ($A$1,$B88,H$5,$B$1)</f>
        <v>0</v>
      </c>
      <c r="I88" s="54">
        <f>_xll.EQNXTDZ($A$1,$B88,I$5,$B$1)</f>
        <v>0.59</v>
      </c>
      <c r="J88" s="54">
        <f>_xll.EQNXTDZ($A$1,$B88,J$5,$B$1)</f>
        <v>0</v>
      </c>
      <c r="K88" s="54">
        <f>_xll.EQNXTDZ($A$1,$B88,K$5,$B$1)</f>
        <v>10.86</v>
      </c>
      <c r="L88" s="54">
        <f>_xll.EQNXTDZ($A$1,$B88,L$5,$B$1)</f>
        <v>0</v>
      </c>
      <c r="M88" s="54">
        <f>_xll.EQNXTDZ($A$1,$B88,M$5,$B$1)</f>
        <v>2.3199999999999998</v>
      </c>
      <c r="N88" s="54">
        <f>_xll.EQNXTDZ($A$1,$B88,N$5,$B$1)</f>
        <v>0</v>
      </c>
      <c r="O88" s="54">
        <f>_xll.EQNXTDZ($A$1,$B88,O$5,$B$1)</f>
        <v>84.76</v>
      </c>
      <c r="P88" s="54">
        <f>_xll.EQNXTDZ($A$1,$B88,P$5,$B$1)</f>
        <v>0</v>
      </c>
      <c r="Q88" s="54">
        <f>_xll.EQNXTDZ($A$1,$B88,Q$5,$B$1)</f>
        <v>51.56</v>
      </c>
      <c r="R88" s="54">
        <f>_xll.EQNXTDZ($A$1,$B88,R$5,$B$1)</f>
        <v>0</v>
      </c>
      <c r="S88" s="54">
        <f>_xll.EQNXTDZ($A$1,$B88,S$5,$B$1)</f>
        <v>8.66</v>
      </c>
      <c r="T88" s="54">
        <f>_xll.EQNXTDZ($A$1,$B88,T$5,$B$1)</f>
        <v>0</v>
      </c>
      <c r="U88" s="54">
        <f>_xll.EQNXTDZ($A$1,$B88,U$5,$B$1)</f>
        <v>0.17</v>
      </c>
      <c r="V88" s="54">
        <f>_xll.EQNXTDZ($A$1,$B88,V$5,$B$1)</f>
        <v>0</v>
      </c>
      <c r="W88" s="54">
        <f>_xll.EQNXTDZ($A$1,$B88,W$5,$B$1)</f>
        <v>3.21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3.01</v>
      </c>
      <c r="AB88" s="54">
        <f>_xll.EQNXTDZ($A$1,$B88,AB$5,$B$1)</f>
        <v>0</v>
      </c>
      <c r="AC88" s="54">
        <f>_xll.EQNXTDZ($A$1,$B88,AC$5,$B$1)</f>
        <v>9.15</v>
      </c>
      <c r="AD88" s="54">
        <f>_xll.EQNXTDZ($A$1,$B88,AD$5,$B$1)</f>
        <v>0</v>
      </c>
      <c r="AE88" s="54">
        <f>_xll.EQNXTDZ($A$1,$B88,AE$5,$B$1)</f>
        <v>49.07</v>
      </c>
      <c r="AF88" s="54">
        <f>_xll.EQNXTDZ($A$1,$B88,AF$5,$B$1)</f>
        <v>0</v>
      </c>
      <c r="AG88" s="54">
        <f>_xll.EQNXTDZ($A$1,$B88,AG$5,$B$1)</f>
        <v>167.08</v>
      </c>
      <c r="AH88" s="54">
        <f>_xll.EQNXTDZ($A$1,$B88,AH$5,$B$1)</f>
        <v>0</v>
      </c>
      <c r="AI88" s="54">
        <f>_xll.EQNXTDZ($A$1,$B88,AI$5,$B$1)</f>
        <v>155.59</v>
      </c>
      <c r="AJ88" s="54">
        <f>_xll.EQNXTDZ($A$1,$B88,AJ$5,$B$1)</f>
        <v>0</v>
      </c>
      <c r="AK88" s="54">
        <f>_xll.EQNXTDZ($A$1,$B88,AK$5,$B$1)</f>
        <v>121.03</v>
      </c>
      <c r="AL88" s="54">
        <f>_xll.EQNXTDZ($A$1,$B88,AL$5,$B$1)</f>
        <v>0</v>
      </c>
      <c r="AM88" s="54">
        <f>_xll.EQNXTDZ($A$1,$B88,AM$5,$B$1)</f>
        <v>94.56</v>
      </c>
      <c r="AN88" s="54">
        <f>_xll.EQNXTDZ($A$1,$B88,AN$5,$B$1)</f>
        <v>0</v>
      </c>
      <c r="AO88" s="54">
        <f>_xll.EQNXTDZ($A$1,$B88,AO$5,$B$1)</f>
        <v>152.22</v>
      </c>
      <c r="AP88" s="54">
        <f>_xll.EQNXTDZ($A$1,$B88,AP$5,$B$1)</f>
        <v>0</v>
      </c>
      <c r="AQ88" s="54">
        <f>_xll.EQNXTDZ($A$1,$B88,AQ$5,$B$1)</f>
        <v>299.14</v>
      </c>
      <c r="AR88" s="54">
        <f>_xll.EQNXTDZ($A$1,$B88,AR$5,$B$1)</f>
        <v>0</v>
      </c>
      <c r="AS88" s="54">
        <f>_xll.EQNXTDZ($A$1,$B88,AS$5,$B$1)</f>
        <v>166.15</v>
      </c>
      <c r="AT88" s="54">
        <f>_xll.EQNXTDZ($A$1,$B88,AT$5,$B$1)</f>
        <v>0</v>
      </c>
      <c r="AU88" s="54">
        <f>_xll.EQNXTDZ($A$1,$B88,AU$5,$B$1)</f>
        <v>172.67</v>
      </c>
      <c r="AV88" s="54">
        <f>_xll.EQNXTDZ($A$1,$B88,AV$5,$B$1)</f>
        <v>0</v>
      </c>
      <c r="AW88" s="54">
        <f>_xll.EQNXTDZ($A$1,$B88,AW$5,$B$1)</f>
        <v>2.95</v>
      </c>
      <c r="AX88" s="54">
        <f>_xll.EQNXTDZ($A$1,$B88,AX$5,$B$1)</f>
        <v>0</v>
      </c>
      <c r="AY88" s="54">
        <f>_xll.EQNXTDZ($A$1,$B88,AY$5,$B$1)</f>
        <v>8.7799999999999994</v>
      </c>
      <c r="AZ88" s="54">
        <f>_xll.EQNXTDZ($A$1,$B88,AZ$5,$B$1)</f>
        <v>0</v>
      </c>
      <c r="BA88" s="54">
        <f>_xll.EQNXTDZ($A$1,$B88,BA$5,$B$1)</f>
        <v>1.47</v>
      </c>
      <c r="BB88" s="54">
        <f>_xll.EQNXTDZ($A$1,$B88,BB$5,$B$1)</f>
        <v>0</v>
      </c>
      <c r="BC88" s="54">
        <f>_xll.EQNXTDZ($A$1,$B88,BC$5,$B$1)</f>
        <v>4.38</v>
      </c>
      <c r="BD88" s="54">
        <f>_xll.EQNXTDZ($A$1,$B88,BD$5,$B$1)</f>
        <v>0</v>
      </c>
      <c r="BE88" s="54">
        <f>_xll.EQNXTDZ($A$1,$B88,BE$5,$B$1)</f>
        <v>1.47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128.25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148.55000000000001</v>
      </c>
      <c r="J89" s="54">
        <f>_xll.EQNXTDZ($A$1,$B89,J$5,$B$1)</f>
        <v>0</v>
      </c>
      <c r="K89" s="54">
        <f>_xll.EQNXTDZ($A$1,$B89,K$5,$B$1)</f>
        <v>169.1</v>
      </c>
      <c r="L89" s="54">
        <f>_xll.EQNXTDZ($A$1,$B89,L$5,$B$1)</f>
        <v>0</v>
      </c>
      <c r="M89" s="54">
        <f>_xll.EQNXTDZ($A$1,$B89,M$5,$B$1)</f>
        <v>173.97</v>
      </c>
      <c r="N89" s="54">
        <f>_xll.EQNXTDZ($A$1,$B89,N$5,$B$1)</f>
        <v>0</v>
      </c>
      <c r="O89" s="54">
        <f>_xll.EQNXTDZ($A$1,$B89,O$5,$B$1)</f>
        <v>332.76</v>
      </c>
      <c r="P89" s="54">
        <f>_xll.EQNXTDZ($A$1,$B89,P$5,$B$1)</f>
        <v>0</v>
      </c>
      <c r="Q89" s="54">
        <f>_xll.EQNXTDZ($A$1,$B89,Q$5,$B$1)</f>
        <v>286.74</v>
      </c>
      <c r="R89" s="54">
        <f>_xll.EQNXTDZ($A$1,$B89,R$5,$B$1)</f>
        <v>0</v>
      </c>
      <c r="S89" s="54">
        <f>_xll.EQNXTDZ($A$1,$B89,S$5,$B$1)</f>
        <v>374.48</v>
      </c>
      <c r="T89" s="54">
        <f>_xll.EQNXTDZ($A$1,$B89,T$5,$B$1)</f>
        <v>0</v>
      </c>
      <c r="U89" s="54">
        <f>_xll.EQNXTDZ($A$1,$B89,U$5,$B$1)</f>
        <v>323.24</v>
      </c>
      <c r="V89" s="54">
        <f>_xll.EQNXTDZ($A$1,$B89,V$5,$B$1)</f>
        <v>0</v>
      </c>
      <c r="W89" s="54">
        <f>_xll.EQNXTDZ($A$1,$B89,W$5,$B$1)</f>
        <v>350.94</v>
      </c>
      <c r="X89" s="54">
        <f>_xll.EQNXTDZ($A$1,$B89,X$5,$B$1)</f>
        <v>0</v>
      </c>
      <c r="Y89" s="54">
        <f>_xll.EQNXTDZ($A$1,$B89,Y$5,$B$1)</f>
        <v>365.39</v>
      </c>
      <c r="Z89" s="54">
        <f>_xll.EQNXTDZ($A$1,$B89,Z$5,$B$1)</f>
        <v>0</v>
      </c>
      <c r="AA89" s="54">
        <f>_xll.EQNXTDZ($A$1,$B89,AA$5,$B$1)</f>
        <v>457.46</v>
      </c>
      <c r="AB89" s="54">
        <f>_xll.EQNXTDZ($A$1,$B89,AB$5,$B$1)</f>
        <v>0</v>
      </c>
      <c r="AC89" s="54">
        <f>_xll.EQNXTDZ($A$1,$B89,AC$5,$B$1)</f>
        <v>361.73</v>
      </c>
      <c r="AD89" s="54">
        <f>_xll.EQNXTDZ($A$1,$B89,AD$5,$B$1)</f>
        <v>0</v>
      </c>
      <c r="AE89" s="54">
        <f>_xll.EQNXTDZ($A$1,$B89,AE$5,$B$1)</f>
        <v>463.18</v>
      </c>
      <c r="AF89" s="54">
        <f>_xll.EQNXTDZ($A$1,$B89,AF$5,$B$1)</f>
        <v>0</v>
      </c>
      <c r="AG89" s="54">
        <f>_xll.EQNXTDZ($A$1,$B89,AG$5,$B$1)</f>
        <v>429.59</v>
      </c>
      <c r="AH89" s="54">
        <f>_xll.EQNXTDZ($A$1,$B89,AH$5,$B$1)</f>
        <v>0</v>
      </c>
      <c r="AI89" s="54">
        <f>_xll.EQNXTDZ($A$1,$B89,AI$5,$B$1)</f>
        <v>467.1</v>
      </c>
      <c r="AJ89" s="54">
        <f>_xll.EQNXTDZ($A$1,$B89,AJ$5,$B$1)</f>
        <v>0</v>
      </c>
      <c r="AK89" s="54">
        <f>_xll.EQNXTDZ($A$1,$B89,AK$5,$B$1)</f>
        <v>409.84</v>
      </c>
      <c r="AL89" s="54">
        <f>_xll.EQNXTDZ($A$1,$B89,AL$5,$B$1)</f>
        <v>0</v>
      </c>
      <c r="AM89" s="54">
        <f>_xll.EQNXTDZ($A$1,$B89,AM$5,$B$1)</f>
        <v>507.58</v>
      </c>
      <c r="AN89" s="54">
        <f>_xll.EQNXTDZ($A$1,$B89,AN$5,$B$1)</f>
        <v>0</v>
      </c>
      <c r="AO89" s="54">
        <f>_xll.EQNXTDZ($A$1,$B89,AO$5,$B$1)</f>
        <v>573.76</v>
      </c>
      <c r="AP89" s="54">
        <f>_xll.EQNXTDZ($A$1,$B89,AP$5,$B$1)</f>
        <v>0</v>
      </c>
      <c r="AQ89" s="54">
        <f>_xll.EQNXTDZ($A$1,$B89,AQ$5,$B$1)</f>
        <v>615.32000000000005</v>
      </c>
      <c r="AR89" s="54">
        <f>_xll.EQNXTDZ($A$1,$B89,AR$5,$B$1)</f>
        <v>0</v>
      </c>
      <c r="AS89" s="54">
        <f>_xll.EQNXTDZ($A$1,$B89,AS$5,$B$1)</f>
        <v>477.95</v>
      </c>
      <c r="AT89" s="54">
        <f>_xll.EQNXTDZ($A$1,$B89,AT$5,$B$1)</f>
        <v>0</v>
      </c>
      <c r="AU89" s="54">
        <f>_xll.EQNXTDZ($A$1,$B89,AU$5,$B$1)</f>
        <v>454.03</v>
      </c>
      <c r="AV89" s="54">
        <f>_xll.EQNXTDZ($A$1,$B89,AV$5,$B$1)</f>
        <v>0</v>
      </c>
      <c r="AW89" s="54">
        <f>_xll.EQNXTDZ($A$1,$B89,AW$5,$B$1)</f>
        <v>467.48</v>
      </c>
      <c r="AX89" s="54">
        <f>_xll.EQNXTDZ($A$1,$B89,AX$5,$B$1)</f>
        <v>0</v>
      </c>
      <c r="AY89" s="54">
        <f>_xll.EQNXTDZ($A$1,$B89,AY$5,$B$1)</f>
        <v>512.84</v>
      </c>
      <c r="AZ89" s="54">
        <f>_xll.EQNXTDZ($A$1,$B89,AZ$5,$B$1)</f>
        <v>0</v>
      </c>
      <c r="BA89" s="54">
        <f>_xll.EQNXTDZ($A$1,$B89,BA$5,$B$1)</f>
        <v>477.86</v>
      </c>
      <c r="BB89" s="54">
        <f>_xll.EQNXTDZ($A$1,$B89,BB$5,$B$1)</f>
        <v>0</v>
      </c>
      <c r="BC89" s="54">
        <f>_xll.EQNXTDZ($A$1,$B89,BC$5,$B$1)</f>
        <v>477.9</v>
      </c>
      <c r="BD89" s="54">
        <f>_xll.EQNXTDZ($A$1,$B89,BD$5,$B$1)</f>
        <v>0</v>
      </c>
      <c r="BE89" s="54">
        <f>_xll.EQNXTDZ($A$1,$B89,BE$5,$B$1)</f>
        <v>454.32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23.21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29.96</v>
      </c>
      <c r="J91" s="54">
        <f>_xll.EQNXTDZ($A$1,$B91,J$5,$B$1)</f>
        <v>0</v>
      </c>
      <c r="K91" s="54">
        <f>_xll.EQNXTDZ($A$1,$B91,K$5,$B$1)</f>
        <v>28.29</v>
      </c>
      <c r="L91" s="54">
        <f>_xll.EQNXTDZ($A$1,$B91,L$5,$B$1)</f>
        <v>0</v>
      </c>
      <c r="M91" s="54">
        <f>_xll.EQNXTDZ($A$1,$B91,M$5,$B$1)</f>
        <v>36.479999999999997</v>
      </c>
      <c r="N91" s="54">
        <f>_xll.EQNXTDZ($A$1,$B91,N$5,$B$1)</f>
        <v>0</v>
      </c>
      <c r="O91" s="54">
        <f>_xll.EQNXTDZ($A$1,$B91,O$5,$B$1)</f>
        <v>133.4</v>
      </c>
      <c r="P91" s="54">
        <f>_xll.EQNXTDZ($A$1,$B91,P$5,$B$1)</f>
        <v>0</v>
      </c>
      <c r="Q91" s="54">
        <f>_xll.EQNXTDZ($A$1,$B91,Q$5,$B$1)</f>
        <v>127.89</v>
      </c>
      <c r="R91" s="54">
        <f>_xll.EQNXTDZ($A$1,$B91,R$5,$B$1)</f>
        <v>0</v>
      </c>
      <c r="S91" s="54">
        <f>_xll.EQNXTDZ($A$1,$B91,S$5,$B$1)</f>
        <v>125.62</v>
      </c>
      <c r="T91" s="54">
        <f>_xll.EQNXTDZ($A$1,$B91,T$5,$B$1)</f>
        <v>0</v>
      </c>
      <c r="U91" s="54">
        <f>_xll.EQNXTDZ($A$1,$B91,U$5,$B$1)</f>
        <v>152.77000000000001</v>
      </c>
      <c r="V91" s="54">
        <f>_xll.EQNXTDZ($A$1,$B91,V$5,$B$1)</f>
        <v>0</v>
      </c>
      <c r="W91" s="54">
        <f>_xll.EQNXTDZ($A$1,$B91,W$5,$B$1)</f>
        <v>169.43</v>
      </c>
      <c r="X91" s="54">
        <f>_xll.EQNXTDZ($A$1,$B91,X$5,$B$1)</f>
        <v>0</v>
      </c>
      <c r="Y91" s="54">
        <f>_xll.EQNXTDZ($A$1,$B91,Y$5,$B$1)</f>
        <v>91.95</v>
      </c>
      <c r="Z91" s="54">
        <f>_xll.EQNXTDZ($A$1,$B91,Z$5,$B$1)</f>
        <v>0</v>
      </c>
      <c r="AA91" s="54">
        <f>_xll.EQNXTDZ($A$1,$B91,AA$5,$B$1)</f>
        <v>105.01</v>
      </c>
      <c r="AB91" s="54">
        <f>_xll.EQNXTDZ($A$1,$B91,AB$5,$B$1)</f>
        <v>0</v>
      </c>
      <c r="AC91" s="54">
        <f>_xll.EQNXTDZ($A$1,$B91,AC$5,$B$1)</f>
        <v>97.04</v>
      </c>
      <c r="AD91" s="54">
        <f>_xll.EQNXTDZ($A$1,$B91,AD$5,$B$1)</f>
        <v>0</v>
      </c>
      <c r="AE91" s="54">
        <f>_xll.EQNXTDZ($A$1,$B91,AE$5,$B$1)</f>
        <v>477.25</v>
      </c>
      <c r="AF91" s="54">
        <f>_xll.EQNXTDZ($A$1,$B91,AF$5,$B$1)</f>
        <v>0</v>
      </c>
      <c r="AG91" s="54">
        <f>_xll.EQNXTDZ($A$1,$B91,AG$5,$B$1)</f>
        <v>80.27</v>
      </c>
      <c r="AH91" s="54">
        <f>_xll.EQNXTDZ($A$1,$B91,AH$5,$B$1)</f>
        <v>0</v>
      </c>
      <c r="AI91" s="54">
        <f>_xll.EQNXTDZ($A$1,$B91,AI$5,$B$1)</f>
        <v>271.04000000000002</v>
      </c>
      <c r="AJ91" s="54">
        <f>_xll.EQNXTDZ($A$1,$B91,AJ$5,$B$1)</f>
        <v>0</v>
      </c>
      <c r="AK91" s="54">
        <f>_xll.EQNXTDZ($A$1,$B91,AK$5,$B$1)</f>
        <v>73.349999999999994</v>
      </c>
      <c r="AL91" s="54">
        <f>_xll.EQNXTDZ($A$1,$B91,AL$5,$B$1)</f>
        <v>0</v>
      </c>
      <c r="AM91" s="54">
        <f>_xll.EQNXTDZ($A$1,$B91,AM$5,$B$1)</f>
        <v>66.239999999999995</v>
      </c>
      <c r="AN91" s="54">
        <f>_xll.EQNXTDZ($A$1,$B91,AN$5,$B$1)</f>
        <v>0</v>
      </c>
      <c r="AO91" s="54">
        <f>_xll.EQNXTDZ($A$1,$B91,AO$5,$B$1)</f>
        <v>71.23</v>
      </c>
      <c r="AP91" s="54">
        <f>_xll.EQNXTDZ($A$1,$B91,AP$5,$B$1)</f>
        <v>0</v>
      </c>
      <c r="AQ91" s="54">
        <f>_xll.EQNXTDZ($A$1,$B91,AQ$5,$B$1)</f>
        <v>58.62</v>
      </c>
      <c r="AR91" s="54">
        <f>_xll.EQNXTDZ($A$1,$B91,AR$5,$B$1)</f>
        <v>0</v>
      </c>
      <c r="AS91" s="54">
        <f>_xll.EQNXTDZ($A$1,$B91,AS$5,$B$1)</f>
        <v>69.09</v>
      </c>
      <c r="AT91" s="54">
        <f>_xll.EQNXTDZ($A$1,$B91,AT$5,$B$1)</f>
        <v>0</v>
      </c>
      <c r="AU91" s="54">
        <f>_xll.EQNXTDZ($A$1,$B91,AU$5,$B$1)</f>
        <v>57.78</v>
      </c>
      <c r="AV91" s="54">
        <f>_xll.EQNXTDZ($A$1,$B91,AV$5,$B$1)</f>
        <v>0</v>
      </c>
      <c r="AW91" s="54">
        <f>_xll.EQNXTDZ($A$1,$B91,AW$5,$B$1)</f>
        <v>88.74</v>
      </c>
      <c r="AX91" s="54">
        <f>_xll.EQNXTDZ($A$1,$B91,AX$5,$B$1)</f>
        <v>0</v>
      </c>
      <c r="AY91" s="54">
        <f>_xll.EQNXTDZ($A$1,$B91,AY$5,$B$1)</f>
        <v>45.76</v>
      </c>
      <c r="AZ91" s="54">
        <f>_xll.EQNXTDZ($A$1,$B91,AZ$5,$B$1)</f>
        <v>0</v>
      </c>
      <c r="BA91" s="54">
        <f>_xll.EQNXTDZ($A$1,$B91,BA$5,$B$1)</f>
        <v>68.510000000000005</v>
      </c>
      <c r="BB91" s="54">
        <f>_xll.EQNXTDZ($A$1,$B91,BB$5,$B$1)</f>
        <v>0</v>
      </c>
      <c r="BC91" s="54">
        <f>_xll.EQNXTDZ($A$1,$B91,BC$5,$B$1)</f>
        <v>63</v>
      </c>
      <c r="BD91" s="54">
        <f>_xll.EQNXTDZ($A$1,$B91,BD$5,$B$1)</f>
        <v>0</v>
      </c>
      <c r="BE91" s="54">
        <f>_xll.EQNXTDZ($A$1,$B91,BE$5,$B$1)</f>
        <v>58.84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8.84</v>
      </c>
      <c r="D92" s="54">
        <f>_xll.EQNXTDZ($A$1,$B92,D$5,$B$1)</f>
        <v>0</v>
      </c>
      <c r="E92" s="54">
        <f>_xll.EQNXTDZ($A$1,$B92,E$5,$B$1)</f>
        <v>28.45</v>
      </c>
      <c r="F92" s="54">
        <f>_xll.EQNXTDZ($A$1,$B92,F$5,$B$1)</f>
        <v>0</v>
      </c>
      <c r="G92" s="54">
        <f>_xll.EQNXTDZ($A$1,$B92,G$5,$B$1)</f>
        <v>13.96</v>
      </c>
      <c r="H92" s="54">
        <f>_xll.EQNXTDZ($A$1,$B92,H$5,$B$1)</f>
        <v>0</v>
      </c>
      <c r="I92" s="54">
        <f>_xll.EQNXTDZ($A$1,$B92,I$5,$B$1)</f>
        <v>30.3</v>
      </c>
      <c r="J92" s="54">
        <f>_xll.EQNXTDZ($A$1,$B92,J$5,$B$1)</f>
        <v>0</v>
      </c>
      <c r="K92" s="54">
        <f>_xll.EQNXTDZ($A$1,$B92,K$5,$B$1)</f>
        <v>12.28</v>
      </c>
      <c r="L92" s="54">
        <f>_xll.EQNXTDZ($A$1,$B92,L$5,$B$1)</f>
        <v>0</v>
      </c>
      <c r="M92" s="54">
        <f>_xll.EQNXTDZ($A$1,$B92,M$5,$B$1)</f>
        <v>35.5</v>
      </c>
      <c r="N92" s="54">
        <f>_xll.EQNXTDZ($A$1,$B92,N$5,$B$1)</f>
        <v>0</v>
      </c>
      <c r="O92" s="54">
        <f>_xll.EQNXTDZ($A$1,$B92,O$5,$B$1)</f>
        <v>30.17</v>
      </c>
      <c r="P92" s="54">
        <f>_xll.EQNXTDZ($A$1,$B92,P$5,$B$1)</f>
        <v>0</v>
      </c>
      <c r="Q92" s="54">
        <f>_xll.EQNXTDZ($A$1,$B92,Q$5,$B$1)</f>
        <v>58.83</v>
      </c>
      <c r="R92" s="54">
        <f>_xll.EQNXTDZ($A$1,$B92,R$5,$B$1)</f>
        <v>0</v>
      </c>
      <c r="S92" s="54">
        <f>_xll.EQNXTDZ($A$1,$B92,S$5,$B$1)</f>
        <v>41.83</v>
      </c>
      <c r="T92" s="54">
        <f>_xll.EQNXTDZ($A$1,$B92,T$5,$B$1)</f>
        <v>0</v>
      </c>
      <c r="U92" s="54">
        <f>_xll.EQNXTDZ($A$1,$B92,U$5,$B$1)</f>
        <v>54.7</v>
      </c>
      <c r="V92" s="54">
        <f>_xll.EQNXTDZ($A$1,$B92,V$5,$B$1)</f>
        <v>0</v>
      </c>
      <c r="W92" s="54">
        <f>_xll.EQNXTDZ($A$1,$B92,W$5,$B$1)</f>
        <v>17.02</v>
      </c>
      <c r="X92" s="54">
        <f>_xll.EQNXTDZ($A$1,$B92,X$5,$B$1)</f>
        <v>0</v>
      </c>
      <c r="Y92" s="54">
        <f>_xll.EQNXTDZ($A$1,$B92,Y$5,$B$1)</f>
        <v>18.39</v>
      </c>
      <c r="Z92" s="54">
        <f>_xll.EQNXTDZ($A$1,$B92,Z$5,$B$1)</f>
        <v>0</v>
      </c>
      <c r="AA92" s="54">
        <f>_xll.EQNXTDZ($A$1,$B92,AA$5,$B$1)</f>
        <v>18.87</v>
      </c>
      <c r="AB92" s="54">
        <f>_xll.EQNXTDZ($A$1,$B92,AB$5,$B$1)</f>
        <v>0</v>
      </c>
      <c r="AC92" s="54">
        <f>_xll.EQNXTDZ($A$1,$B92,AC$5,$B$1)</f>
        <v>20.93</v>
      </c>
      <c r="AD92" s="54">
        <f>_xll.EQNXTDZ($A$1,$B92,AD$5,$B$1)</f>
        <v>0</v>
      </c>
      <c r="AE92" s="54">
        <f>_xll.EQNXTDZ($A$1,$B92,AE$5,$B$1)</f>
        <v>19.91</v>
      </c>
      <c r="AF92" s="54">
        <f>_xll.EQNXTDZ($A$1,$B92,AF$5,$B$1)</f>
        <v>0</v>
      </c>
      <c r="AG92" s="54">
        <f>_xll.EQNXTDZ($A$1,$B92,AG$5,$B$1)</f>
        <v>24.66</v>
      </c>
      <c r="AH92" s="54">
        <f>_xll.EQNXTDZ($A$1,$B92,AH$5,$B$1)</f>
        <v>0</v>
      </c>
      <c r="AI92" s="54">
        <f>_xll.EQNXTDZ($A$1,$B92,AI$5,$B$1)</f>
        <v>42.75</v>
      </c>
      <c r="AJ92" s="54">
        <f>_xll.EQNXTDZ($A$1,$B92,AJ$5,$B$1)</f>
        <v>0</v>
      </c>
      <c r="AK92" s="54">
        <f>_xll.EQNXTDZ($A$1,$B92,AK$5,$B$1)</f>
        <v>28.03</v>
      </c>
      <c r="AL92" s="54">
        <f>_xll.EQNXTDZ($A$1,$B92,AL$5,$B$1)</f>
        <v>0</v>
      </c>
      <c r="AM92" s="54">
        <f>_xll.EQNXTDZ($A$1,$B92,AM$5,$B$1)</f>
        <v>50.81</v>
      </c>
      <c r="AN92" s="54">
        <f>_xll.EQNXTDZ($A$1,$B92,AN$5,$B$1)</f>
        <v>0</v>
      </c>
      <c r="AO92" s="54">
        <f>_xll.EQNXTDZ($A$1,$B92,AO$5,$B$1)</f>
        <v>25.04</v>
      </c>
      <c r="AP92" s="54">
        <f>_xll.EQNXTDZ($A$1,$B92,AP$5,$B$1)</f>
        <v>0</v>
      </c>
      <c r="AQ92" s="54">
        <f>_xll.EQNXTDZ($A$1,$B92,AQ$5,$B$1)</f>
        <v>31.23</v>
      </c>
      <c r="AR92" s="54">
        <f>_xll.EQNXTDZ($A$1,$B92,AR$5,$B$1)</f>
        <v>0</v>
      </c>
      <c r="AS92" s="54">
        <f>_xll.EQNXTDZ($A$1,$B92,AS$5,$B$1)</f>
        <v>26.11</v>
      </c>
      <c r="AT92" s="54">
        <f>_xll.EQNXTDZ($A$1,$B92,AT$5,$B$1)</f>
        <v>0</v>
      </c>
      <c r="AU92" s="54">
        <f>_xll.EQNXTDZ($A$1,$B92,AU$5,$B$1)</f>
        <v>26.57</v>
      </c>
      <c r="AV92" s="54">
        <f>_xll.EQNXTDZ($A$1,$B92,AV$5,$B$1)</f>
        <v>0</v>
      </c>
      <c r="AW92" s="54">
        <f>_xll.EQNXTDZ($A$1,$B92,AW$5,$B$1)</f>
        <v>25.98</v>
      </c>
      <c r="AX92" s="54">
        <f>_xll.EQNXTDZ($A$1,$B92,AX$5,$B$1)</f>
        <v>0</v>
      </c>
      <c r="AY92" s="54">
        <f>_xll.EQNXTDZ($A$1,$B92,AY$5,$B$1)</f>
        <v>25.2</v>
      </c>
      <c r="AZ92" s="54">
        <f>_xll.EQNXTDZ($A$1,$B92,AZ$5,$B$1)</f>
        <v>0</v>
      </c>
      <c r="BA92" s="54">
        <f>_xll.EQNXTDZ($A$1,$B92,BA$5,$B$1)</f>
        <v>29.34</v>
      </c>
      <c r="BB92" s="54">
        <f>_xll.EQNXTDZ($A$1,$B92,BB$5,$B$1)</f>
        <v>0</v>
      </c>
      <c r="BC92" s="54">
        <f>_xll.EQNXTDZ($A$1,$B92,BC$5,$B$1)</f>
        <v>32.479999999999997</v>
      </c>
      <c r="BD92" s="54">
        <f>_xll.EQNXTDZ($A$1,$B92,BD$5,$B$1)</f>
        <v>0</v>
      </c>
      <c r="BE92" s="54">
        <f>_xll.EQNXTDZ($A$1,$B92,BE$5,$B$1)</f>
        <v>32.93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166.38</v>
      </c>
      <c r="D93" s="54">
        <f>_xll.EQNXTDZ($A$1,$B93,D$5,$B$1)</f>
        <v>0</v>
      </c>
      <c r="E93" s="54">
        <f>_xll.EQNXTDZ($A$1,$B93,E$5,$B$1)</f>
        <v>193.97</v>
      </c>
      <c r="F93" s="54">
        <f>_xll.EQNXTDZ($A$1,$B93,F$5,$B$1)</f>
        <v>0</v>
      </c>
      <c r="G93" s="54">
        <f>_xll.EQNXTDZ($A$1,$B93,G$5,$B$1)</f>
        <v>213.22</v>
      </c>
      <c r="H93" s="54">
        <f>_xll.EQNXTDZ($A$1,$B93,H$5,$B$1)</f>
        <v>0</v>
      </c>
      <c r="I93" s="54">
        <f>_xll.EQNXTDZ($A$1,$B93,I$5,$B$1)</f>
        <v>209.4</v>
      </c>
      <c r="J93" s="54">
        <f>_xll.EQNXTDZ($A$1,$B93,J$5,$B$1)</f>
        <v>0</v>
      </c>
      <c r="K93" s="54">
        <f>_xll.EQNXTDZ($A$1,$B93,K$5,$B$1)</f>
        <v>220.53</v>
      </c>
      <c r="L93" s="54">
        <f>_xll.EQNXTDZ($A$1,$B93,L$5,$B$1)</f>
        <v>0</v>
      </c>
      <c r="M93" s="54">
        <f>_xll.EQNXTDZ($A$1,$B93,M$5,$B$1)</f>
        <v>248.27</v>
      </c>
      <c r="N93" s="54">
        <f>_xll.EQNXTDZ($A$1,$B93,N$5,$B$1)</f>
        <v>0</v>
      </c>
      <c r="O93" s="54">
        <f>_xll.EQNXTDZ($A$1,$B93,O$5,$B$1)</f>
        <v>581.09</v>
      </c>
      <c r="P93" s="54">
        <f>_xll.EQNXTDZ($A$1,$B93,P$5,$B$1)</f>
        <v>0</v>
      </c>
      <c r="Q93" s="54">
        <f>_xll.EQNXTDZ($A$1,$B93,Q$5,$B$1)</f>
        <v>525.02</v>
      </c>
      <c r="R93" s="54">
        <f>_xll.EQNXTDZ($A$1,$B93,R$5,$B$1)</f>
        <v>0</v>
      </c>
      <c r="S93" s="54">
        <f>_xll.EQNXTDZ($A$1,$B93,S$5,$B$1)</f>
        <v>550.59</v>
      </c>
      <c r="T93" s="54">
        <f>_xll.EQNXTDZ($A$1,$B93,T$5,$B$1)</f>
        <v>0</v>
      </c>
      <c r="U93" s="54">
        <f>_xll.EQNXTDZ($A$1,$B93,U$5,$B$1)</f>
        <v>530.88</v>
      </c>
      <c r="V93" s="54">
        <f>_xll.EQNXTDZ($A$1,$B93,V$5,$B$1)</f>
        <v>0</v>
      </c>
      <c r="W93" s="54">
        <f>_xll.EQNXTDZ($A$1,$B93,W$5,$B$1)</f>
        <v>540.6</v>
      </c>
      <c r="X93" s="54">
        <f>_xll.EQNXTDZ($A$1,$B93,X$5,$B$1)</f>
        <v>0</v>
      </c>
      <c r="Y93" s="54">
        <f>_xll.EQNXTDZ($A$1,$B93,Y$5,$B$1)</f>
        <v>475.73</v>
      </c>
      <c r="Z93" s="54">
        <f>_xll.EQNXTDZ($A$1,$B93,Z$5,$B$1)</f>
        <v>0</v>
      </c>
      <c r="AA93" s="54">
        <f>_xll.EQNXTDZ($A$1,$B93,AA$5,$B$1)</f>
        <v>584.35</v>
      </c>
      <c r="AB93" s="54">
        <f>_xll.EQNXTDZ($A$1,$B93,AB$5,$B$1)</f>
        <v>0</v>
      </c>
      <c r="AC93" s="54">
        <f>_xll.EQNXTDZ($A$1,$B93,AC$5,$B$1)</f>
        <v>488.85</v>
      </c>
      <c r="AD93" s="54">
        <f>_xll.EQNXTDZ($A$1,$B93,AD$5,$B$1)</f>
        <v>0</v>
      </c>
      <c r="AE93" s="54">
        <f>_xll.EQNXTDZ($A$1,$B93,AE$5,$B$1)</f>
        <v>1009.41</v>
      </c>
      <c r="AF93" s="54">
        <f>_xll.EQNXTDZ($A$1,$B93,AF$5,$B$1)</f>
        <v>0</v>
      </c>
      <c r="AG93" s="54">
        <f>_xll.EQNXTDZ($A$1,$B93,AG$5,$B$1)</f>
        <v>701.6</v>
      </c>
      <c r="AH93" s="54">
        <f>_xll.EQNXTDZ($A$1,$B93,AH$5,$B$1)</f>
        <v>0</v>
      </c>
      <c r="AI93" s="54">
        <f>_xll.EQNXTDZ($A$1,$B93,AI$5,$B$1)</f>
        <v>936.48</v>
      </c>
      <c r="AJ93" s="54">
        <f>_xll.EQNXTDZ($A$1,$B93,AJ$5,$B$1)</f>
        <v>0</v>
      </c>
      <c r="AK93" s="54">
        <f>_xll.EQNXTDZ($A$1,$B93,AK$5,$B$1)</f>
        <v>632.25</v>
      </c>
      <c r="AL93" s="54">
        <f>_xll.EQNXTDZ($A$1,$B93,AL$5,$B$1)</f>
        <v>0</v>
      </c>
      <c r="AM93" s="54">
        <f>_xll.EQNXTDZ($A$1,$B93,AM$5,$B$1)</f>
        <v>719.19</v>
      </c>
      <c r="AN93" s="54">
        <f>_xll.EQNXTDZ($A$1,$B93,AN$5,$B$1)</f>
        <v>0</v>
      </c>
      <c r="AO93" s="54">
        <f>_xll.EQNXTDZ($A$1,$B93,AO$5,$B$1)</f>
        <v>822.25</v>
      </c>
      <c r="AP93" s="54">
        <f>_xll.EQNXTDZ($A$1,$B93,AP$5,$B$1)</f>
        <v>0</v>
      </c>
      <c r="AQ93" s="54">
        <f>_xll.EQNXTDZ($A$1,$B93,AQ$5,$B$1)</f>
        <v>1004.31</v>
      </c>
      <c r="AR93" s="54">
        <f>_xll.EQNXTDZ($A$1,$B93,AR$5,$B$1)</f>
        <v>0</v>
      </c>
      <c r="AS93" s="54">
        <f>_xll.EQNXTDZ($A$1,$B93,AS$5,$B$1)</f>
        <v>739.3</v>
      </c>
      <c r="AT93" s="54">
        <f>_xll.EQNXTDZ($A$1,$B93,AT$5,$B$1)</f>
        <v>0</v>
      </c>
      <c r="AU93" s="54">
        <f>_xll.EQNXTDZ($A$1,$B93,AU$5,$B$1)</f>
        <v>711.05</v>
      </c>
      <c r="AV93" s="54">
        <f>_xll.EQNXTDZ($A$1,$B93,AV$5,$B$1)</f>
        <v>0</v>
      </c>
      <c r="AW93" s="54">
        <f>_xll.EQNXTDZ($A$1,$B93,AW$5,$B$1)</f>
        <v>585.15</v>
      </c>
      <c r="AX93" s="54">
        <f>_xll.EQNXTDZ($A$1,$B93,AX$5,$B$1)</f>
        <v>0</v>
      </c>
      <c r="AY93" s="54">
        <f>_xll.EQNXTDZ($A$1,$B93,AY$5,$B$1)</f>
        <v>592.58000000000004</v>
      </c>
      <c r="AZ93" s="54">
        <f>_xll.EQNXTDZ($A$1,$B93,AZ$5,$B$1)</f>
        <v>0</v>
      </c>
      <c r="BA93" s="54">
        <f>_xll.EQNXTDZ($A$1,$B93,BA$5,$B$1)</f>
        <v>577.17999999999995</v>
      </c>
      <c r="BB93" s="54">
        <f>_xll.EQNXTDZ($A$1,$B93,BB$5,$B$1)</f>
        <v>0</v>
      </c>
      <c r="BC93" s="54">
        <f>_xll.EQNXTDZ($A$1,$B93,BC$5,$B$1)</f>
        <v>577.76</v>
      </c>
      <c r="BD93" s="54">
        <f>_xll.EQNXTDZ($A$1,$B93,BD$5,$B$1)</f>
        <v>0</v>
      </c>
      <c r="BE93" s="54">
        <f>_xll.EQNXTDZ($A$1,$B93,BE$5,$B$1)</f>
        <v>547.55999999999995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183.87</v>
      </c>
      <c r="D94" s="54">
        <f>_xll.EQNXTDZ($A$1,$B94,D$5,$B$1)</f>
        <v>0</v>
      </c>
      <c r="E94" s="54">
        <f>_xll.EQNXTDZ($A$1,$B94,E$5,$B$1)</f>
        <v>146.63</v>
      </c>
      <c r="F94" s="54">
        <f>_xll.EQNXTDZ($A$1,$B94,F$5,$B$1)</f>
        <v>0</v>
      </c>
      <c r="G94" s="54">
        <f>_xll.EQNXTDZ($A$1,$B94,G$5,$B$1)</f>
        <v>178.33</v>
      </c>
      <c r="H94" s="54">
        <f>_xll.EQNXTDZ($A$1,$B94,H$5,$B$1)</f>
        <v>0</v>
      </c>
      <c r="I94" s="54">
        <f>_xll.EQNXTDZ($A$1,$B94,I$5,$B$1)</f>
        <v>189.26</v>
      </c>
      <c r="J94" s="54">
        <f>_xll.EQNXTDZ($A$1,$B94,J$5,$B$1)</f>
        <v>0</v>
      </c>
      <c r="K94" s="54">
        <f>_xll.EQNXTDZ($A$1,$B94,K$5,$B$1)</f>
        <v>204.62</v>
      </c>
      <c r="L94" s="54">
        <f>_xll.EQNXTDZ($A$1,$B94,L$5,$B$1)</f>
        <v>0</v>
      </c>
      <c r="M94" s="54">
        <f>_xll.EQNXTDZ($A$1,$B94,M$5,$B$1)</f>
        <v>325.19</v>
      </c>
      <c r="N94" s="54">
        <f>_xll.EQNXTDZ($A$1,$B94,N$5,$B$1)</f>
        <v>0</v>
      </c>
      <c r="O94" s="54">
        <f>_xll.EQNXTDZ($A$1,$B94,O$5,$B$1)</f>
        <v>322.18</v>
      </c>
      <c r="P94" s="54">
        <f>_xll.EQNXTDZ($A$1,$B94,P$5,$B$1)</f>
        <v>0</v>
      </c>
      <c r="Q94" s="54">
        <f>_xll.EQNXTDZ($A$1,$B94,Q$5,$B$1)</f>
        <v>325.31</v>
      </c>
      <c r="R94" s="54">
        <f>_xll.EQNXTDZ($A$1,$B94,R$5,$B$1)</f>
        <v>0</v>
      </c>
      <c r="S94" s="54">
        <f>_xll.EQNXTDZ($A$1,$B94,S$5,$B$1)</f>
        <v>395.18</v>
      </c>
      <c r="T94" s="54">
        <f>_xll.EQNXTDZ($A$1,$B94,T$5,$B$1)</f>
        <v>0</v>
      </c>
      <c r="U94" s="54">
        <f>_xll.EQNXTDZ($A$1,$B94,U$5,$B$1)</f>
        <v>391.08</v>
      </c>
      <c r="V94" s="54">
        <f>_xll.EQNXTDZ($A$1,$B94,V$5,$B$1)</f>
        <v>0</v>
      </c>
      <c r="W94" s="54">
        <f>_xll.EQNXTDZ($A$1,$B94,W$5,$B$1)</f>
        <v>393.23</v>
      </c>
      <c r="X94" s="54">
        <f>_xll.EQNXTDZ($A$1,$B94,X$5,$B$1)</f>
        <v>0</v>
      </c>
      <c r="Y94" s="54">
        <f>_xll.EQNXTDZ($A$1,$B94,Y$5,$B$1)</f>
        <v>466.94</v>
      </c>
      <c r="Z94" s="54">
        <f>_xll.EQNXTDZ($A$1,$B94,Z$5,$B$1)</f>
        <v>0</v>
      </c>
      <c r="AA94" s="54">
        <f>_xll.EQNXTDZ($A$1,$B94,AA$5,$B$1)</f>
        <v>378.4</v>
      </c>
      <c r="AB94" s="54">
        <f>_xll.EQNXTDZ($A$1,$B94,AB$5,$B$1)</f>
        <v>0</v>
      </c>
      <c r="AC94" s="54">
        <f>_xll.EQNXTDZ($A$1,$B94,AC$5,$B$1)</f>
        <v>399.65</v>
      </c>
      <c r="AD94" s="54">
        <f>_xll.EQNXTDZ($A$1,$B94,AD$5,$B$1)</f>
        <v>0</v>
      </c>
      <c r="AE94" s="54">
        <f>_xll.EQNXTDZ($A$1,$B94,AE$5,$B$1)</f>
        <v>66.840000000000103</v>
      </c>
      <c r="AF94" s="54">
        <f>_xll.EQNXTDZ($A$1,$B94,AF$5,$B$1)</f>
        <v>0</v>
      </c>
      <c r="AG94" s="54">
        <f>_xll.EQNXTDZ($A$1,$B94,AG$5,$B$1)</f>
        <v>240.94</v>
      </c>
      <c r="AH94" s="54">
        <f>_xll.EQNXTDZ($A$1,$B94,AH$5,$B$1)</f>
        <v>0</v>
      </c>
      <c r="AI94" s="54">
        <f>_xll.EQNXTDZ($A$1,$B94,AI$5,$B$1)</f>
        <v>110.48</v>
      </c>
      <c r="AJ94" s="54">
        <f>_xll.EQNXTDZ($A$1,$B94,AJ$5,$B$1)</f>
        <v>0</v>
      </c>
      <c r="AK94" s="54">
        <f>_xll.EQNXTDZ($A$1,$B94,AK$5,$B$1)</f>
        <v>281.5</v>
      </c>
      <c r="AL94" s="54">
        <f>_xll.EQNXTDZ($A$1,$B94,AL$5,$B$1)</f>
        <v>0</v>
      </c>
      <c r="AM94" s="54">
        <f>_xll.EQNXTDZ($A$1,$B94,AM$5,$B$1)</f>
        <v>405.7</v>
      </c>
      <c r="AN94" s="54">
        <f>_xll.EQNXTDZ($A$1,$B94,AN$5,$B$1)</f>
        <v>0</v>
      </c>
      <c r="AO94" s="54">
        <f>_xll.EQNXTDZ($A$1,$B94,AO$5,$B$1)</f>
        <v>277.93</v>
      </c>
      <c r="AP94" s="54">
        <f>_xll.EQNXTDZ($A$1,$B94,AP$5,$B$1)</f>
        <v>0</v>
      </c>
      <c r="AQ94" s="54">
        <f>_xll.EQNXTDZ($A$1,$B94,AQ$5,$B$1)</f>
        <v>325.79000000000002</v>
      </c>
      <c r="AR94" s="54">
        <f>_xll.EQNXTDZ($A$1,$B94,AR$5,$B$1)</f>
        <v>0</v>
      </c>
      <c r="AS94" s="54">
        <f>_xll.EQNXTDZ($A$1,$B94,AS$5,$B$1)</f>
        <v>323</v>
      </c>
      <c r="AT94" s="54">
        <f>_xll.EQNXTDZ($A$1,$B94,AT$5,$B$1)</f>
        <v>0</v>
      </c>
      <c r="AU94" s="54">
        <f>_xll.EQNXTDZ($A$1,$B94,AU$5,$B$1)</f>
        <v>333.71</v>
      </c>
      <c r="AV94" s="54">
        <f>_xll.EQNXTDZ($A$1,$B94,AV$5,$B$1)</f>
        <v>0</v>
      </c>
      <c r="AW94" s="54">
        <f>_xll.EQNXTDZ($A$1,$B94,AW$5,$B$1)</f>
        <v>675.29</v>
      </c>
      <c r="AX94" s="54">
        <f>_xll.EQNXTDZ($A$1,$B94,AX$5,$B$1)</f>
        <v>0</v>
      </c>
      <c r="AY94" s="54">
        <f>_xll.EQNXTDZ($A$1,$B94,AY$5,$B$1)</f>
        <v>697.43</v>
      </c>
      <c r="AZ94" s="54">
        <f>_xll.EQNXTDZ($A$1,$B94,AZ$5,$B$1)</f>
        <v>0</v>
      </c>
      <c r="BA94" s="54">
        <f>_xll.EQNXTDZ($A$1,$B94,BA$5,$B$1)</f>
        <v>612.51</v>
      </c>
      <c r="BB94" s="54">
        <f>_xll.EQNXTDZ($A$1,$B94,BB$5,$B$1)</f>
        <v>0</v>
      </c>
      <c r="BC94" s="54">
        <f>_xll.EQNXTDZ($A$1,$B94,BC$5,$B$1)</f>
        <v>683.15</v>
      </c>
      <c r="BD94" s="54">
        <f>_xll.EQNXTDZ($A$1,$B94,BD$5,$B$1)</f>
        <v>0</v>
      </c>
      <c r="BE94" s="54">
        <f>_xll.EQNXTDZ($A$1,$B94,BE$5,$B$1)</f>
        <v>753.22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-1.4</v>
      </c>
      <c r="D96" s="54">
        <f>_xll.EQNXTDZ($A$1,$B96,D$5,$B$1)</f>
        <v>0</v>
      </c>
      <c r="E96" s="54">
        <f>_xll.EQNXTDZ($A$1,$B96,E$5,$B$1)</f>
        <v>-0.68</v>
      </c>
      <c r="F96" s="54">
        <f>_xll.EQNXTDZ($A$1,$B96,F$5,$B$1)</f>
        <v>0</v>
      </c>
      <c r="G96" s="54">
        <f>_xll.EQNXTDZ($A$1,$B96,G$5,$B$1)</f>
        <v>0.32</v>
      </c>
      <c r="H96" s="54">
        <f>_xll.EQNXTDZ($A$1,$B96,H$5,$B$1)</f>
        <v>0</v>
      </c>
      <c r="I96" s="54">
        <f>_xll.EQNXTDZ($A$1,$B96,I$5,$B$1)</f>
        <v>-0.99</v>
      </c>
      <c r="J96" s="54">
        <f>_xll.EQNXTDZ($A$1,$B96,J$5,$B$1)</f>
        <v>0</v>
      </c>
      <c r="K96" s="54">
        <f>_xll.EQNXTDZ($A$1,$B96,K$5,$B$1)</f>
        <v>-2.59</v>
      </c>
      <c r="L96" s="54">
        <f>_xll.EQNXTDZ($A$1,$B96,L$5,$B$1)</f>
        <v>0</v>
      </c>
      <c r="M96" s="54">
        <f>_xll.EQNXTDZ($A$1,$B96,M$5,$B$1)</f>
        <v>-5.49</v>
      </c>
      <c r="N96" s="54">
        <f>_xll.EQNXTDZ($A$1,$B96,N$5,$B$1)</f>
        <v>0</v>
      </c>
      <c r="O96" s="54">
        <f>_xll.EQNXTDZ($A$1,$B96,O$5,$B$1)</f>
        <v>-3.48</v>
      </c>
      <c r="P96" s="54">
        <f>_xll.EQNXTDZ($A$1,$B96,P$5,$B$1)</f>
        <v>0</v>
      </c>
      <c r="Q96" s="54">
        <f>_xll.EQNXTDZ($A$1,$B96,Q$5,$B$1)</f>
        <v>-4.2300000000000004</v>
      </c>
      <c r="R96" s="54">
        <f>_xll.EQNXTDZ($A$1,$B96,R$5,$B$1)</f>
        <v>0</v>
      </c>
      <c r="S96" s="54">
        <f>_xll.EQNXTDZ($A$1,$B96,S$5,$B$1)</f>
        <v>0</v>
      </c>
      <c r="T96" s="54">
        <f>_xll.EQNXTDZ($A$1,$B96,T$5,$B$1)</f>
        <v>0</v>
      </c>
      <c r="U96" s="54">
        <f>_xll.EQNXTDZ($A$1,$B96,U$5,$B$1)</f>
        <v>2.95</v>
      </c>
      <c r="V96" s="54">
        <f>_xll.EQNXTDZ($A$1,$B96,V$5,$B$1)</f>
        <v>0</v>
      </c>
      <c r="W96" s="54">
        <f>_xll.EQNXTDZ($A$1,$B96,W$5,$B$1)</f>
        <v>13.96</v>
      </c>
      <c r="X96" s="54">
        <f>_xll.EQNXTDZ($A$1,$B96,X$5,$B$1)</f>
        <v>0</v>
      </c>
      <c r="Y96" s="54">
        <f>_xll.EQNXTDZ($A$1,$B96,Y$5,$B$1)</f>
        <v>10.19</v>
      </c>
      <c r="Z96" s="54">
        <f>_xll.EQNXTDZ($A$1,$B96,Z$5,$B$1)</f>
        <v>0</v>
      </c>
      <c r="AA96" s="54">
        <f>_xll.EQNXTDZ($A$1,$B96,AA$5,$B$1)</f>
        <v>6.38</v>
      </c>
      <c r="AB96" s="54">
        <f>_xll.EQNXTDZ($A$1,$B96,AB$5,$B$1)</f>
        <v>0</v>
      </c>
      <c r="AC96" s="54">
        <f>_xll.EQNXTDZ($A$1,$B96,AC$5,$B$1)</f>
        <v>4.91</v>
      </c>
      <c r="AD96" s="54">
        <f>_xll.EQNXTDZ($A$1,$B96,AD$5,$B$1)</f>
        <v>0</v>
      </c>
      <c r="AE96" s="54">
        <f>_xll.EQNXTDZ($A$1,$B96,AE$5,$B$1)</f>
        <v>5.08</v>
      </c>
      <c r="AF96" s="54">
        <f>_xll.EQNXTDZ($A$1,$B96,AF$5,$B$1)</f>
        <v>0</v>
      </c>
      <c r="AG96" s="54">
        <f>_xll.EQNXTDZ($A$1,$B96,AG$5,$B$1)</f>
        <v>6.24</v>
      </c>
      <c r="AH96" s="54">
        <f>_xll.EQNXTDZ($A$1,$B96,AH$5,$B$1)</f>
        <v>0</v>
      </c>
      <c r="AI96" s="54">
        <f>_xll.EQNXTDZ($A$1,$B96,AI$5,$B$1)</f>
        <v>6.49</v>
      </c>
      <c r="AJ96" s="54">
        <f>_xll.EQNXTDZ($A$1,$B96,AJ$5,$B$1)</f>
        <v>0</v>
      </c>
      <c r="AK96" s="54">
        <f>_xll.EQNXTDZ($A$1,$B96,AK$5,$B$1)</f>
        <v>7.75</v>
      </c>
      <c r="AL96" s="54">
        <f>_xll.EQNXTDZ($A$1,$B96,AL$5,$B$1)</f>
        <v>0</v>
      </c>
      <c r="AM96" s="54">
        <f>_xll.EQNXTDZ($A$1,$B96,AM$5,$B$1)</f>
        <v>3.66</v>
      </c>
      <c r="AN96" s="54">
        <f>_xll.EQNXTDZ($A$1,$B96,AN$5,$B$1)</f>
        <v>0</v>
      </c>
      <c r="AO96" s="54">
        <f>_xll.EQNXTDZ($A$1,$B96,AO$5,$B$1)</f>
        <v>17.079999999999998</v>
      </c>
      <c r="AP96" s="54">
        <f>_xll.EQNXTDZ($A$1,$B96,AP$5,$B$1)</f>
        <v>0</v>
      </c>
      <c r="AQ96" s="54">
        <f>_xll.EQNXTDZ($A$1,$B96,AQ$5,$B$1)</f>
        <v>14.04</v>
      </c>
      <c r="AR96" s="54">
        <f>_xll.EQNXTDZ($A$1,$B96,AR$5,$B$1)</f>
        <v>0</v>
      </c>
      <c r="AS96" s="54">
        <f>_xll.EQNXTDZ($A$1,$B96,AS$5,$B$1)</f>
        <v>28.41</v>
      </c>
      <c r="AT96" s="54">
        <f>_xll.EQNXTDZ($A$1,$B96,AT$5,$B$1)</f>
        <v>0</v>
      </c>
      <c r="AU96" s="54">
        <f>_xll.EQNXTDZ($A$1,$B96,AU$5,$B$1)</f>
        <v>26.98</v>
      </c>
      <c r="AV96" s="54">
        <f>_xll.EQNXTDZ($A$1,$B96,AV$5,$B$1)</f>
        <v>0</v>
      </c>
      <c r="AW96" s="54">
        <f>_xll.EQNXTDZ($A$1,$B96,AW$5,$B$1)</f>
        <v>18.149999999999999</v>
      </c>
      <c r="AX96" s="54">
        <f>_xll.EQNXTDZ($A$1,$B96,AX$5,$B$1)</f>
        <v>0</v>
      </c>
      <c r="AY96" s="54">
        <f>_xll.EQNXTDZ($A$1,$B96,AY$5,$B$1)</f>
        <v>14.26</v>
      </c>
      <c r="AZ96" s="54">
        <f>_xll.EQNXTDZ($A$1,$B96,AZ$5,$B$1)</f>
        <v>0</v>
      </c>
      <c r="BA96" s="54">
        <f>_xll.EQNXTDZ($A$1,$B96,BA$5,$B$1)</f>
        <v>7</v>
      </c>
      <c r="BB96" s="54">
        <f>_xll.EQNXTDZ($A$1,$B96,BB$5,$B$1)</f>
        <v>0</v>
      </c>
      <c r="BC96" s="54">
        <f>_xll.EQNXTDZ($A$1,$B96,BC$5,$B$1)</f>
        <v>1.06</v>
      </c>
      <c r="BD96" s="54">
        <f>_xll.EQNXTDZ($A$1,$B96,BD$5,$B$1)</f>
        <v>0</v>
      </c>
      <c r="BE96" s="54">
        <f>_xll.EQNXTDZ($A$1,$B96,BE$5,$B$1)</f>
        <v>-5.45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379.25</v>
      </c>
      <c r="D97" s="54">
        <f>_xll.EQNXTDZ($A$1,$B97,D$5,$B$1)</f>
        <v>0</v>
      </c>
      <c r="E97" s="54">
        <f>_xll.EQNXTDZ($A$1,$B97,E$5,$B$1)</f>
        <v>409.26</v>
      </c>
      <c r="F97" s="54">
        <f>_xll.EQNXTDZ($A$1,$B97,F$5,$B$1)</f>
        <v>0</v>
      </c>
      <c r="G97" s="54">
        <f>_xll.EQNXTDZ($A$1,$B97,G$5,$B$1)</f>
        <v>442.09</v>
      </c>
      <c r="H97" s="54">
        <f>_xll.EQNXTDZ($A$1,$B97,H$5,$B$1)</f>
        <v>0</v>
      </c>
      <c r="I97" s="54">
        <f>_xll.EQNXTDZ($A$1,$B97,I$5,$B$1)</f>
        <v>452.11</v>
      </c>
      <c r="J97" s="54">
        <f>_xll.EQNXTDZ($A$1,$B97,J$5,$B$1)</f>
        <v>0</v>
      </c>
      <c r="K97" s="54">
        <f>_xll.EQNXTDZ($A$1,$B97,K$5,$B$1)</f>
        <v>484.68</v>
      </c>
      <c r="L97" s="54">
        <f>_xll.EQNXTDZ($A$1,$B97,L$5,$B$1)</f>
        <v>0</v>
      </c>
      <c r="M97" s="54">
        <f>_xll.EQNXTDZ($A$1,$B97,M$5,$B$1)</f>
        <v>626.36</v>
      </c>
      <c r="N97" s="54">
        <f>_xll.EQNXTDZ($A$1,$B97,N$5,$B$1)</f>
        <v>0</v>
      </c>
      <c r="O97" s="54">
        <f>_xll.EQNXTDZ($A$1,$B97,O$5,$B$1)</f>
        <v>1142.28</v>
      </c>
      <c r="P97" s="54">
        <f>_xll.EQNXTDZ($A$1,$B97,P$5,$B$1)</f>
        <v>0</v>
      </c>
      <c r="Q97" s="54">
        <f>_xll.EQNXTDZ($A$1,$B97,Q$5,$B$1)</f>
        <v>1119.81</v>
      </c>
      <c r="R97" s="54">
        <f>_xll.EQNXTDZ($A$1,$B97,R$5,$B$1)</f>
        <v>0</v>
      </c>
      <c r="S97" s="54">
        <f>_xll.EQNXTDZ($A$1,$B97,S$5,$B$1)</f>
        <v>1159.6500000000001</v>
      </c>
      <c r="T97" s="54">
        <f>_xll.EQNXTDZ($A$1,$B97,T$5,$B$1)</f>
        <v>0</v>
      </c>
      <c r="U97" s="54">
        <f>_xll.EQNXTDZ($A$1,$B97,U$5,$B$1)</f>
        <v>1121.27</v>
      </c>
      <c r="V97" s="54">
        <f>_xll.EQNXTDZ($A$1,$B97,V$5,$B$1)</f>
        <v>0</v>
      </c>
      <c r="W97" s="54">
        <f>_xll.EQNXTDZ($A$1,$B97,W$5,$B$1)</f>
        <v>912.63</v>
      </c>
      <c r="X97" s="54">
        <f>_xll.EQNXTDZ($A$1,$B97,X$5,$B$1)</f>
        <v>0</v>
      </c>
      <c r="Y97" s="54">
        <f>_xll.EQNXTDZ($A$1,$B97,Y$5,$B$1)</f>
        <v>959.13</v>
      </c>
      <c r="Z97" s="54">
        <f>_xll.EQNXTDZ($A$1,$B97,Z$5,$B$1)</f>
        <v>0</v>
      </c>
      <c r="AA97" s="54">
        <f>_xll.EQNXTDZ($A$1,$B97,AA$5,$B$1)</f>
        <v>962.61</v>
      </c>
      <c r="AB97" s="54">
        <f>_xll.EQNXTDZ($A$1,$B97,AB$5,$B$1)</f>
        <v>0</v>
      </c>
      <c r="AC97" s="54">
        <f>_xll.EQNXTDZ($A$1,$B97,AC$5,$B$1)</f>
        <v>962.11</v>
      </c>
      <c r="AD97" s="54">
        <f>_xll.EQNXTDZ($A$1,$B97,AD$5,$B$1)</f>
        <v>0</v>
      </c>
      <c r="AE97" s="54">
        <f>_xll.EQNXTDZ($A$1,$B97,AE$5,$B$1)</f>
        <v>617.11</v>
      </c>
      <c r="AF97" s="54">
        <f>_xll.EQNXTDZ($A$1,$B97,AF$5,$B$1)</f>
        <v>0</v>
      </c>
      <c r="AG97" s="54">
        <f>_xll.EQNXTDZ($A$1,$B97,AG$5,$B$1)</f>
        <v>812.48</v>
      </c>
      <c r="AH97" s="54">
        <f>_xll.EQNXTDZ($A$1,$B97,AH$5,$B$1)</f>
        <v>0</v>
      </c>
      <c r="AI97" s="54">
        <f>_xll.EQNXTDZ($A$1,$B97,AI$5,$B$1)</f>
        <v>791.04</v>
      </c>
      <c r="AJ97" s="54">
        <f>_xll.EQNXTDZ($A$1,$B97,AJ$5,$B$1)</f>
        <v>0</v>
      </c>
      <c r="AK97" s="54">
        <f>_xll.EQNXTDZ($A$1,$B97,AK$5,$B$1)</f>
        <v>950.59</v>
      </c>
      <c r="AL97" s="54">
        <f>_xll.EQNXTDZ($A$1,$B97,AL$5,$B$1)</f>
        <v>0</v>
      </c>
      <c r="AM97" s="54">
        <f>_xll.EQNXTDZ($A$1,$B97,AM$5,$B$1)</f>
        <v>1076.6199999999999</v>
      </c>
      <c r="AN97" s="54">
        <f>_xll.EQNXTDZ($A$1,$B97,AN$5,$B$1)</f>
        <v>0</v>
      </c>
      <c r="AO97" s="54">
        <f>_xll.EQNXTDZ($A$1,$B97,AO$5,$B$1)</f>
        <v>984.95</v>
      </c>
      <c r="AP97" s="54">
        <f>_xll.EQNXTDZ($A$1,$B97,AP$5,$B$1)</f>
        <v>0</v>
      </c>
      <c r="AQ97" s="54">
        <f>_xll.EQNXTDZ($A$1,$B97,AQ$5,$B$1)</f>
        <v>992.51</v>
      </c>
      <c r="AR97" s="54">
        <f>_xll.EQNXTDZ($A$1,$B97,AR$5,$B$1)</f>
        <v>0</v>
      </c>
      <c r="AS97" s="54">
        <f>_xll.EQNXTDZ($A$1,$B97,AS$5,$B$1)</f>
        <v>1011.36</v>
      </c>
      <c r="AT97" s="54">
        <f>_xll.EQNXTDZ($A$1,$B97,AT$5,$B$1)</f>
        <v>0</v>
      </c>
      <c r="AU97" s="54">
        <f>_xll.EQNXTDZ($A$1,$B97,AU$5,$B$1)</f>
        <v>1048.92</v>
      </c>
      <c r="AV97" s="54">
        <f>_xll.EQNXTDZ($A$1,$B97,AV$5,$B$1)</f>
        <v>0</v>
      </c>
      <c r="AW97" s="54">
        <f>_xll.EQNXTDZ($A$1,$B97,AW$5,$B$1)</f>
        <v>1415.81</v>
      </c>
      <c r="AX97" s="54">
        <f>_xll.EQNXTDZ($A$1,$B97,AX$5,$B$1)</f>
        <v>0</v>
      </c>
      <c r="AY97" s="54">
        <f>_xll.EQNXTDZ($A$1,$B97,AY$5,$B$1)</f>
        <v>1443.11</v>
      </c>
      <c r="AZ97" s="54">
        <f>_xll.EQNXTDZ($A$1,$B97,AZ$5,$B$1)</f>
        <v>0</v>
      </c>
      <c r="BA97" s="54">
        <f>_xll.EQNXTDZ($A$1,$B97,BA$5,$B$1)</f>
        <v>1359.88</v>
      </c>
      <c r="BB97" s="54">
        <f>_xll.EQNXTDZ($A$1,$B97,BB$5,$B$1)</f>
        <v>0</v>
      </c>
      <c r="BC97" s="54">
        <f>_xll.EQNXTDZ($A$1,$B97,BC$5,$B$1)</f>
        <v>1394.89</v>
      </c>
      <c r="BD97" s="54">
        <f>_xll.EQNXTDZ($A$1,$B97,BD$5,$B$1)</f>
        <v>0</v>
      </c>
      <c r="BE97" s="54">
        <f>_xll.EQNXTDZ($A$1,$B97,BE$5,$B$1)</f>
        <v>1451.31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109820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Huhtamaki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200212</v>
      </c>
      <c r="F5">
        <f>_xll.EQNXTDZ($A$1,$B5,F$1,$B$1)</f>
        <v>200312</v>
      </c>
      <c r="G5">
        <f>_xll.EQNXTDZ($A$1,$B5,G$1,$B$1)</f>
        <v>200412</v>
      </c>
      <c r="H5">
        <f>_xll.EQNXTDZ($A$1,$B5,H$1,$B$1)</f>
        <v>200512</v>
      </c>
      <c r="I5">
        <f>_xll.EQNXTDZ($A$1,$B5,I$1,$B$1)</f>
        <v>200612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354.2851</v>
      </c>
      <c r="F6">
        <f>_xll.EQNXTDZ($A$1,$B6,F$1,$B$1)</f>
        <v>416.18239999999997</v>
      </c>
      <c r="G6">
        <f>_xll.EQNXTDZ($A$1,$B6,G$1,$B$1)</f>
        <v>424.95269999999999</v>
      </c>
      <c r="H6">
        <f>_xll.EQNXTDZ($A$1,$B6,H$1,$B$1)</f>
        <v>468.3587</v>
      </c>
      <c r="I6">
        <f>_xll.EQNXTDZ($A$1,$B6,I$1,$B$1)</f>
        <v>547.36689999999999</v>
      </c>
      <c r="J6">
        <f>_xll.EQNXTDZ($A$1,$B6,J$1,$B$1)</f>
        <v>607.7681</v>
      </c>
      <c r="K6">
        <f>_xll.EQNXTDZ($A$1,$B6,K$1,$B$1)</f>
        <v>681.13829999999996</v>
      </c>
      <c r="L6">
        <f>_xll.EQNXTDZ($A$1,$B6,L$1,$B$1)</f>
        <v>626.23069999999996</v>
      </c>
      <c r="M6">
        <f>_xll.EQNXTDZ($A$1,$B6,M$1,$B$1)</f>
        <v>770.33429999999998</v>
      </c>
      <c r="N6">
        <f>_xll.EQNXTDZ($A$1,$B6,N$1,$B$1)</f>
        <v>851.40409999999997</v>
      </c>
      <c r="O6">
        <f>_xll.EQNXTDZ($A$1,$B6,O$1,$B$1)</f>
        <v>961.56740000000002</v>
      </c>
      <c r="P6">
        <f>_xll.EQNXTDZ($A$1,$B6,P$1,$B$1)</f>
        <v>1158.7182</v>
      </c>
      <c r="Q6">
        <f>_xll.EQNXTDZ($A$1,$B6,Q$1,$B$1)</f>
        <v>1311.6132</v>
      </c>
      <c r="R6">
        <f>_xll.EQNXTDZ($A$1,$B6,R$1,$B$1)</f>
        <v>2196.2393000000002</v>
      </c>
      <c r="S6">
        <f>_xll.EQNXTDZ($A$1,$B6,S$1,$B$1)</f>
        <v>2360.2952</v>
      </c>
      <c r="T6">
        <f>_xll.EQNXTDZ($A$1,$B6,T$1,$B$1)</f>
        <v>2229.6860000000001</v>
      </c>
      <c r="U6">
        <f>_xll.EQNXTDZ($A$1,$B6,U$1,$B$1)</f>
        <v>2388.1905000000002</v>
      </c>
      <c r="V6">
        <f>_xll.EQNXTDZ($A$1,$B6,V$1,$B$1)</f>
        <v>2617.4499999999998</v>
      </c>
      <c r="W6">
        <f>_xll.EQNXTDZ($A$1,$B6,W$1,$B$1)</f>
        <v>2482.9499999999998</v>
      </c>
      <c r="X6">
        <f>_xll.EQNXTDZ($A$1,$B6,X$1,$B$1)</f>
        <v>2648.19</v>
      </c>
      <c r="Y6">
        <f>_xll.EQNXTDZ($A$1,$B6,Y$1,$B$1)</f>
        <v>3009.82</v>
      </c>
      <c r="Z6">
        <f>_xll.EQNXTDZ($A$1,$B6,Z$1,$B$1)</f>
        <v>2580.7199999999998</v>
      </c>
      <c r="AA6">
        <f>_xll.EQNXTDZ($A$1,$B6,AA$1,$B$1)</f>
        <v>2537.35</v>
      </c>
      <c r="AB6">
        <f>_xll.EQNXTDZ($A$1,$B6,AB$1,$B$1)</f>
        <v>2488.1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-25.2562</v>
      </c>
      <c r="F7">
        <f>_xll.EQNXTDZ($A$1,$B7,F$1,$B$1)</f>
        <v>-32.466900000000003</v>
      </c>
      <c r="G7">
        <f>_xll.EQNXTDZ($A$1,$B7,G$1,$B$1)</f>
        <v>-34.229300000000002</v>
      </c>
      <c r="H7">
        <f>_xll.EQNXTDZ($A$1,$B7,H$1,$B$1)</f>
        <v>-37.020400000000002</v>
      </c>
      <c r="I7">
        <f>_xll.EQNXTDZ($A$1,$B7,I$1,$B$1)</f>
        <v>-38.864400000000003</v>
      </c>
      <c r="J7">
        <f>_xll.EQNXTDZ($A$1,$B7,J$1,$B$1)</f>
        <v>-40.481999999999999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3.6471</v>
      </c>
      <c r="F8">
        <f>_xll.EQNXTDZ($A$1,$B8,F$1,$B$1)</f>
        <v>5.4855999999999998</v>
      </c>
      <c r="G8">
        <f>_xll.EQNXTDZ($A$1,$B8,G$1,$B$1)</f>
        <v>5.2702999999999998</v>
      </c>
      <c r="H8">
        <f>_xll.EQNXTDZ($A$1,$B8,H$1,$B$1)</f>
        <v>6.9714</v>
      </c>
      <c r="I8">
        <f>_xll.EQNXTDZ($A$1,$B8,I$1,$B$1)</f>
        <v>6.6637000000000004</v>
      </c>
      <c r="J8">
        <f>_xll.EQNXTDZ($A$1,$B8,J$1,$B$1)</f>
        <v>4.9824000000000002</v>
      </c>
      <c r="K8">
        <f>_xll.EQNXTDZ($A$1,$B8,K$1,$B$1)</f>
        <v>6.3868</v>
      </c>
      <c r="L8">
        <f>_xll.EQNXTDZ($A$1,$B8,L$1,$B$1)</f>
        <v>8.2660999999999998</v>
      </c>
      <c r="M8">
        <f>_xll.EQNXTDZ($A$1,$B8,M$1,$B$1)</f>
        <v>9.0033999999999992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19.1188</v>
      </c>
      <c r="V8">
        <f>_xll.EQNXTDZ($A$1,$B8,V$1,$B$1)</f>
        <v>18.47</v>
      </c>
      <c r="W8">
        <f>_xll.EQNXTDZ($A$1,$B8,W$1,$B$1)</f>
        <v>20.25</v>
      </c>
      <c r="X8">
        <f>_xll.EQNXTDZ($A$1,$B8,X$1,$B$1)</f>
        <v>22.91</v>
      </c>
      <c r="Y8">
        <f>_xll.EQNXTDZ($A$1,$B8,Y$1,$B$1)</f>
        <v>26.9</v>
      </c>
      <c r="Z8">
        <f>_xll.EQNXTDZ($A$1,$B8,Z$1,$B$1)</f>
        <v>31.28</v>
      </c>
      <c r="AA8">
        <f>_xll.EQNXTDZ($A$1,$B8,AA$1,$B$1)</f>
        <v>16.170000000000002</v>
      </c>
      <c r="AB8">
        <f>_xll.EQNXTDZ($A$1,$B8,AB$1,$B$1)</f>
        <v>18.690000000000001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53.706899999999997</v>
      </c>
      <c r="F9">
        <f>_xll.EQNXTDZ($A$1,$B9,F$1,$B$1)</f>
        <v>60.5458</v>
      </c>
      <c r="G9">
        <f>_xll.EQNXTDZ($A$1,$B9,G$1,$B$1)</f>
        <v>59.890599999999999</v>
      </c>
      <c r="H9">
        <f>_xll.EQNXTDZ($A$1,$B9,H$1,$B$1)</f>
        <v>65.547300000000007</v>
      </c>
      <c r="I9">
        <f>_xll.EQNXTDZ($A$1,$B9,I$1,$B$1)</f>
        <v>78.362700000000004</v>
      </c>
      <c r="J9">
        <f>_xll.EQNXTDZ($A$1,$B9,J$1,$B$1)</f>
        <v>72.680300000000003</v>
      </c>
      <c r="K9">
        <f>_xll.EQNXTDZ($A$1,$B9,K$1,$B$1)</f>
        <v>62.6631</v>
      </c>
      <c r="L9">
        <f>_xll.EQNXTDZ($A$1,$B9,L$1,$B$1)</f>
        <v>40.272300000000001</v>
      </c>
      <c r="M9">
        <f>_xll.EQNXTDZ($A$1,$B9,M$1,$B$1)</f>
        <v>44.994500000000002</v>
      </c>
      <c r="N9">
        <f>_xll.EQNXTDZ($A$1,$B9,N$1,$B$1)</f>
        <v>48.238999999999997</v>
      </c>
      <c r="O9">
        <f>_xll.EQNXTDZ($A$1,$B9,O$1,$B$1)</f>
        <v>60.9801</v>
      </c>
      <c r="P9">
        <f>_xll.EQNXTDZ($A$1,$B9,P$1,$B$1)</f>
        <v>73.217799999999997</v>
      </c>
      <c r="Q9">
        <f>_xll.EQNXTDZ($A$1,$B9,Q$1,$B$1)</f>
        <v>86.279399999999995</v>
      </c>
      <c r="R9">
        <f>_xll.EQNXTDZ($A$1,$B9,R$1,$B$1)</f>
        <v>158.85650000000001</v>
      </c>
      <c r="S9">
        <f>_xll.EQNXTDZ($A$1,$B9,S$1,$B$1)</f>
        <v>179.13730000000001</v>
      </c>
      <c r="T9">
        <f>_xll.EQNXTDZ($A$1,$B9,T$1,$B$1)</f>
        <v>98.743799999999993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322.18729999999999</v>
      </c>
      <c r="F10">
        <f>_xll.EQNXTDZ($A$1,$B10,F$1,$B$1)</f>
        <v>382.61790000000002</v>
      </c>
      <c r="G10">
        <f>_xll.EQNXTDZ($A$1,$B10,G$1,$B$1)</f>
        <v>394.02109999999999</v>
      </c>
      <c r="H10">
        <f>_xll.EQNXTDZ($A$1,$B10,H$1,$B$1)</f>
        <v>432.86040000000003</v>
      </c>
      <c r="I10">
        <f>_xll.EQNXTDZ($A$1,$B10,I$1,$B$1)</f>
        <v>501.20490000000001</v>
      </c>
      <c r="J10">
        <f>_xll.EQNXTDZ($A$1,$B10,J$1,$B$1)</f>
        <v>570.5874</v>
      </c>
      <c r="K10">
        <f>_xll.EQNXTDZ($A$1,$B10,K$1,$B$1)</f>
        <v>612.08839999999998</v>
      </c>
      <c r="L10">
        <f>_xll.EQNXTDZ($A$1,$B10,L$1,$B$1)</f>
        <v>577.69230000000005</v>
      </c>
      <c r="M10">
        <f>_xll.EQNXTDZ($A$1,$B10,M$1,$B$1)</f>
        <v>716.33640000000003</v>
      </c>
      <c r="N10">
        <f>_xll.EQNXTDZ($A$1,$B10,N$1,$B$1)</f>
        <v>803.16510000000005</v>
      </c>
      <c r="O10">
        <f>_xll.EQNXTDZ($A$1,$B10,O$1,$B$1)</f>
        <v>900.58730000000003</v>
      </c>
      <c r="P10">
        <f>_xll.EQNXTDZ($A$1,$B10,P$1,$B$1)</f>
        <v>1085.5003999999999</v>
      </c>
      <c r="Q10">
        <f>_xll.EQNXTDZ($A$1,$B10,Q$1,$B$1)</f>
        <v>1225.3338000000001</v>
      </c>
      <c r="R10">
        <f>_xll.EQNXTDZ($A$1,$B10,R$1,$B$1)</f>
        <v>2037.3828000000001</v>
      </c>
      <c r="S10">
        <f>_xll.EQNXTDZ($A$1,$B10,S$1,$B$1)</f>
        <v>2181.1579000000002</v>
      </c>
      <c r="T10">
        <f>_xll.EQNXTDZ($A$1,$B10,T$1,$B$1)</f>
        <v>2130.9422</v>
      </c>
      <c r="U10">
        <f>_xll.EQNXTDZ($A$1,$B10,U$1,$B$1)</f>
        <v>2369.0717</v>
      </c>
      <c r="V10">
        <f>_xll.EQNXTDZ($A$1,$B10,V$1,$B$1)</f>
        <v>2598.98</v>
      </c>
      <c r="W10">
        <f>_xll.EQNXTDZ($A$1,$B10,W$1,$B$1)</f>
        <v>2462.6999999999998</v>
      </c>
      <c r="X10">
        <f>_xll.EQNXTDZ($A$1,$B10,X$1,$B$1)</f>
        <v>2625.28</v>
      </c>
      <c r="Y10">
        <f>_xll.EQNXTDZ($A$1,$B10,Y$1,$B$1)</f>
        <v>2982.92</v>
      </c>
      <c r="Z10">
        <f>_xll.EQNXTDZ($A$1,$B10,Z$1,$B$1)</f>
        <v>2549.44</v>
      </c>
      <c r="AA10">
        <f>_xll.EQNXTDZ($A$1,$B10,AA$1,$B$1)</f>
        <v>2521.1799999999998</v>
      </c>
      <c r="AB10">
        <f>_xll.EQNXTDZ($A$1,$B10,AB$1,$B$1)</f>
        <v>2469.41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1.5387</v>
      </c>
      <c r="F11">
        <f>_xll.EQNXTDZ($A$1,$B11,F$1,$B$1)</f>
        <v>-3.5804999999999998</v>
      </c>
      <c r="G11">
        <f>_xll.EQNXTDZ($A$1,$B11,G$1,$B$1)</f>
        <v>0.91349999999999998</v>
      </c>
      <c r="H11">
        <f>_xll.EQNXTDZ($A$1,$B11,H$1,$B$1)</f>
        <v>-3.0594999999999999</v>
      </c>
      <c r="I11">
        <f>_xll.EQNXTDZ($A$1,$B11,I$1,$B$1)</f>
        <v>0.1137</v>
      </c>
      <c r="J11">
        <f>_xll.EQNXTDZ($A$1,$B11,J$1,$B$1)</f>
        <v>-7.5251000000000001</v>
      </c>
      <c r="K11">
        <f>_xll.EQNXTDZ($A$1,$B11,K$1,$B$1)</f>
        <v>1.9458</v>
      </c>
      <c r="L11">
        <f>_xll.EQNXTDZ($A$1,$B11,L$1,$B$1)</f>
        <v>-2.7652999999999999</v>
      </c>
      <c r="M11">
        <f>_xll.EQNXTDZ($A$1,$B11,M$1,$B$1)</f>
        <v>-6.4180999999999999</v>
      </c>
      <c r="N11">
        <f>_xll.EQNXTDZ($A$1,$B11,N$1,$B$1)</f>
        <v>0.91700000000000004</v>
      </c>
      <c r="O11">
        <f>_xll.EQNXTDZ($A$1,$B11,O$1,$B$1)</f>
        <v>3.6709999999999998</v>
      </c>
      <c r="P11">
        <f>_xll.EQNXTDZ($A$1,$B11,P$1,$B$1)</f>
        <v>2.4279999999999999</v>
      </c>
      <c r="Q11">
        <f>_xll.EQNXTDZ($A$1,$B11,Q$1,$B$1)</f>
        <v>-5.3442999999999996</v>
      </c>
      <c r="R11">
        <f>_xll.EQNXTDZ($A$1,$B11,R$1,$B$1)</f>
        <v>-19.28</v>
      </c>
      <c r="S11">
        <f>_xll.EQNXTDZ($A$1,$B11,S$1,$B$1)</f>
        <v>-5.7445000000000004</v>
      </c>
      <c r="T11">
        <f>_xll.EQNXTDZ($A$1,$B11,T$1,$B$1)</f>
        <v>3.2957000000000001</v>
      </c>
      <c r="U11">
        <f>_xll.EQNXTDZ($A$1,$B11,U$1,$B$1)</f>
        <v>-11.6408</v>
      </c>
      <c r="V11">
        <f>_xll.EQNXTDZ($A$1,$B11,V$1,$B$1)</f>
        <v>1.84</v>
      </c>
      <c r="W11">
        <f>_xll.EQNXTDZ($A$1,$B11,W$1,$B$1)</f>
        <v>-10.77</v>
      </c>
      <c r="X11">
        <f>_xll.EQNXTDZ($A$1,$B11,X$1,$B$1)</f>
        <v>-54.44</v>
      </c>
      <c r="Y11">
        <f>_xll.EQNXTDZ($A$1,$B11,Y$1,$B$1)</f>
        <v>15.84</v>
      </c>
      <c r="Z11">
        <f>_xll.EQNXTDZ($A$1,$B11,Z$1,$B$1)</f>
        <v>16.489999999999998</v>
      </c>
      <c r="AA11">
        <f>_xll.EQNXTDZ($A$1,$B11,AA$1,$B$1)</f>
        <v>17.5</v>
      </c>
      <c r="AB11">
        <f>_xll.EQNXTDZ($A$1,$B11,AB$1,$B$1)</f>
        <v>10.15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203.77359999999999</v>
      </c>
      <c r="F12">
        <f>_xll.EQNXTDZ($A$1,$B12,F$1,$B$1)</f>
        <v>259.70679999999999</v>
      </c>
      <c r="G12">
        <f>_xll.EQNXTDZ($A$1,$B12,G$1,$B$1)</f>
        <v>266.15499999999997</v>
      </c>
      <c r="H12">
        <f>_xll.EQNXTDZ($A$1,$B12,H$1,$B$1)</f>
        <v>297.60019999999997</v>
      </c>
      <c r="I12">
        <f>_xll.EQNXTDZ($A$1,$B12,I$1,$B$1)</f>
        <v>345.87540000000001</v>
      </c>
      <c r="J12">
        <f>_xll.EQNXTDZ($A$1,$B12,J$1,$B$1)</f>
        <v>409.03739999999999</v>
      </c>
      <c r="K12">
        <f>_xll.EQNXTDZ($A$1,$B12,K$1,$B$1)</f>
        <v>419.30669999999998</v>
      </c>
      <c r="L12">
        <f>_xll.EQNXTDZ($A$1,$B12,L$1,$B$1)</f>
        <v>380.42419999999998</v>
      </c>
      <c r="M12">
        <f>_xll.EQNXTDZ($A$1,$B12,M$1,$B$1)</f>
        <v>497.2276</v>
      </c>
      <c r="N12">
        <f>_xll.EQNXTDZ($A$1,$B12,N$1,$B$1)</f>
        <v>556.51670000000001</v>
      </c>
      <c r="O12">
        <f>_xll.EQNXTDZ($A$1,$B12,O$1,$B$1)</f>
        <v>621.23580000000004</v>
      </c>
      <c r="P12">
        <f>_xll.EQNXTDZ($A$1,$B12,P$1,$B$1)</f>
        <v>749.87040000000002</v>
      </c>
      <c r="Q12">
        <f>_xll.EQNXTDZ($A$1,$B12,Q$1,$B$1)</f>
        <v>877.07100000000003</v>
      </c>
      <c r="R12">
        <f>_xll.EQNXTDZ($A$1,$B12,R$1,$B$1)</f>
        <v>1385.845</v>
      </c>
      <c r="S12">
        <f>_xll.EQNXTDZ($A$1,$B12,S$1,$B$1)</f>
        <v>1472.8475000000001</v>
      </c>
      <c r="T12">
        <f>_xll.EQNXTDZ($A$1,$B12,T$1,$B$1)</f>
        <v>1425</v>
      </c>
      <c r="U12">
        <f>_xll.EQNXTDZ($A$1,$B12,U$1,$B$1)</f>
        <v>1619.336</v>
      </c>
      <c r="V12">
        <f>_xll.EQNXTDZ($A$1,$B12,V$1,$B$1)</f>
        <v>1726.63</v>
      </c>
      <c r="W12">
        <f>_xll.EQNXTDZ($A$1,$B12,W$1,$B$1)</f>
        <v>1623.21</v>
      </c>
      <c r="X12">
        <f>_xll.EQNXTDZ($A$1,$B12,X$1,$B$1)</f>
        <v>1926.68</v>
      </c>
      <c r="Y12">
        <f>_xll.EQNXTDZ($A$1,$B12,Y$1,$B$1)</f>
        <v>2167.9</v>
      </c>
      <c r="Z12">
        <f>_xll.EQNXTDZ($A$1,$B12,Z$1,$B$1)</f>
        <v>1720.22</v>
      </c>
      <c r="AA12">
        <f>_xll.EQNXTDZ($A$1,$B12,AA$1,$B$1)</f>
        <v>1722.27</v>
      </c>
      <c r="AB12">
        <f>_xll.EQNXTDZ($A$1,$B12,AB$1,$B$1)</f>
        <v>1620.07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10.013999999999999</v>
      </c>
      <c r="F13">
        <f>_xll.EQNXTDZ($A$1,$B13,F$1,$B$1)</f>
        <v>12.0829</v>
      </c>
      <c r="G13">
        <f>_xll.EQNXTDZ($A$1,$B13,G$1,$B$1)</f>
        <v>12.351900000000001</v>
      </c>
      <c r="H13">
        <f>_xll.EQNXTDZ($A$1,$B13,H$1,$B$1)</f>
        <v>15.2928</v>
      </c>
      <c r="I13">
        <f>_xll.EQNXTDZ($A$1,$B13,I$1,$B$1)</f>
        <v>17.808800000000002</v>
      </c>
      <c r="J13">
        <f>_xll.EQNXTDZ($A$1,$B13,J$1,$B$1)</f>
        <v>16.944900000000001</v>
      </c>
      <c r="K13">
        <f>_xll.EQNXTDZ($A$1,$B13,K$1,$B$1)</f>
        <v>19.994700000000002</v>
      </c>
      <c r="L13">
        <f>_xll.EQNXTDZ($A$1,$B13,L$1,$B$1)</f>
        <v>19.994700000000002</v>
      </c>
      <c r="M13">
        <f>_xll.EQNXTDZ($A$1,$B13,M$1,$B$1)</f>
        <v>21.624099999999999</v>
      </c>
      <c r="N13">
        <f>_xll.EQNXTDZ($A$1,$B13,N$1,$B$1)</f>
        <v>24.309200000000001</v>
      </c>
      <c r="O13">
        <f>_xll.EQNXTDZ($A$1,$B13,O$1,$B$1)</f>
        <v>32.919199999999996</v>
      </c>
      <c r="P13">
        <f>_xll.EQNXTDZ($A$1,$B13,P$1,$B$1)</f>
        <v>38.2911</v>
      </c>
      <c r="Q13">
        <f>_xll.EQNXTDZ($A$1,$B13,Q$1,$B$1)</f>
        <v>39.007599999999996</v>
      </c>
      <c r="R13">
        <f>_xll.EQNXTDZ($A$1,$B13,R$1,$B$1)</f>
        <v>70.941500000000005</v>
      </c>
      <c r="S13">
        <f>_xll.EQNXTDZ($A$1,$B13,S$1,$B$1)</f>
        <v>74.832999999999998</v>
      </c>
      <c r="T13">
        <f>_xll.EQNXTDZ($A$1,$B13,T$1,$B$1)</f>
        <v>77.218699999999998</v>
      </c>
      <c r="U13">
        <f>_xll.EQNXTDZ($A$1,$B13,U$1,$B$1)</f>
        <v>85.272300000000001</v>
      </c>
      <c r="V13">
        <f>_xll.EQNXTDZ($A$1,$B13,V$1,$B$1)</f>
        <v>85.93</v>
      </c>
      <c r="W13">
        <f>_xll.EQNXTDZ($A$1,$B13,W$1,$B$1)</f>
        <v>77.75</v>
      </c>
      <c r="X13">
        <f>_xll.EQNXTDZ($A$1,$B13,X$1,$B$1)</f>
        <v>81.52</v>
      </c>
      <c r="Y13">
        <f>_xll.EQNXTDZ($A$1,$B13,Y$1,$B$1)</f>
        <v>90.82</v>
      </c>
      <c r="Z13">
        <f>_xll.EQNXTDZ($A$1,$B13,Z$1,$B$1)</f>
        <v>87.64</v>
      </c>
      <c r="AA13">
        <f>_xll.EQNXTDZ($A$1,$B13,AA$1,$B$1)</f>
        <v>82.99</v>
      </c>
      <c r="AB13">
        <f>_xll.EQNXTDZ($A$1,$B13,AB$1,$B$1)</f>
        <v>81.59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22.0504</v>
      </c>
      <c r="F14">
        <f>_xll.EQNXTDZ($A$1,$B14,F$1,$B$1)</f>
        <v>26.011900000000001</v>
      </c>
      <c r="G14">
        <f>_xll.EQNXTDZ($A$1,$B14,G$1,$B$1)</f>
        <v>28.753799999999998</v>
      </c>
      <c r="H14">
        <f>_xll.EQNXTDZ($A$1,$B14,H$1,$B$1)</f>
        <v>30.764700000000001</v>
      </c>
      <c r="I14">
        <f>_xll.EQNXTDZ($A$1,$B14,I$1,$B$1)</f>
        <v>36.058100000000003</v>
      </c>
      <c r="J14">
        <f>_xll.EQNXTDZ($A$1,$B14,J$1,$B$1)</f>
        <v>41.7776</v>
      </c>
      <c r="K14">
        <f>_xll.EQNXTDZ($A$1,$B14,K$1,$B$1)</f>
        <v>48.746400000000001</v>
      </c>
      <c r="L14">
        <f>_xll.EQNXTDZ($A$1,$B14,L$1,$B$1)</f>
        <v>46.5242</v>
      </c>
      <c r="M14">
        <f>_xll.EQNXTDZ($A$1,$B14,M$1,$B$1)</f>
        <v>55.240499999999997</v>
      </c>
      <c r="N14">
        <f>_xll.EQNXTDZ($A$1,$B14,N$1,$B$1)</f>
        <v>63.929699999999997</v>
      </c>
      <c r="O14">
        <f>_xll.EQNXTDZ($A$1,$B14,O$1,$B$1)</f>
        <v>70.983199999999997</v>
      </c>
      <c r="P14">
        <f>_xll.EQNXTDZ($A$1,$B14,P$1,$B$1)</f>
        <v>84.098200000000006</v>
      </c>
      <c r="Q14">
        <f>_xll.EQNXTDZ($A$1,$B14,Q$1,$B$1)</f>
        <v>92.248400000000004</v>
      </c>
      <c r="R14">
        <f>_xll.EQNXTDZ($A$1,$B14,R$1,$B$1)</f>
        <v>177.03790000000001</v>
      </c>
      <c r="S14">
        <f>_xll.EQNXTDZ($A$1,$B14,S$1,$B$1)</f>
        <v>194.25399999999999</v>
      </c>
      <c r="T14">
        <f>_xll.EQNXTDZ($A$1,$B14,T$1,$B$1)</f>
        <v>209.1207</v>
      </c>
      <c r="U14">
        <f>_xll.EQNXTDZ($A$1,$B14,U$1,$B$1)</f>
        <v>235.1711</v>
      </c>
      <c r="V14">
        <f>_xll.EQNXTDZ($A$1,$B14,V$1,$B$1)</f>
        <v>251.73</v>
      </c>
      <c r="W14">
        <f>_xll.EQNXTDZ($A$1,$B14,W$1,$B$1)</f>
        <v>276.05</v>
      </c>
      <c r="X14">
        <f>_xll.EQNXTDZ($A$1,$B14,X$1,$B$1)</f>
        <v>257.77</v>
      </c>
      <c r="Y14">
        <f>_xll.EQNXTDZ($A$1,$B14,Y$1,$B$1)</f>
        <v>253.59</v>
      </c>
      <c r="Z14">
        <f>_xll.EQNXTDZ($A$1,$B14,Z$1,$B$1)</f>
        <v>255.47</v>
      </c>
      <c r="AA14">
        <f>_xll.EQNXTDZ($A$1,$B14,AA$1,$B$1)</f>
        <v>254.24</v>
      </c>
      <c r="AB14">
        <f>_xll.EQNXTDZ($A$1,$B14,AB$1,$B$1)</f>
        <v>258.95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9.2348999999999997</v>
      </c>
      <c r="F15">
        <f>_xll.EQNXTDZ($A$1,$B15,F$1,$B$1)</f>
        <v>11.8431</v>
      </c>
      <c r="G15">
        <f>_xll.EQNXTDZ($A$1,$B15,G$1,$B$1)</f>
        <v>13.27</v>
      </c>
      <c r="H15">
        <f>_xll.EQNXTDZ($A$1,$B15,H$1,$B$1)</f>
        <v>14.5692</v>
      </c>
      <c r="I15">
        <f>_xll.EQNXTDZ($A$1,$B15,I$1,$B$1)</f>
        <v>20.029499999999999</v>
      </c>
      <c r="J15">
        <f>_xll.EQNXTDZ($A$1,$B15,J$1,$B$1)</f>
        <v>22.350999999999999</v>
      </c>
      <c r="K15">
        <f>_xll.EQNXTDZ($A$1,$B15,K$1,$B$1)</f>
        <v>24.403400000000001</v>
      </c>
      <c r="L15">
        <f>_xll.EQNXTDZ($A$1,$B15,L$1,$B$1)</f>
        <v>26.564599999999999</v>
      </c>
      <c r="M15">
        <f>_xll.EQNXTDZ($A$1,$B15,M$1,$B$1)</f>
        <v>28.903400000000001</v>
      </c>
      <c r="N15">
        <f>_xll.EQNXTDZ($A$1,$B15,N$1,$B$1)</f>
        <v>27.5563</v>
      </c>
      <c r="O15">
        <f>_xll.EQNXTDZ($A$1,$B15,O$1,$B$1)</f>
        <v>30.7821</v>
      </c>
      <c r="P15">
        <f>_xll.EQNXTDZ($A$1,$B15,P$1,$B$1)</f>
        <v>35.703600000000002</v>
      </c>
      <c r="Q15">
        <f>_xll.EQNXTDZ($A$1,$B15,Q$1,$B$1)</f>
        <v>37.591200000000001</v>
      </c>
      <c r="R15">
        <f>_xll.EQNXTDZ($A$1,$B15,R$1,$B$1)</f>
        <v>79.393100000000004</v>
      </c>
      <c r="S15">
        <f>_xll.EQNXTDZ($A$1,$B15,S$1,$B$1)</f>
        <v>77.342100000000002</v>
      </c>
      <c r="T15">
        <f>_xll.EQNXTDZ($A$1,$B15,T$1,$B$1)</f>
        <v>77.644900000000007</v>
      </c>
      <c r="U15">
        <f>_xll.EQNXTDZ($A$1,$B15,U$1,$B$1)</f>
        <v>76.16</v>
      </c>
      <c r="V15">
        <f>_xll.EQNXTDZ($A$1,$B15,V$1,$B$1)</f>
        <v>87.59</v>
      </c>
      <c r="W15">
        <f>_xll.EQNXTDZ($A$1,$B15,W$1,$B$1)</f>
        <v>115.48</v>
      </c>
      <c r="X15">
        <f>_xll.EQNXTDZ($A$1,$B15,X$1,$B$1)</f>
        <v>121.04</v>
      </c>
      <c r="Y15">
        <f>_xll.EQNXTDZ($A$1,$B15,Y$1,$B$1)</f>
        <v>131.13</v>
      </c>
      <c r="Z15">
        <f>_xll.EQNXTDZ($A$1,$B15,Z$1,$B$1)</f>
        <v>131.80000000000001</v>
      </c>
      <c r="AA15">
        <f>_xll.EQNXTDZ($A$1,$B15,AA$1,$B$1)</f>
        <v>138.78</v>
      </c>
      <c r="AB15">
        <f>_xll.EQNXTDZ($A$1,$B15,AB$1,$B$1)</f>
        <v>130.13999999999999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9.5995000000000008</v>
      </c>
      <c r="F17">
        <f>_xll.EQNXTDZ($A$1,$B17,F$1,$B$1)</f>
        <v>9.5274999999999999</v>
      </c>
      <c r="G17">
        <f>_xll.EQNXTDZ($A$1,$B17,G$1,$B$1)</f>
        <v>9.9198000000000004</v>
      </c>
      <c r="H17">
        <f>_xll.EQNXTDZ($A$1,$B17,H$1,$B$1)</f>
        <v>9.9044000000000008</v>
      </c>
      <c r="I17">
        <f>_xll.EQNXTDZ($A$1,$B17,I$1,$B$1)</f>
        <v>11.817500000000001</v>
      </c>
      <c r="J17">
        <f>_xll.EQNXTDZ($A$1,$B17,J$1,$B$1)</f>
        <v>13.9604</v>
      </c>
      <c r="K17">
        <f>_xll.EQNXTDZ($A$1,$B17,K$1,$B$1)</f>
        <v>14.3689</v>
      </c>
      <c r="L17">
        <f>_xll.EQNXTDZ($A$1,$B17,L$1,$B$1)</f>
        <v>14.265599999999999</v>
      </c>
      <c r="M17">
        <f>_xll.EQNXTDZ($A$1,$B17,M$1,$B$1)</f>
        <v>17.081299999999999</v>
      </c>
      <c r="N17">
        <f>_xll.EQNXTDZ($A$1,$B17,N$1,$B$1)</f>
        <v>15.887499999999999</v>
      </c>
      <c r="O17">
        <f>_xll.EQNXTDZ($A$1,$B17,O$1,$B$1)</f>
        <v>18.5595</v>
      </c>
      <c r="P17">
        <f>_xll.EQNXTDZ($A$1,$B17,P$1,$B$1)</f>
        <v>21.516200000000001</v>
      </c>
      <c r="Q17">
        <f>_xll.EQNXTDZ($A$1,$B17,Q$1,$B$1)</f>
        <v>23.921700000000001</v>
      </c>
      <c r="R17">
        <f>_xll.EQNXTDZ($A$1,$B17,R$1,$B$1)</f>
        <v>41.142800000000001</v>
      </c>
      <c r="S17">
        <f>_xll.EQNXTDZ($A$1,$B17,S$1,$B$1)</f>
        <v>43.531999999999996</v>
      </c>
      <c r="T17">
        <f>_xll.EQNXTDZ($A$1,$B17,T$1,$B$1)</f>
        <v>44.042499999999997</v>
      </c>
      <c r="U17">
        <f>_xll.EQNXTDZ($A$1,$B17,U$1,$B$1)</f>
        <v>50.181899999999999</v>
      </c>
      <c r="V17">
        <f>_xll.EQNXTDZ($A$1,$B17,V$1,$B$1)</f>
        <v>50.48</v>
      </c>
      <c r="W17">
        <f>_xll.EQNXTDZ($A$1,$B17,W$1,$B$1)</f>
        <v>46.89</v>
      </c>
      <c r="X17">
        <f>_xll.EQNXTDZ($A$1,$B17,X$1,$B$1)</f>
        <v>69.59</v>
      </c>
      <c r="Y17">
        <f>_xll.EQNXTDZ($A$1,$B17,Y$1,$B$1)</f>
        <v>62.15</v>
      </c>
      <c r="Z17">
        <f>_xll.EQNXTDZ($A$1,$B17,Z$1,$B$1)</f>
        <v>62.23</v>
      </c>
      <c r="AA17">
        <f>_xll.EQNXTDZ($A$1,$B17,AA$1,$B$1)</f>
        <v>80.06</v>
      </c>
      <c r="AB17">
        <f>_xll.EQNXTDZ($A$1,$B17,AB$1,$B$1)</f>
        <v>97.36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5.4635999999999996</v>
      </c>
      <c r="F18">
        <f>_xll.EQNXTDZ($A$1,$B18,F$1,$B$1)</f>
        <v>6.3055000000000003</v>
      </c>
      <c r="G18">
        <f>_xll.EQNXTDZ($A$1,$B18,G$1,$B$1)</f>
        <v>7.4863</v>
      </c>
      <c r="H18">
        <f>_xll.EQNXTDZ($A$1,$B18,H$1,$B$1)</f>
        <v>9.3988999999999994</v>
      </c>
      <c r="I18">
        <f>_xll.EQNXTDZ($A$1,$B18,I$1,$B$1)</f>
        <v>9.6156000000000006</v>
      </c>
      <c r="J18">
        <f>_xll.EQNXTDZ($A$1,$B18,J$1,$B$1)</f>
        <v>12.6259</v>
      </c>
      <c r="K18">
        <f>_xll.EQNXTDZ($A$1,$B18,K$1,$B$1)</f>
        <v>14.7325</v>
      </c>
      <c r="L18">
        <f>_xll.EQNXTDZ($A$1,$B18,L$1,$B$1)</f>
        <v>14.2819</v>
      </c>
      <c r="M18">
        <f>_xll.EQNXTDZ($A$1,$B18,M$1,$B$1)</f>
        <v>27.429200000000002</v>
      </c>
      <c r="N18">
        <f>_xll.EQNXTDZ($A$1,$B18,N$1,$B$1)</f>
        <v>15.5974</v>
      </c>
      <c r="O18">
        <f>_xll.EQNXTDZ($A$1,$B18,O$1,$B$1)</f>
        <v>16.131</v>
      </c>
      <c r="P18">
        <f>_xll.EQNXTDZ($A$1,$B18,P$1,$B$1)</f>
        <v>18.896899999999999</v>
      </c>
      <c r="Q18">
        <f>_xll.EQNXTDZ($A$1,$B18,Q$1,$B$1)</f>
        <v>21.9819</v>
      </c>
      <c r="R18">
        <f>_xll.EQNXTDZ($A$1,$B18,R$1,$B$1)</f>
        <v>29.3977</v>
      </c>
      <c r="S18">
        <f>_xll.EQNXTDZ($A$1,$B18,S$1,$B$1)</f>
        <v>36.451900000000002</v>
      </c>
      <c r="T18">
        <f>_xll.EQNXTDZ($A$1,$B18,T$1,$B$1)</f>
        <v>36.120199999999997</v>
      </c>
      <c r="U18">
        <f>_xll.EQNXTDZ($A$1,$B18,U$1,$B$1)</f>
        <v>42.965600000000002</v>
      </c>
      <c r="V18">
        <f>_xll.EQNXTDZ($A$1,$B18,V$1,$B$1)</f>
        <v>59.57</v>
      </c>
      <c r="W18">
        <f>_xll.EQNXTDZ($A$1,$B18,W$1,$B$1)</f>
        <v>63.56</v>
      </c>
      <c r="X18">
        <f>_xll.EQNXTDZ($A$1,$B18,X$1,$B$1)</f>
        <v>81.64</v>
      </c>
      <c r="Y18">
        <f>_xll.EQNXTDZ($A$1,$B18,Y$1,$B$1)</f>
        <v>67.16</v>
      </c>
      <c r="Z18">
        <f>_xll.EQNXTDZ($A$1,$B18,Z$1,$B$1)</f>
        <v>45.75</v>
      </c>
      <c r="AA18">
        <f>_xll.EQNXTDZ($A$1,$B18,AA$1,$B$1)</f>
        <v>58.68</v>
      </c>
      <c r="AB18">
        <f>_xll.EQNXTDZ($A$1,$B18,AB$1,$B$1)</f>
        <v>48.11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4.4305000000000003</v>
      </c>
      <c r="F19">
        <f>_xll.EQNXTDZ($A$1,$B19,F$1,$B$1)</f>
        <v>4.4523000000000001</v>
      </c>
      <c r="G19">
        <f>_xll.EQNXTDZ($A$1,$B19,G$1,$B$1)</f>
        <v>4.3216999999999999</v>
      </c>
      <c r="H19">
        <f>_xll.EQNXTDZ($A$1,$B19,H$1,$B$1)</f>
        <v>3.7147000000000001</v>
      </c>
      <c r="I19">
        <f>_xll.EQNXTDZ($A$1,$B19,I$1,$B$1)</f>
        <v>4.8745000000000003</v>
      </c>
      <c r="J19">
        <f>_xll.EQNXTDZ($A$1,$B19,J$1,$B$1)</f>
        <v>5.5656999999999996</v>
      </c>
      <c r="K19">
        <f>_xll.EQNXTDZ($A$1,$B19,K$1,$B$1)</f>
        <v>19.4236</v>
      </c>
      <c r="L19">
        <f>_xll.EQNXTDZ($A$1,$B19,L$1,$B$1)</f>
        <v>7.1902999999999997</v>
      </c>
      <c r="M19">
        <f>_xll.EQNXTDZ($A$1,$B19,M$1,$B$1)</f>
        <v>7.1105999999999998</v>
      </c>
      <c r="N19">
        <f>_xll.EQNXTDZ($A$1,$B19,N$1,$B$1)</f>
        <v>11.739100000000001</v>
      </c>
      <c r="O19">
        <f>_xll.EQNXTDZ($A$1,$B19,O$1,$B$1)</f>
        <v>15.8863</v>
      </c>
      <c r="P19">
        <f>_xll.EQNXTDZ($A$1,$B19,P$1,$B$1)</f>
        <v>19.486699999999999</v>
      </c>
      <c r="Q19">
        <f>_xll.EQNXTDZ($A$1,$B19,Q$1,$B$1)</f>
        <v>19.0581</v>
      </c>
      <c r="R19">
        <f>_xll.EQNXTDZ($A$1,$B19,R$1,$B$1)</f>
        <v>38.141199999999998</v>
      </c>
      <c r="S19">
        <f>_xll.EQNXTDZ($A$1,$B19,S$1,$B$1)</f>
        <v>37.373699999999999</v>
      </c>
      <c r="T19">
        <f>_xll.EQNXTDZ($A$1,$B19,T$1,$B$1)</f>
        <v>38.409300000000002</v>
      </c>
      <c r="U19">
        <f>_xll.EQNXTDZ($A$1,$B19,U$1,$B$1)</f>
        <v>48.638500000000001</v>
      </c>
      <c r="V19">
        <f>_xll.EQNXTDZ($A$1,$B19,V$1,$B$1)</f>
        <v>40.96</v>
      </c>
      <c r="W19">
        <f>_xll.EQNXTDZ($A$1,$B19,W$1,$B$1)</f>
        <v>36.049999999999997</v>
      </c>
      <c r="X19">
        <f>_xll.EQNXTDZ($A$1,$B19,X$1,$B$1)</f>
        <v>31.65</v>
      </c>
      <c r="Y19">
        <f>_xll.EQNXTDZ($A$1,$B19,Y$1,$B$1)</f>
        <v>36.630000000000003</v>
      </c>
      <c r="Z19">
        <f>_xll.EQNXTDZ($A$1,$B19,Z$1,$B$1)</f>
        <v>36.81</v>
      </c>
      <c r="AA19">
        <f>_xll.EQNXTDZ($A$1,$B19,AA$1,$B$1)</f>
        <v>54.29</v>
      </c>
      <c r="AB19">
        <f>_xll.EQNXTDZ($A$1,$B19,AB$1,$B$1)</f>
        <v>31.47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266.10520000000002</v>
      </c>
      <c r="F21">
        <f>_xll.EQNXTDZ($A$1,$B21,F$1,$B$1)</f>
        <v>326.34949999999998</v>
      </c>
      <c r="G21">
        <f>_xll.EQNXTDZ($A$1,$B21,G$1,$B$1)</f>
        <v>343.17200000000003</v>
      </c>
      <c r="H21">
        <f>_xll.EQNXTDZ($A$1,$B21,H$1,$B$1)</f>
        <v>378.18540000000002</v>
      </c>
      <c r="I21">
        <f>_xll.EQNXTDZ($A$1,$B21,I$1,$B$1)</f>
        <v>446.19310000000002</v>
      </c>
      <c r="J21">
        <f>_xll.EQNXTDZ($A$1,$B21,J$1,$B$1)</f>
        <v>514.73779999999999</v>
      </c>
      <c r="K21">
        <f>_xll.EQNXTDZ($A$1,$B21,K$1,$B$1)</f>
        <v>562.92200000000003</v>
      </c>
      <c r="L21">
        <f>_xll.EQNXTDZ($A$1,$B21,L$1,$B$1)</f>
        <v>506.48020000000002</v>
      </c>
      <c r="M21">
        <f>_xll.EQNXTDZ($A$1,$B21,M$1,$B$1)</f>
        <v>648.19860000000006</v>
      </c>
      <c r="N21">
        <f>_xll.EQNXTDZ($A$1,$B21,N$1,$B$1)</f>
        <v>716.4529</v>
      </c>
      <c r="O21">
        <f>_xll.EQNXTDZ($A$1,$B21,O$1,$B$1)</f>
        <v>810.16809999999998</v>
      </c>
      <c r="P21">
        <f>_xll.EQNXTDZ($A$1,$B21,P$1,$B$1)</f>
        <v>970.29110000000003</v>
      </c>
      <c r="Q21">
        <f>_xll.EQNXTDZ($A$1,$B21,Q$1,$B$1)</f>
        <v>1105.5355999999999</v>
      </c>
      <c r="R21">
        <f>_xll.EQNXTDZ($A$1,$B21,R$1,$B$1)</f>
        <v>1802.6192000000001</v>
      </c>
      <c r="S21">
        <f>_xll.EQNXTDZ($A$1,$B21,S$1,$B$1)</f>
        <v>1930.8896999999999</v>
      </c>
      <c r="T21">
        <f>_xll.EQNXTDZ($A$1,$B21,T$1,$B$1)</f>
        <v>1910.8520000000001</v>
      </c>
      <c r="U21">
        <f>_xll.EQNXTDZ($A$1,$B21,U$1,$B$1)</f>
        <v>2146.0846000000001</v>
      </c>
      <c r="V21">
        <f>_xll.EQNXTDZ($A$1,$B21,V$1,$B$1)</f>
        <v>2304.73</v>
      </c>
      <c r="W21">
        <f>_xll.EQNXTDZ($A$1,$B21,W$1,$B$1)</f>
        <v>2228.2199999999998</v>
      </c>
      <c r="X21">
        <f>_xll.EQNXTDZ($A$1,$B21,X$1,$B$1)</f>
        <v>2515.4499999999998</v>
      </c>
      <c r="Y21">
        <f>_xll.EQNXTDZ($A$1,$B21,Y$1,$B$1)</f>
        <v>2825.22</v>
      </c>
      <c r="Z21">
        <f>_xll.EQNXTDZ($A$1,$B21,Z$1,$B$1)</f>
        <v>2356.41</v>
      </c>
      <c r="AA21">
        <f>_xll.EQNXTDZ($A$1,$B21,AA$1,$B$1)</f>
        <v>2408.81</v>
      </c>
      <c r="AB21">
        <f>_xll.EQNXTDZ($A$1,$B21,AB$1,$B$1)</f>
        <v>2277.84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56.082099999999997</v>
      </c>
      <c r="F22">
        <f>_xll.EQNXTDZ($A$1,$B22,F$1,$B$1)</f>
        <v>56.2684</v>
      </c>
      <c r="G22">
        <f>_xll.EQNXTDZ($A$1,$B22,G$1,$B$1)</f>
        <v>50.8491</v>
      </c>
      <c r="H22">
        <f>_xll.EQNXTDZ($A$1,$B22,H$1,$B$1)</f>
        <v>54.674999999999997</v>
      </c>
      <c r="I22">
        <f>_xll.EQNXTDZ($A$1,$B22,I$1,$B$1)</f>
        <v>55.011800000000001</v>
      </c>
      <c r="J22">
        <f>_xll.EQNXTDZ($A$1,$B22,J$1,$B$1)</f>
        <v>55.849600000000002</v>
      </c>
      <c r="K22">
        <f>_xll.EQNXTDZ($A$1,$B22,K$1,$B$1)</f>
        <v>49.166400000000003</v>
      </c>
      <c r="L22">
        <f>_xll.EQNXTDZ($A$1,$B22,L$1,$B$1)</f>
        <v>71.212100000000007</v>
      </c>
      <c r="M22">
        <f>_xll.EQNXTDZ($A$1,$B22,M$1,$B$1)</f>
        <v>68.137799999999999</v>
      </c>
      <c r="N22">
        <f>_xll.EQNXTDZ($A$1,$B22,N$1,$B$1)</f>
        <v>86.712199999999996</v>
      </c>
      <c r="O22">
        <f>_xll.EQNXTDZ($A$1,$B22,O$1,$B$1)</f>
        <v>90.419200000000004</v>
      </c>
      <c r="P22">
        <f>_xll.EQNXTDZ($A$1,$B22,P$1,$B$1)</f>
        <v>115.2093</v>
      </c>
      <c r="Q22">
        <f>_xll.EQNXTDZ($A$1,$B22,Q$1,$B$1)</f>
        <v>119.79819999999999</v>
      </c>
      <c r="R22">
        <f>_xll.EQNXTDZ($A$1,$B22,R$1,$B$1)</f>
        <v>234.7636</v>
      </c>
      <c r="S22">
        <f>_xll.EQNXTDZ($A$1,$B22,S$1,$B$1)</f>
        <v>250.26820000000001</v>
      </c>
      <c r="T22">
        <f>_xll.EQNXTDZ($A$1,$B22,T$1,$B$1)</f>
        <v>220.09020000000001</v>
      </c>
      <c r="U22">
        <f>_xll.EQNXTDZ($A$1,$B22,U$1,$B$1)</f>
        <v>222.9871</v>
      </c>
      <c r="V22">
        <f>_xll.EQNXTDZ($A$1,$B22,V$1,$B$1)</f>
        <v>294.25</v>
      </c>
      <c r="W22">
        <f>_xll.EQNXTDZ($A$1,$B22,W$1,$B$1)</f>
        <v>234.48</v>
      </c>
      <c r="X22">
        <f>_xll.EQNXTDZ($A$1,$B22,X$1,$B$1)</f>
        <v>109.83</v>
      </c>
      <c r="Y22">
        <f>_xll.EQNXTDZ($A$1,$B22,Y$1,$B$1)</f>
        <v>157.69999999999999</v>
      </c>
      <c r="Z22">
        <f>_xll.EQNXTDZ($A$1,$B22,Z$1,$B$1)</f>
        <v>193.03</v>
      </c>
      <c r="AA22">
        <f>_xll.EQNXTDZ($A$1,$B22,AA$1,$B$1)</f>
        <v>112.37</v>
      </c>
      <c r="AB22">
        <f>_xll.EQNXTDZ($A$1,$B22,AB$1,$B$1)</f>
        <v>191.57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3.4891000000000001</v>
      </c>
      <c r="F23">
        <f>_xll.EQNXTDZ($A$1,$B23,F$1,$B$1)</f>
        <v>4.4457000000000004</v>
      </c>
      <c r="G23">
        <f>_xll.EQNXTDZ($A$1,$B23,G$1,$B$1)</f>
        <v>5.6584000000000003</v>
      </c>
      <c r="H23">
        <f>_xll.EQNXTDZ($A$1,$B23,H$1,$B$1)</f>
        <v>9.6563999999999997</v>
      </c>
      <c r="I23">
        <f>_xll.EQNXTDZ($A$1,$B23,I$1,$B$1)</f>
        <v>11.476599999999999</v>
      </c>
      <c r="J23">
        <f>_xll.EQNXTDZ($A$1,$B23,J$1,$B$1)</f>
        <v>11.821999999999999</v>
      </c>
      <c r="K23">
        <f>_xll.EQNXTDZ($A$1,$B23,K$1,$B$1)</f>
        <v>11.733499999999999</v>
      </c>
      <c r="L23">
        <f>_xll.EQNXTDZ($A$1,$B23,L$1,$B$1)</f>
        <v>10.6471</v>
      </c>
      <c r="M23">
        <f>_xll.EQNXTDZ($A$1,$B23,M$1,$B$1)</f>
        <v>11.1257</v>
      </c>
      <c r="N23">
        <f>_xll.EQNXTDZ($A$1,$B23,N$1,$B$1)</f>
        <v>8.3926999999999996</v>
      </c>
      <c r="O23">
        <f>_xll.EQNXTDZ($A$1,$B23,O$1,$B$1)</f>
        <v>8.2586999999999993</v>
      </c>
      <c r="P23">
        <f>_xll.EQNXTDZ($A$1,$B23,P$1,$B$1)</f>
        <v>4.9027000000000003</v>
      </c>
      <c r="Q23">
        <f>_xll.EQNXTDZ($A$1,$B23,Q$1,$B$1)</f>
        <v>9.2565000000000008</v>
      </c>
      <c r="R23">
        <f>_xll.EQNXTDZ($A$1,$B23,R$1,$B$1)</f>
        <v>14.238899999999999</v>
      </c>
      <c r="S23">
        <f>_xll.EQNXTDZ($A$1,$B23,S$1,$B$1)</f>
        <v>17.564900000000002</v>
      </c>
      <c r="T23">
        <f>_xll.EQNXTDZ($A$1,$B23,T$1,$B$1)</f>
        <v>13.5799</v>
      </c>
      <c r="U23">
        <f>_xll.EQNXTDZ($A$1,$B23,U$1,$B$1)</f>
        <v>16.667400000000001</v>
      </c>
      <c r="V23">
        <f>_xll.EQNXTDZ($A$1,$B23,V$1,$B$1)</f>
        <v>16.829999999999998</v>
      </c>
      <c r="W23">
        <f>_xll.EQNXTDZ($A$1,$B23,W$1,$B$1)</f>
        <v>8.07</v>
      </c>
      <c r="X23">
        <f>_xll.EQNXTDZ($A$1,$B23,X$1,$B$1)</f>
        <v>9.3699999999999992</v>
      </c>
      <c r="Y23">
        <f>_xll.EQNXTDZ($A$1,$B23,Y$1,$B$1)</f>
        <v>17.23</v>
      </c>
      <c r="Z23">
        <f>_xll.EQNXTDZ($A$1,$B23,Z$1,$B$1)</f>
        <v>17.809999999999999</v>
      </c>
      <c r="AA23">
        <f>_xll.EQNXTDZ($A$1,$B23,AA$1,$B$1)</f>
        <v>39.25</v>
      </c>
      <c r="AB23">
        <f>_xll.EQNXTDZ($A$1,$B23,AB$1,$B$1)</f>
        <v>35.22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59.571199999999997</v>
      </c>
      <c r="F24">
        <f>_xll.EQNXTDZ($A$1,$B24,F$1,$B$1)</f>
        <v>60.714100000000002</v>
      </c>
      <c r="G24">
        <f>_xll.EQNXTDZ($A$1,$B24,G$1,$B$1)</f>
        <v>56.5075</v>
      </c>
      <c r="H24">
        <f>_xll.EQNXTDZ($A$1,$B24,H$1,$B$1)</f>
        <v>64.331400000000002</v>
      </c>
      <c r="I24">
        <f>_xll.EQNXTDZ($A$1,$B24,I$1,$B$1)</f>
        <v>66.488399999999999</v>
      </c>
      <c r="J24">
        <f>_xll.EQNXTDZ($A$1,$B24,J$1,$B$1)</f>
        <v>67.671599999999998</v>
      </c>
      <c r="K24">
        <f>_xll.EQNXTDZ($A$1,$B24,K$1,$B$1)</f>
        <v>60.899900000000002</v>
      </c>
      <c r="L24">
        <f>_xll.EQNXTDZ($A$1,$B24,L$1,$B$1)</f>
        <v>81.859200000000001</v>
      </c>
      <c r="M24">
        <f>_xll.EQNXTDZ($A$1,$B24,M$1,$B$1)</f>
        <v>79.263499999999993</v>
      </c>
      <c r="N24">
        <f>_xll.EQNXTDZ($A$1,$B24,N$1,$B$1)</f>
        <v>95.104900000000001</v>
      </c>
      <c r="O24">
        <f>_xll.EQNXTDZ($A$1,$B24,O$1,$B$1)</f>
        <v>98.677899999999994</v>
      </c>
      <c r="P24">
        <f>_xll.EQNXTDZ($A$1,$B24,P$1,$B$1)</f>
        <v>120.11199999999999</v>
      </c>
      <c r="Q24">
        <f>_xll.EQNXTDZ($A$1,$B24,Q$1,$B$1)</f>
        <v>129.0547</v>
      </c>
      <c r="R24">
        <f>_xll.EQNXTDZ($A$1,$B24,R$1,$B$1)</f>
        <v>249.0025</v>
      </c>
      <c r="S24">
        <f>_xll.EQNXTDZ($A$1,$B24,S$1,$B$1)</f>
        <v>267.8331</v>
      </c>
      <c r="T24">
        <f>_xll.EQNXTDZ($A$1,$B24,T$1,$B$1)</f>
        <v>233.67009999999999</v>
      </c>
      <c r="U24">
        <f>_xll.EQNXTDZ($A$1,$B24,U$1,$B$1)</f>
        <v>239.65450000000001</v>
      </c>
      <c r="V24">
        <f>_xll.EQNXTDZ($A$1,$B24,V$1,$B$1)</f>
        <v>311.08</v>
      </c>
      <c r="W24">
        <f>_xll.EQNXTDZ($A$1,$B24,W$1,$B$1)</f>
        <v>242.55</v>
      </c>
      <c r="X24">
        <f>_xll.EQNXTDZ($A$1,$B24,X$1,$B$1)</f>
        <v>119.2</v>
      </c>
      <c r="Y24">
        <f>_xll.EQNXTDZ($A$1,$B24,Y$1,$B$1)</f>
        <v>174.93</v>
      </c>
      <c r="Z24">
        <f>_xll.EQNXTDZ($A$1,$B24,Z$1,$B$1)</f>
        <v>210.84</v>
      </c>
      <c r="AA24">
        <f>_xll.EQNXTDZ($A$1,$B24,AA$1,$B$1)</f>
        <v>151.62</v>
      </c>
      <c r="AB24">
        <f>_xll.EQNXTDZ($A$1,$B24,AB$1,$B$1)</f>
        <v>226.79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3.9830999999999999</v>
      </c>
      <c r="F25">
        <f>_xll.EQNXTDZ($A$1,$B25,F$1,$B$1)</f>
        <v>1.2750999999999999</v>
      </c>
      <c r="G25">
        <f>_xll.EQNXTDZ($A$1,$B25,G$1,$B$1)</f>
        <v>0.76959999999999995</v>
      </c>
      <c r="H25">
        <f>_xll.EQNXTDZ($A$1,$B25,H$1,$B$1)</f>
        <v>0.70499999999999996</v>
      </c>
      <c r="I25">
        <f>_xll.EQNXTDZ($A$1,$B25,I$1,$B$1)</f>
        <v>0.61150000000000004</v>
      </c>
      <c r="J25">
        <f>_xll.EQNXTDZ($A$1,$B25,J$1,$B$1)</f>
        <v>1.8472999999999999</v>
      </c>
      <c r="K25">
        <f>_xll.EQNXTDZ($A$1,$B25,K$1,$B$1)</f>
        <v>2.5177999999999998</v>
      </c>
      <c r="L25">
        <f>_xll.EQNXTDZ($A$1,$B25,L$1,$B$1)</f>
        <v>1.1375999999999999</v>
      </c>
      <c r="M25">
        <f>_xll.EQNXTDZ($A$1,$B25,M$1,$B$1)</f>
        <v>0.59699999999999998</v>
      </c>
      <c r="N25">
        <f>_xll.EQNXTDZ($A$1,$B25,N$1,$B$1)</f>
        <v>0.59470000000000001</v>
      </c>
      <c r="O25">
        <f>_xll.EQNXTDZ($A$1,$B25,O$1,$B$1)</f>
        <v>1.2959000000000001</v>
      </c>
      <c r="P25">
        <f>_xll.EQNXTDZ($A$1,$B25,P$1,$B$1)</f>
        <v>4.3921999999999999</v>
      </c>
      <c r="Q25">
        <f>_xll.EQNXTDZ($A$1,$B25,Q$1,$B$1)</f>
        <v>3.8519000000000001</v>
      </c>
      <c r="R25">
        <f>_xll.EQNXTDZ($A$1,$B25,R$1,$B$1)</f>
        <v>42.846899999999998</v>
      </c>
      <c r="S25">
        <f>_xll.EQNXTDZ($A$1,$B25,S$1,$B$1)</f>
        <v>39.191400000000002</v>
      </c>
      <c r="T25">
        <f>_xll.EQNXTDZ($A$1,$B25,T$1,$B$1)</f>
        <v>33.453400000000002</v>
      </c>
      <c r="U25">
        <f>_xll.EQNXTDZ($A$1,$B25,U$1,$B$1)</f>
        <v>40.716799999999999</v>
      </c>
      <c r="V25">
        <f>_xll.EQNXTDZ($A$1,$B25,V$1,$B$1)</f>
        <v>22.57</v>
      </c>
      <c r="W25">
        <f>_xll.EQNXTDZ($A$1,$B25,W$1,$B$1)</f>
        <v>27.03</v>
      </c>
      <c r="X25">
        <f>_xll.EQNXTDZ($A$1,$B25,X$1,$B$1)</f>
        <v>27.63</v>
      </c>
      <c r="Y25">
        <f>_xll.EQNXTDZ($A$1,$B25,Y$1,$B$1)</f>
        <v>32.950000000000003</v>
      </c>
      <c r="Z25">
        <f>_xll.EQNXTDZ($A$1,$B25,Z$1,$B$1)</f>
        <v>31.18</v>
      </c>
      <c r="AA25">
        <f>_xll.EQNXTDZ($A$1,$B25,AA$1,$B$1)</f>
        <v>18.170000000000002</v>
      </c>
      <c r="AB25">
        <f>_xll.EQNXTDZ($A$1,$B25,AB$1,$B$1)</f>
        <v>17.309999999999999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55.588099999999997</v>
      </c>
      <c r="F26">
        <f>_xll.EQNXTDZ($A$1,$B26,F$1,$B$1)</f>
        <v>59.439</v>
      </c>
      <c r="G26">
        <f>_xll.EQNXTDZ($A$1,$B26,G$1,$B$1)</f>
        <v>55.737900000000003</v>
      </c>
      <c r="H26">
        <f>_xll.EQNXTDZ($A$1,$B26,H$1,$B$1)</f>
        <v>63.626399999999997</v>
      </c>
      <c r="I26">
        <f>_xll.EQNXTDZ($A$1,$B26,I$1,$B$1)</f>
        <v>65.876900000000006</v>
      </c>
      <c r="J26">
        <f>_xll.EQNXTDZ($A$1,$B26,J$1,$B$1)</f>
        <v>65.824299999999994</v>
      </c>
      <c r="K26">
        <f>_xll.EQNXTDZ($A$1,$B26,K$1,$B$1)</f>
        <v>58.382100000000001</v>
      </c>
      <c r="L26">
        <f>_xll.EQNXTDZ($A$1,$B26,L$1,$B$1)</f>
        <v>80.721599999999995</v>
      </c>
      <c r="M26">
        <f>_xll.EQNXTDZ($A$1,$B26,M$1,$B$1)</f>
        <v>78.666499999999999</v>
      </c>
      <c r="N26">
        <f>_xll.EQNXTDZ($A$1,$B26,N$1,$B$1)</f>
        <v>94.510199999999998</v>
      </c>
      <c r="O26">
        <f>_xll.EQNXTDZ($A$1,$B26,O$1,$B$1)</f>
        <v>97.382000000000005</v>
      </c>
      <c r="P26">
        <f>_xll.EQNXTDZ($A$1,$B26,P$1,$B$1)</f>
        <v>115.71980000000001</v>
      </c>
      <c r="Q26">
        <f>_xll.EQNXTDZ($A$1,$B26,Q$1,$B$1)</f>
        <v>125.2028</v>
      </c>
      <c r="R26">
        <f>_xll.EQNXTDZ($A$1,$B26,R$1,$B$1)</f>
        <v>206.15559999999999</v>
      </c>
      <c r="S26">
        <f>_xll.EQNXTDZ($A$1,$B26,S$1,$B$1)</f>
        <v>228.64169999999999</v>
      </c>
      <c r="T26">
        <f>_xll.EQNXTDZ($A$1,$B26,T$1,$B$1)</f>
        <v>200.2167</v>
      </c>
      <c r="U26">
        <f>_xll.EQNXTDZ($A$1,$B26,U$1,$B$1)</f>
        <v>198.93770000000001</v>
      </c>
      <c r="V26">
        <f>_xll.EQNXTDZ($A$1,$B26,V$1,$B$1)</f>
        <v>288.51</v>
      </c>
      <c r="W26">
        <f>_xll.EQNXTDZ($A$1,$B26,W$1,$B$1)</f>
        <v>215.52</v>
      </c>
      <c r="X26">
        <f>_xll.EQNXTDZ($A$1,$B26,X$1,$B$1)</f>
        <v>91.57</v>
      </c>
      <c r="Y26">
        <f>_xll.EQNXTDZ($A$1,$B26,Y$1,$B$1)</f>
        <v>141.97999999999999</v>
      </c>
      <c r="Z26">
        <f>_xll.EQNXTDZ($A$1,$B26,Z$1,$B$1)</f>
        <v>179.66</v>
      </c>
      <c r="AA26">
        <f>_xll.EQNXTDZ($A$1,$B26,AA$1,$B$1)</f>
        <v>133.44999999999999</v>
      </c>
      <c r="AB26">
        <f>_xll.EQNXTDZ($A$1,$B26,AB$1,$B$1)</f>
        <v>209.48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19.819700000000001</v>
      </c>
      <c r="F27">
        <f>_xll.EQNXTDZ($A$1,$B27,F$1,$B$1)</f>
        <v>21.509799999999998</v>
      </c>
      <c r="G27">
        <f>_xll.EQNXTDZ($A$1,$B27,G$1,$B$1)</f>
        <v>22.0886</v>
      </c>
      <c r="H27">
        <f>_xll.EQNXTDZ($A$1,$B27,H$1,$B$1)</f>
        <v>24.936</v>
      </c>
      <c r="I27">
        <f>_xll.EQNXTDZ($A$1,$B27,I$1,$B$1)</f>
        <v>23.059000000000001</v>
      </c>
      <c r="J27">
        <f>_xll.EQNXTDZ($A$1,$B27,J$1,$B$1)</f>
        <v>28.8597</v>
      </c>
      <c r="K27">
        <f>_xll.EQNXTDZ($A$1,$B27,K$1,$B$1)</f>
        <v>28.616399999999999</v>
      </c>
      <c r="L27">
        <f>_xll.EQNXTDZ($A$1,$B27,L$1,$B$1)</f>
        <v>31.146699999999999</v>
      </c>
      <c r="M27">
        <f>_xll.EQNXTDZ($A$1,$B27,M$1,$B$1)</f>
        <v>32.396700000000003</v>
      </c>
      <c r="N27">
        <f>_xll.EQNXTDZ($A$1,$B27,N$1,$B$1)</f>
        <v>32.0456</v>
      </c>
      <c r="O27">
        <f>_xll.EQNXTDZ($A$1,$B27,O$1,$B$1)</f>
        <v>35.652799999999999</v>
      </c>
      <c r="P27">
        <f>_xll.EQNXTDZ($A$1,$B27,P$1,$B$1)</f>
        <v>42.017400000000002</v>
      </c>
      <c r="Q27">
        <f>_xll.EQNXTDZ($A$1,$B27,Q$1,$B$1)</f>
        <v>43.857799999999997</v>
      </c>
      <c r="R27">
        <f>_xll.EQNXTDZ($A$1,$B27,R$1,$B$1)</f>
        <v>90.530100000000004</v>
      </c>
      <c r="S27">
        <f>_xll.EQNXTDZ($A$1,$B27,S$1,$B$1)</f>
        <v>92.757800000000003</v>
      </c>
      <c r="T27">
        <f>_xll.EQNXTDZ($A$1,$B27,T$1,$B$1)</f>
        <v>85.245900000000006</v>
      </c>
      <c r="U27">
        <f>_xll.EQNXTDZ($A$1,$B27,U$1,$B$1)</f>
        <v>85.363</v>
      </c>
      <c r="V27">
        <f>_xll.EQNXTDZ($A$1,$B27,V$1,$B$1)</f>
        <v>86.93</v>
      </c>
      <c r="W27">
        <f>_xll.EQNXTDZ($A$1,$B27,W$1,$B$1)</f>
        <v>97.93</v>
      </c>
      <c r="X27">
        <f>_xll.EQNXTDZ($A$1,$B27,X$1,$B$1)</f>
        <v>92.16</v>
      </c>
      <c r="Y27">
        <f>_xll.EQNXTDZ($A$1,$B27,Y$1,$B$1)</f>
        <v>86.05</v>
      </c>
      <c r="Z27">
        <f>_xll.EQNXTDZ($A$1,$B27,Z$1,$B$1)</f>
        <v>49.15</v>
      </c>
      <c r="AA27">
        <f>_xll.EQNXTDZ($A$1,$B27,AA$1,$B$1)</f>
        <v>47.48</v>
      </c>
      <c r="AB27">
        <f>_xll.EQNXTDZ($A$1,$B27,AB$1,$B$1)</f>
        <v>52.16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-0.79590000000000005</v>
      </c>
      <c r="I29">
        <f>_xll.EQNXTDZ($A$1,$B29,I$1,$B$1)</f>
        <v>12.0848</v>
      </c>
      <c r="J29">
        <f>_xll.EQNXTDZ($A$1,$B29,J$1,$B$1)</f>
        <v>-3.1848000000000001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12.280900000000001</v>
      </c>
      <c r="N29">
        <f>_xll.EQNXTDZ($A$1,$B29,N$1,$B$1)</f>
        <v>2.9417</v>
      </c>
      <c r="O29">
        <f>_xll.EQNXTDZ($A$1,$B29,O$1,$B$1)</f>
        <v>0</v>
      </c>
      <c r="P29">
        <f>_xll.EQNXTDZ($A$1,$B29,P$1,$B$1)</f>
        <v>7.0465999999999998</v>
      </c>
      <c r="Q29">
        <f>_xll.EQNXTDZ($A$1,$B29,Q$1,$B$1)</f>
        <v>6.2752999999999997</v>
      </c>
      <c r="R29">
        <f>_xll.EQNXTDZ($A$1,$B29,R$1,$B$1)</f>
        <v>0</v>
      </c>
      <c r="S29">
        <f>_xll.EQNXTDZ($A$1,$B29,S$1,$B$1)</f>
        <v>-2.5499999999999998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-30.98</v>
      </c>
      <c r="Y29">
        <f>_xll.EQNXTDZ($A$1,$B29,Y$1,$B$1)</f>
        <v>0</v>
      </c>
      <c r="Z29">
        <f>_xll.EQNXTDZ($A$1,$B29,Z$1,$B$1)</f>
        <v>369.53</v>
      </c>
      <c r="AA29">
        <f>_xll.EQNXTDZ($A$1,$B29,AA$1,$B$1)</f>
        <v>30.87</v>
      </c>
      <c r="AB29">
        <f>_xll.EQNXTDZ($A$1,$B29,AB$1,$B$1)</f>
        <v>0.95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10.6214</v>
      </c>
      <c r="F30">
        <f>_xll.EQNXTDZ($A$1,$B30,F$1,$B$1)</f>
        <v>10.002800000000001</v>
      </c>
      <c r="G30">
        <f>_xll.EQNXTDZ($A$1,$B30,G$1,$B$1)</f>
        <v>9.5394000000000005</v>
      </c>
      <c r="H30">
        <f>_xll.EQNXTDZ($A$1,$B30,H$1,$B$1)</f>
        <v>10.2194</v>
      </c>
      <c r="I30">
        <f>_xll.EQNXTDZ($A$1,$B30,I$1,$B$1)</f>
        <v>14.9674</v>
      </c>
      <c r="J30">
        <f>_xll.EQNXTDZ($A$1,$B30,J$1,$B$1)</f>
        <v>5.4123000000000001</v>
      </c>
      <c r="K30">
        <f>_xll.EQNXTDZ($A$1,$B30,K$1,$B$1)</f>
        <v>8.4779</v>
      </c>
      <c r="L30">
        <f>_xll.EQNXTDZ($A$1,$B30,L$1,$B$1)</f>
        <v>12.196400000000001</v>
      </c>
      <c r="M30">
        <f>_xll.EQNXTDZ($A$1,$B30,M$1,$B$1)</f>
        <v>13.4794</v>
      </c>
      <c r="N30">
        <f>_xll.EQNXTDZ($A$1,$B30,N$1,$B$1)</f>
        <v>12.807399999999999</v>
      </c>
      <c r="O30">
        <f>_xll.EQNXTDZ($A$1,$B30,O$1,$B$1)</f>
        <v>16.6084</v>
      </c>
      <c r="P30">
        <f>_xll.EQNXTDZ($A$1,$B30,P$1,$B$1)</f>
        <v>22.9314</v>
      </c>
      <c r="Q30">
        <f>_xll.EQNXTDZ($A$1,$B30,Q$1,$B$1)</f>
        <v>19.112400000000001</v>
      </c>
      <c r="R30">
        <f>_xll.EQNXTDZ($A$1,$B30,R$1,$B$1)</f>
        <v>36.896900000000002</v>
      </c>
      <c r="S30">
        <f>_xll.EQNXTDZ($A$1,$B30,S$1,$B$1)</f>
        <v>51.7928</v>
      </c>
      <c r="T30">
        <f>_xll.EQNXTDZ($A$1,$B30,T$1,$B$1)</f>
        <v>51.354799999999997</v>
      </c>
      <c r="U30">
        <f>_xll.EQNXTDZ($A$1,$B30,U$1,$B$1)</f>
        <v>78.689800000000005</v>
      </c>
      <c r="V30">
        <f>_xll.EQNXTDZ($A$1,$B30,V$1,$B$1)</f>
        <v>31.54</v>
      </c>
      <c r="W30">
        <f>_xll.EQNXTDZ($A$1,$B30,W$1,$B$1)</f>
        <v>21.6</v>
      </c>
      <c r="X30">
        <f>_xll.EQNXTDZ($A$1,$B30,X$1,$B$1)</f>
        <v>-8.8800000000000008</v>
      </c>
      <c r="Y30">
        <f>_xll.EQNXTDZ($A$1,$B30,Y$1,$B$1)</f>
        <v>6.29</v>
      </c>
      <c r="Z30">
        <f>_xll.EQNXTDZ($A$1,$B30,Z$1,$B$1)</f>
        <v>90.41</v>
      </c>
      <c r="AA30">
        <f>_xll.EQNXTDZ($A$1,$B30,AA$1,$B$1)</f>
        <v>28.87</v>
      </c>
      <c r="AB30">
        <f>_xll.EQNXTDZ($A$1,$B30,AB$1,$B$1)</f>
        <v>40.11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-4.5600000000000002E-2</v>
      </c>
      <c r="P32">
        <f>_xll.EQNXTDZ($A$1,$B32,P$1,$B$1)</f>
        <v>-1.6102000000000001</v>
      </c>
      <c r="Q32">
        <f>_xll.EQNXTDZ($A$1,$B32,Q$1,$B$1)</f>
        <v>-1.9048</v>
      </c>
      <c r="R32">
        <f>_xll.EQNXTDZ($A$1,$B32,R$1,$B$1)</f>
        <v>-1.7968999999999999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3.0527000000000002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25.146999999999998</v>
      </c>
      <c r="F35">
        <f>_xll.EQNXTDZ($A$1,$B35,F$1,$B$1)</f>
        <v>27.926400000000001</v>
      </c>
      <c r="G35">
        <f>_xll.EQNXTDZ($A$1,$B35,G$1,$B$1)</f>
        <v>24.1099</v>
      </c>
      <c r="H35">
        <f>_xll.EQNXTDZ($A$1,$B35,H$1,$B$1)</f>
        <v>27.6751</v>
      </c>
      <c r="I35">
        <f>_xll.EQNXTDZ($A$1,$B35,I$1,$B$1)</f>
        <v>39.935299999999998</v>
      </c>
      <c r="J35">
        <f>_xll.EQNXTDZ($A$1,$B35,J$1,$B$1)</f>
        <v>28.3675</v>
      </c>
      <c r="K35">
        <f>_xll.EQNXTDZ($A$1,$B35,K$1,$B$1)</f>
        <v>21.287800000000001</v>
      </c>
      <c r="L35">
        <f>_xll.EQNXTDZ($A$1,$B35,L$1,$B$1)</f>
        <v>37.378500000000003</v>
      </c>
      <c r="M35">
        <f>_xll.EQNXTDZ($A$1,$B35,M$1,$B$1)</f>
        <v>45.071300000000001</v>
      </c>
      <c r="N35">
        <f>_xll.EQNXTDZ($A$1,$B35,N$1,$B$1)</f>
        <v>52.5989</v>
      </c>
      <c r="O35">
        <f>_xll.EQNXTDZ($A$1,$B35,O$1,$B$1)</f>
        <v>45.075200000000002</v>
      </c>
      <c r="P35">
        <f>_xll.EQNXTDZ($A$1,$B35,P$1,$B$1)</f>
        <v>56.2074</v>
      </c>
      <c r="Q35">
        <f>_xll.EQNXTDZ($A$1,$B35,Q$1,$B$1)</f>
        <v>66.603099999999998</v>
      </c>
      <c r="R35">
        <f>_xll.EQNXTDZ($A$1,$B35,R$1,$B$1)</f>
        <v>76.931700000000006</v>
      </c>
      <c r="S35">
        <f>_xll.EQNXTDZ($A$1,$B35,S$1,$B$1)</f>
        <v>81.5411</v>
      </c>
      <c r="T35">
        <f>_xll.EQNXTDZ($A$1,$B35,T$1,$B$1)</f>
        <v>63.616</v>
      </c>
      <c r="U35">
        <f>_xll.EQNXTDZ($A$1,$B35,U$1,$B$1)</f>
        <v>34.884900000000002</v>
      </c>
      <c r="V35">
        <f>_xll.EQNXTDZ($A$1,$B35,V$1,$B$1)</f>
        <v>170.04</v>
      </c>
      <c r="W35">
        <f>_xll.EQNXTDZ($A$1,$B35,W$1,$B$1)</f>
        <v>95.99</v>
      </c>
      <c r="X35">
        <f>_xll.EQNXTDZ($A$1,$B35,X$1,$B$1)</f>
        <v>-22.69</v>
      </c>
      <c r="Y35">
        <f>_xll.EQNXTDZ($A$1,$B35,Y$1,$B$1)</f>
        <v>49.64</v>
      </c>
      <c r="Z35">
        <f>_xll.EQNXTDZ($A$1,$B35,Z$1,$B$1)</f>
        <v>409.63</v>
      </c>
      <c r="AA35">
        <f>_xll.EQNXTDZ($A$1,$B35,AA$1,$B$1)</f>
        <v>87.97</v>
      </c>
      <c r="AB35">
        <f>_xll.EQNXTDZ($A$1,$B35,AB$1,$B$1)</f>
        <v>118.16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200212</v>
      </c>
      <c r="F40">
        <f>_xll.EQNXTDZ($A$1,$B40,F$1,$B$1)</f>
        <v>200312</v>
      </c>
      <c r="G40">
        <f>_xll.EQNXTDZ($A$1,$B40,G$1,$B$1)</f>
        <v>200412</v>
      </c>
      <c r="H40">
        <f>_xll.EQNXTDZ($A$1,$B40,H$1,$B$1)</f>
        <v>200512</v>
      </c>
      <c r="I40">
        <f>_xll.EQNXTDZ($A$1,$B40,I$1,$B$1)</f>
        <v>200612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12.5383</v>
      </c>
      <c r="F41" s="54">
        <f>_xll.EQNXTDZ($A$1,$B41,F$1,$B$1)</f>
        <v>12.5383</v>
      </c>
      <c r="G41" s="54">
        <f>_xll.EQNXTDZ($A$1,$B41,G$1,$B$1)</f>
        <v>12.5383</v>
      </c>
      <c r="H41" s="54">
        <f>_xll.EQNXTDZ($A$1,$B41,H$1,$B$1)</f>
        <v>12.5383</v>
      </c>
      <c r="I41" s="54">
        <f>_xll.EQNXTDZ($A$1,$B41,I$1,$B$1)</f>
        <v>12.5383</v>
      </c>
      <c r="J41" s="54">
        <f>_xll.EQNXTDZ($A$1,$B41,J$1,$B$1)</f>
        <v>12.5383</v>
      </c>
      <c r="K41" s="54">
        <f>_xll.EQNXTDZ($A$1,$B41,K$1,$B$1)</f>
        <v>12.5383</v>
      </c>
      <c r="L41" s="54">
        <f>_xll.EQNXTDZ($A$1,$B41,L$1,$B$1)</f>
        <v>12.5383</v>
      </c>
      <c r="M41" s="54">
        <f>_xll.EQNXTDZ($A$1,$B41,M$1,$B$1)</f>
        <v>12.5383</v>
      </c>
      <c r="N41" s="54">
        <f>_xll.EQNXTDZ($A$1,$B41,N$1,$B$1)</f>
        <v>12.5383</v>
      </c>
      <c r="O41" s="54">
        <f>_xll.EQNXTDZ($A$1,$B41,O$1,$B$1)</f>
        <v>12.5383</v>
      </c>
      <c r="P41" s="54">
        <f>_xll.EQNXTDZ($A$1,$B41,P$1,$B$1)</f>
        <v>12.5383</v>
      </c>
      <c r="Q41" s="54">
        <f>_xll.EQNXTDZ($A$1,$B41,Q$1,$B$1)</f>
        <v>14.5433</v>
      </c>
      <c r="R41" s="54">
        <f>_xll.EQNXTDZ($A$1,$B41,R$1,$B$1)</f>
        <v>14.5433</v>
      </c>
      <c r="S41" s="54">
        <f>_xll.EQNXTDZ($A$1,$B41,S$1,$B$1)</f>
        <v>14.5433</v>
      </c>
      <c r="T41" s="54">
        <f>_xll.EQNXTDZ($A$1,$B41,T$1,$B$1)</f>
        <v>15.1053</v>
      </c>
      <c r="U41" s="54">
        <f>_xll.EQNXTDZ($A$1,$B41,U$1,$B$1)</f>
        <v>15.1053</v>
      </c>
      <c r="V41" s="54">
        <f>_xll.EQNXTDZ($A$1,$B41,V$1,$B$1)</f>
        <v>15.11</v>
      </c>
      <c r="W41" s="54">
        <f>_xll.EQNXTDZ($A$1,$B41,W$1,$B$1)</f>
        <v>15.11</v>
      </c>
      <c r="X41" s="54">
        <f>_xll.EQNXTDZ($A$1,$B41,X$1,$B$1)</f>
        <v>15.11</v>
      </c>
      <c r="Y41" s="54">
        <f>_xll.EQNXTDZ($A$1,$B41,Y$1,$B$1)</f>
        <v>15.11</v>
      </c>
      <c r="Z41" s="54">
        <f>_xll.EQNXTDZ($A$1,$B41,Z$1,$B$1)</f>
        <v>15.11</v>
      </c>
      <c r="AA41" s="54">
        <f>_xll.EQNXTDZ($A$1,$B41,AA$1,$B$1)</f>
        <v>15.11</v>
      </c>
      <c r="AB41" s="54">
        <f>_xll.EQNXTDZ($A$1,$B41,AB$1,$B$1)</f>
        <v>15.11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4.0624000000000002</v>
      </c>
      <c r="T42" s="54">
        <f>_xll.EQNXTDZ($A$1,$B42,T$1,$B$1)</f>
        <v>6.9169</v>
      </c>
      <c r="U42" s="54">
        <f>_xll.EQNXTDZ($A$1,$B42,U$1,$B$1)</f>
        <v>7.0940000000000003</v>
      </c>
      <c r="V42" s="54">
        <f>_xll.EQNXTDZ($A$1,$B42,V$1,$B$1)</f>
        <v>6.23</v>
      </c>
      <c r="W42" s="54">
        <f>_xll.EQNXTDZ($A$1,$B42,W$1,$B$1)</f>
        <v>6.22</v>
      </c>
      <c r="X42" s="54">
        <f>_xll.EQNXTDZ($A$1,$B42,X$1,$B$1)</f>
        <v>5.09</v>
      </c>
      <c r="Y42" s="54">
        <f>_xll.EQNXTDZ($A$1,$B42,Y$1,$B$1)</f>
        <v>6.27</v>
      </c>
      <c r="Z42" s="54">
        <f>_xll.EQNXTDZ($A$1,$B42,Z$1,$B$1)</f>
        <v>4.59</v>
      </c>
      <c r="AA42" s="54">
        <f>_xll.EQNXTDZ($A$1,$B42,AA$1,$B$1)</f>
        <v>4.59</v>
      </c>
      <c r="AB42" s="54">
        <f>_xll.EQNXTDZ($A$1,$B42,AB$1,$B$1)</f>
        <v>4.59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149.97569999999999</v>
      </c>
      <c r="F43" s="54">
        <f>_xll.EQNXTDZ($A$1,$B43,F$1,$B$1)</f>
        <v>151.42400000000001</v>
      </c>
      <c r="G43" s="54">
        <f>_xll.EQNXTDZ($A$1,$B43,G$1,$B$1)</f>
        <v>166.98009999999999</v>
      </c>
      <c r="H43" s="54">
        <f>_xll.EQNXTDZ($A$1,$B43,H$1,$B$1)</f>
        <v>184.24270000000001</v>
      </c>
      <c r="I43" s="54">
        <f>_xll.EQNXTDZ($A$1,$B43,I$1,$B$1)</f>
        <v>211.31180000000001</v>
      </c>
      <c r="J43" s="54">
        <f>_xll.EQNXTDZ($A$1,$B43,J$1,$B$1)</f>
        <v>225.73050000000001</v>
      </c>
      <c r="K43" s="54">
        <f>_xll.EQNXTDZ($A$1,$B43,K$1,$B$1)</f>
        <v>233.6317</v>
      </c>
      <c r="L43" s="54">
        <f>_xll.EQNXTDZ($A$1,$B43,L$1,$B$1)</f>
        <v>249.00800000000001</v>
      </c>
      <c r="M43" s="54">
        <f>_xll.EQNXTDZ($A$1,$B43,M$1,$B$1)</f>
        <v>281.12290000000002</v>
      </c>
      <c r="N43" s="54">
        <f>_xll.EQNXTDZ($A$1,$B43,N$1,$B$1)</f>
        <v>316.2894</v>
      </c>
      <c r="O43" s="54">
        <f>_xll.EQNXTDZ($A$1,$B43,O$1,$B$1)</f>
        <v>342.42189999999999</v>
      </c>
      <c r="P43" s="54">
        <f>_xll.EQNXTDZ($A$1,$B43,P$1,$B$1)</f>
        <v>378.26799999999997</v>
      </c>
      <c r="Q43" s="54">
        <f>_xll.EQNXTDZ($A$1,$B43,Q$1,$B$1)</f>
        <v>552.93769999999995</v>
      </c>
      <c r="R43" s="54">
        <f>_xll.EQNXTDZ($A$1,$B43,R$1,$B$1)</f>
        <v>604.14390000000003</v>
      </c>
      <c r="S43" s="54">
        <f>_xll.EQNXTDZ($A$1,$B43,S$1,$B$1)</f>
        <v>490.60169999999999</v>
      </c>
      <c r="T43" s="54">
        <f>_xll.EQNXTDZ($A$1,$B43,T$1,$B$1)</f>
        <v>527.04380000000003</v>
      </c>
      <c r="U43" s="54">
        <f>_xll.EQNXTDZ($A$1,$B43,U$1,$B$1)</f>
        <v>534.27859999999998</v>
      </c>
      <c r="V43" s="54">
        <f>_xll.EQNXTDZ($A$1,$B43,V$1,$B$1)</f>
        <v>676.01</v>
      </c>
      <c r="W43" s="54">
        <f>_xll.EQNXTDZ($A$1,$B43,W$1,$B$1)</f>
        <v>743.58</v>
      </c>
      <c r="X43" s="54">
        <f>_xll.EQNXTDZ($A$1,$B43,X$1,$B$1)</f>
        <v>694.48</v>
      </c>
      <c r="Y43" s="54">
        <f>_xll.EQNXTDZ($A$1,$B43,Y$1,$B$1)</f>
        <v>735.58</v>
      </c>
      <c r="Z43" s="54">
        <f>_xll.EQNXTDZ($A$1,$B43,Z$1,$B$1)</f>
        <v>1130.76</v>
      </c>
      <c r="AA43" s="54">
        <f>_xll.EQNXTDZ($A$1,$B43,AA$1,$B$1)</f>
        <v>1173.8499999999999</v>
      </c>
      <c r="AB43" s="54">
        <f>_xll.EQNXTDZ($A$1,$B43,AB$1,$B$1)</f>
        <v>1273.83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162.51400000000001</v>
      </c>
      <c r="F44" s="54">
        <f>_xll.EQNXTDZ($A$1,$B44,F$1,$B$1)</f>
        <v>163.9623</v>
      </c>
      <c r="G44" s="54">
        <f>_xll.EQNXTDZ($A$1,$B44,G$1,$B$1)</f>
        <v>179.51840000000001</v>
      </c>
      <c r="H44" s="54">
        <f>_xll.EQNXTDZ($A$1,$B44,H$1,$B$1)</f>
        <v>196.78100000000001</v>
      </c>
      <c r="I44" s="54">
        <f>_xll.EQNXTDZ($A$1,$B44,I$1,$B$1)</f>
        <v>223.8501</v>
      </c>
      <c r="J44" s="54">
        <f>_xll.EQNXTDZ($A$1,$B44,J$1,$B$1)</f>
        <v>238.2688</v>
      </c>
      <c r="K44" s="54">
        <f>_xll.EQNXTDZ($A$1,$B44,K$1,$B$1)</f>
        <v>246.17</v>
      </c>
      <c r="L44" s="54">
        <f>_xll.EQNXTDZ($A$1,$B44,L$1,$B$1)</f>
        <v>261.54629999999997</v>
      </c>
      <c r="M44" s="54">
        <f>_xll.EQNXTDZ($A$1,$B44,M$1,$B$1)</f>
        <v>293.66120000000001</v>
      </c>
      <c r="N44" s="54">
        <f>_xll.EQNXTDZ($A$1,$B44,N$1,$B$1)</f>
        <v>328.82769999999999</v>
      </c>
      <c r="O44" s="54">
        <f>_xll.EQNXTDZ($A$1,$B44,O$1,$B$1)</f>
        <v>354.96019999999999</v>
      </c>
      <c r="P44" s="54">
        <f>_xll.EQNXTDZ($A$1,$B44,P$1,$B$1)</f>
        <v>390.80630000000002</v>
      </c>
      <c r="Q44" s="54">
        <f>_xll.EQNXTDZ($A$1,$B44,Q$1,$B$1)</f>
        <v>567.48099999999999</v>
      </c>
      <c r="R44" s="54">
        <f>_xll.EQNXTDZ($A$1,$B44,R$1,$B$1)</f>
        <v>618.68719999999996</v>
      </c>
      <c r="S44" s="54">
        <f>_xll.EQNXTDZ($A$1,$B44,S$1,$B$1)</f>
        <v>509.20740000000001</v>
      </c>
      <c r="T44" s="54">
        <f>_xll.EQNXTDZ($A$1,$B44,T$1,$B$1)</f>
        <v>549.06600000000003</v>
      </c>
      <c r="U44" s="54">
        <f>_xll.EQNXTDZ($A$1,$B44,U$1,$B$1)</f>
        <v>556.47789999999998</v>
      </c>
      <c r="V44" s="54">
        <f>_xll.EQNXTDZ($A$1,$B44,V$1,$B$1)</f>
        <v>697.35</v>
      </c>
      <c r="W44" s="54">
        <f>_xll.EQNXTDZ($A$1,$B44,W$1,$B$1)</f>
        <v>764.91</v>
      </c>
      <c r="X44" s="54">
        <f>_xll.EQNXTDZ($A$1,$B44,X$1,$B$1)</f>
        <v>714.68</v>
      </c>
      <c r="Y44" s="54">
        <f>_xll.EQNXTDZ($A$1,$B44,Y$1,$B$1)</f>
        <v>756.96</v>
      </c>
      <c r="Z44" s="54">
        <f>_xll.EQNXTDZ($A$1,$B44,Z$1,$B$1)</f>
        <v>1150.46</v>
      </c>
      <c r="AA44" s="54">
        <f>_xll.EQNXTDZ($A$1,$B44,AA$1,$B$1)</f>
        <v>1193.55</v>
      </c>
      <c r="AB44" s="54">
        <f>_xll.EQNXTDZ($A$1,$B44,AB$1,$B$1)</f>
        <v>1293.53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18.516100000000002</v>
      </c>
      <c r="P45" s="54">
        <f>_xll.EQNXTDZ($A$1,$B45,P$1,$B$1)</f>
        <v>20.126300000000001</v>
      </c>
      <c r="Q45" s="54">
        <f>_xll.EQNXTDZ($A$1,$B45,Q$1,$B$1)</f>
        <v>22.031099999999999</v>
      </c>
      <c r="R45" s="54">
        <f>_xll.EQNXTDZ($A$1,$B45,R$1,$B$1)</f>
        <v>23.827999999999999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1.6451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4.2893999999999997</v>
      </c>
      <c r="K47" s="54">
        <f>_xll.EQNXTDZ($A$1,$B47,K$1,$B$1)</f>
        <v>0.2853</v>
      </c>
      <c r="L47" s="54">
        <f>_xll.EQNXTDZ($A$1,$B47,L$1,$B$1)</f>
        <v>1.4041999999999999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13.6488</v>
      </c>
      <c r="P47" s="54">
        <f>_xll.EQNXTDZ($A$1,$B47,P$1,$B$1)</f>
        <v>20.703800000000001</v>
      </c>
      <c r="Q47" s="54">
        <f>_xll.EQNXTDZ($A$1,$B47,Q$1,$B$1)</f>
        <v>18.111000000000001</v>
      </c>
      <c r="R47" s="54">
        <f>_xll.EQNXTDZ($A$1,$B47,R$1,$B$1)</f>
        <v>7.8558000000000003</v>
      </c>
      <c r="S47" s="54">
        <f>_xll.EQNXTDZ($A$1,$B47,S$1,$B$1)</f>
        <v>10.4323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100</v>
      </c>
      <c r="W47" s="54">
        <f>_xll.EQNXTDZ($A$1,$B47,W$1,$B$1)</f>
        <v>25</v>
      </c>
      <c r="X47" s="54">
        <f>_xll.EQNXTDZ($A$1,$B47,X$1,$B$1)</f>
        <v>50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7.5303000000000004</v>
      </c>
      <c r="F48" s="54">
        <f>_xll.EQNXTDZ($A$1,$B48,F$1,$B$1)</f>
        <v>10.2644</v>
      </c>
      <c r="G48" s="54">
        <f>_xll.EQNXTDZ($A$1,$B48,G$1,$B$1)</f>
        <v>13.0207</v>
      </c>
      <c r="H48" s="54">
        <f>_xll.EQNXTDZ($A$1,$B48,H$1,$B$1)</f>
        <v>16.294699999999999</v>
      </c>
      <c r="I48" s="54">
        <f>_xll.EQNXTDZ($A$1,$B48,I$1,$B$1)</f>
        <v>33.773600000000002</v>
      </c>
      <c r="J48" s="54">
        <f>_xll.EQNXTDZ($A$1,$B48,J$1,$B$1)</f>
        <v>62.8643</v>
      </c>
      <c r="K48" s="54">
        <f>_xll.EQNXTDZ($A$1,$B48,K$1,$B$1)</f>
        <v>49.530099999999997</v>
      </c>
      <c r="L48" s="54">
        <f>_xll.EQNXTDZ($A$1,$B48,L$1,$B$1)</f>
        <v>22.530899999999999</v>
      </c>
      <c r="M48" s="54">
        <f>_xll.EQNXTDZ($A$1,$B48,M$1,$B$1)</f>
        <v>22.530899999999999</v>
      </c>
      <c r="N48" s="54">
        <f>_xll.EQNXTDZ($A$1,$B48,N$1,$B$1)</f>
        <v>21.592400000000001</v>
      </c>
      <c r="O48" s="54">
        <f>_xll.EQNXTDZ($A$1,$B48,O$1,$B$1)</f>
        <v>20.614699999999999</v>
      </c>
      <c r="P48" s="54">
        <f>_xll.EQNXTDZ($A$1,$B48,P$1,$B$1)</f>
        <v>19.210599999999999</v>
      </c>
      <c r="Q48" s="54">
        <f>_xll.EQNXTDZ($A$1,$B48,Q$1,$B$1)</f>
        <v>17.295100000000001</v>
      </c>
      <c r="R48" s="54">
        <f>_xll.EQNXTDZ($A$1,$B48,R$1,$B$1)</f>
        <v>427.34989999999999</v>
      </c>
      <c r="S48" s="54">
        <f>_xll.EQNXTDZ($A$1,$B48,S$1,$B$1)</f>
        <v>397.19380000000001</v>
      </c>
      <c r="T48" s="54">
        <f>_xll.EQNXTDZ($A$1,$B48,T$1,$B$1)</f>
        <v>394.23649999999998</v>
      </c>
      <c r="U48" s="54">
        <f>_xll.EQNXTDZ($A$1,$B48,U$1,$B$1)</f>
        <v>390.36680000000001</v>
      </c>
      <c r="V48" s="54">
        <f>_xll.EQNXTDZ($A$1,$B48,V$1,$B$1)</f>
        <v>1.76</v>
      </c>
      <c r="W48" s="54">
        <f>_xll.EQNXTDZ($A$1,$B48,W$1,$B$1)</f>
        <v>100</v>
      </c>
      <c r="X48" s="54">
        <f>_xll.EQNXTDZ($A$1,$B48,X$1,$B$1)</f>
        <v>150</v>
      </c>
      <c r="Y48" s="54">
        <f>_xll.EQNXTDZ($A$1,$B48,Y$1,$B$1)</f>
        <v>200</v>
      </c>
      <c r="Z48" s="54">
        <f>_xll.EQNXTDZ($A$1,$B48,Z$1,$B$1)</f>
        <v>200</v>
      </c>
      <c r="AA48" s="54">
        <f>_xll.EQNXTDZ($A$1,$B48,AA$1,$B$1)</f>
        <v>100</v>
      </c>
      <c r="AB48" s="54">
        <f>_xll.EQNXTDZ($A$1,$B48,AB$1,$B$1)</f>
        <v>100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7.4984000000000002</v>
      </c>
      <c r="F49" s="54">
        <f>_xll.EQNXTDZ($A$1,$B49,F$1,$B$1)</f>
        <v>9.6239000000000008</v>
      </c>
      <c r="G49" s="54">
        <f>_xll.EQNXTDZ($A$1,$B49,G$1,$B$1)</f>
        <v>8.9906000000000006</v>
      </c>
      <c r="H49" s="54">
        <f>_xll.EQNXTDZ($A$1,$B49,H$1,$B$1)</f>
        <v>6.02</v>
      </c>
      <c r="I49" s="54">
        <f>_xll.EQNXTDZ($A$1,$B49,I$1,$B$1)</f>
        <v>8.3916000000000004</v>
      </c>
      <c r="J49" s="54">
        <f>_xll.EQNXTDZ($A$1,$B49,J$1,$B$1)</f>
        <v>8.5149000000000008</v>
      </c>
      <c r="K49" s="54">
        <f>_xll.EQNXTDZ($A$1,$B49,K$1,$B$1)</f>
        <v>6.8964999999999996</v>
      </c>
      <c r="L49" s="54">
        <f>_xll.EQNXTDZ($A$1,$B49,L$1,$B$1)</f>
        <v>6.7759</v>
      </c>
      <c r="M49" s="54">
        <f>_xll.EQNXTDZ($A$1,$B49,M$1,$B$1)</f>
        <v>5.2638999999999996</v>
      </c>
      <c r="N49" s="54">
        <f>_xll.EQNXTDZ($A$1,$B49,N$1,$B$1)</f>
        <v>2.5213000000000001</v>
      </c>
      <c r="O49" s="54">
        <f>_xll.EQNXTDZ($A$1,$B49,O$1,$B$1)</f>
        <v>0.67769999999999997</v>
      </c>
      <c r="P49" s="54">
        <f>_xll.EQNXTDZ($A$1,$B49,P$1,$B$1)</f>
        <v>0.9869</v>
      </c>
      <c r="Q49" s="54">
        <f>_xll.EQNXTDZ($A$1,$B49,Q$1,$B$1)</f>
        <v>5.4885000000000002</v>
      </c>
      <c r="R49" s="54">
        <f>_xll.EQNXTDZ($A$1,$B49,R$1,$B$1)</f>
        <v>4.2366000000000001</v>
      </c>
      <c r="S49" s="54">
        <f>_xll.EQNXTDZ($A$1,$B49,S$1,$B$1)</f>
        <v>-18.706299999999999</v>
      </c>
      <c r="T49" s="54">
        <f>_xll.EQNXTDZ($A$1,$B49,T$1,$B$1)</f>
        <v>-10.190899999999999</v>
      </c>
      <c r="U49" s="54">
        <f>_xll.EQNXTDZ($A$1,$B49,U$1,$B$1)</f>
        <v>-4.9101999999999997</v>
      </c>
      <c r="V49" s="54">
        <f>_xll.EQNXTDZ($A$1,$B49,V$1,$B$1)</f>
        <v>-6.24</v>
      </c>
      <c r="W49" s="54">
        <f>_xll.EQNXTDZ($A$1,$B49,W$1,$B$1)</f>
        <v>-7.75</v>
      </c>
      <c r="X49" s="54">
        <f>_xll.EQNXTDZ($A$1,$B49,X$1,$B$1)</f>
        <v>-17.079999999999998</v>
      </c>
      <c r="Y49" s="54">
        <f>_xll.EQNXTDZ($A$1,$B49,Y$1,$B$1)</f>
        <v>-28.41</v>
      </c>
      <c r="Z49" s="54">
        <f>_xll.EQNXTDZ($A$1,$B49,Z$1,$B$1)</f>
        <v>-18.149999999999999</v>
      </c>
      <c r="AA49" s="54">
        <f>_xll.EQNXTDZ($A$1,$B49,AA$1,$B$1)</f>
        <v>-7</v>
      </c>
      <c r="AB49" s="54">
        <f>_xll.EQNXTDZ($A$1,$B49,AB$1,$B$1)</f>
        <v>5.45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35.599600000000002</v>
      </c>
      <c r="S50" s="54">
        <f>_xll.EQNXTDZ($A$1,$B50,S$1,$B$1)</f>
        <v>11.8626</v>
      </c>
      <c r="T50" s="54">
        <f>_xll.EQNXTDZ($A$1,$B50,T$1,$B$1)</f>
        <v>12.571400000000001</v>
      </c>
      <c r="U50" s="54">
        <f>_xll.EQNXTDZ($A$1,$B50,U$1,$B$1)</f>
        <v>11.9009</v>
      </c>
      <c r="V50" s="54">
        <f>_xll.EQNXTDZ($A$1,$B50,V$1,$B$1)</f>
        <v>9.01</v>
      </c>
      <c r="W50" s="54">
        <f>_xll.EQNXTDZ($A$1,$B50,W$1,$B$1)</f>
        <v>52.95</v>
      </c>
      <c r="X50" s="54">
        <f>_xll.EQNXTDZ($A$1,$B50,X$1,$B$1)</f>
        <v>64.099999999999994</v>
      </c>
      <c r="Y50" s="54">
        <f>_xll.EQNXTDZ($A$1,$B50,Y$1,$B$1)</f>
        <v>48.45</v>
      </c>
      <c r="Z50" s="54">
        <f>_xll.EQNXTDZ($A$1,$B50,Z$1,$B$1)</f>
        <v>62.32</v>
      </c>
      <c r="AA50" s="54">
        <f>_xll.EQNXTDZ($A$1,$B50,AA$1,$B$1)</f>
        <v>57.32</v>
      </c>
      <c r="AB50" s="54">
        <f>_xll.EQNXTDZ($A$1,$B50,AB$1,$B$1)</f>
        <v>52.93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0.79169999999999996</v>
      </c>
      <c r="O52" s="54">
        <f>_xll.EQNXTDZ($A$1,$B52,O$1,$B$1)</f>
        <v>1.5179</v>
      </c>
      <c r="P52" s="54">
        <f>_xll.EQNXTDZ($A$1,$B52,P$1,$B$1)</f>
        <v>1.2738</v>
      </c>
      <c r="Q52" s="54">
        <f>_xll.EQNXTDZ($A$1,$B52,Q$1,$B$1)</f>
        <v>1.4433</v>
      </c>
      <c r="R52" s="54">
        <f>_xll.EQNXTDZ($A$1,$B52,R$1,$B$1)</f>
        <v>6.4855999999999998</v>
      </c>
      <c r="S52" s="54">
        <f>_xll.EQNXTDZ($A$1,$B52,S$1,$B$1)</f>
        <v>3.9820000000000002</v>
      </c>
      <c r="T52" s="54">
        <f>_xll.EQNXTDZ($A$1,$B52,T$1,$B$1)</f>
        <v>3.2433999999999998</v>
      </c>
      <c r="U52" s="54">
        <f>_xll.EQNXTDZ($A$1,$B52,U$1,$B$1)</f>
        <v>3.3538000000000001</v>
      </c>
      <c r="V52" s="54">
        <f>_xll.EQNXTDZ($A$1,$B52,V$1,$B$1)</f>
        <v>4.3600000000000003</v>
      </c>
      <c r="W52" s="54">
        <f>_xll.EQNXTDZ($A$1,$B52,W$1,$B$1)</f>
        <v>7.73</v>
      </c>
      <c r="X52" s="54">
        <f>_xll.EQNXTDZ($A$1,$B52,X$1,$B$1)</f>
        <v>432.14</v>
      </c>
      <c r="Y52" s="54">
        <f>_xll.EQNXTDZ($A$1,$B52,Y$1,$B$1)</f>
        <v>449.21</v>
      </c>
      <c r="Z52" s="54">
        <f>_xll.EQNXTDZ($A$1,$B52,Z$1,$B$1)</f>
        <v>412.25</v>
      </c>
      <c r="AA52" s="54">
        <f>_xll.EQNXTDZ($A$1,$B52,AA$1,$B$1)</f>
        <v>504.56</v>
      </c>
      <c r="AB52" s="54">
        <f>_xll.EQNXTDZ($A$1,$B52,AB$1,$B$1)</f>
        <v>375.93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16.6738</v>
      </c>
      <c r="F53" s="54">
        <f>_xll.EQNXTDZ($A$1,$B53,F$1,$B$1)</f>
        <v>19.888300000000001</v>
      </c>
      <c r="G53" s="54">
        <f>_xll.EQNXTDZ($A$1,$B53,G$1,$B$1)</f>
        <v>22.011299999999999</v>
      </c>
      <c r="H53" s="54">
        <f>_xll.EQNXTDZ($A$1,$B53,H$1,$B$1)</f>
        <v>22.314699999999998</v>
      </c>
      <c r="I53" s="54">
        <f>_xll.EQNXTDZ($A$1,$B53,I$1,$B$1)</f>
        <v>42.165199999999999</v>
      </c>
      <c r="J53" s="54">
        <f>_xll.EQNXTDZ($A$1,$B53,J$1,$B$1)</f>
        <v>75.668599999999998</v>
      </c>
      <c r="K53" s="54">
        <f>_xll.EQNXTDZ($A$1,$B53,K$1,$B$1)</f>
        <v>56.7119</v>
      </c>
      <c r="L53" s="54">
        <f>_xll.EQNXTDZ($A$1,$B53,L$1,$B$1)</f>
        <v>30.710999999999999</v>
      </c>
      <c r="M53" s="54">
        <f>_xll.EQNXTDZ($A$1,$B53,M$1,$B$1)</f>
        <v>27.794799999999999</v>
      </c>
      <c r="N53" s="54">
        <f>_xll.EQNXTDZ($A$1,$B53,N$1,$B$1)</f>
        <v>24.9054</v>
      </c>
      <c r="O53" s="54">
        <f>_xll.EQNXTDZ($A$1,$B53,O$1,$B$1)</f>
        <v>36.459099999999999</v>
      </c>
      <c r="P53" s="54">
        <f>_xll.EQNXTDZ($A$1,$B53,P$1,$B$1)</f>
        <v>42.1751</v>
      </c>
      <c r="Q53" s="54">
        <f>_xll.EQNXTDZ($A$1,$B53,Q$1,$B$1)</f>
        <v>42.337899999999998</v>
      </c>
      <c r="R53" s="54">
        <f>_xll.EQNXTDZ($A$1,$B53,R$1,$B$1)</f>
        <v>481.52749999999997</v>
      </c>
      <c r="S53" s="54">
        <f>_xll.EQNXTDZ($A$1,$B53,S$1,$B$1)</f>
        <v>404.76440000000002</v>
      </c>
      <c r="T53" s="54">
        <f>_xll.EQNXTDZ($A$1,$B53,T$1,$B$1)</f>
        <v>399.86040000000003</v>
      </c>
      <c r="U53" s="54">
        <f>_xll.EQNXTDZ($A$1,$B53,U$1,$B$1)</f>
        <v>400.71129999999999</v>
      </c>
      <c r="V53" s="54">
        <f>_xll.EQNXTDZ($A$1,$B53,V$1,$B$1)</f>
        <v>108.89</v>
      </c>
      <c r="W53" s="54">
        <f>_xll.EQNXTDZ($A$1,$B53,W$1,$B$1)</f>
        <v>177.93</v>
      </c>
      <c r="X53" s="54">
        <f>_xll.EQNXTDZ($A$1,$B53,X$1,$B$1)</f>
        <v>679.16</v>
      </c>
      <c r="Y53" s="54">
        <f>_xll.EQNXTDZ($A$1,$B53,Y$1,$B$1)</f>
        <v>669.25</v>
      </c>
      <c r="Z53" s="54">
        <f>_xll.EQNXTDZ($A$1,$B53,Z$1,$B$1)</f>
        <v>656.42</v>
      </c>
      <c r="AA53" s="54">
        <f>_xll.EQNXTDZ($A$1,$B53,AA$1,$B$1)</f>
        <v>654.88</v>
      </c>
      <c r="AB53" s="54">
        <f>_xll.EQNXTDZ($A$1,$B53,AB$1,$B$1)</f>
        <v>534.30999999999995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41.422199999999997</v>
      </c>
      <c r="F54" s="54">
        <f>_xll.EQNXTDZ($A$1,$B54,F$1,$B$1)</f>
        <v>39.947699999999998</v>
      </c>
      <c r="G54" s="54">
        <f>_xll.EQNXTDZ($A$1,$B54,G$1,$B$1)</f>
        <v>52.459400000000002</v>
      </c>
      <c r="H54" s="54">
        <f>_xll.EQNXTDZ($A$1,$B54,H$1,$B$1)</f>
        <v>56.9955</v>
      </c>
      <c r="I54" s="54">
        <f>_xll.EQNXTDZ($A$1,$B54,I$1,$B$1)</f>
        <v>57.144199999999998</v>
      </c>
      <c r="J54" s="54">
        <f>_xll.EQNXTDZ($A$1,$B54,J$1,$B$1)</f>
        <v>77.286000000000001</v>
      </c>
      <c r="K54" s="54">
        <f>_xll.EQNXTDZ($A$1,$B54,K$1,$B$1)</f>
        <v>64.716700000000003</v>
      </c>
      <c r="L54" s="54">
        <f>_xll.EQNXTDZ($A$1,$B54,L$1,$B$1)</f>
        <v>81.471299999999999</v>
      </c>
      <c r="M54" s="54">
        <f>_xll.EQNXTDZ($A$1,$B54,M$1,$B$1)</f>
        <v>94.103399999999993</v>
      </c>
      <c r="N54" s="54">
        <f>_xll.EQNXTDZ($A$1,$B54,N$1,$B$1)</f>
        <v>114.42100000000001</v>
      </c>
      <c r="O54" s="54">
        <f>_xll.EQNXTDZ($A$1,$B54,O$1,$B$1)</f>
        <v>128.2458</v>
      </c>
      <c r="P54" s="54">
        <f>_xll.EQNXTDZ($A$1,$B54,P$1,$B$1)</f>
        <v>148.54810000000001</v>
      </c>
      <c r="Q54" s="54">
        <f>_xll.EQNXTDZ($A$1,$B54,Q$1,$B$1)</f>
        <v>173.9725</v>
      </c>
      <c r="R54" s="54">
        <f>_xll.EQNXTDZ($A$1,$B54,R$1,$B$1)</f>
        <v>286.73509999999999</v>
      </c>
      <c r="S54" s="54">
        <f>_xll.EQNXTDZ($A$1,$B54,S$1,$B$1)</f>
        <v>325.79079999999999</v>
      </c>
      <c r="T54" s="54">
        <f>_xll.EQNXTDZ($A$1,$B54,T$1,$B$1)</f>
        <v>365.39589999999998</v>
      </c>
      <c r="U54" s="54">
        <f>_xll.EQNXTDZ($A$1,$B54,U$1,$B$1)</f>
        <v>361.73129999999998</v>
      </c>
      <c r="V54" s="54">
        <f>_xll.EQNXTDZ($A$1,$B54,V$1,$B$1)</f>
        <v>429.59</v>
      </c>
      <c r="W54" s="54">
        <f>_xll.EQNXTDZ($A$1,$B54,W$1,$B$1)</f>
        <v>409.84</v>
      </c>
      <c r="X54" s="54">
        <f>_xll.EQNXTDZ($A$1,$B54,X$1,$B$1)</f>
        <v>573.76</v>
      </c>
      <c r="Y54" s="54">
        <f>_xll.EQNXTDZ($A$1,$B54,Y$1,$B$1)</f>
        <v>477.95</v>
      </c>
      <c r="Z54" s="54">
        <f>_xll.EQNXTDZ($A$1,$B54,Z$1,$B$1)</f>
        <v>467.48</v>
      </c>
      <c r="AA54" s="54">
        <f>_xll.EQNXTDZ($A$1,$B54,AA$1,$B$1)</f>
        <v>477.86</v>
      </c>
      <c r="AB54" s="54">
        <f>_xll.EQNXTDZ($A$1,$B54,AB$1,$B$1)</f>
        <v>454.32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11.1294</v>
      </c>
      <c r="F55" s="54">
        <f>_xll.EQNXTDZ($A$1,$B55,F$1,$B$1)</f>
        <v>14.350300000000001</v>
      </c>
      <c r="G55" s="54">
        <f>_xll.EQNXTDZ($A$1,$B55,G$1,$B$1)</f>
        <v>14.2583</v>
      </c>
      <c r="H55" s="54">
        <f>_xll.EQNXTDZ($A$1,$B55,H$1,$B$1)</f>
        <v>17.518000000000001</v>
      </c>
      <c r="I55" s="54">
        <f>_xll.EQNXTDZ($A$1,$B55,I$1,$B$1)</f>
        <v>22.648</v>
      </c>
      <c r="J55" s="54">
        <f>_xll.EQNXTDZ($A$1,$B55,J$1,$B$1)</f>
        <v>23.471</v>
      </c>
      <c r="K55" s="54">
        <f>_xll.EQNXTDZ($A$1,$B55,K$1,$B$1)</f>
        <v>41.808900000000001</v>
      </c>
      <c r="L55" s="54">
        <f>_xll.EQNXTDZ($A$1,$B55,L$1,$B$1)</f>
        <v>43.052900000000001</v>
      </c>
      <c r="M55" s="54">
        <f>_xll.EQNXTDZ($A$1,$B55,M$1,$B$1)</f>
        <v>31.248799999999999</v>
      </c>
      <c r="N55" s="54">
        <f>_xll.EQNXTDZ($A$1,$B55,N$1,$B$1)</f>
        <v>20.9039</v>
      </c>
      <c r="O55" s="54">
        <f>_xll.EQNXTDZ($A$1,$B55,O$1,$B$1)</f>
        <v>23.210799999999999</v>
      </c>
      <c r="P55" s="54">
        <f>_xll.EQNXTDZ($A$1,$B55,P$1,$B$1)</f>
        <v>29.9574</v>
      </c>
      <c r="Q55" s="54">
        <f>_xll.EQNXTDZ($A$1,$B55,Q$1,$B$1)</f>
        <v>36.482900000000001</v>
      </c>
      <c r="R55" s="54">
        <f>_xll.EQNXTDZ($A$1,$B55,R$1,$B$1)</f>
        <v>127.89239999999999</v>
      </c>
      <c r="S55" s="54">
        <f>_xll.EQNXTDZ($A$1,$B55,S$1,$B$1)</f>
        <v>153.88919999999999</v>
      </c>
      <c r="T55" s="54">
        <f>_xll.EQNXTDZ($A$1,$B55,T$1,$B$1)</f>
        <v>80.383099999999999</v>
      </c>
      <c r="U55" s="54">
        <f>_xll.EQNXTDZ($A$1,$B55,U$1,$B$1)</f>
        <v>79.781599999999997</v>
      </c>
      <c r="V55" s="54">
        <f>_xll.EQNXTDZ($A$1,$B55,V$1,$B$1)</f>
        <v>68.69</v>
      </c>
      <c r="W55" s="54">
        <f>_xll.EQNXTDZ($A$1,$B55,W$1,$B$1)</f>
        <v>62.08</v>
      </c>
      <c r="X55" s="54">
        <f>_xll.EQNXTDZ($A$1,$B55,X$1,$B$1)</f>
        <v>106.94</v>
      </c>
      <c r="Y55" s="54">
        <f>_xll.EQNXTDZ($A$1,$B55,Y$1,$B$1)</f>
        <v>54.37</v>
      </c>
      <c r="Z55" s="54">
        <f>_xll.EQNXTDZ($A$1,$B55,Z$1,$B$1)</f>
        <v>75.08</v>
      </c>
      <c r="AA55" s="54">
        <f>_xll.EQNXTDZ($A$1,$B55,AA$1,$B$1)</f>
        <v>68.16</v>
      </c>
      <c r="AB55" s="54">
        <f>_xll.EQNXTDZ($A$1,$B55,AB$1,$B$1)</f>
        <v>56.09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14.061999999999999</v>
      </c>
      <c r="P56" s="54">
        <f>_xll.EQNXTDZ($A$1,$B56,P$1,$B$1)</f>
        <v>0.58609999999999995</v>
      </c>
      <c r="Q56" s="54">
        <f>_xll.EQNXTDZ($A$1,$B56,Q$1,$B$1)</f>
        <v>2.3163999999999998</v>
      </c>
      <c r="R56" s="54">
        <f>_xll.EQNXTDZ($A$1,$B56,R$1,$B$1)</f>
        <v>51.5623</v>
      </c>
      <c r="S56" s="54">
        <f>_xll.EQNXTDZ($A$1,$B56,S$1,$B$1)</f>
        <v>0.1754</v>
      </c>
      <c r="T56" s="54">
        <f>_xll.EQNXTDZ($A$1,$B56,T$1,$B$1)</f>
        <v>0</v>
      </c>
      <c r="U56" s="54">
        <f>_xll.EQNXTDZ($A$1,$B56,U$1,$B$1)</f>
        <v>9.1526999999999994</v>
      </c>
      <c r="V56" s="54">
        <f>_xll.EQNXTDZ($A$1,$B56,V$1,$B$1)</f>
        <v>167.08</v>
      </c>
      <c r="W56" s="54">
        <f>_xll.EQNXTDZ($A$1,$B56,W$1,$B$1)</f>
        <v>121.03</v>
      </c>
      <c r="X56" s="54">
        <f>_xll.EQNXTDZ($A$1,$B56,X$1,$B$1)</f>
        <v>98.71</v>
      </c>
      <c r="Y56" s="54">
        <f>_xll.EQNXTDZ($A$1,$B56,Y$1,$B$1)</f>
        <v>163.09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10.097899999999999</v>
      </c>
      <c r="F57" s="54">
        <f>_xll.EQNXTDZ($A$1,$B57,F$1,$B$1)</f>
        <v>26.459</v>
      </c>
      <c r="G57" s="54">
        <f>_xll.EQNXTDZ($A$1,$B57,G$1,$B$1)</f>
        <v>13.4596</v>
      </c>
      <c r="H57" s="54">
        <f>_xll.EQNXTDZ($A$1,$B57,H$1,$B$1)</f>
        <v>13.221500000000001</v>
      </c>
      <c r="I57" s="54">
        <f>_xll.EQNXTDZ($A$1,$B57,I$1,$B$1)</f>
        <v>17.3062</v>
      </c>
      <c r="J57" s="54">
        <f>_xll.EQNXTDZ($A$1,$B57,J$1,$B$1)</f>
        <v>18.3231</v>
      </c>
      <c r="K57" s="54">
        <f>_xll.EQNXTDZ($A$1,$B57,K$1,$B$1)</f>
        <v>20.0396</v>
      </c>
      <c r="L57" s="54">
        <f>_xll.EQNXTDZ($A$1,$B57,L$1,$B$1)</f>
        <v>27.0093</v>
      </c>
      <c r="M57" s="54">
        <f>_xll.EQNXTDZ($A$1,$B57,M$1,$B$1)</f>
        <v>133.78210000000001</v>
      </c>
      <c r="N57" s="54">
        <f>_xll.EQNXTDZ($A$1,$B57,N$1,$B$1)</f>
        <v>29.1934</v>
      </c>
      <c r="O57" s="54">
        <f>_xll.EQNXTDZ($A$1,$B57,O$1,$B$1)</f>
        <v>28.448699999999999</v>
      </c>
      <c r="P57" s="54">
        <f>_xll.EQNXTDZ($A$1,$B57,P$1,$B$1)</f>
        <v>30.297499999999999</v>
      </c>
      <c r="Q57" s="54">
        <f>_xll.EQNXTDZ($A$1,$B57,Q$1,$B$1)</f>
        <v>35.501399999999997</v>
      </c>
      <c r="R57" s="54">
        <f>_xll.EQNXTDZ($A$1,$B57,R$1,$B$1)</f>
        <v>58.833500000000001</v>
      </c>
      <c r="S57" s="54">
        <f>_xll.EQNXTDZ($A$1,$B57,S$1,$B$1)</f>
        <v>33.179900000000004</v>
      </c>
      <c r="T57" s="54">
        <f>_xll.EQNXTDZ($A$1,$B57,T$1,$B$1)</f>
        <v>29.964700000000001</v>
      </c>
      <c r="U57" s="54">
        <f>_xll.EQNXTDZ($A$1,$B57,U$1,$B$1)</f>
        <v>38.191099999999999</v>
      </c>
      <c r="V57" s="54">
        <f>_xll.EQNXTDZ($A$1,$B57,V$1,$B$1)</f>
        <v>36.24</v>
      </c>
      <c r="W57" s="54">
        <f>_xll.EQNXTDZ($A$1,$B57,W$1,$B$1)</f>
        <v>39.299999999999997</v>
      </c>
      <c r="X57" s="54">
        <f>_xll.EQNXTDZ($A$1,$B57,X$1,$B$1)</f>
        <v>136.25</v>
      </c>
      <c r="Y57" s="54">
        <f>_xll.EQNXTDZ($A$1,$B57,Y$1,$B$1)</f>
        <v>137.32</v>
      </c>
      <c r="Z57" s="54">
        <f>_xll.EQNXTDZ($A$1,$B57,Z$1,$B$1)</f>
        <v>247.67</v>
      </c>
      <c r="AA57" s="54">
        <f>_xll.EQNXTDZ($A$1,$B57,AA$1,$B$1)</f>
        <v>165.55</v>
      </c>
      <c r="AB57" s="54">
        <f>_xll.EQNXTDZ($A$1,$B57,AB$1,$B$1)</f>
        <v>268.33999999999997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62.649500000000003</v>
      </c>
      <c r="F59" s="54">
        <f>_xll.EQNXTDZ($A$1,$B59,F$1,$B$1)</f>
        <v>80.757000000000005</v>
      </c>
      <c r="G59" s="54">
        <f>_xll.EQNXTDZ($A$1,$B59,G$1,$B$1)</f>
        <v>80.177300000000002</v>
      </c>
      <c r="H59" s="54">
        <f>_xll.EQNXTDZ($A$1,$B59,H$1,$B$1)</f>
        <v>87.734999999999999</v>
      </c>
      <c r="I59" s="54">
        <f>_xll.EQNXTDZ($A$1,$B59,I$1,$B$1)</f>
        <v>97.098399999999998</v>
      </c>
      <c r="J59" s="54">
        <f>_xll.EQNXTDZ($A$1,$B59,J$1,$B$1)</f>
        <v>119.0801</v>
      </c>
      <c r="K59" s="54">
        <f>_xll.EQNXTDZ($A$1,$B59,K$1,$B$1)</f>
        <v>126.5652</v>
      </c>
      <c r="L59" s="54">
        <f>_xll.EQNXTDZ($A$1,$B59,L$1,$B$1)</f>
        <v>151.5335</v>
      </c>
      <c r="M59" s="54">
        <f>_xll.EQNXTDZ($A$1,$B59,M$1,$B$1)</f>
        <v>259.1343</v>
      </c>
      <c r="N59" s="54">
        <f>_xll.EQNXTDZ($A$1,$B59,N$1,$B$1)</f>
        <v>164.51830000000001</v>
      </c>
      <c r="O59" s="54">
        <f>_xll.EQNXTDZ($A$1,$B59,O$1,$B$1)</f>
        <v>193.96729999999999</v>
      </c>
      <c r="P59" s="54">
        <f>_xll.EQNXTDZ($A$1,$B59,P$1,$B$1)</f>
        <v>209.38910000000001</v>
      </c>
      <c r="Q59" s="54">
        <f>_xll.EQNXTDZ($A$1,$B59,Q$1,$B$1)</f>
        <v>248.2732</v>
      </c>
      <c r="R59" s="54">
        <f>_xll.EQNXTDZ($A$1,$B59,R$1,$B$1)</f>
        <v>525.02329999999995</v>
      </c>
      <c r="S59" s="54">
        <f>_xll.EQNXTDZ($A$1,$B59,S$1,$B$1)</f>
        <v>513.03530000000001</v>
      </c>
      <c r="T59" s="54">
        <f>_xll.EQNXTDZ($A$1,$B59,T$1,$B$1)</f>
        <v>475.74369999999999</v>
      </c>
      <c r="U59" s="54">
        <f>_xll.EQNXTDZ($A$1,$B59,U$1,$B$1)</f>
        <v>488.85669999999999</v>
      </c>
      <c r="V59" s="54">
        <f>_xll.EQNXTDZ($A$1,$B59,V$1,$B$1)</f>
        <v>701.6</v>
      </c>
      <c r="W59" s="54">
        <f>_xll.EQNXTDZ($A$1,$B59,W$1,$B$1)</f>
        <v>632.25</v>
      </c>
      <c r="X59" s="54">
        <f>_xll.EQNXTDZ($A$1,$B59,X$1,$B$1)</f>
        <v>915.66</v>
      </c>
      <c r="Y59" s="54">
        <f>_xll.EQNXTDZ($A$1,$B59,Y$1,$B$1)</f>
        <v>832.73</v>
      </c>
      <c r="Z59" s="54">
        <f>_xll.EQNXTDZ($A$1,$B59,Z$1,$B$1)</f>
        <v>790.23</v>
      </c>
      <c r="AA59" s="54">
        <f>_xll.EQNXTDZ($A$1,$B59,AA$1,$B$1)</f>
        <v>711.57</v>
      </c>
      <c r="AB59" s="54">
        <f>_xll.EQNXTDZ($A$1,$B59,AB$1,$B$1)</f>
        <v>778.75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241.8373</v>
      </c>
      <c r="F60" s="54">
        <f>_xll.EQNXTDZ($A$1,$B60,F$1,$B$1)</f>
        <v>264.60759999999999</v>
      </c>
      <c r="G60" s="54">
        <f>_xll.EQNXTDZ($A$1,$B60,G$1,$B$1)</f>
        <v>281.70699999999999</v>
      </c>
      <c r="H60" s="54">
        <f>_xll.EQNXTDZ($A$1,$B60,H$1,$B$1)</f>
        <v>306.83069999999998</v>
      </c>
      <c r="I60" s="54">
        <f>_xll.EQNXTDZ($A$1,$B60,I$1,$B$1)</f>
        <v>363.11369999999999</v>
      </c>
      <c r="J60" s="54">
        <f>_xll.EQNXTDZ($A$1,$B60,J$1,$B$1)</f>
        <v>433.01749999999998</v>
      </c>
      <c r="K60" s="54">
        <f>_xll.EQNXTDZ($A$1,$B60,K$1,$B$1)</f>
        <v>429.44709999999998</v>
      </c>
      <c r="L60" s="54">
        <f>_xll.EQNXTDZ($A$1,$B60,L$1,$B$1)</f>
        <v>443.79079999999999</v>
      </c>
      <c r="M60" s="54">
        <f>_xll.EQNXTDZ($A$1,$B60,M$1,$B$1)</f>
        <v>580.59029999999996</v>
      </c>
      <c r="N60" s="54">
        <f>_xll.EQNXTDZ($A$1,$B60,N$1,$B$1)</f>
        <v>518.25139999999999</v>
      </c>
      <c r="O60" s="54">
        <f>_xll.EQNXTDZ($A$1,$B60,O$1,$B$1)</f>
        <v>603.90269999999998</v>
      </c>
      <c r="P60" s="54">
        <f>_xll.EQNXTDZ($A$1,$B60,P$1,$B$1)</f>
        <v>662.49680000000001</v>
      </c>
      <c r="Q60" s="54">
        <f>_xll.EQNXTDZ($A$1,$B60,Q$1,$B$1)</f>
        <v>880.1232</v>
      </c>
      <c r="R60" s="54">
        <f>_xll.EQNXTDZ($A$1,$B60,R$1,$B$1)</f>
        <v>1649.066</v>
      </c>
      <c r="S60" s="54">
        <f>_xll.EQNXTDZ($A$1,$B60,S$1,$B$1)</f>
        <v>1427.0071</v>
      </c>
      <c r="T60" s="54">
        <f>_xll.EQNXTDZ($A$1,$B60,T$1,$B$1)</f>
        <v>1424.6701</v>
      </c>
      <c r="U60" s="54">
        <f>_xll.EQNXTDZ($A$1,$B60,U$1,$B$1)</f>
        <v>1446.0459000000001</v>
      </c>
      <c r="V60" s="54">
        <f>_xll.EQNXTDZ($A$1,$B60,V$1,$B$1)</f>
        <v>1507.84</v>
      </c>
      <c r="W60" s="54">
        <f>_xll.EQNXTDZ($A$1,$B60,W$1,$B$1)</f>
        <v>1575.09</v>
      </c>
      <c r="X60" s="54">
        <f>_xll.EQNXTDZ($A$1,$B60,X$1,$B$1)</f>
        <v>2309.5</v>
      </c>
      <c r="Y60" s="54">
        <f>_xll.EQNXTDZ($A$1,$B60,Y$1,$B$1)</f>
        <v>2258.94</v>
      </c>
      <c r="Z60" s="54">
        <f>_xll.EQNXTDZ($A$1,$B60,Z$1,$B$1)</f>
        <v>2597.11</v>
      </c>
      <c r="AA60" s="54">
        <f>_xll.EQNXTDZ($A$1,$B60,AA$1,$B$1)</f>
        <v>2560</v>
      </c>
      <c r="AB60" s="54">
        <f>_xll.EQNXTDZ($A$1,$B60,AB$1,$B$1)</f>
        <v>2606.59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225.93</v>
      </c>
      <c r="F62" s="54">
        <f>_xll.EQNXTDZ($A$1,$B62,F$1,$B$1)</f>
        <v>248.9462</v>
      </c>
      <c r="G62" s="54">
        <f>_xll.EQNXTDZ($A$1,$B62,G$1,$B$1)</f>
        <v>293.67309999999998</v>
      </c>
      <c r="H62" s="54">
        <f>_xll.EQNXTDZ($A$1,$B62,H$1,$B$1)</f>
        <v>296.85950000000003</v>
      </c>
      <c r="I62" s="54">
        <f>_xll.EQNXTDZ($A$1,$B62,I$1,$B$1)</f>
        <v>311.20479999999998</v>
      </c>
      <c r="J62" s="54">
        <f>_xll.EQNXTDZ($A$1,$B62,J$1,$B$1)</f>
        <v>389.02699999999999</v>
      </c>
      <c r="K62" s="54">
        <f>_xll.EQNXTDZ($A$1,$B62,K$1,$B$1)</f>
        <v>399.3922</v>
      </c>
      <c r="L62" s="54">
        <f>_xll.EQNXTDZ($A$1,$B62,L$1,$B$1)</f>
        <v>454.60739999999998</v>
      </c>
      <c r="M62" s="54">
        <f>_xll.EQNXTDZ($A$1,$B62,M$1,$B$1)</f>
        <v>439.75630000000001</v>
      </c>
      <c r="N62" s="54">
        <f>_xll.EQNXTDZ($A$1,$B62,N$1,$B$1)</f>
        <v>468.31299999999999</v>
      </c>
      <c r="O62" s="54">
        <f>_xll.EQNXTDZ($A$1,$B62,O$1,$B$1)</f>
        <v>571.32169999999996</v>
      </c>
      <c r="P62" s="54">
        <f>_xll.EQNXTDZ($A$1,$B62,P$1,$B$1)</f>
        <v>594.59720000000004</v>
      </c>
      <c r="Q62" s="54">
        <f>_xll.EQNXTDZ($A$1,$B62,Q$1,$B$1)</f>
        <v>660.62139999999999</v>
      </c>
      <c r="R62" s="54">
        <f>_xll.EQNXTDZ($A$1,$B62,R$1,$B$1)</f>
        <v>1559.664</v>
      </c>
      <c r="S62" s="54">
        <f>_xll.EQNXTDZ($A$1,$B62,S$1,$B$1)</f>
        <v>557.15390000000002</v>
      </c>
      <c r="T62" s="54">
        <f>_xll.EQNXTDZ($A$1,$B62,T$1,$B$1)</f>
        <v>614.77250000000004</v>
      </c>
      <c r="U62" s="54">
        <f>_xll.EQNXTDZ($A$1,$B62,U$1,$B$1)</f>
        <v>778.31389999999999</v>
      </c>
      <c r="V62" s="54">
        <f>_xll.EQNXTDZ($A$1,$B62,V$1,$B$1)</f>
        <v>815.57</v>
      </c>
      <c r="W62" s="54">
        <f>_xll.EQNXTDZ($A$1,$B62,W$1,$B$1)</f>
        <v>968.19</v>
      </c>
      <c r="X62" s="54">
        <f>_xll.EQNXTDZ($A$1,$B62,X$1,$B$1)</f>
        <v>1030.3599999999999</v>
      </c>
      <c r="Y62" s="54">
        <f>_xll.EQNXTDZ($A$1,$B62,Y$1,$B$1)</f>
        <v>1002.03</v>
      </c>
      <c r="Z62" s="54">
        <f>_xll.EQNXTDZ($A$1,$B62,Z$1,$B$1)</f>
        <v>1024.49</v>
      </c>
      <c r="AA62" s="54">
        <f>_xll.EQNXTDZ($A$1,$B62,AA$1,$B$1)</f>
        <v>1159.82</v>
      </c>
      <c r="AB62" s="54">
        <f>_xll.EQNXTDZ($A$1,$B62,AB$1,$B$1)</f>
        <v>1195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118.0759</v>
      </c>
      <c r="F63" s="54">
        <f>_xll.EQNXTDZ($A$1,$B63,F$1,$B$1)</f>
        <v>139.5917</v>
      </c>
      <c r="G63" s="54">
        <f>_xll.EQNXTDZ($A$1,$B63,G$1,$B$1)</f>
        <v>159.89519999999999</v>
      </c>
      <c r="H63" s="54">
        <f>_xll.EQNXTDZ($A$1,$B63,H$1,$B$1)</f>
        <v>180.21459999999999</v>
      </c>
      <c r="I63" s="54">
        <f>_xll.EQNXTDZ($A$1,$B63,I$1,$B$1)</f>
        <v>201.1422</v>
      </c>
      <c r="J63" s="54">
        <f>_xll.EQNXTDZ($A$1,$B63,J$1,$B$1)</f>
        <v>211.21690000000001</v>
      </c>
      <c r="K63" s="54">
        <f>_xll.EQNXTDZ($A$1,$B63,K$1,$B$1)</f>
        <v>235.73320000000001</v>
      </c>
      <c r="L63" s="54">
        <f>_xll.EQNXTDZ($A$1,$B63,L$1,$B$1)</f>
        <v>255.82310000000001</v>
      </c>
      <c r="M63" s="54">
        <f>_xll.EQNXTDZ($A$1,$B63,M$1,$B$1)</f>
        <v>264.46039999999999</v>
      </c>
      <c r="N63" s="54">
        <f>_xll.EQNXTDZ($A$1,$B63,N$1,$B$1)</f>
        <v>294.38670000000002</v>
      </c>
      <c r="O63" s="54">
        <f>_xll.EQNXTDZ($A$1,$B63,O$1,$B$1)</f>
        <v>328.34539999999998</v>
      </c>
      <c r="P63" s="54">
        <f>_xll.EQNXTDZ($A$1,$B63,P$1,$B$1)</f>
        <v>362.77350000000001</v>
      </c>
      <c r="Q63" s="54">
        <f>_xll.EQNXTDZ($A$1,$B63,Q$1,$B$1)</f>
        <v>385.33339999999998</v>
      </c>
      <c r="R63" s="54">
        <f>_xll.EQNXTDZ($A$1,$B63,R$1,$B$1)</f>
        <v>790.0222</v>
      </c>
      <c r="S63" s="54">
        <f>_xll.EQNXTDZ($A$1,$B63,S$1,$B$1)</f>
        <v>92.534400000000005</v>
      </c>
      <c r="T63" s="54">
        <f>_xll.EQNXTDZ($A$1,$B63,T$1,$B$1)</f>
        <v>177.49789999999999</v>
      </c>
      <c r="U63" s="54">
        <f>_xll.EQNXTDZ($A$1,$B63,U$1,$B$1)</f>
        <v>260.59829999999999</v>
      </c>
      <c r="V63" s="54">
        <f>_xll.EQNXTDZ($A$1,$B63,V$1,$B$1)</f>
        <v>329.12</v>
      </c>
      <c r="W63" s="54">
        <f>_xll.EQNXTDZ($A$1,$B63,W$1,$B$1)</f>
        <v>407.54</v>
      </c>
      <c r="X63" s="54">
        <f>_xll.EQNXTDZ($A$1,$B63,X$1,$B$1)</f>
        <v>493.34</v>
      </c>
      <c r="Y63" s="54">
        <f>_xll.EQNXTDZ($A$1,$B63,Y$1,$B$1)</f>
        <v>523.23</v>
      </c>
      <c r="Z63" s="54">
        <f>_xll.EQNXTDZ($A$1,$B63,Z$1,$B$1)</f>
        <v>541.27</v>
      </c>
      <c r="AA63" s="54">
        <f>_xll.EQNXTDZ($A$1,$B63,AA$1,$B$1)</f>
        <v>562.22</v>
      </c>
      <c r="AB63" s="54">
        <f>_xll.EQNXTDZ($A$1,$B63,AB$1,$B$1)</f>
        <v>590.80999999999995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14.914400000000001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107.8541</v>
      </c>
      <c r="F65" s="54">
        <f>_xll.EQNXTDZ($A$1,$B65,F$1,$B$1)</f>
        <v>109.3545</v>
      </c>
      <c r="G65" s="54">
        <f>_xll.EQNXTDZ($A$1,$B65,G$1,$B$1)</f>
        <v>133.77789999999999</v>
      </c>
      <c r="H65" s="54">
        <f>_xll.EQNXTDZ($A$1,$B65,H$1,$B$1)</f>
        <v>116.64490000000001</v>
      </c>
      <c r="I65" s="54">
        <f>_xll.EQNXTDZ($A$1,$B65,I$1,$B$1)</f>
        <v>110.0626</v>
      </c>
      <c r="J65" s="54">
        <f>_xll.EQNXTDZ($A$1,$B65,J$1,$B$1)</f>
        <v>177.81010000000001</v>
      </c>
      <c r="K65" s="54">
        <f>_xll.EQNXTDZ($A$1,$B65,K$1,$B$1)</f>
        <v>163.65899999999999</v>
      </c>
      <c r="L65" s="54">
        <f>_xll.EQNXTDZ($A$1,$B65,L$1,$B$1)</f>
        <v>198.7843</v>
      </c>
      <c r="M65" s="54">
        <f>_xll.EQNXTDZ($A$1,$B65,M$1,$B$1)</f>
        <v>175.29589999999999</v>
      </c>
      <c r="N65" s="54">
        <f>_xll.EQNXTDZ($A$1,$B65,N$1,$B$1)</f>
        <v>173.9263</v>
      </c>
      <c r="O65" s="54">
        <f>_xll.EQNXTDZ($A$1,$B65,O$1,$B$1)</f>
        <v>242.97630000000001</v>
      </c>
      <c r="P65" s="54">
        <f>_xll.EQNXTDZ($A$1,$B65,P$1,$B$1)</f>
        <v>231.8237</v>
      </c>
      <c r="Q65" s="54">
        <f>_xll.EQNXTDZ($A$1,$B65,Q$1,$B$1)</f>
        <v>275.28800000000001</v>
      </c>
      <c r="R65" s="54">
        <f>_xll.EQNXTDZ($A$1,$B65,R$1,$B$1)</f>
        <v>754.72739999999999</v>
      </c>
      <c r="S65" s="54">
        <f>_xll.EQNXTDZ($A$1,$B65,S$1,$B$1)</f>
        <v>464.61950000000002</v>
      </c>
      <c r="T65" s="54">
        <f>_xll.EQNXTDZ($A$1,$B65,T$1,$B$1)</f>
        <v>437.27460000000002</v>
      </c>
      <c r="U65" s="54">
        <f>_xll.EQNXTDZ($A$1,$B65,U$1,$B$1)</f>
        <v>517.71559999999999</v>
      </c>
      <c r="V65" s="54">
        <f>_xll.EQNXTDZ($A$1,$B65,V$1,$B$1)</f>
        <v>486.45</v>
      </c>
      <c r="W65" s="54">
        <f>_xll.EQNXTDZ($A$1,$B65,W$1,$B$1)</f>
        <v>560.65</v>
      </c>
      <c r="X65" s="54">
        <f>_xll.EQNXTDZ($A$1,$B65,X$1,$B$1)</f>
        <v>537.02</v>
      </c>
      <c r="Y65" s="54">
        <f>_xll.EQNXTDZ($A$1,$B65,Y$1,$B$1)</f>
        <v>478.8</v>
      </c>
      <c r="Z65" s="54">
        <f>_xll.EQNXTDZ($A$1,$B65,Z$1,$B$1)</f>
        <v>483.22</v>
      </c>
      <c r="AA65" s="54">
        <f>_xll.EQNXTDZ($A$1,$B65,AA$1,$B$1)</f>
        <v>597.6</v>
      </c>
      <c r="AB65" s="54">
        <f>_xll.EQNXTDZ($A$1,$B65,AB$1,$B$1)</f>
        <v>604.19000000000005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19.937200000000001</v>
      </c>
      <c r="F67" s="54">
        <f>_xll.EQNXTDZ($A$1,$B67,F$1,$B$1)</f>
        <v>4.8460000000000001</v>
      </c>
      <c r="G67" s="54">
        <f>_xll.EQNXTDZ($A$1,$B67,G$1,$B$1)</f>
        <v>2.7168999999999999</v>
      </c>
      <c r="H67" s="54">
        <f>_xll.EQNXTDZ($A$1,$B67,H$1,$B$1)</f>
        <v>18.4969</v>
      </c>
      <c r="I67" s="54">
        <f>_xll.EQNXTDZ($A$1,$B67,I$1,$B$1)</f>
        <v>86.638999999999996</v>
      </c>
      <c r="J67" s="54">
        <f>_xll.EQNXTDZ($A$1,$B67,J$1,$B$1)</f>
        <v>36.699399999999997</v>
      </c>
      <c r="K67" s="54">
        <f>_xll.EQNXTDZ($A$1,$B67,K$1,$B$1)</f>
        <v>46.891500000000001</v>
      </c>
      <c r="L67" s="54">
        <f>_xll.EQNXTDZ($A$1,$B67,L$1,$B$1)</f>
        <v>4.5716000000000001</v>
      </c>
      <c r="M67" s="54">
        <f>_xll.EQNXTDZ($A$1,$B67,M$1,$B$1)</f>
        <v>3.3919999999999999</v>
      </c>
      <c r="N67" s="54">
        <f>_xll.EQNXTDZ($A$1,$B67,N$1,$B$1)</f>
        <v>8.1434999999999995</v>
      </c>
      <c r="O67" s="54">
        <f>_xll.EQNXTDZ($A$1,$B67,O$1,$B$1)</f>
        <v>4.468</v>
      </c>
      <c r="P67" s="54">
        <f>_xll.EQNXTDZ($A$1,$B67,P$1,$B$1)</f>
        <v>10.9757</v>
      </c>
      <c r="Q67" s="54">
        <f>_xll.EQNXTDZ($A$1,$B67,Q$1,$B$1)</f>
        <v>5.9368999999999996</v>
      </c>
      <c r="R67" s="54">
        <f>_xll.EQNXTDZ($A$1,$B67,R$1,$B$1)</f>
        <v>3.7850999999999999</v>
      </c>
      <c r="S67" s="54">
        <f>_xll.EQNXTDZ($A$1,$B67,S$1,$B$1)</f>
        <v>1.9946999999999999</v>
      </c>
      <c r="T67" s="54">
        <f>_xll.EQNXTDZ($A$1,$B67,T$1,$B$1)</f>
        <v>2.0682999999999998</v>
      </c>
      <c r="U67" s="54">
        <f>_xll.EQNXTDZ($A$1,$B67,U$1,$B$1)</f>
        <v>4.452</v>
      </c>
      <c r="V67" s="54">
        <f>_xll.EQNXTDZ($A$1,$B67,V$1,$B$1)</f>
        <v>8.2899999999999991</v>
      </c>
      <c r="W67" s="54">
        <f>_xll.EQNXTDZ($A$1,$B67,W$1,$B$1)</f>
        <v>16.5</v>
      </c>
      <c r="X67" s="54">
        <f>_xll.EQNXTDZ($A$1,$B67,X$1,$B$1)</f>
        <v>42.91</v>
      </c>
      <c r="Y67" s="54">
        <f>_xll.EQNXTDZ($A$1,$B67,Y$1,$B$1)</f>
        <v>35.03</v>
      </c>
      <c r="Z67" s="54">
        <f>_xll.EQNXTDZ($A$1,$B67,Z$1,$B$1)</f>
        <v>131.12</v>
      </c>
      <c r="AA67" s="54">
        <f>_xll.EQNXTDZ($A$1,$B67,AA$1,$B$1)</f>
        <v>40.29</v>
      </c>
      <c r="AB67" s="54">
        <f>_xll.EQNXTDZ($A$1,$B67,AB$1,$B$1)</f>
        <v>34.57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0.2369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0.36109999999999998</v>
      </c>
      <c r="F71" s="54">
        <f>_xll.EQNXTDZ($A$1,$B71,F$1,$B$1)</f>
        <v>3.0300000000000001E-2</v>
      </c>
      <c r="G71" s="54">
        <f>_xll.EQNXTDZ($A$1,$B71,G$1,$B$1)</f>
        <v>0.3609</v>
      </c>
      <c r="H71" s="54">
        <f>_xll.EQNXTDZ($A$1,$B71,H$1,$B$1)</f>
        <v>0.36049999999999999</v>
      </c>
      <c r="I71" s="54">
        <f>_xll.EQNXTDZ($A$1,$B71,I$1,$B$1)</f>
        <v>0.31609999999999999</v>
      </c>
      <c r="J71" s="54">
        <f>_xll.EQNXTDZ($A$1,$B71,J$1,$B$1)</f>
        <v>0.31609999999999999</v>
      </c>
      <c r="K71" s="54">
        <f>_xll.EQNXTDZ($A$1,$B71,K$1,$B$1)</f>
        <v>0.31609999999999999</v>
      </c>
      <c r="L71" s="54">
        <f>_xll.EQNXTDZ($A$1,$B71,L$1,$B$1)</f>
        <v>5.0000000000000001E-3</v>
      </c>
      <c r="M71" s="54">
        <f>_xll.EQNXTDZ($A$1,$B71,M$1,$B$1)</f>
        <v>5.0000000000000001E-3</v>
      </c>
      <c r="N71" s="54">
        <f>_xll.EQNXTDZ($A$1,$B71,N$1,$B$1)</f>
        <v>5.0000000000000001E-3</v>
      </c>
      <c r="O71" s="54">
        <f>_xll.EQNXTDZ($A$1,$B71,O$1,$B$1)</f>
        <v>2.9999999999999997E-4</v>
      </c>
      <c r="P71" s="54">
        <f>_xll.EQNXTDZ($A$1,$B71,P$1,$B$1)</f>
        <v>2.9999999999999997E-4</v>
      </c>
      <c r="Q71" s="54">
        <f>_xll.EQNXTDZ($A$1,$B71,Q$1,$B$1)</f>
        <v>2.9999999999999997E-4</v>
      </c>
      <c r="R71" s="54">
        <f>_xll.EQNXTDZ($A$1,$B71,R$1,$B$1)</f>
        <v>2.9999999999999997E-4</v>
      </c>
      <c r="S71" s="54">
        <f>_xll.EQNXTDZ($A$1,$B71,S$1,$B$1)</f>
        <v>2.9999999999999997E-4</v>
      </c>
      <c r="T71" s="54">
        <f>_xll.EQNXTDZ($A$1,$B71,T$1,$B$1)</f>
        <v>2.9999999999999997E-4</v>
      </c>
      <c r="U71" s="54">
        <f>_xll.EQNXTDZ($A$1,$B71,U$1,$B$1)</f>
        <v>2.9999999999999997E-4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15.5284</v>
      </c>
      <c r="O72" s="54">
        <f>_xll.EQNXTDZ($A$1,$B72,O$1,$B$1)</f>
        <v>12.1142</v>
      </c>
      <c r="P72" s="54">
        <f>_xll.EQNXTDZ($A$1,$B72,P$1,$B$1)</f>
        <v>16.704000000000001</v>
      </c>
      <c r="Q72" s="54">
        <f>_xll.EQNXTDZ($A$1,$B72,Q$1,$B$1)</f>
        <v>24.988099999999999</v>
      </c>
      <c r="R72" s="54">
        <f>_xll.EQNXTDZ($A$1,$B72,R$1,$B$1)</f>
        <v>40.052599999999998</v>
      </c>
      <c r="S72" s="54">
        <f>_xll.EQNXTDZ($A$1,$B72,S$1,$B$1)</f>
        <v>29.805099999999999</v>
      </c>
      <c r="T72" s="54">
        <f>_xll.EQNXTDZ($A$1,$B72,T$1,$B$1)</f>
        <v>34.6892</v>
      </c>
      <c r="U72" s="54">
        <f>_xll.EQNXTDZ($A$1,$B72,U$1,$B$1)</f>
        <v>27.678799999999999</v>
      </c>
      <c r="V72" s="54">
        <f>_xll.EQNXTDZ($A$1,$B72,V$1,$B$1)</f>
        <v>63.3</v>
      </c>
      <c r="W72" s="54">
        <f>_xll.EQNXTDZ($A$1,$B72,W$1,$B$1)</f>
        <v>83.72</v>
      </c>
      <c r="X72" s="54">
        <f>_xll.EQNXTDZ($A$1,$B72,X$1,$B$1)</f>
        <v>530.11</v>
      </c>
      <c r="Y72" s="54">
        <f>_xll.EQNXTDZ($A$1,$B72,Y$1,$B$1)</f>
        <v>585.96</v>
      </c>
      <c r="Z72" s="54">
        <f>_xll.EQNXTDZ($A$1,$B72,Z$1,$B$1)</f>
        <v>513.67999999999995</v>
      </c>
      <c r="AA72" s="54">
        <f>_xll.EQNXTDZ($A$1,$B72,AA$1,$B$1)</f>
        <v>590.80999999999995</v>
      </c>
      <c r="AB72" s="54">
        <f>_xll.EQNXTDZ($A$1,$B72,AB$1,$B$1)</f>
        <v>426.12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3.1431</v>
      </c>
      <c r="O73" s="54">
        <f>_xll.EQNXTDZ($A$1,$B73,O$1,$B$1)</f>
        <v>3.7504</v>
      </c>
      <c r="P73" s="54">
        <f>_xll.EQNXTDZ($A$1,$B73,P$1,$B$1)</f>
        <v>4.3345000000000002</v>
      </c>
      <c r="Q73" s="54">
        <f>_xll.EQNXTDZ($A$1,$B73,Q$1,$B$1)</f>
        <v>0.44269999999999998</v>
      </c>
      <c r="R73" s="54">
        <f>_xll.EQNXTDZ($A$1,$B73,R$1,$B$1)</f>
        <v>0.16750000000000001</v>
      </c>
      <c r="S73" s="54">
        <f>_xll.EQNXTDZ($A$1,$B73,S$1,$B$1)</f>
        <v>8.2428000000000008</v>
      </c>
      <c r="T73" s="54">
        <f>_xll.EQNXTDZ($A$1,$B73,T$1,$B$1)</f>
        <v>7.9630000000000001</v>
      </c>
      <c r="U73" s="54">
        <f>_xll.EQNXTDZ($A$1,$B73,U$1,$B$1)</f>
        <v>7.7003000000000004</v>
      </c>
      <c r="V73" s="54">
        <f>_xll.EQNXTDZ($A$1,$B73,V$1,$B$1)</f>
        <v>7.26</v>
      </c>
      <c r="W73" s="54">
        <f>_xll.EQNXTDZ($A$1,$B73,W$1,$B$1)</f>
        <v>0.47</v>
      </c>
      <c r="X73" s="54">
        <f>_xll.EQNXTDZ($A$1,$B73,X$1,$B$1)</f>
        <v>5.87</v>
      </c>
      <c r="Y73" s="54">
        <f>_xll.EQNXTDZ($A$1,$B73,Y$1,$B$1)</f>
        <v>3.42</v>
      </c>
      <c r="Z73" s="54">
        <f>_xll.EQNXTDZ($A$1,$B73,Z$1,$B$1)</f>
        <v>3.34</v>
      </c>
      <c r="AA73" s="54">
        <f>_xll.EQNXTDZ($A$1,$B73,AA$1,$B$1)</f>
        <v>7.22</v>
      </c>
      <c r="AB73" s="54">
        <f>_xll.EQNXTDZ($A$1,$B73,AB$1,$B$1)</f>
        <v>6.37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128.1524</v>
      </c>
      <c r="F74" s="54">
        <f>_xll.EQNXTDZ($A$1,$B74,F$1,$B$1)</f>
        <v>114.2308</v>
      </c>
      <c r="G74" s="54">
        <f>_xll.EQNXTDZ($A$1,$B74,G$1,$B$1)</f>
        <v>136.85570000000001</v>
      </c>
      <c r="H74" s="54">
        <f>_xll.EQNXTDZ($A$1,$B74,H$1,$B$1)</f>
        <v>135.50229999999999</v>
      </c>
      <c r="I74" s="54">
        <f>_xll.EQNXTDZ($A$1,$B74,I$1,$B$1)</f>
        <v>197.01769999999999</v>
      </c>
      <c r="J74" s="54">
        <f>_xll.EQNXTDZ($A$1,$B74,J$1,$B$1)</f>
        <v>214.82560000000001</v>
      </c>
      <c r="K74" s="54">
        <f>_xll.EQNXTDZ($A$1,$B74,K$1,$B$1)</f>
        <v>210.86660000000001</v>
      </c>
      <c r="L74" s="54">
        <f>_xll.EQNXTDZ($A$1,$B74,L$1,$B$1)</f>
        <v>203.36089999999999</v>
      </c>
      <c r="M74" s="54">
        <f>_xll.EQNXTDZ($A$1,$B74,M$1,$B$1)</f>
        <v>178.69290000000001</v>
      </c>
      <c r="N74" s="54">
        <f>_xll.EQNXTDZ($A$1,$B74,N$1,$B$1)</f>
        <v>200.98320000000001</v>
      </c>
      <c r="O74" s="54">
        <f>_xll.EQNXTDZ($A$1,$B74,O$1,$B$1)</f>
        <v>263.30919999999998</v>
      </c>
      <c r="P74" s="54">
        <f>_xll.EQNXTDZ($A$1,$B74,P$1,$B$1)</f>
        <v>263.83819999999997</v>
      </c>
      <c r="Q74" s="54">
        <f>_xll.EQNXTDZ($A$1,$B74,Q$1,$B$1)</f>
        <v>306.65600000000001</v>
      </c>
      <c r="R74" s="54">
        <f>_xll.EQNXTDZ($A$1,$B74,R$1,$B$1)</f>
        <v>798.73289999999997</v>
      </c>
      <c r="S74" s="54">
        <f>_xll.EQNXTDZ($A$1,$B74,S$1,$B$1)</f>
        <v>504.66239999999999</v>
      </c>
      <c r="T74" s="54">
        <f>_xll.EQNXTDZ($A$1,$B74,T$1,$B$1)</f>
        <v>481.99540000000002</v>
      </c>
      <c r="U74" s="54">
        <f>_xll.EQNXTDZ($A$1,$B74,U$1,$B$1)</f>
        <v>557.54700000000003</v>
      </c>
      <c r="V74" s="54">
        <f>_xll.EQNXTDZ($A$1,$B74,V$1,$B$1)</f>
        <v>565.29999999999995</v>
      </c>
      <c r="W74" s="54">
        <f>_xll.EQNXTDZ($A$1,$B74,W$1,$B$1)</f>
        <v>661.34</v>
      </c>
      <c r="X74" s="54">
        <f>_xll.EQNXTDZ($A$1,$B74,X$1,$B$1)</f>
        <v>1115.9100000000001</v>
      </c>
      <c r="Y74" s="54">
        <f>_xll.EQNXTDZ($A$1,$B74,Y$1,$B$1)</f>
        <v>1103.21</v>
      </c>
      <c r="Z74" s="54">
        <f>_xll.EQNXTDZ($A$1,$B74,Z$1,$B$1)</f>
        <v>1131.3599999999999</v>
      </c>
      <c r="AA74" s="54">
        <f>_xll.EQNXTDZ($A$1,$B74,AA$1,$B$1)</f>
        <v>1235.92</v>
      </c>
      <c r="AB74" s="54">
        <f>_xll.EQNXTDZ($A$1,$B74,AB$1,$B$1)</f>
        <v>1071.25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31.077200000000001</v>
      </c>
      <c r="G75" s="54">
        <f>_xll.EQNXTDZ($A$1,$B75,G$1,$B$1)</f>
        <v>9.4431999999999992</v>
      </c>
      <c r="H75" s="54">
        <f>_xll.EQNXTDZ($A$1,$B75,H$1,$B$1)</f>
        <v>7.8863000000000003</v>
      </c>
      <c r="I75" s="54">
        <f>_xll.EQNXTDZ($A$1,$B75,I$1,$B$1)</f>
        <v>0.2</v>
      </c>
      <c r="J75" s="54">
        <f>_xll.EQNXTDZ($A$1,$B75,J$1,$B$1)</f>
        <v>13.489000000000001</v>
      </c>
      <c r="K75" s="54">
        <f>_xll.EQNXTDZ($A$1,$B75,K$1,$B$1)</f>
        <v>16.659500000000001</v>
      </c>
      <c r="L75" s="54">
        <f>_xll.EQNXTDZ($A$1,$B75,L$1,$B$1)</f>
        <v>31.030899999999999</v>
      </c>
      <c r="M75" s="54">
        <f>_xll.EQNXTDZ($A$1,$B75,M$1,$B$1)</f>
        <v>39.443100000000001</v>
      </c>
      <c r="N75" s="54">
        <f>_xll.EQNXTDZ($A$1,$B75,N$1,$B$1)</f>
        <v>63.371699999999997</v>
      </c>
      <c r="O75" s="54">
        <f>_xll.EQNXTDZ($A$1,$B75,O$1,$B$1)</f>
        <v>60.378799999999998</v>
      </c>
      <c r="P75" s="54">
        <f>_xll.EQNXTDZ($A$1,$B75,P$1,$B$1)</f>
        <v>54.793799999999997</v>
      </c>
      <c r="Q75" s="54">
        <f>_xll.EQNXTDZ($A$1,$B75,Q$1,$B$1)</f>
        <v>186.33779999999999</v>
      </c>
      <c r="R75" s="54">
        <f>_xll.EQNXTDZ($A$1,$B75,R$1,$B$1)</f>
        <v>206.62620000000001</v>
      </c>
      <c r="S75" s="54">
        <f>_xll.EQNXTDZ($A$1,$B75,S$1,$B$1)</f>
        <v>195.01660000000001</v>
      </c>
      <c r="T75" s="54">
        <f>_xll.EQNXTDZ($A$1,$B75,T$1,$B$1)</f>
        <v>137.49789999999999</v>
      </c>
      <c r="U75" s="54">
        <f>_xll.EQNXTDZ($A$1,$B75,U$1,$B$1)</f>
        <v>21.1218</v>
      </c>
      <c r="V75" s="54">
        <f>_xll.EQNXTDZ($A$1,$B75,V$1,$B$1)</f>
        <v>60.81</v>
      </c>
      <c r="W75" s="54">
        <f>_xll.EQNXTDZ($A$1,$B75,W$1,$B$1)</f>
        <v>18.350000000000001</v>
      </c>
      <c r="X75" s="54">
        <f>_xll.EQNXTDZ($A$1,$B75,X$1,$B$1)</f>
        <v>0.62</v>
      </c>
      <c r="Y75" s="54">
        <f>_xll.EQNXTDZ($A$1,$B75,Y$1,$B$1)</f>
        <v>0</v>
      </c>
      <c r="Z75" s="54">
        <f>_xll.EQNXTDZ($A$1,$B75,Z$1,$B$1)</f>
        <v>79.73</v>
      </c>
      <c r="AA75" s="54">
        <f>_xll.EQNXTDZ($A$1,$B75,AA$1,$B$1)</f>
        <v>151.47</v>
      </c>
      <c r="AB75" s="54">
        <f>_xll.EQNXTDZ($A$1,$B75,AB$1,$B$1)</f>
        <v>194.3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28.477599999999999</v>
      </c>
      <c r="F76" s="54">
        <f>_xll.EQNXTDZ($A$1,$B76,F$1,$B$1)</f>
        <v>34.773499999999999</v>
      </c>
      <c r="G76" s="54">
        <f>_xll.EQNXTDZ($A$1,$B76,G$1,$B$1)</f>
        <v>37.903300000000002</v>
      </c>
      <c r="H76" s="54">
        <f>_xll.EQNXTDZ($A$1,$B76,H$1,$B$1)</f>
        <v>52.935400000000001</v>
      </c>
      <c r="I76" s="54">
        <f>_xll.EQNXTDZ($A$1,$B76,I$1,$B$1)</f>
        <v>46.683900000000001</v>
      </c>
      <c r="J76" s="54">
        <f>_xll.EQNXTDZ($A$1,$B76,J$1,$B$1)</f>
        <v>67.8339</v>
      </c>
      <c r="K76" s="54">
        <f>_xll.EQNXTDZ($A$1,$B76,K$1,$B$1)</f>
        <v>62.121499999999997</v>
      </c>
      <c r="L76" s="54">
        <f>_xll.EQNXTDZ($A$1,$B76,L$1,$B$1)</f>
        <v>75.929400000000001</v>
      </c>
      <c r="M76" s="54">
        <f>_xll.EQNXTDZ($A$1,$B76,M$1,$B$1)</f>
        <v>89.206800000000001</v>
      </c>
      <c r="N76" s="54">
        <f>_xll.EQNXTDZ($A$1,$B76,N$1,$B$1)</f>
        <v>84.373400000000004</v>
      </c>
      <c r="O76" s="54">
        <f>_xll.EQNXTDZ($A$1,$B76,O$1,$B$1)</f>
        <v>88.618399999999994</v>
      </c>
      <c r="P76" s="54">
        <f>_xll.EQNXTDZ($A$1,$B76,P$1,$B$1)</f>
        <v>93.483000000000004</v>
      </c>
      <c r="Q76" s="54">
        <f>_xll.EQNXTDZ($A$1,$B76,Q$1,$B$1)</f>
        <v>98.251900000000006</v>
      </c>
      <c r="R76" s="54">
        <f>_xll.EQNXTDZ($A$1,$B76,R$1,$B$1)</f>
        <v>156.06819999999999</v>
      </c>
      <c r="S76" s="54">
        <f>_xll.EQNXTDZ($A$1,$B76,S$1,$B$1)</f>
        <v>182.50049999999999</v>
      </c>
      <c r="T76" s="54">
        <f>_xll.EQNXTDZ($A$1,$B76,T$1,$B$1)</f>
        <v>191.8732</v>
      </c>
      <c r="U76" s="54">
        <f>_xll.EQNXTDZ($A$1,$B76,U$1,$B$1)</f>
        <v>212.22710000000001</v>
      </c>
      <c r="V76" s="54">
        <f>_xll.EQNXTDZ($A$1,$B76,V$1,$B$1)</f>
        <v>181.86</v>
      </c>
      <c r="W76" s="54">
        <f>_xll.EQNXTDZ($A$1,$B76,W$1,$B$1)</f>
        <v>228.78</v>
      </c>
      <c r="X76" s="54">
        <f>_xll.EQNXTDZ($A$1,$B76,X$1,$B$1)</f>
        <v>347.5</v>
      </c>
      <c r="Y76" s="54">
        <f>_xll.EQNXTDZ($A$1,$B76,Y$1,$B$1)</f>
        <v>297.99</v>
      </c>
      <c r="Z76" s="54">
        <f>_xll.EQNXTDZ($A$1,$B76,Z$1,$B$1)</f>
        <v>269.89</v>
      </c>
      <c r="AA76" s="54">
        <f>_xll.EQNXTDZ($A$1,$B76,AA$1,$B$1)</f>
        <v>250.22</v>
      </c>
      <c r="AB76" s="54">
        <f>_xll.EQNXTDZ($A$1,$B76,AB$1,$B$1)</f>
        <v>205.69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58.211100000000002</v>
      </c>
      <c r="F77" s="54">
        <f>_xll.EQNXTDZ($A$1,$B77,F$1,$B$1)</f>
        <v>63.090200000000003</v>
      </c>
      <c r="G77" s="54">
        <f>_xll.EQNXTDZ($A$1,$B77,G$1,$B$1)</f>
        <v>72.853999999999999</v>
      </c>
      <c r="H77" s="54">
        <f>_xll.EQNXTDZ($A$1,$B77,H$1,$B$1)</f>
        <v>77.564899999999994</v>
      </c>
      <c r="I77" s="54">
        <f>_xll.EQNXTDZ($A$1,$B77,I$1,$B$1)</f>
        <v>86.401499999999999</v>
      </c>
      <c r="J77" s="54">
        <f>_xll.EQNXTDZ($A$1,$B77,J$1,$B$1)</f>
        <v>103.09820000000001</v>
      </c>
      <c r="K77" s="54">
        <f>_xll.EQNXTDZ($A$1,$B77,K$1,$B$1)</f>
        <v>94.418899999999994</v>
      </c>
      <c r="L77" s="54">
        <f>_xll.EQNXTDZ($A$1,$B77,L$1,$B$1)</f>
        <v>97.198099999999997</v>
      </c>
      <c r="M77" s="54">
        <f>_xll.EQNXTDZ($A$1,$B77,M$1,$B$1)</f>
        <v>118.82989999999999</v>
      </c>
      <c r="N77" s="54">
        <f>_xll.EQNXTDZ($A$1,$B77,N$1,$B$1)</f>
        <v>124.8486</v>
      </c>
      <c r="O77" s="54">
        <f>_xll.EQNXTDZ($A$1,$B77,O$1,$B$1)</f>
        <v>158.87020000000001</v>
      </c>
      <c r="P77" s="54">
        <f>_xll.EQNXTDZ($A$1,$B77,P$1,$B$1)</f>
        <v>208.6857</v>
      </c>
      <c r="Q77" s="54">
        <f>_xll.EQNXTDZ($A$1,$B77,Q$1,$B$1)</f>
        <v>245.77520000000001</v>
      </c>
      <c r="R77" s="54">
        <f>_xll.EQNXTDZ($A$1,$B77,R$1,$B$1)</f>
        <v>418.86689999999999</v>
      </c>
      <c r="S77" s="54">
        <f>_xll.EQNXTDZ($A$1,$B77,S$1,$B$1)</f>
        <v>462.79090000000002</v>
      </c>
      <c r="T77" s="54">
        <f>_xll.EQNXTDZ($A$1,$B77,T$1,$B$1)</f>
        <v>526.51819999999998</v>
      </c>
      <c r="U77" s="54">
        <f>_xll.EQNXTDZ($A$1,$B77,U$1,$B$1)</f>
        <v>570.19230000000005</v>
      </c>
      <c r="V77" s="54">
        <f>_xll.EQNXTDZ($A$1,$B77,V$1,$B$1)</f>
        <v>618.47</v>
      </c>
      <c r="W77" s="54">
        <f>_xll.EQNXTDZ($A$1,$B77,W$1,$B$1)</f>
        <v>533.79999999999995</v>
      </c>
      <c r="X77" s="54">
        <f>_xll.EQNXTDZ($A$1,$B77,X$1,$B$1)</f>
        <v>629.49</v>
      </c>
      <c r="Y77" s="54">
        <f>_xll.EQNXTDZ($A$1,$B77,Y$1,$B$1)</f>
        <v>658.7</v>
      </c>
      <c r="Z77" s="54">
        <f>_xll.EQNXTDZ($A$1,$B77,Z$1,$B$1)</f>
        <v>551</v>
      </c>
      <c r="AA77" s="54">
        <f>_xll.EQNXTDZ($A$1,$B77,AA$1,$B$1)</f>
        <v>570.39</v>
      </c>
      <c r="AB77" s="54">
        <f>_xll.EQNXTDZ($A$1,$B77,AB$1,$B$1)</f>
        <v>553.72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13.986700000000001</v>
      </c>
      <c r="F78" s="54">
        <f>_xll.EQNXTDZ($A$1,$B78,F$1,$B$1)</f>
        <v>9.6366999999999994</v>
      </c>
      <c r="G78" s="54">
        <f>_xll.EQNXTDZ($A$1,$B78,G$1,$B$1)</f>
        <v>12.886100000000001</v>
      </c>
      <c r="H78" s="54">
        <f>_xll.EQNXTDZ($A$1,$B78,H$1,$B$1)</f>
        <v>13.8874</v>
      </c>
      <c r="I78" s="54">
        <f>_xll.EQNXTDZ($A$1,$B78,I$1,$B$1)</f>
        <v>15.376099999999999</v>
      </c>
      <c r="J78" s="54">
        <f>_xll.EQNXTDZ($A$1,$B78,J$1,$B$1)</f>
        <v>3.9969000000000001</v>
      </c>
      <c r="K78" s="54">
        <f>_xll.EQNXTDZ($A$1,$B78,K$1,$B$1)</f>
        <v>12.6379</v>
      </c>
      <c r="L78" s="54">
        <f>_xll.EQNXTDZ($A$1,$B78,L$1,$B$1)</f>
        <v>4.0773999999999999</v>
      </c>
      <c r="M78" s="54">
        <f>_xll.EQNXTDZ($A$1,$B78,M$1,$B$1)</f>
        <v>10.8447</v>
      </c>
      <c r="N78" s="54">
        <f>_xll.EQNXTDZ($A$1,$B78,N$1,$B$1)</f>
        <v>22.274899999999999</v>
      </c>
      <c r="O78" s="54">
        <f>_xll.EQNXTDZ($A$1,$B78,O$1,$B$1)</f>
        <v>14.759399999999999</v>
      </c>
      <c r="P78" s="54">
        <f>_xll.EQNXTDZ($A$1,$B78,P$1,$B$1)</f>
        <v>15.7995</v>
      </c>
      <c r="Q78" s="54">
        <f>_xll.EQNXTDZ($A$1,$B78,Q$1,$B$1)</f>
        <v>11.652200000000001</v>
      </c>
      <c r="R78" s="54">
        <f>_xll.EQNXTDZ($A$1,$B78,R$1,$B$1)</f>
        <v>15.366</v>
      </c>
      <c r="S78" s="54">
        <f>_xll.EQNXTDZ($A$1,$B78,S$1,$B$1)</f>
        <v>31.097200000000001</v>
      </c>
      <c r="T78" s="54">
        <f>_xll.EQNXTDZ($A$1,$B78,T$1,$B$1)</f>
        <v>44.692599999999999</v>
      </c>
      <c r="U78" s="54">
        <f>_xll.EQNXTDZ($A$1,$B78,U$1,$B$1)</f>
        <v>47.763500000000001</v>
      </c>
      <c r="V78" s="54">
        <f>_xll.EQNXTDZ($A$1,$B78,V$1,$B$1)</f>
        <v>44.61</v>
      </c>
      <c r="W78" s="54">
        <f>_xll.EQNXTDZ($A$1,$B78,W$1,$B$1)</f>
        <v>67.11</v>
      </c>
      <c r="X78" s="54">
        <f>_xll.EQNXTDZ($A$1,$B78,X$1,$B$1)</f>
        <v>32.19</v>
      </c>
      <c r="Y78" s="54">
        <f>_xll.EQNXTDZ($A$1,$B78,Y$1,$B$1)</f>
        <v>43.18</v>
      </c>
      <c r="Z78" s="54">
        <f>_xll.EQNXTDZ($A$1,$B78,Z$1,$B$1)</f>
        <v>312.04000000000002</v>
      </c>
      <c r="AA78" s="54">
        <f>_xll.EQNXTDZ($A$1,$B78,AA$1,$B$1)</f>
        <v>175.99</v>
      </c>
      <c r="AB78" s="54">
        <f>_xll.EQNXTDZ($A$1,$B78,AB$1,$B$1)</f>
        <v>298.93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3.7275</v>
      </c>
      <c r="F79" s="54">
        <f>_xll.EQNXTDZ($A$1,$B79,F$1,$B$1)</f>
        <v>4.1113</v>
      </c>
      <c r="G79" s="54">
        <f>_xll.EQNXTDZ($A$1,$B79,G$1,$B$1)</f>
        <v>3.2589000000000001</v>
      </c>
      <c r="H79" s="54">
        <f>_xll.EQNXTDZ($A$1,$B79,H$1,$B$1)</f>
        <v>6.6833999999999998</v>
      </c>
      <c r="I79" s="54">
        <f>_xll.EQNXTDZ($A$1,$B79,I$1,$B$1)</f>
        <v>5.3376999999999999</v>
      </c>
      <c r="J79" s="54">
        <f>_xll.EQNXTDZ($A$1,$B79,J$1,$B$1)</f>
        <v>6.4611000000000001</v>
      </c>
      <c r="K79" s="54">
        <f>_xll.EQNXTDZ($A$1,$B79,K$1,$B$1)</f>
        <v>13.571999999999999</v>
      </c>
      <c r="L79" s="54">
        <f>_xll.EQNXTDZ($A$1,$B79,L$1,$B$1)</f>
        <v>12.401199999999999</v>
      </c>
      <c r="M79" s="54">
        <f>_xll.EQNXTDZ($A$1,$B79,M$1,$B$1)</f>
        <v>14.356299999999999</v>
      </c>
      <c r="N79" s="54">
        <f>_xll.EQNXTDZ($A$1,$B79,N$1,$B$1)</f>
        <v>13.492900000000001</v>
      </c>
      <c r="O79" s="54">
        <f>_xll.EQNXTDZ($A$1,$B79,O$1,$B$1)</f>
        <v>11.396100000000001</v>
      </c>
      <c r="P79" s="54">
        <f>_xll.EQNXTDZ($A$1,$B79,P$1,$B$1)</f>
        <v>15.8177</v>
      </c>
      <c r="Q79" s="54">
        <f>_xll.EQNXTDZ($A$1,$B79,Q$1,$B$1)</f>
        <v>17.734500000000001</v>
      </c>
      <c r="R79" s="54">
        <f>_xll.EQNXTDZ($A$1,$B79,R$1,$B$1)</f>
        <v>36.569200000000002</v>
      </c>
      <c r="S79" s="54">
        <f>_xll.EQNXTDZ($A$1,$B79,S$1,$B$1)</f>
        <v>33.291600000000003</v>
      </c>
      <c r="T79" s="54">
        <f>_xll.EQNXTDZ($A$1,$B79,T$1,$B$1)</f>
        <v>30.823</v>
      </c>
      <c r="U79" s="54">
        <f>_xll.EQNXTDZ($A$1,$B79,U$1,$B$1)</f>
        <v>26.104399999999998</v>
      </c>
      <c r="V79" s="54">
        <f>_xll.EQNXTDZ($A$1,$B79,V$1,$B$1)</f>
        <v>25.57</v>
      </c>
      <c r="W79" s="54">
        <f>_xll.EQNXTDZ($A$1,$B79,W$1,$B$1)</f>
        <v>45.52</v>
      </c>
      <c r="X79" s="54">
        <f>_xll.EQNXTDZ($A$1,$B79,X$1,$B$1)</f>
        <v>53.76</v>
      </c>
      <c r="Y79" s="54">
        <f>_xll.EQNXTDZ($A$1,$B79,Y$1,$B$1)</f>
        <v>17.71</v>
      </c>
      <c r="Z79" s="54">
        <f>_xll.EQNXTDZ($A$1,$B79,Z$1,$B$1)</f>
        <v>20.86</v>
      </c>
      <c r="AA79" s="54">
        <f>_xll.EQNXTDZ($A$1,$B79,AA$1,$B$1)</f>
        <v>16.14</v>
      </c>
      <c r="AB79" s="54">
        <f>_xll.EQNXTDZ($A$1,$B79,AB$1,$B$1)</f>
        <v>24.49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6.5243000000000002</v>
      </c>
      <c r="F80" s="54">
        <f>_xll.EQNXTDZ($A$1,$B80,F$1,$B$1)</f>
        <v>7.2667000000000002</v>
      </c>
      <c r="G80" s="54">
        <f>_xll.EQNXTDZ($A$1,$B80,G$1,$B$1)</f>
        <v>8.4602000000000004</v>
      </c>
      <c r="H80" s="54">
        <f>_xll.EQNXTDZ($A$1,$B80,H$1,$B$1)</f>
        <v>12.3619</v>
      </c>
      <c r="I80" s="54">
        <f>_xll.EQNXTDZ($A$1,$B80,I$1,$B$1)</f>
        <v>12.0968</v>
      </c>
      <c r="J80" s="54">
        <f>_xll.EQNXTDZ($A$1,$B80,J$1,$B$1)</f>
        <v>23.312799999999999</v>
      </c>
      <c r="K80" s="54">
        <f>_xll.EQNXTDZ($A$1,$B80,K$1,$B$1)</f>
        <v>19.1707</v>
      </c>
      <c r="L80" s="54">
        <f>_xll.EQNXTDZ($A$1,$B80,L$1,$B$1)</f>
        <v>19.792899999999999</v>
      </c>
      <c r="M80" s="54">
        <f>_xll.EQNXTDZ($A$1,$B80,M$1,$B$1)</f>
        <v>129.2166</v>
      </c>
      <c r="N80" s="54">
        <f>_xll.EQNXTDZ($A$1,$B80,N$1,$B$1)</f>
        <v>8.9067000000000007</v>
      </c>
      <c r="O80" s="54">
        <f>_xll.EQNXTDZ($A$1,$B80,O$1,$B$1)</f>
        <v>6.5705999999999998</v>
      </c>
      <c r="P80" s="54">
        <f>_xll.EQNXTDZ($A$1,$B80,P$1,$B$1)</f>
        <v>10.078900000000001</v>
      </c>
      <c r="Q80" s="54">
        <f>_xll.EQNXTDZ($A$1,$B80,Q$1,$B$1)</f>
        <v>13.7156</v>
      </c>
      <c r="R80" s="54">
        <f>_xll.EQNXTDZ($A$1,$B80,R$1,$B$1)</f>
        <v>16.836600000000001</v>
      </c>
      <c r="S80" s="54">
        <f>_xll.EQNXTDZ($A$1,$B80,S$1,$B$1)</f>
        <v>17.6479</v>
      </c>
      <c r="T80" s="54">
        <f>_xll.EQNXTDZ($A$1,$B80,T$1,$B$1)</f>
        <v>11.2698</v>
      </c>
      <c r="U80" s="54">
        <f>_xll.EQNXTDZ($A$1,$B80,U$1,$B$1)</f>
        <v>11.0898</v>
      </c>
      <c r="V80" s="54">
        <f>_xll.EQNXTDZ($A$1,$B80,V$1,$B$1)</f>
        <v>11.22</v>
      </c>
      <c r="W80" s="54">
        <f>_xll.EQNXTDZ($A$1,$B80,W$1,$B$1)</f>
        <v>20.190000000000001</v>
      </c>
      <c r="X80" s="54">
        <f>_xll.EQNXTDZ($A$1,$B80,X$1,$B$1)</f>
        <v>130.03</v>
      </c>
      <c r="Y80" s="54">
        <f>_xll.EQNXTDZ($A$1,$B80,Y$1,$B$1)</f>
        <v>117.88</v>
      </c>
      <c r="Z80" s="54">
        <f>_xll.EQNXTDZ($A$1,$B80,Z$1,$B$1)</f>
        <v>232</v>
      </c>
      <c r="AA80" s="54">
        <f>_xll.EQNXTDZ($A$1,$B80,AA$1,$B$1)</f>
        <v>159.87</v>
      </c>
      <c r="AB80" s="54">
        <f>_xll.EQNXTDZ($A$1,$B80,AB$1,$B$1)</f>
        <v>254.84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20.27</v>
      </c>
      <c r="Z81" s="54">
        <f>_xll.EQNXTDZ($A$1,$B81,Z$1,$B$1)</f>
        <v>0.23</v>
      </c>
      <c r="AA81" s="54">
        <f>_xll.EQNXTDZ($A$1,$B81,AA$1,$B$1)</f>
        <v>0</v>
      </c>
      <c r="AB81" s="54">
        <f>_xll.EQNXTDZ($A$1,$B81,AB$1,$B$1)</f>
        <v>3.37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110.9272</v>
      </c>
      <c r="F82" s="54">
        <f>_xll.EQNXTDZ($A$1,$B82,F$1,$B$1)</f>
        <v>149.9556</v>
      </c>
      <c r="G82" s="54">
        <f>_xll.EQNXTDZ($A$1,$B82,G$1,$B$1)</f>
        <v>144.8057</v>
      </c>
      <c r="H82" s="54">
        <f>_xll.EQNXTDZ($A$1,$B82,H$1,$B$1)</f>
        <v>171.3193</v>
      </c>
      <c r="I82" s="54">
        <f>_xll.EQNXTDZ($A$1,$B82,I$1,$B$1)</f>
        <v>166.096</v>
      </c>
      <c r="J82" s="54">
        <f>_xll.EQNXTDZ($A$1,$B82,J$1,$B$1)</f>
        <v>218.1919</v>
      </c>
      <c r="K82" s="54">
        <f>_xll.EQNXTDZ($A$1,$B82,K$1,$B$1)</f>
        <v>218.5805</v>
      </c>
      <c r="L82" s="54">
        <f>_xll.EQNXTDZ($A$1,$B82,L$1,$B$1)</f>
        <v>240.4299</v>
      </c>
      <c r="M82" s="54">
        <f>_xll.EQNXTDZ($A$1,$B82,M$1,$B$1)</f>
        <v>401.8974</v>
      </c>
      <c r="N82" s="54">
        <f>_xll.EQNXTDZ($A$1,$B82,N$1,$B$1)</f>
        <v>317.26819999999998</v>
      </c>
      <c r="O82" s="54">
        <f>_xll.EQNXTDZ($A$1,$B82,O$1,$B$1)</f>
        <v>340.59350000000001</v>
      </c>
      <c r="P82" s="54">
        <f>_xll.EQNXTDZ($A$1,$B82,P$1,$B$1)</f>
        <v>398.65859999999998</v>
      </c>
      <c r="Q82" s="54">
        <f>_xll.EQNXTDZ($A$1,$B82,Q$1,$B$1)</f>
        <v>573.46720000000005</v>
      </c>
      <c r="R82" s="54">
        <f>_xll.EQNXTDZ($A$1,$B82,R$1,$B$1)</f>
        <v>850.33309999999994</v>
      </c>
      <c r="S82" s="54">
        <f>_xll.EQNXTDZ($A$1,$B82,S$1,$B$1)</f>
        <v>922.34469999999999</v>
      </c>
      <c r="T82" s="54">
        <f>_xll.EQNXTDZ($A$1,$B82,T$1,$B$1)</f>
        <v>942.67470000000003</v>
      </c>
      <c r="U82" s="54">
        <f>_xll.EQNXTDZ($A$1,$B82,U$1,$B$1)</f>
        <v>888.49890000000005</v>
      </c>
      <c r="V82" s="54">
        <f>_xll.EQNXTDZ($A$1,$B82,V$1,$B$1)</f>
        <v>942.54</v>
      </c>
      <c r="W82" s="54">
        <f>_xll.EQNXTDZ($A$1,$B82,W$1,$B$1)</f>
        <v>913.75</v>
      </c>
      <c r="X82" s="54">
        <f>_xll.EQNXTDZ($A$1,$B82,X$1,$B$1)</f>
        <v>1193.5899999999999</v>
      </c>
      <c r="Y82" s="54">
        <f>_xll.EQNXTDZ($A$1,$B82,Y$1,$B$1)</f>
        <v>1135.46</v>
      </c>
      <c r="Z82" s="54">
        <f>_xll.EQNXTDZ($A$1,$B82,Z$1,$B$1)</f>
        <v>1465.52</v>
      </c>
      <c r="AA82" s="54">
        <f>_xll.EQNXTDZ($A$1,$B82,AA$1,$B$1)</f>
        <v>1324.08</v>
      </c>
      <c r="AB82" s="54">
        <f>_xll.EQNXTDZ($A$1,$B82,AB$1,$B$1)</f>
        <v>1531.97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2.7576999999999998</v>
      </c>
      <c r="F83" s="54">
        <f>_xll.EQNXTDZ($A$1,$B83,F$1,$B$1)</f>
        <v>0.42120000000000002</v>
      </c>
      <c r="G83" s="54">
        <f>_xll.EQNXTDZ($A$1,$B83,G$1,$B$1)</f>
        <v>4.5600000000000002E-2</v>
      </c>
      <c r="H83" s="54">
        <f>_xll.EQNXTDZ($A$1,$B83,H$1,$B$1)</f>
        <v>9.1000000000000004E-3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241.8373</v>
      </c>
      <c r="F84" s="54">
        <f>_xll.EQNXTDZ($A$1,$B84,F$1,$B$1)</f>
        <v>264.60759999999999</v>
      </c>
      <c r="G84" s="54">
        <f>_xll.EQNXTDZ($A$1,$B84,G$1,$B$1)</f>
        <v>281.70699999999999</v>
      </c>
      <c r="H84" s="54">
        <f>_xll.EQNXTDZ($A$1,$B84,H$1,$B$1)</f>
        <v>306.83069999999998</v>
      </c>
      <c r="I84" s="54">
        <f>_xll.EQNXTDZ($A$1,$B84,I$1,$B$1)</f>
        <v>363.11369999999999</v>
      </c>
      <c r="J84" s="54">
        <f>_xll.EQNXTDZ($A$1,$B84,J$1,$B$1)</f>
        <v>433.01749999999998</v>
      </c>
      <c r="K84" s="54">
        <f>_xll.EQNXTDZ($A$1,$B84,K$1,$B$1)</f>
        <v>429.44709999999998</v>
      </c>
      <c r="L84" s="54">
        <f>_xll.EQNXTDZ($A$1,$B84,L$1,$B$1)</f>
        <v>443.79079999999999</v>
      </c>
      <c r="M84" s="54">
        <f>_xll.EQNXTDZ($A$1,$B84,M$1,$B$1)</f>
        <v>580.59029999999996</v>
      </c>
      <c r="N84" s="54">
        <f>_xll.EQNXTDZ($A$1,$B84,N$1,$B$1)</f>
        <v>518.25139999999999</v>
      </c>
      <c r="O84" s="54">
        <f>_xll.EQNXTDZ($A$1,$B84,O$1,$B$1)</f>
        <v>603.90269999999998</v>
      </c>
      <c r="P84" s="54">
        <f>_xll.EQNXTDZ($A$1,$B84,P$1,$B$1)</f>
        <v>662.49680000000001</v>
      </c>
      <c r="Q84" s="54">
        <f>_xll.EQNXTDZ($A$1,$B84,Q$1,$B$1)</f>
        <v>880.1232</v>
      </c>
      <c r="R84" s="54">
        <f>_xll.EQNXTDZ($A$1,$B84,R$1,$B$1)</f>
        <v>1649.066</v>
      </c>
      <c r="S84" s="54">
        <f>_xll.EQNXTDZ($A$1,$B84,S$1,$B$1)</f>
        <v>1427.0071</v>
      </c>
      <c r="T84" s="54">
        <f>_xll.EQNXTDZ($A$1,$B84,T$1,$B$1)</f>
        <v>1424.6701</v>
      </c>
      <c r="U84" s="54">
        <f>_xll.EQNXTDZ($A$1,$B84,U$1,$B$1)</f>
        <v>1446.0459000000001</v>
      </c>
      <c r="V84" s="54">
        <f>_xll.EQNXTDZ($A$1,$B84,V$1,$B$1)</f>
        <v>1507.84</v>
      </c>
      <c r="W84" s="54">
        <f>_xll.EQNXTDZ($A$1,$B84,W$1,$B$1)</f>
        <v>1575.09</v>
      </c>
      <c r="X84" s="54">
        <f>_xll.EQNXTDZ($A$1,$B84,X$1,$B$1)</f>
        <v>2309.5</v>
      </c>
      <c r="Y84" s="54">
        <f>_xll.EQNXTDZ($A$1,$B84,Y$1,$B$1)</f>
        <v>2258.94</v>
      </c>
      <c r="Z84" s="54">
        <f>_xll.EQNXTDZ($A$1,$B84,Z$1,$B$1)</f>
        <v>2597.11</v>
      </c>
      <c r="AA84" s="54">
        <f>_xll.EQNXTDZ($A$1,$B84,AA$1,$B$1)</f>
        <v>2560</v>
      </c>
      <c r="AB84" s="54">
        <f>_xll.EQNXTDZ($A$1,$B84,AB$1,$B$1)</f>
        <v>2606.59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21.369399999999999</v>
      </c>
      <c r="F85" s="54">
        <f>_xll.EQNXTDZ($A$1,$B85,F$1,$B$1)</f>
        <v>33.563099999999999</v>
      </c>
      <c r="G85" s="54">
        <f>_xll.EQNXTDZ($A$1,$B85,G$1,$B$1)</f>
        <v>22.245799999999999</v>
      </c>
      <c r="H85" s="54">
        <f>_xll.EQNXTDZ($A$1,$B85,H$1,$B$1)</f>
        <v>122.4348</v>
      </c>
      <c r="I85" s="54">
        <f>_xll.EQNXTDZ($A$1,$B85,I$1,$B$1)</f>
        <v>97.420900000000003</v>
      </c>
      <c r="J85" s="54">
        <f>_xll.EQNXTDZ($A$1,$B85,J$1,$B$1)</f>
        <v>99.180400000000006</v>
      </c>
      <c r="K85" s="54">
        <f>_xll.EQNXTDZ($A$1,$B85,K$1,$B$1)</f>
        <v>288.10449999999997</v>
      </c>
      <c r="L85" s="54">
        <f>_xll.EQNXTDZ($A$1,$B85,L$1,$B$1)</f>
        <v>90.450100000000006</v>
      </c>
      <c r="M85" s="54">
        <f>_xll.EQNXTDZ($A$1,$B85,M$1,$B$1)</f>
        <v>108.9336</v>
      </c>
      <c r="N85" s="54">
        <f>_xll.EQNXTDZ($A$1,$B85,N$1,$B$1)</f>
        <v>113.9183</v>
      </c>
      <c r="O85" s="54">
        <f>_xll.EQNXTDZ($A$1,$B85,O$1,$B$1)</f>
        <v>88.498999999999995</v>
      </c>
      <c r="P85" s="54">
        <f>_xll.EQNXTDZ($A$1,$B85,P$1,$B$1)</f>
        <v>93.873699999999999</v>
      </c>
      <c r="Q85" s="54">
        <f>_xll.EQNXTDZ($A$1,$B85,Q$1,$B$1)</f>
        <v>98.686800000000005</v>
      </c>
      <c r="R85" s="54">
        <f>_xll.EQNXTDZ($A$1,$B85,R$1,$B$1)</f>
        <v>23.1938</v>
      </c>
      <c r="S85" s="54">
        <f>_xll.EQNXTDZ($A$1,$B85,S$1,$B$1)</f>
        <v>27.218699999999998</v>
      </c>
      <c r="T85" s="54">
        <f>_xll.EQNXTDZ($A$1,$B85,T$1,$B$1)</f>
        <v>27.333400000000001</v>
      </c>
      <c r="U85" s="54">
        <f>_xll.EQNXTDZ($A$1,$B85,U$1,$B$1)</f>
        <v>22.002300000000002</v>
      </c>
      <c r="V85" s="54">
        <f>_xll.EQNXTDZ($A$1,$B85,V$1,$B$1)</f>
        <v>20.78</v>
      </c>
      <c r="W85" s="54">
        <f>_xll.EQNXTDZ($A$1,$B85,W$1,$B$1)</f>
        <v>28.39</v>
      </c>
      <c r="X85" s="54">
        <f>_xll.EQNXTDZ($A$1,$B85,X$1,$B$1)</f>
        <v>37.83</v>
      </c>
      <c r="Y85" s="54">
        <f>_xll.EQNXTDZ($A$1,$B85,Y$1,$B$1)</f>
        <v>31.98</v>
      </c>
      <c r="Z85" s="54">
        <f>_xll.EQNXTDZ($A$1,$B85,Z$1,$B$1)</f>
        <v>25.99</v>
      </c>
      <c r="AA85" s="54">
        <f>_xll.EQNXTDZ($A$1,$B85,AA$1,$B$1)</f>
        <v>26.02</v>
      </c>
      <c r="AB85" s="54">
        <f>_xll.EQNXTDZ($A$1,$B85,AB$1,$B$1)</f>
        <v>40.78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33.514000000000003</v>
      </c>
      <c r="P86" s="54">
        <f>_xll.EQNXTDZ($A$1,$B86,P$1,$B$1)</f>
        <v>32.0944</v>
      </c>
      <c r="Q86" s="54">
        <f>_xll.EQNXTDZ($A$1,$B86,Q$1,$B$1)</f>
        <v>30.674800000000001</v>
      </c>
      <c r="R86" s="54">
        <f>_xll.EQNXTDZ($A$1,$B86,R$1,$B$1)</f>
        <v>236.85059999999999</v>
      </c>
      <c r="S86" s="54">
        <f>_xll.EQNXTDZ($A$1,$B86,S$1,$B$1)</f>
        <v>9.6880000000000006</v>
      </c>
      <c r="T86" s="54">
        <f>_xll.EQNXTDZ($A$1,$B86,T$1,$B$1)</f>
        <v>9.6880000000000006</v>
      </c>
      <c r="U86" s="54">
        <f>_xll.EQNXTDZ($A$1,$B86,U$1,$B$1)</f>
        <v>56.400300000000001</v>
      </c>
      <c r="V86" s="54">
        <f>_xll.EQNXTDZ($A$1,$B86,V$1,$B$1)</f>
        <v>56.4</v>
      </c>
      <c r="W86" s="54">
        <f>_xll.EQNXTDZ($A$1,$B86,W$1,$B$1)</f>
        <v>62.38</v>
      </c>
      <c r="X86" s="54">
        <f>_xll.EQNXTDZ($A$1,$B86,X$1,$B$1)</f>
        <v>62.38</v>
      </c>
      <c r="Y86" s="54">
        <f>_xll.EQNXTDZ($A$1,$B86,Y$1,$B$1)</f>
        <v>62.38</v>
      </c>
      <c r="Z86" s="54">
        <f>_xll.EQNXTDZ($A$1,$B86,Z$1,$B$1)</f>
        <v>62.38</v>
      </c>
      <c r="AA86" s="54">
        <f>_xll.EQNXTDZ($A$1,$B86,AA$1,$B$1)</f>
        <v>62.38</v>
      </c>
      <c r="AB86" s="54">
        <f>_xll.EQNXTDZ($A$1,$B86,AB$1,$B$1)</f>
        <v>62.38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0.55259999999999998</v>
      </c>
      <c r="O88" s="54">
        <f>_xll.EQNXTDZ($A$1,$B88,O$1,$B$1)</f>
        <v>3.5369000000000002</v>
      </c>
      <c r="P88" s="54">
        <f>_xll.EQNXTDZ($A$1,$B88,P$1,$B$1)</f>
        <v>5.7035999999999998</v>
      </c>
      <c r="Q88" s="54">
        <f>_xll.EQNXTDZ($A$1,$B88,Q$1,$B$1)</f>
        <v>4.2134</v>
      </c>
      <c r="R88" s="54">
        <f>_xll.EQNXTDZ($A$1,$B88,R$1,$B$1)</f>
        <v>41.872500000000002</v>
      </c>
      <c r="S88" s="54">
        <f>_xll.EQNXTDZ($A$1,$B88,S$1,$B$1)</f>
        <v>21.9665</v>
      </c>
      <c r="T88" s="54">
        <f>_xll.EQNXTDZ($A$1,$B88,T$1,$B$1)</f>
        <v>3.0994999999999999</v>
      </c>
      <c r="U88" s="54">
        <f>_xll.EQNXTDZ($A$1,$B88,U$1,$B$1)</f>
        <v>3.593</v>
      </c>
      <c r="V88" s="54">
        <f>_xll.EQNXTDZ($A$1,$B88,V$1,$B$1)</f>
        <v>3.76</v>
      </c>
      <c r="W88" s="54">
        <f>_xll.EQNXTDZ($A$1,$B88,W$1,$B$1)</f>
        <v>1.76</v>
      </c>
      <c r="X88" s="54">
        <f>_xll.EQNXTDZ($A$1,$B88,X$1,$B$1)</f>
        <v>50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5.7173999999999996</v>
      </c>
      <c r="T89" s="54">
        <f>_xll.EQNXTDZ($A$1,$B89,T$1,$B$1)</f>
        <v>8.4021000000000008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33.762900000000002</v>
      </c>
      <c r="P91" s="54">
        <f>_xll.EQNXTDZ($A$1,$B91,P$1,$B$1)</f>
        <v>33.762900000000002</v>
      </c>
      <c r="Q91" s="54">
        <f>_xll.EQNXTDZ($A$1,$B91,Q$1,$B$1)</f>
        <v>33.762900000000002</v>
      </c>
      <c r="R91" s="54">
        <f>_xll.EQNXTDZ($A$1,$B91,R$1,$B$1)</f>
        <v>249.28399999999999</v>
      </c>
      <c r="S91" s="54">
        <f>_xll.EQNXTDZ($A$1,$B91,S$1,$B$1)</f>
        <v>9.6880000000000006</v>
      </c>
      <c r="T91" s="54">
        <f>_xll.EQNXTDZ($A$1,$B91,T$1,$B$1)</f>
        <v>9.6880000000000006</v>
      </c>
      <c r="U91" s="54">
        <f>_xll.EQNXTDZ($A$1,$B91,U$1,$B$1)</f>
        <v>56.400300000000001</v>
      </c>
      <c r="V91" s="54">
        <f>_xll.EQNXTDZ($A$1,$B91,V$1,$B$1)</f>
        <v>56.4</v>
      </c>
      <c r="W91" s="54">
        <f>_xll.EQNXTDZ($A$1,$B91,W$1,$B$1)</f>
        <v>62.38</v>
      </c>
      <c r="X91" s="54">
        <f>_xll.EQNXTDZ($A$1,$B91,X$1,$B$1)</f>
        <v>62.38</v>
      </c>
      <c r="Y91" s="54">
        <f>_xll.EQNXTDZ($A$1,$B91,Y$1,$B$1)</f>
        <v>62.38</v>
      </c>
      <c r="Z91" s="54">
        <f>_xll.EQNXTDZ($A$1,$B91,Z$1,$B$1)</f>
        <v>62.38</v>
      </c>
      <c r="AA91" s="54">
        <f>_xll.EQNXTDZ($A$1,$B91,AA$1,$B$1)</f>
        <v>62.38</v>
      </c>
      <c r="AB91" s="54">
        <f>_xll.EQNXTDZ($A$1,$B91,AB$1,$B$1)</f>
        <v>62.38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0.24890000000000001</v>
      </c>
      <c r="P92" s="54">
        <f>_xll.EQNXTDZ($A$1,$B92,P$1,$B$1)</f>
        <v>1.6685000000000001</v>
      </c>
      <c r="Q92" s="54">
        <f>_xll.EQNXTDZ($A$1,$B92,Q$1,$B$1)</f>
        <v>3.0880999999999998</v>
      </c>
      <c r="R92" s="54">
        <f>_xll.EQNXTDZ($A$1,$B92,R$1,$B$1)</f>
        <v>9.5738000000000003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16.949100000000001</v>
      </c>
      <c r="F93" s="54">
        <f>_xll.EQNXTDZ($A$1,$B93,F$1,$B$1)</f>
        <v>9.8196999999999992</v>
      </c>
      <c r="G93" s="54">
        <f>_xll.EQNXTDZ($A$1,$B93,G$1,$B$1)</f>
        <v>21.437899999999999</v>
      </c>
      <c r="H93" s="54">
        <f>_xll.EQNXTDZ($A$1,$B93,H$1,$B$1)</f>
        <v>91.592100000000002</v>
      </c>
      <c r="I93" s="54">
        <f>_xll.EQNXTDZ($A$1,$B93,I$1,$B$1)</f>
        <v>42.782200000000003</v>
      </c>
      <c r="J93" s="54">
        <f>_xll.EQNXTDZ($A$1,$B93,J$1,$B$1)</f>
        <v>61.3887</v>
      </c>
      <c r="K93" s="54">
        <f>_xll.EQNXTDZ($A$1,$B93,K$1,$B$1)</f>
        <v>272.67700000000002</v>
      </c>
      <c r="L93" s="54">
        <f>_xll.EQNXTDZ($A$1,$B93,L$1,$B$1)</f>
        <v>77.452500000000001</v>
      </c>
      <c r="M93" s="54">
        <f>_xll.EQNXTDZ($A$1,$B93,M$1,$B$1)</f>
        <v>82.617400000000004</v>
      </c>
      <c r="N93" s="54">
        <f>_xll.EQNXTDZ($A$1,$B93,N$1,$B$1)</f>
        <v>86.033500000000004</v>
      </c>
      <c r="O93" s="54">
        <f>_xll.EQNXTDZ($A$1,$B93,O$1,$B$1)</f>
        <v>88.498999999999995</v>
      </c>
      <c r="P93" s="54">
        <f>_xll.EQNXTDZ($A$1,$B93,P$1,$B$1)</f>
        <v>93.873699999999999</v>
      </c>
      <c r="Q93" s="54">
        <f>_xll.EQNXTDZ($A$1,$B93,Q$1,$B$1)</f>
        <v>98.686800000000005</v>
      </c>
      <c r="R93" s="54">
        <f>_xll.EQNXTDZ($A$1,$B93,R$1,$B$1)</f>
        <v>23.1938</v>
      </c>
      <c r="S93" s="54">
        <f>_xll.EQNXTDZ($A$1,$B93,S$1,$B$1)</f>
        <v>27.218699999999998</v>
      </c>
      <c r="T93" s="54">
        <f>_xll.EQNXTDZ($A$1,$B93,T$1,$B$1)</f>
        <v>27.333400000000001</v>
      </c>
      <c r="U93" s="54">
        <f>_xll.EQNXTDZ($A$1,$B93,U$1,$B$1)</f>
        <v>22.002300000000002</v>
      </c>
      <c r="V93" s="54">
        <f>_xll.EQNXTDZ($A$1,$B93,V$1,$B$1)</f>
        <v>20.78</v>
      </c>
      <c r="W93" s="54">
        <f>_xll.EQNXTDZ($A$1,$B93,W$1,$B$1)</f>
        <v>28.39</v>
      </c>
      <c r="X93" s="54">
        <f>_xll.EQNXTDZ($A$1,$B93,X$1,$B$1)</f>
        <v>37.83</v>
      </c>
      <c r="Y93" s="54">
        <f>_xll.EQNXTDZ($A$1,$B93,Y$1,$B$1)</f>
        <v>31.98</v>
      </c>
      <c r="Z93" s="54">
        <f>_xll.EQNXTDZ($A$1,$B93,Z$1,$B$1)</f>
        <v>25.99</v>
      </c>
      <c r="AA93" s="54">
        <f>_xll.EQNXTDZ($A$1,$B93,AA$1,$B$1)</f>
        <v>26.02</v>
      </c>
      <c r="AB93" s="54">
        <f>_xll.EQNXTDZ($A$1,$B93,AB$1,$B$1)</f>
        <v>40.78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4.3512000000000004</v>
      </c>
      <c r="F95" s="54">
        <f>_xll.EQNXTDZ($A$1,$B95,F$1,$B$1)</f>
        <v>2.0226999999999999</v>
      </c>
      <c r="G95" s="54">
        <f>_xll.EQNXTDZ($A$1,$B95,G$1,$B$1)</f>
        <v>0.48020000000000002</v>
      </c>
      <c r="H95" s="54">
        <f>_xll.EQNXTDZ($A$1,$B95,H$1,$B$1)</f>
        <v>0.64559999999999995</v>
      </c>
      <c r="I95" s="54">
        <f>_xll.EQNXTDZ($A$1,$B95,I$1,$B$1)</f>
        <v>0.52659999999999996</v>
      </c>
      <c r="J95" s="54">
        <f>_xll.EQNXTDZ($A$1,$B95,J$1,$B$1)</f>
        <v>16.171500000000002</v>
      </c>
      <c r="K95" s="54">
        <f>_xll.EQNXTDZ($A$1,$B95,K$1,$B$1)</f>
        <v>6.9489000000000001</v>
      </c>
      <c r="L95" s="54">
        <f>_xll.EQNXTDZ($A$1,$B95,L$1,$B$1)</f>
        <v>5.4244000000000003</v>
      </c>
      <c r="M95" s="54">
        <f>_xll.EQNXTDZ($A$1,$B95,M$1,$B$1)</f>
        <v>8.5397999999999996</v>
      </c>
      <c r="N95" s="54">
        <f>_xll.EQNXTDZ($A$1,$B95,N$1,$B$1)</f>
        <v>9.6477000000000004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6.0299999999999999E-2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7.3000000000000001E-3</v>
      </c>
      <c r="J97" s="54">
        <f>_xll.EQNXTDZ($A$1,$B97,J$1,$B$1)</f>
        <v>4.4200000000000003E-2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8.6224000000000007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6.9099999999999995E-2</v>
      </c>
      <c r="F99" s="54">
        <f>_xll.EQNXTDZ($A$1,$B99,F$1,$B$1)</f>
        <v>21.660399999999999</v>
      </c>
      <c r="G99" s="54">
        <f>_xll.EQNXTDZ($A$1,$B99,G$1,$B$1)</f>
        <v>0.32769999999999999</v>
      </c>
      <c r="H99" s="54">
        <f>_xll.EQNXTDZ($A$1,$B99,H$1,$B$1)</f>
        <v>30.197099999999999</v>
      </c>
      <c r="I99" s="54">
        <f>_xll.EQNXTDZ($A$1,$B99,I$1,$B$1)</f>
        <v>54.104799999999997</v>
      </c>
      <c r="J99" s="54">
        <f>_xll.EQNXTDZ($A$1,$B99,J$1,$B$1)</f>
        <v>21.576000000000001</v>
      </c>
      <c r="K99" s="54">
        <f>_xll.EQNXTDZ($A$1,$B99,K$1,$B$1)</f>
        <v>8.4786000000000001</v>
      </c>
      <c r="L99" s="54">
        <f>_xll.EQNXTDZ($A$1,$B99,L$1,$B$1)</f>
        <v>7.5731999999999999</v>
      </c>
      <c r="M99" s="54">
        <f>_xll.EQNXTDZ($A$1,$B99,M$1,$B$1)</f>
        <v>17.776399999999999</v>
      </c>
      <c r="N99" s="54">
        <f>_xll.EQNXTDZ($A$1,$B99,N$1,$B$1)</f>
        <v>9.6146999999999991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12.5374</v>
      </c>
      <c r="F104" s="54">
        <f>_xll.EQNXTDZ($A$1,$B104,F$1,$B$1)</f>
        <v>12.5374</v>
      </c>
      <c r="G104" s="54">
        <f>_xll.EQNXTDZ($A$1,$B104,G$1,$B$1)</f>
        <v>12.5374</v>
      </c>
      <c r="H104" s="54">
        <f>_xll.EQNXTDZ($A$1,$B104,H$1,$B$1)</f>
        <v>12.5374</v>
      </c>
      <c r="I104" s="54">
        <f>_xll.EQNXTDZ($A$1,$B104,I$1,$B$1)</f>
        <v>12.5374</v>
      </c>
      <c r="J104" s="54">
        <f>_xll.EQNXTDZ($A$1,$B104,J$1,$B$1)</f>
        <v>12.5374</v>
      </c>
      <c r="K104" s="54">
        <f>_xll.EQNXTDZ($A$1,$B104,K$1,$B$1)</f>
        <v>12.5374</v>
      </c>
      <c r="L104" s="54">
        <f>_xll.EQNXTDZ($A$1,$B104,L$1,$B$1)</f>
        <v>12.5374</v>
      </c>
      <c r="M104" s="54">
        <f>_xll.EQNXTDZ($A$1,$B104,M$1,$B$1)</f>
        <v>12.5374</v>
      </c>
      <c r="N104" s="54">
        <f>_xll.EQNXTDZ($A$1,$B104,N$1,$B$1)</f>
        <v>12.5374</v>
      </c>
      <c r="O104" s="54">
        <f>_xll.EQNXTDZ($A$1,$B104,O$1,$B$1)</f>
        <v>12.5374</v>
      </c>
      <c r="P104" s="54">
        <f>_xll.EQNXTDZ($A$1,$B104,P$1,$B$1)</f>
        <v>12.5374</v>
      </c>
      <c r="Q104" s="54">
        <f>_xll.EQNXTDZ($A$1,$B104,Q$1,$B$1)</f>
        <v>14.542400000000001</v>
      </c>
      <c r="R104" s="54">
        <f>_xll.EQNXTDZ($A$1,$B104,R$1,$B$1)</f>
        <v>14.542400000000001</v>
      </c>
      <c r="S104" s="54">
        <f>_xll.EQNXTDZ($A$1,$B104,S$1,$B$1)</f>
        <v>14.542400000000001</v>
      </c>
      <c r="T104" s="54">
        <f>_xll.EQNXTDZ($A$1,$B104,T$1,$B$1)</f>
        <v>15.1044</v>
      </c>
      <c r="U104" s="54">
        <f>_xll.EQNXTDZ($A$1,$B104,U$1,$B$1)</f>
        <v>15.1044</v>
      </c>
      <c r="V104" s="54">
        <f>_xll.EQNXTDZ($A$1,$B104,V$1,$B$1)</f>
        <v>15.109</v>
      </c>
      <c r="W104" s="54">
        <f>_xll.EQNXTDZ($A$1,$B104,W$1,$B$1)</f>
        <v>15.109</v>
      </c>
      <c r="X104" s="54">
        <f>_xll.EQNXTDZ($A$1,$B104,X$1,$B$1)</f>
        <v>15.109</v>
      </c>
      <c r="Y104" s="54">
        <f>_xll.EQNXTDZ($A$1,$B104,Y$1,$B$1)</f>
        <v>15.109</v>
      </c>
      <c r="Z104" s="54">
        <f>_xll.EQNXTDZ($A$1,$B104,Z$1,$B$1)</f>
        <v>15.109</v>
      </c>
      <c r="AA104" s="54">
        <f>_xll.EQNXTDZ($A$1,$B104,AA$1,$B$1)</f>
        <v>15.109</v>
      </c>
      <c r="AB104" s="54">
        <f>_xll.EQNXTDZ($A$1,$B104,AB$1,$B$1)</f>
        <v>15.109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10</v>
      </c>
      <c r="F105" s="54">
        <f>_xll.EQNXTDZ($A$1,$B105,F$1,$B$1)</f>
        <v>10</v>
      </c>
      <c r="G105" s="54">
        <f>_xll.EQNXTDZ($A$1,$B105,G$1,$B$1)</f>
        <v>10</v>
      </c>
      <c r="H105" s="54">
        <f>_xll.EQNXTDZ($A$1,$B105,H$1,$B$1)</f>
        <v>10</v>
      </c>
      <c r="I105" s="54">
        <f>_xll.EQNXTDZ($A$1,$B105,I$1,$B$1)</f>
        <v>10</v>
      </c>
      <c r="J105" s="54">
        <f>_xll.EQNXTDZ($A$1,$B105,J$1,$B$1)</f>
        <v>2</v>
      </c>
      <c r="K105" s="54">
        <f>_xll.EQNXTDZ($A$1,$B105,K$1,$B$1)</f>
        <v>2</v>
      </c>
      <c r="L105" s="54">
        <f>_xll.EQNXTDZ($A$1,$B105,L$1,$B$1)</f>
        <v>2</v>
      </c>
      <c r="M105" s="54">
        <f>_xll.EQNXTDZ($A$1,$B105,M$1,$B$1)</f>
        <v>2</v>
      </c>
      <c r="N105" s="54">
        <f>_xll.EQNXTDZ($A$1,$B105,N$1,$B$1)</f>
        <v>2</v>
      </c>
      <c r="O105" s="54">
        <f>_xll.EQNXTDZ($A$1,$B105,O$1,$B$1)</f>
        <v>2</v>
      </c>
      <c r="P105" s="54">
        <f>_xll.EQNXTDZ($A$1,$B105,P$1,$B$1)</f>
        <v>2</v>
      </c>
      <c r="Q105" s="54">
        <f>_xll.EQNXTDZ($A$1,$B105,Q$1,$B$1)</f>
        <v>2</v>
      </c>
      <c r="R105" s="54">
        <f>_xll.EQNXTDZ($A$1,$B105,R$1,$B$1)</f>
        <v>2</v>
      </c>
      <c r="S105" s="54">
        <f>_xll.EQNXTDZ($A$1,$B105,S$1,$B$1)</f>
        <v>2</v>
      </c>
      <c r="T105" s="54">
        <f>_xll.EQNXTDZ($A$1,$B105,T$1,$B$1)</f>
        <v>2</v>
      </c>
      <c r="U105" s="54">
        <f>_xll.EQNXTDZ($A$1,$B105,U$1,$B$1)</f>
        <v>2</v>
      </c>
      <c r="V105" s="54">
        <f>_xll.EQNXTDZ($A$1,$B105,V$1,$B$1)</f>
        <v>2</v>
      </c>
      <c r="W105" s="54">
        <f>_xll.EQNXTDZ($A$1,$B105,W$1,$B$1)</f>
        <v>2</v>
      </c>
      <c r="X105" s="54">
        <f>_xll.EQNXTDZ($A$1,$B105,X$1,$B$1)</f>
        <v>2</v>
      </c>
      <c r="Y105" s="54">
        <f>_xll.EQNXTDZ($A$1,$B105,Y$1,$B$1)</f>
        <v>2</v>
      </c>
      <c r="Z105" s="54">
        <f>_xll.EQNXTDZ($A$1,$B105,Z$1,$B$1)</f>
        <v>2</v>
      </c>
      <c r="AA105" s="54">
        <f>_xll.EQNXTDZ($A$1,$B105,AA$1,$B$1)</f>
        <v>2</v>
      </c>
      <c r="AB105" s="54">
        <f>_xll.EQNXTDZ($A$1,$B105,AB$1,$B$1)</f>
        <v>2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27</v>
      </c>
      <c r="F106" s="54">
        <f>_xll.EQNXTDZ($A$1,$B106,F$1,$B$1)</f>
        <v>39.450000000000003</v>
      </c>
      <c r="G106" s="54">
        <f>_xll.EQNXTDZ($A$1,$B106,G$1,$B$1)</f>
        <v>43.39</v>
      </c>
      <c r="H106" s="54">
        <f>_xll.EQNXTDZ($A$1,$B106,H$1,$B$1)</f>
        <v>60.51</v>
      </c>
      <c r="I106" s="54">
        <f>_xll.EQNXTDZ($A$1,$B106,I$1,$B$1)</f>
        <v>73.7</v>
      </c>
      <c r="J106" s="54">
        <f>_xll.EQNXTDZ($A$1,$B106,J$1,$B$1)</f>
        <v>73.2</v>
      </c>
      <c r="K106" s="54">
        <f>_xll.EQNXTDZ($A$1,$B106,K$1,$B$1)</f>
        <v>31.4</v>
      </c>
      <c r="L106" s="54">
        <f>_xll.EQNXTDZ($A$1,$B106,L$1,$B$1)</f>
        <v>60.35</v>
      </c>
      <c r="M106" s="54">
        <f>_xll.EQNXTDZ($A$1,$B106,M$1,$B$1)</f>
        <v>56.7</v>
      </c>
      <c r="N106" s="54">
        <f>_xll.EQNXTDZ($A$1,$B106,N$1,$B$1)</f>
        <v>59.85</v>
      </c>
      <c r="O106" s="54">
        <f>_xll.EQNXTDZ($A$1,$B106,O$1,$B$1)</f>
        <v>72.349999999999994</v>
      </c>
      <c r="P106" s="54">
        <f>_xll.EQNXTDZ($A$1,$B106,P$1,$B$1)</f>
        <v>74.599999999999994</v>
      </c>
      <c r="Q106" s="54">
        <f>_xll.EQNXTDZ($A$1,$B106,Q$1,$B$1)</f>
        <v>180.7</v>
      </c>
      <c r="R106" s="54">
        <f>_xll.EQNXTDZ($A$1,$B106,R$1,$B$1)</f>
        <v>239.7</v>
      </c>
      <c r="S106" s="54">
        <f>_xll.EQNXTDZ($A$1,$B106,S$1,$B$1)</f>
        <v>242</v>
      </c>
      <c r="T106" s="54">
        <f>_xll.EQNXTDZ($A$1,$B106,T$1,$B$1)</f>
        <v>353.65</v>
      </c>
      <c r="U106" s="54">
        <f>_xll.EQNXTDZ($A$1,$B106,U$1,$B$1)</f>
        <v>194</v>
      </c>
      <c r="V106" s="54">
        <f>_xll.EQNXTDZ($A$1,$B106,V$1,$B$1)</f>
        <v>246.3</v>
      </c>
      <c r="W106" s="54">
        <f>_xll.EQNXTDZ($A$1,$B106,W$1,$B$1)</f>
        <v>312.60000000000002</v>
      </c>
      <c r="X106" s="54">
        <f>_xll.EQNXTDZ($A$1,$B106,X$1,$B$1)</f>
        <v>227.8</v>
      </c>
      <c r="Y106" s="54">
        <f>_xll.EQNXTDZ($A$1,$B106,Y$1,$B$1)</f>
        <v>198.85</v>
      </c>
      <c r="Z106" s="54">
        <f>_xll.EQNXTDZ($A$1,$B106,Z$1,$B$1)</f>
        <v>286.60000000000002</v>
      </c>
      <c r="AA106" s="54">
        <f>_xll.EQNXTDZ($A$1,$B106,AA$1,$B$1)</f>
        <v>272.39999999999998</v>
      </c>
      <c r="AB106" s="54">
        <f>_xll.EQNXTDZ($A$1,$B106,AB$1,$B$1)</f>
        <v>211.65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27.4</v>
      </c>
      <c r="F107" s="54">
        <f>_xll.EQNXTDZ($A$1,$B107,F$1,$B$1)</f>
        <v>42.35</v>
      </c>
      <c r="G107" s="54">
        <f>_xll.EQNXTDZ($A$1,$B107,G$1,$B$1)</f>
        <v>48.4</v>
      </c>
      <c r="H107" s="54">
        <f>_xll.EQNXTDZ($A$1,$B107,H$1,$B$1)</f>
        <v>65.599999999999994</v>
      </c>
      <c r="I107" s="54">
        <f>_xll.EQNXTDZ($A$1,$B107,I$1,$B$1)</f>
        <v>99.76</v>
      </c>
      <c r="J107" s="54">
        <f>_xll.EQNXTDZ($A$1,$B107,J$1,$B$1)</f>
        <v>83.74</v>
      </c>
      <c r="K107" s="54">
        <f>_xll.EQNXTDZ($A$1,$B107,K$1,$B$1)</f>
        <v>77.7</v>
      </c>
      <c r="L107" s="54">
        <f>_xll.EQNXTDZ($A$1,$B107,L$1,$B$1)</f>
        <v>75.900000000000006</v>
      </c>
      <c r="M107" s="54">
        <f>_xll.EQNXTDZ($A$1,$B107,M$1,$B$1)</f>
        <v>71.5</v>
      </c>
      <c r="N107" s="54">
        <f>_xll.EQNXTDZ($A$1,$B107,N$1,$B$1)</f>
        <v>93.15</v>
      </c>
      <c r="O107" s="54">
        <f>_xll.EQNXTDZ($A$1,$B107,O$1,$B$1)</f>
        <v>77</v>
      </c>
      <c r="P107" s="54">
        <f>_xll.EQNXTDZ($A$1,$B107,P$1,$B$1)</f>
        <v>81.8</v>
      </c>
      <c r="Q107" s="54">
        <f>_xll.EQNXTDZ($A$1,$B107,Q$1,$B$1)</f>
        <v>212</v>
      </c>
      <c r="R107" s="54">
        <f>_xll.EQNXTDZ($A$1,$B107,R$1,$B$1)</f>
        <v>334</v>
      </c>
      <c r="S107" s="54">
        <f>_xll.EQNXTDZ($A$1,$B107,S$1,$B$1)</f>
        <v>327</v>
      </c>
      <c r="T107" s="54">
        <f>_xll.EQNXTDZ($A$1,$B107,T$1,$B$1)</f>
        <v>387</v>
      </c>
      <c r="U107" s="54">
        <f>_xll.EQNXTDZ($A$1,$B107,U$1,$B$1)</f>
        <v>373.05</v>
      </c>
      <c r="V107" s="54">
        <f>_xll.EQNXTDZ($A$1,$B107,V$1,$B$1)</f>
        <v>289.8</v>
      </c>
      <c r="W107" s="54">
        <f>_xll.EQNXTDZ($A$1,$B107,W$1,$B$1)</f>
        <v>336</v>
      </c>
      <c r="X107" s="54">
        <f>_xll.EQNXTDZ($A$1,$B107,X$1,$B$1)</f>
        <v>352.45</v>
      </c>
      <c r="Y107" s="54">
        <f>_xll.EQNXTDZ($A$1,$B107,Y$1,$B$1)</f>
        <v>236.95</v>
      </c>
      <c r="Z107" s="54">
        <f>_xll.EQNXTDZ($A$1,$B107,Z$1,$B$1)</f>
        <v>323.39999999999998</v>
      </c>
      <c r="AA107" s="54">
        <f>_xll.EQNXTDZ($A$1,$B107,AA$1,$B$1)</f>
        <v>451.5</v>
      </c>
      <c r="AB107" s="54">
        <f>_xll.EQNXTDZ($A$1,$B107,AB$1,$B$1)</f>
        <v>284.89999999999998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10.46</v>
      </c>
      <c r="F108" s="54">
        <f>_xll.EQNXTDZ($A$1,$B108,F$1,$B$1)</f>
        <v>21</v>
      </c>
      <c r="G108" s="54">
        <f>_xll.EQNXTDZ($A$1,$B108,G$1,$B$1)</f>
        <v>31.45</v>
      </c>
      <c r="H108" s="54">
        <f>_xll.EQNXTDZ($A$1,$B108,H$1,$B$1)</f>
        <v>40.5</v>
      </c>
      <c r="I108" s="54">
        <f>_xll.EQNXTDZ($A$1,$B108,I$1,$B$1)</f>
        <v>48</v>
      </c>
      <c r="J108" s="54">
        <f>_xll.EQNXTDZ($A$1,$B108,J$1,$B$1)</f>
        <v>45.25</v>
      </c>
      <c r="K108" s="54">
        <f>_xll.EQNXTDZ($A$1,$B108,K$1,$B$1)</f>
        <v>23</v>
      </c>
      <c r="L108" s="54">
        <f>_xll.EQNXTDZ($A$1,$B108,L$1,$B$1)</f>
        <v>27.15</v>
      </c>
      <c r="M108" s="54">
        <f>_xll.EQNXTDZ($A$1,$B108,M$1,$B$1)</f>
        <v>50</v>
      </c>
      <c r="N108" s="54">
        <f>_xll.EQNXTDZ($A$1,$B108,N$1,$B$1)</f>
        <v>50.35</v>
      </c>
      <c r="O108" s="54">
        <f>_xll.EQNXTDZ($A$1,$B108,O$1,$B$1)</f>
        <v>58</v>
      </c>
      <c r="P108" s="54">
        <f>_xll.EQNXTDZ($A$1,$B108,P$1,$B$1)</f>
        <v>56.5</v>
      </c>
      <c r="Q108" s="54">
        <f>_xll.EQNXTDZ($A$1,$B108,Q$1,$B$1)</f>
        <v>68.5</v>
      </c>
      <c r="R108" s="54">
        <f>_xll.EQNXTDZ($A$1,$B108,R$1,$B$1)</f>
        <v>175.1</v>
      </c>
      <c r="S108" s="54">
        <f>_xll.EQNXTDZ($A$1,$B108,S$1,$B$1)</f>
        <v>176.9</v>
      </c>
      <c r="T108" s="54">
        <f>_xll.EQNXTDZ($A$1,$B108,T$1,$B$1)</f>
        <v>201</v>
      </c>
      <c r="U108" s="54">
        <f>_xll.EQNXTDZ($A$1,$B108,U$1,$B$1)</f>
        <v>186</v>
      </c>
      <c r="V108" s="54">
        <f>_xll.EQNXTDZ($A$1,$B108,V$1,$B$1)</f>
        <v>155</v>
      </c>
      <c r="W108" s="54">
        <f>_xll.EQNXTDZ($A$1,$B108,W$1,$B$1)</f>
        <v>165</v>
      </c>
      <c r="X108" s="54">
        <f>_xll.EQNXTDZ($A$1,$B108,X$1,$B$1)</f>
        <v>205.1</v>
      </c>
      <c r="Y108" s="54">
        <f>_xll.EQNXTDZ($A$1,$B108,Y$1,$B$1)</f>
        <v>148</v>
      </c>
      <c r="Z108" s="54">
        <f>_xll.EQNXTDZ($A$1,$B108,Z$1,$B$1)</f>
        <v>186</v>
      </c>
      <c r="AA108" s="54">
        <f>_xll.EQNXTDZ($A$1,$B108,AA$1,$B$1)</f>
        <v>259.8</v>
      </c>
      <c r="AB108" s="54">
        <f>_xll.EQNXTDZ($A$1,$B108,AB$1,$B$1)</f>
        <v>170.4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169.25489999999999</v>
      </c>
      <c r="F109" s="54">
        <f>_xll.EQNXTDZ($A$1,$B109,F$1,$B$1)</f>
        <v>247.30021500000001</v>
      </c>
      <c r="G109" s="54">
        <f>_xll.EQNXTDZ($A$1,$B109,G$1,$B$1)</f>
        <v>271.99889300000001</v>
      </c>
      <c r="H109" s="54">
        <f>_xll.EQNXTDZ($A$1,$B109,H$1,$B$1)</f>
        <v>379.31903699999998</v>
      </c>
      <c r="I109" s="54">
        <f>_xll.EQNXTDZ($A$1,$B109,I$1,$B$1)</f>
        <v>462.00319000000002</v>
      </c>
      <c r="J109" s="54">
        <f>_xll.EQNXTDZ($A$1,$B109,J$1,$B$1)</f>
        <v>458.86883999999998</v>
      </c>
      <c r="K109" s="54">
        <f>_xll.EQNXTDZ($A$1,$B109,K$1,$B$1)</f>
        <v>196.83717999999999</v>
      </c>
      <c r="L109" s="54">
        <f>_xll.EQNXTDZ($A$1,$B109,L$1,$B$1)</f>
        <v>378.31604499999997</v>
      </c>
      <c r="M109" s="54">
        <f>_xll.EQNXTDZ($A$1,$B109,M$1,$B$1)</f>
        <v>355.43529000000001</v>
      </c>
      <c r="N109" s="54">
        <f>_xll.EQNXTDZ($A$1,$B109,N$1,$B$1)</f>
        <v>375.18169499999999</v>
      </c>
      <c r="O109" s="54">
        <f>_xll.EQNXTDZ($A$1,$B109,O$1,$B$1)</f>
        <v>453.54044499999998</v>
      </c>
      <c r="P109" s="54">
        <f>_xll.EQNXTDZ($A$1,$B109,P$1,$B$1)</f>
        <v>467.64501999999999</v>
      </c>
      <c r="Q109" s="54">
        <f>_xll.EQNXTDZ($A$1,$B109,Q$1,$B$1)</f>
        <v>1313.9058399999999</v>
      </c>
      <c r="R109" s="54">
        <f>_xll.EQNXTDZ($A$1,$B109,R$1,$B$1)</f>
        <v>1742.9066399999999</v>
      </c>
      <c r="S109" s="54">
        <f>_xll.EQNXTDZ($A$1,$B109,S$1,$B$1)</f>
        <v>1759.6304</v>
      </c>
      <c r="T109" s="54">
        <f>_xll.EQNXTDZ($A$1,$B109,T$1,$B$1)</f>
        <v>2670.8355299999998</v>
      </c>
      <c r="U109" s="54">
        <f>_xll.EQNXTDZ($A$1,$B109,U$1,$B$1)</f>
        <v>1465.1268</v>
      </c>
      <c r="V109" s="54">
        <f>_xll.EQNXTDZ($A$1,$B109,V$1,$B$1)</f>
        <v>1860.67335</v>
      </c>
      <c r="W109" s="54">
        <f>_xll.EQNXTDZ($A$1,$B109,W$1,$B$1)</f>
        <v>2361.5367000000001</v>
      </c>
      <c r="X109" s="54">
        <f>_xll.EQNXTDZ($A$1,$B109,X$1,$B$1)</f>
        <v>1720.9150999999999</v>
      </c>
      <c r="Y109" s="54">
        <f>_xll.EQNXTDZ($A$1,$B109,Y$1,$B$1)</f>
        <v>1502.212325</v>
      </c>
      <c r="Z109" s="54">
        <f>_xll.EQNXTDZ($A$1,$B109,Z$1,$B$1)</f>
        <v>2165.1197000000002</v>
      </c>
      <c r="AA109" s="54">
        <f>_xll.EQNXTDZ($A$1,$B109,AA$1,$B$1)</f>
        <v>2057.8458000000001</v>
      </c>
      <c r="AB109" s="54">
        <f>_xll.EQNXTDZ($A$1,$B109,AB$1,$B$1)</f>
        <v>1598.9099249999999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1</v>
      </c>
      <c r="F110" s="54">
        <f>_xll.EQNXTDZ($A$1,$B110,F$1,$B$1)</f>
        <v>3</v>
      </c>
      <c r="G110" s="54">
        <f>_xll.EQNXTDZ($A$1,$B110,G$1,$B$1)</f>
        <v>1.2</v>
      </c>
      <c r="H110" s="54">
        <f>_xll.EQNXTDZ($A$1,$B110,H$1,$B$1)</f>
        <v>1.4</v>
      </c>
      <c r="I110" s="54">
        <f>_xll.EQNXTDZ($A$1,$B110,I$1,$B$1)</f>
        <v>1.8</v>
      </c>
      <c r="J110" s="54">
        <f>_xll.EQNXTDZ($A$1,$B110,J$1,$B$1)</f>
        <v>1.8</v>
      </c>
      <c r="K110" s="54">
        <f>_xll.EQNXTDZ($A$1,$B110,K$1,$B$1)</f>
        <v>1.8</v>
      </c>
      <c r="L110" s="54">
        <f>_xll.EQNXTDZ($A$1,$B110,L$1,$B$1)</f>
        <v>3</v>
      </c>
      <c r="M110" s="54">
        <f>_xll.EQNXTDZ($A$1,$B110,M$1,$B$1)</f>
        <v>2.2000000000000002</v>
      </c>
      <c r="N110" s="54">
        <f>_xll.EQNXTDZ($A$1,$B110,N$1,$B$1)</f>
        <v>2.4</v>
      </c>
      <c r="O110" s="54">
        <f>_xll.EQNXTDZ($A$1,$B110,O$1,$B$1)</f>
        <v>2.6</v>
      </c>
      <c r="P110" s="54">
        <f>_xll.EQNXTDZ($A$1,$B110,P$1,$B$1)</f>
        <v>2.8</v>
      </c>
      <c r="Q110" s="54">
        <f>_xll.EQNXTDZ($A$1,$B110,Q$1,$B$1)</f>
        <v>2.8</v>
      </c>
      <c r="R110" s="54">
        <f>_xll.EQNXTDZ($A$1,$B110,R$1,$B$1)</f>
        <v>2.8</v>
      </c>
      <c r="S110" s="54">
        <f>_xll.EQNXTDZ($A$1,$B110,S$1,$B$1)</f>
        <v>3</v>
      </c>
      <c r="T110" s="54">
        <f>_xll.EQNXTDZ($A$1,$B110,T$1,$B$1)</f>
        <v>3</v>
      </c>
      <c r="U110" s="54">
        <f>_xll.EQNXTDZ($A$1,$B110,U$1,$B$1)</f>
        <v>3</v>
      </c>
      <c r="V110" s="54">
        <f>_xll.EQNXTDZ($A$1,$B110,V$1,$B$1)</f>
        <v>5</v>
      </c>
      <c r="W110" s="54">
        <f>_xll.EQNXTDZ($A$1,$B110,W$1,$B$1)</f>
        <v>3</v>
      </c>
      <c r="X110" s="54">
        <f>_xll.EQNXTDZ($A$1,$B110,X$1,$B$1)</f>
        <v>1</v>
      </c>
      <c r="Y110" s="54">
        <f>_xll.EQNXTDZ($A$1,$B110,Y$1,$B$1)</f>
        <v>2</v>
      </c>
      <c r="Z110" s="54">
        <f>_xll.EQNXTDZ($A$1,$B110,Z$1,$B$1)</f>
        <v>5</v>
      </c>
      <c r="AA110" s="54">
        <f>_xll.EQNXTDZ($A$1,$B110,AA$1,$B$1)</f>
        <v>2</v>
      </c>
      <c r="AB110" s="54">
        <f>_xll.EQNXTDZ($A$1,$B110,AB$1,$B$1)</f>
        <v>2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200212</v>
      </c>
      <c r="F111" s="55">
        <f>_xll.EQNXTDZ($A$1,$B111,F$5)</f>
        <v>200312</v>
      </c>
      <c r="G111" s="55">
        <f>_xll.EQNXTDZ($A$1,$B111,G$5)</f>
        <v>200412</v>
      </c>
      <c r="H111" s="55">
        <f>_xll.EQNXTDZ($A$1,$B111,H$5)</f>
        <v>200512</v>
      </c>
      <c r="I111" s="55">
        <f>_xll.EQNXTDZ($A$1,$B111,I$5)</f>
        <v>200612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65.7</v>
      </c>
      <c r="F112" s="55">
        <f>_xll.EQNXTDZ($A$1,$B112,F$5)</f>
        <v>65.16</v>
      </c>
      <c r="G112" s="55">
        <f>_xll.EQNXTDZ($A$1,$B112,G$5)</f>
        <v>63.73</v>
      </c>
      <c r="H112" s="55">
        <f>_xll.EQNXTDZ($A$1,$B112,H$5)</f>
        <v>63.73</v>
      </c>
      <c r="I112" s="55">
        <f>_xll.EQNXTDZ($A$1,$B112,I$5)</f>
        <v>63.73</v>
      </c>
      <c r="J112" s="55">
        <f>_xll.EQNXTDZ($A$1,$B112,J$5)</f>
        <v>63.73</v>
      </c>
      <c r="K112" s="55">
        <f>_xll.EQNXTDZ($A$1,$B112,K$5)</f>
        <v>63.73</v>
      </c>
      <c r="L112" s="55">
        <f>_xll.EQNXTDZ($A$1,$B112,L$5)</f>
        <v>63.88</v>
      </c>
      <c r="M112" s="55">
        <f>_xll.EQNXTDZ($A$1,$B112,M$5)</f>
        <v>63.88</v>
      </c>
      <c r="N112" s="55">
        <f>_xll.EQNXTDZ($A$1,$B112,N$5)</f>
        <v>63.7</v>
      </c>
      <c r="O112" s="55">
        <f>_xll.EQNXTDZ($A$1,$B112,O$5)</f>
        <v>63.7</v>
      </c>
      <c r="P112" s="55">
        <f>_xll.EQNXTDZ($A$1,$B112,P$5)</f>
        <v>63.78</v>
      </c>
      <c r="Q112" s="55">
        <f>_xll.EQNXTDZ($A$1,$B112,Q$5)</f>
        <v>68.77</v>
      </c>
      <c r="R112" s="55">
        <f>_xll.EQNXTDZ($A$1,$B112,R$5)</f>
        <v>68.77</v>
      </c>
      <c r="S112" s="55">
        <f>_xll.EQNXTDZ($A$1,$B112,S$5)</f>
        <v>68.77</v>
      </c>
      <c r="T112" s="55">
        <f>_xll.EQNXTDZ($A$1,$B112,T$5)</f>
        <v>66.209999999999994</v>
      </c>
      <c r="U112" s="55">
        <f>_xll.EQNXTDZ($A$1,$B112,U$5)</f>
        <v>66.94</v>
      </c>
      <c r="V112" s="55">
        <f>_xll.EQNXTDZ($A$1,$B112,V$5)</f>
        <v>66.94</v>
      </c>
      <c r="W112" s="55">
        <f>_xll.EQNXTDZ($A$1,$B112,W$5)</f>
        <v>66.94</v>
      </c>
      <c r="X112" s="55">
        <f>_xll.EQNXTDZ($A$1,$B112,X$5)</f>
        <v>67.73</v>
      </c>
      <c r="Y112" s="55">
        <f>_xll.EQNXTDZ($A$1,$B112,Y$5)</f>
        <v>67.73</v>
      </c>
      <c r="Z112" s="55">
        <f>_xll.EQNXTDZ($A$1,$B112,Z$5)</f>
        <v>67.73</v>
      </c>
      <c r="AA112" s="55">
        <f>_xll.EQNXTDZ($A$1,$B112,AA$5)</f>
        <v>67.73</v>
      </c>
      <c r="AB112" s="55">
        <f>_xll.EQNXTDZ($A$1,$B112,AB$5)</f>
        <v>67.73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109820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59</v>
      </c>
      <c r="D6" cm="1">
        <f t="array" ref="D6">_xll.EQNXTDZ($A$1,$B6,D$1)</f>
        <v>71</v>
      </c>
      <c r="E6" cm="1">
        <f t="array" ref="E6">_xll.EQNXTDZ($A$1,$B6,E$1)</f>
        <v>64.5</v>
      </c>
      <c r="F6" cm="1">
        <f t="array" ref="F6">_xll.EQNXTDZ($A$1,$B6,F$1)</f>
        <v>70.150000000000006</v>
      </c>
      <c r="G6" cm="1">
        <f t="array" ref="G6">_xll.EQNXTDZ($A$1,$B6,G$1)</f>
        <v>71.349999999999994</v>
      </c>
      <c r="H6" cm="1">
        <f t="array" ref="H6">_xll.EQNXTDZ($A$1,$B6,H$1)</f>
        <v>69</v>
      </c>
      <c r="I6" cm="1">
        <f t="array" ref="I6">_xll.EQNXTDZ($A$1,$B6,I$1)</f>
        <v>67.7</v>
      </c>
      <c r="J6" cm="1">
        <f t="array" ref="J6">_xll.EQNXTDZ($A$1,$B6,J$1)</f>
        <v>72.900000000000006</v>
      </c>
      <c r="K6" cm="1">
        <f t="array" ref="K6">_xll.EQNXTDZ($A$1,$B6,K$1)</f>
        <v>71</v>
      </c>
      <c r="L6" cm="1">
        <f t="array" ref="L6">_xll.EQNXTDZ($A$1,$B6,L$1)</f>
        <v>64</v>
      </c>
      <c r="M6" cm="1">
        <f t="array" ref="M6">_xll.EQNXTDZ($A$1,$B6,M$1)</f>
        <v>63</v>
      </c>
      <c r="N6" cm="1">
        <f t="array" ref="N6">_xll.EQNXTDZ($A$1,$B6,N$1)</f>
        <v>62.65</v>
      </c>
      <c r="O6" cm="1">
        <f t="array" ref="O6">_xll.EQNXTDZ($A$1,$B6,O$1)</f>
        <v>67.05</v>
      </c>
      <c r="P6" cm="1">
        <f t="array" ref="P6">_xll.EQNXTDZ($A$1,$B6,P$1)</f>
        <v>63.2</v>
      </c>
      <c r="Q6" cm="1">
        <f t="array" ref="Q6">_xll.EQNXTDZ($A$1,$B6,Q$1)</f>
        <v>61.55</v>
      </c>
      <c r="R6" cm="1">
        <f t="array" ref="R6">_xll.EQNXTDZ($A$1,$B6,R$1)</f>
        <v>60</v>
      </c>
      <c r="S6" cm="1">
        <f t="array" ref="S6">_xll.EQNXTDZ($A$1,$B6,S$1)</f>
        <v>60.45</v>
      </c>
      <c r="T6" cm="1">
        <f t="array" ref="T6">_xll.EQNXTDZ($A$1,$B6,T$1)</f>
        <v>63</v>
      </c>
      <c r="U6" cm="1">
        <f t="array" ref="U6">_xll.EQNXTDZ($A$1,$B6,U$1)</f>
        <v>65</v>
      </c>
      <c r="V6" cm="1">
        <f t="array" ref="V6">_xll.EQNXTDZ($A$1,$B6,V$1)</f>
        <v>75.95</v>
      </c>
      <c r="W6" cm="1">
        <f t="array" ref="W6">_xll.EQNXTDZ($A$1,$B6,W$1)</f>
        <v>73.900000000000006</v>
      </c>
      <c r="X6" cm="1">
        <f t="array" ref="X6">_xll.EQNXTDZ($A$1,$B6,X$1)</f>
        <v>87.9</v>
      </c>
      <c r="Y6" cm="1">
        <f t="array" ref="Y6">_xll.EQNXTDZ($A$1,$B6,Y$1)</f>
        <v>89.95</v>
      </c>
      <c r="Z6" cm="1">
        <f t="array" ref="Z6">_xll.EQNXTDZ($A$1,$B6,Z$1)</f>
        <v>100.05</v>
      </c>
      <c r="AA6" cm="1">
        <f t="array" ref="AA6">_xll.EQNXTDZ($A$1,$B6,AA$1)</f>
        <v>115.4</v>
      </c>
      <c r="AB6" cm="1">
        <f t="array" ref="AB6">_xll.EQNXTDZ($A$1,$B6,AB$1)</f>
        <v>134.6</v>
      </c>
      <c r="AC6" cm="1">
        <f t="array" ref="AC6">_xll.EQNXTDZ($A$1,$B6,AC$1)</f>
        <v>162.25</v>
      </c>
      <c r="AD6" cm="1">
        <f t="array" ref="AD6">_xll.EQNXTDZ($A$1,$B6,AD$1)</f>
        <v>167.5</v>
      </c>
      <c r="AE6" cm="1">
        <f t="array" ref="AE6">_xll.EQNXTDZ($A$1,$B6,AE$1)</f>
        <v>190.25</v>
      </c>
      <c r="AF6" cm="1">
        <f t="array" ref="AF6">_xll.EQNXTDZ($A$1,$B6,AF$1)</f>
        <v>176.4</v>
      </c>
      <c r="AG6" cm="1">
        <f t="array" ref="AG6">_xll.EQNXTDZ($A$1,$B6,AG$1)</f>
        <v>176.1</v>
      </c>
      <c r="AH6" cm="1">
        <f t="array" ref="AH6">_xll.EQNXTDZ($A$1,$B6,AH$1)</f>
        <v>181.55</v>
      </c>
      <c r="AI6" cm="1">
        <f t="array" ref="AI6">_xll.EQNXTDZ($A$1,$B6,AI$1)</f>
        <v>202</v>
      </c>
      <c r="AJ6" cm="1">
        <f t="array" ref="AJ6">_xll.EQNXTDZ($A$1,$B6,AJ$1)</f>
        <v>216</v>
      </c>
      <c r="AK6" cm="1">
        <f t="array" ref="AK6">_xll.EQNXTDZ($A$1,$B6,AK$1)</f>
        <v>231.15</v>
      </c>
      <c r="AL6" cm="1">
        <f t="array" ref="AL6">_xll.EQNXTDZ($A$1,$B6,AL$1)</f>
        <v>223.3</v>
      </c>
      <c r="AM6" cm="1">
        <f t="array" ref="AM6">_xll.EQNXTDZ($A$1,$B6,AM$1)</f>
        <v>234</v>
      </c>
      <c r="AN6" cm="1">
        <f t="array" ref="AN6">_xll.EQNXTDZ($A$1,$B6,AN$1)</f>
        <v>235.55</v>
      </c>
      <c r="AO6" cm="1">
        <f t="array" ref="AO6">_xll.EQNXTDZ($A$1,$B6,AO$1)</f>
        <v>305</v>
      </c>
      <c r="AP6" cm="1">
        <f t="array" ref="AP6">_xll.EQNXTDZ($A$1,$B6,AP$1)</f>
        <v>280</v>
      </c>
      <c r="AQ6" cm="1">
        <f t="array" ref="AQ6">_xll.EQNXTDZ($A$1,$B6,AQ$1)</f>
        <v>281.75</v>
      </c>
      <c r="AR6" cm="1">
        <f t="array" ref="AR6">_xll.EQNXTDZ($A$1,$B6,AR$1)</f>
        <v>269.05</v>
      </c>
      <c r="AS6" cm="1">
        <f t="array" ref="AS6">_xll.EQNXTDZ($A$1,$B6,AS$1)</f>
        <v>242.7</v>
      </c>
      <c r="AT6" cm="1">
        <f t="array" ref="AT6">_xll.EQNXTDZ($A$1,$B6,AT$1)</f>
        <v>241.45</v>
      </c>
      <c r="AU6" cm="1">
        <f t="array" ref="AU6">_xll.EQNXTDZ($A$1,$B6,AU$1)</f>
        <v>224.95</v>
      </c>
      <c r="AV6" cm="1">
        <f t="array" ref="AV6">_xll.EQNXTDZ($A$1,$B6,AV$1)</f>
        <v>202.45</v>
      </c>
      <c r="AW6" cm="1">
        <f t="array" ref="AW6">_xll.EQNXTDZ($A$1,$B6,AW$1)</f>
        <v>213.85</v>
      </c>
      <c r="AX6" cm="1">
        <f t="array" ref="AX6">_xll.EQNXTDZ($A$1,$B6,AX$1)</f>
        <v>226.5</v>
      </c>
      <c r="AY6" cm="1">
        <f t="array" ref="AY6">_xll.EQNXTDZ($A$1,$B6,AY$1)</f>
        <v>266</v>
      </c>
      <c r="AZ6" cm="1">
        <f t="array" ref="AZ6">_xll.EQNXTDZ($A$1,$B6,AZ$1)</f>
        <v>301</v>
      </c>
      <c r="BA6" cm="1">
        <f t="array" ref="BA6">_xll.EQNXTDZ($A$1,$B6,BA$1)</f>
        <v>320</v>
      </c>
      <c r="BB6" cm="1">
        <f t="array" ref="BB6">_xll.EQNXTDZ($A$1,$B6,BB$1)</f>
        <v>281.64999999999998</v>
      </c>
      <c r="BC6" cm="1">
        <f t="array" ref="BC6">_xll.EQNXTDZ($A$1,$B6,BC$1)</f>
        <v>259.14999999999998</v>
      </c>
      <c r="BD6" cm="1">
        <f t="array" ref="BD6">_xll.EQNXTDZ($A$1,$B6,BD$1)</f>
        <v>291.2</v>
      </c>
      <c r="BE6" cm="1">
        <f t="array" ref="BE6">_xll.EQNXTDZ($A$1,$B6,BE$1)</f>
        <v>261.14999999999998</v>
      </c>
      <c r="BF6" cm="1">
        <f t="array" ref="BF6">_xll.EQNXTDZ($A$1,$B6,BF$1)</f>
        <v>242</v>
      </c>
      <c r="BG6" cm="1">
        <f t="array" ref="BG6">_xll.EQNXTDZ($A$1,$B6,BG$1)</f>
        <v>243</v>
      </c>
      <c r="BH6" cm="1">
        <f t="array" ref="BH6">_xll.EQNXTDZ($A$1,$B6,BH$1)</f>
        <v>238</v>
      </c>
      <c r="BI6" cm="1">
        <f t="array" ref="BI6">_xll.EQNXTDZ($A$1,$B6,BI$1)</f>
        <v>242.35</v>
      </c>
      <c r="BJ6" cm="1">
        <f t="array" ref="BJ6">_xll.EQNXTDZ($A$1,$B6,BJ$1)</f>
        <v>267.5</v>
      </c>
      <c r="BK6" cm="1">
        <f t="array" ref="BK6">_xll.EQNXTDZ($A$1,$B6,BK$1)</f>
        <v>235</v>
      </c>
      <c r="BL6" cm="1">
        <f t="array" ref="BL6">_xll.EQNXTDZ($A$1,$B6,BL$1)</f>
        <v>261</v>
      </c>
      <c r="BM6" cm="1">
        <f t="array" ref="BM6">_xll.EQNXTDZ($A$1,$B6,BM$1)</f>
        <v>254.85</v>
      </c>
      <c r="BN6" cm="1">
        <f t="array" ref="BN6">_xll.EQNXTDZ($A$1,$B6,BN$1)</f>
        <v>221</v>
      </c>
      <c r="BO6" cm="1">
        <f t="array" ref="BO6">_xll.EQNXTDZ($A$1,$B6,BO$1)</f>
        <v>224.9</v>
      </c>
      <c r="BP6" cm="1">
        <f t="array" ref="BP6">_xll.EQNXTDZ($A$1,$B6,BP$1)</f>
        <v>259.75</v>
      </c>
      <c r="BQ6" cm="1">
        <f t="array" ref="BQ6">_xll.EQNXTDZ($A$1,$B6,BQ$1)</f>
        <v>304</v>
      </c>
      <c r="BR6" cm="1">
        <f t="array" ref="BR6">_xll.EQNXTDZ($A$1,$B6,BR$1)</f>
        <v>355.55</v>
      </c>
      <c r="BS6" cm="1">
        <f t="array" ref="BS6">_xll.EQNXTDZ($A$1,$B6,BS$1)</f>
        <v>323.14999999999998</v>
      </c>
      <c r="BT6" cm="1">
        <f t="array" ref="BT6">_xll.EQNXTDZ($A$1,$B6,BT$1)</f>
        <v>310</v>
      </c>
      <c r="BU6" cm="1">
        <f t="array" ref="BU6">_xll.EQNXTDZ($A$1,$B6,BU$1)</f>
        <v>324.45</v>
      </c>
      <c r="BV6" cm="1">
        <f t="array" ref="BV6">_xll.EQNXTDZ($A$1,$B6,BV$1)</f>
        <v>357</v>
      </c>
      <c r="BW6" cm="1">
        <f t="array" ref="BW6">_xll.EQNXTDZ($A$1,$B6,BW$1)</f>
        <v>306.7</v>
      </c>
      <c r="BX6" cm="1">
        <f t="array" ref="BX6">_xll.EQNXTDZ($A$1,$B6,BX$1)</f>
        <v>277.5</v>
      </c>
      <c r="BY6" cm="1">
        <f t="array" ref="BY6">_xll.EQNXTDZ($A$1,$B6,BY$1)</f>
        <v>285</v>
      </c>
      <c r="BZ6" cm="1">
        <f t="array" ref="BZ6">_xll.EQNXTDZ($A$1,$B6,BZ$1)</f>
        <v>270.95</v>
      </c>
      <c r="CA6" cm="1">
        <f t="array" ref="CA6">_xll.EQNXTDZ($A$1,$B6,CA$1)</f>
        <v>240.45</v>
      </c>
      <c r="CB6" cm="1">
        <f t="array" ref="CB6">_xll.EQNXTDZ($A$1,$B6,CB$1)</f>
        <v>215</v>
      </c>
      <c r="CC6" cm="1">
        <f t="array" ref="CC6">_xll.EQNXTDZ($A$1,$B6,CC$1)</f>
        <v>208.9</v>
      </c>
      <c r="CD6" cm="1">
        <f t="array" ref="CD6">_xll.EQNXTDZ($A$1,$B6,CD$1)</f>
        <v>195.7</v>
      </c>
      <c r="CE6" cm="1">
        <f t="array" ref="CE6">_xll.EQNXTDZ($A$1,$B6,CE$1)</f>
        <v>173.95</v>
      </c>
      <c r="CF6" cm="1">
        <f t="array" ref="CF6">_xll.EQNXTDZ($A$1,$B6,CF$1)</f>
        <v>191.45</v>
      </c>
      <c r="CG6" cm="1">
        <f t="array" ref="CG6">_xll.EQNXTDZ($A$1,$B6,CG$1)</f>
        <v>198.2</v>
      </c>
      <c r="CH6" cm="1">
        <f t="array" ref="CH6">_xll.EQNXTDZ($A$1,$B6,CH$1)</f>
        <v>223</v>
      </c>
      <c r="CI6" cm="1">
        <f t="array" ref="CI6">_xll.EQNXTDZ($A$1,$B6,CI$1)</f>
        <v>257</v>
      </c>
      <c r="CJ6" cm="1">
        <f t="array" ref="CJ6">_xll.EQNXTDZ($A$1,$B6,CJ$1)</f>
        <v>260</v>
      </c>
      <c r="CK6" cm="1">
        <f t="array" ref="CK6">_xll.EQNXTDZ($A$1,$B6,CK$1)</f>
        <v>223.1</v>
      </c>
      <c r="CL6" cm="1">
        <f t="array" ref="CL6">_xll.EQNXTDZ($A$1,$B6,CL$1)</f>
        <v>212.4</v>
      </c>
      <c r="CM6" cm="1">
        <f t="array" ref="CM6">_xll.EQNXTDZ($A$1,$B6,CM$1)</f>
        <v>244.1</v>
      </c>
      <c r="CN6" cm="1">
        <f t="array" ref="CN6">_xll.EQNXTDZ($A$1,$B6,CN$1)</f>
        <v>257.95</v>
      </c>
      <c r="CO6" cm="1">
        <f t="array" ref="CO6">_xll.EQNXTDZ($A$1,$B6,CO$1)</f>
        <v>255</v>
      </c>
      <c r="CP6" cm="1">
        <f t="array" ref="CP6">_xll.EQNXTDZ($A$1,$B6,CP$1)</f>
        <v>247.35</v>
      </c>
      <c r="CQ6" cm="1">
        <f t="array" ref="CQ6">_xll.EQNXTDZ($A$1,$B6,CQ$1)</f>
        <v>250</v>
      </c>
      <c r="CR6" cm="1">
        <f t="array" ref="CR6">_xll.EQNXTDZ($A$1,$B6,CR$1)</f>
        <v>276</v>
      </c>
      <c r="CS6" cm="1">
        <f t="array" ref="CS6">_xll.EQNXTDZ($A$1,$B6,CS$1)</f>
        <v>201</v>
      </c>
      <c r="CT6" cm="1">
        <f t="array" ref="CT6">_xll.EQNXTDZ($A$1,$B6,CT$1)</f>
        <v>205</v>
      </c>
      <c r="CU6" cm="1">
        <f t="array" ref="CU6">_xll.EQNXTDZ($A$1,$B6,CU$1)</f>
        <v>201</v>
      </c>
      <c r="CV6" cm="1">
        <f t="array" ref="CV6">_xll.EQNXTDZ($A$1,$B6,CV$1)</f>
        <v>201</v>
      </c>
      <c r="CW6" cm="1">
        <f t="array" ref="CW6">_xll.EQNXTDZ($A$1,$B6,CW$1)</f>
        <v>244.9</v>
      </c>
      <c r="CX6" cm="1">
        <f t="array" ref="CX6">_xll.EQNXTDZ($A$1,$B6,CX$1)</f>
        <v>256</v>
      </c>
      <c r="CY6" cm="1">
        <f t="array" ref="CY6">_xll.EQNXTDZ($A$1,$B6,CY$1)</f>
        <v>315.39999999999998</v>
      </c>
      <c r="CZ6" cm="1">
        <f t="array" ref="CZ6">_xll.EQNXTDZ($A$1,$B6,CZ$1)</f>
        <v>281.55</v>
      </c>
      <c r="DA6" cm="1">
        <f t="array" ref="DA6">_xll.EQNXTDZ($A$1,$B6,DA$1)</f>
        <v>306</v>
      </c>
      <c r="DB6" cm="1">
        <f t="array" ref="DB6">_xll.EQNXTDZ($A$1,$B6,DB$1)</f>
        <v>315.05</v>
      </c>
      <c r="DC6" cm="1">
        <f t="array" ref="DC6">_xll.EQNXTDZ($A$1,$B6,DC$1)</f>
        <v>302</v>
      </c>
      <c r="DD6" cm="1">
        <f t="array" ref="DD6">_xll.EQNXTDZ($A$1,$B6,DD$1)</f>
        <v>289.5</v>
      </c>
      <c r="DE6" cm="1">
        <f t="array" ref="DE6">_xll.EQNXTDZ($A$1,$B6,DE$1)</f>
        <v>282.5</v>
      </c>
      <c r="DF6" cm="1">
        <f t="array" ref="DF6">_xll.EQNXTDZ($A$1,$B6,DF$1)</f>
        <v>272</v>
      </c>
      <c r="DG6" cm="1">
        <f t="array" ref="DG6">_xll.EQNXTDZ($A$1,$B6,DG$1)</f>
        <v>278</v>
      </c>
      <c r="DH6" cm="1">
        <f t="array" ref="DH6">_xll.EQNXTDZ($A$1,$B6,DH$1)</f>
        <v>295.55</v>
      </c>
      <c r="DI6" cm="1">
        <f t="array" ref="DI6">_xll.EQNXTDZ($A$1,$B6,DI$1)</f>
        <v>302</v>
      </c>
      <c r="DJ6" cm="1">
        <f t="array" ref="DJ6">_xll.EQNXTDZ($A$1,$B6,DJ$1)</f>
        <v>268.95</v>
      </c>
      <c r="DK6" cm="1">
        <f t="array" ref="DK6">_xll.EQNXTDZ($A$1,$B6,DK$1)</f>
        <v>265.3</v>
      </c>
      <c r="DL6" cm="1">
        <f t="array" ref="DL6">_xll.EQNXTDZ($A$1,$B6,DL$1)</f>
        <v>243.95</v>
      </c>
      <c r="DM6" cm="1">
        <f t="array" ref="DM6">_xll.EQNXTDZ($A$1,$B6,DM$1)</f>
        <v>227</v>
      </c>
      <c r="DN6" cm="1">
        <f t="array" ref="DN6">_xll.EQNXTDZ($A$1,$B6,DN$1)</f>
        <v>229.9</v>
      </c>
      <c r="DO6" cm="1">
        <f t="array" ref="DO6">_xll.EQNXTDZ($A$1,$B6,DO$1)</f>
        <v>203.6</v>
      </c>
      <c r="DP6" cm="1">
        <f t="array" ref="DP6">_xll.EQNXTDZ($A$1,$B6,DP$1)</f>
        <v>163</v>
      </c>
      <c r="DQ6" cm="1">
        <f t="array" ref="DQ6">_xll.EQNXTDZ($A$1,$B6,DQ$1)</f>
        <v>150.80000000000001</v>
      </c>
      <c r="DR6" cm="1">
        <f t="array" ref="DR6">_xll.EQNXTDZ($A$1,$B6,DR$1)</f>
        <v>197.75</v>
      </c>
      <c r="DS6" cm="1">
        <f t="array" ref="DS6">_xll.EQNXTDZ($A$1,$B6,DS$1)</f>
        <v>170</v>
      </c>
      <c r="DT6" cm="1">
        <f t="array" ref="DT6">_xll.EQNXTDZ($A$1,$B6,DT$1)</f>
        <v>166.65</v>
      </c>
      <c r="DU6" cm="1">
        <f t="array" ref="DU6">_xll.EQNXTDZ($A$1,$B6,DU$1)</f>
        <v>194.1</v>
      </c>
      <c r="DV6" cm="1">
        <f t="array" ref="DV6">_xll.EQNXTDZ($A$1,$B6,DV$1)</f>
        <v>188</v>
      </c>
      <c r="DW6" cm="1">
        <f t="array" ref="DW6">_xll.EQNXTDZ($A$1,$B6,DW$1)</f>
        <v>217.95</v>
      </c>
      <c r="DX6" cm="1">
        <f t="array" ref="DX6">_xll.EQNXTDZ($A$1,$B6,DX$1)</f>
        <v>216.4</v>
      </c>
      <c r="DY6" cm="1">
        <f t="array" ref="DY6">_xll.EQNXTDZ($A$1,$B6,DY$1)</f>
        <v>197.5</v>
      </c>
      <c r="DZ6" cm="1">
        <f t="array" ref="DZ6">_xll.EQNXTDZ($A$1,$B6,DZ$1)</f>
        <v>199.9</v>
      </c>
      <c r="EA6" cm="1">
        <f t="array" ref="EA6">_xll.EQNXTDZ($A$1,$B6,EA$1)</f>
        <v>198.35</v>
      </c>
      <c r="EB6" cm="1">
        <f t="array" ref="EB6">_xll.EQNXTDZ($A$1,$B6,EB$1)</f>
        <v>197</v>
      </c>
      <c r="EC6" cm="1">
        <f t="array" ref="EC6">_xll.EQNXTDZ($A$1,$B6,EC$1)</f>
        <v>190</v>
      </c>
      <c r="ED6" cm="1">
        <f t="array" ref="ED6">_xll.EQNXTDZ($A$1,$B6,ED$1)</f>
        <v>228</v>
      </c>
      <c r="EE6" cm="1">
        <f t="array" ref="EE6">_xll.EQNXTDZ($A$1,$B6,EE$1)</f>
        <v>282.35000000000002</v>
      </c>
      <c r="EF6" cm="1">
        <f t="array" ref="EF6">_xll.EQNXTDZ($A$1,$B6,EF$1)</f>
        <v>272.25</v>
      </c>
      <c r="EG6" cm="1">
        <f t="array" ref="EG6">_xll.EQNXTDZ($A$1,$B6,EG$1)</f>
        <v>263.85000000000002</v>
      </c>
      <c r="EH6" cm="1">
        <f t="array" ref="EH6">_xll.EQNXTDZ($A$1,$B6,EH$1)</f>
        <v>264.64999999999998</v>
      </c>
      <c r="EI6" cm="1">
        <f t="array" ref="EI6">_xll.EQNXTDZ($A$1,$B6,EI$1)</f>
        <v>257</v>
      </c>
      <c r="EJ6" cm="1">
        <f t="array" ref="EJ6">_xll.EQNXTDZ($A$1,$B6,EJ$1)</f>
        <v>283</v>
      </c>
      <c r="EK6" cm="1">
        <f t="array" ref="EK6">_xll.EQNXTDZ($A$1,$B6,EK$1)</f>
        <v>301.55</v>
      </c>
      <c r="EL6" cm="1">
        <f t="array" ref="EL6">_xll.EQNXTDZ($A$1,$B6,EL$1)</f>
        <v>291</v>
      </c>
      <c r="EM6" cm="1">
        <f t="array" ref="EM6">_xll.EQNXTDZ($A$1,$B6,EM$1)</f>
        <v>326.5</v>
      </c>
      <c r="EN6" cm="1">
        <f t="array" ref="EN6">_xll.EQNXTDZ($A$1,$B6,EN$1)</f>
        <v>337</v>
      </c>
      <c r="EO6" cm="1">
        <f t="array" ref="EO6">_xll.EQNXTDZ($A$1,$B6,EO$1)</f>
        <v>302.64999999999998</v>
      </c>
      <c r="EP6" cm="1">
        <f t="array" ref="EP6">_xll.EQNXTDZ($A$1,$B6,EP$1)</f>
        <v>308</v>
      </c>
      <c r="EQ6" cm="1">
        <f t="array" ref="EQ6">_xll.EQNXTDZ($A$1,$B6,EQ$1)</f>
        <v>313.05</v>
      </c>
      <c r="ER6" cm="1">
        <f t="array" ref="ER6">_xll.EQNXTDZ($A$1,$B6,ER$1)</f>
        <v>365.4</v>
      </c>
      <c r="ES6" cm="1">
        <f t="array" ref="ES6">_xll.EQNXTDZ($A$1,$B6,ES$1)</f>
        <v>385.6</v>
      </c>
      <c r="ET6" cm="1">
        <f t="array" ref="ET6">_xll.EQNXTDZ($A$1,$B6,ET$1)</f>
        <v>411.1</v>
      </c>
      <c r="EU6" cm="1">
        <f t="array" ref="EU6">_xll.EQNXTDZ($A$1,$B6,EU$1)</f>
        <v>385.45</v>
      </c>
      <c r="EV6" cm="1">
        <f t="array" ref="EV6">_xll.EQNXTDZ($A$1,$B6,EV$1)</f>
        <v>285.89999999999998</v>
      </c>
      <c r="EW6" cm="1">
        <f t="array" ref="EW6">_xll.EQNXTDZ($A$1,$B6,EW$1)</f>
        <v>285.2</v>
      </c>
      <c r="EX6" cm="1">
        <f t="array" ref="EX6">_xll.EQNXTDZ($A$1,$B6,EX$1)</f>
        <v>273.95</v>
      </c>
      <c r="EY6" cm="1">
        <f t="array" ref="EY6">_xll.EQNXTDZ($A$1,$B6,EY$1)</f>
        <v>228</v>
      </c>
      <c r="EZ6" cm="1">
        <f t="array" ref="EZ6">_xll.EQNXTDZ($A$1,$B6,EZ$1)</f>
        <v>179.15</v>
      </c>
      <c r="FA6" cm="1">
        <f t="array" ref="FA6">_xll.EQNXTDZ($A$1,$B6,FA$1)</f>
        <v>182.35</v>
      </c>
      <c r="FB6" cm="1">
        <f t="array" ref="FB6">_xll.EQNXTDZ($A$1,$B6,FB$1)</f>
        <v>190.3</v>
      </c>
      <c r="FC6" cm="1">
        <f t="array" ref="FC6">_xll.EQNXTDZ($A$1,$B6,FC$1)</f>
        <v>206.3</v>
      </c>
      <c r="FD6" cm="1">
        <f t="array" ref="FD6">_xll.EQNXTDZ($A$1,$B6,FD$1)</f>
        <v>213.25</v>
      </c>
      <c r="FE6" cm="1">
        <f t="array" ref="FE6">_xll.EQNXTDZ($A$1,$B6,FE$1)</f>
        <v>221.49</v>
      </c>
      <c r="FF6" cm="1">
        <f t="array" ref="FF6">_xll.EQNXTDZ($A$1,$B6,FF$1)</f>
        <v>217</v>
      </c>
      <c r="FG6" cm="1">
        <f t="array" ref="FG6">_xll.EQNXTDZ($A$1,$B6,FG$1)</f>
        <v>235.1</v>
      </c>
      <c r="FH6" cm="1">
        <f t="array" ref="FH6">_xll.EQNXTDZ($A$1,$B6,FH$1)</f>
        <v>245.5</v>
      </c>
      <c r="FI6" cm="1">
        <f t="array" ref="FI6">_xll.EQNXTDZ($A$1,$B6,FI$1)</f>
        <v>221.36</v>
      </c>
      <c r="FJ6" cm="1">
        <f t="array" ref="FJ6">_xll.EQNXTDZ($A$1,$B6,FJ$1)</f>
        <v>211</v>
      </c>
      <c r="FK6" cm="1">
        <f t="array" ref="FK6">_xll.EQNXTDZ($A$1,$B6,FK$1)</f>
        <v>179.25</v>
      </c>
      <c r="FL6" cm="1">
        <f t="array" ref="FL6">_xll.EQNXTDZ($A$1,$B6,FL$1)</f>
        <v>174.89</v>
      </c>
      <c r="FM6" cm="1">
        <f t="array" ref="FM6">_xll.EQNXTDZ($A$1,$B6,FM$1)</f>
        <v>153.05000000000001</v>
      </c>
      <c r="FN6" cm="1">
        <f t="array" ref="FN6">_xll.EQNXTDZ($A$1,$B6,FN$1)</f>
        <v>177.99</v>
      </c>
      <c r="FO6" cm="1">
        <f t="array" ref="FO6">_xll.EQNXTDZ($A$1,$B6,FO$1)</f>
        <v>165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71.5</v>
      </c>
      <c r="D7" s="115" cm="1">
        <f t="array" ref="D7">_xll.EQNXTDZ($A$1,$B7,D$1)</f>
        <v>75</v>
      </c>
      <c r="E7" s="115" cm="1">
        <f t="array" ref="E7">_xll.EQNXTDZ($A$1,$B7,E$1)</f>
        <v>71.900000000000006</v>
      </c>
      <c r="F7" s="115" cm="1">
        <f t="array" ref="F7">_xll.EQNXTDZ($A$1,$B7,F$1)</f>
        <v>75.400000000000006</v>
      </c>
      <c r="G7" s="115" cm="1">
        <f t="array" ref="G7">_xll.EQNXTDZ($A$1,$B7,G$1)</f>
        <v>76.5</v>
      </c>
      <c r="H7" s="115" cm="1">
        <f t="array" ref="H7">_xll.EQNXTDZ($A$1,$B7,H$1)</f>
        <v>72.400000000000006</v>
      </c>
      <c r="I7" s="115" cm="1">
        <f t="array" ref="I7">_xll.EQNXTDZ($A$1,$B7,I$1)</f>
        <v>76.5</v>
      </c>
      <c r="J7" s="115" cm="1">
        <f t="array" ref="J7">_xll.EQNXTDZ($A$1,$B7,J$1)</f>
        <v>82</v>
      </c>
      <c r="K7" s="115" cm="1">
        <f t="array" ref="K7">_xll.EQNXTDZ($A$1,$B7,K$1)</f>
        <v>71</v>
      </c>
      <c r="L7" s="115" cm="1">
        <f t="array" ref="L7">_xll.EQNXTDZ($A$1,$B7,L$1)</f>
        <v>65</v>
      </c>
      <c r="M7" s="115" cm="1">
        <f t="array" ref="M7">_xll.EQNXTDZ($A$1,$B7,M$1)</f>
        <v>67</v>
      </c>
      <c r="N7" s="115" cm="1">
        <f t="array" ref="N7">_xll.EQNXTDZ($A$1,$B7,N$1)</f>
        <v>74</v>
      </c>
      <c r="O7" s="115" cm="1">
        <f t="array" ref="O7">_xll.EQNXTDZ($A$1,$B7,O$1)</f>
        <v>70.7</v>
      </c>
      <c r="P7" s="115" cm="1">
        <f t="array" ref="P7">_xll.EQNXTDZ($A$1,$B7,P$1)</f>
        <v>65.7</v>
      </c>
      <c r="Q7" s="115" cm="1">
        <f t="array" ref="Q7">_xll.EQNXTDZ($A$1,$B7,Q$1)</f>
        <v>63.4</v>
      </c>
      <c r="R7" s="115" cm="1">
        <f t="array" ref="R7">_xll.EQNXTDZ($A$1,$B7,R$1)</f>
        <v>68.349999999999994</v>
      </c>
      <c r="S7" s="115" cm="1">
        <f t="array" ref="S7">_xll.EQNXTDZ($A$1,$B7,S$1)</f>
        <v>65.400000000000006</v>
      </c>
      <c r="T7" s="115" cm="1">
        <f t="array" ref="T7">_xll.EQNXTDZ($A$1,$B7,T$1)</f>
        <v>68.349999999999994</v>
      </c>
      <c r="U7" s="115" cm="1">
        <f t="array" ref="U7">_xll.EQNXTDZ($A$1,$B7,U$1)</f>
        <v>77.5</v>
      </c>
      <c r="V7" s="115" cm="1">
        <f t="array" ref="V7">_xll.EQNXTDZ($A$1,$B7,V$1)</f>
        <v>76.95</v>
      </c>
      <c r="W7" s="115" cm="1">
        <f t="array" ref="W7">_xll.EQNXTDZ($A$1,$B7,W$1)</f>
        <v>94.8</v>
      </c>
      <c r="X7" s="115" cm="1">
        <f t="array" ref="X7">_xll.EQNXTDZ($A$1,$B7,X$1)</f>
        <v>101.95</v>
      </c>
      <c r="Y7" s="115" cm="1">
        <f t="array" ref="Y7">_xll.EQNXTDZ($A$1,$B7,Y$1)</f>
        <v>112.1</v>
      </c>
      <c r="Z7" s="115" cm="1">
        <f t="array" ref="Z7">_xll.EQNXTDZ($A$1,$B7,Z$1)</f>
        <v>115.5</v>
      </c>
      <c r="AA7" s="115" cm="1">
        <f t="array" ref="AA7">_xll.EQNXTDZ($A$1,$B7,AA$1)</f>
        <v>145</v>
      </c>
      <c r="AB7" s="115" cm="1">
        <f t="array" ref="AB7">_xll.EQNXTDZ($A$1,$B7,AB$1)</f>
        <v>176.8</v>
      </c>
      <c r="AC7" s="115" cm="1">
        <f t="array" ref="AC7">_xll.EQNXTDZ($A$1,$B7,AC$1)</f>
        <v>176.1</v>
      </c>
      <c r="AD7" s="115" cm="1">
        <f t="array" ref="AD7">_xll.EQNXTDZ($A$1,$B7,AD$1)</f>
        <v>211.7</v>
      </c>
      <c r="AE7" s="115" cm="1">
        <f t="array" ref="AE7">_xll.EQNXTDZ($A$1,$B7,AE$1)</f>
        <v>196.65</v>
      </c>
      <c r="AF7" s="115" cm="1">
        <f t="array" ref="AF7">_xll.EQNXTDZ($A$1,$B7,AF$1)</f>
        <v>198.95</v>
      </c>
      <c r="AG7" s="115" cm="1">
        <f t="array" ref="AG7">_xll.EQNXTDZ($A$1,$B7,AG$1)</f>
        <v>188</v>
      </c>
      <c r="AH7" s="115" cm="1">
        <f t="array" ref="AH7">_xll.EQNXTDZ($A$1,$B7,AH$1)</f>
        <v>216.6</v>
      </c>
      <c r="AI7" s="115" cm="1">
        <f t="array" ref="AI7">_xll.EQNXTDZ($A$1,$B7,AI$1)</f>
        <v>230</v>
      </c>
      <c r="AJ7" s="115" cm="1">
        <f t="array" ref="AJ7">_xll.EQNXTDZ($A$1,$B7,AJ$1)</f>
        <v>239</v>
      </c>
      <c r="AK7" s="115" cm="1">
        <f t="array" ref="AK7">_xll.EQNXTDZ($A$1,$B7,AK$1)</f>
        <v>259.89999999999998</v>
      </c>
      <c r="AL7" s="115" cm="1">
        <f t="array" ref="AL7">_xll.EQNXTDZ($A$1,$B7,AL$1)</f>
        <v>243.8</v>
      </c>
      <c r="AM7" s="115" cm="1">
        <f t="array" ref="AM7">_xll.EQNXTDZ($A$1,$B7,AM$1)</f>
        <v>251</v>
      </c>
      <c r="AN7" s="115" cm="1">
        <f t="array" ref="AN7">_xll.EQNXTDZ($A$1,$B7,AN$1)</f>
        <v>331.95</v>
      </c>
      <c r="AO7" s="115" cm="1">
        <f t="array" ref="AO7">_xll.EQNXTDZ($A$1,$B7,AO$1)</f>
        <v>318.95</v>
      </c>
      <c r="AP7" s="115" cm="1">
        <f t="array" ref="AP7">_xll.EQNXTDZ($A$1,$B7,AP$1)</f>
        <v>287.95</v>
      </c>
      <c r="AQ7" s="115" cm="1">
        <f t="array" ref="AQ7">_xll.EQNXTDZ($A$1,$B7,AQ$1)</f>
        <v>292.8</v>
      </c>
      <c r="AR7" s="115" cm="1">
        <f t="array" ref="AR7">_xll.EQNXTDZ($A$1,$B7,AR$1)</f>
        <v>277.39999999999998</v>
      </c>
      <c r="AS7" s="115" cm="1">
        <f t="array" ref="AS7">_xll.EQNXTDZ($A$1,$B7,AS$1)</f>
        <v>254.2</v>
      </c>
      <c r="AT7" s="115" cm="1">
        <f t="array" ref="AT7">_xll.EQNXTDZ($A$1,$B7,AT$1)</f>
        <v>253.2</v>
      </c>
      <c r="AU7" s="115" cm="1">
        <f t="array" ref="AU7">_xll.EQNXTDZ($A$1,$B7,AU$1)</f>
        <v>224.95</v>
      </c>
      <c r="AV7" s="115" cm="1">
        <f t="array" ref="AV7">_xll.EQNXTDZ($A$1,$B7,AV$1)</f>
        <v>230.95</v>
      </c>
      <c r="AW7" s="115" cm="1">
        <f t="array" ref="AW7">_xll.EQNXTDZ($A$1,$B7,AW$1)</f>
        <v>236.5</v>
      </c>
      <c r="AX7" s="115" cm="1">
        <f t="array" ref="AX7">_xll.EQNXTDZ($A$1,$B7,AX$1)</f>
        <v>310</v>
      </c>
      <c r="AY7" s="115" cm="1">
        <f t="array" ref="AY7">_xll.EQNXTDZ($A$1,$B7,AY$1)</f>
        <v>301.89999999999998</v>
      </c>
      <c r="AZ7" s="115" cm="1">
        <f t="array" ref="AZ7">_xll.EQNXTDZ($A$1,$B7,AZ$1)</f>
        <v>326.45</v>
      </c>
      <c r="BA7" s="115" cm="1">
        <f t="array" ref="BA7">_xll.EQNXTDZ($A$1,$B7,BA$1)</f>
        <v>323.64999999999998</v>
      </c>
      <c r="BB7" s="115" cm="1">
        <f t="array" ref="BB7">_xll.EQNXTDZ($A$1,$B7,BB$1)</f>
        <v>288.5</v>
      </c>
      <c r="BC7" s="115" cm="1">
        <f t="array" ref="BC7">_xll.EQNXTDZ($A$1,$B7,BC$1)</f>
        <v>294</v>
      </c>
      <c r="BD7" s="115" cm="1">
        <f t="array" ref="BD7">_xll.EQNXTDZ($A$1,$B7,BD$1)</f>
        <v>292.95</v>
      </c>
      <c r="BE7" s="115" cm="1">
        <f t="array" ref="BE7">_xll.EQNXTDZ($A$1,$B7,BE$1)</f>
        <v>264.2</v>
      </c>
      <c r="BF7" s="115" cm="1">
        <f t="array" ref="BF7">_xll.EQNXTDZ($A$1,$B7,BF$1)</f>
        <v>250.1</v>
      </c>
      <c r="BG7" s="115" cm="1">
        <f t="array" ref="BG7">_xll.EQNXTDZ($A$1,$B7,BG$1)</f>
        <v>258</v>
      </c>
      <c r="BH7" s="115" cm="1">
        <f t="array" ref="BH7">_xll.EQNXTDZ($A$1,$B7,BH$1)</f>
        <v>248</v>
      </c>
      <c r="BI7" s="115" cm="1">
        <f t="array" ref="BI7">_xll.EQNXTDZ($A$1,$B7,BI$1)</f>
        <v>276.14999999999998</v>
      </c>
      <c r="BJ7" s="115" cm="1">
        <f t="array" ref="BJ7">_xll.EQNXTDZ($A$1,$B7,BJ$1)</f>
        <v>274.7</v>
      </c>
      <c r="BK7" s="115" cm="1">
        <f t="array" ref="BK7">_xll.EQNXTDZ($A$1,$B7,BK$1)</f>
        <v>269.8</v>
      </c>
      <c r="BL7" s="115" cm="1">
        <f t="array" ref="BL7">_xll.EQNXTDZ($A$1,$B7,BL$1)</f>
        <v>274</v>
      </c>
      <c r="BM7" s="115" cm="1">
        <f t="array" ref="BM7">_xll.EQNXTDZ($A$1,$B7,BM$1)</f>
        <v>259</v>
      </c>
      <c r="BN7" s="115" cm="1">
        <f t="array" ref="BN7">_xll.EQNXTDZ($A$1,$B7,BN$1)</f>
        <v>229</v>
      </c>
      <c r="BO7" s="115" cm="1">
        <f t="array" ref="BO7">_xll.EQNXTDZ($A$1,$B7,BO$1)</f>
        <v>259.8</v>
      </c>
      <c r="BP7" s="115" cm="1">
        <f t="array" ref="BP7">_xll.EQNXTDZ($A$1,$B7,BP$1)</f>
        <v>323.5</v>
      </c>
      <c r="BQ7" s="115" cm="1">
        <f t="array" ref="BQ7">_xll.EQNXTDZ($A$1,$B7,BQ$1)</f>
        <v>368.7</v>
      </c>
      <c r="BR7" s="115" cm="1">
        <f t="array" ref="BR7">_xll.EQNXTDZ($A$1,$B7,BR$1)</f>
        <v>373.8</v>
      </c>
      <c r="BS7" s="115" cm="1">
        <f t="array" ref="BS7">_xll.EQNXTDZ($A$1,$B7,BS$1)</f>
        <v>354.75</v>
      </c>
      <c r="BT7" s="115" cm="1">
        <f t="array" ref="BT7">_xll.EQNXTDZ($A$1,$B7,BT$1)</f>
        <v>325</v>
      </c>
      <c r="BU7" s="115" cm="1">
        <f t="array" ref="BU7">_xll.EQNXTDZ($A$1,$B7,BU$1)</f>
        <v>363</v>
      </c>
      <c r="BV7" s="115" cm="1">
        <f t="array" ref="BV7">_xll.EQNXTDZ($A$1,$B7,BV$1)</f>
        <v>365.9</v>
      </c>
      <c r="BW7" s="115" cm="1">
        <f t="array" ref="BW7">_xll.EQNXTDZ($A$1,$B7,BW$1)</f>
        <v>315</v>
      </c>
      <c r="BX7" s="115" cm="1">
        <f t="array" ref="BX7">_xll.EQNXTDZ($A$1,$B7,BX$1)</f>
        <v>298</v>
      </c>
      <c r="BY7" s="115" cm="1">
        <f t="array" ref="BY7">_xll.EQNXTDZ($A$1,$B7,BY$1)</f>
        <v>296.5</v>
      </c>
      <c r="BZ7" s="115" cm="1">
        <f t="array" ref="BZ7">_xll.EQNXTDZ($A$1,$B7,BZ$1)</f>
        <v>297</v>
      </c>
      <c r="CA7" s="115" cm="1">
        <f t="array" ref="CA7">_xll.EQNXTDZ($A$1,$B7,CA$1)</f>
        <v>242</v>
      </c>
      <c r="CB7" s="115" cm="1">
        <f t="array" ref="CB7">_xll.EQNXTDZ($A$1,$B7,CB$1)</f>
        <v>238.4</v>
      </c>
      <c r="CC7" s="115" cm="1">
        <f t="array" ref="CC7">_xll.EQNXTDZ($A$1,$B7,CC$1)</f>
        <v>212.95</v>
      </c>
      <c r="CD7" s="115" cm="1">
        <f t="array" ref="CD7">_xll.EQNXTDZ($A$1,$B7,CD$1)</f>
        <v>195.9</v>
      </c>
      <c r="CE7" s="115" cm="1">
        <f t="array" ref="CE7">_xll.EQNXTDZ($A$1,$B7,CE$1)</f>
        <v>196</v>
      </c>
      <c r="CF7" s="115" cm="1">
        <f t="array" ref="CF7">_xll.EQNXTDZ($A$1,$B7,CF$1)</f>
        <v>217.7</v>
      </c>
      <c r="CG7" s="115" cm="1">
        <f t="array" ref="CG7">_xll.EQNXTDZ($A$1,$B7,CG$1)</f>
        <v>233</v>
      </c>
      <c r="CH7" s="115" cm="1">
        <f t="array" ref="CH7">_xll.EQNXTDZ($A$1,$B7,CH$1)</f>
        <v>272.95</v>
      </c>
      <c r="CI7" s="115" cm="1">
        <f t="array" ref="CI7">_xll.EQNXTDZ($A$1,$B7,CI$1)</f>
        <v>284.8</v>
      </c>
      <c r="CJ7" s="115" cm="1">
        <f t="array" ref="CJ7">_xll.EQNXTDZ($A$1,$B7,CJ$1)</f>
        <v>271.95</v>
      </c>
      <c r="CK7" s="115" cm="1">
        <f t="array" ref="CK7">_xll.EQNXTDZ($A$1,$B7,CK$1)</f>
        <v>247.45</v>
      </c>
      <c r="CL7" s="115" cm="1">
        <f t="array" ref="CL7">_xll.EQNXTDZ($A$1,$B7,CL$1)</f>
        <v>255.7</v>
      </c>
      <c r="CM7" s="115" cm="1">
        <f t="array" ref="CM7">_xll.EQNXTDZ($A$1,$B7,CM$1)</f>
        <v>268.7</v>
      </c>
      <c r="CN7" s="115" cm="1">
        <f t="array" ref="CN7">_xll.EQNXTDZ($A$1,$B7,CN$1)</f>
        <v>258.10000000000002</v>
      </c>
      <c r="CO7" s="115" cm="1">
        <f t="array" ref="CO7">_xll.EQNXTDZ($A$1,$B7,CO$1)</f>
        <v>275.8</v>
      </c>
      <c r="CP7" s="115" cm="1">
        <f t="array" ref="CP7">_xll.EQNXTDZ($A$1,$B7,CP$1)</f>
        <v>272</v>
      </c>
      <c r="CQ7" s="115" cm="1">
        <f t="array" ref="CQ7">_xll.EQNXTDZ($A$1,$B7,CQ$1)</f>
        <v>305</v>
      </c>
      <c r="CR7" s="115" cm="1">
        <f t="array" ref="CR7">_xll.EQNXTDZ($A$1,$B7,CR$1)</f>
        <v>278</v>
      </c>
      <c r="CS7" s="115" cm="1">
        <f t="array" ref="CS7">_xll.EQNXTDZ($A$1,$B7,CS$1)</f>
        <v>235</v>
      </c>
      <c r="CT7" s="115" cm="1">
        <f t="array" ref="CT7">_xll.EQNXTDZ($A$1,$B7,CT$1)</f>
        <v>208.5</v>
      </c>
      <c r="CU7" s="115" cm="1">
        <f t="array" ref="CU7">_xll.EQNXTDZ($A$1,$B7,CU$1)</f>
        <v>232.45</v>
      </c>
      <c r="CV7" s="115" cm="1">
        <f t="array" ref="CV7">_xll.EQNXTDZ($A$1,$B7,CV$1)</f>
        <v>247.9</v>
      </c>
      <c r="CW7" s="115" cm="1">
        <f t="array" ref="CW7">_xll.EQNXTDZ($A$1,$B7,CW$1)</f>
        <v>337.6</v>
      </c>
      <c r="CX7" s="115" cm="1">
        <f t="array" ref="CX7">_xll.EQNXTDZ($A$1,$B7,CX$1)</f>
        <v>316.64999999999998</v>
      </c>
      <c r="CY7" s="115" cm="1">
        <f t="array" ref="CY7">_xll.EQNXTDZ($A$1,$B7,CY$1)</f>
        <v>319</v>
      </c>
      <c r="CZ7" s="115" cm="1">
        <f t="array" ref="CZ7">_xll.EQNXTDZ($A$1,$B7,CZ$1)</f>
        <v>314</v>
      </c>
      <c r="DA7" s="115" cm="1">
        <f t="array" ref="DA7">_xll.EQNXTDZ($A$1,$B7,DA$1)</f>
        <v>320</v>
      </c>
      <c r="DB7" s="115" cm="1">
        <f t="array" ref="DB7">_xll.EQNXTDZ($A$1,$B7,DB$1)</f>
        <v>327</v>
      </c>
      <c r="DC7" s="115" cm="1">
        <f t="array" ref="DC7">_xll.EQNXTDZ($A$1,$B7,DC$1)</f>
        <v>352.15</v>
      </c>
      <c r="DD7" s="115" cm="1">
        <f t="array" ref="DD7">_xll.EQNXTDZ($A$1,$B7,DD$1)</f>
        <v>294.89999999999998</v>
      </c>
      <c r="DE7" s="115" cm="1">
        <f t="array" ref="DE7">_xll.EQNXTDZ($A$1,$B7,DE$1)</f>
        <v>289.39999999999998</v>
      </c>
      <c r="DF7" s="115" cm="1">
        <f t="array" ref="DF7">_xll.EQNXTDZ($A$1,$B7,DF$1)</f>
        <v>297.8</v>
      </c>
      <c r="DG7" s="115" cm="1">
        <f t="array" ref="DG7">_xll.EQNXTDZ($A$1,$B7,DG$1)</f>
        <v>309.7</v>
      </c>
      <c r="DH7" s="115" cm="1">
        <f t="array" ref="DH7">_xll.EQNXTDZ($A$1,$B7,DH$1)</f>
        <v>321.95</v>
      </c>
      <c r="DI7" s="115" cm="1">
        <f t="array" ref="DI7">_xll.EQNXTDZ($A$1,$B7,DI$1)</f>
        <v>328</v>
      </c>
      <c r="DJ7" s="115" cm="1">
        <f t="array" ref="DJ7">_xll.EQNXTDZ($A$1,$B7,DJ$1)</f>
        <v>279.75</v>
      </c>
      <c r="DK7" s="115" cm="1">
        <f t="array" ref="DK7">_xll.EQNXTDZ($A$1,$B7,DK$1)</f>
        <v>272.8</v>
      </c>
      <c r="DL7" s="115" cm="1">
        <f t="array" ref="DL7">_xll.EQNXTDZ($A$1,$B7,DL$1)</f>
        <v>255</v>
      </c>
      <c r="DM7" s="115" cm="1">
        <f t="array" ref="DM7">_xll.EQNXTDZ($A$1,$B7,DM$1)</f>
        <v>236.2</v>
      </c>
      <c r="DN7" s="115" cm="1">
        <f t="array" ref="DN7">_xll.EQNXTDZ($A$1,$B7,DN$1)</f>
        <v>232.75</v>
      </c>
      <c r="DO7" s="115" cm="1">
        <f t="array" ref="DO7">_xll.EQNXTDZ($A$1,$B7,DO$1)</f>
        <v>213.5</v>
      </c>
      <c r="DP7" s="115" cm="1">
        <f t="array" ref="DP7">_xll.EQNXTDZ($A$1,$B7,DP$1)</f>
        <v>181.75</v>
      </c>
      <c r="DQ7" s="115" cm="1">
        <f t="array" ref="DQ7">_xll.EQNXTDZ($A$1,$B7,DQ$1)</f>
        <v>208.35</v>
      </c>
      <c r="DR7" s="115" cm="1">
        <f t="array" ref="DR7">_xll.EQNXTDZ($A$1,$B7,DR$1)</f>
        <v>204.4</v>
      </c>
      <c r="DS7" s="115" cm="1">
        <f t="array" ref="DS7">_xll.EQNXTDZ($A$1,$B7,DS$1)</f>
        <v>177.75</v>
      </c>
      <c r="DT7" s="115" cm="1">
        <f t="array" ref="DT7">_xll.EQNXTDZ($A$1,$B7,DT$1)</f>
        <v>207.1</v>
      </c>
      <c r="DU7" s="115" cm="1">
        <f t="array" ref="DU7">_xll.EQNXTDZ($A$1,$B7,DU$1)</f>
        <v>203</v>
      </c>
      <c r="DV7" s="115" cm="1">
        <f t="array" ref="DV7">_xll.EQNXTDZ($A$1,$B7,DV$1)</f>
        <v>223.6</v>
      </c>
      <c r="DW7" s="115" cm="1">
        <f t="array" ref="DW7">_xll.EQNXTDZ($A$1,$B7,DW$1)</f>
        <v>236.9</v>
      </c>
      <c r="DX7" s="115" cm="1">
        <f t="array" ref="DX7">_xll.EQNXTDZ($A$1,$B7,DX$1)</f>
        <v>228</v>
      </c>
      <c r="DY7" s="115" cm="1">
        <f t="array" ref="DY7">_xll.EQNXTDZ($A$1,$B7,DY$1)</f>
        <v>224.95</v>
      </c>
      <c r="DZ7" s="115" cm="1">
        <f t="array" ref="DZ7">_xll.EQNXTDZ($A$1,$B7,DZ$1)</f>
        <v>207</v>
      </c>
      <c r="EA7" s="115" cm="1">
        <f t="array" ref="EA7">_xll.EQNXTDZ($A$1,$B7,EA$1)</f>
        <v>214.7</v>
      </c>
      <c r="EB7" s="115" cm="1">
        <f t="array" ref="EB7">_xll.EQNXTDZ($A$1,$B7,EB$1)</f>
        <v>205</v>
      </c>
      <c r="EC7" s="115" cm="1">
        <f t="array" ref="EC7">_xll.EQNXTDZ($A$1,$B7,EC$1)</f>
        <v>239.9</v>
      </c>
      <c r="ED7" s="115" cm="1">
        <f t="array" ref="ED7">_xll.EQNXTDZ($A$1,$B7,ED$1)</f>
        <v>298</v>
      </c>
      <c r="EE7" s="115" cm="1">
        <f t="array" ref="EE7">_xll.EQNXTDZ($A$1,$B7,EE$1)</f>
        <v>291.95</v>
      </c>
      <c r="EF7" s="115" cm="1">
        <f t="array" ref="EF7">_xll.EQNXTDZ($A$1,$B7,EF$1)</f>
        <v>297.95</v>
      </c>
      <c r="EG7" s="115" cm="1">
        <f t="array" ref="EG7">_xll.EQNXTDZ($A$1,$B7,EG$1)</f>
        <v>269.05</v>
      </c>
      <c r="EH7" s="115" cm="1">
        <f t="array" ref="EH7">_xll.EQNXTDZ($A$1,$B7,EH$1)</f>
        <v>280.7</v>
      </c>
      <c r="EI7" s="115" cm="1">
        <f t="array" ref="EI7">_xll.EQNXTDZ($A$1,$B7,EI$1)</f>
        <v>323.64999999999998</v>
      </c>
      <c r="EJ7" s="115" cm="1">
        <f t="array" ref="EJ7">_xll.EQNXTDZ($A$1,$B7,EJ$1)</f>
        <v>319.7</v>
      </c>
      <c r="EK7" s="115" cm="1">
        <f t="array" ref="EK7">_xll.EQNXTDZ($A$1,$B7,EK$1)</f>
        <v>304.95</v>
      </c>
      <c r="EL7" s="115" cm="1">
        <f t="array" ref="EL7">_xll.EQNXTDZ($A$1,$B7,EL$1)</f>
        <v>355</v>
      </c>
      <c r="EM7" s="115" cm="1">
        <f t="array" ref="EM7">_xll.EQNXTDZ($A$1,$B7,EM$1)</f>
        <v>371</v>
      </c>
      <c r="EN7" s="115" cm="1">
        <f t="array" ref="EN7">_xll.EQNXTDZ($A$1,$B7,EN$1)</f>
        <v>349.65</v>
      </c>
      <c r="EO7" s="115" cm="1">
        <f t="array" ref="EO7">_xll.EQNXTDZ($A$1,$B7,EO$1)</f>
        <v>356.4</v>
      </c>
      <c r="EP7" s="115" cm="1">
        <f t="array" ref="EP7">_xll.EQNXTDZ($A$1,$B7,EP$1)</f>
        <v>321</v>
      </c>
      <c r="EQ7" s="115" cm="1">
        <f t="array" ref="EQ7">_xll.EQNXTDZ($A$1,$B7,EQ$1)</f>
        <v>399</v>
      </c>
      <c r="ER7" s="115" cm="1">
        <f t="array" ref="ER7">_xll.EQNXTDZ($A$1,$B7,ER$1)</f>
        <v>407.2</v>
      </c>
      <c r="ES7" s="115" cm="1">
        <f t="array" ref="ES7">_xll.EQNXTDZ($A$1,$B7,ES$1)</f>
        <v>451.85</v>
      </c>
      <c r="ET7" s="115" cm="1">
        <f t="array" ref="ET7">_xll.EQNXTDZ($A$1,$B7,ET$1)</f>
        <v>414.2</v>
      </c>
      <c r="EU7" s="115" cm="1">
        <f t="array" ref="EU7">_xll.EQNXTDZ($A$1,$B7,EU$1)</f>
        <v>404.95</v>
      </c>
      <c r="EV7" s="115" cm="1">
        <f t="array" ref="EV7">_xll.EQNXTDZ($A$1,$B7,EV$1)</f>
        <v>300</v>
      </c>
      <c r="EW7" s="115" cm="1">
        <f t="array" ref="EW7">_xll.EQNXTDZ($A$1,$B7,EW$1)</f>
        <v>316</v>
      </c>
      <c r="EX7" s="115" cm="1">
        <f t="array" ref="EX7">_xll.EQNXTDZ($A$1,$B7,EX$1)</f>
        <v>282.7</v>
      </c>
      <c r="EY7" s="115" cm="1">
        <f t="array" ref="EY7">_xll.EQNXTDZ($A$1,$B7,EY$1)</f>
        <v>238.85</v>
      </c>
      <c r="EZ7" s="115" cm="1">
        <f t="array" ref="EZ7">_xll.EQNXTDZ($A$1,$B7,EZ$1)</f>
        <v>215.5</v>
      </c>
      <c r="FA7" s="115" cm="1">
        <f t="array" ref="FA7">_xll.EQNXTDZ($A$1,$B7,FA$1)</f>
        <v>222.45</v>
      </c>
      <c r="FB7" s="115" cm="1">
        <f t="array" ref="FB7">_xll.EQNXTDZ($A$1,$B7,FB$1)</f>
        <v>218.6</v>
      </c>
      <c r="FC7" s="115" cm="1">
        <f t="array" ref="FC7">_xll.EQNXTDZ($A$1,$B7,FC$1)</f>
        <v>222.94</v>
      </c>
      <c r="FD7" s="115" cm="1">
        <f t="array" ref="FD7">_xll.EQNXTDZ($A$1,$B7,FD$1)</f>
        <v>242.97</v>
      </c>
      <c r="FE7" s="115" cm="1">
        <f t="array" ref="FE7">_xll.EQNXTDZ($A$1,$B7,FE$1)</f>
        <v>223.75</v>
      </c>
      <c r="FF7" s="115" cm="1">
        <f t="array" ref="FF7">_xll.EQNXTDZ($A$1,$B7,FF$1)</f>
        <v>253.7</v>
      </c>
      <c r="FG7" s="115" cm="1">
        <f t="array" ref="FG7">_xll.EQNXTDZ($A$1,$B7,FG$1)</f>
        <v>272.64999999999998</v>
      </c>
      <c r="FH7" s="115" cm="1">
        <f t="array" ref="FH7">_xll.EQNXTDZ($A$1,$B7,FH$1)</f>
        <v>252.5</v>
      </c>
      <c r="FI7" s="115" cm="1">
        <f t="array" ref="FI7">_xll.EQNXTDZ($A$1,$B7,FI$1)</f>
        <v>225.01</v>
      </c>
      <c r="FJ7" s="115" cm="1">
        <f t="array" ref="FJ7">_xll.EQNXTDZ($A$1,$B7,FJ$1)</f>
        <v>213.95</v>
      </c>
      <c r="FK7" s="115" cm="1">
        <f t="array" ref="FK7">_xll.EQNXTDZ($A$1,$B7,FK$1)</f>
        <v>200.69</v>
      </c>
      <c r="FL7" s="115" cm="1">
        <f t="array" ref="FL7">_xll.EQNXTDZ($A$1,$B7,FL$1)</f>
        <v>174.89</v>
      </c>
      <c r="FM7" s="115" cm="1">
        <f t="array" ref="FM7">_xll.EQNXTDZ($A$1,$B7,FM$1)</f>
        <v>193.8</v>
      </c>
      <c r="FN7" s="115" cm="1">
        <f t="array" ref="FN7">_xll.EQNXTDZ($A$1,$B7,FN$1)</f>
        <v>191</v>
      </c>
      <c r="FO7" s="115" cm="1">
        <f t="array" ref="FO7">_xll.EQNXTDZ($A$1,$B7,FO$1)</f>
        <v>175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75.400000000000006</v>
      </c>
      <c r="HQ7" s="115">
        <f>+MAX(G7:I7)</f>
        <v>76.5</v>
      </c>
      <c r="HR7" s="115">
        <f>+MAX(J7:L7)</f>
        <v>82</v>
      </c>
      <c r="HS7" s="115">
        <f>+MAX(M7:O7)</f>
        <v>74</v>
      </c>
      <c r="HT7" s="115">
        <f>+MAX(P7:R7)</f>
        <v>68.349999999999994</v>
      </c>
      <c r="HU7" s="115">
        <f>+MAX(S7:U7)</f>
        <v>77.5</v>
      </c>
      <c r="HV7" s="115">
        <f>+MAX(V7:X7)</f>
        <v>101.95</v>
      </c>
      <c r="HW7" s="115">
        <f>+MAX(Y7:AA7)</f>
        <v>145</v>
      </c>
      <c r="HX7" s="115">
        <f>+MAX(AB7:AD7)</f>
        <v>211.7</v>
      </c>
      <c r="HY7" s="115">
        <f>+MAX(AE7:AG7)</f>
        <v>198.95</v>
      </c>
      <c r="HZ7" s="115">
        <f>+MAX(AH7:AJ7)</f>
        <v>239</v>
      </c>
      <c r="IA7" s="115">
        <f>+MAX(AK7:AM7)</f>
        <v>259.89999999999998</v>
      </c>
      <c r="IB7" s="115">
        <f>+MAX(AN7:AP7)</f>
        <v>331.95</v>
      </c>
      <c r="IC7" s="115">
        <f>+MAX(AQ7:AS7)</f>
        <v>292.8</v>
      </c>
      <c r="ID7" s="115">
        <f>+MAX(AT7:AV7)</f>
        <v>253.2</v>
      </c>
      <c r="IE7" s="115">
        <f>+MAX(AW7:AY7)</f>
        <v>310</v>
      </c>
      <c r="IF7" s="115">
        <f>+MAX(AZ7:BB7)</f>
        <v>326.45</v>
      </c>
      <c r="IG7" s="115">
        <f>+MAX(BC7:BE7)</f>
        <v>294</v>
      </c>
      <c r="IH7" s="115">
        <f>+MAX(BF7:BH7)</f>
        <v>258</v>
      </c>
      <c r="II7" s="115">
        <f>+MAX(BI7:BK7)</f>
        <v>276.14999999999998</v>
      </c>
      <c r="IJ7" s="115">
        <f>+MAX(BL7:BN7)</f>
        <v>274</v>
      </c>
      <c r="IK7" s="115">
        <f>+MAX(BO7:BQ7)</f>
        <v>368.7</v>
      </c>
      <c r="IL7" s="115">
        <f>+MAX(BR7:BT7)</f>
        <v>373.8</v>
      </c>
      <c r="IM7" s="115">
        <f>+MAX(BU7:BW7)</f>
        <v>365.9</v>
      </c>
      <c r="IN7" s="115">
        <f>+MAX(BX7:BZ7)</f>
        <v>298</v>
      </c>
      <c r="IO7" s="115">
        <f>+MAX(CA7:CC7)</f>
        <v>242</v>
      </c>
      <c r="IP7" s="115">
        <f>+MAX(CD7:CF7)</f>
        <v>217.7</v>
      </c>
      <c r="IQ7" s="115">
        <f>+MAX(CG7:CI7)</f>
        <v>284.8</v>
      </c>
      <c r="IR7" s="115">
        <f>+MAX(CJ7:CL7)</f>
        <v>271.95</v>
      </c>
      <c r="IS7" s="115">
        <f>+MAX(CM7:CO7)</f>
        <v>275.8</v>
      </c>
      <c r="IT7" s="115">
        <f>+MAX(CP7:CR7)</f>
        <v>305</v>
      </c>
      <c r="IU7" s="115">
        <f>+MAX(CS7:CU7)</f>
        <v>235</v>
      </c>
      <c r="IV7" s="115">
        <f>+MAX(CV7:CX7)</f>
        <v>337.6</v>
      </c>
      <c r="IW7" s="115">
        <f>+MAX(CY7:DA7)</f>
        <v>320</v>
      </c>
      <c r="IX7" s="115">
        <f>+MAX(DB7:DD7)</f>
        <v>352.15</v>
      </c>
      <c r="IY7" s="115">
        <f>+MAX(DE7:DG7)</f>
        <v>309.7</v>
      </c>
      <c r="IZ7" s="115">
        <f>+MAX(DH7:DJ7)</f>
        <v>328</v>
      </c>
      <c r="JA7" s="115">
        <f>+MAX(DK7:DM7)</f>
        <v>272.8</v>
      </c>
      <c r="JB7" s="115">
        <f>+MAX(DN7:DP7)</f>
        <v>232.75</v>
      </c>
      <c r="JC7" s="115">
        <f>+MAX(DQ7:DS7)</f>
        <v>208.35</v>
      </c>
      <c r="JD7" s="115">
        <f>+MAX(DT7:DV7)</f>
        <v>223.6</v>
      </c>
      <c r="JE7" s="115">
        <f>+MAX(DW7:DY7)</f>
        <v>236.9</v>
      </c>
      <c r="JF7" s="115">
        <f>+MAX(DZ7:EB7)</f>
        <v>214.7</v>
      </c>
      <c r="JG7" s="115">
        <f>+MAX(EC7:EE7)</f>
        <v>298</v>
      </c>
      <c r="JH7" s="115">
        <f>+MAX(EF7:EH7)</f>
        <v>297.95</v>
      </c>
      <c r="JI7" s="115">
        <f>+MAX(EI7:EK7)</f>
        <v>323.64999999999998</v>
      </c>
      <c r="JJ7" s="115">
        <f>+MAX(EL7:EN7)</f>
        <v>371</v>
      </c>
      <c r="JK7" s="115">
        <f>MAX(EO7:EQ7)</f>
        <v>399</v>
      </c>
      <c r="JL7" s="115">
        <f>MAX(ER7:ET7)</f>
        <v>451.85</v>
      </c>
      <c r="JM7" s="115">
        <f>MAX(EU7:EW7)</f>
        <v>404.95</v>
      </c>
      <c r="JN7" s="115">
        <f>MAX(EX7:EZ7)</f>
        <v>282.7</v>
      </c>
      <c r="JO7" s="115">
        <f>MAX(FA7:FC7)</f>
        <v>222.94</v>
      </c>
      <c r="JP7" s="115">
        <f>MAX(FD7:FF7)</f>
        <v>253.7</v>
      </c>
      <c r="JQ7" s="115">
        <f>MAX(FG7:FI7)</f>
        <v>272.64999999999998</v>
      </c>
      <c r="JR7" s="115">
        <f>MAX(FJ7:FL7)</f>
        <v>213.95</v>
      </c>
      <c r="JS7" s="115">
        <f>MAX(FM7:FO7)</f>
        <v>193.8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58.05</v>
      </c>
      <c r="D8" s="115" cm="1">
        <f t="array" ref="D8">_xll.EQNXTDZ($A$1,$B8,D$1)</f>
        <v>63.85</v>
      </c>
      <c r="E8" s="115" cm="1">
        <f t="array" ref="E8">_xll.EQNXTDZ($A$1,$B8,E$1)</f>
        <v>64.05</v>
      </c>
      <c r="F8" s="115" cm="1">
        <f t="array" ref="F8">_xll.EQNXTDZ($A$1,$B8,F$1)</f>
        <v>67.75</v>
      </c>
      <c r="G8" s="115" cm="1">
        <f t="array" ref="G8">_xll.EQNXTDZ($A$1,$B8,G$1)</f>
        <v>68.05</v>
      </c>
      <c r="H8" s="115" cm="1">
        <f t="array" ref="H8">_xll.EQNXTDZ($A$1,$B8,H$1)</f>
        <v>65.099999999999994</v>
      </c>
      <c r="I8" s="115" cm="1">
        <f t="array" ref="I8">_xll.EQNXTDZ($A$1,$B8,I$1)</f>
        <v>67.2</v>
      </c>
      <c r="J8" s="115" cm="1">
        <f t="array" ref="J8">_xll.EQNXTDZ($A$1,$B8,J$1)</f>
        <v>68.05</v>
      </c>
      <c r="K8" s="115" cm="1">
        <f t="array" ref="K8">_xll.EQNXTDZ($A$1,$B8,K$1)</f>
        <v>63.5</v>
      </c>
      <c r="L8" s="115" cm="1">
        <f t="array" ref="L8">_xll.EQNXTDZ($A$1,$B8,L$1)</f>
        <v>60.75</v>
      </c>
      <c r="M8" s="115" cm="1">
        <f t="array" ref="M8">_xll.EQNXTDZ($A$1,$B8,M$1)</f>
        <v>61.5</v>
      </c>
      <c r="N8" s="115" cm="1">
        <f t="array" ref="N8">_xll.EQNXTDZ($A$1,$B8,N$1)</f>
        <v>59.65</v>
      </c>
      <c r="O8" s="115" cm="1">
        <f t="array" ref="O8">_xll.EQNXTDZ($A$1,$B8,O$1)</f>
        <v>62.1</v>
      </c>
      <c r="P8" s="115" cm="1">
        <f t="array" ref="P8">_xll.EQNXTDZ($A$1,$B8,P$1)</f>
        <v>60.5</v>
      </c>
      <c r="Q8" s="115" cm="1">
        <f t="array" ref="Q8">_xll.EQNXTDZ($A$1,$B8,Q$1)</f>
        <v>56.9</v>
      </c>
      <c r="R8" s="115" cm="1">
        <f t="array" ref="R8">_xll.EQNXTDZ($A$1,$B8,R$1)</f>
        <v>56.25</v>
      </c>
      <c r="S8" s="115" cm="1">
        <f t="array" ref="S8">_xll.EQNXTDZ($A$1,$B8,S$1)</f>
        <v>60</v>
      </c>
      <c r="T8" s="115" cm="1">
        <f t="array" ref="T8">_xll.EQNXTDZ($A$1,$B8,T$1)</f>
        <v>61.7</v>
      </c>
      <c r="U8" s="115" cm="1">
        <f t="array" ref="U8">_xll.EQNXTDZ($A$1,$B8,U$1)</f>
        <v>65</v>
      </c>
      <c r="V8" s="115" cm="1">
        <f t="array" ref="V8">_xll.EQNXTDZ($A$1,$B8,V$1)</f>
        <v>68.099999999999994</v>
      </c>
      <c r="W8" s="115" cm="1">
        <f t="array" ref="W8">_xll.EQNXTDZ($A$1,$B8,W$1)</f>
        <v>72.25</v>
      </c>
      <c r="X8" s="115" cm="1">
        <f t="array" ref="X8">_xll.EQNXTDZ($A$1,$B8,X$1)</f>
        <v>85.1</v>
      </c>
      <c r="Y8" s="115" cm="1">
        <f t="array" ref="Y8">_xll.EQNXTDZ($A$1,$B8,Y$1)</f>
        <v>89.4</v>
      </c>
      <c r="Z8" s="115" cm="1">
        <f t="array" ref="Z8">_xll.EQNXTDZ($A$1,$B8,Z$1)</f>
        <v>95</v>
      </c>
      <c r="AA8" s="115" cm="1">
        <f t="array" ref="AA8">_xll.EQNXTDZ($A$1,$B8,AA$1)</f>
        <v>114.5</v>
      </c>
      <c r="AB8" s="115" cm="1">
        <f t="array" ref="AB8">_xll.EQNXTDZ($A$1,$B8,AB$1)</f>
        <v>131.6</v>
      </c>
      <c r="AC8" s="115" cm="1">
        <f t="array" ref="AC8">_xll.EQNXTDZ($A$1,$B8,AC$1)</f>
        <v>153</v>
      </c>
      <c r="AD8" s="115" cm="1">
        <f t="array" ref="AD8">_xll.EQNXTDZ($A$1,$B8,AD$1)</f>
        <v>166.4</v>
      </c>
      <c r="AE8" s="115" cm="1">
        <f t="array" ref="AE8">_xll.EQNXTDZ($A$1,$B8,AE$1)</f>
        <v>170</v>
      </c>
      <c r="AF8" s="115" cm="1">
        <f t="array" ref="AF8">_xll.EQNXTDZ($A$1,$B8,AF$1)</f>
        <v>167.05</v>
      </c>
      <c r="AG8" s="115" cm="1">
        <f t="array" ref="AG8">_xll.EQNXTDZ($A$1,$B8,AG$1)</f>
        <v>170.6</v>
      </c>
      <c r="AH8" s="115" cm="1">
        <f t="array" ref="AH8">_xll.EQNXTDZ($A$1,$B8,AH$1)</f>
        <v>175</v>
      </c>
      <c r="AI8" s="115" cm="1">
        <f t="array" ref="AI8">_xll.EQNXTDZ($A$1,$B8,AI$1)</f>
        <v>200</v>
      </c>
      <c r="AJ8" s="115" cm="1">
        <f t="array" ref="AJ8">_xll.EQNXTDZ($A$1,$B8,AJ$1)</f>
        <v>212</v>
      </c>
      <c r="AK8" s="115" cm="1">
        <f t="array" ref="AK8">_xll.EQNXTDZ($A$1,$B8,AK$1)</f>
        <v>210.3</v>
      </c>
      <c r="AL8" s="115" cm="1">
        <f t="array" ref="AL8">_xll.EQNXTDZ($A$1,$B8,AL$1)</f>
        <v>219.75</v>
      </c>
      <c r="AM8" s="115" cm="1">
        <f t="array" ref="AM8">_xll.EQNXTDZ($A$1,$B8,AM$1)</f>
        <v>213.1</v>
      </c>
      <c r="AN8" s="115" cm="1">
        <f t="array" ref="AN8">_xll.EQNXTDZ($A$1,$B8,AN$1)</f>
        <v>235.15</v>
      </c>
      <c r="AO8" s="115" cm="1">
        <f t="array" ref="AO8">_xll.EQNXTDZ($A$1,$B8,AO$1)</f>
        <v>240.1</v>
      </c>
      <c r="AP8" s="115" cm="1">
        <f t="array" ref="AP8">_xll.EQNXTDZ($A$1,$B8,AP$1)</f>
        <v>251.25</v>
      </c>
      <c r="AQ8" s="115" cm="1">
        <f t="array" ref="AQ8">_xll.EQNXTDZ($A$1,$B8,AQ$1)</f>
        <v>266.60000000000002</v>
      </c>
      <c r="AR8" s="115" cm="1">
        <f t="array" ref="AR8">_xll.EQNXTDZ($A$1,$B8,AR$1)</f>
        <v>236.2</v>
      </c>
      <c r="AS8" s="115" cm="1">
        <f t="array" ref="AS8">_xll.EQNXTDZ($A$1,$B8,AS$1)</f>
        <v>226.3</v>
      </c>
      <c r="AT8" s="115" cm="1">
        <f t="array" ref="AT8">_xll.EQNXTDZ($A$1,$B8,AT$1)</f>
        <v>205.2</v>
      </c>
      <c r="AU8" s="115" cm="1">
        <f t="array" ref="AU8">_xll.EQNXTDZ($A$1,$B8,AU$1)</f>
        <v>176</v>
      </c>
      <c r="AV8" s="115" cm="1">
        <f t="array" ref="AV8">_xll.EQNXTDZ($A$1,$B8,AV$1)</f>
        <v>199.8</v>
      </c>
      <c r="AW8" s="115" cm="1">
        <f t="array" ref="AW8">_xll.EQNXTDZ($A$1,$B8,AW$1)</f>
        <v>208.65</v>
      </c>
      <c r="AX8" s="115" cm="1">
        <f t="array" ref="AX8">_xll.EQNXTDZ($A$1,$B8,AX$1)</f>
        <v>216</v>
      </c>
      <c r="AY8" s="115" cm="1">
        <f t="array" ref="AY8">_xll.EQNXTDZ($A$1,$B8,AY$1)</f>
        <v>249</v>
      </c>
      <c r="AZ8" s="115" cm="1">
        <f t="array" ref="AZ8">_xll.EQNXTDZ($A$1,$B8,AZ$1)</f>
        <v>290.10000000000002</v>
      </c>
      <c r="BA8" s="115" cm="1">
        <f t="array" ref="BA8">_xll.EQNXTDZ($A$1,$B8,BA$1)</f>
        <v>275</v>
      </c>
      <c r="BB8" s="115" cm="1">
        <f t="array" ref="BB8">_xll.EQNXTDZ($A$1,$B8,BB$1)</f>
        <v>253</v>
      </c>
      <c r="BC8" s="115" cm="1">
        <f t="array" ref="BC8">_xll.EQNXTDZ($A$1,$B8,BC$1)</f>
        <v>255.05</v>
      </c>
      <c r="BD8" s="115" cm="1">
        <f t="array" ref="BD8">_xll.EQNXTDZ($A$1,$B8,BD$1)</f>
        <v>226.35</v>
      </c>
      <c r="BE8" s="115" cm="1">
        <f t="array" ref="BE8">_xll.EQNXTDZ($A$1,$B8,BE$1)</f>
        <v>231.6</v>
      </c>
      <c r="BF8" s="115" cm="1">
        <f t="array" ref="BF8">_xll.EQNXTDZ($A$1,$B8,BF$1)</f>
        <v>235.1</v>
      </c>
      <c r="BG8" s="115" cm="1">
        <f t="array" ref="BG8">_xll.EQNXTDZ($A$1,$B8,BG$1)</f>
        <v>231.5</v>
      </c>
      <c r="BH8" s="115" cm="1">
        <f t="array" ref="BH8">_xll.EQNXTDZ($A$1,$B8,BH$1)</f>
        <v>227.55</v>
      </c>
      <c r="BI8" s="115" cm="1">
        <f t="array" ref="BI8">_xll.EQNXTDZ($A$1,$B8,BI$1)</f>
        <v>238.35</v>
      </c>
      <c r="BJ8" s="115" cm="1">
        <f t="array" ref="BJ8">_xll.EQNXTDZ($A$1,$B8,BJ$1)</f>
        <v>232</v>
      </c>
      <c r="BK8" s="115" cm="1">
        <f t="array" ref="BK8">_xll.EQNXTDZ($A$1,$B8,BK$1)</f>
        <v>232.15</v>
      </c>
      <c r="BL8" s="115" cm="1">
        <f t="array" ref="BL8">_xll.EQNXTDZ($A$1,$B8,BL$1)</f>
        <v>251.25</v>
      </c>
      <c r="BM8" s="115" cm="1">
        <f t="array" ref="BM8">_xll.EQNXTDZ($A$1,$B8,BM$1)</f>
        <v>213.85</v>
      </c>
      <c r="BN8" s="115" cm="1">
        <f t="array" ref="BN8">_xll.EQNXTDZ($A$1,$B8,BN$1)</f>
        <v>200.95</v>
      </c>
      <c r="BO8" s="115" cm="1">
        <f t="array" ref="BO8">_xll.EQNXTDZ($A$1,$B8,BO$1)</f>
        <v>215.25</v>
      </c>
      <c r="BP8" s="115" cm="1">
        <f t="array" ref="BP8">_xll.EQNXTDZ($A$1,$B8,BP$1)</f>
        <v>255</v>
      </c>
      <c r="BQ8" s="115" cm="1">
        <f t="array" ref="BQ8">_xll.EQNXTDZ($A$1,$B8,BQ$1)</f>
        <v>304</v>
      </c>
      <c r="BR8" s="115" cm="1">
        <f t="array" ref="BR8">_xll.EQNXTDZ($A$1,$B8,BR$1)</f>
        <v>319.14999999999998</v>
      </c>
      <c r="BS8" s="115" cm="1">
        <f t="array" ref="BS8">_xll.EQNXTDZ($A$1,$B8,BS$1)</f>
        <v>285.85000000000002</v>
      </c>
      <c r="BT8" s="115" cm="1">
        <f t="array" ref="BT8">_xll.EQNXTDZ($A$1,$B8,BT$1)</f>
        <v>294.2</v>
      </c>
      <c r="BU8" s="115" cm="1">
        <f t="array" ref="BU8">_xll.EQNXTDZ($A$1,$B8,BU$1)</f>
        <v>321.35000000000002</v>
      </c>
      <c r="BV8" s="115" cm="1">
        <f t="array" ref="BV8">_xll.EQNXTDZ($A$1,$B8,BV$1)</f>
        <v>305</v>
      </c>
      <c r="BW8" s="115" cm="1">
        <f t="array" ref="BW8">_xll.EQNXTDZ($A$1,$B8,BW$1)</f>
        <v>266.10000000000002</v>
      </c>
      <c r="BX8" s="115" cm="1">
        <f t="array" ref="BX8">_xll.EQNXTDZ($A$1,$B8,BX$1)</f>
        <v>247.7</v>
      </c>
      <c r="BY8" s="115" cm="1">
        <f t="array" ref="BY8">_xll.EQNXTDZ($A$1,$B8,BY$1)</f>
        <v>262.89999999999998</v>
      </c>
      <c r="BZ8" s="115" cm="1">
        <f t="array" ref="BZ8">_xll.EQNXTDZ($A$1,$B8,BZ$1)</f>
        <v>234.05</v>
      </c>
      <c r="CA8" s="115" cm="1">
        <f t="array" ref="CA8">_xll.EQNXTDZ($A$1,$B8,CA$1)</f>
        <v>185</v>
      </c>
      <c r="CB8" s="115" cm="1">
        <f t="array" ref="CB8">_xll.EQNXTDZ($A$1,$B8,CB$1)</f>
        <v>190.3</v>
      </c>
      <c r="CC8" s="115" cm="1">
        <f t="array" ref="CC8">_xll.EQNXTDZ($A$1,$B8,CC$1)</f>
        <v>192.15</v>
      </c>
      <c r="CD8" s="115" cm="1">
        <f t="array" ref="CD8">_xll.EQNXTDZ($A$1,$B8,CD$1)</f>
        <v>166.15</v>
      </c>
      <c r="CE8" s="115" cm="1">
        <f t="array" ref="CE8">_xll.EQNXTDZ($A$1,$B8,CE$1)</f>
        <v>155</v>
      </c>
      <c r="CF8" s="115" cm="1">
        <f t="array" ref="CF8">_xll.EQNXTDZ($A$1,$B8,CF$1)</f>
        <v>187</v>
      </c>
      <c r="CG8" s="115" cm="1">
        <f t="array" ref="CG8">_xll.EQNXTDZ($A$1,$B8,CG$1)</f>
        <v>196.7</v>
      </c>
      <c r="CH8" s="115" cm="1">
        <f t="array" ref="CH8">_xll.EQNXTDZ($A$1,$B8,CH$1)</f>
        <v>215.25</v>
      </c>
      <c r="CI8" s="115" cm="1">
        <f t="array" ref="CI8">_xll.EQNXTDZ($A$1,$B8,CI$1)</f>
        <v>250</v>
      </c>
      <c r="CJ8" s="115" cm="1">
        <f t="array" ref="CJ8">_xll.EQNXTDZ($A$1,$B8,CJ$1)</f>
        <v>222.1</v>
      </c>
      <c r="CK8" s="115" cm="1">
        <f t="array" ref="CK8">_xll.EQNXTDZ($A$1,$B8,CK$1)</f>
        <v>209.55</v>
      </c>
      <c r="CL8" s="115" cm="1">
        <f t="array" ref="CL8">_xll.EQNXTDZ($A$1,$B8,CL$1)</f>
        <v>200.6</v>
      </c>
      <c r="CM8" s="115" cm="1">
        <f t="array" ref="CM8">_xll.EQNXTDZ($A$1,$B8,CM$1)</f>
        <v>221</v>
      </c>
      <c r="CN8" s="115" cm="1">
        <f t="array" ref="CN8">_xll.EQNXTDZ($A$1,$B8,CN$1)</f>
        <v>228.95</v>
      </c>
      <c r="CO8" s="115" cm="1">
        <f t="array" ref="CO8">_xll.EQNXTDZ($A$1,$B8,CO$1)</f>
        <v>241.2</v>
      </c>
      <c r="CP8" s="115" cm="1">
        <f t="array" ref="CP8">_xll.EQNXTDZ($A$1,$B8,CP$1)</f>
        <v>245</v>
      </c>
      <c r="CQ8" s="115" cm="1">
        <f t="array" ref="CQ8">_xll.EQNXTDZ($A$1,$B8,CQ$1)</f>
        <v>244.8</v>
      </c>
      <c r="CR8" s="115" cm="1">
        <f t="array" ref="CR8">_xll.EQNXTDZ($A$1,$B8,CR$1)</f>
        <v>161.9</v>
      </c>
      <c r="CS8" s="115" cm="1">
        <f t="array" ref="CS8">_xll.EQNXTDZ($A$1,$B8,CS$1)</f>
        <v>194.55</v>
      </c>
      <c r="CT8" s="115" cm="1">
        <f t="array" ref="CT8">_xll.EQNXTDZ($A$1,$B8,CT$1)</f>
        <v>174</v>
      </c>
      <c r="CU8" s="115" cm="1">
        <f t="array" ref="CU8">_xll.EQNXTDZ($A$1,$B8,CU$1)</f>
        <v>186.1</v>
      </c>
      <c r="CV8" s="115" cm="1">
        <f t="array" ref="CV8">_xll.EQNXTDZ($A$1,$B8,CV$1)</f>
        <v>199</v>
      </c>
      <c r="CW8" s="115" cm="1">
        <f t="array" ref="CW8">_xll.EQNXTDZ($A$1,$B8,CW$1)</f>
        <v>239.65</v>
      </c>
      <c r="CX8" s="115" cm="1">
        <f t="array" ref="CX8">_xll.EQNXTDZ($A$1,$B8,CX$1)</f>
        <v>252.75</v>
      </c>
      <c r="CY8" s="115" cm="1">
        <f t="array" ref="CY8">_xll.EQNXTDZ($A$1,$B8,CY$1)</f>
        <v>268</v>
      </c>
      <c r="CZ8" s="115" cm="1">
        <f t="array" ref="CZ8">_xll.EQNXTDZ($A$1,$B8,CZ$1)</f>
        <v>270.25</v>
      </c>
      <c r="DA8" s="115" cm="1">
        <f t="array" ref="DA8">_xll.EQNXTDZ($A$1,$B8,DA$1)</f>
        <v>270.10000000000002</v>
      </c>
      <c r="DB8" s="115" cm="1">
        <f t="array" ref="DB8">_xll.EQNXTDZ($A$1,$B8,DB$1)</f>
        <v>295</v>
      </c>
      <c r="DC8" s="115" cm="1">
        <f t="array" ref="DC8">_xll.EQNXTDZ($A$1,$B8,DC$1)</f>
        <v>285.10000000000002</v>
      </c>
      <c r="DD8" s="115" cm="1">
        <f t="array" ref="DD8">_xll.EQNXTDZ($A$1,$B8,DD$1)</f>
        <v>270</v>
      </c>
      <c r="DE8" s="115" cm="1">
        <f t="array" ref="DE8">_xll.EQNXTDZ($A$1,$B8,DE$1)</f>
        <v>266.2</v>
      </c>
      <c r="DF8" s="115" cm="1">
        <f t="array" ref="DF8">_xll.EQNXTDZ($A$1,$B8,DF$1)</f>
        <v>260.2</v>
      </c>
      <c r="DG8" s="115" cm="1">
        <f t="array" ref="DG8">_xll.EQNXTDZ($A$1,$B8,DG$1)</f>
        <v>278</v>
      </c>
      <c r="DH8" s="115" cm="1">
        <f t="array" ref="DH8">_xll.EQNXTDZ($A$1,$B8,DH$1)</f>
        <v>292.3</v>
      </c>
      <c r="DI8" s="115" cm="1">
        <f t="array" ref="DI8">_xll.EQNXTDZ($A$1,$B8,DI$1)</f>
        <v>260.55</v>
      </c>
      <c r="DJ8" s="115" cm="1">
        <f t="array" ref="DJ8">_xll.EQNXTDZ($A$1,$B8,DJ$1)</f>
        <v>261</v>
      </c>
      <c r="DK8" s="115" cm="1">
        <f t="array" ref="DK8">_xll.EQNXTDZ($A$1,$B8,DK$1)</f>
        <v>234.7</v>
      </c>
      <c r="DL8" s="115" cm="1">
        <f t="array" ref="DL8">_xll.EQNXTDZ($A$1,$B8,DL$1)</f>
        <v>220.05</v>
      </c>
      <c r="DM8" s="115" cm="1">
        <f t="array" ref="DM8">_xll.EQNXTDZ($A$1,$B8,DM$1)</f>
        <v>206</v>
      </c>
      <c r="DN8" s="115" cm="1">
        <f t="array" ref="DN8">_xll.EQNXTDZ($A$1,$B8,DN$1)</f>
        <v>195.1</v>
      </c>
      <c r="DO8" s="115" cm="1">
        <f t="array" ref="DO8">_xll.EQNXTDZ($A$1,$B8,DO$1)</f>
        <v>150.80000000000001</v>
      </c>
      <c r="DP8" s="115" cm="1">
        <f t="array" ref="DP8">_xll.EQNXTDZ($A$1,$B8,DP$1)</f>
        <v>148.4</v>
      </c>
      <c r="DQ8" s="115" cm="1">
        <f t="array" ref="DQ8">_xll.EQNXTDZ($A$1,$B8,DQ$1)</f>
        <v>150.80000000000001</v>
      </c>
      <c r="DR8" s="115" cm="1">
        <f t="array" ref="DR8">_xll.EQNXTDZ($A$1,$B8,DR$1)</f>
        <v>160.6</v>
      </c>
      <c r="DS8" s="115" cm="1">
        <f t="array" ref="DS8">_xll.EQNXTDZ($A$1,$B8,DS$1)</f>
        <v>152.4</v>
      </c>
      <c r="DT8" s="115" cm="1">
        <f t="array" ref="DT8">_xll.EQNXTDZ($A$1,$B8,DT$1)</f>
        <v>162.9</v>
      </c>
      <c r="DU8" s="115" cm="1">
        <f t="array" ref="DU8">_xll.EQNXTDZ($A$1,$B8,DU$1)</f>
        <v>183.4</v>
      </c>
      <c r="DV8" s="115" cm="1">
        <f t="array" ref="DV8">_xll.EQNXTDZ($A$1,$B8,DV$1)</f>
        <v>187.05</v>
      </c>
      <c r="DW8" s="115" cm="1">
        <f t="array" ref="DW8">_xll.EQNXTDZ($A$1,$B8,DW$1)</f>
        <v>216.5</v>
      </c>
      <c r="DX8" s="115" cm="1">
        <f t="array" ref="DX8">_xll.EQNXTDZ($A$1,$B8,DX$1)</f>
        <v>181.6</v>
      </c>
      <c r="DY8" s="115" cm="1">
        <f t="array" ref="DY8">_xll.EQNXTDZ($A$1,$B8,DY$1)</f>
        <v>186.85</v>
      </c>
      <c r="DZ8" s="115" cm="1">
        <f t="array" ref="DZ8">_xll.EQNXTDZ($A$1,$B8,DZ$1)</f>
        <v>190.95</v>
      </c>
      <c r="EA8" s="115" cm="1">
        <f t="array" ref="EA8">_xll.EQNXTDZ($A$1,$B8,EA$1)</f>
        <v>194.3</v>
      </c>
      <c r="EB8" s="115" cm="1">
        <f t="array" ref="EB8">_xll.EQNXTDZ($A$1,$B8,EB$1)</f>
        <v>187.5</v>
      </c>
      <c r="EC8" s="115" cm="1">
        <f t="array" ref="EC8">_xll.EQNXTDZ($A$1,$B8,EC$1)</f>
        <v>189</v>
      </c>
      <c r="ED8" s="115" cm="1">
        <f t="array" ref="ED8">_xll.EQNXTDZ($A$1,$B8,ED$1)</f>
        <v>221.1</v>
      </c>
      <c r="EE8" s="115" cm="1">
        <f t="array" ref="EE8">_xll.EQNXTDZ($A$1,$B8,EE$1)</f>
        <v>260.2</v>
      </c>
      <c r="EF8" s="115" cm="1">
        <f t="array" ref="EF8">_xll.EQNXTDZ($A$1,$B8,EF$1)</f>
        <v>257.89999999999998</v>
      </c>
      <c r="EG8" s="115" cm="1">
        <f t="array" ref="EG8">_xll.EQNXTDZ($A$1,$B8,EG$1)</f>
        <v>244.1</v>
      </c>
      <c r="EH8" s="115" cm="1">
        <f t="array" ref="EH8">_xll.EQNXTDZ($A$1,$B8,EH$1)</f>
        <v>248.05</v>
      </c>
      <c r="EI8" s="115" cm="1">
        <f t="array" ref="EI8">_xll.EQNXTDZ($A$1,$B8,EI$1)</f>
        <v>251.05</v>
      </c>
      <c r="EJ8" s="115" cm="1">
        <f t="array" ref="EJ8">_xll.EQNXTDZ($A$1,$B8,EJ$1)</f>
        <v>270.8</v>
      </c>
      <c r="EK8" s="115" cm="1">
        <f t="array" ref="EK8">_xll.EQNXTDZ($A$1,$B8,EK$1)</f>
        <v>281.3</v>
      </c>
      <c r="EL8" s="115" cm="1">
        <f t="array" ref="EL8">_xll.EQNXTDZ($A$1,$B8,EL$1)</f>
        <v>290.05</v>
      </c>
      <c r="EM8" s="115" cm="1">
        <f t="array" ref="EM8">_xll.EQNXTDZ($A$1,$B8,EM$1)</f>
        <v>318.05</v>
      </c>
      <c r="EN8" s="115" cm="1">
        <f t="array" ref="EN8">_xll.EQNXTDZ($A$1,$B8,EN$1)</f>
        <v>288.55</v>
      </c>
      <c r="EO8" s="115" cm="1">
        <f t="array" ref="EO8">_xll.EQNXTDZ($A$1,$B8,EO$1)</f>
        <v>302.64999999999998</v>
      </c>
      <c r="EP8" s="115" cm="1">
        <f t="array" ref="EP8">_xll.EQNXTDZ($A$1,$B8,EP$1)</f>
        <v>292</v>
      </c>
      <c r="EQ8" s="115" cm="1">
        <f t="array" ref="EQ8">_xll.EQNXTDZ($A$1,$B8,EQ$1)</f>
        <v>261.64999999999998</v>
      </c>
      <c r="ER8" s="115" cm="1">
        <f t="array" ref="ER8">_xll.EQNXTDZ($A$1,$B8,ER$1)</f>
        <v>358.15</v>
      </c>
      <c r="ES8" s="115" cm="1">
        <f t="array" ref="ES8">_xll.EQNXTDZ($A$1,$B8,ES$1)</f>
        <v>374.2</v>
      </c>
      <c r="ET8" s="115" cm="1">
        <f t="array" ref="ET8">_xll.EQNXTDZ($A$1,$B8,ET$1)</f>
        <v>367.75</v>
      </c>
      <c r="EU8" s="115" cm="1">
        <f t="array" ref="EU8">_xll.EQNXTDZ($A$1,$B8,EU$1)</f>
        <v>270.60000000000002</v>
      </c>
      <c r="EV8" s="115" cm="1">
        <f t="array" ref="EV8">_xll.EQNXTDZ($A$1,$B8,EV$1)</f>
        <v>259.2</v>
      </c>
      <c r="EW8" s="115" cm="1">
        <f t="array" ref="EW8">_xll.EQNXTDZ($A$1,$B8,EW$1)</f>
        <v>267.64999999999998</v>
      </c>
      <c r="EX8" s="115" cm="1">
        <f t="array" ref="EX8">_xll.EQNXTDZ($A$1,$B8,EX$1)</f>
        <v>206.7</v>
      </c>
      <c r="EY8" s="115" cm="1">
        <f t="array" ref="EY8">_xll.EQNXTDZ($A$1,$B8,EY$1)</f>
        <v>172.85</v>
      </c>
      <c r="EZ8" s="115" cm="1">
        <f t="array" ref="EZ8">_xll.EQNXTDZ($A$1,$B8,EZ$1)</f>
        <v>170.56</v>
      </c>
      <c r="FA8" s="115" cm="1">
        <f t="array" ref="FA8">_xll.EQNXTDZ($A$1,$B8,FA$1)</f>
        <v>175</v>
      </c>
      <c r="FB8" s="115" cm="1">
        <f t="array" ref="FB8">_xll.EQNXTDZ($A$1,$B8,FB$1)</f>
        <v>183.41</v>
      </c>
      <c r="FC8" s="115" cm="1">
        <f t="array" ref="FC8">_xll.EQNXTDZ($A$1,$B8,FC$1)</f>
        <v>198.02</v>
      </c>
      <c r="FD8" s="115" cm="1">
        <f t="array" ref="FD8">_xll.EQNXTDZ($A$1,$B8,FD$1)</f>
        <v>210</v>
      </c>
      <c r="FE8" s="115" cm="1">
        <f t="array" ref="FE8">_xll.EQNXTDZ($A$1,$B8,FE$1)</f>
        <v>203.42</v>
      </c>
      <c r="FF8" s="115" cm="1">
        <f t="array" ref="FF8">_xll.EQNXTDZ($A$1,$B8,FF$1)</f>
        <v>216.99</v>
      </c>
      <c r="FG8" s="115" cm="1">
        <f t="array" ref="FG8">_xll.EQNXTDZ($A$1,$B8,FG$1)</f>
        <v>225.95</v>
      </c>
      <c r="FH8" s="115" cm="1">
        <f t="array" ref="FH8">_xll.EQNXTDZ($A$1,$B8,FH$1)</f>
        <v>217</v>
      </c>
      <c r="FI8" s="115" cm="1">
        <f t="array" ref="FI8">_xll.EQNXTDZ($A$1,$B8,FI$1)</f>
        <v>202.1</v>
      </c>
      <c r="FJ8" s="115" cm="1">
        <f t="array" ref="FJ8">_xll.EQNXTDZ($A$1,$B8,FJ$1)</f>
        <v>177.52</v>
      </c>
      <c r="FK8" s="115" cm="1">
        <f t="array" ref="FK8">_xll.EQNXTDZ($A$1,$B8,FK$1)</f>
        <v>172</v>
      </c>
      <c r="FL8" s="115" cm="1">
        <f t="array" ref="FL8">_xll.EQNXTDZ($A$1,$B8,FL$1)</f>
        <v>148.6</v>
      </c>
      <c r="FM8" s="115" cm="1">
        <f t="array" ref="FM8">_xll.EQNXTDZ($A$1,$B8,FM$1)</f>
        <v>153.05000000000001</v>
      </c>
      <c r="FN8" s="115" cm="1">
        <f t="array" ref="FN8">_xll.EQNXTDZ($A$1,$B8,FN$1)</f>
        <v>158.87</v>
      </c>
      <c r="FO8" s="115" cm="1">
        <f t="array" ref="FO8">_xll.EQNXTDZ($A$1,$B8,FO$1)</f>
        <v>158.15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63.85</v>
      </c>
      <c r="HQ8" s="115">
        <f>+MIN(G8:I8)</f>
        <v>65.099999999999994</v>
      </c>
      <c r="HR8" s="115">
        <f>+MIN(J8:L8)</f>
        <v>60.75</v>
      </c>
      <c r="HS8" s="115">
        <f>+MIN(M8:O8)</f>
        <v>59.65</v>
      </c>
      <c r="HT8" s="115">
        <f>+MIN(P8:R8)</f>
        <v>56.25</v>
      </c>
      <c r="HU8" s="115">
        <f>+MIN(S8:U8)</f>
        <v>60</v>
      </c>
      <c r="HV8" s="115">
        <f>+MIN(V8:X8)</f>
        <v>68.099999999999994</v>
      </c>
      <c r="HW8" s="115">
        <f>+MIN(Y8:AA8)</f>
        <v>89.4</v>
      </c>
      <c r="HX8" s="115">
        <f>+MIN(AB8:AD8)</f>
        <v>131.6</v>
      </c>
      <c r="HY8" s="115">
        <f>+MIN(AE8:AG8)</f>
        <v>167.05</v>
      </c>
      <c r="HZ8" s="115">
        <f>+MIN(AH8:AJ8)</f>
        <v>175</v>
      </c>
      <c r="IA8" s="115">
        <f>+MIN(AK8:AM8)</f>
        <v>210.3</v>
      </c>
      <c r="IB8" s="115">
        <f>+MIN(AN8:AP8)</f>
        <v>235.15</v>
      </c>
      <c r="IC8" s="115">
        <f>+MIN(AQ8:AS8)</f>
        <v>226.3</v>
      </c>
      <c r="ID8" s="115">
        <f>+MIN(AT8:AV8)</f>
        <v>176</v>
      </c>
      <c r="IE8" s="115">
        <f>+MIN(AW8:AY8)</f>
        <v>208.65</v>
      </c>
      <c r="IF8" s="115">
        <f>+MIN(AZ8:BB8)</f>
        <v>253</v>
      </c>
      <c r="IG8" s="115">
        <f>+MIN(BC8:BE8)</f>
        <v>226.35</v>
      </c>
      <c r="IH8" s="115">
        <f>+MIN(BF8:BH8)</f>
        <v>227.55</v>
      </c>
      <c r="II8" s="115">
        <f>+MIN(BI8:BK8)</f>
        <v>232</v>
      </c>
      <c r="IJ8" s="115">
        <f>+MIN(BL8:BN8)</f>
        <v>200.95</v>
      </c>
      <c r="IK8" s="115">
        <f>+MIN(BO8:BQ8)</f>
        <v>215.25</v>
      </c>
      <c r="IL8" s="115">
        <f>+MIN(BR8:BT8)</f>
        <v>285.85000000000002</v>
      </c>
      <c r="IM8" s="115">
        <f>+MIN(BU8:BW8)</f>
        <v>266.10000000000002</v>
      </c>
      <c r="IN8" s="115">
        <f>+MIN(BX8:BZ8)</f>
        <v>234.05</v>
      </c>
      <c r="IO8" s="115">
        <f>+MIN(CA8:CC8)</f>
        <v>185</v>
      </c>
      <c r="IP8" s="115">
        <f>+MIN(CD8:CF8)</f>
        <v>155</v>
      </c>
      <c r="IQ8" s="115">
        <f>+MIN(CG8:CI8)</f>
        <v>196.7</v>
      </c>
      <c r="IR8" s="115">
        <f>+MIN(CJ8:CL8)</f>
        <v>200.6</v>
      </c>
      <c r="IS8" s="115">
        <f>+MIN(CM8:CO8)</f>
        <v>221</v>
      </c>
      <c r="IT8" s="115">
        <f>+MIN(CP8:CR8)</f>
        <v>161.9</v>
      </c>
      <c r="IU8" s="115">
        <f>+MIN(CS8:CU8)</f>
        <v>174</v>
      </c>
      <c r="IV8" s="115">
        <f>+MIN(CV8:CX8)</f>
        <v>199</v>
      </c>
      <c r="IW8" s="115">
        <f>+MIN(CY8:DA8)</f>
        <v>268</v>
      </c>
      <c r="IX8" s="115">
        <f>+MIN(DB8:DD8)</f>
        <v>270</v>
      </c>
      <c r="IY8" s="115">
        <f>+MIN(DE8:DG8)</f>
        <v>260.2</v>
      </c>
      <c r="IZ8" s="115">
        <f>+MIN(DH8:DJ8)</f>
        <v>260.55</v>
      </c>
      <c r="JA8" s="115">
        <f>+MIN(DK8:DM8)</f>
        <v>206</v>
      </c>
      <c r="JB8" s="115">
        <f>+MIN(DN8:DP8)</f>
        <v>148.4</v>
      </c>
      <c r="JC8" s="115">
        <f>+MIN(DQ8:DS8)</f>
        <v>150.80000000000001</v>
      </c>
      <c r="JD8" s="115">
        <f>+MIN(DT8:DV8)</f>
        <v>162.9</v>
      </c>
      <c r="JE8" s="115">
        <f>+MIN(DW8:DY8)</f>
        <v>181.6</v>
      </c>
      <c r="JF8" s="115">
        <f>+MIN(DZ8:EB8)</f>
        <v>187.5</v>
      </c>
      <c r="JG8" s="115">
        <f>+MIN(EC8:EE8)</f>
        <v>189</v>
      </c>
      <c r="JH8" s="115">
        <f>+MIN(EF8:EH8)</f>
        <v>244.1</v>
      </c>
      <c r="JI8" s="115">
        <f>+MIN(EI8:EK8)</f>
        <v>251.05</v>
      </c>
      <c r="JJ8" s="115">
        <f>+MIN(EL8:EN8)</f>
        <v>288.55</v>
      </c>
      <c r="JK8" s="115">
        <f>MIN(EO8:EQ8)</f>
        <v>261.64999999999998</v>
      </c>
      <c r="JL8" s="115">
        <f>MIN(ER8:ET8)</f>
        <v>358.15</v>
      </c>
      <c r="JM8" s="115">
        <f>MIN(EU8:EW8)</f>
        <v>259.2</v>
      </c>
      <c r="JN8" s="115">
        <f>MIN(EX8:EZ8)</f>
        <v>170.56</v>
      </c>
      <c r="JO8" s="115">
        <f>MIN(FA8:FC8)</f>
        <v>175</v>
      </c>
      <c r="JP8" s="115">
        <f>MIN(FD8:FF8)</f>
        <v>203.42</v>
      </c>
      <c r="JQ8" s="115">
        <f>MIN(FG8:FI8)</f>
        <v>202.1</v>
      </c>
      <c r="JR8" s="115">
        <f>MIN(FJ8:FL8)</f>
        <v>148.6</v>
      </c>
      <c r="JS8" s="115">
        <f>MIN(FM8:FO8)</f>
        <v>153.05000000000001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71.05</v>
      </c>
      <c r="D9" s="115" cm="1">
        <f t="array" ref="D9">_xll.EQNXTDZ($A$1,$B9,D$1)</f>
        <v>64.150000000000006</v>
      </c>
      <c r="E9" s="115" cm="1">
        <f t="array" ref="E9">_xll.EQNXTDZ($A$1,$B9,E$1)</f>
        <v>68.900000000000006</v>
      </c>
      <c r="F9" s="115" cm="1">
        <f t="array" ref="F9">_xll.EQNXTDZ($A$1,$B9,F$1)</f>
        <v>71.75</v>
      </c>
      <c r="G9" s="115" cm="1">
        <f t="array" ref="G9">_xll.EQNXTDZ($A$1,$B9,G$1)</f>
        <v>68.2</v>
      </c>
      <c r="H9" s="115" cm="1">
        <f t="array" ref="H9">_xll.EQNXTDZ($A$1,$B9,H$1)</f>
        <v>67.95</v>
      </c>
      <c r="I9" s="115" cm="1">
        <f t="array" ref="I9">_xll.EQNXTDZ($A$1,$B9,I$1)</f>
        <v>72.25</v>
      </c>
      <c r="J9" s="115" cm="1">
        <f t="array" ref="J9">_xll.EQNXTDZ($A$1,$B9,J$1)</f>
        <v>69.2</v>
      </c>
      <c r="K9" s="115" cm="1">
        <f t="array" ref="K9">_xll.EQNXTDZ($A$1,$B9,K$1)</f>
        <v>63.8</v>
      </c>
      <c r="L9" s="115" cm="1">
        <f t="array" ref="L9">_xll.EQNXTDZ($A$1,$B9,L$1)</f>
        <v>62.3</v>
      </c>
      <c r="M9" s="115" cm="1">
        <f t="array" ref="M9">_xll.EQNXTDZ($A$1,$B9,M$1)</f>
        <v>62.8</v>
      </c>
      <c r="N9" s="115" cm="1">
        <f t="array" ref="N9">_xll.EQNXTDZ($A$1,$B9,N$1)</f>
        <v>67.05</v>
      </c>
      <c r="O9" s="115" cm="1">
        <f t="array" ref="O9">_xll.EQNXTDZ($A$1,$B9,O$1)</f>
        <v>62.95</v>
      </c>
      <c r="P9" s="115" cm="1">
        <f t="array" ref="P9">_xll.EQNXTDZ($A$1,$B9,P$1)</f>
        <v>61.2</v>
      </c>
      <c r="Q9" s="115" cm="1">
        <f t="array" ref="Q9">_xll.EQNXTDZ($A$1,$B9,Q$1)</f>
        <v>60.2</v>
      </c>
      <c r="R9" s="115" cm="1">
        <f t="array" ref="R9">_xll.EQNXTDZ($A$1,$B9,R$1)</f>
        <v>60.4</v>
      </c>
      <c r="S9" s="115" cm="1">
        <f t="array" ref="S9">_xll.EQNXTDZ($A$1,$B9,S$1)</f>
        <v>63</v>
      </c>
      <c r="T9" s="115" cm="1">
        <f t="array" ref="T9">_xll.EQNXTDZ($A$1,$B9,T$1)</f>
        <v>65.099999999999994</v>
      </c>
      <c r="U9" s="115" cm="1">
        <f t="array" ref="U9">_xll.EQNXTDZ($A$1,$B9,U$1)</f>
        <v>74.7</v>
      </c>
      <c r="V9" s="115" cm="1">
        <f t="array" ref="V9">_xll.EQNXTDZ($A$1,$B9,V$1)</f>
        <v>73.55</v>
      </c>
      <c r="W9" s="115" cm="1">
        <f t="array" ref="W9">_xll.EQNXTDZ($A$1,$B9,W$1)</f>
        <v>86.8</v>
      </c>
      <c r="X9" s="115" cm="1">
        <f t="array" ref="X9">_xll.EQNXTDZ($A$1,$B9,X$1)</f>
        <v>89.4</v>
      </c>
      <c r="Y9" s="115" cm="1">
        <f t="array" ref="Y9">_xll.EQNXTDZ($A$1,$B9,Y$1)</f>
        <v>99.5</v>
      </c>
      <c r="Z9" s="115" cm="1">
        <f t="array" ref="Z9">_xll.EQNXTDZ($A$1,$B9,Z$1)</f>
        <v>114.3</v>
      </c>
      <c r="AA9" s="115" cm="1">
        <f t="array" ref="AA9">_xll.EQNXTDZ($A$1,$B9,AA$1)</f>
        <v>134.6</v>
      </c>
      <c r="AB9" s="115" cm="1">
        <f t="array" ref="AB9">_xll.EQNXTDZ($A$1,$B9,AB$1)</f>
        <v>163.1</v>
      </c>
      <c r="AC9" s="115" cm="1">
        <f t="array" ref="AC9">_xll.EQNXTDZ($A$1,$B9,AC$1)</f>
        <v>164.65</v>
      </c>
      <c r="AD9" s="115" cm="1">
        <f t="array" ref="AD9">_xll.EQNXTDZ($A$1,$B9,AD$1)</f>
        <v>192</v>
      </c>
      <c r="AE9" s="115" cm="1">
        <f t="array" ref="AE9">_xll.EQNXTDZ($A$1,$B9,AE$1)</f>
        <v>176.75</v>
      </c>
      <c r="AF9" s="115" cm="1">
        <f t="array" ref="AF9">_xll.EQNXTDZ($A$1,$B9,AF$1)</f>
        <v>174.5</v>
      </c>
      <c r="AG9" s="115" cm="1">
        <f t="array" ref="AG9">_xll.EQNXTDZ($A$1,$B9,AG$1)</f>
        <v>181.05</v>
      </c>
      <c r="AH9" s="115" cm="1">
        <f t="array" ref="AH9">_xll.EQNXTDZ($A$1,$B9,AH$1)</f>
        <v>206.75</v>
      </c>
      <c r="AI9" s="115" cm="1">
        <f t="array" ref="AI9">_xll.EQNXTDZ($A$1,$B9,AI$1)</f>
        <v>213.1</v>
      </c>
      <c r="AJ9" s="115" cm="1">
        <f t="array" ref="AJ9">_xll.EQNXTDZ($A$1,$B9,AJ$1)</f>
        <v>232.1</v>
      </c>
      <c r="AK9" s="115" cm="1">
        <f t="array" ref="AK9">_xll.EQNXTDZ($A$1,$B9,AK$1)</f>
        <v>221.75</v>
      </c>
      <c r="AL9" s="115" cm="1">
        <f t="array" ref="AL9">_xll.EQNXTDZ($A$1,$B9,AL$1)</f>
        <v>228.9</v>
      </c>
      <c r="AM9" s="115" cm="1">
        <f t="array" ref="AM9">_xll.EQNXTDZ($A$1,$B9,AM$1)</f>
        <v>236.45</v>
      </c>
      <c r="AN9" s="115" cm="1">
        <f t="array" ref="AN9">_xll.EQNXTDZ($A$1,$B9,AN$1)</f>
        <v>305.05</v>
      </c>
      <c r="AO9" s="115" cm="1">
        <f t="array" ref="AO9">_xll.EQNXTDZ($A$1,$B9,AO$1)</f>
        <v>279.85000000000002</v>
      </c>
      <c r="AP9" s="115" cm="1">
        <f t="array" ref="AP9">_xll.EQNXTDZ($A$1,$B9,AP$1)</f>
        <v>273.7</v>
      </c>
      <c r="AQ9" s="115" cm="1">
        <f t="array" ref="AQ9">_xll.EQNXTDZ($A$1,$B9,AQ$1)</f>
        <v>268.39999999999998</v>
      </c>
      <c r="AR9" s="115" cm="1">
        <f t="array" ref="AR9">_xll.EQNXTDZ($A$1,$B9,AR$1)</f>
        <v>240.4</v>
      </c>
      <c r="AS9" s="115" cm="1">
        <f t="array" ref="AS9">_xll.EQNXTDZ($A$1,$B9,AS$1)</f>
        <v>239.75</v>
      </c>
      <c r="AT9" s="115" cm="1">
        <f t="array" ref="AT9">_xll.EQNXTDZ($A$1,$B9,AT$1)</f>
        <v>220.05</v>
      </c>
      <c r="AU9" s="115" cm="1">
        <f t="array" ref="AU9">_xll.EQNXTDZ($A$1,$B9,AU$1)</f>
        <v>202.75</v>
      </c>
      <c r="AV9" s="115" cm="1">
        <f t="array" ref="AV9">_xll.EQNXTDZ($A$1,$B9,AV$1)</f>
        <v>209.55</v>
      </c>
      <c r="AW9" s="115" cm="1">
        <f t="array" ref="AW9">_xll.EQNXTDZ($A$1,$B9,AW$1)</f>
        <v>225.3</v>
      </c>
      <c r="AX9" s="115" cm="1">
        <f t="array" ref="AX9">_xll.EQNXTDZ($A$1,$B9,AX$1)</f>
        <v>265.85000000000002</v>
      </c>
      <c r="AY9" s="115" cm="1">
        <f t="array" ref="AY9">_xll.EQNXTDZ($A$1,$B9,AY$1)</f>
        <v>298.39999999999998</v>
      </c>
      <c r="AZ9" s="115" cm="1">
        <f t="array" ref="AZ9">_xll.EQNXTDZ($A$1,$B9,AZ$1)</f>
        <v>319.05</v>
      </c>
      <c r="BA9" s="115" cm="1">
        <f t="array" ref="BA9">_xll.EQNXTDZ($A$1,$B9,BA$1)</f>
        <v>282.7</v>
      </c>
      <c r="BB9" s="115" cm="1">
        <f t="array" ref="BB9">_xll.EQNXTDZ($A$1,$B9,BB$1)</f>
        <v>257.14999999999998</v>
      </c>
      <c r="BC9" s="115" cm="1">
        <f t="array" ref="BC9">_xll.EQNXTDZ($A$1,$B9,BC$1)</f>
        <v>289.8</v>
      </c>
      <c r="BD9" s="115" cm="1">
        <f t="array" ref="BD9">_xll.EQNXTDZ($A$1,$B9,BD$1)</f>
        <v>254.3</v>
      </c>
      <c r="BE9" s="115" cm="1">
        <f t="array" ref="BE9">_xll.EQNXTDZ($A$1,$B9,BE$1)</f>
        <v>242.3</v>
      </c>
      <c r="BF9" s="115" cm="1">
        <f t="array" ref="BF9">_xll.EQNXTDZ($A$1,$B9,BF$1)</f>
        <v>244.4</v>
      </c>
      <c r="BG9" s="115" cm="1">
        <f t="array" ref="BG9">_xll.EQNXTDZ($A$1,$B9,BG$1)</f>
        <v>239.35</v>
      </c>
      <c r="BH9" s="115" cm="1">
        <f t="array" ref="BH9">_xll.EQNXTDZ($A$1,$B9,BH$1)</f>
        <v>239.2</v>
      </c>
      <c r="BI9" s="115" cm="1">
        <f t="array" ref="BI9">_xll.EQNXTDZ($A$1,$B9,BI$1)</f>
        <v>271.25</v>
      </c>
      <c r="BJ9" s="115" cm="1">
        <f t="array" ref="BJ9">_xll.EQNXTDZ($A$1,$B9,BJ$1)</f>
        <v>232.7</v>
      </c>
      <c r="BK9" s="115" cm="1">
        <f t="array" ref="BK9">_xll.EQNXTDZ($A$1,$B9,BK$1)</f>
        <v>257.14999999999998</v>
      </c>
      <c r="BL9" s="115" cm="1">
        <f t="array" ref="BL9">_xll.EQNXTDZ($A$1,$B9,BL$1)</f>
        <v>254.1</v>
      </c>
      <c r="BM9" s="115" cm="1">
        <f t="array" ref="BM9">_xll.EQNXTDZ($A$1,$B9,BM$1)</f>
        <v>219.4</v>
      </c>
      <c r="BN9" s="115" cm="1">
        <f t="array" ref="BN9">_xll.EQNXTDZ($A$1,$B9,BN$1)</f>
        <v>220.65</v>
      </c>
      <c r="BO9" s="115" cm="1">
        <f t="array" ref="BO9">_xll.EQNXTDZ($A$1,$B9,BO$1)</f>
        <v>258</v>
      </c>
      <c r="BP9" s="115" cm="1">
        <f t="array" ref="BP9">_xll.EQNXTDZ($A$1,$B9,BP$1)</f>
        <v>304.75</v>
      </c>
      <c r="BQ9" s="115" cm="1">
        <f t="array" ref="BQ9">_xll.EQNXTDZ($A$1,$B9,BQ$1)</f>
        <v>355</v>
      </c>
      <c r="BR9" s="115" cm="1">
        <f t="array" ref="BR9">_xll.EQNXTDZ($A$1,$B9,BR$1)</f>
        <v>320.10000000000002</v>
      </c>
      <c r="BS9" s="115" cm="1">
        <f t="array" ref="BS9">_xll.EQNXTDZ($A$1,$B9,BS$1)</f>
        <v>313.8</v>
      </c>
      <c r="BT9" s="115" cm="1">
        <f t="array" ref="BT9">_xll.EQNXTDZ($A$1,$B9,BT$1)</f>
        <v>321.3</v>
      </c>
      <c r="BU9" s="115" cm="1">
        <f t="array" ref="BU9">_xll.EQNXTDZ($A$1,$B9,BU$1)</f>
        <v>357</v>
      </c>
      <c r="BV9" s="115" cm="1">
        <f t="array" ref="BV9">_xll.EQNXTDZ($A$1,$B9,BV$1)</f>
        <v>306.64999999999998</v>
      </c>
      <c r="BW9" s="115" cm="1">
        <f t="array" ref="BW9">_xll.EQNXTDZ($A$1,$B9,BW$1)</f>
        <v>277.45</v>
      </c>
      <c r="BX9" s="115" cm="1">
        <f t="array" ref="BX9">_xll.EQNXTDZ($A$1,$B9,BX$1)</f>
        <v>274.25</v>
      </c>
      <c r="BY9" s="115" cm="1">
        <f t="array" ref="BY9">_xll.EQNXTDZ($A$1,$B9,BY$1)</f>
        <v>269.64999999999998</v>
      </c>
      <c r="BZ9" s="115" cm="1">
        <f t="array" ref="BZ9">_xll.EQNXTDZ($A$1,$B9,BZ$1)</f>
        <v>236.95</v>
      </c>
      <c r="CA9" s="115" cm="1">
        <f t="array" ref="CA9">_xll.EQNXTDZ($A$1,$B9,CA$1)</f>
        <v>213.45</v>
      </c>
      <c r="CB9" s="115" cm="1">
        <f t="array" ref="CB9">_xll.EQNXTDZ($A$1,$B9,CB$1)</f>
        <v>207.05</v>
      </c>
      <c r="CC9" s="115" cm="1">
        <f t="array" ref="CC9">_xll.EQNXTDZ($A$1,$B9,CC$1)</f>
        <v>194.85</v>
      </c>
      <c r="CD9" s="115" cm="1">
        <f t="array" ref="CD9">_xll.EQNXTDZ($A$1,$B9,CD$1)</f>
        <v>171.65</v>
      </c>
      <c r="CE9" s="115" cm="1">
        <f t="array" ref="CE9">_xll.EQNXTDZ($A$1,$B9,CE$1)</f>
        <v>191.45</v>
      </c>
      <c r="CF9" s="115" cm="1">
        <f t="array" ref="CF9">_xll.EQNXTDZ($A$1,$B9,CF$1)</f>
        <v>195.25</v>
      </c>
      <c r="CG9" s="115" cm="1">
        <f t="array" ref="CG9">_xll.EQNXTDZ($A$1,$B9,CG$1)</f>
        <v>224.9</v>
      </c>
      <c r="CH9" s="115" cm="1">
        <f t="array" ref="CH9">_xll.EQNXTDZ($A$1,$B9,CH$1)</f>
        <v>259.64999999999998</v>
      </c>
      <c r="CI9" s="115" cm="1">
        <f t="array" ref="CI9">_xll.EQNXTDZ($A$1,$B9,CI$1)</f>
        <v>258.35000000000002</v>
      </c>
      <c r="CJ9" s="115" cm="1">
        <f t="array" ref="CJ9">_xll.EQNXTDZ($A$1,$B9,CJ$1)</f>
        <v>224.85</v>
      </c>
      <c r="CK9" s="115" cm="1">
        <f t="array" ref="CK9">_xll.EQNXTDZ($A$1,$B9,CK$1)</f>
        <v>210.45</v>
      </c>
      <c r="CL9" s="115" cm="1">
        <f t="array" ref="CL9">_xll.EQNXTDZ($A$1,$B9,CL$1)</f>
        <v>244.15</v>
      </c>
      <c r="CM9" s="115" cm="1">
        <f t="array" ref="CM9">_xll.EQNXTDZ($A$1,$B9,CM$1)</f>
        <v>255.15</v>
      </c>
      <c r="CN9" s="115" cm="1">
        <f t="array" ref="CN9">_xll.EQNXTDZ($A$1,$B9,CN$1)</f>
        <v>247.5</v>
      </c>
      <c r="CO9" s="115" cm="1">
        <f t="array" ref="CO9">_xll.EQNXTDZ($A$1,$B9,CO$1)</f>
        <v>246.95</v>
      </c>
      <c r="CP9" s="115" cm="1">
        <f t="array" ref="CP9">_xll.EQNXTDZ($A$1,$B9,CP$1)</f>
        <v>250.8</v>
      </c>
      <c r="CQ9" s="115" cm="1">
        <f t="array" ref="CQ9">_xll.EQNXTDZ($A$1,$B9,CQ$1)</f>
        <v>264.5</v>
      </c>
      <c r="CR9" s="115" cm="1">
        <f t="array" ref="CR9">_xll.EQNXTDZ($A$1,$B9,CR$1)</f>
        <v>195.6</v>
      </c>
      <c r="CS9" s="115" cm="1">
        <f t="array" ref="CS9">_xll.EQNXTDZ($A$1,$B9,CS$1)</f>
        <v>208.15</v>
      </c>
      <c r="CT9" s="115" cm="1">
        <f t="array" ref="CT9">_xll.EQNXTDZ($A$1,$B9,CT$1)</f>
        <v>197.9</v>
      </c>
      <c r="CU9" s="115" cm="1">
        <f t="array" ref="CU9">_xll.EQNXTDZ($A$1,$B9,CU$1)</f>
        <v>203.45</v>
      </c>
      <c r="CV9" s="115" cm="1">
        <f t="array" ref="CV9">_xll.EQNXTDZ($A$1,$B9,CV$1)</f>
        <v>242.25</v>
      </c>
      <c r="CW9" s="115" cm="1">
        <f t="array" ref="CW9">_xll.EQNXTDZ($A$1,$B9,CW$1)</f>
        <v>258.39999999999998</v>
      </c>
      <c r="CX9" s="115" cm="1">
        <f t="array" ref="CX9">_xll.EQNXTDZ($A$1,$B9,CX$1)</f>
        <v>310.5</v>
      </c>
      <c r="CY9" s="115" cm="1">
        <f t="array" ref="CY9">_xll.EQNXTDZ($A$1,$B9,CY$1)</f>
        <v>275.14999999999998</v>
      </c>
      <c r="CZ9" s="115" cm="1">
        <f t="array" ref="CZ9">_xll.EQNXTDZ($A$1,$B9,CZ$1)</f>
        <v>309.14999999999998</v>
      </c>
      <c r="DA9" s="115" cm="1">
        <f t="array" ref="DA9">_xll.EQNXTDZ($A$1,$B9,DA$1)</f>
        <v>313.55</v>
      </c>
      <c r="DB9" s="115" cm="1">
        <f t="array" ref="DB9">_xll.EQNXTDZ($A$1,$B9,DB$1)</f>
        <v>301.95</v>
      </c>
      <c r="DC9" s="115" cm="1">
        <f t="array" ref="DC9">_xll.EQNXTDZ($A$1,$B9,DC$1)</f>
        <v>288.14999999999998</v>
      </c>
      <c r="DD9" s="115" cm="1">
        <f t="array" ref="DD9">_xll.EQNXTDZ($A$1,$B9,DD$1)</f>
        <v>279.89999999999998</v>
      </c>
      <c r="DE9" s="115" cm="1">
        <f t="array" ref="DE9">_xll.EQNXTDZ($A$1,$B9,DE$1)</f>
        <v>273.35000000000002</v>
      </c>
      <c r="DF9" s="115" cm="1">
        <f t="array" ref="DF9">_xll.EQNXTDZ($A$1,$B9,DF$1)</f>
        <v>277.39999999999998</v>
      </c>
      <c r="DG9" s="115" cm="1">
        <f t="array" ref="DG9">_xll.EQNXTDZ($A$1,$B9,DG$1)</f>
        <v>293.7</v>
      </c>
      <c r="DH9" s="115" cm="1">
        <f t="array" ref="DH9">_xll.EQNXTDZ($A$1,$B9,DH$1)</f>
        <v>301.5</v>
      </c>
      <c r="DI9" s="115" cm="1">
        <f t="array" ref="DI9">_xll.EQNXTDZ($A$1,$B9,DI$1)</f>
        <v>265.3</v>
      </c>
      <c r="DJ9" s="115" cm="1">
        <f t="array" ref="DJ9">_xll.EQNXTDZ($A$1,$B9,DJ$1)</f>
        <v>265.64999999999998</v>
      </c>
      <c r="DK9" s="115" cm="1">
        <f t="array" ref="DK9">_xll.EQNXTDZ($A$1,$B9,DK$1)</f>
        <v>237.15</v>
      </c>
      <c r="DL9" s="115" cm="1">
        <f t="array" ref="DL9">_xll.EQNXTDZ($A$1,$B9,DL$1)</f>
        <v>221.95</v>
      </c>
      <c r="DM9" s="115" cm="1">
        <f t="array" ref="DM9">_xll.EQNXTDZ($A$1,$B9,DM$1)</f>
        <v>227.65</v>
      </c>
      <c r="DN9" s="115" cm="1">
        <f t="array" ref="DN9">_xll.EQNXTDZ($A$1,$B9,DN$1)</f>
        <v>203.2</v>
      </c>
      <c r="DO9" s="115" cm="1">
        <f t="array" ref="DO9">_xll.EQNXTDZ($A$1,$B9,DO$1)</f>
        <v>169.55</v>
      </c>
      <c r="DP9" s="115" cm="1">
        <f t="array" ref="DP9">_xll.EQNXTDZ($A$1,$B9,DP$1)</f>
        <v>150.9</v>
      </c>
      <c r="DQ9" s="115" cm="1">
        <f t="array" ref="DQ9">_xll.EQNXTDZ($A$1,$B9,DQ$1)</f>
        <v>197.75</v>
      </c>
      <c r="DR9" s="115" cm="1">
        <f t="array" ref="DR9">_xll.EQNXTDZ($A$1,$B9,DR$1)</f>
        <v>168.85</v>
      </c>
      <c r="DS9" s="115" cm="1">
        <f t="array" ref="DS9">_xll.EQNXTDZ($A$1,$B9,DS$1)</f>
        <v>165.05</v>
      </c>
      <c r="DT9" s="115" cm="1">
        <f t="array" ref="DT9">_xll.EQNXTDZ($A$1,$B9,DT$1)</f>
        <v>195.55</v>
      </c>
      <c r="DU9" s="115" cm="1">
        <f t="array" ref="DU9">_xll.EQNXTDZ($A$1,$B9,DU$1)</f>
        <v>188.6</v>
      </c>
      <c r="DV9" s="115" cm="1">
        <f t="array" ref="DV9">_xll.EQNXTDZ($A$1,$B9,DV$1)</f>
        <v>218.8</v>
      </c>
      <c r="DW9" s="115" cm="1">
        <f t="array" ref="DW9">_xll.EQNXTDZ($A$1,$B9,DW$1)</f>
        <v>218.35</v>
      </c>
      <c r="DX9" s="115" cm="1">
        <f t="array" ref="DX9">_xll.EQNXTDZ($A$1,$B9,DX$1)</f>
        <v>195.35</v>
      </c>
      <c r="DY9" s="115" cm="1">
        <f t="array" ref="DY9">_xll.EQNXTDZ($A$1,$B9,DY$1)</f>
        <v>199.35</v>
      </c>
      <c r="DZ9" s="115" cm="1">
        <f t="array" ref="DZ9">_xll.EQNXTDZ($A$1,$B9,DZ$1)</f>
        <v>196.45</v>
      </c>
      <c r="EA9" s="115" cm="1">
        <f t="array" ref="EA9">_xll.EQNXTDZ($A$1,$B9,EA$1)</f>
        <v>197.6</v>
      </c>
      <c r="EB9" s="115" cm="1">
        <f t="array" ref="EB9">_xll.EQNXTDZ($A$1,$B9,EB$1)</f>
        <v>189.5</v>
      </c>
      <c r="EC9" s="115" cm="1">
        <f t="array" ref="EC9">_xll.EQNXTDZ($A$1,$B9,EC$1)</f>
        <v>228.15</v>
      </c>
      <c r="ED9" s="115" cm="1">
        <f t="array" ref="ED9">_xll.EQNXTDZ($A$1,$B9,ED$1)</f>
        <v>285.2</v>
      </c>
      <c r="EE9" s="115" cm="1">
        <f t="array" ref="EE9">_xll.EQNXTDZ($A$1,$B9,EE$1)</f>
        <v>273.10000000000002</v>
      </c>
      <c r="EF9" s="115" cm="1">
        <f t="array" ref="EF9">_xll.EQNXTDZ($A$1,$B9,EF$1)</f>
        <v>263.85000000000002</v>
      </c>
      <c r="EG9" s="115" cm="1">
        <f t="array" ref="EG9">_xll.EQNXTDZ($A$1,$B9,EG$1)</f>
        <v>262.75</v>
      </c>
      <c r="EH9" s="115" cm="1">
        <f t="array" ref="EH9">_xll.EQNXTDZ($A$1,$B9,EH$1)</f>
        <v>257.25</v>
      </c>
      <c r="EI9" s="115" cm="1">
        <f t="array" ref="EI9">_xll.EQNXTDZ($A$1,$B9,EI$1)</f>
        <v>281.95</v>
      </c>
      <c r="EJ9" s="115" cm="1">
        <f t="array" ref="EJ9">_xll.EQNXTDZ($A$1,$B9,EJ$1)</f>
        <v>301.55</v>
      </c>
      <c r="EK9" s="115" cm="1">
        <f t="array" ref="EK9">_xll.EQNXTDZ($A$1,$B9,EK$1)</f>
        <v>286.89999999999998</v>
      </c>
      <c r="EL9" s="115" cm="1">
        <f t="array" ref="EL9">_xll.EQNXTDZ($A$1,$B9,EL$1)</f>
        <v>323.35000000000002</v>
      </c>
      <c r="EM9" s="115" cm="1">
        <f t="array" ref="EM9">_xll.EQNXTDZ($A$1,$B9,EM$1)</f>
        <v>334.75</v>
      </c>
      <c r="EN9" s="115" cm="1">
        <f t="array" ref="EN9">_xll.EQNXTDZ($A$1,$B9,EN$1)</f>
        <v>299.14999999999998</v>
      </c>
      <c r="EO9" s="115" cm="1">
        <f t="array" ref="EO9">_xll.EQNXTDZ($A$1,$B9,EO$1)</f>
        <v>309.14999999999998</v>
      </c>
      <c r="EP9" s="115" cm="1">
        <f t="array" ref="EP9">_xll.EQNXTDZ($A$1,$B9,EP$1)</f>
        <v>310</v>
      </c>
      <c r="EQ9" s="115" cm="1">
        <f t="array" ref="EQ9">_xll.EQNXTDZ($A$1,$B9,EQ$1)</f>
        <v>360.45</v>
      </c>
      <c r="ER9" s="115" cm="1">
        <f t="array" ref="ER9">_xll.EQNXTDZ($A$1,$B9,ER$1)</f>
        <v>384.05</v>
      </c>
      <c r="ES9" s="115" cm="1">
        <f t="array" ref="ES9">_xll.EQNXTDZ($A$1,$B9,ES$1)</f>
        <v>407.25</v>
      </c>
      <c r="ET9" s="115" cm="1">
        <f t="array" ref="ET9">_xll.EQNXTDZ($A$1,$B9,ET$1)</f>
        <v>385.45</v>
      </c>
      <c r="EU9" s="115" cm="1">
        <f t="array" ref="EU9">_xll.EQNXTDZ($A$1,$B9,EU$1)</f>
        <v>285.10000000000002</v>
      </c>
      <c r="EV9" s="115" cm="1">
        <f t="array" ref="EV9">_xll.EQNXTDZ($A$1,$B9,EV$1)</f>
        <v>285.39999999999998</v>
      </c>
      <c r="EW9" s="115" cm="1">
        <f t="array" ref="EW9">_xll.EQNXTDZ($A$1,$B9,EW$1)</f>
        <v>273.60000000000002</v>
      </c>
      <c r="EX9" s="115" cm="1">
        <f t="array" ref="EX9">_xll.EQNXTDZ($A$1,$B9,EX$1)</f>
        <v>225.85</v>
      </c>
      <c r="EY9" s="115" cm="1">
        <f t="array" ref="EY9">_xll.EQNXTDZ($A$1,$B9,EY$1)</f>
        <v>176.06</v>
      </c>
      <c r="EZ9" s="115" cm="1">
        <f t="array" ref="EZ9">_xll.EQNXTDZ($A$1,$B9,EZ$1)</f>
        <v>180.66</v>
      </c>
      <c r="FA9" s="115" cm="1">
        <f t="array" ref="FA9">_xll.EQNXTDZ($A$1,$B9,FA$1)</f>
        <v>190.56</v>
      </c>
      <c r="FB9" s="115" cm="1">
        <f t="array" ref="FB9">_xll.EQNXTDZ($A$1,$B9,FB$1)</f>
        <v>205.28</v>
      </c>
      <c r="FC9" s="115" cm="1">
        <f t="array" ref="FC9">_xll.EQNXTDZ($A$1,$B9,FC$1)</f>
        <v>211.16</v>
      </c>
      <c r="FD9" s="115" cm="1">
        <f t="array" ref="FD9">_xll.EQNXTDZ($A$1,$B9,FD$1)</f>
        <v>220.22</v>
      </c>
      <c r="FE9" s="115" cm="1">
        <f t="array" ref="FE9">_xll.EQNXTDZ($A$1,$B9,FE$1)</f>
        <v>215.56</v>
      </c>
      <c r="FF9" s="115" cm="1">
        <f t="array" ref="FF9">_xll.EQNXTDZ($A$1,$B9,FF$1)</f>
        <v>234.17</v>
      </c>
      <c r="FG9" s="115" cm="1">
        <f t="array" ref="FG9">_xll.EQNXTDZ($A$1,$B9,FG$1)</f>
        <v>244.54</v>
      </c>
      <c r="FH9" s="115" cm="1">
        <f t="array" ref="FH9">_xll.EQNXTDZ($A$1,$B9,FH$1)</f>
        <v>219.14</v>
      </c>
      <c r="FI9" s="115" cm="1">
        <f t="array" ref="FI9">_xll.EQNXTDZ($A$1,$B9,FI$1)</f>
        <v>211.7</v>
      </c>
      <c r="FJ9" s="115" cm="1">
        <f t="array" ref="FJ9">_xll.EQNXTDZ($A$1,$B9,FJ$1)</f>
        <v>180.19</v>
      </c>
      <c r="FK9" s="115" cm="1">
        <f t="array" ref="FK9">_xll.EQNXTDZ($A$1,$B9,FK$1)</f>
        <v>176.53</v>
      </c>
      <c r="FL9" s="115" cm="1">
        <f t="array" ref="FL9">_xll.EQNXTDZ($A$1,$B9,FL$1)</f>
        <v>149.9</v>
      </c>
      <c r="FM9" s="115" cm="1">
        <f t="array" ref="FM9">_xll.EQNXTDZ($A$1,$B9,FM$1)</f>
        <v>179.36</v>
      </c>
      <c r="FN9" s="115" cm="1">
        <f t="array" ref="FN9">_xll.EQNXTDZ($A$1,$B9,FN$1)</f>
        <v>163.43</v>
      </c>
      <c r="FO9" s="115" cm="1">
        <f t="array" ref="FO9">_xll.EQNXTDZ($A$1,$B9,FO$1)</f>
        <v>173.95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71.75</v>
      </c>
      <c r="HQ9" s="115">
        <f>+I9</f>
        <v>72.25</v>
      </c>
      <c r="HR9" s="115">
        <f>+L9</f>
        <v>62.3</v>
      </c>
      <c r="HS9" s="115">
        <f>+O9</f>
        <v>62.95</v>
      </c>
      <c r="HT9" s="115">
        <f>+R9</f>
        <v>60.4</v>
      </c>
      <c r="HU9" s="115">
        <f>+U9</f>
        <v>74.7</v>
      </c>
      <c r="HV9" s="115">
        <f>+X9</f>
        <v>89.4</v>
      </c>
      <c r="HW9" s="115">
        <f>+AA9</f>
        <v>134.6</v>
      </c>
      <c r="HX9" s="115">
        <f>+AD9</f>
        <v>192</v>
      </c>
      <c r="HY9" s="115">
        <f>+AG9</f>
        <v>181.05</v>
      </c>
      <c r="HZ9" s="115">
        <f>+AJ9</f>
        <v>232.1</v>
      </c>
      <c r="IA9" s="115">
        <f>+AM9</f>
        <v>236.45</v>
      </c>
      <c r="IB9" s="115">
        <f>+AP9</f>
        <v>273.7</v>
      </c>
      <c r="IC9" s="115">
        <f>+AS9</f>
        <v>239.75</v>
      </c>
      <c r="ID9" s="115">
        <f>+AV9</f>
        <v>209.55</v>
      </c>
      <c r="IE9" s="115">
        <f>+AY9</f>
        <v>298.39999999999998</v>
      </c>
      <c r="IF9" s="115">
        <f>+BB9</f>
        <v>257.14999999999998</v>
      </c>
      <c r="IG9" s="115">
        <f>+BE9</f>
        <v>242.3</v>
      </c>
      <c r="IH9" s="115">
        <f>+BH9</f>
        <v>239.2</v>
      </c>
      <c r="II9" s="115">
        <f>+BK9</f>
        <v>257.14999999999998</v>
      </c>
      <c r="IJ9" s="115">
        <f>+BN9</f>
        <v>220.65</v>
      </c>
      <c r="IK9" s="115">
        <f>+BQ9</f>
        <v>355</v>
      </c>
      <c r="IL9" s="115">
        <f>+BT9</f>
        <v>321.3</v>
      </c>
      <c r="IM9" s="115">
        <f>+BW9</f>
        <v>277.45</v>
      </c>
      <c r="IN9" s="115">
        <f>+BZ9</f>
        <v>236.95</v>
      </c>
      <c r="IO9" s="115">
        <f>+CC9</f>
        <v>194.85</v>
      </c>
      <c r="IP9" s="115">
        <f>+CF9</f>
        <v>195.25</v>
      </c>
      <c r="IQ9" s="115">
        <f>+CI9</f>
        <v>258.35000000000002</v>
      </c>
      <c r="IR9" s="115">
        <f>+CL9</f>
        <v>244.15</v>
      </c>
      <c r="IS9" s="115">
        <f>+CO9</f>
        <v>246.95</v>
      </c>
      <c r="IT9" s="115">
        <f>+CR9</f>
        <v>195.6</v>
      </c>
      <c r="IU9" s="115">
        <f>+CU9</f>
        <v>203.45</v>
      </c>
      <c r="IV9" s="115">
        <f>+CX9</f>
        <v>310.5</v>
      </c>
      <c r="IW9" s="115">
        <f>+DA9</f>
        <v>313.55</v>
      </c>
      <c r="IX9" s="115">
        <f>+DD9</f>
        <v>279.89999999999998</v>
      </c>
      <c r="IY9" s="115">
        <f>+DG9</f>
        <v>293.7</v>
      </c>
      <c r="IZ9" s="115">
        <f>+DJ9</f>
        <v>265.64999999999998</v>
      </c>
      <c r="JA9" s="115">
        <f>+DM9</f>
        <v>227.65</v>
      </c>
      <c r="JB9" s="115">
        <f>+DP9</f>
        <v>150.9</v>
      </c>
      <c r="JC9" s="115">
        <f>+DS9</f>
        <v>165.05</v>
      </c>
      <c r="JD9" s="115">
        <f>+DV9</f>
        <v>218.8</v>
      </c>
      <c r="JE9" s="115">
        <f>+DY9</f>
        <v>199.35</v>
      </c>
      <c r="JF9" s="115">
        <f>+EB9</f>
        <v>189.5</v>
      </c>
      <c r="JG9" s="115">
        <f>+EE9</f>
        <v>273.10000000000002</v>
      </c>
      <c r="JH9" s="115">
        <f>+EH9</f>
        <v>257.25</v>
      </c>
      <c r="JI9" s="115">
        <f>+EK9</f>
        <v>286.89999999999998</v>
      </c>
      <c r="JJ9" s="115">
        <f>+EN9</f>
        <v>299.14999999999998</v>
      </c>
      <c r="JK9" s="115">
        <f>EQ9</f>
        <v>360.45</v>
      </c>
      <c r="JL9" s="115">
        <f>ET9</f>
        <v>385.45</v>
      </c>
      <c r="JM9" s="115">
        <f>EW9</f>
        <v>273.60000000000002</v>
      </c>
      <c r="JN9" s="115">
        <f>EZ9</f>
        <v>180.66</v>
      </c>
      <c r="JO9" s="115">
        <f>FC9</f>
        <v>211.16</v>
      </c>
      <c r="JP9" s="115">
        <f>FF9</f>
        <v>234.17</v>
      </c>
      <c r="JQ9" s="115">
        <f>FI9</f>
        <v>211.7</v>
      </c>
      <c r="JR9" s="115">
        <f>FL9</f>
        <v>149.9</v>
      </c>
      <c r="JS9" s="115">
        <f>FO9</f>
        <v>173.95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59.85</v>
      </c>
      <c r="D13" cm="1">
        <f t="array" ref="D13">_xll.EQNXTDZ($A$1,$B13,D$1)</f>
        <v>71.400000000000006</v>
      </c>
      <c r="E13" cm="1">
        <f t="array" ref="E13">_xll.EQNXTDZ($A$1,$B13,E$1)</f>
        <v>64.75</v>
      </c>
      <c r="F13" cm="1">
        <f t="array" ref="F13">_xll.EQNXTDZ($A$1,$B13,F$1)</f>
        <v>69.75</v>
      </c>
      <c r="G13" cm="1">
        <f t="array" ref="G13">_xll.EQNXTDZ($A$1,$B13,G$1)</f>
        <v>72.099999999999994</v>
      </c>
      <c r="H13" cm="1">
        <f t="array" ref="H13">_xll.EQNXTDZ($A$1,$B13,H$1)</f>
        <v>68.900000000000006</v>
      </c>
      <c r="I13" cm="1">
        <f t="array" ref="I13">_xll.EQNXTDZ($A$1,$B13,I$1)</f>
        <v>68.45</v>
      </c>
      <c r="J13" cm="1">
        <f t="array" ref="J13">_xll.EQNXTDZ($A$1,$B13,J$1)</f>
        <v>72.5</v>
      </c>
      <c r="K13" cm="1">
        <f t="array" ref="K13">_xll.EQNXTDZ($A$1,$B13,K$1)</f>
        <v>69.150000000000006</v>
      </c>
      <c r="L13" cm="1">
        <f t="array" ref="L13">_xll.EQNXTDZ($A$1,$B13,L$1)</f>
        <v>63.8</v>
      </c>
      <c r="M13" cm="1">
        <f t="array" ref="M13">_xll.EQNXTDZ($A$1,$B13,M$1)</f>
        <v>62</v>
      </c>
      <c r="N13" cm="1">
        <f t="array" ref="N13">_xll.EQNXTDZ($A$1,$B13,N$1)</f>
        <v>62.95</v>
      </c>
      <c r="O13" cm="1">
        <f t="array" ref="O13">_xll.EQNXTDZ($A$1,$B13,O$1)</f>
        <v>67</v>
      </c>
      <c r="P13" cm="1">
        <f t="array" ref="P13">_xll.EQNXTDZ($A$1,$B13,P$1)</f>
        <v>63.25</v>
      </c>
      <c r="Q13" cm="1">
        <f t="array" ref="Q13">_xll.EQNXTDZ($A$1,$B13,Q$1)</f>
        <v>61.35</v>
      </c>
      <c r="R13" cm="1">
        <f t="array" ref="R13">_xll.EQNXTDZ($A$1,$B13,R$1)</f>
        <v>61.15</v>
      </c>
      <c r="S13" cm="1">
        <f t="array" ref="S13">_xll.EQNXTDZ($A$1,$B13,S$1)</f>
        <v>60.15</v>
      </c>
      <c r="T13" cm="1">
        <f t="array" ref="T13">_xll.EQNXTDZ($A$1,$B13,T$1)</f>
        <v>63.5</v>
      </c>
      <c r="U13" cm="1">
        <f t="array" ref="U13">_xll.EQNXTDZ($A$1,$B13,U$1)</f>
        <v>65.349999999999994</v>
      </c>
      <c r="V13" cm="1">
        <f t="array" ref="V13">_xll.EQNXTDZ($A$1,$B13,V$1)</f>
        <v>74.95</v>
      </c>
      <c r="W13" cm="1">
        <f t="array" ref="W13">_xll.EQNXTDZ($A$1,$B13,W$1)</f>
        <v>73.3</v>
      </c>
      <c r="X13" cm="1">
        <f t="array" ref="X13">_xll.EQNXTDZ($A$1,$B13,X$1)</f>
        <v>86.9</v>
      </c>
      <c r="Y13" cm="1">
        <f t="array" ref="Y13">_xll.EQNXTDZ($A$1,$B13,Y$1)</f>
        <v>89.8</v>
      </c>
      <c r="Z13" cm="1">
        <f t="array" ref="Z13">_xll.EQNXTDZ($A$1,$B13,Z$1)</f>
        <v>100.05</v>
      </c>
      <c r="AA13" cm="1">
        <f t="array" ref="AA13">_xll.EQNXTDZ($A$1,$B13,AA$1)</f>
        <v>115.5</v>
      </c>
      <c r="AB13" cm="1">
        <f t="array" ref="AB13">_xll.EQNXTDZ($A$1,$B13,AB$1)</f>
        <v>133.69999999999999</v>
      </c>
      <c r="AC13" cm="1">
        <f t="array" ref="AC13">_xll.EQNXTDZ($A$1,$B13,AC$1)</f>
        <v>163</v>
      </c>
      <c r="AD13" cm="1">
        <f t="array" ref="AD13">_xll.EQNXTDZ($A$1,$B13,AD$1)</f>
        <v>165</v>
      </c>
      <c r="AE13" cm="1">
        <f t="array" ref="AE13">_xll.EQNXTDZ($A$1,$B13,AE$1)</f>
        <v>194.5</v>
      </c>
      <c r="AF13" cm="1">
        <f t="array" ref="AF13">_xll.EQNXTDZ($A$1,$B13,AF$1)</f>
        <v>178</v>
      </c>
      <c r="AG13" cm="1">
        <f t="array" ref="AG13">_xll.EQNXTDZ($A$1,$B13,AG$1)</f>
        <v>175.35</v>
      </c>
      <c r="AH13" cm="1">
        <f t="array" ref="AH13">_xll.EQNXTDZ($A$1,$B13,AH$1)</f>
        <v>180</v>
      </c>
      <c r="AI13" cm="1">
        <f t="array" ref="AI13">_xll.EQNXTDZ($A$1,$B13,AI$1)</f>
        <v>206.6</v>
      </c>
      <c r="AJ13" cm="1">
        <f t="array" ref="AJ13">_xll.EQNXTDZ($A$1,$B13,AJ$1)</f>
        <v>217.5</v>
      </c>
      <c r="AK13" cm="1">
        <f t="array" ref="AK13">_xll.EQNXTDZ($A$1,$B13,AK$1)</f>
        <v>233.9</v>
      </c>
      <c r="AL13" cm="1">
        <f t="array" ref="AL13">_xll.EQNXTDZ($A$1,$B13,AL$1)</f>
        <v>225.3</v>
      </c>
      <c r="AM13" cm="1">
        <f t="array" ref="AM13">_xll.EQNXTDZ($A$1,$B13,AM$1)</f>
        <v>230</v>
      </c>
      <c r="AN13" cm="1">
        <f t="array" ref="AN13">_xll.EQNXTDZ($A$1,$B13,AN$1)</f>
        <v>239.9</v>
      </c>
      <c r="AO13" cm="1">
        <f t="array" ref="AO13">_xll.EQNXTDZ($A$1,$B13,AO$1)</f>
        <v>308.10000000000002</v>
      </c>
      <c r="AP13" cm="1">
        <f t="array" ref="AP13">_xll.EQNXTDZ($A$1,$B13,AP$1)</f>
        <v>275.2</v>
      </c>
      <c r="AQ13" cm="1">
        <f t="array" ref="AQ13">_xll.EQNXTDZ($A$1,$B13,AQ$1)</f>
        <v>273</v>
      </c>
      <c r="AR13" cm="1">
        <f t="array" ref="AR13">_xll.EQNXTDZ($A$1,$B13,AR$1)</f>
        <v>267</v>
      </c>
      <c r="AS13" cm="1">
        <f t="array" ref="AS13">_xll.EQNXTDZ($A$1,$B13,AS$1)</f>
        <v>243</v>
      </c>
      <c r="AT13" cm="1">
        <f t="array" ref="AT13">_xll.EQNXTDZ($A$1,$B13,AT$1)</f>
        <v>242</v>
      </c>
      <c r="AU13" cm="1">
        <f t="array" ref="AU13">_xll.EQNXTDZ($A$1,$B13,AU$1)</f>
        <v>221.6</v>
      </c>
      <c r="AV13" cm="1">
        <f t="array" ref="AV13">_xll.EQNXTDZ($A$1,$B13,AV$1)</f>
        <v>205</v>
      </c>
      <c r="AW13" cm="1">
        <f t="array" ref="AW13">_xll.EQNXTDZ($A$1,$B13,AW$1)</f>
        <v>212.8</v>
      </c>
      <c r="AX13" cm="1">
        <f t="array" ref="AX13">_xll.EQNXTDZ($A$1,$B13,AX$1)</f>
        <v>226.9</v>
      </c>
      <c r="AY13" cm="1">
        <f t="array" ref="AY13">_xll.EQNXTDZ($A$1,$B13,AY$1)</f>
        <v>268.5</v>
      </c>
      <c r="AZ13" cm="1">
        <f t="array" ref="AZ13">_xll.EQNXTDZ($A$1,$B13,AZ$1)</f>
        <v>303</v>
      </c>
      <c r="BA13" cm="1">
        <f t="array" ref="BA13">_xll.EQNXTDZ($A$1,$B13,BA$1)</f>
        <v>323.7</v>
      </c>
      <c r="BB13" cm="1">
        <f t="array" ref="BB13">_xll.EQNXTDZ($A$1,$B13,BB$1)</f>
        <v>283</v>
      </c>
      <c r="BC13" cm="1">
        <f t="array" ref="BC13">_xll.EQNXTDZ($A$1,$B13,BC$1)</f>
        <v>261.64999999999998</v>
      </c>
      <c r="BD13" cm="1">
        <f t="array" ref="BD13">_xll.EQNXTDZ($A$1,$B13,BD$1)</f>
        <v>293</v>
      </c>
      <c r="BE13" cm="1">
        <f t="array" ref="BE13">_xll.EQNXTDZ($A$1,$B13,BE$1)</f>
        <v>251.65</v>
      </c>
      <c r="BF13" cm="1">
        <f t="array" ref="BF13">_xll.EQNXTDZ($A$1,$B13,BF$1)</f>
        <v>240.35</v>
      </c>
      <c r="BG13" cm="1">
        <f t="array" ref="BG13">_xll.EQNXTDZ($A$1,$B13,BG$1)</f>
        <v>243</v>
      </c>
      <c r="BH13" cm="1">
        <f t="array" ref="BH13">_xll.EQNXTDZ($A$1,$B13,BH$1)</f>
        <v>239.95</v>
      </c>
      <c r="BI13" cm="1">
        <f t="array" ref="BI13">_xll.EQNXTDZ($A$1,$B13,BI$1)</f>
        <v>242</v>
      </c>
      <c r="BJ13" cm="1">
        <f t="array" ref="BJ13">_xll.EQNXTDZ($A$1,$B13,BJ$1)</f>
        <v>274</v>
      </c>
      <c r="BK13" cm="1">
        <f t="array" ref="BK13">_xll.EQNXTDZ($A$1,$B13,BK$1)</f>
        <v>234</v>
      </c>
      <c r="BL13" cm="1">
        <f t="array" ref="BL13">_xll.EQNXTDZ($A$1,$B13,BL$1)</f>
        <v>261.10000000000002</v>
      </c>
      <c r="BM13" cm="1">
        <f t="array" ref="BM13">_xll.EQNXTDZ($A$1,$B13,BM$1)</f>
        <v>254.1</v>
      </c>
      <c r="BN13" cm="1">
        <f t="array" ref="BN13">_xll.EQNXTDZ($A$1,$B13,BN$1)</f>
        <v>219.5</v>
      </c>
      <c r="BO13" cm="1">
        <f t="array" ref="BO13">_xll.EQNXTDZ($A$1,$B13,BO$1)</f>
        <v>218.9</v>
      </c>
      <c r="BP13" cm="1">
        <f t="array" ref="BP13">_xll.EQNXTDZ($A$1,$B13,BP$1)</f>
        <v>259.5</v>
      </c>
      <c r="BQ13" cm="1">
        <f t="array" ref="BQ13">_xll.EQNXTDZ($A$1,$B13,BQ$1)</f>
        <v>305</v>
      </c>
      <c r="BR13" cm="1">
        <f t="array" ref="BR13">_xll.EQNXTDZ($A$1,$B13,BR$1)</f>
        <v>354.3</v>
      </c>
      <c r="BS13" cm="1">
        <f t="array" ref="BS13">_xll.EQNXTDZ($A$1,$B13,BS$1)</f>
        <v>320.64999999999998</v>
      </c>
      <c r="BT13" cm="1">
        <f t="array" ref="BT13">_xll.EQNXTDZ($A$1,$B13,BT$1)</f>
        <v>314</v>
      </c>
      <c r="BU13" cm="1">
        <f t="array" ref="BU13">_xll.EQNXTDZ($A$1,$B13,BU$1)</f>
        <v>325.10000000000002</v>
      </c>
      <c r="BV13" cm="1">
        <f t="array" ref="BV13">_xll.EQNXTDZ($A$1,$B13,BV$1)</f>
        <v>363</v>
      </c>
      <c r="BW13" cm="1">
        <f t="array" ref="BW13">_xll.EQNXTDZ($A$1,$B13,BW$1)</f>
        <v>305.64999999999998</v>
      </c>
      <c r="BX13" cm="1">
        <f t="array" ref="BX13">_xll.EQNXTDZ($A$1,$B13,BX$1)</f>
        <v>275</v>
      </c>
      <c r="BY13" cm="1">
        <f t="array" ref="BY13">_xll.EQNXTDZ($A$1,$B13,BY$1)</f>
        <v>290</v>
      </c>
      <c r="BZ13" cm="1">
        <f t="array" ref="BZ13">_xll.EQNXTDZ($A$1,$B13,BZ$1)</f>
        <v>267.05</v>
      </c>
      <c r="CA13" cm="1">
        <f t="array" ref="CA13">_xll.EQNXTDZ($A$1,$B13,CA$1)</f>
        <v>237.45</v>
      </c>
      <c r="CB13" cm="1">
        <f t="array" ref="CB13">_xll.EQNXTDZ($A$1,$B13,CB$1)</f>
        <v>215</v>
      </c>
      <c r="CC13" cm="1">
        <f t="array" ref="CC13">_xll.EQNXTDZ($A$1,$B13,CC$1)</f>
        <v>208.05</v>
      </c>
      <c r="CD13" cm="1">
        <f t="array" ref="CD13">_xll.EQNXTDZ($A$1,$B13,CD$1)</f>
        <v>194.05</v>
      </c>
      <c r="CE13" cm="1">
        <f t="array" ref="CE13">_xll.EQNXTDZ($A$1,$B13,CE$1)</f>
        <v>177.9</v>
      </c>
      <c r="CF13" cm="1">
        <f t="array" ref="CF13">_xll.EQNXTDZ($A$1,$B13,CF$1)</f>
        <v>194.7</v>
      </c>
      <c r="CG13" cm="1">
        <f t="array" ref="CG13">_xll.EQNXTDZ($A$1,$B13,CG$1)</f>
        <v>201</v>
      </c>
      <c r="CH13" cm="1">
        <f t="array" ref="CH13">_xll.EQNXTDZ($A$1,$B13,CH$1)</f>
        <v>224</v>
      </c>
      <c r="CI13" cm="1">
        <f t="array" ref="CI13">_xll.EQNXTDZ($A$1,$B13,CI$1)</f>
        <v>260</v>
      </c>
      <c r="CJ13" cm="1">
        <f t="array" ref="CJ13">_xll.EQNXTDZ($A$1,$B13,CJ$1)</f>
        <v>255.8</v>
      </c>
      <c r="CK13" cm="1">
        <f t="array" ref="CK13">_xll.EQNXTDZ($A$1,$B13,CK$1)</f>
        <v>226.6</v>
      </c>
      <c r="CL13" cm="1">
        <f t="array" ref="CL13">_xll.EQNXTDZ($A$1,$B13,CL$1)</f>
        <v>206.55</v>
      </c>
      <c r="CM13" cm="1">
        <f t="array" ref="CM13">_xll.EQNXTDZ($A$1,$B13,CM$1)</f>
        <v>249.85</v>
      </c>
      <c r="CN13" cm="1">
        <f t="array" ref="CN13">_xll.EQNXTDZ($A$1,$B13,CN$1)</f>
        <v>254</v>
      </c>
      <c r="CO13" cm="1">
        <f t="array" ref="CO13">_xll.EQNXTDZ($A$1,$B13,CO$1)</f>
        <v>252.9</v>
      </c>
      <c r="CP13" cm="1">
        <f t="array" ref="CP13">_xll.EQNXTDZ($A$1,$B13,CP$1)</f>
        <v>249.05</v>
      </c>
      <c r="CQ13" cm="1">
        <f t="array" ref="CQ13">_xll.EQNXTDZ($A$1,$B13,CQ$1)</f>
        <v>252.75</v>
      </c>
      <c r="CR13" cm="1">
        <f t="array" ref="CR13">_xll.EQNXTDZ($A$1,$B13,CR$1)</f>
        <v>276.89999999999998</v>
      </c>
      <c r="CS13" cm="1">
        <f t="array" ref="CS13">_xll.EQNXTDZ($A$1,$B13,CS$1)</f>
        <v>200</v>
      </c>
      <c r="CT13" cm="1">
        <f t="array" ref="CT13">_xll.EQNXTDZ($A$1,$B13,CT$1)</f>
        <v>205</v>
      </c>
      <c r="CU13" cm="1">
        <f t="array" ref="CU13">_xll.EQNXTDZ($A$1,$B13,CU$1)</f>
        <v>202.8</v>
      </c>
      <c r="CV13" cm="1">
        <f t="array" ref="CV13">_xll.EQNXTDZ($A$1,$B13,CV$1)</f>
        <v>204</v>
      </c>
      <c r="CW13" cm="1">
        <f t="array" ref="CW13">_xll.EQNXTDZ($A$1,$B13,CW$1)</f>
        <v>232.1</v>
      </c>
      <c r="CX13" cm="1">
        <f t="array" ref="CX13">_xll.EQNXTDZ($A$1,$B13,CX$1)</f>
        <v>277.95</v>
      </c>
      <c r="CY13" cm="1">
        <f t="array" ref="CY13">_xll.EQNXTDZ($A$1,$B13,CY$1)</f>
        <v>315</v>
      </c>
      <c r="CZ13" cm="1">
        <f t="array" ref="CZ13">_xll.EQNXTDZ($A$1,$B13,CZ$1)</f>
        <v>280</v>
      </c>
      <c r="DA13" cm="1">
        <f t="array" ref="DA13">_xll.EQNXTDZ($A$1,$B13,DA$1)</f>
        <v>306</v>
      </c>
      <c r="DB13" cm="1">
        <f t="array" ref="DB13">_xll.EQNXTDZ($A$1,$B13,DB$1)</f>
        <v>313.95</v>
      </c>
      <c r="DC13" cm="1">
        <f t="array" ref="DC13">_xll.EQNXTDZ($A$1,$B13,DC$1)</f>
        <v>304</v>
      </c>
      <c r="DD13" cm="1">
        <f t="array" ref="DD13">_xll.EQNXTDZ($A$1,$B13,DD$1)</f>
        <v>290.5</v>
      </c>
      <c r="DE13" cm="1">
        <f t="array" ref="DE13">_xll.EQNXTDZ($A$1,$B13,DE$1)</f>
        <v>285</v>
      </c>
      <c r="DF13" cm="1">
        <f t="array" ref="DF13">_xll.EQNXTDZ($A$1,$B13,DF$1)</f>
        <v>265.55</v>
      </c>
      <c r="DG13" cm="1">
        <f t="array" ref="DG13">_xll.EQNXTDZ($A$1,$B13,DG$1)</f>
        <v>277</v>
      </c>
      <c r="DH13" cm="1">
        <f t="array" ref="DH13">_xll.EQNXTDZ($A$1,$B13,DH$1)</f>
        <v>294.95</v>
      </c>
      <c r="DI13" cm="1">
        <f t="array" ref="DI13">_xll.EQNXTDZ($A$1,$B13,DI$1)</f>
        <v>303.05</v>
      </c>
      <c r="DJ13" cm="1">
        <f t="array" ref="DJ13">_xll.EQNXTDZ($A$1,$B13,DJ$1)</f>
        <v>272.14999999999998</v>
      </c>
      <c r="DK13" cm="1">
        <f t="array" ref="DK13">_xll.EQNXTDZ($A$1,$B13,DK$1)</f>
        <v>265.14999999999998</v>
      </c>
      <c r="DL13" cm="1">
        <f t="array" ref="DL13">_xll.EQNXTDZ($A$1,$B13,DL$1)</f>
        <v>241.95</v>
      </c>
      <c r="DM13" cm="1">
        <f t="array" ref="DM13">_xll.EQNXTDZ($A$1,$B13,DM$1)</f>
        <v>221.05</v>
      </c>
      <c r="DN13" cm="1">
        <f t="array" ref="DN13">_xll.EQNXTDZ($A$1,$B13,DN$1)</f>
        <v>220.1</v>
      </c>
      <c r="DO13" cm="1">
        <f t="array" ref="DO13">_xll.EQNXTDZ($A$1,$B13,DO$1)</f>
        <v>203.4</v>
      </c>
      <c r="DP13" cm="1">
        <f t="array" ref="DP13">_xll.EQNXTDZ($A$1,$B13,DP$1)</f>
        <v>168</v>
      </c>
      <c r="DQ13" cm="1">
        <f t="array" ref="DQ13">_xll.EQNXTDZ($A$1,$B13,DQ$1)</f>
        <v>152.6</v>
      </c>
      <c r="DR13" cm="1">
        <f t="array" ref="DR13">_xll.EQNXTDZ($A$1,$B13,DR$1)</f>
        <v>199.9</v>
      </c>
      <c r="DS13" cm="1">
        <f t="array" ref="DS13">_xll.EQNXTDZ($A$1,$B13,DS$1)</f>
        <v>170</v>
      </c>
      <c r="DT13" cm="1">
        <f t="array" ref="DT13">_xll.EQNXTDZ($A$1,$B13,DT$1)</f>
        <v>164.55</v>
      </c>
      <c r="DU13" cm="1">
        <f t="array" ref="DU13">_xll.EQNXTDZ($A$1,$B13,DU$1)</f>
        <v>196.5</v>
      </c>
      <c r="DV13" cm="1">
        <f t="array" ref="DV13">_xll.EQNXTDZ($A$1,$B13,DV$1)</f>
        <v>187.65</v>
      </c>
      <c r="DW13" cm="1">
        <f t="array" ref="DW13">_xll.EQNXTDZ($A$1,$B13,DW$1)</f>
        <v>217.5</v>
      </c>
      <c r="DX13" cm="1">
        <f t="array" ref="DX13">_xll.EQNXTDZ($A$1,$B13,DX$1)</f>
        <v>219</v>
      </c>
      <c r="DY13" cm="1">
        <f t="array" ref="DY13">_xll.EQNXTDZ($A$1,$B13,DY$1)</f>
        <v>196</v>
      </c>
      <c r="DZ13" cm="1">
        <f t="array" ref="DZ13">_xll.EQNXTDZ($A$1,$B13,DZ$1)</f>
        <v>196.9</v>
      </c>
      <c r="EA13" cm="1">
        <f t="array" ref="EA13">_xll.EQNXTDZ($A$1,$B13,EA$1)</f>
        <v>196.9</v>
      </c>
      <c r="EB13" cm="1">
        <f t="array" ref="EB13">_xll.EQNXTDZ($A$1,$B13,EB$1)</f>
        <v>198.2</v>
      </c>
      <c r="EC13" cm="1">
        <f t="array" ref="EC13">_xll.EQNXTDZ($A$1,$B13,EC$1)</f>
        <v>194.65</v>
      </c>
      <c r="ED13" cm="1">
        <f t="array" ref="ED13">_xll.EQNXTDZ($A$1,$B13,ED$1)</f>
        <v>239.5</v>
      </c>
      <c r="EE13" cm="1">
        <f t="array" ref="EE13">_xll.EQNXTDZ($A$1,$B13,EE$1)</f>
        <v>283.60000000000002</v>
      </c>
      <c r="EF13" cm="1">
        <f t="array" ref="EF13">_xll.EQNXTDZ($A$1,$B13,EF$1)</f>
        <v>268.10000000000002</v>
      </c>
      <c r="EG13" cm="1">
        <f t="array" ref="EG13">_xll.EQNXTDZ($A$1,$B13,EG$1)</f>
        <v>263.45</v>
      </c>
      <c r="EH13" cm="1">
        <f t="array" ref="EH13">_xll.EQNXTDZ($A$1,$B13,EH$1)</f>
        <v>261.35000000000002</v>
      </c>
      <c r="EI13" cm="1">
        <f t="array" ref="EI13">_xll.EQNXTDZ($A$1,$B13,EI$1)</f>
        <v>256.55</v>
      </c>
      <c r="EJ13" cm="1">
        <f t="array" ref="EJ13">_xll.EQNXTDZ($A$1,$B13,EJ$1)</f>
        <v>283</v>
      </c>
      <c r="EK13" cm="1">
        <f t="array" ref="EK13">_xll.EQNXTDZ($A$1,$B13,EK$1)</f>
        <v>304.64999999999998</v>
      </c>
      <c r="EL13" cm="1">
        <f t="array" ref="EL13">_xll.EQNXTDZ($A$1,$B13,EL$1)</f>
        <v>292.75</v>
      </c>
      <c r="EM13" cm="1">
        <f t="array" ref="EM13">_xll.EQNXTDZ($A$1,$B13,EM$1)</f>
        <v>326.8</v>
      </c>
      <c r="EN13" cm="1">
        <f t="array" ref="EN13">_xll.EQNXTDZ($A$1,$B13,EN$1)</f>
        <v>337.5</v>
      </c>
      <c r="EO13" cm="1">
        <f t="array" ref="EO13">_xll.EQNXTDZ($A$1,$B13,EO$1)</f>
        <v>312.89999999999998</v>
      </c>
      <c r="EP13" cm="1">
        <f t="array" ref="EP13">_xll.EQNXTDZ($A$1,$B13,EP$1)</f>
        <v>309</v>
      </c>
      <c r="EQ13" cm="1">
        <f t="array" ref="EQ13">_xll.EQNXTDZ($A$1,$B13,EQ$1)</f>
        <v>311</v>
      </c>
      <c r="ER13" cm="1">
        <f t="array" ref="ER13">_xll.EQNXTDZ($A$1,$B13,ER$1)</f>
        <v>361.05</v>
      </c>
      <c r="ES13" cm="1">
        <f t="array" ref="ES13">_xll.EQNXTDZ($A$1,$B13,ES$1)</f>
        <v>390.6</v>
      </c>
      <c r="ET13" cm="1">
        <f t="array" ref="ET13">_xll.EQNXTDZ($A$1,$B13,ET$1)</f>
        <v>408</v>
      </c>
      <c r="EU13" cm="1">
        <f t="array" ref="EU13">_xll.EQNXTDZ($A$1,$B13,EU$1)</f>
        <v>386</v>
      </c>
      <c r="EV13" cm="1">
        <f t="array" ref="EV13">_xll.EQNXTDZ($A$1,$B13,EV$1)</f>
        <v>288.95</v>
      </c>
      <c r="EW13" cm="1">
        <f t="array" ref="EW13">_xll.EQNXTDZ($A$1,$B13,EW$1)</f>
        <v>285.95</v>
      </c>
      <c r="EX13" cm="1">
        <f t="array" ref="EX13">_xll.EQNXTDZ($A$1,$B13,EX$1)</f>
        <v>276.95</v>
      </c>
      <c r="EY13" cm="1">
        <f t="array" ref="EY13">_xll.EQNXTDZ($A$1,$B13,EY$1)</f>
        <v>227.65</v>
      </c>
      <c r="EZ13" cm="1">
        <f t="array" ref="EZ13">_xll.EQNXTDZ($A$1,$B13,EZ$1)</f>
        <v>177.75</v>
      </c>
      <c r="FA13" cm="1">
        <f t="array" ref="FA13">_xll.EQNXTDZ($A$1,$B13,FA$1)</f>
        <v>178.2</v>
      </c>
      <c r="FB13" cm="1">
        <f t="array" ref="FB13">_xll.EQNXTDZ($A$1,$B13,FB$1)</f>
        <v>191.1</v>
      </c>
      <c r="FC13" cm="1">
        <f t="array" ref="FC13">_xll.EQNXTDZ($A$1,$B13,FC$1)</f>
        <v>205.1</v>
      </c>
      <c r="FD13" cm="1">
        <f t="array" ref="FD13">_xll.EQNXTDZ($A$1,$B13,FD$1)</f>
        <v>212.5</v>
      </c>
      <c r="FE13" cm="1">
        <f t="array" ref="FE13">_xll.EQNXTDZ($A$1,$B13,FE$1)</f>
        <v>216.05</v>
      </c>
      <c r="FF13" cm="1">
        <f t="array" ref="FF13">_xll.EQNXTDZ($A$1,$B13,FF$1)</f>
        <v>216</v>
      </c>
      <c r="FG13" cm="1">
        <f t="array" ref="FG13">_xll.EQNXTDZ($A$1,$B13,FG$1)</f>
        <v>234.3</v>
      </c>
      <c r="FH13" cm="1">
        <f t="array" ref="FH13">_xll.EQNXTDZ($A$1,$B13,FH$1)</f>
        <v>249.05</v>
      </c>
      <c r="FI13" cm="1">
        <f t="array" ref="FI13">_xll.EQNXTDZ($A$1,$B13,FI$1)</f>
        <v>220.05</v>
      </c>
      <c r="FJ13" cm="1">
        <f t="array" ref="FJ13">_xll.EQNXTDZ($A$1,$B13,FJ$1)</f>
        <v>211.3</v>
      </c>
      <c r="FK13" cm="1">
        <f t="array" ref="FK13">_xll.EQNXTDZ($A$1,$B13,FK$1)</f>
        <v>179.6</v>
      </c>
      <c r="FL13" cm="1">
        <f t="array" ref="FL13">_xll.EQNXTDZ($A$1,$B13,FL$1)</f>
        <v>173</v>
      </c>
      <c r="FM13" cm="1">
        <f t="array" ref="FM13">_xll.EQNXTDZ($A$1,$B13,FM$1)</f>
        <v>150.5</v>
      </c>
      <c r="FN13" cm="1">
        <f t="array" ref="FN13">_xll.EQNXTDZ($A$1,$B13,FN$1)</f>
        <v>179</v>
      </c>
      <c r="FO13" cm="1">
        <f t="array" ref="FO13">_xll.EQNXTDZ($A$1,$B13,FO$1)</f>
        <v>164.95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74.7</v>
      </c>
      <c r="D14" s="115" cm="1">
        <f t="array" ref="D14">_xll.EQNXTDZ($A$1,$B14,D$1)</f>
        <v>74</v>
      </c>
      <c r="E14" s="115" cm="1">
        <f t="array" ref="E14">_xll.EQNXTDZ($A$1,$B14,E$1)</f>
        <v>71.8</v>
      </c>
      <c r="F14" s="115" cm="1">
        <f t="array" ref="F14">_xll.EQNXTDZ($A$1,$B14,F$1)</f>
        <v>75.45</v>
      </c>
      <c r="G14" s="115" cm="1">
        <f t="array" ref="G14">_xll.EQNXTDZ($A$1,$B14,G$1)</f>
        <v>77</v>
      </c>
      <c r="H14" s="115" cm="1">
        <f t="array" ref="H14">_xll.EQNXTDZ($A$1,$B14,H$1)</f>
        <v>70</v>
      </c>
      <c r="I14" s="115" cm="1">
        <f t="array" ref="I14">_xll.EQNXTDZ($A$1,$B14,I$1)</f>
        <v>76.5</v>
      </c>
      <c r="J14" s="115" cm="1">
        <f t="array" ref="J14">_xll.EQNXTDZ($A$1,$B14,J$1)</f>
        <v>81.8</v>
      </c>
      <c r="K14" s="115" cm="1">
        <f t="array" ref="K14">_xll.EQNXTDZ($A$1,$B14,K$1)</f>
        <v>70.8</v>
      </c>
      <c r="L14" s="115" cm="1">
        <f t="array" ref="L14">_xll.EQNXTDZ($A$1,$B14,L$1)</f>
        <v>65.25</v>
      </c>
      <c r="M14" s="115" cm="1">
        <f t="array" ref="M14">_xll.EQNXTDZ($A$1,$B14,M$1)</f>
        <v>66.95</v>
      </c>
      <c r="N14" s="115" cm="1">
        <f t="array" ref="N14">_xll.EQNXTDZ($A$1,$B14,N$1)</f>
        <v>74.3</v>
      </c>
      <c r="O14" s="115" cm="1">
        <f t="array" ref="O14">_xll.EQNXTDZ($A$1,$B14,O$1)</f>
        <v>70.75</v>
      </c>
      <c r="P14" s="115" cm="1">
        <f t="array" ref="P14">_xll.EQNXTDZ($A$1,$B14,P$1)</f>
        <v>65.95</v>
      </c>
      <c r="Q14" s="115" cm="1">
        <f t="array" ref="Q14">_xll.EQNXTDZ($A$1,$B14,Q$1)</f>
        <v>72</v>
      </c>
      <c r="R14" s="115" cm="1">
        <f t="array" ref="R14">_xll.EQNXTDZ($A$1,$B14,R$1)</f>
        <v>68.3</v>
      </c>
      <c r="S14" s="115" cm="1">
        <f t="array" ref="S14">_xll.EQNXTDZ($A$1,$B14,S$1)</f>
        <v>65.349999999999994</v>
      </c>
      <c r="T14" s="115" cm="1">
        <f t="array" ref="T14">_xll.EQNXTDZ($A$1,$B14,T$1)</f>
        <v>68.400000000000006</v>
      </c>
      <c r="U14" s="115" cm="1">
        <f t="array" ref="U14">_xll.EQNXTDZ($A$1,$B14,U$1)</f>
        <v>77.099999999999994</v>
      </c>
      <c r="V14" s="115" cm="1">
        <f t="array" ref="V14">_xll.EQNXTDZ($A$1,$B14,V$1)</f>
        <v>76.7</v>
      </c>
      <c r="W14" s="115" cm="1">
        <f t="array" ref="W14">_xll.EQNXTDZ($A$1,$B14,W$1)</f>
        <v>94.8</v>
      </c>
      <c r="X14" s="115" cm="1">
        <f t="array" ref="X14">_xll.EQNXTDZ($A$1,$B14,X$1)</f>
        <v>100.8</v>
      </c>
      <c r="Y14" s="115" cm="1">
        <f t="array" ref="Y14">_xll.EQNXTDZ($A$1,$B14,Y$1)</f>
        <v>111.9</v>
      </c>
      <c r="Z14" s="115" cm="1">
        <f t="array" ref="Z14">_xll.EQNXTDZ($A$1,$B14,Z$1)</f>
        <v>115.5</v>
      </c>
      <c r="AA14" s="115" cm="1">
        <f t="array" ref="AA14">_xll.EQNXTDZ($A$1,$B14,AA$1)</f>
        <v>145</v>
      </c>
      <c r="AB14" s="115" cm="1">
        <f t="array" ref="AB14">_xll.EQNXTDZ($A$1,$B14,AB$1)</f>
        <v>176.5</v>
      </c>
      <c r="AC14" s="115" cm="1">
        <f t="array" ref="AC14">_xll.EQNXTDZ($A$1,$B14,AC$1)</f>
        <v>175.8</v>
      </c>
      <c r="AD14" s="115" cm="1">
        <f t="array" ref="AD14">_xll.EQNXTDZ($A$1,$B14,AD$1)</f>
        <v>212</v>
      </c>
      <c r="AE14" s="115" cm="1">
        <f t="array" ref="AE14">_xll.EQNXTDZ($A$1,$B14,AE$1)</f>
        <v>195.95</v>
      </c>
      <c r="AF14" s="115" cm="1">
        <f t="array" ref="AF14">_xll.EQNXTDZ($A$1,$B14,AF$1)</f>
        <v>198.95</v>
      </c>
      <c r="AG14" s="115" cm="1">
        <f t="array" ref="AG14">_xll.EQNXTDZ($A$1,$B14,AG$1)</f>
        <v>186</v>
      </c>
      <c r="AH14" s="115" cm="1">
        <f t="array" ref="AH14">_xll.EQNXTDZ($A$1,$B14,AH$1)</f>
        <v>217</v>
      </c>
      <c r="AI14" s="115" cm="1">
        <f t="array" ref="AI14">_xll.EQNXTDZ($A$1,$B14,AI$1)</f>
        <v>227.9</v>
      </c>
      <c r="AJ14" s="115" cm="1">
        <f t="array" ref="AJ14">_xll.EQNXTDZ($A$1,$B14,AJ$1)</f>
        <v>238.2</v>
      </c>
      <c r="AK14" s="115" cm="1">
        <f t="array" ref="AK14">_xll.EQNXTDZ($A$1,$B14,AK$1)</f>
        <v>259.60000000000002</v>
      </c>
      <c r="AL14" s="115" cm="1">
        <f t="array" ref="AL14">_xll.EQNXTDZ($A$1,$B14,AL$1)</f>
        <v>243</v>
      </c>
      <c r="AM14" s="115" cm="1">
        <f t="array" ref="AM14">_xll.EQNXTDZ($A$1,$B14,AM$1)</f>
        <v>250.4</v>
      </c>
      <c r="AN14" s="115" cm="1">
        <f t="array" ref="AN14">_xll.EQNXTDZ($A$1,$B14,AN$1)</f>
        <v>334</v>
      </c>
      <c r="AO14" s="115" cm="1">
        <f t="array" ref="AO14">_xll.EQNXTDZ($A$1,$B14,AO$1)</f>
        <v>318.7</v>
      </c>
      <c r="AP14" s="115" cm="1">
        <f t="array" ref="AP14">_xll.EQNXTDZ($A$1,$B14,AP$1)</f>
        <v>293.89999999999998</v>
      </c>
      <c r="AQ14" s="115" cm="1">
        <f t="array" ref="AQ14">_xll.EQNXTDZ($A$1,$B14,AQ$1)</f>
        <v>294</v>
      </c>
      <c r="AR14" s="115" cm="1">
        <f t="array" ref="AR14">_xll.EQNXTDZ($A$1,$B14,AR$1)</f>
        <v>274</v>
      </c>
      <c r="AS14" s="115" cm="1">
        <f t="array" ref="AS14">_xll.EQNXTDZ($A$1,$B14,AS$1)</f>
        <v>253</v>
      </c>
      <c r="AT14" s="115" cm="1">
        <f t="array" ref="AT14">_xll.EQNXTDZ($A$1,$B14,AT$1)</f>
        <v>249</v>
      </c>
      <c r="AU14" s="115" cm="1">
        <f t="array" ref="AU14">_xll.EQNXTDZ($A$1,$B14,AU$1)</f>
        <v>224.2</v>
      </c>
      <c r="AV14" s="115" cm="1">
        <f t="array" ref="AV14">_xll.EQNXTDZ($A$1,$B14,AV$1)</f>
        <v>229.9</v>
      </c>
      <c r="AW14" s="115" cm="1">
        <f t="array" ref="AW14">_xll.EQNXTDZ($A$1,$B14,AW$1)</f>
        <v>236</v>
      </c>
      <c r="AX14" s="115" cm="1">
        <f t="array" ref="AX14">_xll.EQNXTDZ($A$1,$B14,AX$1)</f>
        <v>315.10000000000002</v>
      </c>
      <c r="AY14" s="115" cm="1">
        <f t="array" ref="AY14">_xll.EQNXTDZ($A$1,$B14,AY$1)</f>
        <v>300.2</v>
      </c>
      <c r="AZ14" s="115" cm="1">
        <f t="array" ref="AZ14">_xll.EQNXTDZ($A$1,$B14,AZ$1)</f>
        <v>326.5</v>
      </c>
      <c r="BA14" s="115" cm="1">
        <f t="array" ref="BA14">_xll.EQNXTDZ($A$1,$B14,BA$1)</f>
        <v>327</v>
      </c>
      <c r="BB14" s="115" cm="1">
        <f t="array" ref="BB14">_xll.EQNXTDZ($A$1,$B14,BB$1)</f>
        <v>284</v>
      </c>
      <c r="BC14" s="115" cm="1">
        <f t="array" ref="BC14">_xll.EQNXTDZ($A$1,$B14,BC$1)</f>
        <v>295.8</v>
      </c>
      <c r="BD14" s="115" cm="1">
        <f t="array" ref="BD14">_xll.EQNXTDZ($A$1,$B14,BD$1)</f>
        <v>296</v>
      </c>
      <c r="BE14" s="115" cm="1">
        <f t="array" ref="BE14">_xll.EQNXTDZ($A$1,$B14,BE$1)</f>
        <v>263.89999999999998</v>
      </c>
      <c r="BF14" s="115" cm="1">
        <f t="array" ref="BF14">_xll.EQNXTDZ($A$1,$B14,BF$1)</f>
        <v>250</v>
      </c>
      <c r="BG14" s="115" cm="1">
        <f t="array" ref="BG14">_xll.EQNXTDZ($A$1,$B14,BG$1)</f>
        <v>258</v>
      </c>
      <c r="BH14" s="115" cm="1">
        <f t="array" ref="BH14">_xll.EQNXTDZ($A$1,$B14,BH$1)</f>
        <v>248</v>
      </c>
      <c r="BI14" s="115" cm="1">
        <f t="array" ref="BI14">_xll.EQNXTDZ($A$1,$B14,BI$1)</f>
        <v>277.39999999999998</v>
      </c>
      <c r="BJ14" s="115" cm="1">
        <f t="array" ref="BJ14">_xll.EQNXTDZ($A$1,$B14,BJ$1)</f>
        <v>275</v>
      </c>
      <c r="BK14" s="115" cm="1">
        <f t="array" ref="BK14">_xll.EQNXTDZ($A$1,$B14,BK$1)</f>
        <v>268.39999999999998</v>
      </c>
      <c r="BL14" s="115" cm="1">
        <f t="array" ref="BL14">_xll.EQNXTDZ($A$1,$B14,BL$1)</f>
        <v>273.3</v>
      </c>
      <c r="BM14" s="115" cm="1">
        <f t="array" ref="BM14">_xll.EQNXTDZ($A$1,$B14,BM$1)</f>
        <v>260</v>
      </c>
      <c r="BN14" s="115" cm="1">
        <f t="array" ref="BN14">_xll.EQNXTDZ($A$1,$B14,BN$1)</f>
        <v>227.95</v>
      </c>
      <c r="BO14" s="115" cm="1">
        <f t="array" ref="BO14">_xll.EQNXTDZ($A$1,$B14,BO$1)</f>
        <v>259</v>
      </c>
      <c r="BP14" s="115" cm="1">
        <f t="array" ref="BP14">_xll.EQNXTDZ($A$1,$B14,BP$1)</f>
        <v>322.55</v>
      </c>
      <c r="BQ14" s="115" cm="1">
        <f t="array" ref="BQ14">_xll.EQNXTDZ($A$1,$B14,BQ$1)</f>
        <v>387</v>
      </c>
      <c r="BR14" s="115" cm="1">
        <f t="array" ref="BR14">_xll.EQNXTDZ($A$1,$B14,BR$1)</f>
        <v>373.05</v>
      </c>
      <c r="BS14" s="115" cm="1">
        <f t="array" ref="BS14">_xll.EQNXTDZ($A$1,$B14,BS$1)</f>
        <v>353</v>
      </c>
      <c r="BT14" s="115" cm="1">
        <f t="array" ref="BT14">_xll.EQNXTDZ($A$1,$B14,BT$1)</f>
        <v>324.89999999999998</v>
      </c>
      <c r="BU14" s="115" cm="1">
        <f t="array" ref="BU14">_xll.EQNXTDZ($A$1,$B14,BU$1)</f>
        <v>361.5</v>
      </c>
      <c r="BV14" s="115" cm="1">
        <f t="array" ref="BV14">_xll.EQNXTDZ($A$1,$B14,BV$1)</f>
        <v>363.85</v>
      </c>
      <c r="BW14" s="115" cm="1">
        <f t="array" ref="BW14">_xll.EQNXTDZ($A$1,$B14,BW$1)</f>
        <v>312.05</v>
      </c>
      <c r="BX14" s="115" cm="1">
        <f t="array" ref="BX14">_xll.EQNXTDZ($A$1,$B14,BX$1)</f>
        <v>298.10000000000002</v>
      </c>
      <c r="BY14" s="115" cm="1">
        <f t="array" ref="BY14">_xll.EQNXTDZ($A$1,$B14,BY$1)</f>
        <v>296.55</v>
      </c>
      <c r="BZ14" s="115" cm="1">
        <f t="array" ref="BZ14">_xll.EQNXTDZ($A$1,$B14,BZ$1)</f>
        <v>295</v>
      </c>
      <c r="CA14" s="115" cm="1">
        <f t="array" ref="CA14">_xll.EQNXTDZ($A$1,$B14,CA$1)</f>
        <v>237.45</v>
      </c>
      <c r="CB14" s="115" cm="1">
        <f t="array" ref="CB14">_xll.EQNXTDZ($A$1,$B14,CB$1)</f>
        <v>237</v>
      </c>
      <c r="CC14" s="115" cm="1">
        <f t="array" ref="CC14">_xll.EQNXTDZ($A$1,$B14,CC$1)</f>
        <v>213</v>
      </c>
      <c r="CD14" s="115" cm="1">
        <f t="array" ref="CD14">_xll.EQNXTDZ($A$1,$B14,CD$1)</f>
        <v>196</v>
      </c>
      <c r="CE14" s="115" cm="1">
        <f t="array" ref="CE14">_xll.EQNXTDZ($A$1,$B14,CE$1)</f>
        <v>195.4</v>
      </c>
      <c r="CF14" s="115" cm="1">
        <f t="array" ref="CF14">_xll.EQNXTDZ($A$1,$B14,CF$1)</f>
        <v>214</v>
      </c>
      <c r="CG14" s="115" cm="1">
        <f t="array" ref="CG14">_xll.EQNXTDZ($A$1,$B14,CG$1)</f>
        <v>232.95</v>
      </c>
      <c r="CH14" s="115" cm="1">
        <f t="array" ref="CH14">_xll.EQNXTDZ($A$1,$B14,CH$1)</f>
        <v>273.8</v>
      </c>
      <c r="CI14" s="115" cm="1">
        <f t="array" ref="CI14">_xll.EQNXTDZ($A$1,$B14,CI$1)</f>
        <v>289.8</v>
      </c>
      <c r="CJ14" s="115" cm="1">
        <f t="array" ref="CJ14">_xll.EQNXTDZ($A$1,$B14,CJ$1)</f>
        <v>271</v>
      </c>
      <c r="CK14" s="115" cm="1">
        <f t="array" ref="CK14">_xll.EQNXTDZ($A$1,$B14,CK$1)</f>
        <v>245</v>
      </c>
      <c r="CL14" s="115" cm="1">
        <f t="array" ref="CL14">_xll.EQNXTDZ($A$1,$B14,CL$1)</f>
        <v>255</v>
      </c>
      <c r="CM14" s="115" cm="1">
        <f t="array" ref="CM14">_xll.EQNXTDZ($A$1,$B14,CM$1)</f>
        <v>264</v>
      </c>
      <c r="CN14" s="115" cm="1">
        <f t="array" ref="CN14">_xll.EQNXTDZ($A$1,$B14,CN$1)</f>
        <v>263</v>
      </c>
      <c r="CO14" s="115" cm="1">
        <f t="array" ref="CO14">_xll.EQNXTDZ($A$1,$B14,CO$1)</f>
        <v>275</v>
      </c>
      <c r="CP14" s="115" cm="1">
        <f t="array" ref="CP14">_xll.EQNXTDZ($A$1,$B14,CP$1)</f>
        <v>272.85000000000002</v>
      </c>
      <c r="CQ14" s="115" cm="1">
        <f t="array" ref="CQ14">_xll.EQNXTDZ($A$1,$B14,CQ$1)</f>
        <v>303</v>
      </c>
      <c r="CR14" s="115" cm="1">
        <f t="array" ref="CR14">_xll.EQNXTDZ($A$1,$B14,CR$1)</f>
        <v>277.45</v>
      </c>
      <c r="CS14" s="115" cm="1">
        <f t="array" ref="CS14">_xll.EQNXTDZ($A$1,$B14,CS$1)</f>
        <v>235</v>
      </c>
      <c r="CT14" s="115" cm="1">
        <f t="array" ref="CT14">_xll.EQNXTDZ($A$1,$B14,CT$1)</f>
        <v>208</v>
      </c>
      <c r="CU14" s="115" cm="1">
        <f t="array" ref="CU14">_xll.EQNXTDZ($A$1,$B14,CU$1)</f>
        <v>225</v>
      </c>
      <c r="CV14" s="115" cm="1">
        <f t="array" ref="CV14">_xll.EQNXTDZ($A$1,$B14,CV$1)</f>
        <v>247.9</v>
      </c>
      <c r="CW14" s="115" cm="1">
        <f t="array" ref="CW14">_xll.EQNXTDZ($A$1,$B14,CW$1)</f>
        <v>336</v>
      </c>
      <c r="CX14" s="115" cm="1">
        <f t="array" ref="CX14">_xll.EQNXTDZ($A$1,$B14,CX$1)</f>
        <v>316.5</v>
      </c>
      <c r="CY14" s="115" cm="1">
        <f t="array" ref="CY14">_xll.EQNXTDZ($A$1,$B14,CY$1)</f>
        <v>319</v>
      </c>
      <c r="CZ14" s="115" cm="1">
        <f t="array" ref="CZ14">_xll.EQNXTDZ($A$1,$B14,CZ$1)</f>
        <v>313</v>
      </c>
      <c r="DA14" s="115" cm="1">
        <f t="array" ref="DA14">_xll.EQNXTDZ($A$1,$B14,DA$1)</f>
        <v>320</v>
      </c>
      <c r="DB14" s="115" cm="1">
        <f t="array" ref="DB14">_xll.EQNXTDZ($A$1,$B14,DB$1)</f>
        <v>329.9</v>
      </c>
      <c r="DC14" s="115" cm="1">
        <f t="array" ref="DC14">_xll.EQNXTDZ($A$1,$B14,DC$1)</f>
        <v>352.45</v>
      </c>
      <c r="DD14" s="115" cm="1">
        <f t="array" ref="DD14">_xll.EQNXTDZ($A$1,$B14,DD$1)</f>
        <v>294.5</v>
      </c>
      <c r="DE14" s="115" cm="1">
        <f t="array" ref="DE14">_xll.EQNXTDZ($A$1,$B14,DE$1)</f>
        <v>295</v>
      </c>
      <c r="DF14" s="115" cm="1">
        <f t="array" ref="DF14">_xll.EQNXTDZ($A$1,$B14,DF$1)</f>
        <v>297.2</v>
      </c>
      <c r="DG14" s="115" cm="1">
        <f t="array" ref="DG14">_xll.EQNXTDZ($A$1,$B14,DG$1)</f>
        <v>309.75</v>
      </c>
      <c r="DH14" s="115" cm="1">
        <f t="array" ref="DH14">_xll.EQNXTDZ($A$1,$B14,DH$1)</f>
        <v>322</v>
      </c>
      <c r="DI14" s="115" cm="1">
        <f t="array" ref="DI14">_xll.EQNXTDZ($A$1,$B14,DI$1)</f>
        <v>328</v>
      </c>
      <c r="DJ14" s="115" cm="1">
        <f t="array" ref="DJ14">_xll.EQNXTDZ($A$1,$B14,DJ$1)</f>
        <v>280.95</v>
      </c>
      <c r="DK14" s="115" cm="1">
        <f t="array" ref="DK14">_xll.EQNXTDZ($A$1,$B14,DK$1)</f>
        <v>272.8</v>
      </c>
      <c r="DL14" s="115" cm="1">
        <f t="array" ref="DL14">_xll.EQNXTDZ($A$1,$B14,DL$1)</f>
        <v>254.8</v>
      </c>
      <c r="DM14" s="115" cm="1">
        <f t="array" ref="DM14">_xll.EQNXTDZ($A$1,$B14,DM$1)</f>
        <v>235.9</v>
      </c>
      <c r="DN14" s="115" cm="1">
        <f t="array" ref="DN14">_xll.EQNXTDZ($A$1,$B14,DN$1)</f>
        <v>230</v>
      </c>
      <c r="DO14" s="115" cm="1">
        <f t="array" ref="DO14">_xll.EQNXTDZ($A$1,$B14,DO$1)</f>
        <v>213.5</v>
      </c>
      <c r="DP14" s="115" cm="1">
        <f t="array" ref="DP14">_xll.EQNXTDZ($A$1,$B14,DP$1)</f>
        <v>180.05</v>
      </c>
      <c r="DQ14" s="115" cm="1">
        <f t="array" ref="DQ14">_xll.EQNXTDZ($A$1,$B14,DQ$1)</f>
        <v>207.95</v>
      </c>
      <c r="DR14" s="115" cm="1">
        <f t="array" ref="DR14">_xll.EQNXTDZ($A$1,$B14,DR$1)</f>
        <v>204.85</v>
      </c>
      <c r="DS14" s="115" cm="1">
        <f t="array" ref="DS14">_xll.EQNXTDZ($A$1,$B14,DS$1)</f>
        <v>177.6</v>
      </c>
      <c r="DT14" s="115" cm="1">
        <f t="array" ref="DT14">_xll.EQNXTDZ($A$1,$B14,DT$1)</f>
        <v>206.5</v>
      </c>
      <c r="DU14" s="115" cm="1">
        <f t="array" ref="DU14">_xll.EQNXTDZ($A$1,$B14,DU$1)</f>
        <v>203.4</v>
      </c>
      <c r="DV14" s="115" cm="1">
        <f t="array" ref="DV14">_xll.EQNXTDZ($A$1,$B14,DV$1)</f>
        <v>223.6</v>
      </c>
      <c r="DW14" s="115" cm="1">
        <f t="array" ref="DW14">_xll.EQNXTDZ($A$1,$B14,DW$1)</f>
        <v>236.95</v>
      </c>
      <c r="DX14" s="115" cm="1">
        <f t="array" ref="DX14">_xll.EQNXTDZ($A$1,$B14,DX$1)</f>
        <v>227.5</v>
      </c>
      <c r="DY14" s="115" cm="1">
        <f t="array" ref="DY14">_xll.EQNXTDZ($A$1,$B14,DY$1)</f>
        <v>225</v>
      </c>
      <c r="DZ14" s="115" cm="1">
        <f t="array" ref="DZ14">_xll.EQNXTDZ($A$1,$B14,DZ$1)</f>
        <v>207.95</v>
      </c>
      <c r="EA14" s="115" cm="1">
        <f t="array" ref="EA14">_xll.EQNXTDZ($A$1,$B14,EA$1)</f>
        <v>213.45</v>
      </c>
      <c r="EB14" s="115" cm="1">
        <f t="array" ref="EB14">_xll.EQNXTDZ($A$1,$B14,EB$1)</f>
        <v>205</v>
      </c>
      <c r="EC14" s="115" cm="1">
        <f t="array" ref="EC14">_xll.EQNXTDZ($A$1,$B14,EC$1)</f>
        <v>239.65</v>
      </c>
      <c r="ED14" s="115" cm="1">
        <f t="array" ref="ED14">_xll.EQNXTDZ($A$1,$B14,ED$1)</f>
        <v>300</v>
      </c>
      <c r="EE14" s="115" cm="1">
        <f t="array" ref="EE14">_xll.EQNXTDZ($A$1,$B14,EE$1)</f>
        <v>291.75</v>
      </c>
      <c r="EF14" s="115" cm="1">
        <f t="array" ref="EF14">_xll.EQNXTDZ($A$1,$B14,EF$1)</f>
        <v>297.8</v>
      </c>
      <c r="EG14" s="115" cm="1">
        <f t="array" ref="EG14">_xll.EQNXTDZ($A$1,$B14,EG$1)</f>
        <v>268</v>
      </c>
      <c r="EH14" s="115" cm="1">
        <f t="array" ref="EH14">_xll.EQNXTDZ($A$1,$B14,EH$1)</f>
        <v>280</v>
      </c>
      <c r="EI14" s="115" cm="1">
        <f t="array" ref="EI14">_xll.EQNXTDZ($A$1,$B14,EI$1)</f>
        <v>323.39999999999998</v>
      </c>
      <c r="EJ14" s="115" cm="1">
        <f t="array" ref="EJ14">_xll.EQNXTDZ($A$1,$B14,EJ$1)</f>
        <v>319.75</v>
      </c>
      <c r="EK14" s="115" cm="1">
        <f t="array" ref="EK14">_xll.EQNXTDZ($A$1,$B14,EK$1)</f>
        <v>304.64999999999998</v>
      </c>
      <c r="EL14" s="115" cm="1">
        <f t="array" ref="EL14">_xll.EQNXTDZ($A$1,$B14,EL$1)</f>
        <v>355</v>
      </c>
      <c r="EM14" s="115" cm="1">
        <f t="array" ref="EM14">_xll.EQNXTDZ($A$1,$B14,EM$1)</f>
        <v>371.3</v>
      </c>
      <c r="EN14" s="115" cm="1">
        <f t="array" ref="EN14">_xll.EQNXTDZ($A$1,$B14,EN$1)</f>
        <v>353.25</v>
      </c>
      <c r="EO14" s="115" cm="1">
        <f t="array" ref="EO14">_xll.EQNXTDZ($A$1,$B14,EO$1)</f>
        <v>355.95</v>
      </c>
      <c r="EP14" s="115" cm="1">
        <f t="array" ref="EP14">_xll.EQNXTDZ($A$1,$B14,EP$1)</f>
        <v>320.95</v>
      </c>
      <c r="EQ14" s="115" cm="1">
        <f t="array" ref="EQ14">_xll.EQNXTDZ($A$1,$B14,EQ$1)</f>
        <v>398.9</v>
      </c>
      <c r="ER14" s="115" cm="1">
        <f t="array" ref="ER14">_xll.EQNXTDZ($A$1,$B14,ER$1)</f>
        <v>406.85</v>
      </c>
      <c r="ES14" s="115" cm="1">
        <f t="array" ref="ES14">_xll.EQNXTDZ($A$1,$B14,ES$1)</f>
        <v>451.5</v>
      </c>
      <c r="ET14" s="115" cm="1">
        <f t="array" ref="ET14">_xll.EQNXTDZ($A$1,$B14,ET$1)</f>
        <v>419.9</v>
      </c>
      <c r="EU14" s="115" cm="1">
        <f t="array" ref="EU14">_xll.EQNXTDZ($A$1,$B14,EU$1)</f>
        <v>410</v>
      </c>
      <c r="EV14" s="115" cm="1">
        <f t="array" ref="EV14">_xll.EQNXTDZ($A$1,$B14,EV$1)</f>
        <v>300.55</v>
      </c>
      <c r="EW14" s="115" cm="1">
        <f t="array" ref="EW14">_xll.EQNXTDZ($A$1,$B14,EW$1)</f>
        <v>316.05</v>
      </c>
      <c r="EX14" s="115" cm="1">
        <f t="array" ref="EX14">_xll.EQNXTDZ($A$1,$B14,EX$1)</f>
        <v>284.89999999999998</v>
      </c>
      <c r="EY14" s="115" cm="1">
        <f t="array" ref="EY14">_xll.EQNXTDZ($A$1,$B14,EY$1)</f>
        <v>238.25</v>
      </c>
      <c r="EZ14" s="115" cm="1">
        <f t="array" ref="EZ14">_xll.EQNXTDZ($A$1,$B14,EZ$1)</f>
        <v>214.9</v>
      </c>
      <c r="FA14" s="115" cm="1">
        <f t="array" ref="FA14">_xll.EQNXTDZ($A$1,$B14,FA$1)</f>
        <v>222</v>
      </c>
      <c r="FB14" s="115" cm="1">
        <f t="array" ref="FB14">_xll.EQNXTDZ($A$1,$B14,FB$1)</f>
        <v>218.2</v>
      </c>
      <c r="FC14" s="115" cm="1">
        <f t="array" ref="FC14">_xll.EQNXTDZ($A$1,$B14,FC$1)</f>
        <v>222.95</v>
      </c>
      <c r="FD14" s="115" cm="1">
        <f t="array" ref="FD14">_xll.EQNXTDZ($A$1,$B14,FD$1)</f>
        <v>243.1</v>
      </c>
      <c r="FE14" s="115" cm="1">
        <f t="array" ref="FE14">_xll.EQNXTDZ($A$1,$B14,FE$1)</f>
        <v>226.7</v>
      </c>
      <c r="FF14" s="115" cm="1">
        <f t="array" ref="FF14">_xll.EQNXTDZ($A$1,$B14,FF$1)</f>
        <v>253.25</v>
      </c>
      <c r="FG14" s="115" cm="1">
        <f t="array" ref="FG14">_xll.EQNXTDZ($A$1,$B14,FG$1)</f>
        <v>272.45</v>
      </c>
      <c r="FH14" s="115" cm="1">
        <f t="array" ref="FH14">_xll.EQNXTDZ($A$1,$B14,FH$1)</f>
        <v>252.75</v>
      </c>
      <c r="FI14" s="115" cm="1">
        <f t="array" ref="FI14">_xll.EQNXTDZ($A$1,$B14,FI$1)</f>
        <v>224.4</v>
      </c>
      <c r="FJ14" s="115" cm="1">
        <f t="array" ref="FJ14">_xll.EQNXTDZ($A$1,$B14,FJ$1)</f>
        <v>213.35</v>
      </c>
      <c r="FK14" s="115" cm="1">
        <f t="array" ref="FK14">_xll.EQNXTDZ($A$1,$B14,FK$1)</f>
        <v>200.95</v>
      </c>
      <c r="FL14" s="115" cm="1">
        <f t="array" ref="FL14">_xll.EQNXTDZ($A$1,$B14,FL$1)</f>
        <v>174.5</v>
      </c>
      <c r="FM14" s="115" cm="1">
        <f t="array" ref="FM14">_xll.EQNXTDZ($A$1,$B14,FM$1)</f>
        <v>193.7</v>
      </c>
      <c r="FN14" s="115" cm="1">
        <f t="array" ref="FN14">_xll.EQNXTDZ($A$1,$B14,FN$1)</f>
        <v>191.2</v>
      </c>
      <c r="FO14" s="115" cm="1">
        <f t="array" ref="FO14">_xll.EQNXTDZ($A$1,$B14,FO$1)</f>
        <v>174.45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75.45</v>
      </c>
      <c r="HQ14" s="115">
        <f>+MAX(G14:I14)</f>
        <v>77</v>
      </c>
      <c r="HR14" s="115">
        <f>+MAX(J14:L14)</f>
        <v>81.8</v>
      </c>
      <c r="HS14" s="115">
        <f>+MAX(M14:O14)</f>
        <v>74.3</v>
      </c>
      <c r="HT14" s="115">
        <f>+MAX(P14:R14)</f>
        <v>72</v>
      </c>
      <c r="HU14" s="115">
        <f>+MAX(S14:U14)</f>
        <v>77.099999999999994</v>
      </c>
      <c r="HV14" s="115">
        <f>+MAX(V14:X14)</f>
        <v>100.8</v>
      </c>
      <c r="HW14" s="115">
        <f>+MAX(Y14:AA14)</f>
        <v>145</v>
      </c>
      <c r="HX14" s="115">
        <f>+MAX(AB14:AD14)</f>
        <v>212</v>
      </c>
      <c r="HY14" s="115">
        <f>+MAX(AE14:AG14)</f>
        <v>198.95</v>
      </c>
      <c r="HZ14" s="115">
        <f>+MAX(AH14:AJ14)</f>
        <v>238.2</v>
      </c>
      <c r="IA14" s="115">
        <f>+MAX(AK14:AM14)</f>
        <v>259.60000000000002</v>
      </c>
      <c r="IB14" s="115">
        <f>+MAX(AN14:AP14)</f>
        <v>334</v>
      </c>
      <c r="IC14" s="115">
        <f>+MAX(AQ14:AS14)</f>
        <v>294</v>
      </c>
      <c r="ID14" s="115">
        <f>+MAX(AT14:AV14)</f>
        <v>249</v>
      </c>
      <c r="IE14" s="115">
        <f>+MAX(AW14:AY14)</f>
        <v>315.10000000000002</v>
      </c>
      <c r="IF14" s="115">
        <f>+MAX(AZ14:BB14)</f>
        <v>327</v>
      </c>
      <c r="IG14" s="115">
        <f>+MAX(BC14:BE14)</f>
        <v>296</v>
      </c>
      <c r="IH14" s="115">
        <f>+MAX(BF14:BH14)</f>
        <v>258</v>
      </c>
      <c r="II14" s="115">
        <f>+MAX(BI14:BK14)</f>
        <v>277.39999999999998</v>
      </c>
      <c r="IJ14" s="115">
        <f>+MAX(BL14:BN14)</f>
        <v>273.3</v>
      </c>
      <c r="IK14" s="115">
        <f>+MAX(BO14:BQ14)</f>
        <v>387</v>
      </c>
      <c r="IL14" s="115">
        <f>+MAX(BR14:BT14)</f>
        <v>373.05</v>
      </c>
      <c r="IM14" s="115">
        <f>+MAX(BU14:BW14)</f>
        <v>363.85</v>
      </c>
      <c r="IN14" s="115">
        <f>+MAX(BX14:BZ14)</f>
        <v>298.10000000000002</v>
      </c>
      <c r="IO14" s="115">
        <f>+MAX(CA14:CC14)</f>
        <v>237.45</v>
      </c>
      <c r="IP14" s="115">
        <f>+MAX(CD14:CF14)</f>
        <v>214</v>
      </c>
      <c r="IQ14" s="115">
        <f>+MAX(CG14:CI14)</f>
        <v>289.8</v>
      </c>
      <c r="IR14" s="115">
        <f>+MAX(CJ14:CL14)</f>
        <v>271</v>
      </c>
      <c r="IS14" s="115">
        <f>+MAX(CM14:CO14)</f>
        <v>275</v>
      </c>
      <c r="IT14" s="115">
        <f>+MAX(CP14:CR14)</f>
        <v>303</v>
      </c>
      <c r="IU14" s="115">
        <f>+MAX(CS14:CU14)</f>
        <v>235</v>
      </c>
      <c r="IV14" s="115">
        <f>+MAX(CV14:CX14)</f>
        <v>336</v>
      </c>
      <c r="IW14" s="115">
        <f>+MAX(CY14:DA14)</f>
        <v>320</v>
      </c>
      <c r="IX14" s="115">
        <f>+MAX(DB14:DD14)</f>
        <v>352.45</v>
      </c>
      <c r="IY14" s="115">
        <f>+MAX(DE14:DG14)</f>
        <v>309.75</v>
      </c>
      <c r="IZ14" s="115">
        <f>+MAX(DH14:DJ14)</f>
        <v>328</v>
      </c>
      <c r="JA14" s="115">
        <f>+MAX(DK14:DM14)</f>
        <v>272.8</v>
      </c>
      <c r="JB14" s="115">
        <f>+MAX(DN14:DP14)</f>
        <v>230</v>
      </c>
      <c r="JC14" s="115">
        <f>+MAX(DQ14:DS14)</f>
        <v>207.95</v>
      </c>
      <c r="JD14" s="115">
        <f>+MAX(DT14:DV14)</f>
        <v>223.6</v>
      </c>
      <c r="JE14" s="115">
        <f>+MAX(DW14:DY14)</f>
        <v>236.95</v>
      </c>
      <c r="JF14" s="115">
        <f>+MAX(DZ14:EB14)</f>
        <v>213.45</v>
      </c>
      <c r="JG14" s="115">
        <f>+MAX(EC14:EE14)</f>
        <v>300</v>
      </c>
      <c r="JH14" s="115">
        <f>+MAX(EF14:EH14)</f>
        <v>297.8</v>
      </c>
      <c r="JI14" s="115">
        <f>+MAX(EI14:EK14)</f>
        <v>323.39999999999998</v>
      </c>
      <c r="JJ14" s="115">
        <f>+MAX(EL14:EN14)</f>
        <v>371.3</v>
      </c>
      <c r="JK14" s="115">
        <f>MAX(EO14:EQ14)</f>
        <v>398.9</v>
      </c>
      <c r="JL14" s="115">
        <f>MAX(ER14:ET14)</f>
        <v>451.5</v>
      </c>
      <c r="JM14" s="115">
        <f>MAX(EU14:EW14)</f>
        <v>410</v>
      </c>
      <c r="JN14" s="115">
        <f>MAX(EX14:EZ14)</f>
        <v>284.89999999999998</v>
      </c>
      <c r="JO14" s="115">
        <f>MAX(FA14:FC14)</f>
        <v>222.95</v>
      </c>
      <c r="JP14" s="115">
        <f>MAX(FD14:FF14)</f>
        <v>253.25</v>
      </c>
      <c r="JQ14" s="115">
        <f>MAX(FG14:FI14)</f>
        <v>272.45</v>
      </c>
      <c r="JR14" s="115">
        <f>MAX(FJ14:FL14)</f>
        <v>213.35</v>
      </c>
      <c r="JS14" s="115">
        <f>MAX(FM14:FO14)</f>
        <v>193.7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58</v>
      </c>
      <c r="D15" s="115" cm="1">
        <f t="array" ref="D15">_xll.EQNXTDZ($A$1,$B15,D$1)</f>
        <v>63.75</v>
      </c>
      <c r="E15" s="115" cm="1">
        <f t="array" ref="E15">_xll.EQNXTDZ($A$1,$B15,E$1)</f>
        <v>64.150000000000006</v>
      </c>
      <c r="F15" s="115" cm="1">
        <f t="array" ref="F15">_xll.EQNXTDZ($A$1,$B15,F$1)</f>
        <v>68.05</v>
      </c>
      <c r="G15" s="115" cm="1">
        <f t="array" ref="G15">_xll.EQNXTDZ($A$1,$B15,G$1)</f>
        <v>67.8</v>
      </c>
      <c r="H15" s="115" cm="1">
        <f t="array" ref="H15">_xll.EQNXTDZ($A$1,$B15,H$1)</f>
        <v>65.25</v>
      </c>
      <c r="I15" s="115" cm="1">
        <f t="array" ref="I15">_xll.EQNXTDZ($A$1,$B15,I$1)</f>
        <v>68.45</v>
      </c>
      <c r="J15" s="115" cm="1">
        <f t="array" ref="J15">_xll.EQNXTDZ($A$1,$B15,J$1)</f>
        <v>68.349999999999994</v>
      </c>
      <c r="K15" s="115" cm="1">
        <f t="array" ref="K15">_xll.EQNXTDZ($A$1,$B15,K$1)</f>
        <v>63.6</v>
      </c>
      <c r="L15" s="115" cm="1">
        <f t="array" ref="L15">_xll.EQNXTDZ($A$1,$B15,L$1)</f>
        <v>61</v>
      </c>
      <c r="M15" s="115" cm="1">
        <f t="array" ref="M15">_xll.EQNXTDZ($A$1,$B15,M$1)</f>
        <v>56.5</v>
      </c>
      <c r="N15" s="115" cm="1">
        <f t="array" ref="N15">_xll.EQNXTDZ($A$1,$B15,N$1)</f>
        <v>60</v>
      </c>
      <c r="O15" s="115" cm="1">
        <f t="array" ref="O15">_xll.EQNXTDZ($A$1,$B15,O$1)</f>
        <v>62.1</v>
      </c>
      <c r="P15" s="115" cm="1">
        <f t="array" ref="P15">_xll.EQNXTDZ($A$1,$B15,P$1)</f>
        <v>60.55</v>
      </c>
      <c r="Q15" s="115" cm="1">
        <f t="array" ref="Q15">_xll.EQNXTDZ($A$1,$B15,Q$1)</f>
        <v>57</v>
      </c>
      <c r="R15" s="115" cm="1">
        <f t="array" ref="R15">_xll.EQNXTDZ($A$1,$B15,R$1)</f>
        <v>56.85</v>
      </c>
      <c r="S15" s="115" cm="1">
        <f t="array" ref="S15">_xll.EQNXTDZ($A$1,$B15,S$1)</f>
        <v>60.1</v>
      </c>
      <c r="T15" s="115" cm="1">
        <f t="array" ref="T15">_xll.EQNXTDZ($A$1,$B15,T$1)</f>
        <v>62</v>
      </c>
      <c r="U15" s="115" cm="1">
        <f t="array" ref="U15">_xll.EQNXTDZ($A$1,$B15,U$1)</f>
        <v>65.099999999999994</v>
      </c>
      <c r="V15" s="115" cm="1">
        <f t="array" ref="V15">_xll.EQNXTDZ($A$1,$B15,V$1)</f>
        <v>68.5</v>
      </c>
      <c r="W15" s="115" cm="1">
        <f t="array" ref="W15">_xll.EQNXTDZ($A$1,$B15,W$1)</f>
        <v>72.25</v>
      </c>
      <c r="X15" s="115" cm="1">
        <f t="array" ref="X15">_xll.EQNXTDZ($A$1,$B15,X$1)</f>
        <v>85.05</v>
      </c>
      <c r="Y15" s="115" cm="1">
        <f t="array" ref="Y15">_xll.EQNXTDZ($A$1,$B15,Y$1)</f>
        <v>88.15</v>
      </c>
      <c r="Z15" s="115" cm="1">
        <f t="array" ref="Z15">_xll.EQNXTDZ($A$1,$B15,Z$1)</f>
        <v>95</v>
      </c>
      <c r="AA15" s="115" cm="1">
        <f t="array" ref="AA15">_xll.EQNXTDZ($A$1,$B15,AA$1)</f>
        <v>114.7</v>
      </c>
      <c r="AB15" s="115" cm="1">
        <f t="array" ref="AB15">_xll.EQNXTDZ($A$1,$B15,AB$1)</f>
        <v>130.35</v>
      </c>
      <c r="AC15" s="115" cm="1">
        <f t="array" ref="AC15">_xll.EQNXTDZ($A$1,$B15,AC$1)</f>
        <v>150.1</v>
      </c>
      <c r="AD15" s="115" cm="1">
        <f t="array" ref="AD15">_xll.EQNXTDZ($A$1,$B15,AD$1)</f>
        <v>165</v>
      </c>
      <c r="AE15" s="115" cm="1">
        <f t="array" ref="AE15">_xll.EQNXTDZ($A$1,$B15,AE$1)</f>
        <v>171.2</v>
      </c>
      <c r="AF15" s="115" cm="1">
        <f t="array" ref="AF15">_xll.EQNXTDZ($A$1,$B15,AF$1)</f>
        <v>167.1</v>
      </c>
      <c r="AG15" s="115" cm="1">
        <f t="array" ref="AG15">_xll.EQNXTDZ($A$1,$B15,AG$1)</f>
        <v>170.5</v>
      </c>
      <c r="AH15" s="115" cm="1">
        <f t="array" ref="AH15">_xll.EQNXTDZ($A$1,$B15,AH$1)</f>
        <v>175.1</v>
      </c>
      <c r="AI15" s="115" cm="1">
        <f t="array" ref="AI15">_xll.EQNXTDZ($A$1,$B15,AI$1)</f>
        <v>200</v>
      </c>
      <c r="AJ15" s="115" cm="1">
        <f t="array" ref="AJ15">_xll.EQNXTDZ($A$1,$B15,AJ$1)</f>
        <v>212.2</v>
      </c>
      <c r="AK15" s="115" cm="1">
        <f t="array" ref="AK15">_xll.EQNXTDZ($A$1,$B15,AK$1)</f>
        <v>213.9</v>
      </c>
      <c r="AL15" s="115" cm="1">
        <f t="array" ref="AL15">_xll.EQNXTDZ($A$1,$B15,AL$1)</f>
        <v>220</v>
      </c>
      <c r="AM15" s="115" cm="1">
        <f t="array" ref="AM15">_xll.EQNXTDZ($A$1,$B15,AM$1)</f>
        <v>213.1</v>
      </c>
      <c r="AN15" s="115" cm="1">
        <f t="array" ref="AN15">_xll.EQNXTDZ($A$1,$B15,AN$1)</f>
        <v>235.3</v>
      </c>
      <c r="AO15" s="115" cm="1">
        <f t="array" ref="AO15">_xll.EQNXTDZ($A$1,$B15,AO$1)</f>
        <v>222.1</v>
      </c>
      <c r="AP15" s="115" cm="1">
        <f t="array" ref="AP15">_xll.EQNXTDZ($A$1,$B15,AP$1)</f>
        <v>250</v>
      </c>
      <c r="AQ15" s="115" cm="1">
        <f t="array" ref="AQ15">_xll.EQNXTDZ($A$1,$B15,AQ$1)</f>
        <v>267</v>
      </c>
      <c r="AR15" s="115" cm="1">
        <f t="array" ref="AR15">_xll.EQNXTDZ($A$1,$B15,AR$1)</f>
        <v>236</v>
      </c>
      <c r="AS15" s="115" cm="1">
        <f t="array" ref="AS15">_xll.EQNXTDZ($A$1,$B15,AS$1)</f>
        <v>227</v>
      </c>
      <c r="AT15" s="115" cm="1">
        <f t="array" ref="AT15">_xll.EQNXTDZ($A$1,$B15,AT$1)</f>
        <v>206.3</v>
      </c>
      <c r="AU15" s="115" cm="1">
        <f t="array" ref="AU15">_xll.EQNXTDZ($A$1,$B15,AU$1)</f>
        <v>176.9</v>
      </c>
      <c r="AV15" s="115" cm="1">
        <f t="array" ref="AV15">_xll.EQNXTDZ($A$1,$B15,AV$1)</f>
        <v>200</v>
      </c>
      <c r="AW15" s="115" cm="1">
        <f t="array" ref="AW15">_xll.EQNXTDZ($A$1,$B15,AW$1)</f>
        <v>210.6</v>
      </c>
      <c r="AX15" s="115" cm="1">
        <f t="array" ref="AX15">_xll.EQNXTDZ($A$1,$B15,AX$1)</f>
        <v>216</v>
      </c>
      <c r="AY15" s="115" cm="1">
        <f t="array" ref="AY15">_xll.EQNXTDZ($A$1,$B15,AY$1)</f>
        <v>255</v>
      </c>
      <c r="AZ15" s="115" cm="1">
        <f t="array" ref="AZ15">_xll.EQNXTDZ($A$1,$B15,AZ$1)</f>
        <v>290</v>
      </c>
      <c r="BA15" s="115" cm="1">
        <f t="array" ref="BA15">_xll.EQNXTDZ($A$1,$B15,BA$1)</f>
        <v>275</v>
      </c>
      <c r="BB15" s="115" cm="1">
        <f t="array" ref="BB15">_xll.EQNXTDZ($A$1,$B15,BB$1)</f>
        <v>255.1</v>
      </c>
      <c r="BC15" s="115" cm="1">
        <f t="array" ref="BC15">_xll.EQNXTDZ($A$1,$B15,BC$1)</f>
        <v>255</v>
      </c>
      <c r="BD15" s="115" cm="1">
        <f t="array" ref="BD15">_xll.EQNXTDZ($A$1,$B15,BD$1)</f>
        <v>228.35</v>
      </c>
      <c r="BE15" s="115" cm="1">
        <f t="array" ref="BE15">_xll.EQNXTDZ($A$1,$B15,BE$1)</f>
        <v>230</v>
      </c>
      <c r="BF15" s="115" cm="1">
        <f t="array" ref="BF15">_xll.EQNXTDZ($A$1,$B15,BF$1)</f>
        <v>238</v>
      </c>
      <c r="BG15" s="115" cm="1">
        <f t="array" ref="BG15">_xll.EQNXTDZ($A$1,$B15,BG$1)</f>
        <v>232</v>
      </c>
      <c r="BH15" s="115" cm="1">
        <f t="array" ref="BH15">_xll.EQNXTDZ($A$1,$B15,BH$1)</f>
        <v>227</v>
      </c>
      <c r="BI15" s="115" cm="1">
        <f t="array" ref="BI15">_xll.EQNXTDZ($A$1,$B15,BI$1)</f>
        <v>239.95</v>
      </c>
      <c r="BJ15" s="115" cm="1">
        <f t="array" ref="BJ15">_xll.EQNXTDZ($A$1,$B15,BJ$1)</f>
        <v>233</v>
      </c>
      <c r="BK15" s="115" cm="1">
        <f t="array" ref="BK15">_xll.EQNXTDZ($A$1,$B15,BK$1)</f>
        <v>232</v>
      </c>
      <c r="BL15" s="115" cm="1">
        <f t="array" ref="BL15">_xll.EQNXTDZ($A$1,$B15,BL$1)</f>
        <v>251.7</v>
      </c>
      <c r="BM15" s="115" cm="1">
        <f t="array" ref="BM15">_xll.EQNXTDZ($A$1,$B15,BM$1)</f>
        <v>213</v>
      </c>
      <c r="BN15" s="115" cm="1">
        <f t="array" ref="BN15">_xll.EQNXTDZ($A$1,$B15,BN$1)</f>
        <v>201</v>
      </c>
      <c r="BO15" s="115" cm="1">
        <f t="array" ref="BO15">_xll.EQNXTDZ($A$1,$B15,BO$1)</f>
        <v>215.2</v>
      </c>
      <c r="BP15" s="115" cm="1">
        <f t="array" ref="BP15">_xll.EQNXTDZ($A$1,$B15,BP$1)</f>
        <v>255</v>
      </c>
      <c r="BQ15" s="115" cm="1">
        <f t="array" ref="BQ15">_xll.EQNXTDZ($A$1,$B15,BQ$1)</f>
        <v>305</v>
      </c>
      <c r="BR15" s="115" cm="1">
        <f t="array" ref="BR15">_xll.EQNXTDZ($A$1,$B15,BR$1)</f>
        <v>317.10000000000002</v>
      </c>
      <c r="BS15" s="115" cm="1">
        <f t="array" ref="BS15">_xll.EQNXTDZ($A$1,$B15,BS$1)</f>
        <v>276</v>
      </c>
      <c r="BT15" s="115" cm="1">
        <f t="array" ref="BT15">_xll.EQNXTDZ($A$1,$B15,BT$1)</f>
        <v>294.39999999999998</v>
      </c>
      <c r="BU15" s="115" cm="1">
        <f t="array" ref="BU15">_xll.EQNXTDZ($A$1,$B15,BU$1)</f>
        <v>318.60000000000002</v>
      </c>
      <c r="BV15" s="115" cm="1">
        <f t="array" ref="BV15">_xll.EQNXTDZ($A$1,$B15,BV$1)</f>
        <v>308</v>
      </c>
      <c r="BW15" s="115" cm="1">
        <f t="array" ref="BW15">_xll.EQNXTDZ($A$1,$B15,BW$1)</f>
        <v>265</v>
      </c>
      <c r="BX15" s="115" cm="1">
        <f t="array" ref="BX15">_xll.EQNXTDZ($A$1,$B15,BX$1)</f>
        <v>246</v>
      </c>
      <c r="BY15" s="115" cm="1">
        <f t="array" ref="BY15">_xll.EQNXTDZ($A$1,$B15,BY$1)</f>
        <v>264.55</v>
      </c>
      <c r="BZ15" s="115" cm="1">
        <f t="array" ref="BZ15">_xll.EQNXTDZ($A$1,$B15,BZ$1)</f>
        <v>233.5</v>
      </c>
      <c r="CA15" s="115" cm="1">
        <f t="array" ref="CA15">_xll.EQNXTDZ($A$1,$B15,CA$1)</f>
        <v>186</v>
      </c>
      <c r="CB15" s="115" cm="1">
        <f t="array" ref="CB15">_xll.EQNXTDZ($A$1,$B15,CB$1)</f>
        <v>192</v>
      </c>
      <c r="CC15" s="115" cm="1">
        <f t="array" ref="CC15">_xll.EQNXTDZ($A$1,$B15,CC$1)</f>
        <v>192.05</v>
      </c>
      <c r="CD15" s="115" cm="1">
        <f t="array" ref="CD15">_xll.EQNXTDZ($A$1,$B15,CD$1)</f>
        <v>168.1</v>
      </c>
      <c r="CE15" s="115" cm="1">
        <f t="array" ref="CE15">_xll.EQNXTDZ($A$1,$B15,CE$1)</f>
        <v>155</v>
      </c>
      <c r="CF15" s="115" cm="1">
        <f t="array" ref="CF15">_xll.EQNXTDZ($A$1,$B15,CF$1)</f>
        <v>190</v>
      </c>
      <c r="CG15" s="115" cm="1">
        <f t="array" ref="CG15">_xll.EQNXTDZ($A$1,$B15,CG$1)</f>
        <v>196.1</v>
      </c>
      <c r="CH15" s="115" cm="1">
        <f t="array" ref="CH15">_xll.EQNXTDZ($A$1,$B15,CH$1)</f>
        <v>217.6</v>
      </c>
      <c r="CI15" s="115" cm="1">
        <f t="array" ref="CI15">_xll.EQNXTDZ($A$1,$B15,CI$1)</f>
        <v>250</v>
      </c>
      <c r="CJ15" s="115" cm="1">
        <f t="array" ref="CJ15">_xll.EQNXTDZ($A$1,$B15,CJ$1)</f>
        <v>224</v>
      </c>
      <c r="CK15" s="115" cm="1">
        <f t="array" ref="CK15">_xll.EQNXTDZ($A$1,$B15,CK$1)</f>
        <v>209.6</v>
      </c>
      <c r="CL15" s="115" cm="1">
        <f t="array" ref="CL15">_xll.EQNXTDZ($A$1,$B15,CL$1)</f>
        <v>201.05</v>
      </c>
      <c r="CM15" s="115" cm="1">
        <f t="array" ref="CM15">_xll.EQNXTDZ($A$1,$B15,CM$1)</f>
        <v>222.45</v>
      </c>
      <c r="CN15" s="115" cm="1">
        <f t="array" ref="CN15">_xll.EQNXTDZ($A$1,$B15,CN$1)</f>
        <v>231.05</v>
      </c>
      <c r="CO15" s="115" cm="1">
        <f t="array" ref="CO15">_xll.EQNXTDZ($A$1,$B15,CO$1)</f>
        <v>243.8</v>
      </c>
      <c r="CP15" s="115" cm="1">
        <f t="array" ref="CP15">_xll.EQNXTDZ($A$1,$B15,CP$1)</f>
        <v>245</v>
      </c>
      <c r="CQ15" s="115" cm="1">
        <f t="array" ref="CQ15">_xll.EQNXTDZ($A$1,$B15,CQ$1)</f>
        <v>245.25</v>
      </c>
      <c r="CR15" s="115" cm="1">
        <f t="array" ref="CR15">_xll.EQNXTDZ($A$1,$B15,CR$1)</f>
        <v>165</v>
      </c>
      <c r="CS15" s="115" cm="1">
        <f t="array" ref="CS15">_xll.EQNXTDZ($A$1,$B15,CS$1)</f>
        <v>195.3</v>
      </c>
      <c r="CT15" s="115" cm="1">
        <f t="array" ref="CT15">_xll.EQNXTDZ($A$1,$B15,CT$1)</f>
        <v>174.6</v>
      </c>
      <c r="CU15" s="115" cm="1">
        <f t="array" ref="CU15">_xll.EQNXTDZ($A$1,$B15,CU$1)</f>
        <v>189.5</v>
      </c>
      <c r="CV15" s="115" cm="1">
        <f t="array" ref="CV15">_xll.EQNXTDZ($A$1,$B15,CV$1)</f>
        <v>200</v>
      </c>
      <c r="CW15" s="115" cm="1">
        <f t="array" ref="CW15">_xll.EQNXTDZ($A$1,$B15,CW$1)</f>
        <v>232.1</v>
      </c>
      <c r="CX15" s="115" cm="1">
        <f t="array" ref="CX15">_xll.EQNXTDZ($A$1,$B15,CX$1)</f>
        <v>241</v>
      </c>
      <c r="CY15" s="115" cm="1">
        <f t="array" ref="CY15">_xll.EQNXTDZ($A$1,$B15,CY$1)</f>
        <v>269.25</v>
      </c>
      <c r="CZ15" s="115" cm="1">
        <f t="array" ref="CZ15">_xll.EQNXTDZ($A$1,$B15,CZ$1)</f>
        <v>268.14999999999998</v>
      </c>
      <c r="DA15" s="115" cm="1">
        <f t="array" ref="DA15">_xll.EQNXTDZ($A$1,$B15,DA$1)</f>
        <v>271.5</v>
      </c>
      <c r="DB15" s="115" cm="1">
        <f t="array" ref="DB15">_xll.EQNXTDZ($A$1,$B15,DB$1)</f>
        <v>295.10000000000002</v>
      </c>
      <c r="DC15" s="115" cm="1">
        <f t="array" ref="DC15">_xll.EQNXTDZ($A$1,$B15,DC$1)</f>
        <v>285</v>
      </c>
      <c r="DD15" s="115" cm="1">
        <f t="array" ref="DD15">_xll.EQNXTDZ($A$1,$B15,DD$1)</f>
        <v>262.05</v>
      </c>
      <c r="DE15" s="115" cm="1">
        <f t="array" ref="DE15">_xll.EQNXTDZ($A$1,$B15,DE$1)</f>
        <v>261.05</v>
      </c>
      <c r="DF15" s="115" cm="1">
        <f t="array" ref="DF15">_xll.EQNXTDZ($A$1,$B15,DF$1)</f>
        <v>260</v>
      </c>
      <c r="DG15" s="115" cm="1">
        <f t="array" ref="DG15">_xll.EQNXTDZ($A$1,$B15,DG$1)</f>
        <v>277</v>
      </c>
      <c r="DH15" s="115" cm="1">
        <f t="array" ref="DH15">_xll.EQNXTDZ($A$1,$B15,DH$1)</f>
        <v>292.45</v>
      </c>
      <c r="DI15" s="115" cm="1">
        <f t="array" ref="DI15">_xll.EQNXTDZ($A$1,$B15,DI$1)</f>
        <v>260.5</v>
      </c>
      <c r="DJ15" s="115" cm="1">
        <f t="array" ref="DJ15">_xll.EQNXTDZ($A$1,$B15,DJ$1)</f>
        <v>261</v>
      </c>
      <c r="DK15" s="115" cm="1">
        <f t="array" ref="DK15">_xll.EQNXTDZ($A$1,$B15,DK$1)</f>
        <v>235</v>
      </c>
      <c r="DL15" s="115" cm="1">
        <f t="array" ref="DL15">_xll.EQNXTDZ($A$1,$B15,DL$1)</f>
        <v>220.1</v>
      </c>
      <c r="DM15" s="115" cm="1">
        <f t="array" ref="DM15">_xll.EQNXTDZ($A$1,$B15,DM$1)</f>
        <v>205.1</v>
      </c>
      <c r="DN15" s="115" cm="1">
        <f t="array" ref="DN15">_xll.EQNXTDZ($A$1,$B15,DN$1)</f>
        <v>195.35</v>
      </c>
      <c r="DO15" s="115" cm="1">
        <f t="array" ref="DO15">_xll.EQNXTDZ($A$1,$B15,DO$1)</f>
        <v>165.65</v>
      </c>
      <c r="DP15" s="115" cm="1">
        <f t="array" ref="DP15">_xll.EQNXTDZ($A$1,$B15,DP$1)</f>
        <v>148</v>
      </c>
      <c r="DQ15" s="115" cm="1">
        <f t="array" ref="DQ15">_xll.EQNXTDZ($A$1,$B15,DQ$1)</f>
        <v>152.25</v>
      </c>
      <c r="DR15" s="115" cm="1">
        <f t="array" ref="DR15">_xll.EQNXTDZ($A$1,$B15,DR$1)</f>
        <v>161.75</v>
      </c>
      <c r="DS15" s="115" cm="1">
        <f t="array" ref="DS15">_xll.EQNXTDZ($A$1,$B15,DS$1)</f>
        <v>151.94999999999999</v>
      </c>
      <c r="DT15" s="115" cm="1">
        <f t="array" ref="DT15">_xll.EQNXTDZ($A$1,$B15,DT$1)</f>
        <v>163</v>
      </c>
      <c r="DU15" s="115" cm="1">
        <f t="array" ref="DU15">_xll.EQNXTDZ($A$1,$B15,DU$1)</f>
        <v>183.85</v>
      </c>
      <c r="DV15" s="115" cm="1">
        <f t="array" ref="DV15">_xll.EQNXTDZ($A$1,$B15,DV$1)</f>
        <v>187.65</v>
      </c>
      <c r="DW15" s="115" cm="1">
        <f t="array" ref="DW15">_xll.EQNXTDZ($A$1,$B15,DW$1)</f>
        <v>216.75</v>
      </c>
      <c r="DX15" s="115" cm="1">
        <f t="array" ref="DX15">_xll.EQNXTDZ($A$1,$B15,DX$1)</f>
        <v>182.1</v>
      </c>
      <c r="DY15" s="115" cm="1">
        <f t="array" ref="DY15">_xll.EQNXTDZ($A$1,$B15,DY$1)</f>
        <v>187</v>
      </c>
      <c r="DZ15" s="115" cm="1">
        <f t="array" ref="DZ15">_xll.EQNXTDZ($A$1,$B15,DZ$1)</f>
        <v>191</v>
      </c>
      <c r="EA15" s="115" cm="1">
        <f t="array" ref="EA15">_xll.EQNXTDZ($A$1,$B15,EA$1)</f>
        <v>192.8</v>
      </c>
      <c r="EB15" s="115" cm="1">
        <f t="array" ref="EB15">_xll.EQNXTDZ($A$1,$B15,EB$1)</f>
        <v>186</v>
      </c>
      <c r="EC15" s="115" cm="1">
        <f t="array" ref="EC15">_xll.EQNXTDZ($A$1,$B15,EC$1)</f>
        <v>189.75</v>
      </c>
      <c r="ED15" s="115" cm="1">
        <f t="array" ref="ED15">_xll.EQNXTDZ($A$1,$B15,ED$1)</f>
        <v>221.6</v>
      </c>
      <c r="EE15" s="115" cm="1">
        <f t="array" ref="EE15">_xll.EQNXTDZ($A$1,$B15,EE$1)</f>
        <v>260.14999999999998</v>
      </c>
      <c r="EF15" s="115" cm="1">
        <f t="array" ref="EF15">_xll.EQNXTDZ($A$1,$B15,EF$1)</f>
        <v>258</v>
      </c>
      <c r="EG15" s="115" cm="1">
        <f t="array" ref="EG15">_xll.EQNXTDZ($A$1,$B15,EG$1)</f>
        <v>243.9</v>
      </c>
      <c r="EH15" s="115" cm="1">
        <f t="array" ref="EH15">_xll.EQNXTDZ($A$1,$B15,EH$1)</f>
        <v>247.95</v>
      </c>
      <c r="EI15" s="115" cm="1">
        <f t="array" ref="EI15">_xll.EQNXTDZ($A$1,$B15,EI$1)</f>
        <v>251</v>
      </c>
      <c r="EJ15" s="115" cm="1">
        <f t="array" ref="EJ15">_xll.EQNXTDZ($A$1,$B15,EJ$1)</f>
        <v>270.7</v>
      </c>
      <c r="EK15" s="115" cm="1">
        <f t="array" ref="EK15">_xll.EQNXTDZ($A$1,$B15,EK$1)</f>
        <v>281.7</v>
      </c>
      <c r="EL15" s="115" cm="1">
        <f t="array" ref="EL15">_xll.EQNXTDZ($A$1,$B15,EL$1)</f>
        <v>290.95</v>
      </c>
      <c r="EM15" s="115" cm="1">
        <f t="array" ref="EM15">_xll.EQNXTDZ($A$1,$B15,EM$1)</f>
        <v>318.10000000000002</v>
      </c>
      <c r="EN15" s="115" cm="1">
        <f t="array" ref="EN15">_xll.EQNXTDZ($A$1,$B15,EN$1)</f>
        <v>288.64999999999998</v>
      </c>
      <c r="EO15" s="115" cm="1">
        <f t="array" ref="EO15">_xll.EQNXTDZ($A$1,$B15,EO$1)</f>
        <v>300.35000000000002</v>
      </c>
      <c r="EP15" s="115" cm="1">
        <f t="array" ref="EP15">_xll.EQNXTDZ($A$1,$B15,EP$1)</f>
        <v>291.85000000000002</v>
      </c>
      <c r="EQ15" s="115" cm="1">
        <f t="array" ref="EQ15">_xll.EQNXTDZ($A$1,$B15,EQ$1)</f>
        <v>262.2</v>
      </c>
      <c r="ER15" s="115" cm="1">
        <f t="array" ref="ER15">_xll.EQNXTDZ($A$1,$B15,ER$1)</f>
        <v>358.05</v>
      </c>
      <c r="ES15" s="115" cm="1">
        <f t="array" ref="ES15">_xll.EQNXTDZ($A$1,$B15,ES$1)</f>
        <v>374.75</v>
      </c>
      <c r="ET15" s="115" cm="1">
        <f t="array" ref="ET15">_xll.EQNXTDZ($A$1,$B15,ET$1)</f>
        <v>366</v>
      </c>
      <c r="EU15" s="115" cm="1">
        <f t="array" ref="EU15">_xll.EQNXTDZ($A$1,$B15,EU$1)</f>
        <v>272</v>
      </c>
      <c r="EV15" s="115" cm="1">
        <f t="array" ref="EV15">_xll.EQNXTDZ($A$1,$B15,EV$1)</f>
        <v>259.8</v>
      </c>
      <c r="EW15" s="115" cm="1">
        <f t="array" ref="EW15">_xll.EQNXTDZ($A$1,$B15,EW$1)</f>
        <v>267.14999999999998</v>
      </c>
      <c r="EX15" s="115" cm="1">
        <f t="array" ref="EX15">_xll.EQNXTDZ($A$1,$B15,EX$1)</f>
        <v>207.25</v>
      </c>
      <c r="EY15" s="115" cm="1">
        <f t="array" ref="EY15">_xll.EQNXTDZ($A$1,$B15,EY$1)</f>
        <v>172.85</v>
      </c>
      <c r="EZ15" s="115" cm="1">
        <f t="array" ref="EZ15">_xll.EQNXTDZ($A$1,$B15,EZ$1)</f>
        <v>170.4</v>
      </c>
      <c r="FA15" s="115" cm="1">
        <f t="array" ref="FA15">_xll.EQNXTDZ($A$1,$B15,FA$1)</f>
        <v>177.1</v>
      </c>
      <c r="FB15" s="115" cm="1">
        <f t="array" ref="FB15">_xll.EQNXTDZ($A$1,$B15,FB$1)</f>
        <v>183.8</v>
      </c>
      <c r="FC15" s="115" cm="1">
        <f t="array" ref="FC15">_xll.EQNXTDZ($A$1,$B15,FC$1)</f>
        <v>198.25</v>
      </c>
      <c r="FD15" s="115" cm="1">
        <f t="array" ref="FD15">_xll.EQNXTDZ($A$1,$B15,FD$1)</f>
        <v>210.9</v>
      </c>
      <c r="FE15" s="115" cm="1">
        <f t="array" ref="FE15">_xll.EQNXTDZ($A$1,$B15,FE$1)</f>
        <v>203.1</v>
      </c>
      <c r="FF15" s="115" cm="1">
        <f t="array" ref="FF15">_xll.EQNXTDZ($A$1,$B15,FF$1)</f>
        <v>216</v>
      </c>
      <c r="FG15" s="115" cm="1">
        <f t="array" ref="FG15">_xll.EQNXTDZ($A$1,$B15,FG$1)</f>
        <v>226</v>
      </c>
      <c r="FH15" s="115" cm="1">
        <f t="array" ref="FH15">_xll.EQNXTDZ($A$1,$B15,FH$1)</f>
        <v>217.25</v>
      </c>
      <c r="FI15" s="115" cm="1">
        <f t="array" ref="FI15">_xll.EQNXTDZ($A$1,$B15,FI$1)</f>
        <v>202.55</v>
      </c>
      <c r="FJ15" s="115" cm="1">
        <f t="array" ref="FJ15">_xll.EQNXTDZ($A$1,$B15,FJ$1)</f>
        <v>177.55</v>
      </c>
      <c r="FK15" s="115" cm="1">
        <f t="array" ref="FK15">_xll.EQNXTDZ($A$1,$B15,FK$1)</f>
        <v>171.65</v>
      </c>
      <c r="FL15" s="115" cm="1">
        <f t="array" ref="FL15">_xll.EQNXTDZ($A$1,$B15,FL$1)</f>
        <v>148.94999999999999</v>
      </c>
      <c r="FM15" s="115" cm="1">
        <f t="array" ref="FM15">_xll.EQNXTDZ($A$1,$B15,FM$1)</f>
        <v>150.5</v>
      </c>
      <c r="FN15" s="115" cm="1">
        <f t="array" ref="FN15">_xll.EQNXTDZ($A$1,$B15,FN$1)</f>
        <v>159.1</v>
      </c>
      <c r="FO15" s="115" cm="1">
        <f t="array" ref="FO15">_xll.EQNXTDZ($A$1,$B15,FO$1)</f>
        <v>158.44999999999999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63.75</v>
      </c>
      <c r="HQ15" s="115">
        <f>+MIN(G15:I15)</f>
        <v>65.25</v>
      </c>
      <c r="HR15" s="115">
        <f>+MIN(J15:L15)</f>
        <v>61</v>
      </c>
      <c r="HS15" s="115">
        <f>+MIN(M15:O15)</f>
        <v>56.5</v>
      </c>
      <c r="HT15" s="115">
        <f>+MIN(P15:R15)</f>
        <v>56.85</v>
      </c>
      <c r="HU15" s="115">
        <f>+MIN(S15:U15)</f>
        <v>60.1</v>
      </c>
      <c r="HV15" s="115">
        <f>+MIN(V15:X15)</f>
        <v>68.5</v>
      </c>
      <c r="HW15" s="115">
        <f>+MIN(Y15:AA15)</f>
        <v>88.15</v>
      </c>
      <c r="HX15" s="115">
        <f>+MIN(AB15:AD15)</f>
        <v>130.35</v>
      </c>
      <c r="HY15" s="115">
        <f>+MIN(AE15:AG15)</f>
        <v>167.1</v>
      </c>
      <c r="HZ15" s="115">
        <f>+MIN(AH15:AJ15)</f>
        <v>175.1</v>
      </c>
      <c r="IA15" s="115">
        <f>+MIN(AK15:AM15)</f>
        <v>213.1</v>
      </c>
      <c r="IB15" s="115">
        <f>+MIN(AN15:AP15)</f>
        <v>222.1</v>
      </c>
      <c r="IC15" s="115">
        <f>+MIN(AQ15:AS15)</f>
        <v>227</v>
      </c>
      <c r="ID15" s="115">
        <f>+MIN(AT15:AV15)</f>
        <v>176.9</v>
      </c>
      <c r="IE15" s="115">
        <f>+MIN(AW15:AY15)</f>
        <v>210.6</v>
      </c>
      <c r="IF15" s="115">
        <f>+MIN(AZ15:BB15)</f>
        <v>255.1</v>
      </c>
      <c r="IG15" s="115">
        <f>+MIN(BC15:BE15)</f>
        <v>228.35</v>
      </c>
      <c r="IH15" s="115">
        <f>+MIN(BF15:BH15)</f>
        <v>227</v>
      </c>
      <c r="II15" s="115">
        <f>+MIN(BI15:BK15)</f>
        <v>232</v>
      </c>
      <c r="IJ15" s="115">
        <f>+MIN(BL15:BN15)</f>
        <v>201</v>
      </c>
      <c r="IK15" s="115">
        <f>+MIN(BO15:BQ15)</f>
        <v>215.2</v>
      </c>
      <c r="IL15" s="115">
        <f>+MIN(BR15:BT15)</f>
        <v>276</v>
      </c>
      <c r="IM15" s="115">
        <f>+MIN(BU15:BW15)</f>
        <v>265</v>
      </c>
      <c r="IN15" s="115">
        <f>+MIN(BX15:BZ15)</f>
        <v>233.5</v>
      </c>
      <c r="IO15" s="115">
        <f>+MIN(CA15:CC15)</f>
        <v>186</v>
      </c>
      <c r="IP15" s="115">
        <f>+MIN(CD15:CF15)</f>
        <v>155</v>
      </c>
      <c r="IQ15" s="115">
        <f>+MIN(CG15:CI15)</f>
        <v>196.1</v>
      </c>
      <c r="IR15" s="115">
        <f>+MIN(CJ15:CL15)</f>
        <v>201.05</v>
      </c>
      <c r="IS15" s="115">
        <f>+MIN(CM15:CO15)</f>
        <v>222.45</v>
      </c>
      <c r="IT15" s="115">
        <f>+MIN(CP15:CR15)</f>
        <v>165</v>
      </c>
      <c r="IU15" s="115">
        <f>+MIN(CS15:CU15)</f>
        <v>174.6</v>
      </c>
      <c r="IV15" s="115">
        <f>+MIN(CV15:CX15)</f>
        <v>200</v>
      </c>
      <c r="IW15" s="115">
        <f>+MIN(CY15:DA15)</f>
        <v>268.14999999999998</v>
      </c>
      <c r="IX15" s="115">
        <f>+MIN(DB15:DD15)</f>
        <v>262.05</v>
      </c>
      <c r="IY15" s="115">
        <f>+MIN(DE15:DG15)</f>
        <v>260</v>
      </c>
      <c r="IZ15" s="115">
        <f>+MIN(DH15:DJ15)</f>
        <v>260.5</v>
      </c>
      <c r="JA15" s="115">
        <f>+MIN(DK15:DM15)</f>
        <v>205.1</v>
      </c>
      <c r="JB15" s="115">
        <f>+MIN(DN15:DP15)</f>
        <v>148</v>
      </c>
      <c r="JC15" s="115">
        <f>+MIN(DQ15:DS15)</f>
        <v>151.94999999999999</v>
      </c>
      <c r="JD15" s="115">
        <f>+MIN(DT15:DV15)</f>
        <v>163</v>
      </c>
      <c r="JE15" s="115">
        <f>+MIN(DW15:DY15)</f>
        <v>182.1</v>
      </c>
      <c r="JF15" s="115">
        <f>+MIN(DZ15:EB15)</f>
        <v>186</v>
      </c>
      <c r="JG15" s="115">
        <f>+MIN(EC15:EE15)</f>
        <v>189.75</v>
      </c>
      <c r="JH15" s="115">
        <f>+MIN(EF15:EH15)</f>
        <v>243.9</v>
      </c>
      <c r="JI15" s="115">
        <f>+MIN(EI15:EK15)</f>
        <v>251</v>
      </c>
      <c r="JJ15" s="115">
        <f>+MIN(EL15:EN15)</f>
        <v>288.64999999999998</v>
      </c>
      <c r="JK15" s="115">
        <f>MIN(EO15:EQ15)</f>
        <v>262.2</v>
      </c>
      <c r="JL15" s="115">
        <f>MIN(ER15:ET15)</f>
        <v>358.05</v>
      </c>
      <c r="JM15" s="115">
        <f>MIN(EU15:EW15)</f>
        <v>259.8</v>
      </c>
      <c r="JN15" s="115">
        <f>MIN(EX15:EZ15)</f>
        <v>170.4</v>
      </c>
      <c r="JO15" s="115">
        <f>MIN(FA15:FC15)</f>
        <v>177.1</v>
      </c>
      <c r="JP15" s="115">
        <f>MIN(FD15:FF15)</f>
        <v>203.1</v>
      </c>
      <c r="JQ15" s="115">
        <f>MIN(FG15:FI15)</f>
        <v>202.55</v>
      </c>
      <c r="JR15" s="115">
        <f>MIN(FJ15:FL15)</f>
        <v>148.94999999999999</v>
      </c>
      <c r="JS15" s="115">
        <f>MIN(FM15:FO15)</f>
        <v>150.5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71.400000000000006</v>
      </c>
      <c r="D16" s="115" cm="1">
        <f t="array" ref="D16">_xll.EQNXTDZ($A$1,$B16,D$1)</f>
        <v>64.2</v>
      </c>
      <c r="E16" s="115" cm="1">
        <f t="array" ref="E16">_xll.EQNXTDZ($A$1,$B16,E$1)</f>
        <v>69</v>
      </c>
      <c r="F16" s="115" cm="1">
        <f t="array" ref="F16">_xll.EQNXTDZ($A$1,$B16,F$1)</f>
        <v>71.650000000000006</v>
      </c>
      <c r="G16" s="115" cm="1">
        <f t="array" ref="G16">_xll.EQNXTDZ($A$1,$B16,G$1)</f>
        <v>68.25</v>
      </c>
      <c r="H16" s="115" cm="1">
        <f t="array" ref="H16">_xll.EQNXTDZ($A$1,$B16,H$1)</f>
        <v>67.599999999999994</v>
      </c>
      <c r="I16" s="115" cm="1">
        <f t="array" ref="I16">_xll.EQNXTDZ($A$1,$B16,I$1)</f>
        <v>72.349999999999994</v>
      </c>
      <c r="J16" s="115" cm="1">
        <f t="array" ref="J16">_xll.EQNXTDZ($A$1,$B16,J$1)</f>
        <v>69.599999999999994</v>
      </c>
      <c r="K16" s="115" cm="1">
        <f t="array" ref="K16">_xll.EQNXTDZ($A$1,$B16,K$1)</f>
        <v>63.9</v>
      </c>
      <c r="L16" s="115" cm="1">
        <f t="array" ref="L16">_xll.EQNXTDZ($A$1,$B16,L$1)</f>
        <v>62.15</v>
      </c>
      <c r="M16" s="115" cm="1">
        <f t="array" ref="M16">_xll.EQNXTDZ($A$1,$B16,M$1)</f>
        <v>63</v>
      </c>
      <c r="N16" s="115" cm="1">
        <f t="array" ref="N16">_xll.EQNXTDZ($A$1,$B16,N$1)</f>
        <v>67.05</v>
      </c>
      <c r="O16" s="115" cm="1">
        <f t="array" ref="O16">_xll.EQNXTDZ($A$1,$B16,O$1)</f>
        <v>62.85</v>
      </c>
      <c r="P16" s="115" cm="1">
        <f t="array" ref="P16">_xll.EQNXTDZ($A$1,$B16,P$1)</f>
        <v>61.1</v>
      </c>
      <c r="Q16" s="115" cm="1">
        <f t="array" ref="Q16">_xll.EQNXTDZ($A$1,$B16,Q$1)</f>
        <v>60.75</v>
      </c>
      <c r="R16" s="115" cm="1">
        <f t="array" ref="R16">_xll.EQNXTDZ($A$1,$B16,R$1)</f>
        <v>60.1</v>
      </c>
      <c r="S16" s="115" cm="1">
        <f t="array" ref="S16">_xll.EQNXTDZ($A$1,$B16,S$1)</f>
        <v>63.05</v>
      </c>
      <c r="T16" s="115" cm="1">
        <f t="array" ref="T16">_xll.EQNXTDZ($A$1,$B16,T$1)</f>
        <v>65.150000000000006</v>
      </c>
      <c r="U16" s="115" cm="1">
        <f t="array" ref="U16">_xll.EQNXTDZ($A$1,$B16,U$1)</f>
        <v>74.599999999999994</v>
      </c>
      <c r="V16" s="115" cm="1">
        <f t="array" ref="V16">_xll.EQNXTDZ($A$1,$B16,V$1)</f>
        <v>73.5</v>
      </c>
      <c r="W16" s="115" cm="1">
        <f t="array" ref="W16">_xll.EQNXTDZ($A$1,$B16,W$1)</f>
        <v>86.85</v>
      </c>
      <c r="X16" s="115" cm="1">
        <f t="array" ref="X16">_xll.EQNXTDZ($A$1,$B16,X$1)</f>
        <v>89.5</v>
      </c>
      <c r="Y16" s="115" cm="1">
        <f t="array" ref="Y16">_xll.EQNXTDZ($A$1,$B16,Y$1)</f>
        <v>98.7</v>
      </c>
      <c r="Z16" s="115" cm="1">
        <f t="array" ref="Z16">_xll.EQNXTDZ($A$1,$B16,Z$1)</f>
        <v>114.05</v>
      </c>
      <c r="AA16" s="115" cm="1">
        <f t="array" ref="AA16">_xll.EQNXTDZ($A$1,$B16,AA$1)</f>
        <v>134.30000000000001</v>
      </c>
      <c r="AB16" s="115" cm="1">
        <f t="array" ref="AB16">_xll.EQNXTDZ($A$1,$B16,AB$1)</f>
        <v>163.05000000000001</v>
      </c>
      <c r="AC16" s="115" cm="1">
        <f t="array" ref="AC16">_xll.EQNXTDZ($A$1,$B16,AC$1)</f>
        <v>164.2</v>
      </c>
      <c r="AD16" s="115" cm="1">
        <f t="array" ref="AD16">_xll.EQNXTDZ($A$1,$B16,AD$1)</f>
        <v>192.05</v>
      </c>
      <c r="AE16" s="115" cm="1">
        <f t="array" ref="AE16">_xll.EQNXTDZ($A$1,$B16,AE$1)</f>
        <v>175.85</v>
      </c>
      <c r="AF16" s="115" cm="1">
        <f t="array" ref="AF16">_xll.EQNXTDZ($A$1,$B16,AF$1)</f>
        <v>174.05</v>
      </c>
      <c r="AG16" s="115" cm="1">
        <f t="array" ref="AG16">_xll.EQNXTDZ($A$1,$B16,AG$1)</f>
        <v>180.7</v>
      </c>
      <c r="AH16" s="115" cm="1">
        <f t="array" ref="AH16">_xll.EQNXTDZ($A$1,$B16,AH$1)</f>
        <v>206.7</v>
      </c>
      <c r="AI16" s="115" cm="1">
        <f t="array" ref="AI16">_xll.EQNXTDZ($A$1,$B16,AI$1)</f>
        <v>213</v>
      </c>
      <c r="AJ16" s="115" cm="1">
        <f t="array" ref="AJ16">_xll.EQNXTDZ($A$1,$B16,AJ$1)</f>
        <v>231.1</v>
      </c>
      <c r="AK16" s="115" cm="1">
        <f t="array" ref="AK16">_xll.EQNXTDZ($A$1,$B16,AK$1)</f>
        <v>222.7</v>
      </c>
      <c r="AL16" s="115" cm="1">
        <f t="array" ref="AL16">_xll.EQNXTDZ($A$1,$B16,AL$1)</f>
        <v>228.4</v>
      </c>
      <c r="AM16" s="115" cm="1">
        <f t="array" ref="AM16">_xll.EQNXTDZ($A$1,$B16,AM$1)</f>
        <v>236.7</v>
      </c>
      <c r="AN16" s="115" cm="1">
        <f t="array" ref="AN16">_xll.EQNXTDZ($A$1,$B16,AN$1)</f>
        <v>304.8</v>
      </c>
      <c r="AO16" s="115" cm="1">
        <f t="array" ref="AO16">_xll.EQNXTDZ($A$1,$B16,AO$1)</f>
        <v>280.2</v>
      </c>
      <c r="AP16" s="115" cm="1">
        <f t="array" ref="AP16">_xll.EQNXTDZ($A$1,$B16,AP$1)</f>
        <v>272.39999999999998</v>
      </c>
      <c r="AQ16" s="115" cm="1">
        <f t="array" ref="AQ16">_xll.EQNXTDZ($A$1,$B16,AQ$1)</f>
        <v>268.10000000000002</v>
      </c>
      <c r="AR16" s="115" cm="1">
        <f t="array" ref="AR16">_xll.EQNXTDZ($A$1,$B16,AR$1)</f>
        <v>241.3</v>
      </c>
      <c r="AS16" s="115" cm="1">
        <f t="array" ref="AS16">_xll.EQNXTDZ($A$1,$B16,AS$1)</f>
        <v>239.7</v>
      </c>
      <c r="AT16" s="115" cm="1">
        <f t="array" ref="AT16">_xll.EQNXTDZ($A$1,$B16,AT$1)</f>
        <v>222.6</v>
      </c>
      <c r="AU16" s="115" cm="1">
        <f t="array" ref="AU16">_xll.EQNXTDZ($A$1,$B16,AU$1)</f>
        <v>201.6</v>
      </c>
      <c r="AV16" s="115" cm="1">
        <f t="array" ref="AV16">_xll.EQNXTDZ($A$1,$B16,AV$1)</f>
        <v>209.6</v>
      </c>
      <c r="AW16" s="115" cm="1">
        <f t="array" ref="AW16">_xll.EQNXTDZ($A$1,$B16,AW$1)</f>
        <v>226</v>
      </c>
      <c r="AX16" s="115" cm="1">
        <f t="array" ref="AX16">_xll.EQNXTDZ($A$1,$B16,AX$1)</f>
        <v>264.89999999999998</v>
      </c>
      <c r="AY16" s="115" cm="1">
        <f t="array" ref="AY16">_xll.EQNXTDZ($A$1,$B16,AY$1)</f>
        <v>297.7</v>
      </c>
      <c r="AZ16" s="115" cm="1">
        <f t="array" ref="AZ16">_xll.EQNXTDZ($A$1,$B16,AZ$1)</f>
        <v>319.3</v>
      </c>
      <c r="BA16" s="115" cm="1">
        <f t="array" ref="BA16">_xll.EQNXTDZ($A$1,$B16,BA$1)</f>
        <v>282.5</v>
      </c>
      <c r="BB16" s="115" cm="1">
        <f t="array" ref="BB16">_xll.EQNXTDZ($A$1,$B16,BB$1)</f>
        <v>257.5</v>
      </c>
      <c r="BC16" s="115" cm="1">
        <f t="array" ref="BC16">_xll.EQNXTDZ($A$1,$B16,BC$1)</f>
        <v>290.7</v>
      </c>
      <c r="BD16" s="115" cm="1">
        <f t="array" ref="BD16">_xll.EQNXTDZ($A$1,$B16,BD$1)</f>
        <v>254.2</v>
      </c>
      <c r="BE16" s="115" cm="1">
        <f t="array" ref="BE16">_xll.EQNXTDZ($A$1,$B16,BE$1)</f>
        <v>242</v>
      </c>
      <c r="BF16" s="115" cm="1">
        <f t="array" ref="BF16">_xll.EQNXTDZ($A$1,$B16,BF$1)</f>
        <v>242.5</v>
      </c>
      <c r="BG16" s="115" cm="1">
        <f t="array" ref="BG16">_xll.EQNXTDZ($A$1,$B16,BG$1)</f>
        <v>239.6</v>
      </c>
      <c r="BH16" s="115" cm="1">
        <f t="array" ref="BH16">_xll.EQNXTDZ($A$1,$B16,BH$1)</f>
        <v>237.4</v>
      </c>
      <c r="BI16" s="115" cm="1">
        <f t="array" ref="BI16">_xll.EQNXTDZ($A$1,$B16,BI$1)</f>
        <v>271.10000000000002</v>
      </c>
      <c r="BJ16" s="115" cm="1">
        <f t="array" ref="BJ16">_xll.EQNXTDZ($A$1,$B16,BJ$1)</f>
        <v>234.25</v>
      </c>
      <c r="BK16" s="115" cm="1">
        <f t="array" ref="BK16">_xll.EQNXTDZ($A$1,$B16,BK$1)</f>
        <v>259.75</v>
      </c>
      <c r="BL16" s="115" cm="1">
        <f t="array" ref="BL16">_xll.EQNXTDZ($A$1,$B16,BL$1)</f>
        <v>255.2</v>
      </c>
      <c r="BM16" s="115" cm="1">
        <f t="array" ref="BM16">_xll.EQNXTDZ($A$1,$B16,BM$1)</f>
        <v>219.35</v>
      </c>
      <c r="BN16" s="115" cm="1">
        <f t="array" ref="BN16">_xll.EQNXTDZ($A$1,$B16,BN$1)</f>
        <v>218.35</v>
      </c>
      <c r="BO16" s="115" cm="1">
        <f t="array" ref="BO16">_xll.EQNXTDZ($A$1,$B16,BO$1)</f>
        <v>257.10000000000002</v>
      </c>
      <c r="BP16" s="115" cm="1">
        <f t="array" ref="BP16">_xll.EQNXTDZ($A$1,$B16,BP$1)</f>
        <v>303.25</v>
      </c>
      <c r="BQ16" s="115" cm="1">
        <f t="array" ref="BQ16">_xll.EQNXTDZ($A$1,$B16,BQ$1)</f>
        <v>353.65</v>
      </c>
      <c r="BR16" s="115" cm="1">
        <f t="array" ref="BR16">_xll.EQNXTDZ($A$1,$B16,BR$1)</f>
        <v>321.05</v>
      </c>
      <c r="BS16" s="115" cm="1">
        <f t="array" ref="BS16">_xll.EQNXTDZ($A$1,$B16,BS$1)</f>
        <v>312.8</v>
      </c>
      <c r="BT16" s="115" cm="1">
        <f t="array" ref="BT16">_xll.EQNXTDZ($A$1,$B16,BT$1)</f>
        <v>320.10000000000002</v>
      </c>
      <c r="BU16" s="115" cm="1">
        <f t="array" ref="BU16">_xll.EQNXTDZ($A$1,$B16,BU$1)</f>
        <v>357</v>
      </c>
      <c r="BV16" s="115" cm="1">
        <f t="array" ref="BV16">_xll.EQNXTDZ($A$1,$B16,BV$1)</f>
        <v>308.25</v>
      </c>
      <c r="BW16" s="115" cm="1">
        <f t="array" ref="BW16">_xll.EQNXTDZ($A$1,$B16,BW$1)</f>
        <v>275.05</v>
      </c>
      <c r="BX16" s="115" cm="1">
        <f t="array" ref="BX16">_xll.EQNXTDZ($A$1,$B16,BX$1)</f>
        <v>274.7</v>
      </c>
      <c r="BY16" s="115" cm="1">
        <f t="array" ref="BY16">_xll.EQNXTDZ($A$1,$B16,BY$1)</f>
        <v>267.39999999999998</v>
      </c>
      <c r="BZ16" s="115" cm="1">
        <f t="array" ref="BZ16">_xll.EQNXTDZ($A$1,$B16,BZ$1)</f>
        <v>237</v>
      </c>
      <c r="CA16" s="115" cm="1">
        <f t="array" ref="CA16">_xll.EQNXTDZ($A$1,$B16,CA$1)</f>
        <v>212.55</v>
      </c>
      <c r="CB16" s="115" cm="1">
        <f t="array" ref="CB16">_xll.EQNXTDZ($A$1,$B16,CB$1)</f>
        <v>208</v>
      </c>
      <c r="CC16" s="115" cm="1">
        <f t="array" ref="CC16">_xll.EQNXTDZ($A$1,$B16,CC$1)</f>
        <v>194</v>
      </c>
      <c r="CD16" s="115" cm="1">
        <f t="array" ref="CD16">_xll.EQNXTDZ($A$1,$B16,CD$1)</f>
        <v>172.9</v>
      </c>
      <c r="CE16" s="115" cm="1">
        <f t="array" ref="CE16">_xll.EQNXTDZ($A$1,$B16,CE$1)</f>
        <v>191.85</v>
      </c>
      <c r="CF16" s="115" cm="1">
        <f t="array" ref="CF16">_xll.EQNXTDZ($A$1,$B16,CF$1)</f>
        <v>196.75</v>
      </c>
      <c r="CG16" s="115" cm="1">
        <f t="array" ref="CG16">_xll.EQNXTDZ($A$1,$B16,CG$1)</f>
        <v>223</v>
      </c>
      <c r="CH16" s="115" cm="1">
        <f t="array" ref="CH16">_xll.EQNXTDZ($A$1,$B16,CH$1)</f>
        <v>259.45</v>
      </c>
      <c r="CI16" s="115" cm="1">
        <f t="array" ref="CI16">_xll.EQNXTDZ($A$1,$B16,CI$1)</f>
        <v>258.75</v>
      </c>
      <c r="CJ16" s="115" cm="1">
        <f t="array" ref="CJ16">_xll.EQNXTDZ($A$1,$B16,CJ$1)</f>
        <v>226.15</v>
      </c>
      <c r="CK16" s="115" cm="1">
        <f t="array" ref="CK16">_xll.EQNXTDZ($A$1,$B16,CK$1)</f>
        <v>211</v>
      </c>
      <c r="CL16" s="115" cm="1">
        <f t="array" ref="CL16">_xll.EQNXTDZ($A$1,$B16,CL$1)</f>
        <v>244.1</v>
      </c>
      <c r="CM16" s="115" cm="1">
        <f t="array" ref="CM16">_xll.EQNXTDZ($A$1,$B16,CM$1)</f>
        <v>255.05</v>
      </c>
      <c r="CN16" s="115" cm="1">
        <f t="array" ref="CN16">_xll.EQNXTDZ($A$1,$B16,CN$1)</f>
        <v>246.5</v>
      </c>
      <c r="CO16" s="115" cm="1">
        <f t="array" ref="CO16">_xll.EQNXTDZ($A$1,$B16,CO$1)</f>
        <v>246.3</v>
      </c>
      <c r="CP16" s="115" cm="1">
        <f t="array" ref="CP16">_xll.EQNXTDZ($A$1,$B16,CP$1)</f>
        <v>249.95</v>
      </c>
      <c r="CQ16" s="115" cm="1">
        <f t="array" ref="CQ16">_xll.EQNXTDZ($A$1,$B16,CQ$1)</f>
        <v>263</v>
      </c>
      <c r="CR16" s="115" cm="1">
        <f t="array" ref="CR16">_xll.EQNXTDZ($A$1,$B16,CR$1)</f>
        <v>195.75</v>
      </c>
      <c r="CS16" s="115" cm="1">
        <f t="array" ref="CS16">_xll.EQNXTDZ($A$1,$B16,CS$1)</f>
        <v>207.5</v>
      </c>
      <c r="CT16" s="115" cm="1">
        <f t="array" ref="CT16">_xll.EQNXTDZ($A$1,$B16,CT$1)</f>
        <v>199</v>
      </c>
      <c r="CU16" s="115" cm="1">
        <f t="array" ref="CU16">_xll.EQNXTDZ($A$1,$B16,CU$1)</f>
        <v>203.9</v>
      </c>
      <c r="CV16" s="115" cm="1">
        <f t="array" ref="CV16">_xll.EQNXTDZ($A$1,$B16,CV$1)</f>
        <v>242.55</v>
      </c>
      <c r="CW16" s="115" cm="1">
        <f t="array" ref="CW16">_xll.EQNXTDZ($A$1,$B16,CW$1)</f>
        <v>259.64999999999998</v>
      </c>
      <c r="CX16" s="115" cm="1">
        <f t="array" ref="CX16">_xll.EQNXTDZ($A$1,$B16,CX$1)</f>
        <v>310.5</v>
      </c>
      <c r="CY16" s="115" cm="1">
        <f t="array" ref="CY16">_xll.EQNXTDZ($A$1,$B16,CY$1)</f>
        <v>274.8</v>
      </c>
      <c r="CZ16" s="115" cm="1">
        <f t="array" ref="CZ16">_xll.EQNXTDZ($A$1,$B16,CZ$1)</f>
        <v>308.05</v>
      </c>
      <c r="DA16" s="115" cm="1">
        <f t="array" ref="DA16">_xll.EQNXTDZ($A$1,$B16,DA$1)</f>
        <v>312.60000000000002</v>
      </c>
      <c r="DB16" s="115" cm="1">
        <f t="array" ref="DB16">_xll.EQNXTDZ($A$1,$B16,DB$1)</f>
        <v>300.3</v>
      </c>
      <c r="DC16" s="115" cm="1">
        <f t="array" ref="DC16">_xll.EQNXTDZ($A$1,$B16,DC$1)</f>
        <v>288.14999999999998</v>
      </c>
      <c r="DD16" s="115" cm="1">
        <f t="array" ref="DD16">_xll.EQNXTDZ($A$1,$B16,DD$1)</f>
        <v>280.3</v>
      </c>
      <c r="DE16" s="115" cm="1">
        <f t="array" ref="DE16">_xll.EQNXTDZ($A$1,$B16,DE$1)</f>
        <v>273.5</v>
      </c>
      <c r="DF16" s="115" cm="1">
        <f t="array" ref="DF16">_xll.EQNXTDZ($A$1,$B16,DF$1)</f>
        <v>277.2</v>
      </c>
      <c r="DG16" s="115" cm="1">
        <f t="array" ref="DG16">_xll.EQNXTDZ($A$1,$B16,DG$1)</f>
        <v>293.10000000000002</v>
      </c>
      <c r="DH16" s="115" cm="1">
        <f t="array" ref="DH16">_xll.EQNXTDZ($A$1,$B16,DH$1)</f>
        <v>301</v>
      </c>
      <c r="DI16" s="115" cm="1">
        <f t="array" ref="DI16">_xll.EQNXTDZ($A$1,$B16,DI$1)</f>
        <v>265</v>
      </c>
      <c r="DJ16" s="115" cm="1">
        <f t="array" ref="DJ16">_xll.EQNXTDZ($A$1,$B16,DJ$1)</f>
        <v>265.5</v>
      </c>
      <c r="DK16" s="115" cm="1">
        <f t="array" ref="DK16">_xll.EQNXTDZ($A$1,$B16,DK$1)</f>
        <v>236.25</v>
      </c>
      <c r="DL16" s="115" cm="1">
        <f t="array" ref="DL16">_xll.EQNXTDZ($A$1,$B16,DL$1)</f>
        <v>221.7</v>
      </c>
      <c r="DM16" s="115" cm="1">
        <f t="array" ref="DM16">_xll.EQNXTDZ($A$1,$B16,DM$1)</f>
        <v>227.8</v>
      </c>
      <c r="DN16" s="115" cm="1">
        <f t="array" ref="DN16">_xll.EQNXTDZ($A$1,$B16,DN$1)</f>
        <v>203.95</v>
      </c>
      <c r="DO16" s="115" cm="1">
        <f t="array" ref="DO16">_xll.EQNXTDZ($A$1,$B16,DO$1)</f>
        <v>169.5</v>
      </c>
      <c r="DP16" s="115" cm="1">
        <f t="array" ref="DP16">_xll.EQNXTDZ($A$1,$B16,DP$1)</f>
        <v>151</v>
      </c>
      <c r="DQ16" s="115" cm="1">
        <f t="array" ref="DQ16">_xll.EQNXTDZ($A$1,$B16,DQ$1)</f>
        <v>197.45</v>
      </c>
      <c r="DR16" s="115" cm="1">
        <f t="array" ref="DR16">_xll.EQNXTDZ($A$1,$B16,DR$1)</f>
        <v>168.55</v>
      </c>
      <c r="DS16" s="115" cm="1">
        <f t="array" ref="DS16">_xll.EQNXTDZ($A$1,$B16,DS$1)</f>
        <v>165</v>
      </c>
      <c r="DT16" s="115" cm="1">
        <f t="array" ref="DT16">_xll.EQNXTDZ($A$1,$B16,DT$1)</f>
        <v>195.2</v>
      </c>
      <c r="DU16" s="115" cm="1">
        <f t="array" ref="DU16">_xll.EQNXTDZ($A$1,$B16,DU$1)</f>
        <v>188.2</v>
      </c>
      <c r="DV16" s="115" cm="1">
        <f t="array" ref="DV16">_xll.EQNXTDZ($A$1,$B16,DV$1)</f>
        <v>217.75</v>
      </c>
      <c r="DW16" s="115" cm="1">
        <f t="array" ref="DW16">_xll.EQNXTDZ($A$1,$B16,DW$1)</f>
        <v>218.95</v>
      </c>
      <c r="DX16" s="115" cm="1">
        <f t="array" ref="DX16">_xll.EQNXTDZ($A$1,$B16,DX$1)</f>
        <v>195.85</v>
      </c>
      <c r="DY16" s="115" cm="1">
        <f t="array" ref="DY16">_xll.EQNXTDZ($A$1,$B16,DY$1)</f>
        <v>198.85</v>
      </c>
      <c r="DZ16" s="115" cm="1">
        <f t="array" ref="DZ16">_xll.EQNXTDZ($A$1,$B16,DZ$1)</f>
        <v>196.5</v>
      </c>
      <c r="EA16" s="115" cm="1">
        <f t="array" ref="EA16">_xll.EQNXTDZ($A$1,$B16,EA$1)</f>
        <v>197.65</v>
      </c>
      <c r="EB16" s="115" cm="1">
        <f t="array" ref="EB16">_xll.EQNXTDZ($A$1,$B16,EB$1)</f>
        <v>189.8</v>
      </c>
      <c r="EC16" s="115" cm="1">
        <f t="array" ref="EC16">_xll.EQNXTDZ($A$1,$B16,EC$1)</f>
        <v>227.5</v>
      </c>
      <c r="ED16" s="115" cm="1">
        <f t="array" ref="ED16">_xll.EQNXTDZ($A$1,$B16,ED$1)</f>
        <v>284.75</v>
      </c>
      <c r="EE16" s="115" cm="1">
        <f t="array" ref="EE16">_xll.EQNXTDZ($A$1,$B16,EE$1)</f>
        <v>273</v>
      </c>
      <c r="EF16" s="115" cm="1">
        <f t="array" ref="EF16">_xll.EQNXTDZ($A$1,$B16,EF$1)</f>
        <v>263.95</v>
      </c>
      <c r="EG16" s="115" cm="1">
        <f t="array" ref="EG16">_xll.EQNXTDZ($A$1,$B16,EG$1)</f>
        <v>262.55</v>
      </c>
      <c r="EH16" s="115" cm="1">
        <f t="array" ref="EH16">_xll.EQNXTDZ($A$1,$B16,EH$1)</f>
        <v>256.55</v>
      </c>
      <c r="EI16" s="115" cm="1">
        <f t="array" ref="EI16">_xll.EQNXTDZ($A$1,$B16,EI$1)</f>
        <v>282.05</v>
      </c>
      <c r="EJ16" s="115" cm="1">
        <f t="array" ref="EJ16">_xll.EQNXTDZ($A$1,$B16,EJ$1)</f>
        <v>301.39999999999998</v>
      </c>
      <c r="EK16" s="115" cm="1">
        <f t="array" ref="EK16">_xll.EQNXTDZ($A$1,$B16,EK$1)</f>
        <v>286.60000000000002</v>
      </c>
      <c r="EL16" s="115" cm="1">
        <f t="array" ref="EL16">_xll.EQNXTDZ($A$1,$B16,EL$1)</f>
        <v>322.55</v>
      </c>
      <c r="EM16" s="115" cm="1">
        <f t="array" ref="EM16">_xll.EQNXTDZ($A$1,$B16,EM$1)</f>
        <v>335.3</v>
      </c>
      <c r="EN16" s="115" cm="1">
        <f t="array" ref="EN16">_xll.EQNXTDZ($A$1,$B16,EN$1)</f>
        <v>299.5</v>
      </c>
      <c r="EO16" s="115" cm="1">
        <f t="array" ref="EO16">_xll.EQNXTDZ($A$1,$B16,EO$1)</f>
        <v>308.8</v>
      </c>
      <c r="EP16" s="115" cm="1">
        <f t="array" ref="EP16">_xll.EQNXTDZ($A$1,$B16,EP$1)</f>
        <v>312.3</v>
      </c>
      <c r="EQ16" s="115" cm="1">
        <f t="array" ref="EQ16">_xll.EQNXTDZ($A$1,$B16,EQ$1)</f>
        <v>360.65</v>
      </c>
      <c r="ER16" s="115" cm="1">
        <f t="array" ref="ER16">_xll.EQNXTDZ($A$1,$B16,ER$1)</f>
        <v>383.7</v>
      </c>
      <c r="ES16" s="115" cm="1">
        <f t="array" ref="ES16">_xll.EQNXTDZ($A$1,$B16,ES$1)</f>
        <v>407.35</v>
      </c>
      <c r="ET16" s="115" cm="1">
        <f t="array" ref="ET16">_xll.EQNXTDZ($A$1,$B16,ET$1)</f>
        <v>385</v>
      </c>
      <c r="EU16" s="115" cm="1">
        <f t="array" ref="EU16">_xll.EQNXTDZ($A$1,$B16,EU$1)</f>
        <v>284.25</v>
      </c>
      <c r="EV16" s="115" cm="1">
        <f t="array" ref="EV16">_xll.EQNXTDZ($A$1,$B16,EV$1)</f>
        <v>284.8</v>
      </c>
      <c r="EW16" s="115" cm="1">
        <f t="array" ref="EW16">_xll.EQNXTDZ($A$1,$B16,EW$1)</f>
        <v>272.39999999999998</v>
      </c>
      <c r="EX16" s="115" cm="1">
        <f t="array" ref="EX16">_xll.EQNXTDZ($A$1,$B16,EX$1)</f>
        <v>225.9</v>
      </c>
      <c r="EY16" s="115" cm="1">
        <f t="array" ref="EY16">_xll.EQNXTDZ($A$1,$B16,EY$1)</f>
        <v>176.65</v>
      </c>
      <c r="EZ16" s="115" cm="1">
        <f t="array" ref="EZ16">_xll.EQNXTDZ($A$1,$B16,EZ$1)</f>
        <v>180.95</v>
      </c>
      <c r="FA16" s="115" cm="1">
        <f t="array" ref="FA16">_xll.EQNXTDZ($A$1,$B16,FA$1)</f>
        <v>190.5</v>
      </c>
      <c r="FB16" s="115" cm="1">
        <f t="array" ref="FB16">_xll.EQNXTDZ($A$1,$B16,FB$1)</f>
        <v>204.85</v>
      </c>
      <c r="FC16" s="115" cm="1">
        <f t="array" ref="FC16">_xll.EQNXTDZ($A$1,$B16,FC$1)</f>
        <v>211.6</v>
      </c>
      <c r="FD16" s="115" cm="1">
        <f t="array" ref="FD16">_xll.EQNXTDZ($A$1,$B16,FD$1)</f>
        <v>219.65</v>
      </c>
      <c r="FE16" s="115" cm="1">
        <f t="array" ref="FE16">_xll.EQNXTDZ($A$1,$B16,FE$1)</f>
        <v>215.45</v>
      </c>
      <c r="FF16" s="115" cm="1">
        <f t="array" ref="FF16">_xll.EQNXTDZ($A$1,$B16,FF$1)</f>
        <v>233.9</v>
      </c>
      <c r="FG16" s="115" cm="1">
        <f t="array" ref="FG16">_xll.EQNXTDZ($A$1,$B16,FG$1)</f>
        <v>245.1</v>
      </c>
      <c r="FH16" s="115" cm="1">
        <f t="array" ref="FH16">_xll.EQNXTDZ($A$1,$B16,FH$1)</f>
        <v>218.85</v>
      </c>
      <c r="FI16" s="115" cm="1">
        <f t="array" ref="FI16">_xll.EQNXTDZ($A$1,$B16,FI$1)</f>
        <v>211.65</v>
      </c>
      <c r="FJ16" s="115" cm="1">
        <f t="array" ref="FJ16">_xll.EQNXTDZ($A$1,$B16,FJ$1)</f>
        <v>179.55</v>
      </c>
      <c r="FK16" s="115" cm="1">
        <f t="array" ref="FK16">_xll.EQNXTDZ($A$1,$B16,FK$1)</f>
        <v>176.05</v>
      </c>
      <c r="FL16" s="115" cm="1">
        <f t="array" ref="FL16">_xll.EQNXTDZ($A$1,$B16,FL$1)</f>
        <v>150.15</v>
      </c>
      <c r="FM16" s="115" cm="1">
        <f t="array" ref="FM16">_xll.EQNXTDZ($A$1,$B16,FM$1)</f>
        <v>179.5</v>
      </c>
      <c r="FN16" s="115" cm="1">
        <f t="array" ref="FN16">_xll.EQNXTDZ($A$1,$B16,FN$1)</f>
        <v>163.9</v>
      </c>
      <c r="FO16" s="115" cm="1">
        <f t="array" ref="FO16">_xll.EQNXTDZ($A$1,$B16,FO$1)</f>
        <v>173.9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71.650000000000006</v>
      </c>
      <c r="HQ16" s="115">
        <f>+I16</f>
        <v>72.349999999999994</v>
      </c>
      <c r="HR16" s="115">
        <f>+L16</f>
        <v>62.15</v>
      </c>
      <c r="HS16" s="115">
        <f>+O16</f>
        <v>62.85</v>
      </c>
      <c r="HT16" s="115">
        <f>+R16</f>
        <v>60.1</v>
      </c>
      <c r="HU16" s="115">
        <f>+U16</f>
        <v>74.599999999999994</v>
      </c>
      <c r="HV16" s="115">
        <f>+X16</f>
        <v>89.5</v>
      </c>
      <c r="HW16" s="115">
        <f>+AA16</f>
        <v>134.30000000000001</v>
      </c>
      <c r="HX16" s="115">
        <f>+AD16</f>
        <v>192.05</v>
      </c>
      <c r="HY16" s="115">
        <f>+AG16</f>
        <v>180.7</v>
      </c>
      <c r="HZ16" s="115">
        <f>+AJ16</f>
        <v>231.1</v>
      </c>
      <c r="IA16" s="115">
        <f>+AM16</f>
        <v>236.7</v>
      </c>
      <c r="IB16" s="115">
        <f>+AP16</f>
        <v>272.39999999999998</v>
      </c>
      <c r="IC16" s="115">
        <f>+AS16</f>
        <v>239.7</v>
      </c>
      <c r="ID16" s="115">
        <f>+AV16</f>
        <v>209.6</v>
      </c>
      <c r="IE16" s="115">
        <f>+AY16</f>
        <v>297.7</v>
      </c>
      <c r="IF16" s="115">
        <f>+BB16</f>
        <v>257.5</v>
      </c>
      <c r="IG16" s="115">
        <f>+BE16</f>
        <v>242</v>
      </c>
      <c r="IH16" s="115">
        <f>+BH16</f>
        <v>237.4</v>
      </c>
      <c r="II16" s="115">
        <f>+BK16</f>
        <v>259.75</v>
      </c>
      <c r="IJ16" s="115">
        <f>+BN16</f>
        <v>218.35</v>
      </c>
      <c r="IK16" s="115">
        <f>+BQ16</f>
        <v>353.65</v>
      </c>
      <c r="IL16" s="115">
        <f>+BT16</f>
        <v>320.10000000000002</v>
      </c>
      <c r="IM16" s="115">
        <f>+BW16</f>
        <v>275.05</v>
      </c>
      <c r="IN16" s="115">
        <f>+BZ16</f>
        <v>237</v>
      </c>
      <c r="IO16" s="115">
        <f>+CC16</f>
        <v>194</v>
      </c>
      <c r="IP16" s="115">
        <f>+CF16</f>
        <v>196.75</v>
      </c>
      <c r="IQ16" s="115">
        <f>+CI16</f>
        <v>258.75</v>
      </c>
      <c r="IR16" s="115">
        <f>+CL16</f>
        <v>244.1</v>
      </c>
      <c r="IS16" s="115">
        <f>+CO16</f>
        <v>246.3</v>
      </c>
      <c r="IT16" s="115">
        <f>+CR16</f>
        <v>195.75</v>
      </c>
      <c r="IU16" s="115">
        <f>+CU16</f>
        <v>203.9</v>
      </c>
      <c r="IV16" s="115">
        <f>+CX16</f>
        <v>310.5</v>
      </c>
      <c r="IW16" s="115">
        <f>+DA16</f>
        <v>312.60000000000002</v>
      </c>
      <c r="IX16" s="115">
        <f>+DD16</f>
        <v>280.3</v>
      </c>
      <c r="IY16" s="115">
        <f>+DG16</f>
        <v>293.10000000000002</v>
      </c>
      <c r="IZ16" s="115">
        <f>+DJ16</f>
        <v>265.5</v>
      </c>
      <c r="JA16" s="115">
        <f>+DM16</f>
        <v>227.8</v>
      </c>
      <c r="JB16" s="115">
        <f>+DP16</f>
        <v>151</v>
      </c>
      <c r="JC16" s="115">
        <f>+DS16</f>
        <v>165</v>
      </c>
      <c r="JD16" s="115">
        <f>+DV16</f>
        <v>217.75</v>
      </c>
      <c r="JE16" s="115">
        <f>+DY16</f>
        <v>198.85</v>
      </c>
      <c r="JF16" s="115">
        <f>+EB16</f>
        <v>189.8</v>
      </c>
      <c r="JG16" s="115">
        <f>+EE16</f>
        <v>273</v>
      </c>
      <c r="JH16" s="115">
        <f>+EH16</f>
        <v>256.55</v>
      </c>
      <c r="JI16" s="115">
        <f>+EK16</f>
        <v>286.60000000000002</v>
      </c>
      <c r="JJ16" s="115">
        <f>+EN16</f>
        <v>299.5</v>
      </c>
      <c r="JK16" s="115">
        <f>EQ16</f>
        <v>360.65</v>
      </c>
      <c r="JL16" s="115">
        <f>ET16</f>
        <v>385</v>
      </c>
      <c r="JM16" s="115">
        <f>EW16</f>
        <v>272.39999999999998</v>
      </c>
      <c r="JN16" s="115">
        <f>EZ16</f>
        <v>180.95</v>
      </c>
      <c r="JO16" s="115">
        <f>FC16</f>
        <v>211.6</v>
      </c>
      <c r="JP16" s="115">
        <f>FF16</f>
        <v>233.9</v>
      </c>
      <c r="JQ16" s="115">
        <f>FI16</f>
        <v>211.65</v>
      </c>
      <c r="JR16" s="115">
        <f>FL16</f>
        <v>150.15</v>
      </c>
      <c r="JS16" s="115">
        <f>FO16</f>
        <v>173.9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75.45</v>
      </c>
      <c r="HQ19" s="115">
        <f t="shared" ref="HQ19:JI21" si="0">+IF(HQ14=0,HQ7,HQ14)</f>
        <v>77</v>
      </c>
      <c r="HR19" s="115">
        <f t="shared" si="0"/>
        <v>81.8</v>
      </c>
      <c r="HS19" s="115">
        <f t="shared" si="0"/>
        <v>74.3</v>
      </c>
      <c r="HT19" s="115">
        <f t="shared" si="0"/>
        <v>72</v>
      </c>
      <c r="HU19" s="115">
        <f t="shared" si="0"/>
        <v>77.099999999999994</v>
      </c>
      <c r="HV19" s="115">
        <f t="shared" si="0"/>
        <v>100.8</v>
      </c>
      <c r="HW19" s="115">
        <f t="shared" si="0"/>
        <v>145</v>
      </c>
      <c r="HX19" s="115">
        <f t="shared" si="0"/>
        <v>212</v>
      </c>
      <c r="HY19" s="115">
        <f t="shared" si="0"/>
        <v>198.95</v>
      </c>
      <c r="HZ19" s="115">
        <f t="shared" si="0"/>
        <v>238.2</v>
      </c>
      <c r="IA19" s="115">
        <f t="shared" si="0"/>
        <v>259.60000000000002</v>
      </c>
      <c r="IB19" s="115">
        <f t="shared" si="0"/>
        <v>334</v>
      </c>
      <c r="IC19" s="115">
        <f t="shared" si="0"/>
        <v>294</v>
      </c>
      <c r="ID19" s="115">
        <f t="shared" si="0"/>
        <v>249</v>
      </c>
      <c r="IE19" s="115">
        <f t="shared" si="0"/>
        <v>315.10000000000002</v>
      </c>
      <c r="IF19" s="115">
        <f t="shared" si="0"/>
        <v>327</v>
      </c>
      <c r="IG19" s="115">
        <f t="shared" si="0"/>
        <v>296</v>
      </c>
      <c r="IH19" s="115">
        <f t="shared" si="0"/>
        <v>258</v>
      </c>
      <c r="II19" s="115">
        <f t="shared" si="0"/>
        <v>277.39999999999998</v>
      </c>
      <c r="IJ19" s="115">
        <f t="shared" si="0"/>
        <v>273.3</v>
      </c>
      <c r="IK19" s="115">
        <f t="shared" si="0"/>
        <v>387</v>
      </c>
      <c r="IL19" s="115">
        <f t="shared" si="0"/>
        <v>373.05</v>
      </c>
      <c r="IM19" s="115">
        <f t="shared" si="0"/>
        <v>363.85</v>
      </c>
      <c r="IN19" s="115">
        <f t="shared" si="0"/>
        <v>298.10000000000002</v>
      </c>
      <c r="IO19" s="115">
        <f t="shared" si="0"/>
        <v>237.45</v>
      </c>
      <c r="IP19" s="115">
        <f t="shared" si="0"/>
        <v>214</v>
      </c>
      <c r="IQ19" s="115">
        <f t="shared" si="0"/>
        <v>289.8</v>
      </c>
      <c r="IR19" s="115">
        <f t="shared" si="0"/>
        <v>271</v>
      </c>
      <c r="IS19" s="115">
        <f t="shared" si="0"/>
        <v>275</v>
      </c>
      <c r="IT19" s="115">
        <f t="shared" si="0"/>
        <v>303</v>
      </c>
      <c r="IU19" s="115">
        <f t="shared" si="0"/>
        <v>235</v>
      </c>
      <c r="IV19" s="115">
        <f t="shared" si="0"/>
        <v>336</v>
      </c>
      <c r="IW19" s="115">
        <f t="shared" si="0"/>
        <v>320</v>
      </c>
      <c r="IX19" s="115">
        <f t="shared" si="0"/>
        <v>352.45</v>
      </c>
      <c r="IY19" s="115">
        <f t="shared" si="0"/>
        <v>309.75</v>
      </c>
      <c r="IZ19" s="115">
        <f t="shared" si="0"/>
        <v>328</v>
      </c>
      <c r="JA19" s="115">
        <f t="shared" si="0"/>
        <v>272.8</v>
      </c>
      <c r="JB19" s="115">
        <f t="shared" si="0"/>
        <v>230</v>
      </c>
      <c r="JC19" s="115">
        <f t="shared" si="0"/>
        <v>207.95</v>
      </c>
      <c r="JD19" s="115">
        <f t="shared" si="0"/>
        <v>223.6</v>
      </c>
      <c r="JE19" s="115">
        <f t="shared" si="0"/>
        <v>236.95</v>
      </c>
      <c r="JF19" s="115">
        <f t="shared" si="0"/>
        <v>213.45</v>
      </c>
      <c r="JG19" s="115">
        <f t="shared" si="0"/>
        <v>300</v>
      </c>
      <c r="JH19" s="115">
        <f t="shared" si="0"/>
        <v>297.8</v>
      </c>
      <c r="JI19" s="115">
        <f t="shared" si="0"/>
        <v>323.39999999999998</v>
      </c>
      <c r="JJ19" s="115">
        <f t="shared" ref="JJ19:JJ21" si="1">+IF(JJ14=0,JJ7,JJ14)</f>
        <v>371.3</v>
      </c>
      <c r="JK19" s="115">
        <f t="shared" ref="JK19" si="2">+IF(JK14=0,JK7,JK14)</f>
        <v>398.9</v>
      </c>
      <c r="JL19" s="115">
        <f t="shared" ref="JL19:JM19" si="3">+IF(JL14=0,JL7,JL14)</f>
        <v>451.5</v>
      </c>
      <c r="JM19" s="115">
        <f t="shared" si="3"/>
        <v>410</v>
      </c>
      <c r="JN19" s="115">
        <f t="shared" ref="JN19:JO19" si="4">+IF(JN14=0,JN7,JN14)</f>
        <v>284.89999999999998</v>
      </c>
      <c r="JO19" s="115">
        <f t="shared" si="4"/>
        <v>222.95</v>
      </c>
      <c r="JP19" s="115">
        <f t="shared" ref="JP19:KH21" si="5">+IF(JP14=0,JP7,JP14)</f>
        <v>253.25</v>
      </c>
      <c r="JQ19" s="115">
        <f t="shared" si="5"/>
        <v>272.45</v>
      </c>
      <c r="JR19" s="115">
        <f t="shared" si="5"/>
        <v>213.35</v>
      </c>
      <c r="JS19" s="115">
        <f t="shared" si="5"/>
        <v>193.7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63.75</v>
      </c>
      <c r="HQ20" s="115">
        <f t="shared" si="6"/>
        <v>65.25</v>
      </c>
      <c r="HR20" s="115">
        <f t="shared" si="6"/>
        <v>61</v>
      </c>
      <c r="HS20" s="115">
        <f t="shared" si="6"/>
        <v>56.5</v>
      </c>
      <c r="HT20" s="115">
        <f t="shared" si="6"/>
        <v>56.85</v>
      </c>
      <c r="HU20" s="115">
        <f t="shared" si="6"/>
        <v>60.1</v>
      </c>
      <c r="HV20" s="115">
        <f t="shared" si="6"/>
        <v>68.5</v>
      </c>
      <c r="HW20" s="115">
        <f t="shared" si="6"/>
        <v>88.15</v>
      </c>
      <c r="HX20" s="115">
        <f t="shared" si="6"/>
        <v>130.35</v>
      </c>
      <c r="HY20" s="115">
        <f t="shared" si="6"/>
        <v>167.1</v>
      </c>
      <c r="HZ20" s="115">
        <f t="shared" si="6"/>
        <v>175.1</v>
      </c>
      <c r="IA20" s="115">
        <f t="shared" si="6"/>
        <v>213.1</v>
      </c>
      <c r="IB20" s="115">
        <f t="shared" si="6"/>
        <v>222.1</v>
      </c>
      <c r="IC20" s="115">
        <f t="shared" si="6"/>
        <v>227</v>
      </c>
      <c r="ID20" s="115">
        <f t="shared" si="6"/>
        <v>176.9</v>
      </c>
      <c r="IE20" s="115">
        <f t="shared" si="6"/>
        <v>210.6</v>
      </c>
      <c r="IF20" s="115">
        <f t="shared" si="0"/>
        <v>255.1</v>
      </c>
      <c r="IG20" s="115">
        <f t="shared" si="0"/>
        <v>228.35</v>
      </c>
      <c r="IH20" s="115">
        <f t="shared" si="0"/>
        <v>227</v>
      </c>
      <c r="II20" s="115">
        <f t="shared" si="0"/>
        <v>232</v>
      </c>
      <c r="IJ20" s="115">
        <f t="shared" si="0"/>
        <v>201</v>
      </c>
      <c r="IK20" s="115">
        <f t="shared" si="0"/>
        <v>215.2</v>
      </c>
      <c r="IL20" s="115">
        <f t="shared" si="0"/>
        <v>276</v>
      </c>
      <c r="IM20" s="115">
        <f t="shared" si="0"/>
        <v>265</v>
      </c>
      <c r="IN20" s="115">
        <f t="shared" si="0"/>
        <v>233.5</v>
      </c>
      <c r="IO20" s="115">
        <f t="shared" si="0"/>
        <v>186</v>
      </c>
      <c r="IP20" s="115">
        <f t="shared" si="0"/>
        <v>155</v>
      </c>
      <c r="IQ20" s="115">
        <f t="shared" si="0"/>
        <v>196.1</v>
      </c>
      <c r="IR20" s="115">
        <f t="shared" si="0"/>
        <v>201.05</v>
      </c>
      <c r="IS20" s="115">
        <f t="shared" si="0"/>
        <v>222.45</v>
      </c>
      <c r="IT20" s="115">
        <f t="shared" si="0"/>
        <v>165</v>
      </c>
      <c r="IU20" s="115">
        <f t="shared" si="0"/>
        <v>174.6</v>
      </c>
      <c r="IV20" s="115">
        <f t="shared" si="0"/>
        <v>200</v>
      </c>
      <c r="IW20" s="115">
        <f t="shared" si="0"/>
        <v>268.14999999999998</v>
      </c>
      <c r="IX20" s="115">
        <f t="shared" si="0"/>
        <v>262.05</v>
      </c>
      <c r="IY20" s="115">
        <f t="shared" si="0"/>
        <v>260</v>
      </c>
      <c r="IZ20" s="115">
        <f t="shared" si="0"/>
        <v>260.5</v>
      </c>
      <c r="JA20" s="115">
        <f t="shared" si="0"/>
        <v>205.1</v>
      </c>
      <c r="JB20" s="115">
        <f t="shared" si="0"/>
        <v>148</v>
      </c>
      <c r="JC20" s="115">
        <f t="shared" si="0"/>
        <v>151.94999999999999</v>
      </c>
      <c r="JD20" s="115">
        <f t="shared" si="0"/>
        <v>163</v>
      </c>
      <c r="JE20" s="115">
        <f t="shared" si="0"/>
        <v>182.1</v>
      </c>
      <c r="JF20" s="115">
        <f t="shared" si="0"/>
        <v>186</v>
      </c>
      <c r="JG20" s="115">
        <f t="shared" si="0"/>
        <v>189.75</v>
      </c>
      <c r="JH20" s="115">
        <f t="shared" si="0"/>
        <v>243.9</v>
      </c>
      <c r="JI20" s="115">
        <f t="shared" si="0"/>
        <v>251</v>
      </c>
      <c r="JJ20" s="115">
        <f t="shared" si="1"/>
        <v>288.64999999999998</v>
      </c>
      <c r="JK20" s="115">
        <f t="shared" ref="JK20" si="7">+IF(JK15=0,JK8,JK15)</f>
        <v>262.2</v>
      </c>
      <c r="JL20" s="115">
        <f t="shared" ref="JL20:JM20" si="8">+IF(JL15=0,JL8,JL15)</f>
        <v>358.05</v>
      </c>
      <c r="JM20" s="115">
        <f t="shared" si="8"/>
        <v>259.8</v>
      </c>
      <c r="JN20" s="115">
        <f t="shared" ref="JN20:JO20" si="9">+IF(JN15=0,JN8,JN15)</f>
        <v>170.4</v>
      </c>
      <c r="JO20" s="115">
        <f t="shared" si="9"/>
        <v>177.1</v>
      </c>
      <c r="JP20" s="115">
        <f t="shared" ref="JP20" si="10">+IF(JP15=0,JP8,JP15)</f>
        <v>203.1</v>
      </c>
      <c r="JQ20" s="115">
        <f t="shared" si="5"/>
        <v>202.55</v>
      </c>
      <c r="JR20" s="115">
        <f t="shared" si="5"/>
        <v>148.94999999999999</v>
      </c>
      <c r="JS20" s="115">
        <f t="shared" si="5"/>
        <v>150.5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71.650000000000006</v>
      </c>
      <c r="HQ21" s="115">
        <f t="shared" si="0"/>
        <v>72.349999999999994</v>
      </c>
      <c r="HR21" s="115">
        <f t="shared" si="0"/>
        <v>62.15</v>
      </c>
      <c r="HS21" s="115">
        <f t="shared" si="0"/>
        <v>62.85</v>
      </c>
      <c r="HT21" s="115">
        <f t="shared" si="0"/>
        <v>60.1</v>
      </c>
      <c r="HU21" s="115">
        <f t="shared" si="0"/>
        <v>74.599999999999994</v>
      </c>
      <c r="HV21" s="115">
        <f t="shared" si="0"/>
        <v>89.5</v>
      </c>
      <c r="HW21" s="115">
        <f t="shared" si="0"/>
        <v>134.30000000000001</v>
      </c>
      <c r="HX21" s="115">
        <f t="shared" si="0"/>
        <v>192.05</v>
      </c>
      <c r="HY21" s="115">
        <f t="shared" si="0"/>
        <v>180.7</v>
      </c>
      <c r="HZ21" s="115">
        <f t="shared" si="0"/>
        <v>231.1</v>
      </c>
      <c r="IA21" s="115">
        <f t="shared" si="0"/>
        <v>236.7</v>
      </c>
      <c r="IB21" s="115">
        <f t="shared" si="0"/>
        <v>272.39999999999998</v>
      </c>
      <c r="IC21" s="115">
        <f t="shared" si="0"/>
        <v>239.7</v>
      </c>
      <c r="ID21" s="115">
        <f t="shared" si="0"/>
        <v>209.6</v>
      </c>
      <c r="IE21" s="115">
        <f t="shared" si="0"/>
        <v>297.7</v>
      </c>
      <c r="IF21" s="115">
        <f t="shared" si="0"/>
        <v>257.5</v>
      </c>
      <c r="IG21" s="115">
        <f t="shared" si="0"/>
        <v>242</v>
      </c>
      <c r="IH21" s="115">
        <f t="shared" si="0"/>
        <v>237.4</v>
      </c>
      <c r="II21" s="115">
        <f t="shared" si="0"/>
        <v>259.75</v>
      </c>
      <c r="IJ21" s="115">
        <f t="shared" si="0"/>
        <v>218.35</v>
      </c>
      <c r="IK21" s="115">
        <f t="shared" si="0"/>
        <v>353.65</v>
      </c>
      <c r="IL21" s="115">
        <f t="shared" si="0"/>
        <v>320.10000000000002</v>
      </c>
      <c r="IM21" s="115">
        <f t="shared" si="0"/>
        <v>275.05</v>
      </c>
      <c r="IN21" s="115">
        <f t="shared" si="0"/>
        <v>237</v>
      </c>
      <c r="IO21" s="115">
        <f t="shared" si="0"/>
        <v>194</v>
      </c>
      <c r="IP21" s="115">
        <f t="shared" si="0"/>
        <v>196.75</v>
      </c>
      <c r="IQ21" s="115">
        <f t="shared" si="0"/>
        <v>258.75</v>
      </c>
      <c r="IR21" s="115">
        <f t="shared" si="0"/>
        <v>244.1</v>
      </c>
      <c r="IS21" s="115">
        <f t="shared" si="0"/>
        <v>246.3</v>
      </c>
      <c r="IT21" s="115">
        <f t="shared" si="0"/>
        <v>195.75</v>
      </c>
      <c r="IU21" s="115">
        <f t="shared" si="0"/>
        <v>203.9</v>
      </c>
      <c r="IV21" s="115">
        <f t="shared" si="0"/>
        <v>310.5</v>
      </c>
      <c r="IW21" s="115">
        <f t="shared" si="0"/>
        <v>312.60000000000002</v>
      </c>
      <c r="IX21" s="115">
        <f t="shared" si="0"/>
        <v>280.3</v>
      </c>
      <c r="IY21" s="115">
        <f t="shared" si="0"/>
        <v>293.10000000000002</v>
      </c>
      <c r="IZ21" s="115">
        <f t="shared" si="0"/>
        <v>265.5</v>
      </c>
      <c r="JA21" s="115">
        <f t="shared" si="0"/>
        <v>227.8</v>
      </c>
      <c r="JB21" s="115">
        <f t="shared" si="0"/>
        <v>151</v>
      </c>
      <c r="JC21" s="115">
        <f t="shared" si="0"/>
        <v>165</v>
      </c>
      <c r="JD21" s="115">
        <f t="shared" si="0"/>
        <v>217.75</v>
      </c>
      <c r="JE21" s="115">
        <f t="shared" si="0"/>
        <v>198.85</v>
      </c>
      <c r="JF21" s="115">
        <f t="shared" si="0"/>
        <v>189.8</v>
      </c>
      <c r="JG21" s="115">
        <f t="shared" si="0"/>
        <v>273</v>
      </c>
      <c r="JH21" s="115">
        <f t="shared" si="0"/>
        <v>256.55</v>
      </c>
      <c r="JI21" s="115">
        <f t="shared" si="0"/>
        <v>286.60000000000002</v>
      </c>
      <c r="JJ21" s="115">
        <f t="shared" si="1"/>
        <v>299.5</v>
      </c>
      <c r="JK21" s="115">
        <f t="shared" ref="JK21" si="11">+IF(JK16=0,JK9,JK16)</f>
        <v>360.65</v>
      </c>
      <c r="JL21" s="115">
        <f t="shared" ref="JL21:JM21" si="12">+IF(JL16=0,JL9,JL16)</f>
        <v>385</v>
      </c>
      <c r="JM21" s="115">
        <f t="shared" si="12"/>
        <v>272.39999999999998</v>
      </c>
      <c r="JN21" s="115">
        <f t="shared" ref="JN21:JO21" si="13">+IF(JN16=0,JN9,JN16)</f>
        <v>180.95</v>
      </c>
      <c r="JO21" s="115">
        <f t="shared" si="13"/>
        <v>211.6</v>
      </c>
      <c r="JP21" s="115">
        <f t="shared" ref="JP21" si="14">+IF(JP16=0,JP9,JP16)</f>
        <v>233.9</v>
      </c>
      <c r="JQ21" s="115">
        <f t="shared" si="5"/>
        <v>211.65</v>
      </c>
      <c r="JR21" s="115">
        <f t="shared" si="5"/>
        <v>150.15</v>
      </c>
      <c r="JS21" s="115">
        <f t="shared" si="5"/>
        <v>173.9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109820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62687190</v>
      </c>
      <c r="D6" cm="1">
        <f t="array" ref="D6">_xll.EQNXTDZ($A$1,$B6,D$1)</f>
        <v>62687190</v>
      </c>
      <c r="E6" cm="1">
        <f t="array" ref="E6">_xll.EQNXTDZ($A$1,$B6,E$1)</f>
        <v>62687190</v>
      </c>
      <c r="F6" cm="1">
        <f t="array" ref="F6">_xll.EQNXTDZ($A$1,$B6,F$1)</f>
        <v>62687190</v>
      </c>
      <c r="G6" cm="1">
        <f t="array" ref="G6">_xll.EQNXTDZ($A$1,$B6,G$1)</f>
        <v>62687190</v>
      </c>
      <c r="H6" cm="1">
        <f t="array" ref="H6">_xll.EQNXTDZ($A$1,$B6,H$1)</f>
        <v>62687190</v>
      </c>
      <c r="I6" cm="1">
        <f t="array" ref="I6">_xll.EQNXTDZ($A$1,$B6,I$1)</f>
        <v>62687190</v>
      </c>
      <c r="J6" cm="1">
        <f t="array" ref="J6">_xll.EQNXTDZ($A$1,$B6,J$1)</f>
        <v>62687190</v>
      </c>
      <c r="K6" cm="1">
        <f t="array" ref="K6">_xll.EQNXTDZ($A$1,$B6,K$1)</f>
        <v>62687190</v>
      </c>
      <c r="L6" cm="1">
        <f t="array" ref="L6">_xll.EQNXTDZ($A$1,$B6,L$1)</f>
        <v>72711934</v>
      </c>
      <c r="M6" cm="1">
        <f t="array" ref="M6">_xll.EQNXTDZ($A$1,$B6,M$1)</f>
        <v>72711934</v>
      </c>
      <c r="N6" cm="1">
        <f t="array" ref="N6">_xll.EQNXTDZ($A$1,$B6,N$1)</f>
        <v>72711934</v>
      </c>
      <c r="O6" cm="1">
        <f t="array" ref="O6">_xll.EQNXTDZ($A$1,$B6,O$1)</f>
        <v>72711934</v>
      </c>
      <c r="P6" cm="1">
        <f t="array" ref="P6">_xll.EQNXTDZ($A$1,$B6,P$1)</f>
        <v>72711934</v>
      </c>
      <c r="Q6" cm="1">
        <f t="array" ref="Q6">_xll.EQNXTDZ($A$1,$B6,Q$1)</f>
        <v>72711934</v>
      </c>
      <c r="R6" cm="1">
        <f t="array" ref="R6">_xll.EQNXTDZ($A$1,$B6,R$1)</f>
        <v>72711934</v>
      </c>
      <c r="S6" cm="1">
        <f t="array" ref="S6">_xll.EQNXTDZ($A$1,$B6,S$1)</f>
        <v>72711934</v>
      </c>
      <c r="T6" cm="1">
        <f t="array" ref="T6">_xll.EQNXTDZ($A$1,$B6,T$1)</f>
        <v>72711934</v>
      </c>
      <c r="U6" cm="1">
        <f t="array" ref="U6">_xll.EQNXTDZ($A$1,$B6,U$1)</f>
        <v>72711934</v>
      </c>
      <c r="V6" cm="1">
        <f t="array" ref="V6">_xll.EQNXTDZ($A$1,$B6,V$1)</f>
        <v>72711934</v>
      </c>
      <c r="W6" cm="1">
        <f t="array" ref="W6">_xll.EQNXTDZ($A$1,$B6,W$1)</f>
        <v>75521934</v>
      </c>
      <c r="X6" cm="1">
        <f t="array" ref="X6">_xll.EQNXTDZ($A$1,$B6,X$1)</f>
        <v>75521934</v>
      </c>
      <c r="Y6" cm="1">
        <f t="array" ref="Y6">_xll.EQNXTDZ($A$1,$B6,Y$1)</f>
        <v>75521934</v>
      </c>
      <c r="Z6" cm="1">
        <f t="array" ref="Z6">_xll.EQNXTDZ($A$1,$B6,Z$1)</f>
        <v>75521934</v>
      </c>
      <c r="AA6" cm="1">
        <f t="array" ref="AA6">_xll.EQNXTDZ($A$1,$B6,AA$1)</f>
        <v>75521934</v>
      </c>
      <c r="AB6" cm="1">
        <f t="array" ref="AB6">_xll.EQNXTDZ($A$1,$B6,AB$1)</f>
        <v>75521934</v>
      </c>
      <c r="AC6" cm="1">
        <f t="array" ref="AC6">_xll.EQNXTDZ($A$1,$B6,AC$1)</f>
        <v>75521934</v>
      </c>
      <c r="AD6" cm="1">
        <f t="array" ref="AD6">_xll.EQNXTDZ($A$1,$B6,AD$1)</f>
        <v>75521934</v>
      </c>
      <c r="AE6" cm="1">
        <f t="array" ref="AE6">_xll.EQNXTDZ($A$1,$B6,AE$1)</f>
        <v>75521934</v>
      </c>
      <c r="AF6" cm="1">
        <f t="array" ref="AF6">_xll.EQNXTDZ($A$1,$B6,AF$1)</f>
        <v>75521934</v>
      </c>
      <c r="AG6" cm="1">
        <f t="array" ref="AG6">_xll.EQNXTDZ($A$1,$B6,AG$1)</f>
        <v>75521934</v>
      </c>
      <c r="AH6" cm="1">
        <f t="array" ref="AH6">_xll.EQNXTDZ($A$1,$B6,AH$1)</f>
        <v>75521934</v>
      </c>
      <c r="AI6" cm="1">
        <f t="array" ref="AI6">_xll.EQNXTDZ($A$1,$B6,AI$1)</f>
        <v>75521934</v>
      </c>
      <c r="AJ6" cm="1">
        <f t="array" ref="AJ6">_xll.EQNXTDZ($A$1,$B6,AJ$1)</f>
        <v>75521934</v>
      </c>
      <c r="AK6" cm="1">
        <f t="array" ref="AK6">_xll.EQNXTDZ($A$1,$B6,AK$1)</f>
        <v>75521934</v>
      </c>
      <c r="AL6" cm="1">
        <f t="array" ref="AL6">_xll.EQNXTDZ($A$1,$B6,AL$1)</f>
        <v>75521934</v>
      </c>
      <c r="AM6" cm="1">
        <f t="array" ref="AM6">_xll.EQNXTDZ($A$1,$B6,AM$1)</f>
        <v>75521934</v>
      </c>
      <c r="AN6" cm="1">
        <f t="array" ref="AN6">_xll.EQNXTDZ($A$1,$B6,AN$1)</f>
        <v>75521934</v>
      </c>
      <c r="AO6" cm="1">
        <f t="array" ref="AO6">_xll.EQNXTDZ($A$1,$B6,AO$1)</f>
        <v>75521934</v>
      </c>
      <c r="AP6" cm="1">
        <f t="array" ref="AP6">_xll.EQNXTDZ($A$1,$B6,AP$1)</f>
        <v>75521934</v>
      </c>
      <c r="AQ6" cm="1">
        <f t="array" ref="AQ6">_xll.EQNXTDZ($A$1,$B6,AQ$1)</f>
        <v>75521934</v>
      </c>
      <c r="AR6" cm="1">
        <f t="array" ref="AR6">_xll.EQNXTDZ($A$1,$B6,AR$1)</f>
        <v>75521934</v>
      </c>
      <c r="AS6" cm="1">
        <f t="array" ref="AS6">_xll.EQNXTDZ($A$1,$B6,AS$1)</f>
        <v>75521934</v>
      </c>
      <c r="AT6" cm="1">
        <f t="array" ref="AT6">_xll.EQNXTDZ($A$1,$B6,AT$1)</f>
        <v>75521934</v>
      </c>
      <c r="AU6" cm="1">
        <f t="array" ref="AU6">_xll.EQNXTDZ($A$1,$B6,AU$1)</f>
        <v>75521934</v>
      </c>
      <c r="AV6" cm="1">
        <f t="array" ref="AV6">_xll.EQNXTDZ($A$1,$B6,AV$1)</f>
        <v>75521934</v>
      </c>
      <c r="AW6" cm="1">
        <f t="array" ref="AW6">_xll.EQNXTDZ($A$1,$B6,AW$1)</f>
        <v>75521934</v>
      </c>
      <c r="AX6" cm="1">
        <f t="array" ref="AX6">_xll.EQNXTDZ($A$1,$B6,AX$1)</f>
        <v>75521934</v>
      </c>
      <c r="AY6" cm="1">
        <f t="array" ref="AY6">_xll.EQNXTDZ($A$1,$B6,AY$1)</f>
        <v>75521934</v>
      </c>
    </row>
    <row r="7" spans="1:51" x14ac:dyDescent="0.25">
      <c r="B7" t="s">
        <v>429</v>
      </c>
      <c r="C7" s="99">
        <f>+C6/10^7</f>
        <v>6.2687189999999999</v>
      </c>
      <c r="D7" s="99">
        <f t="shared" ref="D7:X7" si="0">+D6/10^7</f>
        <v>6.2687189999999999</v>
      </c>
      <c r="E7" s="99">
        <f t="shared" si="0"/>
        <v>6.2687189999999999</v>
      </c>
      <c r="F7" s="99">
        <f t="shared" si="0"/>
        <v>6.2687189999999999</v>
      </c>
      <c r="G7" s="99">
        <f t="shared" si="0"/>
        <v>6.2687189999999999</v>
      </c>
      <c r="H7" s="99">
        <f t="shared" si="0"/>
        <v>6.2687189999999999</v>
      </c>
      <c r="I7" s="99">
        <f t="shared" si="0"/>
        <v>6.2687189999999999</v>
      </c>
      <c r="J7" s="99">
        <f t="shared" si="0"/>
        <v>6.2687189999999999</v>
      </c>
      <c r="K7" s="99">
        <f t="shared" si="0"/>
        <v>6.2687189999999999</v>
      </c>
      <c r="L7" s="99">
        <f t="shared" si="0"/>
        <v>7.2711933999999996</v>
      </c>
      <c r="M7" s="99">
        <f t="shared" si="0"/>
        <v>7.2711933999999996</v>
      </c>
      <c r="N7" s="99">
        <f t="shared" si="0"/>
        <v>7.2711933999999996</v>
      </c>
      <c r="O7" s="99">
        <f t="shared" si="0"/>
        <v>7.2711933999999996</v>
      </c>
      <c r="P7" s="99">
        <f t="shared" si="0"/>
        <v>7.2711933999999996</v>
      </c>
      <c r="Q7" s="99">
        <f t="shared" si="0"/>
        <v>7.2711933999999996</v>
      </c>
      <c r="R7" s="99">
        <f t="shared" si="0"/>
        <v>7.2711933999999996</v>
      </c>
      <c r="S7" s="99">
        <f t="shared" si="0"/>
        <v>7.2711933999999996</v>
      </c>
      <c r="T7" s="99">
        <f t="shared" si="0"/>
        <v>7.2711933999999996</v>
      </c>
      <c r="U7" s="99">
        <f t="shared" si="0"/>
        <v>7.2711933999999996</v>
      </c>
      <c r="V7" s="99">
        <f t="shared" si="0"/>
        <v>7.2711933999999996</v>
      </c>
      <c r="W7" s="99">
        <f t="shared" si="0"/>
        <v>7.5521934000000002</v>
      </c>
      <c r="X7" s="99">
        <f t="shared" si="0"/>
        <v>7.5521934000000002</v>
      </c>
      <c r="Y7" s="99">
        <f t="shared" ref="Y7:AS7" si="1">+Y6/10^7</f>
        <v>7.5521934000000002</v>
      </c>
      <c r="Z7" s="99">
        <f t="shared" si="1"/>
        <v>7.5521934000000002</v>
      </c>
      <c r="AA7" s="99">
        <f t="shared" si="1"/>
        <v>7.5521934000000002</v>
      </c>
      <c r="AB7" s="99">
        <f t="shared" si="1"/>
        <v>7.5521934000000002</v>
      </c>
      <c r="AC7" s="99">
        <f t="shared" si="1"/>
        <v>7.5521934000000002</v>
      </c>
      <c r="AD7" s="99">
        <f t="shared" si="1"/>
        <v>7.5521934000000002</v>
      </c>
      <c r="AE7" s="99">
        <f t="shared" si="1"/>
        <v>7.5521934000000002</v>
      </c>
      <c r="AF7" s="99">
        <f t="shared" si="1"/>
        <v>7.5521934000000002</v>
      </c>
      <c r="AG7" s="99">
        <f t="shared" si="1"/>
        <v>7.5521934000000002</v>
      </c>
      <c r="AH7" s="99">
        <f t="shared" si="1"/>
        <v>7.5521934000000002</v>
      </c>
      <c r="AI7" s="99">
        <f t="shared" si="1"/>
        <v>7.5521934000000002</v>
      </c>
      <c r="AJ7" s="99">
        <f t="shared" si="1"/>
        <v>7.5521934000000002</v>
      </c>
      <c r="AK7" s="99">
        <f t="shared" si="1"/>
        <v>7.5521934000000002</v>
      </c>
      <c r="AL7" s="99">
        <f t="shared" si="1"/>
        <v>7.5521934000000002</v>
      </c>
      <c r="AM7" s="99">
        <f t="shared" si="1"/>
        <v>7.5521934000000002</v>
      </c>
      <c r="AN7" s="99">
        <f t="shared" si="1"/>
        <v>7.5521934000000002</v>
      </c>
      <c r="AO7" s="99">
        <f t="shared" si="1"/>
        <v>7.5521934000000002</v>
      </c>
      <c r="AP7" s="99">
        <f t="shared" si="1"/>
        <v>7.5521934000000002</v>
      </c>
      <c r="AQ7" s="99">
        <f t="shared" si="1"/>
        <v>7.5521934000000002</v>
      </c>
      <c r="AR7" s="99">
        <f t="shared" si="1"/>
        <v>7.5521934000000002</v>
      </c>
      <c r="AS7" s="99">
        <f t="shared" si="1"/>
        <v>7.5521934000000002</v>
      </c>
      <c r="AT7" s="99">
        <f t="shared" ref="AT7:AX7" si="2">+AT6/10^7</f>
        <v>7.5521934000000002</v>
      </c>
      <c r="AU7" s="99">
        <f t="shared" si="2"/>
        <v>7.5521934000000002</v>
      </c>
      <c r="AV7" s="99">
        <f t="shared" si="2"/>
        <v>7.5521934000000002</v>
      </c>
      <c r="AW7" s="99">
        <f t="shared" si="2"/>
        <v>7.5521934000000002</v>
      </c>
      <c r="AX7" s="99">
        <f t="shared" si="2"/>
        <v>7.5521934000000002</v>
      </c>
      <c r="AY7" s="99">
        <f t="shared" ref="AY7" si="3">+AY6/10^7</f>
        <v>7.5521934000000002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109820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519</v>
      </c>
      <c r="C3" s="171" t="s">
        <v>518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518</v>
      </c>
      <c r="N3" s="172" t="s">
        <v>519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187.2</v>
      </c>
      <c r="C4" s="115">
        <v>186.05</v>
      </c>
      <c r="D4" s="115">
        <v>180</v>
      </c>
      <c r="E4" s="115">
        <v>180</v>
      </c>
      <c r="F4" s="115">
        <v>186.05</v>
      </c>
      <c r="G4">
        <v>7670</v>
      </c>
      <c r="H4" s="115"/>
      <c r="I4" s="115"/>
      <c r="L4" s="169">
        <v>42005</v>
      </c>
      <c r="M4" s="115">
        <v>186.8</v>
      </c>
      <c r="N4" s="115">
        <v>187.1</v>
      </c>
      <c r="O4" s="115">
        <v>180</v>
      </c>
      <c r="P4" s="115">
        <v>181.55</v>
      </c>
      <c r="Q4" s="115">
        <v>186.8</v>
      </c>
      <c r="R4">
        <v>57143</v>
      </c>
    </row>
    <row r="5" spans="1:18" x14ac:dyDescent="0.25">
      <c r="A5" s="169">
        <v>42006</v>
      </c>
      <c r="B5" s="115">
        <v>191.4</v>
      </c>
      <c r="C5" s="115">
        <v>185.75</v>
      </c>
      <c r="D5" s="115">
        <v>184.1</v>
      </c>
      <c r="E5" s="115">
        <v>189.5</v>
      </c>
      <c r="F5" s="115">
        <v>185.75</v>
      </c>
      <c r="G5">
        <v>8727</v>
      </c>
      <c r="H5" s="115"/>
      <c r="I5" s="115"/>
      <c r="L5" s="169">
        <v>42006</v>
      </c>
      <c r="M5" s="115">
        <v>185.75</v>
      </c>
      <c r="N5" s="115">
        <v>190.8</v>
      </c>
      <c r="O5" s="115">
        <v>182</v>
      </c>
      <c r="P5" s="115">
        <v>186.8</v>
      </c>
      <c r="Q5" s="115">
        <v>185.75</v>
      </c>
      <c r="R5">
        <v>38962</v>
      </c>
    </row>
    <row r="6" spans="1:18" x14ac:dyDescent="0.25">
      <c r="A6" s="169">
        <v>42009</v>
      </c>
      <c r="B6" s="115">
        <v>186.5</v>
      </c>
      <c r="C6" s="115">
        <v>183.35</v>
      </c>
      <c r="D6" s="115">
        <v>180.1</v>
      </c>
      <c r="E6" s="115">
        <v>186</v>
      </c>
      <c r="F6" s="115">
        <v>183.35</v>
      </c>
      <c r="G6">
        <v>9647</v>
      </c>
      <c r="H6" s="115"/>
      <c r="I6" s="115"/>
      <c r="L6" s="169">
        <v>42009</v>
      </c>
      <c r="M6" s="115">
        <v>183.4</v>
      </c>
      <c r="N6" s="115">
        <v>187.3</v>
      </c>
      <c r="O6" s="115">
        <v>179.5</v>
      </c>
      <c r="P6" s="115">
        <v>181.8</v>
      </c>
      <c r="Q6" s="115">
        <v>183.4</v>
      </c>
      <c r="R6">
        <v>29406</v>
      </c>
    </row>
    <row r="7" spans="1:18" x14ac:dyDescent="0.25">
      <c r="A7" s="169">
        <v>42010</v>
      </c>
      <c r="B7" s="115">
        <v>182.5</v>
      </c>
      <c r="C7" s="115">
        <v>179.3</v>
      </c>
      <c r="D7" s="115">
        <v>178.5</v>
      </c>
      <c r="E7" s="115">
        <v>181.55</v>
      </c>
      <c r="F7" s="115">
        <v>179.3</v>
      </c>
      <c r="G7">
        <v>12338</v>
      </c>
      <c r="H7" s="115"/>
      <c r="I7" s="115"/>
      <c r="L7" s="169">
        <v>42010</v>
      </c>
      <c r="M7" s="115">
        <v>179.8</v>
      </c>
      <c r="N7" s="115">
        <v>184.15</v>
      </c>
      <c r="O7" s="115">
        <v>179</v>
      </c>
      <c r="P7" s="115">
        <v>182.5</v>
      </c>
      <c r="Q7" s="115">
        <v>179.8</v>
      </c>
      <c r="R7">
        <v>36707</v>
      </c>
    </row>
    <row r="8" spans="1:18" x14ac:dyDescent="0.25">
      <c r="A8" s="169">
        <v>42011</v>
      </c>
      <c r="B8" s="115">
        <v>180.85</v>
      </c>
      <c r="C8" s="115">
        <v>178.5</v>
      </c>
      <c r="D8" s="115">
        <v>175.1</v>
      </c>
      <c r="E8" s="115">
        <v>180.1</v>
      </c>
      <c r="F8" s="115">
        <v>178.5</v>
      </c>
      <c r="G8">
        <v>9521</v>
      </c>
      <c r="H8" s="115"/>
      <c r="I8" s="115"/>
      <c r="L8" s="169">
        <v>42011</v>
      </c>
      <c r="M8" s="115">
        <v>178.15</v>
      </c>
      <c r="N8" s="115">
        <v>181.1</v>
      </c>
      <c r="O8" s="115">
        <v>175</v>
      </c>
      <c r="P8" s="115">
        <v>179.8</v>
      </c>
      <c r="Q8" s="115">
        <v>178.15</v>
      </c>
      <c r="R8">
        <v>26653</v>
      </c>
    </row>
    <row r="9" spans="1:18" x14ac:dyDescent="0.25">
      <c r="A9" s="169">
        <v>42012</v>
      </c>
      <c r="B9" s="115">
        <v>185.5</v>
      </c>
      <c r="C9" s="115">
        <v>182.8</v>
      </c>
      <c r="D9" s="115">
        <v>181</v>
      </c>
      <c r="E9" s="115">
        <v>181</v>
      </c>
      <c r="F9" s="115">
        <v>182.8</v>
      </c>
      <c r="G9">
        <v>8455</v>
      </c>
      <c r="H9" s="115"/>
      <c r="I9" s="115"/>
      <c r="L9" s="169">
        <v>42012</v>
      </c>
      <c r="M9" s="115">
        <v>183.05</v>
      </c>
      <c r="N9" s="115">
        <v>185.95</v>
      </c>
      <c r="O9" s="115">
        <v>178.7</v>
      </c>
      <c r="P9" s="115">
        <v>178.7</v>
      </c>
      <c r="Q9" s="115">
        <v>183.05</v>
      </c>
      <c r="R9">
        <v>78751</v>
      </c>
    </row>
    <row r="10" spans="1:18" x14ac:dyDescent="0.25">
      <c r="A10" s="169">
        <v>42013</v>
      </c>
      <c r="B10" s="115">
        <v>185.95</v>
      </c>
      <c r="C10" s="115">
        <v>184.5</v>
      </c>
      <c r="D10" s="115">
        <v>182.55</v>
      </c>
      <c r="E10" s="115">
        <v>184.4</v>
      </c>
      <c r="F10" s="115">
        <v>184.5</v>
      </c>
      <c r="G10">
        <v>3672</v>
      </c>
      <c r="H10" s="115"/>
      <c r="I10" s="115"/>
      <c r="L10" s="169">
        <v>42013</v>
      </c>
      <c r="M10" s="115">
        <v>185.45</v>
      </c>
      <c r="N10" s="115">
        <v>186</v>
      </c>
      <c r="O10" s="115">
        <v>182.6</v>
      </c>
      <c r="P10" s="115">
        <v>185</v>
      </c>
      <c r="Q10" s="115">
        <v>185.45</v>
      </c>
      <c r="R10">
        <v>34266</v>
      </c>
    </row>
    <row r="11" spans="1:18" x14ac:dyDescent="0.25">
      <c r="A11" s="169">
        <v>42016</v>
      </c>
      <c r="B11" s="115">
        <v>188.6</v>
      </c>
      <c r="C11" s="115">
        <v>186.85</v>
      </c>
      <c r="D11" s="115">
        <v>181.1</v>
      </c>
      <c r="E11" s="115">
        <v>182</v>
      </c>
      <c r="F11" s="115">
        <v>186.85</v>
      </c>
      <c r="G11">
        <v>4071</v>
      </c>
      <c r="H11" s="115"/>
      <c r="I11" s="115"/>
      <c r="L11" s="169">
        <v>42016</v>
      </c>
      <c r="M11" s="115">
        <v>187.2</v>
      </c>
      <c r="N11" s="115">
        <v>188.8</v>
      </c>
      <c r="O11" s="115">
        <v>181.2</v>
      </c>
      <c r="P11" s="115">
        <v>183.9</v>
      </c>
      <c r="Q11" s="115">
        <v>187.2</v>
      </c>
      <c r="R11">
        <v>25812</v>
      </c>
    </row>
    <row r="12" spans="1:18" x14ac:dyDescent="0.25">
      <c r="A12" s="169">
        <v>42017</v>
      </c>
      <c r="B12" s="115">
        <v>188</v>
      </c>
      <c r="C12" s="115">
        <v>184.95</v>
      </c>
      <c r="D12" s="115">
        <v>184</v>
      </c>
      <c r="E12" s="115">
        <v>185.8</v>
      </c>
      <c r="F12" s="115">
        <v>184.95</v>
      </c>
      <c r="G12">
        <v>4394</v>
      </c>
      <c r="H12" s="115"/>
      <c r="I12" s="115"/>
      <c r="L12" s="169">
        <v>42017</v>
      </c>
      <c r="M12" s="115">
        <v>184.5</v>
      </c>
      <c r="N12" s="115">
        <v>188.5</v>
      </c>
      <c r="O12" s="115">
        <v>184</v>
      </c>
      <c r="P12" s="115">
        <v>186.5</v>
      </c>
      <c r="Q12" s="115">
        <v>184.5</v>
      </c>
      <c r="R12">
        <v>14388</v>
      </c>
    </row>
    <row r="13" spans="1:18" x14ac:dyDescent="0.25">
      <c r="A13" s="169">
        <v>42018</v>
      </c>
      <c r="B13" s="115">
        <v>186</v>
      </c>
      <c r="C13" s="115">
        <v>183.65</v>
      </c>
      <c r="D13" s="115">
        <v>183</v>
      </c>
      <c r="E13" s="115">
        <v>185.15</v>
      </c>
      <c r="F13" s="115">
        <v>183.65</v>
      </c>
      <c r="G13">
        <v>3035</v>
      </c>
      <c r="H13" s="115"/>
      <c r="I13" s="115"/>
      <c r="L13" s="169">
        <v>42018</v>
      </c>
      <c r="M13" s="115">
        <v>183</v>
      </c>
      <c r="N13" s="115">
        <v>186.5</v>
      </c>
      <c r="O13" s="115">
        <v>182</v>
      </c>
      <c r="P13" s="115">
        <v>184.5</v>
      </c>
      <c r="Q13" s="115">
        <v>183</v>
      </c>
      <c r="R13">
        <v>10555</v>
      </c>
    </row>
    <row r="14" spans="1:18" x14ac:dyDescent="0.25">
      <c r="A14" s="169">
        <v>42019</v>
      </c>
      <c r="B14" s="115">
        <v>186.65</v>
      </c>
      <c r="C14" s="115">
        <v>185</v>
      </c>
      <c r="D14" s="115">
        <v>184</v>
      </c>
      <c r="E14" s="115">
        <v>186.65</v>
      </c>
      <c r="F14" s="115">
        <v>185</v>
      </c>
      <c r="G14">
        <v>6379</v>
      </c>
      <c r="H14" s="115"/>
      <c r="I14" s="115"/>
      <c r="L14" s="169">
        <v>42019</v>
      </c>
      <c r="M14" s="115">
        <v>184.35</v>
      </c>
      <c r="N14" s="115">
        <v>186.95</v>
      </c>
      <c r="O14" s="115">
        <v>183.5</v>
      </c>
      <c r="P14" s="115">
        <v>185.9</v>
      </c>
      <c r="Q14" s="115">
        <v>184.35</v>
      </c>
      <c r="R14">
        <v>15239</v>
      </c>
    </row>
    <row r="15" spans="1:18" x14ac:dyDescent="0.25">
      <c r="A15" s="169">
        <v>42020</v>
      </c>
      <c r="B15" s="115">
        <v>186.5</v>
      </c>
      <c r="C15" s="115">
        <v>185.75</v>
      </c>
      <c r="D15" s="115">
        <v>184.1</v>
      </c>
      <c r="E15" s="115">
        <v>186</v>
      </c>
      <c r="F15" s="115">
        <v>185.75</v>
      </c>
      <c r="G15">
        <v>1588</v>
      </c>
      <c r="H15" s="115"/>
      <c r="I15" s="115"/>
      <c r="L15" s="169">
        <v>42020</v>
      </c>
      <c r="M15" s="115">
        <v>185.45</v>
      </c>
      <c r="N15" s="115">
        <v>187.35</v>
      </c>
      <c r="O15" s="115">
        <v>184</v>
      </c>
      <c r="P15" s="115">
        <v>187.05</v>
      </c>
      <c r="Q15" s="115">
        <v>185.45</v>
      </c>
      <c r="R15">
        <v>12431</v>
      </c>
    </row>
    <row r="16" spans="1:18" x14ac:dyDescent="0.25">
      <c r="A16" s="169">
        <v>42023</v>
      </c>
      <c r="B16" s="115">
        <v>187.7</v>
      </c>
      <c r="C16" s="115">
        <v>185.05</v>
      </c>
      <c r="D16" s="115">
        <v>184.1</v>
      </c>
      <c r="E16" s="115">
        <v>184.5</v>
      </c>
      <c r="F16" s="115">
        <v>185.05</v>
      </c>
      <c r="G16">
        <v>4947</v>
      </c>
      <c r="H16" s="115"/>
      <c r="I16" s="115"/>
      <c r="L16" s="169">
        <v>42023</v>
      </c>
      <c r="M16" s="115">
        <v>185.05</v>
      </c>
      <c r="N16" s="115">
        <v>188.1</v>
      </c>
      <c r="O16" s="115">
        <v>184.5</v>
      </c>
      <c r="P16" s="115">
        <v>185</v>
      </c>
      <c r="Q16" s="115">
        <v>185.05</v>
      </c>
      <c r="R16">
        <v>16862</v>
      </c>
    </row>
    <row r="17" spans="1:18" x14ac:dyDescent="0.25">
      <c r="A17" s="169">
        <v>42024</v>
      </c>
      <c r="B17" s="115">
        <v>197.15</v>
      </c>
      <c r="C17" s="115">
        <v>193.95</v>
      </c>
      <c r="D17" s="115">
        <v>186</v>
      </c>
      <c r="E17" s="115">
        <v>187.35</v>
      </c>
      <c r="F17" s="115">
        <v>193.95</v>
      </c>
      <c r="G17">
        <v>21055</v>
      </c>
      <c r="H17" s="115"/>
      <c r="I17" s="115"/>
      <c r="L17" s="169">
        <v>42024</v>
      </c>
      <c r="M17" s="115">
        <v>194.3</v>
      </c>
      <c r="N17" s="115">
        <v>197.8</v>
      </c>
      <c r="O17" s="115">
        <v>186.5</v>
      </c>
      <c r="P17" s="115">
        <v>186.5</v>
      </c>
      <c r="Q17" s="115">
        <v>194.3</v>
      </c>
      <c r="R17">
        <v>101956</v>
      </c>
    </row>
    <row r="18" spans="1:18" x14ac:dyDescent="0.25">
      <c r="A18" s="169">
        <v>42025</v>
      </c>
      <c r="B18" s="115">
        <v>196.25</v>
      </c>
      <c r="C18" s="115">
        <v>193.35</v>
      </c>
      <c r="D18" s="115">
        <v>191.2</v>
      </c>
      <c r="E18" s="115">
        <v>195.15</v>
      </c>
      <c r="F18" s="115">
        <v>193.35</v>
      </c>
      <c r="G18">
        <v>10628</v>
      </c>
      <c r="H18" s="115"/>
      <c r="I18" s="115"/>
      <c r="L18" s="169">
        <v>42025</v>
      </c>
      <c r="M18" s="115">
        <v>192.2</v>
      </c>
      <c r="N18" s="115">
        <v>197.1</v>
      </c>
      <c r="O18" s="115">
        <v>191.4</v>
      </c>
      <c r="P18" s="115">
        <v>194.3</v>
      </c>
      <c r="Q18" s="115">
        <v>192.2</v>
      </c>
      <c r="R18">
        <v>29559</v>
      </c>
    </row>
    <row r="19" spans="1:18" x14ac:dyDescent="0.25">
      <c r="A19" s="169">
        <v>42026</v>
      </c>
      <c r="B19" s="115">
        <v>211</v>
      </c>
      <c r="C19" s="115">
        <v>200.25</v>
      </c>
      <c r="D19" s="115">
        <v>192.4</v>
      </c>
      <c r="E19" s="115">
        <v>193</v>
      </c>
      <c r="F19" s="115">
        <v>200.25</v>
      </c>
      <c r="G19">
        <v>77316</v>
      </c>
      <c r="H19" s="115"/>
      <c r="I19" s="115"/>
      <c r="L19" s="169">
        <v>42026</v>
      </c>
      <c r="M19" s="115">
        <v>199.95</v>
      </c>
      <c r="N19" s="115">
        <v>211.1</v>
      </c>
      <c r="O19" s="115">
        <v>192.1</v>
      </c>
      <c r="P19" s="115">
        <v>192.55</v>
      </c>
      <c r="Q19" s="115">
        <v>199.95</v>
      </c>
      <c r="R19">
        <v>289153</v>
      </c>
    </row>
    <row r="20" spans="1:18" x14ac:dyDescent="0.25">
      <c r="A20" s="169">
        <v>42027</v>
      </c>
      <c r="B20" s="115">
        <v>206.9</v>
      </c>
      <c r="C20" s="115">
        <v>200.55</v>
      </c>
      <c r="D20" s="115">
        <v>199</v>
      </c>
      <c r="E20" s="115">
        <v>203</v>
      </c>
      <c r="F20" s="115">
        <v>200.55</v>
      </c>
      <c r="G20">
        <v>19723</v>
      </c>
      <c r="H20" s="115"/>
      <c r="I20" s="115"/>
      <c r="L20" s="169">
        <v>42027</v>
      </c>
      <c r="M20" s="115">
        <v>201.15</v>
      </c>
      <c r="N20" s="115">
        <v>206.95</v>
      </c>
      <c r="O20" s="115">
        <v>199.2</v>
      </c>
      <c r="P20" s="115">
        <v>201.8</v>
      </c>
      <c r="Q20" s="115">
        <v>201.15</v>
      </c>
      <c r="R20">
        <v>90504</v>
      </c>
    </row>
    <row r="21" spans="1:18" x14ac:dyDescent="0.25">
      <c r="A21" s="169">
        <v>42031</v>
      </c>
      <c r="B21" s="115">
        <v>207.4</v>
      </c>
      <c r="C21" s="115">
        <v>205.8</v>
      </c>
      <c r="D21" s="115">
        <v>202.05</v>
      </c>
      <c r="E21" s="115">
        <v>204.4</v>
      </c>
      <c r="F21" s="115">
        <v>205.8</v>
      </c>
      <c r="G21">
        <v>12265</v>
      </c>
      <c r="H21" s="115"/>
      <c r="I21" s="115"/>
      <c r="L21" s="169">
        <v>42031</v>
      </c>
      <c r="M21" s="115">
        <v>205.3</v>
      </c>
      <c r="N21" s="115">
        <v>207.45</v>
      </c>
      <c r="O21" s="115">
        <v>202.5</v>
      </c>
      <c r="P21" s="115">
        <v>202.5</v>
      </c>
      <c r="Q21" s="115">
        <v>205.3</v>
      </c>
      <c r="R21">
        <v>74021</v>
      </c>
    </row>
    <row r="22" spans="1:18" x14ac:dyDescent="0.25">
      <c r="A22" s="169">
        <v>42032</v>
      </c>
      <c r="B22" s="115">
        <v>207</v>
      </c>
      <c r="C22" s="115">
        <v>205.35</v>
      </c>
      <c r="D22" s="115">
        <v>203.1</v>
      </c>
      <c r="E22" s="115">
        <v>204</v>
      </c>
      <c r="F22" s="115">
        <v>205.35</v>
      </c>
      <c r="G22">
        <v>6229</v>
      </c>
      <c r="H22" s="115"/>
      <c r="I22" s="115"/>
      <c r="L22" s="169">
        <v>42032</v>
      </c>
      <c r="M22" s="115">
        <v>205.35</v>
      </c>
      <c r="N22" s="115">
        <v>207.5</v>
      </c>
      <c r="O22" s="115">
        <v>202.5</v>
      </c>
      <c r="P22" s="115">
        <v>207.5</v>
      </c>
      <c r="Q22" s="115">
        <v>205.35</v>
      </c>
      <c r="R22">
        <v>47052</v>
      </c>
    </row>
    <row r="23" spans="1:18" x14ac:dyDescent="0.25">
      <c r="A23" s="169">
        <v>42033</v>
      </c>
      <c r="B23" s="115">
        <v>217</v>
      </c>
      <c r="C23" s="115">
        <v>212.25</v>
      </c>
      <c r="D23" s="115">
        <v>204</v>
      </c>
      <c r="E23" s="115">
        <v>205.5</v>
      </c>
      <c r="F23" s="115">
        <v>212.25</v>
      </c>
      <c r="G23">
        <v>34910</v>
      </c>
      <c r="H23" s="115"/>
      <c r="I23" s="115"/>
      <c r="L23" s="169">
        <v>42033</v>
      </c>
      <c r="M23" s="115">
        <v>212.55</v>
      </c>
      <c r="N23" s="115">
        <v>214.75</v>
      </c>
      <c r="O23" s="115">
        <v>203.1</v>
      </c>
      <c r="P23" s="115">
        <v>204.9</v>
      </c>
      <c r="Q23" s="115">
        <v>212.55</v>
      </c>
      <c r="R23">
        <v>107307</v>
      </c>
    </row>
    <row r="24" spans="1:18" x14ac:dyDescent="0.25">
      <c r="A24" s="169">
        <v>42034</v>
      </c>
      <c r="B24" s="115">
        <v>216</v>
      </c>
      <c r="C24" s="115">
        <v>206.7</v>
      </c>
      <c r="D24" s="115">
        <v>205.5</v>
      </c>
      <c r="E24" s="115">
        <v>215.4</v>
      </c>
      <c r="F24" s="115">
        <v>206.7</v>
      </c>
      <c r="G24">
        <v>18319</v>
      </c>
      <c r="H24" s="115"/>
      <c r="I24" s="115"/>
      <c r="L24" s="169">
        <v>42034</v>
      </c>
      <c r="M24" s="115">
        <v>206.75</v>
      </c>
      <c r="N24" s="115">
        <v>216.6</v>
      </c>
      <c r="O24" s="115">
        <v>205.2</v>
      </c>
      <c r="P24" s="115">
        <v>213</v>
      </c>
      <c r="Q24" s="115">
        <v>206.75</v>
      </c>
      <c r="R24">
        <v>63630</v>
      </c>
    </row>
    <row r="25" spans="1:18" x14ac:dyDescent="0.25">
      <c r="A25" s="169">
        <v>42037</v>
      </c>
      <c r="B25" s="115">
        <v>214.35</v>
      </c>
      <c r="C25" s="115">
        <v>212.85</v>
      </c>
      <c r="D25" s="115">
        <v>205</v>
      </c>
      <c r="E25" s="115">
        <v>206.6</v>
      </c>
      <c r="F25" s="115">
        <v>212.85</v>
      </c>
      <c r="G25">
        <v>11801</v>
      </c>
      <c r="H25" s="115"/>
      <c r="I25" s="115"/>
      <c r="L25" s="169">
        <v>42037</v>
      </c>
      <c r="M25" s="115">
        <v>212.4</v>
      </c>
      <c r="N25" s="115">
        <v>213.85</v>
      </c>
      <c r="O25" s="115">
        <v>202</v>
      </c>
      <c r="P25" s="115">
        <v>202</v>
      </c>
      <c r="Q25" s="115">
        <v>212.4</v>
      </c>
      <c r="R25">
        <v>55976</v>
      </c>
    </row>
    <row r="26" spans="1:18" x14ac:dyDescent="0.25">
      <c r="A26" s="169">
        <v>42038</v>
      </c>
      <c r="B26" s="115">
        <v>219.9</v>
      </c>
      <c r="C26" s="115">
        <v>214.4</v>
      </c>
      <c r="D26" s="115">
        <v>210.6</v>
      </c>
      <c r="E26" s="115">
        <v>213.65</v>
      </c>
      <c r="F26" s="115">
        <v>214.4</v>
      </c>
      <c r="G26">
        <v>14821</v>
      </c>
      <c r="H26" s="115"/>
      <c r="I26" s="115"/>
      <c r="L26" s="169">
        <v>42038</v>
      </c>
      <c r="M26" s="115">
        <v>213</v>
      </c>
      <c r="N26" s="115">
        <v>219.7</v>
      </c>
      <c r="O26" s="115">
        <v>210.2</v>
      </c>
      <c r="P26" s="115">
        <v>211.95</v>
      </c>
      <c r="Q26" s="115">
        <v>213</v>
      </c>
      <c r="R26">
        <v>46627</v>
      </c>
    </row>
    <row r="27" spans="1:18" x14ac:dyDescent="0.25">
      <c r="A27" s="169">
        <v>42039</v>
      </c>
      <c r="B27" s="115">
        <v>227.5</v>
      </c>
      <c r="C27" s="115">
        <v>225.15</v>
      </c>
      <c r="D27" s="115">
        <v>214.6</v>
      </c>
      <c r="E27" s="115">
        <v>217.4</v>
      </c>
      <c r="F27" s="115">
        <v>225.15</v>
      </c>
      <c r="G27">
        <v>24044</v>
      </c>
      <c r="H27" s="115"/>
      <c r="I27" s="115"/>
      <c r="L27" s="169">
        <v>42039</v>
      </c>
      <c r="M27" s="115">
        <v>225.65</v>
      </c>
      <c r="N27" s="115">
        <v>230</v>
      </c>
      <c r="O27" s="115">
        <v>214.65</v>
      </c>
      <c r="P27" s="115">
        <v>214.65</v>
      </c>
      <c r="Q27" s="115">
        <v>225.65</v>
      </c>
      <c r="R27">
        <v>163649</v>
      </c>
    </row>
    <row r="28" spans="1:18" x14ac:dyDescent="0.25">
      <c r="A28" s="169">
        <v>42040</v>
      </c>
      <c r="B28" s="115">
        <v>227.9</v>
      </c>
      <c r="C28" s="115">
        <v>219.9</v>
      </c>
      <c r="D28" s="115">
        <v>217.6</v>
      </c>
      <c r="E28" s="115">
        <v>227.9</v>
      </c>
      <c r="F28" s="115">
        <v>219.9</v>
      </c>
      <c r="G28">
        <v>18538</v>
      </c>
      <c r="H28" s="115"/>
      <c r="I28" s="115"/>
      <c r="L28" s="169">
        <v>42040</v>
      </c>
      <c r="M28" s="115">
        <v>219.8</v>
      </c>
      <c r="N28" s="115">
        <v>229.8</v>
      </c>
      <c r="O28" s="115">
        <v>217.25</v>
      </c>
      <c r="P28" s="115">
        <v>229.8</v>
      </c>
      <c r="Q28" s="115">
        <v>219.8</v>
      </c>
      <c r="R28">
        <v>39726</v>
      </c>
    </row>
    <row r="29" spans="1:18" x14ac:dyDescent="0.25">
      <c r="A29" s="169">
        <v>42041</v>
      </c>
      <c r="B29" s="115">
        <v>219.2</v>
      </c>
      <c r="C29" s="115">
        <v>212.1</v>
      </c>
      <c r="D29" s="115">
        <v>211.1</v>
      </c>
      <c r="E29" s="115">
        <v>217.9</v>
      </c>
      <c r="F29" s="115">
        <v>212.1</v>
      </c>
      <c r="G29">
        <v>11242</v>
      </c>
      <c r="H29" s="115"/>
      <c r="I29" s="115"/>
      <c r="L29" s="169">
        <v>42041</v>
      </c>
      <c r="M29" s="115">
        <v>213.25</v>
      </c>
      <c r="N29" s="115">
        <v>219</v>
      </c>
      <c r="O29" s="115">
        <v>210.2</v>
      </c>
      <c r="P29" s="115">
        <v>219</v>
      </c>
      <c r="Q29" s="115">
        <v>213.25</v>
      </c>
      <c r="R29">
        <v>26966</v>
      </c>
    </row>
    <row r="30" spans="1:18" x14ac:dyDescent="0.25">
      <c r="A30" s="169">
        <v>42044</v>
      </c>
      <c r="B30" s="115">
        <v>213</v>
      </c>
      <c r="C30" s="115">
        <v>200.9</v>
      </c>
      <c r="D30" s="115">
        <v>200</v>
      </c>
      <c r="E30" s="115">
        <v>213</v>
      </c>
      <c r="F30" s="115">
        <v>200.9</v>
      </c>
      <c r="G30">
        <v>16087</v>
      </c>
      <c r="H30" s="115"/>
      <c r="I30" s="115"/>
      <c r="L30" s="169">
        <v>42044</v>
      </c>
      <c r="M30" s="115">
        <v>201.05</v>
      </c>
      <c r="N30" s="115">
        <v>211</v>
      </c>
      <c r="O30" s="115">
        <v>200</v>
      </c>
      <c r="P30" s="115">
        <v>211</v>
      </c>
      <c r="Q30" s="115">
        <v>201.05</v>
      </c>
      <c r="R30">
        <v>37194</v>
      </c>
    </row>
    <row r="31" spans="1:18" x14ac:dyDescent="0.25">
      <c r="A31" s="169">
        <v>42045</v>
      </c>
      <c r="B31" s="115">
        <v>210.65</v>
      </c>
      <c r="C31" s="115">
        <v>208.85</v>
      </c>
      <c r="D31" s="115">
        <v>204.45</v>
      </c>
      <c r="E31" s="115">
        <v>205</v>
      </c>
      <c r="F31" s="115">
        <v>208.85</v>
      </c>
      <c r="G31">
        <v>14787</v>
      </c>
      <c r="H31" s="115"/>
      <c r="I31" s="115"/>
      <c r="L31" s="169">
        <v>42045</v>
      </c>
      <c r="M31" s="115">
        <v>209.25</v>
      </c>
      <c r="N31" s="115">
        <v>210.85</v>
      </c>
      <c r="O31" s="115">
        <v>201.5</v>
      </c>
      <c r="P31" s="115">
        <v>202.95</v>
      </c>
      <c r="Q31" s="115">
        <v>209.25</v>
      </c>
      <c r="R31">
        <v>44960</v>
      </c>
    </row>
    <row r="32" spans="1:18" x14ac:dyDescent="0.25">
      <c r="A32" s="169">
        <v>42046</v>
      </c>
      <c r="B32" s="115">
        <v>217.2</v>
      </c>
      <c r="C32" s="115">
        <v>212.6</v>
      </c>
      <c r="D32" s="115">
        <v>207.2</v>
      </c>
      <c r="E32" s="115">
        <v>209.6</v>
      </c>
      <c r="F32" s="115">
        <v>212.6</v>
      </c>
      <c r="G32">
        <v>20689</v>
      </c>
      <c r="H32" s="115"/>
      <c r="I32" s="115"/>
      <c r="L32" s="169">
        <v>42046</v>
      </c>
      <c r="M32" s="115">
        <v>212.85</v>
      </c>
      <c r="N32" s="115">
        <v>215.65</v>
      </c>
      <c r="O32" s="115">
        <v>208.8</v>
      </c>
      <c r="P32" s="115">
        <v>210.9</v>
      </c>
      <c r="Q32" s="115">
        <v>212.85</v>
      </c>
      <c r="R32">
        <v>30854</v>
      </c>
    </row>
    <row r="33" spans="1:18" x14ac:dyDescent="0.25">
      <c r="A33" s="169">
        <v>42047</v>
      </c>
      <c r="B33" s="115">
        <v>220.15</v>
      </c>
      <c r="C33" s="115">
        <v>216.6</v>
      </c>
      <c r="D33" s="115">
        <v>212.25</v>
      </c>
      <c r="E33" s="115">
        <v>215.3</v>
      </c>
      <c r="F33" s="115">
        <v>216.6</v>
      </c>
      <c r="G33">
        <v>12593</v>
      </c>
      <c r="H33" s="115"/>
      <c r="I33" s="115"/>
      <c r="L33" s="169">
        <v>42047</v>
      </c>
      <c r="M33" s="115">
        <v>217.35</v>
      </c>
      <c r="N33" s="115">
        <v>220.9</v>
      </c>
      <c r="O33" s="115">
        <v>210.5</v>
      </c>
      <c r="P33" s="115">
        <v>210.8</v>
      </c>
      <c r="Q33" s="115">
        <v>217.35</v>
      </c>
      <c r="R33">
        <v>27201</v>
      </c>
    </row>
    <row r="34" spans="1:18" x14ac:dyDescent="0.25">
      <c r="A34" s="169">
        <v>42048</v>
      </c>
      <c r="B34" s="115">
        <v>220.25</v>
      </c>
      <c r="C34" s="115">
        <v>218.7</v>
      </c>
      <c r="D34" s="115">
        <v>215</v>
      </c>
      <c r="E34" s="115">
        <v>217</v>
      </c>
      <c r="F34" s="115">
        <v>218.7</v>
      </c>
      <c r="G34">
        <v>15919</v>
      </c>
      <c r="H34" s="115"/>
      <c r="I34" s="115"/>
      <c r="L34" s="169">
        <v>42048</v>
      </c>
      <c r="M34" s="115">
        <v>218.8</v>
      </c>
      <c r="N34" s="115">
        <v>221</v>
      </c>
      <c r="O34" s="115">
        <v>214.4</v>
      </c>
      <c r="P34" s="115">
        <v>217.6</v>
      </c>
      <c r="Q34" s="115">
        <v>218.8</v>
      </c>
      <c r="R34">
        <v>33721</v>
      </c>
    </row>
    <row r="35" spans="1:18" x14ac:dyDescent="0.25">
      <c r="A35" s="169">
        <v>42051</v>
      </c>
      <c r="B35" s="115">
        <v>221.1</v>
      </c>
      <c r="C35" s="115">
        <v>215.4</v>
      </c>
      <c r="D35" s="115">
        <v>213</v>
      </c>
      <c r="E35" s="115">
        <v>221.1</v>
      </c>
      <c r="F35" s="115">
        <v>215.4</v>
      </c>
      <c r="G35">
        <v>1852</v>
      </c>
      <c r="H35" s="115"/>
      <c r="I35" s="115"/>
      <c r="L35" s="169">
        <v>42051</v>
      </c>
      <c r="M35" s="115">
        <v>215.3</v>
      </c>
      <c r="N35" s="115">
        <v>221.45</v>
      </c>
      <c r="O35" s="115">
        <v>211.15</v>
      </c>
      <c r="P35" s="115">
        <v>219.55</v>
      </c>
      <c r="Q35" s="115">
        <v>215.3</v>
      </c>
      <c r="R35">
        <v>12737</v>
      </c>
    </row>
    <row r="36" spans="1:18" x14ac:dyDescent="0.25">
      <c r="A36" s="169">
        <v>42053</v>
      </c>
      <c r="B36" s="115">
        <v>217</v>
      </c>
      <c r="C36" s="115">
        <v>210.8</v>
      </c>
      <c r="D36" s="115">
        <v>210</v>
      </c>
      <c r="E36" s="115">
        <v>216.9</v>
      </c>
      <c r="F36" s="115">
        <v>210.8</v>
      </c>
      <c r="G36">
        <v>2355</v>
      </c>
      <c r="H36" s="115"/>
      <c r="I36" s="115"/>
      <c r="L36" s="169">
        <v>42053</v>
      </c>
      <c r="M36" s="115">
        <v>211.3</v>
      </c>
      <c r="N36" s="115">
        <v>219</v>
      </c>
      <c r="O36" s="115">
        <v>208.2</v>
      </c>
      <c r="P36" s="115">
        <v>215.55</v>
      </c>
      <c r="Q36" s="115">
        <v>211.3</v>
      </c>
      <c r="R36">
        <v>26233</v>
      </c>
    </row>
    <row r="37" spans="1:18" x14ac:dyDescent="0.25">
      <c r="A37" s="169">
        <v>42054</v>
      </c>
      <c r="B37" s="115">
        <v>212.9</v>
      </c>
      <c r="C37" s="115">
        <v>208</v>
      </c>
      <c r="D37" s="115">
        <v>204</v>
      </c>
      <c r="E37" s="115">
        <v>210.7</v>
      </c>
      <c r="F37" s="115">
        <v>208</v>
      </c>
      <c r="G37">
        <v>4364</v>
      </c>
      <c r="H37" s="115"/>
      <c r="I37" s="115"/>
      <c r="L37" s="169">
        <v>42054</v>
      </c>
      <c r="M37" s="115">
        <v>207.35</v>
      </c>
      <c r="N37" s="115">
        <v>212.5</v>
      </c>
      <c r="O37" s="115">
        <v>204</v>
      </c>
      <c r="P37" s="115">
        <v>211.95</v>
      </c>
      <c r="Q37" s="115">
        <v>207.35</v>
      </c>
      <c r="R37">
        <v>47002</v>
      </c>
    </row>
    <row r="38" spans="1:18" x14ac:dyDescent="0.25">
      <c r="A38" s="169">
        <v>42055</v>
      </c>
      <c r="B38" s="115">
        <v>219</v>
      </c>
      <c r="C38" s="115">
        <v>214.8</v>
      </c>
      <c r="D38" s="115">
        <v>207.3</v>
      </c>
      <c r="E38" s="115">
        <v>207.3</v>
      </c>
      <c r="F38" s="115">
        <v>214.8</v>
      </c>
      <c r="G38">
        <v>26844</v>
      </c>
      <c r="H38" s="115"/>
      <c r="I38" s="115"/>
      <c r="L38" s="169">
        <v>42055</v>
      </c>
      <c r="M38" s="115">
        <v>214.8</v>
      </c>
      <c r="N38" s="115">
        <v>220</v>
      </c>
      <c r="O38" s="115">
        <v>207.35</v>
      </c>
      <c r="P38" s="115">
        <v>208.05</v>
      </c>
      <c r="Q38" s="115">
        <v>214.8</v>
      </c>
      <c r="R38">
        <v>84397</v>
      </c>
    </row>
    <row r="39" spans="1:18" x14ac:dyDescent="0.25">
      <c r="A39" s="169">
        <v>42058</v>
      </c>
      <c r="B39" s="115">
        <v>218.2</v>
      </c>
      <c r="C39" s="115">
        <v>217</v>
      </c>
      <c r="D39" s="115">
        <v>215</v>
      </c>
      <c r="E39" s="115">
        <v>215</v>
      </c>
      <c r="F39" s="115">
        <v>217</v>
      </c>
      <c r="G39">
        <v>12653</v>
      </c>
      <c r="H39" s="115"/>
      <c r="I39" s="115"/>
      <c r="L39" s="169">
        <v>42058</v>
      </c>
      <c r="M39" s="115">
        <v>217.3</v>
      </c>
      <c r="N39" s="115">
        <v>219.15</v>
      </c>
      <c r="O39" s="115">
        <v>214.9</v>
      </c>
      <c r="P39" s="115">
        <v>216.55</v>
      </c>
      <c r="Q39" s="115">
        <v>217.3</v>
      </c>
      <c r="R39">
        <v>35275</v>
      </c>
    </row>
    <row r="40" spans="1:18" x14ac:dyDescent="0.25">
      <c r="A40" s="169">
        <v>42059</v>
      </c>
      <c r="B40" s="115">
        <v>217.6</v>
      </c>
      <c r="C40" s="115">
        <v>216.4</v>
      </c>
      <c r="D40" s="115">
        <v>213.6</v>
      </c>
      <c r="E40" s="115">
        <v>215.7</v>
      </c>
      <c r="F40" s="115">
        <v>216.4</v>
      </c>
      <c r="G40">
        <v>4043</v>
      </c>
      <c r="H40" s="115"/>
      <c r="I40" s="115"/>
      <c r="L40" s="169">
        <v>42059</v>
      </c>
      <c r="M40" s="115">
        <v>217.65</v>
      </c>
      <c r="N40" s="115">
        <v>218</v>
      </c>
      <c r="O40" s="115">
        <v>214</v>
      </c>
      <c r="P40" s="115">
        <v>218</v>
      </c>
      <c r="Q40" s="115">
        <v>217.65</v>
      </c>
      <c r="R40">
        <v>38235</v>
      </c>
    </row>
    <row r="41" spans="1:18" x14ac:dyDescent="0.25">
      <c r="A41" s="169">
        <v>42060</v>
      </c>
      <c r="B41" s="115">
        <v>223.5</v>
      </c>
      <c r="C41" s="115">
        <v>217.9</v>
      </c>
      <c r="D41" s="115">
        <v>212.7</v>
      </c>
      <c r="E41" s="115">
        <v>217.5</v>
      </c>
      <c r="F41" s="115">
        <v>217.9</v>
      </c>
      <c r="G41">
        <v>17368</v>
      </c>
      <c r="H41" s="115"/>
      <c r="I41" s="115"/>
      <c r="L41" s="169">
        <v>42060</v>
      </c>
      <c r="M41" s="115">
        <v>218.6</v>
      </c>
      <c r="N41" s="115">
        <v>223.15</v>
      </c>
      <c r="O41" s="115">
        <v>212</v>
      </c>
      <c r="P41" s="115">
        <v>217</v>
      </c>
      <c r="Q41" s="115">
        <v>218.6</v>
      </c>
      <c r="R41">
        <v>138273</v>
      </c>
    </row>
    <row r="42" spans="1:18" x14ac:dyDescent="0.25">
      <c r="A42" s="169">
        <v>42061</v>
      </c>
      <c r="B42" s="115">
        <v>222.5</v>
      </c>
      <c r="C42" s="115">
        <v>221.8</v>
      </c>
      <c r="D42" s="115">
        <v>216</v>
      </c>
      <c r="E42" s="115">
        <v>216.1</v>
      </c>
      <c r="F42" s="115">
        <v>221.8</v>
      </c>
      <c r="G42">
        <v>13218</v>
      </c>
      <c r="H42" s="115"/>
      <c r="I42" s="115"/>
      <c r="L42" s="169">
        <v>42061</v>
      </c>
      <c r="M42" s="115">
        <v>221.05</v>
      </c>
      <c r="N42" s="115">
        <v>222.65</v>
      </c>
      <c r="O42" s="115">
        <v>216.65</v>
      </c>
      <c r="P42" s="115">
        <v>217.25</v>
      </c>
      <c r="Q42" s="115">
        <v>221.05</v>
      </c>
      <c r="R42">
        <v>21962</v>
      </c>
    </row>
    <row r="43" spans="1:18" x14ac:dyDescent="0.25">
      <c r="A43" s="169">
        <v>42062</v>
      </c>
      <c r="B43" s="115">
        <v>222.5</v>
      </c>
      <c r="C43" s="115">
        <v>216.7</v>
      </c>
      <c r="D43" s="115">
        <v>214.4</v>
      </c>
      <c r="E43" s="115">
        <v>221</v>
      </c>
      <c r="F43" s="115">
        <v>216.7</v>
      </c>
      <c r="G43">
        <v>7120</v>
      </c>
      <c r="H43" s="115"/>
      <c r="I43" s="115"/>
      <c r="L43" s="169">
        <v>42062</v>
      </c>
      <c r="M43" s="115">
        <v>216.65</v>
      </c>
      <c r="N43" s="115">
        <v>223.5</v>
      </c>
      <c r="O43" s="115">
        <v>213.4</v>
      </c>
      <c r="P43" s="115">
        <v>220</v>
      </c>
      <c r="Q43" s="115">
        <v>216.65</v>
      </c>
      <c r="R43">
        <v>129564</v>
      </c>
    </row>
    <row r="44" spans="1:18" x14ac:dyDescent="0.25">
      <c r="A44" s="169">
        <v>42063</v>
      </c>
      <c r="B44" s="115">
        <v>220</v>
      </c>
      <c r="C44" s="115">
        <v>213</v>
      </c>
      <c r="D44" s="115">
        <v>207</v>
      </c>
      <c r="E44" s="115">
        <v>220</v>
      </c>
      <c r="F44" s="115">
        <v>213</v>
      </c>
      <c r="G44">
        <v>3649</v>
      </c>
      <c r="H44" s="115"/>
      <c r="I44" s="115"/>
      <c r="L44" s="169">
        <v>42063</v>
      </c>
      <c r="M44" s="115">
        <v>213.1</v>
      </c>
      <c r="N44" s="115">
        <v>219.65</v>
      </c>
      <c r="O44" s="115">
        <v>207.1</v>
      </c>
      <c r="P44" s="115">
        <v>217.55</v>
      </c>
      <c r="Q44" s="115">
        <v>213.1</v>
      </c>
      <c r="R44">
        <v>13795</v>
      </c>
    </row>
    <row r="45" spans="1:18" x14ac:dyDescent="0.25">
      <c r="A45" s="169">
        <v>42065</v>
      </c>
      <c r="B45" s="115">
        <v>217.5</v>
      </c>
      <c r="C45" s="115">
        <v>215.2</v>
      </c>
      <c r="D45" s="115">
        <v>212.2</v>
      </c>
      <c r="E45" s="115">
        <v>217.5</v>
      </c>
      <c r="F45" s="115">
        <v>215.2</v>
      </c>
      <c r="G45">
        <v>1306</v>
      </c>
      <c r="H45" s="115"/>
      <c r="I45" s="115"/>
      <c r="L45" s="169">
        <v>42065</v>
      </c>
      <c r="M45" s="115">
        <v>215.8</v>
      </c>
      <c r="N45" s="115">
        <v>220.8</v>
      </c>
      <c r="O45" s="115">
        <v>212</v>
      </c>
      <c r="P45" s="115">
        <v>216</v>
      </c>
      <c r="Q45" s="115">
        <v>215.8</v>
      </c>
      <c r="R45">
        <v>18983</v>
      </c>
    </row>
    <row r="46" spans="1:18" x14ac:dyDescent="0.25">
      <c r="A46" s="169">
        <v>42066</v>
      </c>
      <c r="B46" s="115">
        <v>218</v>
      </c>
      <c r="C46" s="115">
        <v>215</v>
      </c>
      <c r="D46" s="115">
        <v>213.8</v>
      </c>
      <c r="E46" s="115">
        <v>216.5</v>
      </c>
      <c r="F46" s="115">
        <v>215</v>
      </c>
      <c r="G46">
        <v>3263</v>
      </c>
      <c r="H46" s="115"/>
      <c r="I46" s="115"/>
      <c r="L46" s="169">
        <v>42066</v>
      </c>
      <c r="M46" s="115">
        <v>214.9</v>
      </c>
      <c r="N46" s="115">
        <v>218.55</v>
      </c>
      <c r="O46" s="115">
        <v>212.35</v>
      </c>
      <c r="P46" s="115">
        <v>215</v>
      </c>
      <c r="Q46" s="115">
        <v>214.9</v>
      </c>
      <c r="R46">
        <v>27032</v>
      </c>
    </row>
    <row r="47" spans="1:18" x14ac:dyDescent="0.25">
      <c r="A47" s="169">
        <v>42067</v>
      </c>
      <c r="B47" s="115">
        <v>221.4</v>
      </c>
      <c r="C47" s="115">
        <v>219.2</v>
      </c>
      <c r="D47" s="115">
        <v>214.2</v>
      </c>
      <c r="E47" s="115">
        <v>214.2</v>
      </c>
      <c r="F47" s="115">
        <v>219.2</v>
      </c>
      <c r="G47">
        <v>10651</v>
      </c>
      <c r="H47" s="115"/>
      <c r="I47" s="115"/>
      <c r="L47" s="169">
        <v>42067</v>
      </c>
      <c r="M47" s="115">
        <v>220</v>
      </c>
      <c r="N47" s="115">
        <v>221.1</v>
      </c>
      <c r="O47" s="115">
        <v>214.2</v>
      </c>
      <c r="P47" s="115">
        <v>215.55</v>
      </c>
      <c r="Q47" s="115">
        <v>220</v>
      </c>
      <c r="R47">
        <v>24466</v>
      </c>
    </row>
    <row r="48" spans="1:18" x14ac:dyDescent="0.25">
      <c r="A48" s="169">
        <v>42068</v>
      </c>
      <c r="B48" s="115">
        <v>223</v>
      </c>
      <c r="C48" s="115">
        <v>221.3</v>
      </c>
      <c r="D48" s="115">
        <v>218</v>
      </c>
      <c r="E48" s="115">
        <v>218</v>
      </c>
      <c r="F48" s="115">
        <v>221.3</v>
      </c>
      <c r="G48">
        <v>4268</v>
      </c>
      <c r="H48" s="115"/>
      <c r="I48" s="115"/>
      <c r="L48" s="169">
        <v>42068</v>
      </c>
      <c r="M48" s="115">
        <v>221.2</v>
      </c>
      <c r="N48" s="115">
        <v>223</v>
      </c>
      <c r="O48" s="115">
        <v>215.55</v>
      </c>
      <c r="P48" s="115">
        <v>221.55</v>
      </c>
      <c r="Q48" s="115">
        <v>221.2</v>
      </c>
      <c r="R48">
        <v>19567</v>
      </c>
    </row>
    <row r="49" spans="1:18" x14ac:dyDescent="0.25">
      <c r="A49" s="169">
        <v>42072</v>
      </c>
      <c r="B49" s="115">
        <v>222.9</v>
      </c>
      <c r="C49" s="115">
        <v>221.3</v>
      </c>
      <c r="D49" s="115">
        <v>219.7</v>
      </c>
      <c r="E49" s="115">
        <v>220</v>
      </c>
      <c r="F49" s="115">
        <v>221.3</v>
      </c>
      <c r="G49">
        <v>4362</v>
      </c>
      <c r="H49" s="115"/>
      <c r="I49" s="115"/>
      <c r="L49" s="169">
        <v>42072</v>
      </c>
      <c r="M49" s="115">
        <v>222.2</v>
      </c>
      <c r="N49" s="115">
        <v>224.75</v>
      </c>
      <c r="O49" s="115">
        <v>218.65</v>
      </c>
      <c r="P49" s="115">
        <v>219</v>
      </c>
      <c r="Q49" s="115">
        <v>222.2</v>
      </c>
      <c r="R49">
        <v>11690</v>
      </c>
    </row>
    <row r="50" spans="1:18" x14ac:dyDescent="0.25">
      <c r="A50" s="169">
        <v>42073</v>
      </c>
      <c r="B50" s="115">
        <v>235.9</v>
      </c>
      <c r="C50" s="115">
        <v>229</v>
      </c>
      <c r="D50" s="115">
        <v>224.7</v>
      </c>
      <c r="E50" s="115">
        <v>224.7</v>
      </c>
      <c r="F50" s="115">
        <v>229</v>
      </c>
      <c r="G50">
        <v>32317</v>
      </c>
      <c r="H50" s="115"/>
      <c r="I50" s="115"/>
      <c r="L50" s="169">
        <v>42073</v>
      </c>
      <c r="M50" s="115">
        <v>228.05</v>
      </c>
      <c r="N50" s="115">
        <v>236</v>
      </c>
      <c r="O50" s="115">
        <v>222.05</v>
      </c>
      <c r="P50" s="115">
        <v>222.05</v>
      </c>
      <c r="Q50" s="115">
        <v>228.05</v>
      </c>
      <c r="R50">
        <v>143725</v>
      </c>
    </row>
    <row r="51" spans="1:18" x14ac:dyDescent="0.25">
      <c r="A51" s="169">
        <v>42074</v>
      </c>
      <c r="B51" s="115">
        <v>236.4</v>
      </c>
      <c r="C51" s="115">
        <v>231.9</v>
      </c>
      <c r="D51" s="115">
        <v>228</v>
      </c>
      <c r="E51" s="115">
        <v>228</v>
      </c>
      <c r="F51" s="115">
        <v>231.9</v>
      </c>
      <c r="G51">
        <v>13355</v>
      </c>
      <c r="H51" s="115"/>
      <c r="I51" s="115"/>
      <c r="L51" s="169">
        <v>42074</v>
      </c>
      <c r="M51" s="115">
        <v>231.6</v>
      </c>
      <c r="N51" s="115">
        <v>237.05</v>
      </c>
      <c r="O51" s="115">
        <v>228.05</v>
      </c>
      <c r="P51" s="115">
        <v>230.45</v>
      </c>
      <c r="Q51" s="115">
        <v>231.6</v>
      </c>
      <c r="R51">
        <v>71560</v>
      </c>
    </row>
    <row r="52" spans="1:18" x14ac:dyDescent="0.25">
      <c r="A52" s="169">
        <v>42075</v>
      </c>
      <c r="B52" s="115">
        <v>238.2</v>
      </c>
      <c r="C52" s="115">
        <v>236.4</v>
      </c>
      <c r="D52" s="115">
        <v>232.5</v>
      </c>
      <c r="E52" s="115">
        <v>232.5</v>
      </c>
      <c r="F52" s="115">
        <v>236.4</v>
      </c>
      <c r="G52">
        <v>14323</v>
      </c>
      <c r="H52" s="115"/>
      <c r="I52" s="115"/>
      <c r="L52" s="169">
        <v>42075</v>
      </c>
      <c r="M52" s="115">
        <v>236.15</v>
      </c>
      <c r="N52" s="115">
        <v>238.8</v>
      </c>
      <c r="O52" s="115">
        <v>231</v>
      </c>
      <c r="P52" s="115">
        <v>232</v>
      </c>
      <c r="Q52" s="115">
        <v>236.15</v>
      </c>
      <c r="R52">
        <v>127688</v>
      </c>
    </row>
    <row r="53" spans="1:18" x14ac:dyDescent="0.25">
      <c r="A53" s="169">
        <v>42076</v>
      </c>
      <c r="B53" s="115">
        <v>238.2</v>
      </c>
      <c r="C53" s="115">
        <v>229.5</v>
      </c>
      <c r="D53" s="115">
        <v>227.1</v>
      </c>
      <c r="E53" s="115">
        <v>237</v>
      </c>
      <c r="F53" s="115">
        <v>229.5</v>
      </c>
      <c r="G53">
        <v>6634</v>
      </c>
      <c r="H53" s="115"/>
      <c r="I53" s="115"/>
      <c r="L53" s="169">
        <v>42076</v>
      </c>
      <c r="M53" s="115">
        <v>230.35</v>
      </c>
      <c r="N53" s="115">
        <v>239</v>
      </c>
      <c r="O53" s="115">
        <v>228</v>
      </c>
      <c r="P53" s="115">
        <v>236.15</v>
      </c>
      <c r="Q53" s="115">
        <v>230.35</v>
      </c>
      <c r="R53">
        <v>55144</v>
      </c>
    </row>
    <row r="54" spans="1:18" x14ac:dyDescent="0.25">
      <c r="A54" s="169">
        <v>42079</v>
      </c>
      <c r="B54" s="115">
        <v>229.3</v>
      </c>
      <c r="C54" s="115">
        <v>225.9</v>
      </c>
      <c r="D54" s="115">
        <v>222.9</v>
      </c>
      <c r="E54" s="115">
        <v>229</v>
      </c>
      <c r="F54" s="115">
        <v>225.9</v>
      </c>
      <c r="G54">
        <v>10417</v>
      </c>
      <c r="H54" s="115"/>
      <c r="I54" s="115"/>
      <c r="L54" s="169">
        <v>42079</v>
      </c>
      <c r="M54" s="115">
        <v>226.15</v>
      </c>
      <c r="N54" s="115">
        <v>230.35</v>
      </c>
      <c r="O54" s="115">
        <v>222.3</v>
      </c>
      <c r="P54" s="115">
        <v>230</v>
      </c>
      <c r="Q54" s="115">
        <v>226.15</v>
      </c>
      <c r="R54">
        <v>23655</v>
      </c>
    </row>
    <row r="55" spans="1:18" x14ac:dyDescent="0.25">
      <c r="A55" s="169">
        <v>42080</v>
      </c>
      <c r="B55" s="115">
        <v>227</v>
      </c>
      <c r="C55" s="115">
        <v>225.2</v>
      </c>
      <c r="D55" s="115">
        <v>223.1</v>
      </c>
      <c r="E55" s="115">
        <v>225</v>
      </c>
      <c r="F55" s="115">
        <v>225.2</v>
      </c>
      <c r="G55">
        <v>17308</v>
      </c>
      <c r="H55" s="115"/>
      <c r="I55" s="115"/>
      <c r="L55" s="169">
        <v>42080</v>
      </c>
      <c r="M55" s="115">
        <v>225.15</v>
      </c>
      <c r="N55" s="115">
        <v>228.65</v>
      </c>
      <c r="O55" s="115">
        <v>223</v>
      </c>
      <c r="P55" s="115">
        <v>226</v>
      </c>
      <c r="Q55" s="115">
        <v>225.15</v>
      </c>
      <c r="R55">
        <v>29682</v>
      </c>
    </row>
    <row r="56" spans="1:18" x14ac:dyDescent="0.25">
      <c r="A56" s="169">
        <v>42081</v>
      </c>
      <c r="B56" s="115">
        <v>237</v>
      </c>
      <c r="C56" s="115">
        <v>235</v>
      </c>
      <c r="D56" s="115">
        <v>221</v>
      </c>
      <c r="E56" s="115">
        <v>224.3</v>
      </c>
      <c r="F56" s="115">
        <v>235</v>
      </c>
      <c r="G56">
        <v>16106</v>
      </c>
      <c r="H56" s="115"/>
      <c r="I56" s="115"/>
      <c r="L56" s="169">
        <v>42081</v>
      </c>
      <c r="M56" s="115">
        <v>235.05</v>
      </c>
      <c r="N56" s="115">
        <v>236.8</v>
      </c>
      <c r="O56" s="115">
        <v>224.25</v>
      </c>
      <c r="P56" s="115">
        <v>224.55</v>
      </c>
      <c r="Q56" s="115">
        <v>235.05</v>
      </c>
      <c r="R56">
        <v>44233</v>
      </c>
    </row>
    <row r="57" spans="1:18" x14ac:dyDescent="0.25">
      <c r="A57" s="169">
        <v>42082</v>
      </c>
      <c r="B57" s="115">
        <v>238.2</v>
      </c>
      <c r="C57" s="115">
        <v>232.9</v>
      </c>
      <c r="D57" s="115">
        <v>231.7</v>
      </c>
      <c r="E57" s="115">
        <v>235</v>
      </c>
      <c r="F57" s="115">
        <v>232.9</v>
      </c>
      <c r="G57">
        <v>6088</v>
      </c>
      <c r="H57" s="115"/>
      <c r="I57" s="115"/>
      <c r="L57" s="169">
        <v>42082</v>
      </c>
      <c r="M57" s="115">
        <v>233.25</v>
      </c>
      <c r="N57" s="115">
        <v>238.95</v>
      </c>
      <c r="O57" s="115">
        <v>231</v>
      </c>
      <c r="P57" s="115">
        <v>235.05</v>
      </c>
      <c r="Q57" s="115">
        <v>233.25</v>
      </c>
      <c r="R57">
        <v>23880</v>
      </c>
    </row>
    <row r="58" spans="1:18" x14ac:dyDescent="0.25">
      <c r="A58" s="169">
        <v>42083</v>
      </c>
      <c r="B58" s="115">
        <v>236</v>
      </c>
      <c r="C58" s="115">
        <v>232.1</v>
      </c>
      <c r="D58" s="115">
        <v>229</v>
      </c>
      <c r="E58" s="115">
        <v>232</v>
      </c>
      <c r="F58" s="115">
        <v>232.1</v>
      </c>
      <c r="G58">
        <v>9355</v>
      </c>
      <c r="H58" s="115"/>
      <c r="I58" s="115"/>
      <c r="L58" s="169">
        <v>42083</v>
      </c>
      <c r="M58" s="115">
        <v>232.65</v>
      </c>
      <c r="N58" s="115">
        <v>236</v>
      </c>
      <c r="O58" s="115">
        <v>224</v>
      </c>
      <c r="P58" s="115">
        <v>224</v>
      </c>
      <c r="Q58" s="115">
        <v>232.65</v>
      </c>
      <c r="R58">
        <v>25848</v>
      </c>
    </row>
    <row r="59" spans="1:18" x14ac:dyDescent="0.25">
      <c r="A59" s="169">
        <v>42086</v>
      </c>
      <c r="B59" s="115">
        <v>236.4</v>
      </c>
      <c r="C59" s="115">
        <v>228.4</v>
      </c>
      <c r="D59" s="115">
        <v>227</v>
      </c>
      <c r="E59" s="115">
        <v>231.5</v>
      </c>
      <c r="F59" s="115">
        <v>228.4</v>
      </c>
      <c r="G59">
        <v>5290</v>
      </c>
      <c r="H59" s="115"/>
      <c r="I59" s="115"/>
      <c r="L59" s="169">
        <v>42086</v>
      </c>
      <c r="M59" s="115">
        <v>229.55</v>
      </c>
      <c r="N59" s="115">
        <v>235.8</v>
      </c>
      <c r="O59" s="115">
        <v>227.2</v>
      </c>
      <c r="P59" s="115">
        <v>234</v>
      </c>
      <c r="Q59" s="115">
        <v>229.55</v>
      </c>
      <c r="R59">
        <v>19555</v>
      </c>
    </row>
    <row r="60" spans="1:18" x14ac:dyDescent="0.25">
      <c r="A60" s="169">
        <v>42087</v>
      </c>
      <c r="B60" s="115">
        <v>233</v>
      </c>
      <c r="C60" s="115">
        <v>231.6</v>
      </c>
      <c r="D60" s="115">
        <v>228.1</v>
      </c>
      <c r="E60" s="115">
        <v>228.1</v>
      </c>
      <c r="F60" s="115">
        <v>231.6</v>
      </c>
      <c r="G60">
        <v>4659</v>
      </c>
      <c r="H60" s="115"/>
      <c r="I60" s="115"/>
      <c r="L60" s="169">
        <v>42087</v>
      </c>
      <c r="M60" s="115">
        <v>230.9</v>
      </c>
      <c r="N60" s="115">
        <v>232.75</v>
      </c>
      <c r="O60" s="115">
        <v>229</v>
      </c>
      <c r="P60" s="115">
        <v>230</v>
      </c>
      <c r="Q60" s="115">
        <v>230.9</v>
      </c>
      <c r="R60">
        <v>9581</v>
      </c>
    </row>
    <row r="61" spans="1:18" x14ac:dyDescent="0.25">
      <c r="A61" s="169">
        <v>42088</v>
      </c>
      <c r="B61" s="115">
        <v>232</v>
      </c>
      <c r="C61" s="115">
        <v>229.8</v>
      </c>
      <c r="D61" s="115">
        <v>228.2</v>
      </c>
      <c r="E61" s="115">
        <v>230.1</v>
      </c>
      <c r="F61" s="115">
        <v>229.8</v>
      </c>
      <c r="G61">
        <v>3704</v>
      </c>
      <c r="H61" s="115"/>
      <c r="I61" s="115"/>
      <c r="L61" s="169">
        <v>42088</v>
      </c>
      <c r="M61" s="115">
        <v>228.75</v>
      </c>
      <c r="N61" s="115">
        <v>232.4</v>
      </c>
      <c r="O61" s="115">
        <v>227.1</v>
      </c>
      <c r="P61" s="115">
        <v>229.15</v>
      </c>
      <c r="Q61" s="115">
        <v>228.75</v>
      </c>
      <c r="R61">
        <v>28408</v>
      </c>
    </row>
    <row r="62" spans="1:18" x14ac:dyDescent="0.25">
      <c r="A62" s="169">
        <v>42089</v>
      </c>
      <c r="B62" s="115">
        <v>229</v>
      </c>
      <c r="C62" s="115">
        <v>225</v>
      </c>
      <c r="D62" s="115">
        <v>225</v>
      </c>
      <c r="E62" s="115">
        <v>227.4</v>
      </c>
      <c r="F62" s="115">
        <v>225</v>
      </c>
      <c r="G62">
        <v>6201</v>
      </c>
      <c r="H62" s="115"/>
      <c r="I62" s="115"/>
      <c r="L62" s="169">
        <v>42089</v>
      </c>
      <c r="M62" s="115">
        <v>225</v>
      </c>
      <c r="N62" s="115">
        <v>230</v>
      </c>
      <c r="O62" s="115">
        <v>220.05</v>
      </c>
      <c r="P62" s="115">
        <v>220.05</v>
      </c>
      <c r="Q62" s="115">
        <v>225</v>
      </c>
      <c r="R62">
        <v>38246</v>
      </c>
    </row>
    <row r="63" spans="1:18" x14ac:dyDescent="0.25">
      <c r="A63" s="169">
        <v>42090</v>
      </c>
      <c r="B63" s="115">
        <v>228.1</v>
      </c>
      <c r="C63" s="115">
        <v>223.7</v>
      </c>
      <c r="D63" s="115">
        <v>222.1</v>
      </c>
      <c r="E63" s="115">
        <v>224.2</v>
      </c>
      <c r="F63" s="115">
        <v>223.7</v>
      </c>
      <c r="G63">
        <v>2710</v>
      </c>
      <c r="H63" s="115"/>
      <c r="I63" s="115"/>
      <c r="L63" s="169">
        <v>42090</v>
      </c>
      <c r="M63" s="115">
        <v>222.25</v>
      </c>
      <c r="N63" s="115">
        <v>227.9</v>
      </c>
      <c r="O63" s="115">
        <v>221.15</v>
      </c>
      <c r="P63" s="115">
        <v>221.15</v>
      </c>
      <c r="Q63" s="115">
        <v>222.25</v>
      </c>
      <c r="R63">
        <v>13920</v>
      </c>
    </row>
    <row r="64" spans="1:18" x14ac:dyDescent="0.25">
      <c r="A64" s="169">
        <v>42093</v>
      </c>
      <c r="B64" s="115">
        <v>233.8</v>
      </c>
      <c r="C64" s="115">
        <v>231</v>
      </c>
      <c r="D64" s="115">
        <v>223</v>
      </c>
      <c r="E64" s="115">
        <v>223</v>
      </c>
      <c r="F64" s="115">
        <v>231</v>
      </c>
      <c r="G64">
        <v>1849</v>
      </c>
      <c r="H64" s="115"/>
      <c r="I64" s="115"/>
      <c r="L64" s="169">
        <v>42093</v>
      </c>
      <c r="M64" s="115">
        <v>232</v>
      </c>
      <c r="N64" s="115">
        <v>235</v>
      </c>
      <c r="O64" s="115">
        <v>215.1</v>
      </c>
      <c r="P64" s="115">
        <v>229.5</v>
      </c>
      <c r="Q64" s="115">
        <v>232</v>
      </c>
      <c r="R64">
        <v>10667</v>
      </c>
    </row>
    <row r="65" spans="1:18" x14ac:dyDescent="0.25">
      <c r="A65" s="169">
        <v>42094</v>
      </c>
      <c r="B65" s="115">
        <v>234</v>
      </c>
      <c r="C65" s="115">
        <v>231.1</v>
      </c>
      <c r="D65" s="115">
        <v>228.5</v>
      </c>
      <c r="E65" s="115">
        <v>232</v>
      </c>
      <c r="F65" s="115">
        <v>231.1</v>
      </c>
      <c r="G65">
        <v>3885</v>
      </c>
      <c r="H65" s="115"/>
      <c r="I65" s="115"/>
      <c r="L65" s="169">
        <v>42094</v>
      </c>
      <c r="M65" s="115">
        <v>232.1</v>
      </c>
      <c r="N65" s="115">
        <v>234.95</v>
      </c>
      <c r="O65" s="115">
        <v>227.05</v>
      </c>
      <c r="P65" s="115">
        <v>227.05</v>
      </c>
      <c r="Q65" s="115">
        <v>232.1</v>
      </c>
      <c r="R65">
        <v>15921</v>
      </c>
    </row>
    <row r="66" spans="1:18" x14ac:dyDescent="0.25">
      <c r="A66" s="169">
        <v>42095</v>
      </c>
      <c r="B66" s="115">
        <v>234.1</v>
      </c>
      <c r="C66" s="115">
        <v>229.2</v>
      </c>
      <c r="D66" s="115">
        <v>228.4</v>
      </c>
      <c r="E66" s="115">
        <v>233.9</v>
      </c>
      <c r="F66" s="115">
        <v>229.2</v>
      </c>
      <c r="G66">
        <v>5441</v>
      </c>
      <c r="H66" s="115"/>
      <c r="I66" s="115"/>
      <c r="L66" s="169">
        <v>42095</v>
      </c>
      <c r="M66" s="115">
        <v>231.15</v>
      </c>
      <c r="N66" s="115">
        <v>234.95</v>
      </c>
      <c r="O66" s="115">
        <v>228</v>
      </c>
      <c r="P66" s="115">
        <v>231.15</v>
      </c>
      <c r="Q66" s="115">
        <v>231.15</v>
      </c>
      <c r="R66">
        <v>24141</v>
      </c>
    </row>
    <row r="67" spans="1:18" x14ac:dyDescent="0.25">
      <c r="A67" s="169">
        <v>42100</v>
      </c>
      <c r="B67" s="115">
        <v>241</v>
      </c>
      <c r="C67" s="115">
        <v>232.6</v>
      </c>
      <c r="D67" s="115">
        <v>229.6</v>
      </c>
      <c r="E67" s="115">
        <v>229.6</v>
      </c>
      <c r="F67" s="115">
        <v>232.6</v>
      </c>
      <c r="G67">
        <v>11143</v>
      </c>
      <c r="H67" s="115"/>
      <c r="I67" s="115"/>
      <c r="L67" s="169">
        <v>42100</v>
      </c>
      <c r="M67" s="115">
        <v>233</v>
      </c>
      <c r="N67" s="115">
        <v>241</v>
      </c>
      <c r="O67" s="115">
        <v>229.6</v>
      </c>
      <c r="P67" s="115">
        <v>231.95</v>
      </c>
      <c r="Q67" s="115">
        <v>233</v>
      </c>
      <c r="R67">
        <v>51957</v>
      </c>
    </row>
    <row r="68" spans="1:18" x14ac:dyDescent="0.25">
      <c r="A68" s="169">
        <v>42101</v>
      </c>
      <c r="B68" s="115">
        <v>238</v>
      </c>
      <c r="C68" s="115">
        <v>235.1</v>
      </c>
      <c r="D68" s="115">
        <v>231.6</v>
      </c>
      <c r="E68" s="115">
        <v>236.9</v>
      </c>
      <c r="F68" s="115">
        <v>235.1</v>
      </c>
      <c r="G68">
        <v>7570</v>
      </c>
      <c r="H68" s="115"/>
      <c r="I68" s="115"/>
      <c r="L68" s="169">
        <v>42101</v>
      </c>
      <c r="M68" s="115">
        <v>235.9</v>
      </c>
      <c r="N68" s="115">
        <v>238.45</v>
      </c>
      <c r="O68" s="115">
        <v>233</v>
      </c>
      <c r="P68" s="115">
        <v>233</v>
      </c>
      <c r="Q68" s="115">
        <v>235.9</v>
      </c>
      <c r="R68">
        <v>10216</v>
      </c>
    </row>
    <row r="69" spans="1:18" x14ac:dyDescent="0.25">
      <c r="A69" s="169">
        <v>42102</v>
      </c>
      <c r="B69" s="115">
        <v>238.5</v>
      </c>
      <c r="C69" s="115">
        <v>233.5</v>
      </c>
      <c r="D69" s="115">
        <v>232.8</v>
      </c>
      <c r="E69" s="115">
        <v>237.2</v>
      </c>
      <c r="F69" s="115">
        <v>233.5</v>
      </c>
      <c r="G69">
        <v>6083</v>
      </c>
      <c r="H69" s="115"/>
      <c r="I69" s="115"/>
      <c r="L69" s="169">
        <v>42102</v>
      </c>
      <c r="M69" s="115">
        <v>233.95</v>
      </c>
      <c r="N69" s="115">
        <v>240.55</v>
      </c>
      <c r="O69" s="115">
        <v>233</v>
      </c>
      <c r="P69" s="115">
        <v>235.05</v>
      </c>
      <c r="Q69" s="115">
        <v>233.95</v>
      </c>
      <c r="R69">
        <v>26022</v>
      </c>
    </row>
    <row r="70" spans="1:18" x14ac:dyDescent="0.25">
      <c r="A70" s="169">
        <v>42103</v>
      </c>
      <c r="B70" s="115">
        <v>241</v>
      </c>
      <c r="C70" s="115">
        <v>240.6</v>
      </c>
      <c r="D70" s="115">
        <v>234.5</v>
      </c>
      <c r="E70" s="115">
        <v>236</v>
      </c>
      <c r="F70" s="115">
        <v>240.6</v>
      </c>
      <c r="G70">
        <v>1973</v>
      </c>
      <c r="H70" s="115"/>
      <c r="I70" s="115"/>
      <c r="L70" s="169">
        <v>42103</v>
      </c>
      <c r="M70" s="115">
        <v>239.5</v>
      </c>
      <c r="N70" s="115">
        <v>240.8</v>
      </c>
      <c r="O70" s="115">
        <v>234</v>
      </c>
      <c r="P70" s="115">
        <v>235</v>
      </c>
      <c r="Q70" s="115">
        <v>239.5</v>
      </c>
      <c r="R70">
        <v>22161</v>
      </c>
    </row>
    <row r="71" spans="1:18" x14ac:dyDescent="0.25">
      <c r="A71" s="169">
        <v>42104</v>
      </c>
      <c r="B71" s="115">
        <v>242.5</v>
      </c>
      <c r="C71" s="115">
        <v>240.3</v>
      </c>
      <c r="D71" s="115">
        <v>239</v>
      </c>
      <c r="E71" s="115">
        <v>239</v>
      </c>
      <c r="F71" s="115">
        <v>240.3</v>
      </c>
      <c r="G71">
        <v>8539</v>
      </c>
      <c r="H71" s="115"/>
      <c r="I71" s="115"/>
      <c r="L71" s="169">
        <v>42104</v>
      </c>
      <c r="M71" s="115">
        <v>239.8</v>
      </c>
      <c r="N71" s="115">
        <v>242.55</v>
      </c>
      <c r="O71" s="115">
        <v>236.55</v>
      </c>
      <c r="P71" s="115">
        <v>236.55</v>
      </c>
      <c r="Q71" s="115">
        <v>239.8</v>
      </c>
      <c r="R71">
        <v>26008</v>
      </c>
    </row>
    <row r="72" spans="1:18" x14ac:dyDescent="0.25">
      <c r="A72" s="169">
        <v>42107</v>
      </c>
      <c r="B72" s="115">
        <v>259.60000000000002</v>
      </c>
      <c r="C72" s="115">
        <v>256.10000000000002</v>
      </c>
      <c r="D72" s="115">
        <v>240</v>
      </c>
      <c r="E72" s="115">
        <v>240</v>
      </c>
      <c r="F72" s="115">
        <v>256.10000000000002</v>
      </c>
      <c r="G72">
        <v>34065</v>
      </c>
      <c r="H72" s="115"/>
      <c r="I72" s="115"/>
      <c r="L72" s="169">
        <v>42107</v>
      </c>
      <c r="M72" s="115">
        <v>255.25</v>
      </c>
      <c r="N72" s="115">
        <v>259.89999999999998</v>
      </c>
      <c r="O72" s="115">
        <v>242.6</v>
      </c>
      <c r="P72" s="115">
        <v>242.6</v>
      </c>
      <c r="Q72" s="115">
        <v>255.25</v>
      </c>
      <c r="R72">
        <v>136431</v>
      </c>
    </row>
    <row r="73" spans="1:18" x14ac:dyDescent="0.25">
      <c r="A73" s="169">
        <v>42109</v>
      </c>
      <c r="B73" s="115">
        <v>256.60000000000002</v>
      </c>
      <c r="C73" s="115">
        <v>248.6</v>
      </c>
      <c r="D73" s="115">
        <v>247.5</v>
      </c>
      <c r="E73" s="115">
        <v>256.39999999999998</v>
      </c>
      <c r="F73" s="115">
        <v>248.6</v>
      </c>
      <c r="G73">
        <v>14055</v>
      </c>
      <c r="H73" s="115"/>
      <c r="I73" s="115"/>
      <c r="L73" s="169">
        <v>42109</v>
      </c>
      <c r="M73" s="115">
        <v>248.85</v>
      </c>
      <c r="N73" s="115">
        <v>256.85000000000002</v>
      </c>
      <c r="O73" s="115">
        <v>248.2</v>
      </c>
      <c r="P73" s="115">
        <v>255.25</v>
      </c>
      <c r="Q73" s="115">
        <v>248.85</v>
      </c>
      <c r="R73">
        <v>44602</v>
      </c>
    </row>
    <row r="74" spans="1:18" x14ac:dyDescent="0.25">
      <c r="A74" s="169">
        <v>42110</v>
      </c>
      <c r="B74" s="115">
        <v>254.4</v>
      </c>
      <c r="C74" s="115">
        <v>248.6</v>
      </c>
      <c r="D74" s="115">
        <v>247.3</v>
      </c>
      <c r="E74" s="115">
        <v>252</v>
      </c>
      <c r="F74" s="115">
        <v>248.6</v>
      </c>
      <c r="G74">
        <v>3759</v>
      </c>
      <c r="H74" s="115"/>
      <c r="I74" s="115"/>
      <c r="L74" s="169">
        <v>42110</v>
      </c>
      <c r="M74" s="115">
        <v>248.75</v>
      </c>
      <c r="N74" s="115">
        <v>253.85</v>
      </c>
      <c r="O74" s="115">
        <v>248.1</v>
      </c>
      <c r="P74" s="115">
        <v>250.05</v>
      </c>
      <c r="Q74" s="115">
        <v>248.75</v>
      </c>
      <c r="R74">
        <v>36217</v>
      </c>
    </row>
    <row r="75" spans="1:18" x14ac:dyDescent="0.25">
      <c r="A75" s="169">
        <v>42111</v>
      </c>
      <c r="B75" s="115">
        <v>248.5</v>
      </c>
      <c r="C75" s="115">
        <v>244.8</v>
      </c>
      <c r="D75" s="115">
        <v>244.2</v>
      </c>
      <c r="E75" s="115">
        <v>248</v>
      </c>
      <c r="F75" s="115">
        <v>244.8</v>
      </c>
      <c r="G75">
        <v>1866</v>
      </c>
      <c r="H75" s="115"/>
      <c r="I75" s="115"/>
      <c r="L75" s="169">
        <v>42111</v>
      </c>
      <c r="M75" s="115">
        <v>246.05</v>
      </c>
      <c r="N75" s="115">
        <v>249.7</v>
      </c>
      <c r="O75" s="115">
        <v>245.2</v>
      </c>
      <c r="P75" s="115">
        <v>245.2</v>
      </c>
      <c r="Q75" s="115">
        <v>246.05</v>
      </c>
      <c r="R75">
        <v>12588</v>
      </c>
    </row>
    <row r="76" spans="1:18" x14ac:dyDescent="0.25">
      <c r="A76" s="169">
        <v>42114</v>
      </c>
      <c r="B76" s="115">
        <v>245</v>
      </c>
      <c r="C76" s="115">
        <v>241.4</v>
      </c>
      <c r="D76" s="115">
        <v>240.1</v>
      </c>
      <c r="E76" s="115">
        <v>244</v>
      </c>
      <c r="F76" s="115">
        <v>241.4</v>
      </c>
      <c r="G76">
        <v>15504</v>
      </c>
      <c r="H76" s="115"/>
      <c r="I76" s="115"/>
      <c r="L76" s="169">
        <v>42114</v>
      </c>
      <c r="M76" s="115">
        <v>241.15</v>
      </c>
      <c r="N76" s="115">
        <v>248.9</v>
      </c>
      <c r="O76" s="115">
        <v>239.1</v>
      </c>
      <c r="P76" s="115">
        <v>246.3</v>
      </c>
      <c r="Q76" s="115">
        <v>241.15</v>
      </c>
      <c r="R76">
        <v>42587</v>
      </c>
    </row>
    <row r="77" spans="1:18" x14ac:dyDescent="0.25">
      <c r="A77" s="169">
        <v>42115</v>
      </c>
      <c r="B77" s="115">
        <v>247.8</v>
      </c>
      <c r="C77" s="115">
        <v>244.5</v>
      </c>
      <c r="D77" s="115">
        <v>240</v>
      </c>
      <c r="E77" s="115">
        <v>245</v>
      </c>
      <c r="F77" s="115">
        <v>244.5</v>
      </c>
      <c r="G77">
        <v>4131</v>
      </c>
      <c r="H77" s="115"/>
      <c r="I77" s="115"/>
      <c r="L77" s="169">
        <v>42115</v>
      </c>
      <c r="M77" s="115">
        <v>244.35</v>
      </c>
      <c r="N77" s="115">
        <v>246.6</v>
      </c>
      <c r="O77" s="115">
        <v>235.15</v>
      </c>
      <c r="P77" s="115">
        <v>235.15</v>
      </c>
      <c r="Q77" s="115">
        <v>244.35</v>
      </c>
      <c r="R77">
        <v>17841</v>
      </c>
    </row>
    <row r="78" spans="1:18" x14ac:dyDescent="0.25">
      <c r="A78" s="169">
        <v>42116</v>
      </c>
      <c r="B78" s="115">
        <v>248.5</v>
      </c>
      <c r="C78" s="115">
        <v>239.8</v>
      </c>
      <c r="D78" s="115">
        <v>238.9</v>
      </c>
      <c r="E78" s="115">
        <v>247</v>
      </c>
      <c r="F78" s="115">
        <v>239.8</v>
      </c>
      <c r="G78">
        <v>7033</v>
      </c>
      <c r="H78" s="115"/>
      <c r="I78" s="115"/>
      <c r="L78" s="169">
        <v>42116</v>
      </c>
      <c r="M78" s="115">
        <v>241</v>
      </c>
      <c r="N78" s="115">
        <v>248.3</v>
      </c>
      <c r="O78" s="115">
        <v>239.1</v>
      </c>
      <c r="P78" s="115">
        <v>242.85</v>
      </c>
      <c r="Q78" s="115">
        <v>241</v>
      </c>
      <c r="R78">
        <v>20494</v>
      </c>
    </row>
    <row r="79" spans="1:18" x14ac:dyDescent="0.25">
      <c r="A79" s="169">
        <v>42117</v>
      </c>
      <c r="B79" s="115">
        <v>245</v>
      </c>
      <c r="C79" s="115">
        <v>236.1</v>
      </c>
      <c r="D79" s="115">
        <v>235</v>
      </c>
      <c r="E79" s="115">
        <v>240.4</v>
      </c>
      <c r="F79" s="115">
        <v>236.1</v>
      </c>
      <c r="G79">
        <v>16342</v>
      </c>
      <c r="H79" s="115"/>
      <c r="I79" s="115"/>
      <c r="L79" s="169">
        <v>42117</v>
      </c>
      <c r="M79" s="115">
        <v>237.15</v>
      </c>
      <c r="N79" s="115">
        <v>246</v>
      </c>
      <c r="O79" s="115">
        <v>235.5</v>
      </c>
      <c r="P79" s="115">
        <v>242</v>
      </c>
      <c r="Q79" s="115">
        <v>237.15</v>
      </c>
      <c r="R79">
        <v>25359</v>
      </c>
    </row>
    <row r="80" spans="1:18" x14ac:dyDescent="0.25">
      <c r="A80" s="169">
        <v>42118</v>
      </c>
      <c r="B80" s="115">
        <v>236.6</v>
      </c>
      <c r="C80" s="115">
        <v>228.7</v>
      </c>
      <c r="D80" s="115">
        <v>227.9</v>
      </c>
      <c r="E80" s="115">
        <v>235.2</v>
      </c>
      <c r="F80" s="115">
        <v>228.7</v>
      </c>
      <c r="G80">
        <v>3063</v>
      </c>
      <c r="H80" s="115"/>
      <c r="I80" s="115"/>
      <c r="L80" s="169">
        <v>42118</v>
      </c>
      <c r="M80" s="115">
        <v>228.55</v>
      </c>
      <c r="N80" s="115">
        <v>238.85</v>
      </c>
      <c r="O80" s="115">
        <v>228</v>
      </c>
      <c r="P80" s="115">
        <v>238.7</v>
      </c>
      <c r="Q80" s="115">
        <v>228.55</v>
      </c>
      <c r="R80">
        <v>25253</v>
      </c>
    </row>
    <row r="81" spans="1:18" x14ac:dyDescent="0.25">
      <c r="A81" s="169">
        <v>42121</v>
      </c>
      <c r="B81" s="115">
        <v>229.5</v>
      </c>
      <c r="C81" s="115">
        <v>218.2</v>
      </c>
      <c r="D81" s="115">
        <v>216</v>
      </c>
      <c r="E81" s="115">
        <v>229.5</v>
      </c>
      <c r="F81" s="115">
        <v>218.2</v>
      </c>
      <c r="G81">
        <v>4721</v>
      </c>
      <c r="H81" s="115"/>
      <c r="I81" s="115"/>
      <c r="L81" s="169">
        <v>42121</v>
      </c>
      <c r="M81" s="115">
        <v>217.4</v>
      </c>
      <c r="N81" s="115">
        <v>230</v>
      </c>
      <c r="O81" s="115">
        <v>216</v>
      </c>
      <c r="P81" s="115">
        <v>230</v>
      </c>
      <c r="Q81" s="115">
        <v>217.4</v>
      </c>
      <c r="R81">
        <v>44117</v>
      </c>
    </row>
    <row r="82" spans="1:18" x14ac:dyDescent="0.25">
      <c r="A82" s="169">
        <v>42122</v>
      </c>
      <c r="B82" s="115">
        <v>224.7</v>
      </c>
      <c r="C82" s="115">
        <v>222.9</v>
      </c>
      <c r="D82" s="115">
        <v>213.9</v>
      </c>
      <c r="E82" s="115">
        <v>218.5</v>
      </c>
      <c r="F82" s="115">
        <v>222.9</v>
      </c>
      <c r="G82">
        <v>3228</v>
      </c>
      <c r="H82" s="115"/>
      <c r="I82" s="115"/>
      <c r="L82" s="169">
        <v>42122</v>
      </c>
      <c r="M82" s="115">
        <v>222.9</v>
      </c>
      <c r="N82" s="115">
        <v>224</v>
      </c>
      <c r="O82" s="115">
        <v>210.3</v>
      </c>
      <c r="P82" s="115">
        <v>210.3</v>
      </c>
      <c r="Q82" s="115">
        <v>222.9</v>
      </c>
      <c r="R82">
        <v>27152</v>
      </c>
    </row>
    <row r="83" spans="1:18" x14ac:dyDescent="0.25">
      <c r="A83" s="169">
        <v>42123</v>
      </c>
      <c r="B83" s="115">
        <v>224.5</v>
      </c>
      <c r="C83" s="115">
        <v>219.8</v>
      </c>
      <c r="D83" s="115">
        <v>219.7</v>
      </c>
      <c r="E83" s="115">
        <v>221</v>
      </c>
      <c r="F83" s="115">
        <v>219.8</v>
      </c>
      <c r="G83">
        <v>2904</v>
      </c>
      <c r="H83" s="115"/>
      <c r="I83" s="115"/>
      <c r="L83" s="169">
        <v>42123</v>
      </c>
      <c r="M83" s="115">
        <v>220.1</v>
      </c>
      <c r="N83" s="115">
        <v>225</v>
      </c>
      <c r="O83" s="115">
        <v>218</v>
      </c>
      <c r="P83" s="115">
        <v>221</v>
      </c>
      <c r="Q83" s="115">
        <v>220.1</v>
      </c>
      <c r="R83">
        <v>36406</v>
      </c>
    </row>
    <row r="84" spans="1:18" x14ac:dyDescent="0.25">
      <c r="A84" s="169">
        <v>42124</v>
      </c>
      <c r="B84" s="115">
        <v>225</v>
      </c>
      <c r="C84" s="115">
        <v>222.7</v>
      </c>
      <c r="D84" s="115">
        <v>218.5</v>
      </c>
      <c r="E84" s="115">
        <v>219</v>
      </c>
      <c r="F84" s="115">
        <v>222.7</v>
      </c>
      <c r="G84">
        <v>4631</v>
      </c>
      <c r="H84" s="115"/>
      <c r="I84" s="115"/>
      <c r="L84" s="169">
        <v>42124</v>
      </c>
      <c r="M84" s="115">
        <v>221.75</v>
      </c>
      <c r="N84" s="115">
        <v>224</v>
      </c>
      <c r="O84" s="115">
        <v>217.55</v>
      </c>
      <c r="P84" s="115">
        <v>219.4</v>
      </c>
      <c r="Q84" s="115">
        <v>221.75</v>
      </c>
      <c r="R84">
        <v>11833</v>
      </c>
    </row>
    <row r="85" spans="1:18" x14ac:dyDescent="0.25">
      <c r="A85" s="169">
        <v>42128</v>
      </c>
      <c r="B85" s="115">
        <v>231</v>
      </c>
      <c r="C85" s="115">
        <v>229.9</v>
      </c>
      <c r="D85" s="115">
        <v>225.1</v>
      </c>
      <c r="E85" s="115">
        <v>225.3</v>
      </c>
      <c r="F85" s="115">
        <v>229.9</v>
      </c>
      <c r="G85">
        <v>1908</v>
      </c>
      <c r="H85" s="115"/>
      <c r="I85" s="115"/>
      <c r="L85" s="169">
        <v>42128</v>
      </c>
      <c r="M85" s="115">
        <v>231</v>
      </c>
      <c r="N85" s="115">
        <v>232</v>
      </c>
      <c r="O85" s="115">
        <v>223.3</v>
      </c>
      <c r="P85" s="115">
        <v>223.3</v>
      </c>
      <c r="Q85" s="115">
        <v>231</v>
      </c>
      <c r="R85">
        <v>9167</v>
      </c>
    </row>
    <row r="86" spans="1:18" x14ac:dyDescent="0.25">
      <c r="A86" s="169">
        <v>42129</v>
      </c>
      <c r="B86" s="115">
        <v>236.5</v>
      </c>
      <c r="C86" s="115">
        <v>231</v>
      </c>
      <c r="D86" s="115">
        <v>230</v>
      </c>
      <c r="E86" s="115">
        <v>231.8</v>
      </c>
      <c r="F86" s="115">
        <v>231</v>
      </c>
      <c r="G86">
        <v>2736</v>
      </c>
      <c r="H86" s="115"/>
      <c r="I86" s="115"/>
      <c r="L86" s="169">
        <v>42129</v>
      </c>
      <c r="M86" s="115">
        <v>232.45</v>
      </c>
      <c r="N86" s="115">
        <v>237</v>
      </c>
      <c r="O86" s="115">
        <v>230.65</v>
      </c>
      <c r="P86" s="115">
        <v>231.6</v>
      </c>
      <c r="Q86" s="115">
        <v>232.45</v>
      </c>
      <c r="R86">
        <v>10243</v>
      </c>
    </row>
    <row r="87" spans="1:18" x14ac:dyDescent="0.25">
      <c r="A87" s="169">
        <v>42130</v>
      </c>
      <c r="B87" s="115">
        <v>232</v>
      </c>
      <c r="C87" s="115">
        <v>229.9</v>
      </c>
      <c r="D87" s="115">
        <v>222.4</v>
      </c>
      <c r="E87" s="115">
        <v>231.3</v>
      </c>
      <c r="F87" s="115">
        <v>229.9</v>
      </c>
      <c r="G87">
        <v>2079</v>
      </c>
      <c r="H87" s="115"/>
      <c r="I87" s="115"/>
      <c r="L87" s="169">
        <v>42130</v>
      </c>
      <c r="M87" s="115">
        <v>230.15</v>
      </c>
      <c r="N87" s="115">
        <v>235.85</v>
      </c>
      <c r="O87" s="115">
        <v>221.1</v>
      </c>
      <c r="P87" s="115">
        <v>230.35</v>
      </c>
      <c r="Q87" s="115">
        <v>230.15</v>
      </c>
      <c r="R87">
        <v>21996</v>
      </c>
    </row>
    <row r="88" spans="1:18" x14ac:dyDescent="0.25">
      <c r="A88" s="169">
        <v>42131</v>
      </c>
      <c r="B88" s="115">
        <v>232.6</v>
      </c>
      <c r="C88" s="115">
        <v>223.9</v>
      </c>
      <c r="D88" s="115">
        <v>220</v>
      </c>
      <c r="E88" s="115">
        <v>229.9</v>
      </c>
      <c r="F88" s="115">
        <v>223.9</v>
      </c>
      <c r="G88">
        <v>5397</v>
      </c>
      <c r="H88" s="115"/>
      <c r="I88" s="115"/>
      <c r="L88" s="169">
        <v>42131</v>
      </c>
      <c r="M88" s="115">
        <v>223.2</v>
      </c>
      <c r="N88" s="115">
        <v>235.25</v>
      </c>
      <c r="O88" s="115">
        <v>219.75</v>
      </c>
      <c r="P88" s="115">
        <v>228</v>
      </c>
      <c r="Q88" s="115">
        <v>223.2</v>
      </c>
      <c r="R88">
        <v>32056</v>
      </c>
    </row>
    <row r="89" spans="1:18" x14ac:dyDescent="0.25">
      <c r="A89" s="169">
        <v>42132</v>
      </c>
      <c r="B89" s="115">
        <v>231.5</v>
      </c>
      <c r="C89" s="115">
        <v>228.2</v>
      </c>
      <c r="D89" s="115">
        <v>222.2</v>
      </c>
      <c r="E89" s="115">
        <v>227.7</v>
      </c>
      <c r="F89" s="115">
        <v>228.2</v>
      </c>
      <c r="G89">
        <v>1401</v>
      </c>
      <c r="H89" s="115"/>
      <c r="I89" s="115"/>
      <c r="L89" s="169">
        <v>42132</v>
      </c>
      <c r="M89" s="115">
        <v>227.8</v>
      </c>
      <c r="N89" s="115">
        <v>232.1</v>
      </c>
      <c r="O89" s="115">
        <v>222.65</v>
      </c>
      <c r="P89" s="115">
        <v>230</v>
      </c>
      <c r="Q89" s="115">
        <v>227.8</v>
      </c>
      <c r="R89">
        <v>17951</v>
      </c>
    </row>
    <row r="90" spans="1:18" x14ac:dyDescent="0.25">
      <c r="A90" s="169">
        <v>42135</v>
      </c>
      <c r="B90" s="115">
        <v>238.9</v>
      </c>
      <c r="C90" s="115">
        <v>235.7</v>
      </c>
      <c r="D90" s="115">
        <v>227.2</v>
      </c>
      <c r="E90" s="115">
        <v>230</v>
      </c>
      <c r="F90" s="115">
        <v>235.7</v>
      </c>
      <c r="G90">
        <v>9263</v>
      </c>
      <c r="H90" s="115"/>
      <c r="I90" s="115"/>
      <c r="L90" s="169">
        <v>42135</v>
      </c>
      <c r="M90" s="115">
        <v>235.95</v>
      </c>
      <c r="N90" s="115">
        <v>238.9</v>
      </c>
      <c r="O90" s="115">
        <v>227.8</v>
      </c>
      <c r="P90" s="115">
        <v>231.9</v>
      </c>
      <c r="Q90" s="115">
        <v>235.95</v>
      </c>
      <c r="R90">
        <v>25837</v>
      </c>
    </row>
    <row r="91" spans="1:18" x14ac:dyDescent="0.25">
      <c r="A91" s="169">
        <v>42136</v>
      </c>
      <c r="B91" s="115">
        <v>236.2</v>
      </c>
      <c r="C91" s="115">
        <v>235.7</v>
      </c>
      <c r="D91" s="115">
        <v>232.2</v>
      </c>
      <c r="E91" s="115">
        <v>234.6</v>
      </c>
      <c r="F91" s="115">
        <v>235.7</v>
      </c>
      <c r="G91">
        <v>725</v>
      </c>
      <c r="H91" s="115"/>
      <c r="I91" s="115"/>
      <c r="L91" s="169">
        <v>42136</v>
      </c>
      <c r="M91" s="115">
        <v>236.15</v>
      </c>
      <c r="N91" s="115">
        <v>238.25</v>
      </c>
      <c r="O91" s="115">
        <v>233.05</v>
      </c>
      <c r="P91" s="115">
        <v>233.2</v>
      </c>
      <c r="Q91" s="115">
        <v>236.15</v>
      </c>
      <c r="R91">
        <v>25835</v>
      </c>
    </row>
    <row r="92" spans="1:18" x14ac:dyDescent="0.25">
      <c r="A92" s="169">
        <v>42137</v>
      </c>
      <c r="B92" s="115">
        <v>240</v>
      </c>
      <c r="C92" s="115">
        <v>233.3</v>
      </c>
      <c r="D92" s="115">
        <v>231.5</v>
      </c>
      <c r="E92" s="115">
        <v>240</v>
      </c>
      <c r="F92" s="115">
        <v>233.3</v>
      </c>
      <c r="G92">
        <v>1257</v>
      </c>
      <c r="H92" s="115"/>
      <c r="I92" s="115"/>
      <c r="L92" s="169">
        <v>42137</v>
      </c>
      <c r="M92" s="115">
        <v>233.55</v>
      </c>
      <c r="N92" s="115">
        <v>240.75</v>
      </c>
      <c r="O92" s="115">
        <v>231</v>
      </c>
      <c r="P92" s="115">
        <v>231</v>
      </c>
      <c r="Q92" s="115">
        <v>233.55</v>
      </c>
      <c r="R92">
        <v>27405</v>
      </c>
    </row>
    <row r="93" spans="1:18" x14ac:dyDescent="0.25">
      <c r="A93" s="169">
        <v>42138</v>
      </c>
      <c r="B93" s="115">
        <v>236.6</v>
      </c>
      <c r="C93" s="115">
        <v>233.9</v>
      </c>
      <c r="D93" s="115">
        <v>233</v>
      </c>
      <c r="E93" s="115">
        <v>233.2</v>
      </c>
      <c r="F93" s="115">
        <v>233.9</v>
      </c>
      <c r="G93">
        <v>1232</v>
      </c>
      <c r="H93" s="115"/>
      <c r="I93" s="115"/>
      <c r="L93" s="169">
        <v>42138</v>
      </c>
      <c r="M93" s="115">
        <v>234.9</v>
      </c>
      <c r="N93" s="115">
        <v>238.95</v>
      </c>
      <c r="O93" s="115">
        <v>231.3</v>
      </c>
      <c r="P93" s="115">
        <v>232.05</v>
      </c>
      <c r="Q93" s="115">
        <v>234.9</v>
      </c>
      <c r="R93">
        <v>4763</v>
      </c>
    </row>
    <row r="94" spans="1:18" x14ac:dyDescent="0.25">
      <c r="A94" s="169">
        <v>42139</v>
      </c>
      <c r="B94" s="115">
        <v>241</v>
      </c>
      <c r="C94" s="115">
        <v>240.2</v>
      </c>
      <c r="D94" s="115">
        <v>236.4</v>
      </c>
      <c r="E94" s="115">
        <v>237</v>
      </c>
      <c r="F94" s="115">
        <v>240.2</v>
      </c>
      <c r="G94">
        <v>3407</v>
      </c>
      <c r="H94" s="115"/>
      <c r="I94" s="115"/>
      <c r="L94" s="169">
        <v>42139</v>
      </c>
      <c r="M94" s="115">
        <v>240.35</v>
      </c>
      <c r="N94" s="115">
        <v>242</v>
      </c>
      <c r="O94" s="115">
        <v>235.1</v>
      </c>
      <c r="P94" s="115">
        <v>235.1</v>
      </c>
      <c r="Q94" s="115">
        <v>240.35</v>
      </c>
      <c r="R94">
        <v>16412</v>
      </c>
    </row>
    <row r="95" spans="1:18" x14ac:dyDescent="0.25">
      <c r="A95" s="169">
        <v>42142</v>
      </c>
      <c r="B95" s="115">
        <v>242.5</v>
      </c>
      <c r="C95" s="115">
        <v>237.5</v>
      </c>
      <c r="D95" s="115">
        <v>237</v>
      </c>
      <c r="E95" s="115">
        <v>241</v>
      </c>
      <c r="F95" s="115">
        <v>237.5</v>
      </c>
      <c r="G95">
        <v>2951</v>
      </c>
      <c r="H95" s="115"/>
      <c r="I95" s="115"/>
      <c r="L95" s="169">
        <v>42142</v>
      </c>
      <c r="M95" s="115">
        <v>237.8</v>
      </c>
      <c r="N95" s="115">
        <v>243.8</v>
      </c>
      <c r="O95" s="115">
        <v>236.65</v>
      </c>
      <c r="P95" s="115">
        <v>238.35</v>
      </c>
      <c r="Q95" s="115">
        <v>237.8</v>
      </c>
      <c r="R95">
        <v>8059</v>
      </c>
    </row>
    <row r="96" spans="1:18" x14ac:dyDescent="0.25">
      <c r="A96" s="169">
        <v>42143</v>
      </c>
      <c r="B96" s="115">
        <v>240.5</v>
      </c>
      <c r="C96" s="115">
        <v>235.2</v>
      </c>
      <c r="D96" s="115">
        <v>234.4</v>
      </c>
      <c r="E96" s="115">
        <v>239.4</v>
      </c>
      <c r="F96" s="115">
        <v>235.2</v>
      </c>
      <c r="G96">
        <v>1953</v>
      </c>
      <c r="H96" s="115"/>
      <c r="I96" s="115"/>
      <c r="L96" s="169">
        <v>42143</v>
      </c>
      <c r="M96" s="115">
        <v>236.95</v>
      </c>
      <c r="N96" s="115">
        <v>241.9</v>
      </c>
      <c r="O96" s="115">
        <v>235.25</v>
      </c>
      <c r="P96" s="115">
        <v>236.15</v>
      </c>
      <c r="Q96" s="115">
        <v>236.95</v>
      </c>
      <c r="R96">
        <v>8627</v>
      </c>
    </row>
    <row r="97" spans="1:18" x14ac:dyDescent="0.25">
      <c r="A97" s="169">
        <v>42144</v>
      </c>
      <c r="B97" s="115">
        <v>242</v>
      </c>
      <c r="C97" s="115">
        <v>239.6</v>
      </c>
      <c r="D97" s="115">
        <v>238</v>
      </c>
      <c r="E97" s="115">
        <v>240</v>
      </c>
      <c r="F97" s="115">
        <v>239.6</v>
      </c>
      <c r="G97">
        <v>2552</v>
      </c>
      <c r="H97" s="115"/>
      <c r="I97" s="115"/>
      <c r="L97" s="169">
        <v>42144</v>
      </c>
      <c r="M97" s="115">
        <v>240.25</v>
      </c>
      <c r="N97" s="115">
        <v>241.9</v>
      </c>
      <c r="O97" s="115">
        <v>235.4</v>
      </c>
      <c r="P97" s="115">
        <v>236.1</v>
      </c>
      <c r="Q97" s="115">
        <v>240.25</v>
      </c>
      <c r="R97">
        <v>11636</v>
      </c>
    </row>
    <row r="98" spans="1:18" x14ac:dyDescent="0.25">
      <c r="A98" s="169">
        <v>42145</v>
      </c>
      <c r="B98" s="115">
        <v>239.4</v>
      </c>
      <c r="C98" s="115">
        <v>238</v>
      </c>
      <c r="D98" s="115">
        <v>236.3</v>
      </c>
      <c r="E98" s="115">
        <v>239.4</v>
      </c>
      <c r="F98" s="115">
        <v>238</v>
      </c>
      <c r="G98">
        <v>641</v>
      </c>
      <c r="H98" s="115"/>
      <c r="I98" s="115"/>
      <c r="L98" s="169">
        <v>42145</v>
      </c>
      <c r="M98" s="115">
        <v>237.75</v>
      </c>
      <c r="N98" s="115">
        <v>242.3</v>
      </c>
      <c r="O98" s="115">
        <v>235.65</v>
      </c>
      <c r="P98" s="115">
        <v>239.8</v>
      </c>
      <c r="Q98" s="115">
        <v>237.75</v>
      </c>
      <c r="R98">
        <v>14595</v>
      </c>
    </row>
    <row r="99" spans="1:18" x14ac:dyDescent="0.25">
      <c r="A99" s="169">
        <v>42146</v>
      </c>
      <c r="B99" s="115">
        <v>240</v>
      </c>
      <c r="C99" s="115">
        <v>237.7</v>
      </c>
      <c r="D99" s="115">
        <v>232.9</v>
      </c>
      <c r="E99" s="115">
        <v>236.1</v>
      </c>
      <c r="F99" s="115">
        <v>237.7</v>
      </c>
      <c r="G99">
        <v>5747</v>
      </c>
      <c r="H99" s="115"/>
      <c r="I99" s="115"/>
      <c r="L99" s="169">
        <v>42146</v>
      </c>
      <c r="M99" s="115">
        <v>237.2</v>
      </c>
      <c r="N99" s="115">
        <v>239</v>
      </c>
      <c r="O99" s="115">
        <v>233</v>
      </c>
      <c r="P99" s="115">
        <v>238</v>
      </c>
      <c r="Q99" s="115">
        <v>237.2</v>
      </c>
      <c r="R99">
        <v>57558</v>
      </c>
    </row>
    <row r="100" spans="1:18" x14ac:dyDescent="0.25">
      <c r="A100" s="169">
        <v>42149</v>
      </c>
      <c r="B100" s="115">
        <v>241.7</v>
      </c>
      <c r="C100" s="115">
        <v>237.3</v>
      </c>
      <c r="D100" s="115">
        <v>234.3</v>
      </c>
      <c r="E100" s="115">
        <v>234.3</v>
      </c>
      <c r="F100" s="115">
        <v>237.3</v>
      </c>
      <c r="G100">
        <v>378</v>
      </c>
      <c r="H100" s="115"/>
      <c r="I100" s="115"/>
      <c r="L100" s="169">
        <v>42149</v>
      </c>
      <c r="M100" s="115">
        <v>236.6</v>
      </c>
      <c r="N100" s="115">
        <v>241</v>
      </c>
      <c r="O100" s="115">
        <v>234.95</v>
      </c>
      <c r="P100" s="115">
        <v>236</v>
      </c>
      <c r="Q100" s="115">
        <v>236.6</v>
      </c>
      <c r="R100">
        <v>14050</v>
      </c>
    </row>
    <row r="101" spans="1:18" x14ac:dyDescent="0.25">
      <c r="A101" s="169">
        <v>42150</v>
      </c>
      <c r="B101" s="115">
        <v>243</v>
      </c>
      <c r="C101" s="115">
        <v>238.1</v>
      </c>
      <c r="D101" s="115">
        <v>237</v>
      </c>
      <c r="E101" s="115">
        <v>239.9</v>
      </c>
      <c r="F101" s="115">
        <v>238.1</v>
      </c>
      <c r="G101">
        <v>1374</v>
      </c>
      <c r="H101" s="115"/>
      <c r="I101" s="115"/>
      <c r="L101" s="169">
        <v>42150</v>
      </c>
      <c r="M101" s="115">
        <v>239.1</v>
      </c>
      <c r="N101" s="115">
        <v>243.75</v>
      </c>
      <c r="O101" s="115">
        <v>236.95</v>
      </c>
      <c r="P101" s="115">
        <v>237.05</v>
      </c>
      <c r="Q101" s="115">
        <v>239.1</v>
      </c>
      <c r="R101">
        <v>18595</v>
      </c>
    </row>
    <row r="102" spans="1:18" x14ac:dyDescent="0.25">
      <c r="A102" s="169">
        <v>42151</v>
      </c>
      <c r="B102" s="115">
        <v>238</v>
      </c>
      <c r="C102" s="115">
        <v>235</v>
      </c>
      <c r="D102" s="115">
        <v>234</v>
      </c>
      <c r="E102" s="115">
        <v>236</v>
      </c>
      <c r="F102" s="115">
        <v>235</v>
      </c>
      <c r="G102">
        <v>1125</v>
      </c>
      <c r="H102" s="115"/>
      <c r="I102" s="115"/>
      <c r="L102" s="169">
        <v>42151</v>
      </c>
      <c r="M102" s="115">
        <v>236</v>
      </c>
      <c r="N102" s="115">
        <v>239.45</v>
      </c>
      <c r="O102" s="115">
        <v>234.6</v>
      </c>
      <c r="P102" s="115">
        <v>239.1</v>
      </c>
      <c r="Q102" s="115">
        <v>236</v>
      </c>
      <c r="R102">
        <v>12948</v>
      </c>
    </row>
    <row r="103" spans="1:18" x14ac:dyDescent="0.25">
      <c r="A103" s="169">
        <v>42152</v>
      </c>
      <c r="B103" s="115">
        <v>238</v>
      </c>
      <c r="C103" s="115">
        <v>234.1</v>
      </c>
      <c r="D103" s="115">
        <v>233</v>
      </c>
      <c r="E103" s="115">
        <v>237.9</v>
      </c>
      <c r="F103" s="115">
        <v>234.1</v>
      </c>
      <c r="G103">
        <v>1127</v>
      </c>
      <c r="H103" s="115"/>
      <c r="I103" s="115"/>
      <c r="L103" s="169">
        <v>42152</v>
      </c>
      <c r="M103" s="115">
        <v>234.45</v>
      </c>
      <c r="N103" s="115">
        <v>237.75</v>
      </c>
      <c r="O103" s="115">
        <v>232.95</v>
      </c>
      <c r="P103" s="115">
        <v>237.7</v>
      </c>
      <c r="Q103" s="115">
        <v>234.45</v>
      </c>
      <c r="R103">
        <v>10160</v>
      </c>
    </row>
    <row r="104" spans="1:18" x14ac:dyDescent="0.25">
      <c r="A104" s="169">
        <v>42153</v>
      </c>
      <c r="B104" s="115">
        <v>237.5</v>
      </c>
      <c r="C104" s="115">
        <v>228.4</v>
      </c>
      <c r="D104" s="115">
        <v>228</v>
      </c>
      <c r="E104" s="115">
        <v>234</v>
      </c>
      <c r="F104" s="115">
        <v>228.4</v>
      </c>
      <c r="G104">
        <v>1646</v>
      </c>
      <c r="H104" s="115"/>
      <c r="I104" s="115"/>
      <c r="L104" s="169">
        <v>42153</v>
      </c>
      <c r="M104" s="115">
        <v>228.9</v>
      </c>
      <c r="N104" s="115">
        <v>237</v>
      </c>
      <c r="O104" s="115">
        <v>227.7</v>
      </c>
      <c r="P104" s="115">
        <v>236.95</v>
      </c>
      <c r="Q104" s="115">
        <v>228.9</v>
      </c>
      <c r="R104">
        <v>11547</v>
      </c>
    </row>
    <row r="105" spans="1:18" x14ac:dyDescent="0.25">
      <c r="A105" s="169">
        <v>42156</v>
      </c>
      <c r="B105" s="115">
        <v>233.9</v>
      </c>
      <c r="C105" s="115">
        <v>227.4</v>
      </c>
      <c r="D105" s="115">
        <v>227.3</v>
      </c>
      <c r="E105" s="115">
        <v>230</v>
      </c>
      <c r="F105" s="115">
        <v>227.4</v>
      </c>
      <c r="G105">
        <v>855</v>
      </c>
      <c r="H105" s="115"/>
      <c r="I105" s="115"/>
      <c r="L105" s="169">
        <v>42156</v>
      </c>
      <c r="M105" s="115">
        <v>227.65</v>
      </c>
      <c r="N105" s="115">
        <v>234.95</v>
      </c>
      <c r="O105" s="115">
        <v>227.1</v>
      </c>
      <c r="P105" s="115">
        <v>234</v>
      </c>
      <c r="Q105" s="115">
        <v>227.65</v>
      </c>
      <c r="R105">
        <v>7210</v>
      </c>
    </row>
    <row r="106" spans="1:18" x14ac:dyDescent="0.25">
      <c r="A106" s="169">
        <v>42157</v>
      </c>
      <c r="B106" s="115">
        <v>232</v>
      </c>
      <c r="C106" s="115">
        <v>225.1</v>
      </c>
      <c r="D106" s="115">
        <v>223.5</v>
      </c>
      <c r="E106" s="115">
        <v>225.35</v>
      </c>
      <c r="F106" s="115">
        <v>225.1</v>
      </c>
      <c r="G106">
        <v>11086</v>
      </c>
      <c r="H106" s="115"/>
      <c r="I106" s="115"/>
      <c r="L106" s="169">
        <v>42157</v>
      </c>
      <c r="M106" s="115">
        <v>225.75</v>
      </c>
      <c r="N106" s="115">
        <v>230.5</v>
      </c>
      <c r="O106" s="115">
        <v>225.05</v>
      </c>
      <c r="P106" s="115">
        <v>229.35</v>
      </c>
      <c r="Q106" s="115">
        <v>225.75</v>
      </c>
      <c r="R106">
        <v>16019</v>
      </c>
    </row>
    <row r="107" spans="1:18" x14ac:dyDescent="0.25">
      <c r="A107" s="169">
        <v>42158</v>
      </c>
      <c r="B107" s="115">
        <v>225.5</v>
      </c>
      <c r="C107" s="115">
        <v>216.2</v>
      </c>
      <c r="D107" s="115">
        <v>215</v>
      </c>
      <c r="E107" s="115">
        <v>225.5</v>
      </c>
      <c r="F107" s="115">
        <v>216.2</v>
      </c>
      <c r="G107">
        <v>10457</v>
      </c>
      <c r="H107" s="115"/>
      <c r="I107" s="115"/>
      <c r="L107" s="169">
        <v>42158</v>
      </c>
      <c r="M107" s="115">
        <v>216.6</v>
      </c>
      <c r="N107" s="115">
        <v>229</v>
      </c>
      <c r="O107" s="115">
        <v>215</v>
      </c>
      <c r="P107" s="115">
        <v>225.75</v>
      </c>
      <c r="Q107" s="115">
        <v>216.6</v>
      </c>
      <c r="R107">
        <v>22610</v>
      </c>
    </row>
    <row r="108" spans="1:18" x14ac:dyDescent="0.25">
      <c r="A108" s="169">
        <v>42159</v>
      </c>
      <c r="B108" s="115">
        <v>223</v>
      </c>
      <c r="C108" s="115">
        <v>221.8</v>
      </c>
      <c r="D108" s="115">
        <v>215.5</v>
      </c>
      <c r="E108" s="115">
        <v>217.5</v>
      </c>
      <c r="F108" s="115">
        <v>221.8</v>
      </c>
      <c r="G108">
        <v>2706</v>
      </c>
      <c r="H108" s="115"/>
      <c r="I108" s="115"/>
      <c r="L108" s="169">
        <v>42159</v>
      </c>
      <c r="M108" s="115">
        <v>221.95</v>
      </c>
      <c r="N108" s="115">
        <v>224.9</v>
      </c>
      <c r="O108" s="115">
        <v>215</v>
      </c>
      <c r="P108" s="115">
        <v>215.6</v>
      </c>
      <c r="Q108" s="115">
        <v>221.95</v>
      </c>
      <c r="R108">
        <v>20525</v>
      </c>
    </row>
    <row r="109" spans="1:18" x14ac:dyDescent="0.25">
      <c r="A109" s="169">
        <v>42160</v>
      </c>
      <c r="B109" s="115">
        <v>234</v>
      </c>
      <c r="C109" s="115">
        <v>222.9</v>
      </c>
      <c r="D109" s="115">
        <v>221</v>
      </c>
      <c r="E109" s="115">
        <v>225</v>
      </c>
      <c r="F109" s="115">
        <v>222.9</v>
      </c>
      <c r="G109">
        <v>2165</v>
      </c>
      <c r="H109" s="115"/>
      <c r="I109" s="115"/>
      <c r="L109" s="169">
        <v>42160</v>
      </c>
      <c r="M109" s="115">
        <v>223.8</v>
      </c>
      <c r="N109" s="115">
        <v>230.95</v>
      </c>
      <c r="O109" s="115">
        <v>222.1</v>
      </c>
      <c r="P109" s="115">
        <v>229.4</v>
      </c>
      <c r="Q109" s="115">
        <v>223.8</v>
      </c>
      <c r="R109">
        <v>10700</v>
      </c>
    </row>
    <row r="110" spans="1:18" x14ac:dyDescent="0.25">
      <c r="A110" s="169">
        <v>42163</v>
      </c>
      <c r="B110" s="115">
        <v>227.3</v>
      </c>
      <c r="C110" s="115">
        <v>220.1</v>
      </c>
      <c r="D110" s="115">
        <v>219</v>
      </c>
      <c r="E110" s="115">
        <v>224.1</v>
      </c>
      <c r="F110" s="115">
        <v>220.1</v>
      </c>
      <c r="G110">
        <v>1894</v>
      </c>
      <c r="H110" s="115"/>
      <c r="I110" s="115"/>
      <c r="L110" s="169">
        <v>42163</v>
      </c>
      <c r="M110" s="115">
        <v>220.1</v>
      </c>
      <c r="N110" s="115">
        <v>227.8</v>
      </c>
      <c r="O110" s="115">
        <v>220</v>
      </c>
      <c r="P110" s="115">
        <v>227.6</v>
      </c>
      <c r="Q110" s="115">
        <v>220.1</v>
      </c>
      <c r="R110">
        <v>7570</v>
      </c>
    </row>
    <row r="111" spans="1:18" x14ac:dyDescent="0.25">
      <c r="A111" s="169">
        <v>42164</v>
      </c>
      <c r="B111" s="115">
        <v>224</v>
      </c>
      <c r="C111" s="115">
        <v>214.2</v>
      </c>
      <c r="D111" s="115">
        <v>213.1</v>
      </c>
      <c r="E111" s="115">
        <v>224</v>
      </c>
      <c r="F111" s="115">
        <v>214.2</v>
      </c>
      <c r="G111">
        <v>2293</v>
      </c>
      <c r="H111" s="115"/>
      <c r="I111" s="115"/>
      <c r="L111" s="169">
        <v>42164</v>
      </c>
      <c r="M111" s="115">
        <v>214.6</v>
      </c>
      <c r="N111" s="115">
        <v>223.9</v>
      </c>
      <c r="O111" s="115">
        <v>213.1</v>
      </c>
      <c r="P111" s="115">
        <v>220.5</v>
      </c>
      <c r="Q111" s="115">
        <v>214.6</v>
      </c>
      <c r="R111">
        <v>9098</v>
      </c>
    </row>
    <row r="112" spans="1:18" x14ac:dyDescent="0.25">
      <c r="A112" s="169">
        <v>42165</v>
      </c>
      <c r="B112" s="115">
        <v>221</v>
      </c>
      <c r="C112" s="115">
        <v>219.3</v>
      </c>
      <c r="D112" s="115">
        <v>217.1</v>
      </c>
      <c r="E112" s="115">
        <v>217.1</v>
      </c>
      <c r="F112" s="115">
        <v>219.3</v>
      </c>
      <c r="G112">
        <v>2898</v>
      </c>
      <c r="H112" s="115"/>
      <c r="I112" s="115"/>
      <c r="L112" s="169">
        <v>42165</v>
      </c>
      <c r="M112" s="115">
        <v>217.95</v>
      </c>
      <c r="N112" s="115">
        <v>221</v>
      </c>
      <c r="O112" s="115">
        <v>215.95</v>
      </c>
      <c r="P112" s="115">
        <v>215.95</v>
      </c>
      <c r="Q112" s="115">
        <v>217.95</v>
      </c>
      <c r="R112">
        <v>8675</v>
      </c>
    </row>
    <row r="113" spans="1:18" x14ac:dyDescent="0.25">
      <c r="A113" s="169">
        <v>42166</v>
      </c>
      <c r="B113" s="115">
        <v>229.2</v>
      </c>
      <c r="C113" s="115">
        <v>221.4</v>
      </c>
      <c r="D113" s="115">
        <v>220.6</v>
      </c>
      <c r="E113" s="115">
        <v>228</v>
      </c>
      <c r="F113" s="115">
        <v>221.4</v>
      </c>
      <c r="G113">
        <v>2230</v>
      </c>
      <c r="H113" s="115"/>
      <c r="I113" s="115"/>
      <c r="L113" s="169">
        <v>42166</v>
      </c>
      <c r="M113" s="115">
        <v>220.9</v>
      </c>
      <c r="N113" s="115">
        <v>235</v>
      </c>
      <c r="O113" s="115">
        <v>219</v>
      </c>
      <c r="P113" s="115">
        <v>227</v>
      </c>
      <c r="Q113" s="115">
        <v>220.9</v>
      </c>
      <c r="R113">
        <v>34725</v>
      </c>
    </row>
    <row r="114" spans="1:18" x14ac:dyDescent="0.25">
      <c r="A114" s="169">
        <v>42167</v>
      </c>
      <c r="B114" s="115">
        <v>222</v>
      </c>
      <c r="C114" s="115">
        <v>215.6</v>
      </c>
      <c r="D114" s="115">
        <v>214</v>
      </c>
      <c r="E114" s="115">
        <v>220.2</v>
      </c>
      <c r="F114" s="115">
        <v>215.6</v>
      </c>
      <c r="G114">
        <v>5537</v>
      </c>
      <c r="H114" s="115"/>
      <c r="I114" s="115"/>
      <c r="L114" s="169">
        <v>42167</v>
      </c>
      <c r="M114" s="115">
        <v>216.3</v>
      </c>
      <c r="N114" s="115">
        <v>222</v>
      </c>
      <c r="O114" s="115">
        <v>215.35</v>
      </c>
      <c r="P114" s="115">
        <v>219</v>
      </c>
      <c r="Q114" s="115">
        <v>216.3</v>
      </c>
      <c r="R114">
        <v>18916</v>
      </c>
    </row>
    <row r="115" spans="1:18" x14ac:dyDescent="0.25">
      <c r="A115" s="169">
        <v>42170</v>
      </c>
      <c r="B115" s="115">
        <v>227.1</v>
      </c>
      <c r="C115" s="115">
        <v>226.5</v>
      </c>
      <c r="D115" s="115">
        <v>220</v>
      </c>
      <c r="E115" s="115">
        <v>221.9</v>
      </c>
      <c r="F115" s="115">
        <v>226.5</v>
      </c>
      <c r="G115">
        <v>2651</v>
      </c>
      <c r="H115" s="115"/>
      <c r="I115" s="115"/>
      <c r="L115" s="169">
        <v>42170</v>
      </c>
      <c r="M115" s="115">
        <v>225.6</v>
      </c>
      <c r="N115" s="115">
        <v>227.5</v>
      </c>
      <c r="O115" s="115">
        <v>216.1</v>
      </c>
      <c r="P115" s="115">
        <v>218.55</v>
      </c>
      <c r="Q115" s="115">
        <v>225.6</v>
      </c>
      <c r="R115">
        <v>18199</v>
      </c>
    </row>
    <row r="116" spans="1:18" x14ac:dyDescent="0.25">
      <c r="A116" s="169">
        <v>42171</v>
      </c>
      <c r="B116" s="115">
        <v>226.3</v>
      </c>
      <c r="C116" s="115">
        <v>224.3</v>
      </c>
      <c r="D116" s="115">
        <v>219</v>
      </c>
      <c r="E116" s="115">
        <v>225.2</v>
      </c>
      <c r="F116" s="115">
        <v>224.3</v>
      </c>
      <c r="G116">
        <v>1465</v>
      </c>
      <c r="H116" s="115"/>
      <c r="I116" s="115"/>
      <c r="L116" s="169">
        <v>42171</v>
      </c>
      <c r="M116" s="115">
        <v>225.9</v>
      </c>
      <c r="N116" s="115">
        <v>227.8</v>
      </c>
      <c r="O116" s="115">
        <v>219</v>
      </c>
      <c r="P116" s="115">
        <v>225.6</v>
      </c>
      <c r="Q116" s="115">
        <v>225.9</v>
      </c>
      <c r="R116">
        <v>12832</v>
      </c>
    </row>
    <row r="117" spans="1:18" x14ac:dyDescent="0.25">
      <c r="A117" s="169">
        <v>42172</v>
      </c>
      <c r="B117" s="115">
        <v>235</v>
      </c>
      <c r="C117" s="115">
        <v>230.5</v>
      </c>
      <c r="D117" s="115">
        <v>227</v>
      </c>
      <c r="E117" s="115">
        <v>227</v>
      </c>
      <c r="F117" s="115">
        <v>230.5</v>
      </c>
      <c r="G117">
        <v>1682</v>
      </c>
      <c r="H117" s="115"/>
      <c r="I117" s="115"/>
      <c r="L117" s="169">
        <v>42172</v>
      </c>
      <c r="M117" s="115">
        <v>231.15</v>
      </c>
      <c r="N117" s="115">
        <v>235.8</v>
      </c>
      <c r="O117" s="115">
        <v>223.5</v>
      </c>
      <c r="P117" s="115">
        <v>227.85</v>
      </c>
      <c r="Q117" s="115">
        <v>231.15</v>
      </c>
      <c r="R117">
        <v>16905</v>
      </c>
    </row>
    <row r="118" spans="1:18" x14ac:dyDescent="0.25">
      <c r="A118" s="169">
        <v>42173</v>
      </c>
      <c r="B118" s="115">
        <v>232.9</v>
      </c>
      <c r="C118" s="115">
        <v>232</v>
      </c>
      <c r="D118" s="115">
        <v>232</v>
      </c>
      <c r="E118" s="115">
        <v>232</v>
      </c>
      <c r="F118" s="115">
        <v>232</v>
      </c>
      <c r="G118">
        <v>201</v>
      </c>
      <c r="H118" s="115"/>
      <c r="I118" s="115"/>
      <c r="L118" s="169">
        <v>42173</v>
      </c>
      <c r="M118" s="115">
        <v>232</v>
      </c>
      <c r="N118" s="115">
        <v>234.4</v>
      </c>
      <c r="O118" s="115">
        <v>226.3</v>
      </c>
      <c r="P118" s="115">
        <v>230</v>
      </c>
      <c r="Q118" s="115">
        <v>232</v>
      </c>
      <c r="R118">
        <v>8111</v>
      </c>
    </row>
    <row r="119" spans="1:18" x14ac:dyDescent="0.25">
      <c r="A119" s="169">
        <v>42174</v>
      </c>
      <c r="B119" s="115">
        <v>236</v>
      </c>
      <c r="C119" s="115">
        <v>233.4</v>
      </c>
      <c r="D119" s="115">
        <v>231.7</v>
      </c>
      <c r="E119" s="115">
        <v>233.1</v>
      </c>
      <c r="F119" s="115">
        <v>233.4</v>
      </c>
      <c r="G119">
        <v>459</v>
      </c>
      <c r="H119" s="115"/>
      <c r="I119" s="115"/>
      <c r="L119" s="169">
        <v>42174</v>
      </c>
      <c r="M119" s="115">
        <v>233.8</v>
      </c>
      <c r="N119" s="115">
        <v>236.8</v>
      </c>
      <c r="O119" s="115">
        <v>233.05</v>
      </c>
      <c r="P119" s="115">
        <v>234</v>
      </c>
      <c r="Q119" s="115">
        <v>233.8</v>
      </c>
      <c r="R119">
        <v>15392</v>
      </c>
    </row>
    <row r="120" spans="1:18" x14ac:dyDescent="0.25">
      <c r="A120" s="169">
        <v>42177</v>
      </c>
      <c r="B120" s="115">
        <v>234</v>
      </c>
      <c r="C120" s="115">
        <v>234</v>
      </c>
      <c r="D120" s="115">
        <v>230.7</v>
      </c>
      <c r="E120" s="115">
        <v>233.4</v>
      </c>
      <c r="F120" s="115">
        <v>234</v>
      </c>
      <c r="G120">
        <v>2215</v>
      </c>
      <c r="H120" s="115"/>
      <c r="I120" s="115"/>
      <c r="L120" s="169">
        <v>42177</v>
      </c>
      <c r="M120" s="115">
        <v>234.3</v>
      </c>
      <c r="N120" s="115">
        <v>234.95</v>
      </c>
      <c r="O120" s="115">
        <v>231.15</v>
      </c>
      <c r="P120" s="115">
        <v>234.2</v>
      </c>
      <c r="Q120" s="115">
        <v>234.3</v>
      </c>
      <c r="R120">
        <v>8639</v>
      </c>
    </row>
    <row r="121" spans="1:18" x14ac:dyDescent="0.25">
      <c r="A121" s="169">
        <v>42178</v>
      </c>
      <c r="B121" s="115">
        <v>250.4</v>
      </c>
      <c r="C121" s="115">
        <v>241.3</v>
      </c>
      <c r="D121" s="115">
        <v>233</v>
      </c>
      <c r="E121" s="115">
        <v>233.5</v>
      </c>
      <c r="F121" s="115">
        <v>241.3</v>
      </c>
      <c r="G121">
        <v>15434</v>
      </c>
      <c r="H121" s="115"/>
      <c r="I121" s="115"/>
      <c r="L121" s="169">
        <v>42178</v>
      </c>
      <c r="M121" s="115">
        <v>241.7</v>
      </c>
      <c r="N121" s="115">
        <v>250</v>
      </c>
      <c r="O121" s="115">
        <v>232</v>
      </c>
      <c r="P121" s="115">
        <v>236.9</v>
      </c>
      <c r="Q121" s="115">
        <v>241.7</v>
      </c>
      <c r="R121">
        <v>199538</v>
      </c>
    </row>
    <row r="122" spans="1:18" x14ac:dyDescent="0.25">
      <c r="A122" s="169">
        <v>42179</v>
      </c>
      <c r="B122" s="115">
        <v>250</v>
      </c>
      <c r="C122" s="115">
        <v>242.4</v>
      </c>
      <c r="D122" s="115">
        <v>240.5</v>
      </c>
      <c r="E122" s="115">
        <v>242</v>
      </c>
      <c r="F122" s="115">
        <v>242.4</v>
      </c>
      <c r="G122">
        <v>6113</v>
      </c>
      <c r="H122" s="115"/>
      <c r="I122" s="115"/>
      <c r="L122" s="169">
        <v>42179</v>
      </c>
      <c r="M122" s="115">
        <v>240.75</v>
      </c>
      <c r="N122" s="115">
        <v>251</v>
      </c>
      <c r="O122" s="115">
        <v>239.95</v>
      </c>
      <c r="P122" s="115">
        <v>240</v>
      </c>
      <c r="Q122" s="115">
        <v>240.75</v>
      </c>
      <c r="R122">
        <v>59898</v>
      </c>
    </row>
    <row r="123" spans="1:18" x14ac:dyDescent="0.25">
      <c r="A123" s="169">
        <v>42180</v>
      </c>
      <c r="B123" s="115">
        <v>242</v>
      </c>
      <c r="C123" s="115">
        <v>241</v>
      </c>
      <c r="D123" s="115">
        <v>237</v>
      </c>
      <c r="E123" s="115">
        <v>240.6</v>
      </c>
      <c r="F123" s="115">
        <v>241</v>
      </c>
      <c r="G123">
        <v>1257</v>
      </c>
      <c r="H123" s="115"/>
      <c r="I123" s="115"/>
      <c r="L123" s="169">
        <v>42180</v>
      </c>
      <c r="M123" s="115">
        <v>239.95</v>
      </c>
      <c r="N123" s="115">
        <v>243</v>
      </c>
      <c r="O123" s="115">
        <v>236</v>
      </c>
      <c r="P123" s="115">
        <v>239</v>
      </c>
      <c r="Q123" s="115">
        <v>239.95</v>
      </c>
      <c r="R123">
        <v>15488</v>
      </c>
    </row>
    <row r="124" spans="1:18" x14ac:dyDescent="0.25">
      <c r="A124" s="169">
        <v>42181</v>
      </c>
      <c r="B124" s="115">
        <v>244</v>
      </c>
      <c r="C124" s="115">
        <v>241.2</v>
      </c>
      <c r="D124" s="115">
        <v>237.1</v>
      </c>
      <c r="E124" s="115">
        <v>242.7</v>
      </c>
      <c r="F124" s="115">
        <v>241.2</v>
      </c>
      <c r="G124">
        <v>2719</v>
      </c>
      <c r="H124" s="115"/>
      <c r="I124" s="115"/>
      <c r="L124" s="169">
        <v>42181</v>
      </c>
      <c r="M124" s="115">
        <v>240.8</v>
      </c>
      <c r="N124" s="115">
        <v>242.05</v>
      </c>
      <c r="O124" s="115">
        <v>237.05</v>
      </c>
      <c r="P124" s="115">
        <v>239.2</v>
      </c>
      <c r="Q124" s="115">
        <v>240.8</v>
      </c>
      <c r="R124">
        <v>13768</v>
      </c>
    </row>
    <row r="125" spans="1:18" x14ac:dyDescent="0.25">
      <c r="A125" s="169">
        <v>42184</v>
      </c>
      <c r="B125" s="115">
        <v>235.7</v>
      </c>
      <c r="C125" s="115">
        <v>234.1</v>
      </c>
      <c r="D125" s="115">
        <v>231</v>
      </c>
      <c r="E125" s="115">
        <v>233</v>
      </c>
      <c r="F125" s="115">
        <v>234.1</v>
      </c>
      <c r="G125">
        <v>3760</v>
      </c>
      <c r="H125" s="115"/>
      <c r="I125" s="115"/>
      <c r="L125" s="169">
        <v>42184</v>
      </c>
      <c r="M125" s="115">
        <v>234.15</v>
      </c>
      <c r="N125" s="115">
        <v>236</v>
      </c>
      <c r="O125" s="115">
        <v>230.1</v>
      </c>
      <c r="P125" s="115">
        <v>235.65</v>
      </c>
      <c r="Q125" s="115">
        <v>234.15</v>
      </c>
      <c r="R125">
        <v>23865</v>
      </c>
    </row>
    <row r="126" spans="1:18" x14ac:dyDescent="0.25">
      <c r="A126" s="169">
        <v>42185</v>
      </c>
      <c r="B126" s="115">
        <v>240</v>
      </c>
      <c r="C126" s="115">
        <v>236.7</v>
      </c>
      <c r="D126" s="115">
        <v>232.7</v>
      </c>
      <c r="E126" s="115">
        <v>233</v>
      </c>
      <c r="F126" s="115">
        <v>236.7</v>
      </c>
      <c r="G126">
        <v>3299</v>
      </c>
      <c r="H126" s="115"/>
      <c r="I126" s="115"/>
      <c r="L126" s="169">
        <v>42185</v>
      </c>
      <c r="M126" s="115">
        <v>236.45</v>
      </c>
      <c r="N126" s="115">
        <v>239</v>
      </c>
      <c r="O126" s="115">
        <v>232.5</v>
      </c>
      <c r="P126" s="115">
        <v>233</v>
      </c>
      <c r="Q126" s="115">
        <v>236.45</v>
      </c>
      <c r="R126">
        <v>19227</v>
      </c>
    </row>
    <row r="127" spans="1:18" x14ac:dyDescent="0.25">
      <c r="A127" s="169">
        <v>42186</v>
      </c>
      <c r="B127" s="115">
        <v>239.9</v>
      </c>
      <c r="C127" s="115">
        <v>236</v>
      </c>
      <c r="D127" s="115">
        <v>235.3</v>
      </c>
      <c r="E127" s="115">
        <v>239.9</v>
      </c>
      <c r="F127" s="115">
        <v>236</v>
      </c>
      <c r="G127">
        <v>1755</v>
      </c>
      <c r="H127" s="115"/>
      <c r="I127" s="115"/>
      <c r="L127" s="169">
        <v>42186</v>
      </c>
      <c r="M127" s="115">
        <v>237.8</v>
      </c>
      <c r="N127" s="115">
        <v>242.4</v>
      </c>
      <c r="O127" s="115">
        <v>235.15</v>
      </c>
      <c r="P127" s="115">
        <v>235.55</v>
      </c>
      <c r="Q127" s="115">
        <v>237.8</v>
      </c>
      <c r="R127">
        <v>22135</v>
      </c>
    </row>
    <row r="128" spans="1:18" x14ac:dyDescent="0.25">
      <c r="A128" s="169">
        <v>42187</v>
      </c>
      <c r="B128" s="115">
        <v>246.7</v>
      </c>
      <c r="C128" s="115">
        <v>242.4</v>
      </c>
      <c r="D128" s="115">
        <v>237</v>
      </c>
      <c r="E128" s="115">
        <v>238</v>
      </c>
      <c r="F128" s="115">
        <v>242.4</v>
      </c>
      <c r="G128">
        <v>380017</v>
      </c>
      <c r="H128" s="115"/>
      <c r="I128" s="115"/>
      <c r="L128" s="169">
        <v>42187</v>
      </c>
      <c r="M128" s="115">
        <v>240.2</v>
      </c>
      <c r="N128" s="115">
        <v>247</v>
      </c>
      <c r="O128" s="115">
        <v>236.35</v>
      </c>
      <c r="P128" s="115">
        <v>236.35</v>
      </c>
      <c r="Q128" s="115">
        <v>240.2</v>
      </c>
      <c r="R128">
        <v>389524</v>
      </c>
    </row>
    <row r="129" spans="1:18" x14ac:dyDescent="0.25">
      <c r="A129" s="169">
        <v>42188</v>
      </c>
      <c r="B129" s="115">
        <v>249.3</v>
      </c>
      <c r="C129" s="115">
        <v>240.7</v>
      </c>
      <c r="D129" s="115">
        <v>240.4</v>
      </c>
      <c r="E129" s="115">
        <v>245</v>
      </c>
      <c r="F129" s="115">
        <v>240.7</v>
      </c>
      <c r="G129">
        <v>9865</v>
      </c>
      <c r="H129" s="115"/>
      <c r="I129" s="115"/>
      <c r="L129" s="169">
        <v>42188</v>
      </c>
      <c r="M129" s="115">
        <v>240.75</v>
      </c>
      <c r="N129" s="115">
        <v>249</v>
      </c>
      <c r="O129" s="115">
        <v>240</v>
      </c>
      <c r="P129" s="115">
        <v>242</v>
      </c>
      <c r="Q129" s="115">
        <v>240.75</v>
      </c>
      <c r="R129">
        <v>80071</v>
      </c>
    </row>
    <row r="130" spans="1:18" x14ac:dyDescent="0.25">
      <c r="A130" s="169">
        <v>42191</v>
      </c>
      <c r="B130" s="115">
        <v>250</v>
      </c>
      <c r="C130" s="115">
        <v>248.7</v>
      </c>
      <c r="D130" s="115">
        <v>241</v>
      </c>
      <c r="E130" s="115">
        <v>241</v>
      </c>
      <c r="F130" s="115">
        <v>248.7</v>
      </c>
      <c r="G130">
        <v>5788</v>
      </c>
      <c r="H130" s="115"/>
      <c r="I130" s="115"/>
      <c r="L130" s="169">
        <v>42191</v>
      </c>
      <c r="M130" s="115">
        <v>248.95</v>
      </c>
      <c r="N130" s="115">
        <v>250</v>
      </c>
      <c r="O130" s="115">
        <v>239</v>
      </c>
      <c r="P130" s="115">
        <v>239</v>
      </c>
      <c r="Q130" s="115">
        <v>248.95</v>
      </c>
      <c r="R130">
        <v>38903</v>
      </c>
    </row>
    <row r="131" spans="1:18" x14ac:dyDescent="0.25">
      <c r="A131" s="169">
        <v>42192</v>
      </c>
      <c r="B131" s="115">
        <v>264.8</v>
      </c>
      <c r="C131" s="115">
        <v>262.7</v>
      </c>
      <c r="D131" s="115">
        <v>251</v>
      </c>
      <c r="E131" s="115">
        <v>251</v>
      </c>
      <c r="F131" s="115">
        <v>262.7</v>
      </c>
      <c r="G131">
        <v>25447</v>
      </c>
      <c r="H131" s="115"/>
      <c r="I131" s="115"/>
      <c r="L131" s="169">
        <v>42192</v>
      </c>
      <c r="M131" s="115">
        <v>262.8</v>
      </c>
      <c r="N131" s="115">
        <v>265</v>
      </c>
      <c r="O131" s="115">
        <v>248.3</v>
      </c>
      <c r="P131" s="115">
        <v>248.3</v>
      </c>
      <c r="Q131" s="115">
        <v>262.8</v>
      </c>
      <c r="R131">
        <v>135861</v>
      </c>
    </row>
    <row r="132" spans="1:18" x14ac:dyDescent="0.25">
      <c r="A132" s="169">
        <v>42193</v>
      </c>
      <c r="B132" s="115">
        <v>279.89999999999998</v>
      </c>
      <c r="C132" s="115">
        <v>272</v>
      </c>
      <c r="D132" s="115">
        <v>265</v>
      </c>
      <c r="E132" s="115">
        <v>265</v>
      </c>
      <c r="F132" s="115">
        <v>272</v>
      </c>
      <c r="G132">
        <v>26769</v>
      </c>
      <c r="H132" s="115"/>
      <c r="I132" s="115"/>
      <c r="L132" s="169">
        <v>42193</v>
      </c>
      <c r="M132" s="115">
        <v>272.5</v>
      </c>
      <c r="N132" s="115">
        <v>280</v>
      </c>
      <c r="O132" s="115">
        <v>265.2</v>
      </c>
      <c r="P132" s="115">
        <v>266.75</v>
      </c>
      <c r="Q132" s="115">
        <v>272.5</v>
      </c>
      <c r="R132">
        <v>187431</v>
      </c>
    </row>
    <row r="133" spans="1:18" x14ac:dyDescent="0.25">
      <c r="A133" s="169">
        <v>42194</v>
      </c>
      <c r="B133" s="115">
        <v>281</v>
      </c>
      <c r="C133" s="115">
        <v>278.2</v>
      </c>
      <c r="D133" s="115">
        <v>272</v>
      </c>
      <c r="E133" s="115">
        <v>279</v>
      </c>
      <c r="F133" s="115">
        <v>278.2</v>
      </c>
      <c r="G133">
        <v>17420</v>
      </c>
      <c r="H133" s="115"/>
      <c r="I133" s="115"/>
      <c r="L133" s="169">
        <v>42194</v>
      </c>
      <c r="M133" s="115">
        <v>277.7</v>
      </c>
      <c r="N133" s="115">
        <v>281.8</v>
      </c>
      <c r="O133" s="115">
        <v>271</v>
      </c>
      <c r="P133" s="115">
        <v>276.05</v>
      </c>
      <c r="Q133" s="115">
        <v>277.7</v>
      </c>
      <c r="R133">
        <v>81732</v>
      </c>
    </row>
    <row r="134" spans="1:18" x14ac:dyDescent="0.25">
      <c r="A134" s="169">
        <v>42195</v>
      </c>
      <c r="B134" s="115">
        <v>286</v>
      </c>
      <c r="C134" s="115">
        <v>284.10000000000002</v>
      </c>
      <c r="D134" s="115">
        <v>280</v>
      </c>
      <c r="E134" s="115">
        <v>280</v>
      </c>
      <c r="F134" s="115">
        <v>284.10000000000002</v>
      </c>
      <c r="G134">
        <v>13016</v>
      </c>
      <c r="H134" s="115"/>
      <c r="I134" s="115"/>
      <c r="L134" s="169">
        <v>42195</v>
      </c>
      <c r="M134" s="115">
        <v>284.45</v>
      </c>
      <c r="N134" s="115">
        <v>287</v>
      </c>
      <c r="O134" s="115">
        <v>281.05</v>
      </c>
      <c r="P134" s="115">
        <v>281.8</v>
      </c>
      <c r="Q134" s="115">
        <v>284.45</v>
      </c>
      <c r="R134">
        <v>82408</v>
      </c>
    </row>
    <row r="135" spans="1:18" x14ac:dyDescent="0.25">
      <c r="A135" s="169">
        <v>42198</v>
      </c>
      <c r="B135" s="115">
        <v>334</v>
      </c>
      <c r="C135" s="115">
        <v>321.7</v>
      </c>
      <c r="D135" s="115">
        <v>288</v>
      </c>
      <c r="E135" s="115">
        <v>288</v>
      </c>
      <c r="F135" s="115">
        <v>321.7</v>
      </c>
      <c r="G135">
        <v>126908</v>
      </c>
      <c r="H135" s="115"/>
      <c r="I135" s="115"/>
      <c r="L135" s="169">
        <v>42198</v>
      </c>
      <c r="M135" s="115">
        <v>319.95</v>
      </c>
      <c r="N135" s="115">
        <v>331.95</v>
      </c>
      <c r="O135" s="115">
        <v>288.89999999999998</v>
      </c>
      <c r="P135" s="115">
        <v>288.89999999999998</v>
      </c>
      <c r="Q135" s="115">
        <v>319.95</v>
      </c>
      <c r="R135">
        <v>542966</v>
      </c>
    </row>
    <row r="136" spans="1:18" x14ac:dyDescent="0.25">
      <c r="A136" s="169">
        <v>42199</v>
      </c>
      <c r="B136" s="115">
        <v>324.3</v>
      </c>
      <c r="C136" s="115">
        <v>315.10000000000002</v>
      </c>
      <c r="D136" s="115">
        <v>306.5</v>
      </c>
      <c r="E136" s="115">
        <v>320.39999999999998</v>
      </c>
      <c r="F136" s="115">
        <v>315.10000000000002</v>
      </c>
      <c r="G136">
        <v>32076</v>
      </c>
      <c r="H136" s="115"/>
      <c r="I136" s="115"/>
      <c r="L136" s="169">
        <v>42199</v>
      </c>
      <c r="M136" s="115">
        <v>315.7</v>
      </c>
      <c r="N136" s="115">
        <v>324.8</v>
      </c>
      <c r="O136" s="115">
        <v>306.5</v>
      </c>
      <c r="P136" s="115">
        <v>320</v>
      </c>
      <c r="Q136" s="115">
        <v>315.7</v>
      </c>
      <c r="R136">
        <v>163228</v>
      </c>
    </row>
    <row r="137" spans="1:18" x14ac:dyDescent="0.25">
      <c r="A137" s="169">
        <v>42200</v>
      </c>
      <c r="B137" s="115">
        <v>323.89999999999998</v>
      </c>
      <c r="C137" s="115">
        <v>313.3</v>
      </c>
      <c r="D137" s="115">
        <v>310.89999999999998</v>
      </c>
      <c r="E137" s="115">
        <v>315.10000000000002</v>
      </c>
      <c r="F137" s="115">
        <v>313.3</v>
      </c>
      <c r="G137">
        <v>12728</v>
      </c>
      <c r="H137" s="115"/>
      <c r="I137" s="115"/>
      <c r="L137" s="169">
        <v>42200</v>
      </c>
      <c r="M137" s="115">
        <v>313.85000000000002</v>
      </c>
      <c r="N137" s="115">
        <v>323.5</v>
      </c>
      <c r="O137" s="115">
        <v>310</v>
      </c>
      <c r="P137" s="115">
        <v>315.89999999999998</v>
      </c>
      <c r="Q137" s="115">
        <v>313.85000000000002</v>
      </c>
      <c r="R137">
        <v>64132</v>
      </c>
    </row>
    <row r="138" spans="1:18" x14ac:dyDescent="0.25">
      <c r="A138" s="169">
        <v>42201</v>
      </c>
      <c r="B138" s="115">
        <v>323.3</v>
      </c>
      <c r="C138" s="115">
        <v>311.8</v>
      </c>
      <c r="D138" s="115">
        <v>311</v>
      </c>
      <c r="E138" s="115">
        <v>318</v>
      </c>
      <c r="F138" s="115">
        <v>311.8</v>
      </c>
      <c r="G138">
        <v>8905</v>
      </c>
      <c r="H138" s="115"/>
      <c r="I138" s="115"/>
      <c r="L138" s="169">
        <v>42201</v>
      </c>
      <c r="M138" s="115">
        <v>312.3</v>
      </c>
      <c r="N138" s="115">
        <v>322.95</v>
      </c>
      <c r="O138" s="115">
        <v>311</v>
      </c>
      <c r="P138" s="115">
        <v>313.85000000000002</v>
      </c>
      <c r="Q138" s="115">
        <v>312.3</v>
      </c>
      <c r="R138">
        <v>45686</v>
      </c>
    </row>
    <row r="139" spans="1:18" x14ac:dyDescent="0.25">
      <c r="A139" s="169">
        <v>42202</v>
      </c>
      <c r="B139" s="115">
        <v>315</v>
      </c>
      <c r="C139" s="115">
        <v>308</v>
      </c>
      <c r="D139" s="115">
        <v>305</v>
      </c>
      <c r="E139" s="115">
        <v>315</v>
      </c>
      <c r="F139" s="115">
        <v>308</v>
      </c>
      <c r="G139">
        <v>8999</v>
      </c>
      <c r="H139" s="115"/>
      <c r="I139" s="115"/>
      <c r="L139" s="169">
        <v>42202</v>
      </c>
      <c r="M139" s="115">
        <v>309.05</v>
      </c>
      <c r="N139" s="115">
        <v>314.89999999999998</v>
      </c>
      <c r="O139" s="115">
        <v>305.05</v>
      </c>
      <c r="P139" s="115">
        <v>314</v>
      </c>
      <c r="Q139" s="115">
        <v>309.05</v>
      </c>
      <c r="R139">
        <v>47817</v>
      </c>
    </row>
    <row r="140" spans="1:18" x14ac:dyDescent="0.25">
      <c r="A140" s="169">
        <v>42205</v>
      </c>
      <c r="B140" s="115">
        <v>315.5</v>
      </c>
      <c r="C140" s="115">
        <v>302.39999999999998</v>
      </c>
      <c r="D140" s="115">
        <v>301.39999999999998</v>
      </c>
      <c r="E140" s="115">
        <v>308</v>
      </c>
      <c r="F140" s="115">
        <v>302.39999999999998</v>
      </c>
      <c r="G140">
        <v>5341</v>
      </c>
      <c r="H140" s="115"/>
      <c r="I140" s="115"/>
      <c r="L140" s="169">
        <v>42205</v>
      </c>
      <c r="M140" s="115">
        <v>303.2</v>
      </c>
      <c r="N140" s="115">
        <v>314.95</v>
      </c>
      <c r="O140" s="115">
        <v>302.05</v>
      </c>
      <c r="P140" s="115">
        <v>309.05</v>
      </c>
      <c r="Q140" s="115">
        <v>303.2</v>
      </c>
      <c r="R140">
        <v>30200</v>
      </c>
    </row>
    <row r="141" spans="1:18" x14ac:dyDescent="0.25">
      <c r="A141" s="169">
        <v>42206</v>
      </c>
      <c r="B141" s="115">
        <v>307</v>
      </c>
      <c r="C141" s="115">
        <v>301</v>
      </c>
      <c r="D141" s="115">
        <v>300</v>
      </c>
      <c r="E141" s="115">
        <v>302</v>
      </c>
      <c r="F141" s="115">
        <v>301</v>
      </c>
      <c r="G141">
        <v>16539</v>
      </c>
      <c r="H141" s="115"/>
      <c r="I141" s="115"/>
      <c r="L141" s="169">
        <v>42206</v>
      </c>
      <c r="M141" s="115">
        <v>300.7</v>
      </c>
      <c r="N141" s="115">
        <v>308</v>
      </c>
      <c r="O141" s="115">
        <v>299.25</v>
      </c>
      <c r="P141" s="115">
        <v>304</v>
      </c>
      <c r="Q141" s="115">
        <v>300.7</v>
      </c>
      <c r="R141">
        <v>47860</v>
      </c>
    </row>
    <row r="142" spans="1:18" x14ac:dyDescent="0.25">
      <c r="A142" s="169">
        <v>42207</v>
      </c>
      <c r="B142" s="115">
        <v>308.39999999999998</v>
      </c>
      <c r="C142" s="115">
        <v>305.89999999999998</v>
      </c>
      <c r="D142" s="115">
        <v>294.39999999999998</v>
      </c>
      <c r="E142" s="115">
        <v>297.2</v>
      </c>
      <c r="F142" s="115">
        <v>305.89999999999998</v>
      </c>
      <c r="G142">
        <v>6983</v>
      </c>
      <c r="H142" s="115"/>
      <c r="I142" s="115"/>
      <c r="L142" s="169">
        <v>42207</v>
      </c>
      <c r="M142" s="115">
        <v>305</v>
      </c>
      <c r="N142" s="115">
        <v>309.8</v>
      </c>
      <c r="O142" s="115">
        <v>295.5</v>
      </c>
      <c r="P142" s="115">
        <v>301</v>
      </c>
      <c r="Q142" s="115">
        <v>305</v>
      </c>
      <c r="R142">
        <v>45295</v>
      </c>
    </row>
    <row r="143" spans="1:18" x14ac:dyDescent="0.25">
      <c r="A143" s="169">
        <v>42208</v>
      </c>
      <c r="B143" s="115">
        <v>310</v>
      </c>
      <c r="C143" s="115">
        <v>301.8</v>
      </c>
      <c r="D143" s="115">
        <v>301</v>
      </c>
      <c r="E143" s="115">
        <v>305.10000000000002</v>
      </c>
      <c r="F143" s="115">
        <v>301.8</v>
      </c>
      <c r="G143">
        <v>5467</v>
      </c>
      <c r="H143" s="115"/>
      <c r="I143" s="115"/>
      <c r="L143" s="169">
        <v>42208</v>
      </c>
      <c r="M143" s="115">
        <v>300.85000000000002</v>
      </c>
      <c r="N143" s="115">
        <v>309.5</v>
      </c>
      <c r="O143" s="115">
        <v>299.8</v>
      </c>
      <c r="P143" s="115">
        <v>306.05</v>
      </c>
      <c r="Q143" s="115">
        <v>300.85000000000002</v>
      </c>
      <c r="R143">
        <v>27541</v>
      </c>
    </row>
    <row r="144" spans="1:18" x14ac:dyDescent="0.25">
      <c r="A144" s="169">
        <v>42209</v>
      </c>
      <c r="B144" s="115">
        <v>303</v>
      </c>
      <c r="C144" s="115">
        <v>291.89999999999998</v>
      </c>
      <c r="D144" s="115">
        <v>290.60000000000002</v>
      </c>
      <c r="E144" s="115">
        <v>303</v>
      </c>
      <c r="F144" s="115">
        <v>291.89999999999998</v>
      </c>
      <c r="G144">
        <v>5803</v>
      </c>
      <c r="H144" s="115"/>
      <c r="I144" s="115"/>
      <c r="L144" s="169">
        <v>42209</v>
      </c>
      <c r="M144" s="115">
        <v>292.45</v>
      </c>
      <c r="N144" s="115">
        <v>300.55</v>
      </c>
      <c r="O144" s="115">
        <v>291.2</v>
      </c>
      <c r="P144" s="115">
        <v>300</v>
      </c>
      <c r="Q144" s="115">
        <v>292.45</v>
      </c>
      <c r="R144">
        <v>37844</v>
      </c>
    </row>
    <row r="145" spans="1:18" x14ac:dyDescent="0.25">
      <c r="A145" s="169">
        <v>42212</v>
      </c>
      <c r="B145" s="115">
        <v>297</v>
      </c>
      <c r="C145" s="115">
        <v>289.60000000000002</v>
      </c>
      <c r="D145" s="115">
        <v>288.2</v>
      </c>
      <c r="E145" s="115">
        <v>290.5</v>
      </c>
      <c r="F145" s="115">
        <v>289.60000000000002</v>
      </c>
      <c r="G145">
        <v>4191</v>
      </c>
      <c r="H145" s="115"/>
      <c r="I145" s="115"/>
      <c r="L145" s="169">
        <v>42212</v>
      </c>
      <c r="M145" s="115">
        <v>290.75</v>
      </c>
      <c r="N145" s="115">
        <v>297.39999999999998</v>
      </c>
      <c r="O145" s="115">
        <v>288</v>
      </c>
      <c r="P145" s="115">
        <v>292.10000000000002</v>
      </c>
      <c r="Q145" s="115">
        <v>290.75</v>
      </c>
      <c r="R145">
        <v>19189</v>
      </c>
    </row>
    <row r="146" spans="1:18" x14ac:dyDescent="0.25">
      <c r="A146" s="169">
        <v>42213</v>
      </c>
      <c r="B146" s="115">
        <v>291.89999999999998</v>
      </c>
      <c r="C146" s="115">
        <v>280.8</v>
      </c>
      <c r="D146" s="115">
        <v>280.3</v>
      </c>
      <c r="E146" s="115">
        <v>291.89999999999998</v>
      </c>
      <c r="F146" s="115">
        <v>280.8</v>
      </c>
      <c r="G146">
        <v>5087</v>
      </c>
      <c r="H146" s="115"/>
      <c r="I146" s="115"/>
      <c r="L146" s="169">
        <v>42213</v>
      </c>
      <c r="M146" s="115">
        <v>282.10000000000002</v>
      </c>
      <c r="N146" s="115">
        <v>294</v>
      </c>
      <c r="O146" s="115">
        <v>281</v>
      </c>
      <c r="P146" s="115">
        <v>291</v>
      </c>
      <c r="Q146" s="115">
        <v>282.10000000000002</v>
      </c>
      <c r="R146">
        <v>50883</v>
      </c>
    </row>
    <row r="147" spans="1:18" x14ac:dyDescent="0.25">
      <c r="A147" s="169">
        <v>42214</v>
      </c>
      <c r="B147" s="115">
        <v>301</v>
      </c>
      <c r="C147" s="115">
        <v>299.10000000000002</v>
      </c>
      <c r="D147" s="115">
        <v>269.60000000000002</v>
      </c>
      <c r="E147" s="115">
        <v>282.10000000000002</v>
      </c>
      <c r="F147" s="115">
        <v>299.10000000000002</v>
      </c>
      <c r="G147">
        <v>11309</v>
      </c>
      <c r="H147" s="115"/>
      <c r="I147" s="115"/>
      <c r="L147" s="169">
        <v>42214</v>
      </c>
      <c r="M147" s="115">
        <v>298.10000000000002</v>
      </c>
      <c r="N147" s="115">
        <v>299.89999999999998</v>
      </c>
      <c r="O147" s="115">
        <v>281.05</v>
      </c>
      <c r="P147" s="115">
        <v>281.89999999999998</v>
      </c>
      <c r="Q147" s="115">
        <v>298.10000000000002</v>
      </c>
      <c r="R147">
        <v>64100</v>
      </c>
    </row>
    <row r="148" spans="1:18" x14ac:dyDescent="0.25">
      <c r="A148" s="169">
        <v>42215</v>
      </c>
      <c r="B148" s="115">
        <v>314</v>
      </c>
      <c r="C148" s="115">
        <v>308.10000000000002</v>
      </c>
      <c r="D148" s="115">
        <v>291</v>
      </c>
      <c r="E148" s="115">
        <v>299.3</v>
      </c>
      <c r="F148" s="115">
        <v>308.10000000000002</v>
      </c>
      <c r="G148">
        <v>10929</v>
      </c>
      <c r="H148" s="115"/>
      <c r="I148" s="115"/>
      <c r="L148" s="169">
        <v>42215</v>
      </c>
      <c r="M148" s="115">
        <v>308.5</v>
      </c>
      <c r="N148" s="115">
        <v>314</v>
      </c>
      <c r="O148" s="115">
        <v>298.5</v>
      </c>
      <c r="P148" s="115">
        <v>298.5</v>
      </c>
      <c r="Q148" s="115">
        <v>308.5</v>
      </c>
      <c r="R148">
        <v>120064</v>
      </c>
    </row>
    <row r="149" spans="1:18" x14ac:dyDescent="0.25">
      <c r="A149" s="169">
        <v>42216</v>
      </c>
      <c r="B149" s="115">
        <v>316.5</v>
      </c>
      <c r="C149" s="115">
        <v>304.8</v>
      </c>
      <c r="D149" s="115">
        <v>303</v>
      </c>
      <c r="E149" s="115">
        <v>311.89999999999998</v>
      </c>
      <c r="F149" s="115">
        <v>304.8</v>
      </c>
      <c r="G149">
        <v>12972</v>
      </c>
      <c r="H149" s="115"/>
      <c r="I149" s="115"/>
      <c r="L149" s="169">
        <v>42216</v>
      </c>
      <c r="M149" s="115">
        <v>305.05</v>
      </c>
      <c r="N149" s="115">
        <v>317.75</v>
      </c>
      <c r="O149" s="115">
        <v>302.64999999999998</v>
      </c>
      <c r="P149" s="115">
        <v>305.25</v>
      </c>
      <c r="Q149" s="115">
        <v>305.05</v>
      </c>
      <c r="R149">
        <v>142522</v>
      </c>
    </row>
    <row r="150" spans="1:18" x14ac:dyDescent="0.25">
      <c r="A150" s="169">
        <v>42219</v>
      </c>
      <c r="B150" s="115">
        <v>311.89999999999998</v>
      </c>
      <c r="C150" s="115">
        <v>309.89999999999998</v>
      </c>
      <c r="D150" s="115">
        <v>304</v>
      </c>
      <c r="E150" s="115">
        <v>308.10000000000002</v>
      </c>
      <c r="F150" s="115">
        <v>309.89999999999998</v>
      </c>
      <c r="G150">
        <v>3127</v>
      </c>
      <c r="H150" s="115"/>
      <c r="I150" s="115"/>
      <c r="L150" s="169">
        <v>42219</v>
      </c>
      <c r="M150" s="115">
        <v>309.89999999999998</v>
      </c>
      <c r="N150" s="115">
        <v>312.10000000000002</v>
      </c>
      <c r="O150" s="115">
        <v>305</v>
      </c>
      <c r="P150" s="115">
        <v>305</v>
      </c>
      <c r="Q150" s="115">
        <v>309.89999999999998</v>
      </c>
      <c r="R150">
        <v>35328</v>
      </c>
    </row>
    <row r="151" spans="1:18" x14ac:dyDescent="0.25">
      <c r="A151" s="169">
        <v>42220</v>
      </c>
      <c r="B151" s="115">
        <v>317.89999999999998</v>
      </c>
      <c r="C151" s="115">
        <v>306.3</v>
      </c>
      <c r="D151" s="115">
        <v>303</v>
      </c>
      <c r="E151" s="115">
        <v>312</v>
      </c>
      <c r="F151" s="115">
        <v>306.3</v>
      </c>
      <c r="G151">
        <v>3312</v>
      </c>
      <c r="H151" s="115"/>
      <c r="I151" s="115"/>
      <c r="L151" s="169">
        <v>42220</v>
      </c>
      <c r="M151" s="115">
        <v>307.39999999999998</v>
      </c>
      <c r="N151" s="115">
        <v>317</v>
      </c>
      <c r="O151" s="115">
        <v>301.5</v>
      </c>
      <c r="P151" s="115">
        <v>312.95</v>
      </c>
      <c r="Q151" s="115">
        <v>307.39999999999998</v>
      </c>
      <c r="R151">
        <v>45274</v>
      </c>
    </row>
    <row r="152" spans="1:18" x14ac:dyDescent="0.25">
      <c r="A152" s="169">
        <v>42221</v>
      </c>
      <c r="B152" s="115">
        <v>318.7</v>
      </c>
      <c r="C152" s="115">
        <v>306.10000000000002</v>
      </c>
      <c r="D152" s="115">
        <v>305.60000000000002</v>
      </c>
      <c r="E152" s="115">
        <v>309.89999999999998</v>
      </c>
      <c r="F152" s="115">
        <v>306.10000000000002</v>
      </c>
      <c r="G152">
        <v>7540</v>
      </c>
      <c r="H152" s="115"/>
      <c r="I152" s="115"/>
      <c r="L152" s="169">
        <v>42221</v>
      </c>
      <c r="M152" s="115">
        <v>307.45</v>
      </c>
      <c r="N152" s="115">
        <v>318.95</v>
      </c>
      <c r="O152" s="115">
        <v>305.7</v>
      </c>
      <c r="P152" s="115">
        <v>310.64999999999998</v>
      </c>
      <c r="Q152" s="115">
        <v>307.45</v>
      </c>
      <c r="R152">
        <v>99382</v>
      </c>
    </row>
    <row r="153" spans="1:18" x14ac:dyDescent="0.25">
      <c r="A153" s="169">
        <v>42222</v>
      </c>
      <c r="B153" s="115">
        <v>313.2</v>
      </c>
      <c r="C153" s="115">
        <v>305.89999999999998</v>
      </c>
      <c r="D153" s="115">
        <v>304.2</v>
      </c>
      <c r="E153" s="115">
        <v>306</v>
      </c>
      <c r="F153" s="115">
        <v>305.89999999999998</v>
      </c>
      <c r="G153">
        <v>5815</v>
      </c>
      <c r="H153" s="115"/>
      <c r="I153" s="115"/>
      <c r="L153" s="169">
        <v>42222</v>
      </c>
      <c r="M153" s="115">
        <v>305.95</v>
      </c>
      <c r="N153" s="115">
        <v>312</v>
      </c>
      <c r="O153" s="115">
        <v>305.10000000000002</v>
      </c>
      <c r="P153" s="115">
        <v>310</v>
      </c>
      <c r="Q153" s="115">
        <v>305.95</v>
      </c>
      <c r="R153">
        <v>18644</v>
      </c>
    </row>
    <row r="154" spans="1:18" x14ac:dyDescent="0.25">
      <c r="A154" s="169">
        <v>42223</v>
      </c>
      <c r="B154" s="115">
        <v>309</v>
      </c>
      <c r="C154" s="115">
        <v>303.8</v>
      </c>
      <c r="D154" s="115">
        <v>301.39999999999998</v>
      </c>
      <c r="E154" s="115">
        <v>309</v>
      </c>
      <c r="F154" s="115">
        <v>303.8</v>
      </c>
      <c r="G154">
        <v>4123</v>
      </c>
      <c r="H154" s="115"/>
      <c r="I154" s="115"/>
      <c r="L154" s="169">
        <v>42223</v>
      </c>
      <c r="M154" s="115">
        <v>302.95</v>
      </c>
      <c r="N154" s="115">
        <v>309.60000000000002</v>
      </c>
      <c r="O154" s="115">
        <v>301.25</v>
      </c>
      <c r="P154" s="115">
        <v>309</v>
      </c>
      <c r="Q154" s="115">
        <v>302.95</v>
      </c>
      <c r="R154">
        <v>20114</v>
      </c>
    </row>
    <row r="155" spans="1:18" x14ac:dyDescent="0.25">
      <c r="A155" s="169">
        <v>42226</v>
      </c>
      <c r="B155" s="115">
        <v>311.8</v>
      </c>
      <c r="C155" s="115">
        <v>303</v>
      </c>
      <c r="D155" s="115">
        <v>300.10000000000002</v>
      </c>
      <c r="E155" s="115">
        <v>307.7</v>
      </c>
      <c r="F155" s="115">
        <v>303</v>
      </c>
      <c r="G155">
        <v>7215</v>
      </c>
      <c r="H155" s="115"/>
      <c r="I155" s="115"/>
      <c r="L155" s="169">
        <v>42226</v>
      </c>
      <c r="M155" s="115">
        <v>301.5</v>
      </c>
      <c r="N155" s="115">
        <v>311</v>
      </c>
      <c r="O155" s="115">
        <v>300.2</v>
      </c>
      <c r="P155" s="115">
        <v>304</v>
      </c>
      <c r="Q155" s="115">
        <v>301.5</v>
      </c>
      <c r="R155">
        <v>22963</v>
      </c>
    </row>
    <row r="156" spans="1:18" x14ac:dyDescent="0.25">
      <c r="A156" s="169">
        <v>42227</v>
      </c>
      <c r="B156" s="115">
        <v>305.39999999999998</v>
      </c>
      <c r="C156" s="115">
        <v>301.39999999999998</v>
      </c>
      <c r="D156" s="115">
        <v>300.8</v>
      </c>
      <c r="E156" s="115">
        <v>305.39999999999998</v>
      </c>
      <c r="F156" s="115">
        <v>301.39999999999998</v>
      </c>
      <c r="G156">
        <v>5555</v>
      </c>
      <c r="H156" s="115"/>
      <c r="I156" s="115"/>
      <c r="L156" s="169">
        <v>42227</v>
      </c>
      <c r="M156" s="115">
        <v>300.95</v>
      </c>
      <c r="N156" s="115">
        <v>305.95</v>
      </c>
      <c r="O156" s="115">
        <v>300</v>
      </c>
      <c r="P156" s="115">
        <v>302.2</v>
      </c>
      <c r="Q156" s="115">
        <v>300.95</v>
      </c>
      <c r="R156">
        <v>12697</v>
      </c>
    </row>
    <row r="157" spans="1:18" x14ac:dyDescent="0.25">
      <c r="A157" s="169">
        <v>42228</v>
      </c>
      <c r="B157" s="115">
        <v>299</v>
      </c>
      <c r="C157" s="115">
        <v>292.7</v>
      </c>
      <c r="D157" s="115">
        <v>291.60000000000002</v>
      </c>
      <c r="E157" s="115">
        <v>299</v>
      </c>
      <c r="F157" s="115">
        <v>292.7</v>
      </c>
      <c r="G157">
        <v>3965</v>
      </c>
      <c r="H157" s="115"/>
      <c r="I157" s="115"/>
      <c r="L157" s="169">
        <v>42228</v>
      </c>
      <c r="M157" s="115">
        <v>292.85000000000002</v>
      </c>
      <c r="N157" s="115">
        <v>302.39999999999998</v>
      </c>
      <c r="O157" s="115">
        <v>291.5</v>
      </c>
      <c r="P157" s="115">
        <v>302.39999999999998</v>
      </c>
      <c r="Q157" s="115">
        <v>292.85000000000002</v>
      </c>
      <c r="R157">
        <v>18826</v>
      </c>
    </row>
    <row r="158" spans="1:18" x14ac:dyDescent="0.25">
      <c r="A158" s="169">
        <v>42229</v>
      </c>
      <c r="B158" s="115">
        <v>298.3</v>
      </c>
      <c r="C158" s="115">
        <v>282.3</v>
      </c>
      <c r="D158" s="115">
        <v>280.5</v>
      </c>
      <c r="E158" s="115">
        <v>296</v>
      </c>
      <c r="F158" s="115">
        <v>282.3</v>
      </c>
      <c r="G158">
        <v>7787</v>
      </c>
      <c r="H158" s="115"/>
      <c r="I158" s="115"/>
      <c r="L158" s="169">
        <v>42229</v>
      </c>
      <c r="M158" s="115">
        <v>285</v>
      </c>
      <c r="N158" s="115">
        <v>299</v>
      </c>
      <c r="O158" s="115">
        <v>281.7</v>
      </c>
      <c r="P158" s="115">
        <v>293.10000000000002</v>
      </c>
      <c r="Q158" s="115">
        <v>285</v>
      </c>
      <c r="R158">
        <v>29424</v>
      </c>
    </row>
    <row r="159" spans="1:18" x14ac:dyDescent="0.25">
      <c r="A159" s="169">
        <v>42230</v>
      </c>
      <c r="B159" s="115">
        <v>293</v>
      </c>
      <c r="C159" s="115">
        <v>288</v>
      </c>
      <c r="D159" s="115">
        <v>282.10000000000002</v>
      </c>
      <c r="E159" s="115">
        <v>288.7</v>
      </c>
      <c r="F159" s="115">
        <v>288</v>
      </c>
      <c r="G159">
        <v>5451</v>
      </c>
      <c r="H159" s="115"/>
      <c r="I159" s="115"/>
      <c r="L159" s="169">
        <v>42230</v>
      </c>
      <c r="M159" s="115">
        <v>288.7</v>
      </c>
      <c r="N159" s="115">
        <v>292.89999999999998</v>
      </c>
      <c r="O159" s="115">
        <v>282.55</v>
      </c>
      <c r="P159" s="115">
        <v>283.45</v>
      </c>
      <c r="Q159" s="115">
        <v>288.7</v>
      </c>
      <c r="R159">
        <v>16729</v>
      </c>
    </row>
    <row r="160" spans="1:18" x14ac:dyDescent="0.25">
      <c r="A160" s="169">
        <v>42233</v>
      </c>
      <c r="B160" s="115">
        <v>297.5</v>
      </c>
      <c r="C160" s="115">
        <v>294.60000000000002</v>
      </c>
      <c r="D160" s="115">
        <v>286</v>
      </c>
      <c r="E160" s="115">
        <v>287</v>
      </c>
      <c r="F160" s="115">
        <v>294.60000000000002</v>
      </c>
      <c r="G160">
        <v>6441</v>
      </c>
      <c r="H160" s="115"/>
      <c r="I160" s="115"/>
      <c r="L160" s="169">
        <v>42233</v>
      </c>
      <c r="M160" s="115">
        <v>295.2</v>
      </c>
      <c r="N160" s="115">
        <v>298.8</v>
      </c>
      <c r="O160" s="115">
        <v>282.95</v>
      </c>
      <c r="P160" s="115">
        <v>287.05</v>
      </c>
      <c r="Q160" s="115">
        <v>295.2</v>
      </c>
      <c r="R160">
        <v>21620</v>
      </c>
    </row>
    <row r="161" spans="1:18" x14ac:dyDescent="0.25">
      <c r="A161" s="169">
        <v>42234</v>
      </c>
      <c r="B161" s="115">
        <v>299.5</v>
      </c>
      <c r="C161" s="115">
        <v>290.2</v>
      </c>
      <c r="D161" s="115">
        <v>285</v>
      </c>
      <c r="E161" s="115">
        <v>294.2</v>
      </c>
      <c r="F161" s="115">
        <v>290.2</v>
      </c>
      <c r="G161">
        <v>5811</v>
      </c>
      <c r="H161" s="115"/>
      <c r="I161" s="115"/>
      <c r="L161" s="169">
        <v>42234</v>
      </c>
      <c r="M161" s="115">
        <v>291.8</v>
      </c>
      <c r="N161" s="115">
        <v>296.75</v>
      </c>
      <c r="O161" s="115">
        <v>286.35000000000002</v>
      </c>
      <c r="P161" s="115">
        <v>296</v>
      </c>
      <c r="Q161" s="115">
        <v>291.8</v>
      </c>
      <c r="R161">
        <v>15158</v>
      </c>
    </row>
    <row r="162" spans="1:18" x14ac:dyDescent="0.25">
      <c r="A162" s="169">
        <v>42235</v>
      </c>
      <c r="B162" s="115">
        <v>293.8</v>
      </c>
      <c r="C162" s="115">
        <v>285.10000000000002</v>
      </c>
      <c r="D162" s="115">
        <v>282.5</v>
      </c>
      <c r="E162" s="115">
        <v>292</v>
      </c>
      <c r="F162" s="115">
        <v>285.10000000000002</v>
      </c>
      <c r="G162">
        <v>4918</v>
      </c>
      <c r="H162" s="115"/>
      <c r="I162" s="115"/>
      <c r="L162" s="169">
        <v>42235</v>
      </c>
      <c r="M162" s="115">
        <v>283.45</v>
      </c>
      <c r="N162" s="115">
        <v>297</v>
      </c>
      <c r="O162" s="115">
        <v>281.25</v>
      </c>
      <c r="P162" s="115">
        <v>297</v>
      </c>
      <c r="Q162" s="115">
        <v>283.45</v>
      </c>
      <c r="R162">
        <v>17049</v>
      </c>
    </row>
    <row r="163" spans="1:18" x14ac:dyDescent="0.25">
      <c r="A163" s="169">
        <v>42236</v>
      </c>
      <c r="B163" s="115">
        <v>288.8</v>
      </c>
      <c r="C163" s="115">
        <v>281.7</v>
      </c>
      <c r="D163" s="115">
        <v>281</v>
      </c>
      <c r="E163" s="115">
        <v>282</v>
      </c>
      <c r="F163" s="115">
        <v>281.7</v>
      </c>
      <c r="G163">
        <v>4864</v>
      </c>
      <c r="H163" s="115"/>
      <c r="I163" s="115"/>
      <c r="L163" s="169">
        <v>42236</v>
      </c>
      <c r="M163" s="115">
        <v>281.85000000000002</v>
      </c>
      <c r="N163" s="115">
        <v>289.45</v>
      </c>
      <c r="O163" s="115">
        <v>278.85000000000002</v>
      </c>
      <c r="P163" s="115">
        <v>278.85000000000002</v>
      </c>
      <c r="Q163" s="115">
        <v>281.85000000000002</v>
      </c>
      <c r="R163">
        <v>25499</v>
      </c>
    </row>
    <row r="164" spans="1:18" x14ac:dyDescent="0.25">
      <c r="A164" s="169">
        <v>42237</v>
      </c>
      <c r="B164" s="115">
        <v>285.5</v>
      </c>
      <c r="C164" s="115">
        <v>277.5</v>
      </c>
      <c r="D164" s="115">
        <v>275</v>
      </c>
      <c r="E164" s="115">
        <v>276.5</v>
      </c>
      <c r="F164" s="115">
        <v>277.5</v>
      </c>
      <c r="G164">
        <v>5711</v>
      </c>
      <c r="H164" s="115"/>
      <c r="I164" s="115"/>
      <c r="L164" s="169">
        <v>42237</v>
      </c>
      <c r="M164" s="115">
        <v>277.25</v>
      </c>
      <c r="N164" s="115">
        <v>283.85000000000002</v>
      </c>
      <c r="O164" s="115">
        <v>272.10000000000002</v>
      </c>
      <c r="P164" s="115">
        <v>280.14999999999998</v>
      </c>
      <c r="Q164" s="115">
        <v>277.25</v>
      </c>
      <c r="R164">
        <v>11686</v>
      </c>
    </row>
    <row r="165" spans="1:18" x14ac:dyDescent="0.25">
      <c r="A165" s="169">
        <v>42240</v>
      </c>
      <c r="B165" s="115">
        <v>274</v>
      </c>
      <c r="C165" s="115">
        <v>250.1</v>
      </c>
      <c r="D165" s="115">
        <v>250</v>
      </c>
      <c r="E165" s="115">
        <v>261.7</v>
      </c>
      <c r="F165" s="115">
        <v>250.1</v>
      </c>
      <c r="G165">
        <v>14003</v>
      </c>
      <c r="H165" s="115"/>
      <c r="I165" s="115"/>
      <c r="L165" s="169">
        <v>42240</v>
      </c>
      <c r="M165" s="115">
        <v>250.6</v>
      </c>
      <c r="N165" s="115">
        <v>274</v>
      </c>
      <c r="O165" s="115">
        <v>249.8</v>
      </c>
      <c r="P165" s="115">
        <v>251</v>
      </c>
      <c r="Q165" s="115">
        <v>250.6</v>
      </c>
      <c r="R165">
        <v>87262</v>
      </c>
    </row>
    <row r="166" spans="1:18" x14ac:dyDescent="0.25">
      <c r="A166" s="169">
        <v>42241</v>
      </c>
      <c r="B166" s="115">
        <v>263.89999999999998</v>
      </c>
      <c r="C166" s="115">
        <v>262.7</v>
      </c>
      <c r="D166" s="115">
        <v>222.1</v>
      </c>
      <c r="E166" s="115">
        <v>222.1</v>
      </c>
      <c r="F166" s="115">
        <v>262.7</v>
      </c>
      <c r="G166">
        <v>15120</v>
      </c>
      <c r="H166" s="115"/>
      <c r="I166" s="115"/>
      <c r="L166" s="169">
        <v>42241</v>
      </c>
      <c r="M166" s="115">
        <v>259.7</v>
      </c>
      <c r="N166" s="115">
        <v>264</v>
      </c>
      <c r="O166" s="115">
        <v>240.1</v>
      </c>
      <c r="P166" s="115">
        <v>251</v>
      </c>
      <c r="Q166" s="115">
        <v>259.7</v>
      </c>
      <c r="R166">
        <v>58374</v>
      </c>
    </row>
    <row r="167" spans="1:18" x14ac:dyDescent="0.25">
      <c r="A167" s="169">
        <v>42242</v>
      </c>
      <c r="B167" s="115">
        <v>278</v>
      </c>
      <c r="C167" s="115">
        <v>275.60000000000002</v>
      </c>
      <c r="D167" s="115">
        <v>259.2</v>
      </c>
      <c r="E167" s="115">
        <v>262.8</v>
      </c>
      <c r="F167" s="115">
        <v>275.60000000000002</v>
      </c>
      <c r="G167">
        <v>10225</v>
      </c>
      <c r="H167" s="115"/>
      <c r="I167" s="115"/>
      <c r="L167" s="169">
        <v>42242</v>
      </c>
      <c r="M167" s="115">
        <v>276.64999999999998</v>
      </c>
      <c r="N167" s="115">
        <v>279.2</v>
      </c>
      <c r="O167" s="115">
        <v>260</v>
      </c>
      <c r="P167" s="115">
        <v>263.95</v>
      </c>
      <c r="Q167" s="115">
        <v>276.64999999999998</v>
      </c>
      <c r="R167">
        <v>48225</v>
      </c>
    </row>
    <row r="168" spans="1:18" x14ac:dyDescent="0.25">
      <c r="A168" s="169">
        <v>42243</v>
      </c>
      <c r="B168" s="115">
        <v>288</v>
      </c>
      <c r="C168" s="115">
        <v>287.60000000000002</v>
      </c>
      <c r="D168" s="115">
        <v>279.3</v>
      </c>
      <c r="E168" s="115">
        <v>279.3</v>
      </c>
      <c r="F168" s="115">
        <v>287.60000000000002</v>
      </c>
      <c r="G168">
        <v>6163</v>
      </c>
      <c r="H168" s="115"/>
      <c r="I168" s="115"/>
      <c r="L168" s="169">
        <v>42243</v>
      </c>
      <c r="M168" s="115">
        <v>288.05</v>
      </c>
      <c r="N168" s="115">
        <v>289.14999999999998</v>
      </c>
      <c r="O168" s="115">
        <v>279.8</v>
      </c>
      <c r="P168" s="115">
        <v>279.8</v>
      </c>
      <c r="Q168" s="115">
        <v>288.05</v>
      </c>
      <c r="R168">
        <v>36039</v>
      </c>
    </row>
    <row r="169" spans="1:18" x14ac:dyDescent="0.25">
      <c r="A169" s="169">
        <v>42244</v>
      </c>
      <c r="B169" s="115">
        <v>299</v>
      </c>
      <c r="C169" s="115">
        <v>289</v>
      </c>
      <c r="D169" s="115">
        <v>287.5</v>
      </c>
      <c r="E169" s="115">
        <v>298</v>
      </c>
      <c r="F169" s="115">
        <v>289</v>
      </c>
      <c r="G169">
        <v>30968</v>
      </c>
      <c r="H169" s="115"/>
      <c r="I169" s="115"/>
      <c r="L169" s="169">
        <v>42244</v>
      </c>
      <c r="M169" s="115">
        <v>289.14999999999998</v>
      </c>
      <c r="N169" s="115">
        <v>298.2</v>
      </c>
      <c r="O169" s="115">
        <v>287</v>
      </c>
      <c r="P169" s="115">
        <v>296.95</v>
      </c>
      <c r="Q169" s="115">
        <v>289.14999999999998</v>
      </c>
      <c r="R169">
        <v>75158</v>
      </c>
    </row>
    <row r="170" spans="1:18" x14ac:dyDescent="0.25">
      <c r="A170" s="169">
        <v>42247</v>
      </c>
      <c r="B170" s="115">
        <v>288.3</v>
      </c>
      <c r="C170" s="115">
        <v>280.2</v>
      </c>
      <c r="D170" s="115">
        <v>278</v>
      </c>
      <c r="E170" s="115">
        <v>288.10000000000002</v>
      </c>
      <c r="F170" s="115">
        <v>280.2</v>
      </c>
      <c r="G170">
        <v>3905</v>
      </c>
      <c r="H170" s="115"/>
      <c r="I170" s="115"/>
      <c r="L170" s="169">
        <v>42247</v>
      </c>
      <c r="M170" s="115">
        <v>279.85000000000002</v>
      </c>
      <c r="N170" s="115">
        <v>290.5</v>
      </c>
      <c r="O170" s="115">
        <v>278.10000000000002</v>
      </c>
      <c r="P170" s="115">
        <v>290.05</v>
      </c>
      <c r="Q170" s="115">
        <v>279.85000000000002</v>
      </c>
      <c r="R170">
        <v>24885</v>
      </c>
    </row>
    <row r="171" spans="1:18" x14ac:dyDescent="0.25">
      <c r="A171" s="169">
        <v>42248</v>
      </c>
      <c r="B171" s="115">
        <v>285</v>
      </c>
      <c r="C171" s="115">
        <v>278.10000000000002</v>
      </c>
      <c r="D171" s="115">
        <v>275</v>
      </c>
      <c r="E171" s="115">
        <v>275.2</v>
      </c>
      <c r="F171" s="115">
        <v>278.10000000000002</v>
      </c>
      <c r="G171">
        <v>4814</v>
      </c>
      <c r="H171" s="115"/>
      <c r="I171" s="115"/>
      <c r="L171" s="169">
        <v>42248</v>
      </c>
      <c r="M171" s="115">
        <v>277.95</v>
      </c>
      <c r="N171" s="115">
        <v>280.5</v>
      </c>
      <c r="O171" s="115">
        <v>275.05</v>
      </c>
      <c r="P171" s="115">
        <v>280</v>
      </c>
      <c r="Q171" s="115">
        <v>277.95</v>
      </c>
      <c r="R171">
        <v>14357</v>
      </c>
    </row>
    <row r="172" spans="1:18" x14ac:dyDescent="0.25">
      <c r="A172" s="169">
        <v>42249</v>
      </c>
      <c r="B172" s="115">
        <v>289</v>
      </c>
      <c r="C172" s="115">
        <v>273.39999999999998</v>
      </c>
      <c r="D172" s="115">
        <v>273</v>
      </c>
      <c r="E172" s="115">
        <v>289</v>
      </c>
      <c r="F172" s="115">
        <v>273.39999999999998</v>
      </c>
      <c r="G172">
        <v>11713</v>
      </c>
      <c r="H172" s="115"/>
      <c r="I172" s="115"/>
      <c r="L172" s="169">
        <v>42249</v>
      </c>
      <c r="M172" s="115">
        <v>276</v>
      </c>
      <c r="N172" s="115">
        <v>282.39999999999998</v>
      </c>
      <c r="O172" s="115">
        <v>273</v>
      </c>
      <c r="P172" s="115">
        <v>278</v>
      </c>
      <c r="Q172" s="115">
        <v>276</v>
      </c>
      <c r="R172">
        <v>12005</v>
      </c>
    </row>
    <row r="173" spans="1:18" x14ac:dyDescent="0.25">
      <c r="A173" s="169">
        <v>42250</v>
      </c>
      <c r="B173" s="115">
        <v>287.2</v>
      </c>
      <c r="C173" s="115">
        <v>275.60000000000002</v>
      </c>
      <c r="D173" s="115">
        <v>274</v>
      </c>
      <c r="E173" s="115">
        <v>274</v>
      </c>
      <c r="F173" s="115">
        <v>275.60000000000002</v>
      </c>
      <c r="G173">
        <v>5336</v>
      </c>
      <c r="H173" s="115"/>
      <c r="I173" s="115"/>
      <c r="L173" s="169">
        <v>42250</v>
      </c>
      <c r="M173" s="115">
        <v>274.95</v>
      </c>
      <c r="N173" s="115">
        <v>287.39999999999998</v>
      </c>
      <c r="O173" s="115">
        <v>273.10000000000002</v>
      </c>
      <c r="P173" s="115">
        <v>275.14999999999998</v>
      </c>
      <c r="Q173" s="115">
        <v>274.95</v>
      </c>
      <c r="R173">
        <v>16110</v>
      </c>
    </row>
    <row r="174" spans="1:18" x14ac:dyDescent="0.25">
      <c r="A174" s="169">
        <v>42251</v>
      </c>
      <c r="B174" s="115">
        <v>277.5</v>
      </c>
      <c r="C174" s="115">
        <v>265.60000000000002</v>
      </c>
      <c r="D174" s="115">
        <v>264.60000000000002</v>
      </c>
      <c r="E174" s="115">
        <v>275.5</v>
      </c>
      <c r="F174" s="115">
        <v>265.60000000000002</v>
      </c>
      <c r="G174">
        <v>4379</v>
      </c>
      <c r="H174" s="115"/>
      <c r="I174" s="115"/>
      <c r="L174" s="169">
        <v>42251</v>
      </c>
      <c r="M174" s="115">
        <v>264.35000000000002</v>
      </c>
      <c r="N174" s="115">
        <v>279.8</v>
      </c>
      <c r="O174" s="115">
        <v>262.10000000000002</v>
      </c>
      <c r="P174" s="115">
        <v>275.64999999999998</v>
      </c>
      <c r="Q174" s="115">
        <v>264.35000000000002</v>
      </c>
      <c r="R174">
        <v>18809</v>
      </c>
    </row>
    <row r="175" spans="1:18" x14ac:dyDescent="0.25">
      <c r="A175" s="169">
        <v>42254</v>
      </c>
      <c r="B175" s="115">
        <v>270.8</v>
      </c>
      <c r="C175" s="115">
        <v>252.5</v>
      </c>
      <c r="D175" s="115">
        <v>250</v>
      </c>
      <c r="E175" s="115">
        <v>268</v>
      </c>
      <c r="F175" s="115">
        <v>252.5</v>
      </c>
      <c r="G175">
        <v>20041</v>
      </c>
      <c r="H175" s="115"/>
      <c r="I175" s="115"/>
      <c r="L175" s="169">
        <v>42254</v>
      </c>
      <c r="M175" s="115">
        <v>253.35</v>
      </c>
      <c r="N175" s="115">
        <v>277.89999999999998</v>
      </c>
      <c r="O175" s="115">
        <v>251.5</v>
      </c>
      <c r="P175" s="115">
        <v>269</v>
      </c>
      <c r="Q175" s="115">
        <v>253.35</v>
      </c>
      <c r="R175">
        <v>61567</v>
      </c>
    </row>
    <row r="176" spans="1:18" x14ac:dyDescent="0.25">
      <c r="A176" s="169">
        <v>42255</v>
      </c>
      <c r="B176" s="115">
        <v>268</v>
      </c>
      <c r="C176" s="115">
        <v>263</v>
      </c>
      <c r="D176" s="115">
        <v>251.6</v>
      </c>
      <c r="E176" s="115">
        <v>253.5</v>
      </c>
      <c r="F176" s="115">
        <v>263</v>
      </c>
      <c r="G176">
        <v>9522</v>
      </c>
      <c r="H176" s="115"/>
      <c r="I176" s="115"/>
      <c r="L176" s="169">
        <v>42255</v>
      </c>
      <c r="M176" s="115">
        <v>262.95</v>
      </c>
      <c r="N176" s="115">
        <v>265.8</v>
      </c>
      <c r="O176" s="115">
        <v>251.25</v>
      </c>
      <c r="P176" s="115">
        <v>255.1</v>
      </c>
      <c r="Q176" s="115">
        <v>262.95</v>
      </c>
      <c r="R176">
        <v>42936</v>
      </c>
    </row>
    <row r="177" spans="1:18" x14ac:dyDescent="0.25">
      <c r="A177" s="169">
        <v>42256</v>
      </c>
      <c r="B177" s="115">
        <v>270</v>
      </c>
      <c r="C177" s="115">
        <v>268.5</v>
      </c>
      <c r="D177" s="115">
        <v>261.2</v>
      </c>
      <c r="E177" s="115">
        <v>265.60000000000002</v>
      </c>
      <c r="F177" s="115">
        <v>268.5</v>
      </c>
      <c r="G177">
        <v>1878</v>
      </c>
      <c r="H177" s="115"/>
      <c r="I177" s="115"/>
      <c r="L177" s="169">
        <v>42256</v>
      </c>
      <c r="M177" s="115">
        <v>267.89999999999998</v>
      </c>
      <c r="N177" s="115">
        <v>271.95</v>
      </c>
      <c r="O177" s="115">
        <v>261.35000000000002</v>
      </c>
      <c r="P177" s="115">
        <v>265.05</v>
      </c>
      <c r="Q177" s="115">
        <v>267.89999999999998</v>
      </c>
      <c r="R177">
        <v>19376</v>
      </c>
    </row>
    <row r="178" spans="1:18" x14ac:dyDescent="0.25">
      <c r="A178" s="169">
        <v>42257</v>
      </c>
      <c r="B178" s="115">
        <v>272.89999999999998</v>
      </c>
      <c r="C178" s="115">
        <v>271.10000000000002</v>
      </c>
      <c r="D178" s="115">
        <v>265.10000000000002</v>
      </c>
      <c r="E178" s="115">
        <v>265.2</v>
      </c>
      <c r="F178" s="115">
        <v>271.10000000000002</v>
      </c>
      <c r="G178">
        <v>3144</v>
      </c>
      <c r="H178" s="115"/>
      <c r="I178" s="115"/>
      <c r="L178" s="169">
        <v>42257</v>
      </c>
      <c r="M178" s="115">
        <v>271.2</v>
      </c>
      <c r="N178" s="115">
        <v>272.95</v>
      </c>
      <c r="O178" s="115">
        <v>262.05</v>
      </c>
      <c r="P178" s="115">
        <v>265</v>
      </c>
      <c r="Q178" s="115">
        <v>271.2</v>
      </c>
      <c r="R178">
        <v>28143</v>
      </c>
    </row>
    <row r="179" spans="1:18" x14ac:dyDescent="0.25">
      <c r="A179" s="169">
        <v>42258</v>
      </c>
      <c r="B179" s="115">
        <v>280</v>
      </c>
      <c r="C179" s="115">
        <v>277.39999999999998</v>
      </c>
      <c r="D179" s="115">
        <v>269.5</v>
      </c>
      <c r="E179" s="115">
        <v>269.5</v>
      </c>
      <c r="F179" s="115">
        <v>277.39999999999998</v>
      </c>
      <c r="G179">
        <v>3514</v>
      </c>
      <c r="H179" s="115"/>
      <c r="I179" s="115"/>
      <c r="L179" s="169">
        <v>42258</v>
      </c>
      <c r="M179" s="115">
        <v>278</v>
      </c>
      <c r="N179" s="115">
        <v>280.95</v>
      </c>
      <c r="O179" s="115">
        <v>269.39999999999998</v>
      </c>
      <c r="P179" s="115">
        <v>273.2</v>
      </c>
      <c r="Q179" s="115">
        <v>278</v>
      </c>
      <c r="R179">
        <v>27356</v>
      </c>
    </row>
    <row r="180" spans="1:18" x14ac:dyDescent="0.25">
      <c r="A180" s="169">
        <v>42261</v>
      </c>
      <c r="B180" s="115">
        <v>288</v>
      </c>
      <c r="C180" s="115">
        <v>284.8</v>
      </c>
      <c r="D180" s="115">
        <v>279.8</v>
      </c>
      <c r="E180" s="115">
        <v>279.8</v>
      </c>
      <c r="F180" s="115">
        <v>284.8</v>
      </c>
      <c r="G180">
        <v>6241</v>
      </c>
      <c r="H180" s="115"/>
      <c r="I180" s="115"/>
      <c r="L180" s="169">
        <v>42261</v>
      </c>
      <c r="M180" s="115">
        <v>284.60000000000002</v>
      </c>
      <c r="N180" s="115">
        <v>287.2</v>
      </c>
      <c r="O180" s="115">
        <v>278.95</v>
      </c>
      <c r="P180" s="115">
        <v>278.95</v>
      </c>
      <c r="Q180" s="115">
        <v>284.60000000000002</v>
      </c>
      <c r="R180">
        <v>28229</v>
      </c>
    </row>
    <row r="181" spans="1:18" x14ac:dyDescent="0.25">
      <c r="A181" s="169">
        <v>42262</v>
      </c>
      <c r="B181" s="115">
        <v>284</v>
      </c>
      <c r="C181" s="115">
        <v>283.10000000000002</v>
      </c>
      <c r="D181" s="115">
        <v>278.8</v>
      </c>
      <c r="E181" s="115">
        <v>284</v>
      </c>
      <c r="F181" s="115">
        <v>283.10000000000002</v>
      </c>
      <c r="G181">
        <v>2306</v>
      </c>
      <c r="H181" s="115"/>
      <c r="I181" s="115"/>
      <c r="L181" s="169">
        <v>42262</v>
      </c>
      <c r="M181" s="115">
        <v>284.2</v>
      </c>
      <c r="N181" s="115">
        <v>287.75</v>
      </c>
      <c r="O181" s="115">
        <v>276.5</v>
      </c>
      <c r="P181" s="115">
        <v>287.45</v>
      </c>
      <c r="Q181" s="115">
        <v>284.2</v>
      </c>
      <c r="R181">
        <v>9027</v>
      </c>
    </row>
    <row r="182" spans="1:18" x14ac:dyDescent="0.25">
      <c r="A182" s="169">
        <v>42263</v>
      </c>
      <c r="B182" s="115">
        <v>293.89999999999998</v>
      </c>
      <c r="C182" s="115">
        <v>274.39999999999998</v>
      </c>
      <c r="D182" s="115">
        <v>271.8</v>
      </c>
      <c r="E182" s="115">
        <v>293.89999999999998</v>
      </c>
      <c r="F182" s="115">
        <v>274.39999999999998</v>
      </c>
      <c r="G182">
        <v>3807</v>
      </c>
      <c r="H182" s="115"/>
      <c r="I182" s="115"/>
      <c r="L182" s="169">
        <v>42263</v>
      </c>
      <c r="M182" s="115">
        <v>273.35000000000002</v>
      </c>
      <c r="N182" s="115">
        <v>287.95</v>
      </c>
      <c r="O182" s="115">
        <v>271.5</v>
      </c>
      <c r="P182" s="115">
        <v>287.75</v>
      </c>
      <c r="Q182" s="115">
        <v>273.35000000000002</v>
      </c>
      <c r="R182">
        <v>24701</v>
      </c>
    </row>
    <row r="183" spans="1:18" x14ac:dyDescent="0.25">
      <c r="A183" s="169">
        <v>42265</v>
      </c>
      <c r="B183" s="115">
        <v>282</v>
      </c>
      <c r="C183" s="115">
        <v>276.10000000000002</v>
      </c>
      <c r="D183" s="115">
        <v>274.89999999999998</v>
      </c>
      <c r="E183" s="115">
        <v>278.39999999999998</v>
      </c>
      <c r="F183" s="115">
        <v>276.10000000000002</v>
      </c>
      <c r="G183">
        <v>3190</v>
      </c>
      <c r="H183" s="115"/>
      <c r="I183" s="115"/>
      <c r="L183" s="169">
        <v>42265</v>
      </c>
      <c r="M183" s="115">
        <v>276</v>
      </c>
      <c r="N183" s="115">
        <v>280.5</v>
      </c>
      <c r="O183" s="115">
        <v>274.14999999999998</v>
      </c>
      <c r="P183" s="115">
        <v>277.60000000000002</v>
      </c>
      <c r="Q183" s="115">
        <v>276</v>
      </c>
      <c r="R183">
        <v>13372</v>
      </c>
    </row>
    <row r="184" spans="1:18" x14ac:dyDescent="0.25">
      <c r="A184" s="169">
        <v>42268</v>
      </c>
      <c r="B184" s="115">
        <v>281.7</v>
      </c>
      <c r="C184" s="115">
        <v>277.8</v>
      </c>
      <c r="D184" s="115">
        <v>275</v>
      </c>
      <c r="E184" s="115">
        <v>280.60000000000002</v>
      </c>
      <c r="F184" s="115">
        <v>277.8</v>
      </c>
      <c r="G184">
        <v>1655</v>
      </c>
      <c r="H184" s="115"/>
      <c r="I184" s="115"/>
      <c r="L184" s="169">
        <v>42268</v>
      </c>
      <c r="M184" s="115">
        <v>278.10000000000002</v>
      </c>
      <c r="N184" s="115">
        <v>281.5</v>
      </c>
      <c r="O184" s="115">
        <v>274.7</v>
      </c>
      <c r="P184" s="115">
        <v>276</v>
      </c>
      <c r="Q184" s="115">
        <v>278.10000000000002</v>
      </c>
      <c r="R184">
        <v>11677</v>
      </c>
    </row>
    <row r="185" spans="1:18" x14ac:dyDescent="0.25">
      <c r="A185" s="169">
        <v>42269</v>
      </c>
      <c r="B185" s="115">
        <v>283.10000000000002</v>
      </c>
      <c r="C185" s="115">
        <v>273.5</v>
      </c>
      <c r="D185" s="115">
        <v>270</v>
      </c>
      <c r="E185" s="115">
        <v>278.10000000000002</v>
      </c>
      <c r="F185" s="115">
        <v>273.5</v>
      </c>
      <c r="G185">
        <v>1877</v>
      </c>
      <c r="H185" s="115"/>
      <c r="I185" s="115"/>
      <c r="L185" s="169">
        <v>42269</v>
      </c>
      <c r="M185" s="115">
        <v>272.95</v>
      </c>
      <c r="N185" s="115">
        <v>281.8</v>
      </c>
      <c r="O185" s="115">
        <v>271.5</v>
      </c>
      <c r="P185" s="115">
        <v>279.05</v>
      </c>
      <c r="Q185" s="115">
        <v>272.95</v>
      </c>
      <c r="R185">
        <v>12776</v>
      </c>
    </row>
    <row r="186" spans="1:18" x14ac:dyDescent="0.25">
      <c r="A186" s="169">
        <v>42270</v>
      </c>
      <c r="B186" s="115">
        <v>279.89999999999998</v>
      </c>
      <c r="C186" s="115">
        <v>278.60000000000002</v>
      </c>
      <c r="D186" s="115">
        <v>271.2</v>
      </c>
      <c r="E186" s="115">
        <v>274</v>
      </c>
      <c r="F186" s="115">
        <v>278.60000000000002</v>
      </c>
      <c r="G186">
        <v>1843</v>
      </c>
      <c r="H186" s="115"/>
      <c r="I186" s="115"/>
      <c r="L186" s="169">
        <v>42270</v>
      </c>
      <c r="M186" s="115">
        <v>276.75</v>
      </c>
      <c r="N186" s="115">
        <v>279.89999999999998</v>
      </c>
      <c r="O186" s="115">
        <v>272.05</v>
      </c>
      <c r="P186" s="115">
        <v>272.10000000000002</v>
      </c>
      <c r="Q186" s="115">
        <v>276.75</v>
      </c>
      <c r="R186">
        <v>7557</v>
      </c>
    </row>
    <row r="187" spans="1:18" x14ac:dyDescent="0.25">
      <c r="A187" s="169">
        <v>42271</v>
      </c>
      <c r="B187" s="115">
        <v>278.39999999999998</v>
      </c>
      <c r="C187" s="115">
        <v>275.10000000000002</v>
      </c>
      <c r="D187" s="115">
        <v>273.5</v>
      </c>
      <c r="E187" s="115">
        <v>276.5</v>
      </c>
      <c r="F187" s="115">
        <v>275.10000000000002</v>
      </c>
      <c r="G187">
        <v>2485</v>
      </c>
      <c r="H187" s="115"/>
      <c r="I187" s="115"/>
      <c r="L187" s="169">
        <v>42271</v>
      </c>
      <c r="M187" s="115">
        <v>275.85000000000002</v>
      </c>
      <c r="N187" s="115">
        <v>281.5</v>
      </c>
      <c r="O187" s="115">
        <v>271.5</v>
      </c>
      <c r="P187" s="115">
        <v>281.5</v>
      </c>
      <c r="Q187" s="115">
        <v>275.85000000000002</v>
      </c>
      <c r="R187">
        <v>9798</v>
      </c>
    </row>
    <row r="188" spans="1:18" x14ac:dyDescent="0.25">
      <c r="A188" s="169">
        <v>42275</v>
      </c>
      <c r="B188" s="115">
        <v>276.2</v>
      </c>
      <c r="C188" s="115">
        <v>273</v>
      </c>
      <c r="D188" s="115">
        <v>272.39999999999998</v>
      </c>
      <c r="E188" s="115">
        <v>273.5</v>
      </c>
      <c r="F188" s="115">
        <v>273</v>
      </c>
      <c r="G188">
        <v>5021</v>
      </c>
      <c r="H188" s="115"/>
      <c r="I188" s="115"/>
      <c r="L188" s="169">
        <v>42275</v>
      </c>
      <c r="M188" s="115">
        <v>271.45</v>
      </c>
      <c r="N188" s="115">
        <v>279</v>
      </c>
      <c r="O188" s="115">
        <v>271.2</v>
      </c>
      <c r="P188" s="115">
        <v>275.85000000000002</v>
      </c>
      <c r="Q188" s="115">
        <v>271.45</v>
      </c>
      <c r="R188">
        <v>9691</v>
      </c>
    </row>
    <row r="189" spans="1:18" x14ac:dyDescent="0.25">
      <c r="A189" s="169">
        <v>42276</v>
      </c>
      <c r="B189" s="115">
        <v>285</v>
      </c>
      <c r="C189" s="115">
        <v>273.2</v>
      </c>
      <c r="D189" s="115">
        <v>270</v>
      </c>
      <c r="E189" s="115">
        <v>285</v>
      </c>
      <c r="F189" s="115">
        <v>273.2</v>
      </c>
      <c r="G189">
        <v>2619</v>
      </c>
      <c r="H189" s="115"/>
      <c r="I189" s="115"/>
      <c r="L189" s="169">
        <v>42276</v>
      </c>
      <c r="M189" s="115">
        <v>274.64999999999998</v>
      </c>
      <c r="N189" s="115">
        <v>276.10000000000002</v>
      </c>
      <c r="O189" s="115">
        <v>270</v>
      </c>
      <c r="P189" s="115">
        <v>270.14999999999998</v>
      </c>
      <c r="Q189" s="115">
        <v>274.64999999999998</v>
      </c>
      <c r="R189">
        <v>18963</v>
      </c>
    </row>
    <row r="190" spans="1:18" x14ac:dyDescent="0.25">
      <c r="A190" s="169">
        <v>42277</v>
      </c>
      <c r="B190" s="115">
        <v>276</v>
      </c>
      <c r="C190" s="115">
        <v>272.39999999999998</v>
      </c>
      <c r="D190" s="115">
        <v>271.60000000000002</v>
      </c>
      <c r="E190" s="115">
        <v>273.89999999999998</v>
      </c>
      <c r="F190" s="115">
        <v>272.39999999999998</v>
      </c>
      <c r="G190">
        <v>2484</v>
      </c>
      <c r="H190" s="115"/>
      <c r="I190" s="115"/>
      <c r="L190" s="169">
        <v>42277</v>
      </c>
      <c r="M190" s="115">
        <v>273.7</v>
      </c>
      <c r="N190" s="115">
        <v>277.7</v>
      </c>
      <c r="O190" s="115">
        <v>271</v>
      </c>
      <c r="P190" s="115">
        <v>275.05</v>
      </c>
      <c r="Q190" s="115">
        <v>273.7</v>
      </c>
      <c r="R190">
        <v>13440</v>
      </c>
    </row>
    <row r="191" spans="1:18" x14ac:dyDescent="0.25">
      <c r="A191" s="169">
        <v>42278</v>
      </c>
      <c r="B191" s="115">
        <v>275.10000000000002</v>
      </c>
      <c r="C191" s="115">
        <v>270.60000000000002</v>
      </c>
      <c r="D191" s="115">
        <v>268.5</v>
      </c>
      <c r="E191" s="115">
        <v>273</v>
      </c>
      <c r="F191" s="115">
        <v>270.60000000000002</v>
      </c>
      <c r="G191">
        <v>4802</v>
      </c>
      <c r="H191" s="115"/>
      <c r="I191" s="115"/>
      <c r="L191" s="169">
        <v>42278</v>
      </c>
      <c r="M191" s="115">
        <v>269.64999999999998</v>
      </c>
      <c r="N191" s="115">
        <v>281.8</v>
      </c>
      <c r="O191" s="115">
        <v>266.8</v>
      </c>
      <c r="P191" s="115">
        <v>281.75</v>
      </c>
      <c r="Q191" s="115">
        <v>269.64999999999998</v>
      </c>
      <c r="R191">
        <v>13795</v>
      </c>
    </row>
    <row r="192" spans="1:18" x14ac:dyDescent="0.25">
      <c r="A192" s="169">
        <v>42282</v>
      </c>
      <c r="B192" s="115">
        <v>278</v>
      </c>
      <c r="C192" s="115">
        <v>277.10000000000002</v>
      </c>
      <c r="D192" s="115">
        <v>270</v>
      </c>
      <c r="E192" s="115">
        <v>273</v>
      </c>
      <c r="F192" s="115">
        <v>277.10000000000002</v>
      </c>
      <c r="G192">
        <v>3325</v>
      </c>
      <c r="H192" s="115"/>
      <c r="I192" s="115"/>
      <c r="L192" s="169">
        <v>42282</v>
      </c>
      <c r="M192" s="115">
        <v>276.3</v>
      </c>
      <c r="N192" s="115">
        <v>278.8</v>
      </c>
      <c r="O192" s="115">
        <v>272</v>
      </c>
      <c r="P192" s="115">
        <v>273.39999999999998</v>
      </c>
      <c r="Q192" s="115">
        <v>276.3</v>
      </c>
      <c r="R192">
        <v>15593</v>
      </c>
    </row>
    <row r="193" spans="1:18" x14ac:dyDescent="0.25">
      <c r="A193" s="169">
        <v>42283</v>
      </c>
      <c r="B193" s="115">
        <v>277.89999999999998</v>
      </c>
      <c r="C193" s="115">
        <v>277.8</v>
      </c>
      <c r="D193" s="115">
        <v>275</v>
      </c>
      <c r="E193" s="115">
        <v>275.60000000000002</v>
      </c>
      <c r="F193" s="115">
        <v>277.8</v>
      </c>
      <c r="G193">
        <v>4006</v>
      </c>
      <c r="H193" s="115"/>
      <c r="I193" s="115"/>
      <c r="L193" s="169">
        <v>42283</v>
      </c>
      <c r="M193" s="115">
        <v>275.7</v>
      </c>
      <c r="N193" s="115">
        <v>279.2</v>
      </c>
      <c r="O193" s="115">
        <v>274.5</v>
      </c>
      <c r="P193" s="115">
        <v>278.89999999999998</v>
      </c>
      <c r="Q193" s="115">
        <v>275.7</v>
      </c>
      <c r="R193">
        <v>9649</v>
      </c>
    </row>
    <row r="194" spans="1:18" x14ac:dyDescent="0.25">
      <c r="A194" s="169">
        <v>42284</v>
      </c>
      <c r="B194" s="115">
        <v>279.8</v>
      </c>
      <c r="C194" s="115">
        <v>276.3</v>
      </c>
      <c r="D194" s="115">
        <v>275</v>
      </c>
      <c r="E194" s="115">
        <v>277.10000000000002</v>
      </c>
      <c r="F194" s="115">
        <v>276.3</v>
      </c>
      <c r="G194">
        <v>1414</v>
      </c>
      <c r="H194" s="115"/>
      <c r="I194" s="115"/>
      <c r="L194" s="169">
        <v>42284</v>
      </c>
      <c r="M194" s="115">
        <v>276.3</v>
      </c>
      <c r="N194" s="115">
        <v>278.8</v>
      </c>
      <c r="O194" s="115">
        <v>274.14999999999998</v>
      </c>
      <c r="P194" s="115">
        <v>278.7</v>
      </c>
      <c r="Q194" s="115">
        <v>276.3</v>
      </c>
      <c r="R194">
        <v>11328</v>
      </c>
    </row>
    <row r="195" spans="1:18" x14ac:dyDescent="0.25">
      <c r="A195" s="169">
        <v>42285</v>
      </c>
      <c r="B195" s="115">
        <v>278.89999999999998</v>
      </c>
      <c r="C195" s="115">
        <v>278.7</v>
      </c>
      <c r="D195" s="115">
        <v>273.3</v>
      </c>
      <c r="E195" s="115">
        <v>278.10000000000002</v>
      </c>
      <c r="F195" s="115">
        <v>278.7</v>
      </c>
      <c r="G195">
        <v>1583</v>
      </c>
      <c r="H195" s="115"/>
      <c r="I195" s="115"/>
      <c r="L195" s="169">
        <v>42285</v>
      </c>
      <c r="M195" s="115">
        <v>277.05</v>
      </c>
      <c r="N195" s="115">
        <v>278</v>
      </c>
      <c r="O195" s="115">
        <v>273</v>
      </c>
      <c r="P195" s="115">
        <v>276.05</v>
      </c>
      <c r="Q195" s="115">
        <v>277.05</v>
      </c>
      <c r="R195">
        <v>10005</v>
      </c>
    </row>
    <row r="196" spans="1:18" x14ac:dyDescent="0.25">
      <c r="A196" s="169">
        <v>42286</v>
      </c>
      <c r="B196" s="115">
        <v>280.8</v>
      </c>
      <c r="C196" s="115">
        <v>278.8</v>
      </c>
      <c r="D196" s="115">
        <v>274.2</v>
      </c>
      <c r="E196" s="115">
        <v>277</v>
      </c>
      <c r="F196" s="115">
        <v>278.8</v>
      </c>
      <c r="G196">
        <v>1374</v>
      </c>
      <c r="H196" s="115"/>
      <c r="I196" s="115"/>
      <c r="L196" s="169">
        <v>42286</v>
      </c>
      <c r="M196" s="115">
        <v>276.75</v>
      </c>
      <c r="N196" s="115">
        <v>281.45</v>
      </c>
      <c r="O196" s="115">
        <v>273.60000000000002</v>
      </c>
      <c r="P196" s="115">
        <v>279.64999999999998</v>
      </c>
      <c r="Q196" s="115">
        <v>276.75</v>
      </c>
      <c r="R196">
        <v>17234</v>
      </c>
    </row>
    <row r="197" spans="1:18" x14ac:dyDescent="0.25">
      <c r="A197" s="169">
        <v>42289</v>
      </c>
      <c r="B197" s="115">
        <v>282</v>
      </c>
      <c r="C197" s="115">
        <v>278.10000000000002</v>
      </c>
      <c r="D197" s="115">
        <v>276.2</v>
      </c>
      <c r="E197" s="115">
        <v>278.5</v>
      </c>
      <c r="F197" s="115">
        <v>278.10000000000002</v>
      </c>
      <c r="G197">
        <v>1326</v>
      </c>
      <c r="H197" s="115"/>
      <c r="I197" s="115"/>
      <c r="L197" s="169">
        <v>42289</v>
      </c>
      <c r="M197" s="115">
        <v>277.25</v>
      </c>
      <c r="N197" s="115">
        <v>280.95</v>
      </c>
      <c r="O197" s="115">
        <v>275</v>
      </c>
      <c r="P197" s="115">
        <v>280.95</v>
      </c>
      <c r="Q197" s="115">
        <v>277.25</v>
      </c>
      <c r="R197">
        <v>4892</v>
      </c>
    </row>
    <row r="198" spans="1:18" x14ac:dyDescent="0.25">
      <c r="A198" s="169">
        <v>42290</v>
      </c>
      <c r="B198" s="115">
        <v>277</v>
      </c>
      <c r="C198" s="115">
        <v>275.2</v>
      </c>
      <c r="D198" s="115">
        <v>274</v>
      </c>
      <c r="E198" s="115">
        <v>275.2</v>
      </c>
      <c r="F198" s="115">
        <v>275.2</v>
      </c>
      <c r="G198">
        <v>1860</v>
      </c>
      <c r="H198" s="115"/>
      <c r="I198" s="115"/>
      <c r="L198" s="169">
        <v>42290</v>
      </c>
      <c r="M198" s="115">
        <v>275.55</v>
      </c>
      <c r="N198" s="115">
        <v>277</v>
      </c>
      <c r="O198" s="115">
        <v>272.55</v>
      </c>
      <c r="P198" s="115">
        <v>276</v>
      </c>
      <c r="Q198" s="115">
        <v>275.55</v>
      </c>
      <c r="R198">
        <v>5829</v>
      </c>
    </row>
    <row r="199" spans="1:18" x14ac:dyDescent="0.25">
      <c r="A199" s="169">
        <v>42291</v>
      </c>
      <c r="B199" s="115">
        <v>276.89999999999998</v>
      </c>
      <c r="C199" s="115">
        <v>272.2</v>
      </c>
      <c r="D199" s="115">
        <v>271.2</v>
      </c>
      <c r="E199" s="115">
        <v>273.2</v>
      </c>
      <c r="F199" s="115">
        <v>272.2</v>
      </c>
      <c r="G199">
        <v>1169</v>
      </c>
      <c r="H199" s="115"/>
      <c r="I199" s="115"/>
      <c r="L199" s="169">
        <v>42291</v>
      </c>
      <c r="M199" s="115">
        <v>271.95</v>
      </c>
      <c r="N199" s="115">
        <v>277.45</v>
      </c>
      <c r="O199" s="115">
        <v>271.5</v>
      </c>
      <c r="P199" s="115">
        <v>274.2</v>
      </c>
      <c r="Q199" s="115">
        <v>271.95</v>
      </c>
      <c r="R199">
        <v>12881</v>
      </c>
    </row>
    <row r="200" spans="1:18" x14ac:dyDescent="0.25">
      <c r="A200" s="169">
        <v>42292</v>
      </c>
      <c r="B200" s="115">
        <v>285.89999999999998</v>
      </c>
      <c r="C200" s="115">
        <v>274.5</v>
      </c>
      <c r="D200" s="115">
        <v>273.3</v>
      </c>
      <c r="E200" s="115">
        <v>285.89999999999998</v>
      </c>
      <c r="F200" s="115">
        <v>274.5</v>
      </c>
      <c r="G200">
        <v>6001</v>
      </c>
      <c r="H200" s="115"/>
      <c r="I200" s="115"/>
      <c r="L200" s="169">
        <v>42292</v>
      </c>
      <c r="M200" s="115">
        <v>274.25</v>
      </c>
      <c r="N200" s="115">
        <v>277</v>
      </c>
      <c r="O200" s="115">
        <v>273</v>
      </c>
      <c r="P200" s="115">
        <v>274.95</v>
      </c>
      <c r="Q200" s="115">
        <v>274.25</v>
      </c>
      <c r="R200">
        <v>7278</v>
      </c>
    </row>
    <row r="201" spans="1:18" x14ac:dyDescent="0.25">
      <c r="A201" s="169">
        <v>42293</v>
      </c>
      <c r="B201" s="115">
        <v>278.39999999999998</v>
      </c>
      <c r="C201" s="115">
        <v>274.2</v>
      </c>
      <c r="D201" s="115">
        <v>273.2</v>
      </c>
      <c r="E201" s="115">
        <v>278.39999999999998</v>
      </c>
      <c r="F201" s="115">
        <v>274.2</v>
      </c>
      <c r="G201">
        <v>3348</v>
      </c>
      <c r="H201" s="115"/>
      <c r="I201" s="115"/>
      <c r="L201" s="169">
        <v>42293</v>
      </c>
      <c r="M201" s="115">
        <v>273.05</v>
      </c>
      <c r="N201" s="115">
        <v>278.75</v>
      </c>
      <c r="O201" s="115">
        <v>273</v>
      </c>
      <c r="P201" s="115">
        <v>276.95</v>
      </c>
      <c r="Q201" s="115">
        <v>273.05</v>
      </c>
      <c r="R201">
        <v>9324</v>
      </c>
    </row>
    <row r="202" spans="1:18" x14ac:dyDescent="0.25">
      <c r="A202" s="169">
        <v>42296</v>
      </c>
      <c r="B202" s="115">
        <v>280.2</v>
      </c>
      <c r="C202" s="115">
        <v>278.39999999999998</v>
      </c>
      <c r="D202" s="115">
        <v>275.5</v>
      </c>
      <c r="E202" s="115">
        <v>279</v>
      </c>
      <c r="F202" s="115">
        <v>278.39999999999998</v>
      </c>
      <c r="G202">
        <v>4405</v>
      </c>
      <c r="H202" s="115"/>
      <c r="I202" s="115"/>
      <c r="L202" s="169">
        <v>42296</v>
      </c>
      <c r="M202" s="115">
        <v>277.75</v>
      </c>
      <c r="N202" s="115">
        <v>280</v>
      </c>
      <c r="O202" s="115">
        <v>274.10000000000002</v>
      </c>
      <c r="P202" s="115">
        <v>274.14999999999998</v>
      </c>
      <c r="Q202" s="115">
        <v>277.75</v>
      </c>
      <c r="R202">
        <v>9695</v>
      </c>
    </row>
    <row r="203" spans="1:18" x14ac:dyDescent="0.25">
      <c r="A203" s="169">
        <v>42297</v>
      </c>
      <c r="B203" s="115">
        <v>289.2</v>
      </c>
      <c r="C203" s="115">
        <v>287.60000000000002</v>
      </c>
      <c r="D203" s="115">
        <v>278.8</v>
      </c>
      <c r="E203" s="115">
        <v>279.89999999999998</v>
      </c>
      <c r="F203" s="115">
        <v>287.60000000000002</v>
      </c>
      <c r="G203">
        <v>16622</v>
      </c>
      <c r="H203" s="115"/>
      <c r="I203" s="115"/>
      <c r="L203" s="169">
        <v>42297</v>
      </c>
      <c r="M203" s="115">
        <v>288.14999999999998</v>
      </c>
      <c r="N203" s="115">
        <v>288.8</v>
      </c>
      <c r="O203" s="115">
        <v>276.14999999999998</v>
      </c>
      <c r="P203" s="115">
        <v>277.89999999999998</v>
      </c>
      <c r="Q203" s="115">
        <v>288.14999999999998</v>
      </c>
      <c r="R203">
        <v>37722</v>
      </c>
    </row>
    <row r="204" spans="1:18" x14ac:dyDescent="0.25">
      <c r="A204" s="169">
        <v>42298</v>
      </c>
      <c r="B204" s="115">
        <v>294</v>
      </c>
      <c r="C204" s="115">
        <v>284.7</v>
      </c>
      <c r="D204" s="115">
        <v>283.3</v>
      </c>
      <c r="E204" s="115">
        <v>292.5</v>
      </c>
      <c r="F204" s="115">
        <v>284.7</v>
      </c>
      <c r="G204">
        <v>19473</v>
      </c>
      <c r="H204" s="115"/>
      <c r="I204" s="115"/>
      <c r="L204" s="169">
        <v>42298</v>
      </c>
      <c r="M204" s="115">
        <v>284.05</v>
      </c>
      <c r="N204" s="115">
        <v>292.8</v>
      </c>
      <c r="O204" s="115">
        <v>282.5</v>
      </c>
      <c r="P204" s="115">
        <v>288.45</v>
      </c>
      <c r="Q204" s="115">
        <v>284.05</v>
      </c>
      <c r="R204">
        <v>30784</v>
      </c>
    </row>
    <row r="205" spans="1:18" x14ac:dyDescent="0.25">
      <c r="A205" s="169">
        <v>42300</v>
      </c>
      <c r="B205" s="115">
        <v>284.5</v>
      </c>
      <c r="C205" s="115">
        <v>280.2</v>
      </c>
      <c r="D205" s="115">
        <v>279.5</v>
      </c>
      <c r="E205" s="115">
        <v>284.2</v>
      </c>
      <c r="F205" s="115">
        <v>280.2</v>
      </c>
      <c r="G205">
        <v>5057</v>
      </c>
      <c r="H205" s="115"/>
      <c r="I205" s="115"/>
      <c r="L205" s="169">
        <v>42300</v>
      </c>
      <c r="M205" s="115">
        <v>280.89999999999998</v>
      </c>
      <c r="N205" s="115">
        <v>287.95</v>
      </c>
      <c r="O205" s="115">
        <v>279.2</v>
      </c>
      <c r="P205" s="115">
        <v>287.95</v>
      </c>
      <c r="Q205" s="115">
        <v>280.89999999999998</v>
      </c>
      <c r="R205">
        <v>11777</v>
      </c>
    </row>
    <row r="206" spans="1:18" x14ac:dyDescent="0.25">
      <c r="A206" s="169">
        <v>42303</v>
      </c>
      <c r="B206" s="115">
        <v>282.7</v>
      </c>
      <c r="C206" s="115">
        <v>279.2</v>
      </c>
      <c r="D206" s="115">
        <v>278.60000000000002</v>
      </c>
      <c r="E206" s="115">
        <v>280.8</v>
      </c>
      <c r="F206" s="115">
        <v>279.2</v>
      </c>
      <c r="G206">
        <v>2252</v>
      </c>
      <c r="H206" s="115"/>
      <c r="I206" s="115"/>
      <c r="L206" s="169">
        <v>42303</v>
      </c>
      <c r="M206" s="115">
        <v>278.85000000000002</v>
      </c>
      <c r="N206" s="115">
        <v>282.5</v>
      </c>
      <c r="O206" s="115">
        <v>278.39999999999998</v>
      </c>
      <c r="P206" s="115">
        <v>281.05</v>
      </c>
      <c r="Q206" s="115">
        <v>278.85000000000002</v>
      </c>
      <c r="R206">
        <v>6182</v>
      </c>
    </row>
    <row r="207" spans="1:18" x14ac:dyDescent="0.25">
      <c r="A207" s="169">
        <v>42304</v>
      </c>
      <c r="B207" s="115">
        <v>281.2</v>
      </c>
      <c r="C207" s="115">
        <v>278.2</v>
      </c>
      <c r="D207" s="115">
        <v>277.10000000000002</v>
      </c>
      <c r="E207" s="115">
        <v>277.3</v>
      </c>
      <c r="F207" s="115">
        <v>278.2</v>
      </c>
      <c r="G207">
        <v>408</v>
      </c>
      <c r="H207" s="115"/>
      <c r="I207" s="115"/>
      <c r="L207" s="169">
        <v>42304</v>
      </c>
      <c r="M207" s="115">
        <v>278.25</v>
      </c>
      <c r="N207" s="115">
        <v>280</v>
      </c>
      <c r="O207" s="115">
        <v>278</v>
      </c>
      <c r="P207" s="115">
        <v>279.75</v>
      </c>
      <c r="Q207" s="115">
        <v>278.25</v>
      </c>
      <c r="R207">
        <v>2348</v>
      </c>
    </row>
    <row r="208" spans="1:18" x14ac:dyDescent="0.25">
      <c r="A208" s="169">
        <v>42305</v>
      </c>
      <c r="B208" s="115">
        <v>281</v>
      </c>
      <c r="C208" s="115">
        <v>276</v>
      </c>
      <c r="D208" s="115">
        <v>275</v>
      </c>
      <c r="E208" s="115">
        <v>279.7</v>
      </c>
      <c r="F208" s="115">
        <v>276</v>
      </c>
      <c r="G208">
        <v>6102</v>
      </c>
      <c r="H208" s="115"/>
      <c r="I208" s="115"/>
      <c r="L208" s="169">
        <v>42305</v>
      </c>
      <c r="M208" s="115">
        <v>276.85000000000002</v>
      </c>
      <c r="N208" s="115">
        <v>280.75</v>
      </c>
      <c r="O208" s="115">
        <v>274.5</v>
      </c>
      <c r="P208" s="115">
        <v>278.35000000000002</v>
      </c>
      <c r="Q208" s="115">
        <v>276.85000000000002</v>
      </c>
      <c r="R208">
        <v>10749</v>
      </c>
    </row>
    <row r="209" spans="1:18" x14ac:dyDescent="0.25">
      <c r="A209" s="169">
        <v>42306</v>
      </c>
      <c r="B209" s="115">
        <v>280</v>
      </c>
      <c r="C209" s="115">
        <v>273.7</v>
      </c>
      <c r="D209" s="115">
        <v>272.3</v>
      </c>
      <c r="E209" s="115">
        <v>278.5</v>
      </c>
      <c r="F209" s="115">
        <v>273.7</v>
      </c>
      <c r="G209">
        <v>1855</v>
      </c>
      <c r="H209" s="115"/>
      <c r="I209" s="115"/>
      <c r="L209" s="169">
        <v>42306</v>
      </c>
      <c r="M209" s="115">
        <v>273.05</v>
      </c>
      <c r="N209" s="115">
        <v>280</v>
      </c>
      <c r="O209" s="115">
        <v>271.25</v>
      </c>
      <c r="P209" s="115">
        <v>276.85000000000002</v>
      </c>
      <c r="Q209" s="115">
        <v>273.05</v>
      </c>
      <c r="R209">
        <v>17799</v>
      </c>
    </row>
    <row r="210" spans="1:18" x14ac:dyDescent="0.25">
      <c r="A210" s="169">
        <v>42307</v>
      </c>
      <c r="B210" s="115">
        <v>273</v>
      </c>
      <c r="C210" s="115">
        <v>268.10000000000002</v>
      </c>
      <c r="D210" s="115">
        <v>267</v>
      </c>
      <c r="E210" s="115">
        <v>273</v>
      </c>
      <c r="F210" s="115">
        <v>268.10000000000002</v>
      </c>
      <c r="G210">
        <v>2066</v>
      </c>
      <c r="H210" s="115"/>
      <c r="I210" s="115"/>
      <c r="L210" s="169">
        <v>42307</v>
      </c>
      <c r="M210" s="115">
        <v>268.39999999999998</v>
      </c>
      <c r="N210" s="115">
        <v>275.14999999999998</v>
      </c>
      <c r="O210" s="115">
        <v>266.60000000000002</v>
      </c>
      <c r="P210" s="115">
        <v>275</v>
      </c>
      <c r="Q210" s="115">
        <v>268.39999999999998</v>
      </c>
      <c r="R210">
        <v>10716</v>
      </c>
    </row>
    <row r="211" spans="1:18" x14ac:dyDescent="0.25">
      <c r="A211" s="169">
        <v>42310</v>
      </c>
      <c r="B211" s="115">
        <v>267.60000000000002</v>
      </c>
      <c r="C211" s="115">
        <v>265.8</v>
      </c>
      <c r="D211" s="115">
        <v>264</v>
      </c>
      <c r="E211" s="115">
        <v>267</v>
      </c>
      <c r="F211" s="115">
        <v>265.8</v>
      </c>
      <c r="G211">
        <v>3060</v>
      </c>
      <c r="H211" s="115"/>
      <c r="I211" s="115"/>
      <c r="L211" s="169">
        <v>42310</v>
      </c>
      <c r="M211" s="115">
        <v>267.39999999999998</v>
      </c>
      <c r="N211" s="115">
        <v>270</v>
      </c>
      <c r="O211" s="115">
        <v>265.05</v>
      </c>
      <c r="P211" s="115">
        <v>269.05</v>
      </c>
      <c r="Q211" s="115">
        <v>267.39999999999998</v>
      </c>
      <c r="R211">
        <v>9890</v>
      </c>
    </row>
    <row r="212" spans="1:18" x14ac:dyDescent="0.25">
      <c r="A212" s="169">
        <v>42311</v>
      </c>
      <c r="B212" s="115">
        <v>272</v>
      </c>
      <c r="C212" s="115">
        <v>265.60000000000002</v>
      </c>
      <c r="D212" s="115">
        <v>263</v>
      </c>
      <c r="E212" s="115">
        <v>272</v>
      </c>
      <c r="F212" s="115">
        <v>265.60000000000002</v>
      </c>
      <c r="G212">
        <v>2295</v>
      </c>
      <c r="H212" s="115"/>
      <c r="I212" s="115"/>
      <c r="L212" s="169">
        <v>42311</v>
      </c>
      <c r="M212" s="115">
        <v>267.64999999999998</v>
      </c>
      <c r="N212" s="115">
        <v>270.35000000000002</v>
      </c>
      <c r="O212" s="115">
        <v>265.3</v>
      </c>
      <c r="P212" s="115">
        <v>266.05</v>
      </c>
      <c r="Q212" s="115">
        <v>267.64999999999998</v>
      </c>
      <c r="R212">
        <v>3656</v>
      </c>
    </row>
    <row r="213" spans="1:18" x14ac:dyDescent="0.25">
      <c r="A213" s="169">
        <v>42312</v>
      </c>
      <c r="B213" s="115">
        <v>273.2</v>
      </c>
      <c r="C213" s="115">
        <v>269.2</v>
      </c>
      <c r="D213" s="115">
        <v>267.2</v>
      </c>
      <c r="E213" s="115">
        <v>270</v>
      </c>
      <c r="F213" s="115">
        <v>269.2</v>
      </c>
      <c r="G213">
        <v>5451</v>
      </c>
      <c r="H213" s="115"/>
      <c r="I213" s="115"/>
      <c r="L213" s="169">
        <v>42312</v>
      </c>
      <c r="M213" s="115">
        <v>266.7</v>
      </c>
      <c r="N213" s="115">
        <v>273</v>
      </c>
      <c r="O213" s="115">
        <v>266.25</v>
      </c>
      <c r="P213" s="115">
        <v>269.3</v>
      </c>
      <c r="Q213" s="115">
        <v>266.7</v>
      </c>
      <c r="R213">
        <v>6794</v>
      </c>
    </row>
    <row r="214" spans="1:18" x14ac:dyDescent="0.25">
      <c r="A214" s="169">
        <v>42313</v>
      </c>
      <c r="B214" s="115">
        <v>271.3</v>
      </c>
      <c r="C214" s="115">
        <v>265.39999999999998</v>
      </c>
      <c r="D214" s="115">
        <v>265.10000000000002</v>
      </c>
      <c r="E214" s="115">
        <v>271.3</v>
      </c>
      <c r="F214" s="115">
        <v>265.39999999999998</v>
      </c>
      <c r="G214">
        <v>2163</v>
      </c>
      <c r="H214" s="115"/>
      <c r="I214" s="115"/>
      <c r="L214" s="169">
        <v>42313</v>
      </c>
      <c r="M214" s="115">
        <v>265.85000000000002</v>
      </c>
      <c r="N214" s="115">
        <v>277.39999999999998</v>
      </c>
      <c r="O214" s="115">
        <v>265.14999999999998</v>
      </c>
      <c r="P214" s="115">
        <v>277.39999999999998</v>
      </c>
      <c r="Q214" s="115">
        <v>265.85000000000002</v>
      </c>
      <c r="R214">
        <v>5946</v>
      </c>
    </row>
    <row r="215" spans="1:18" x14ac:dyDescent="0.25">
      <c r="A215" s="169">
        <v>42314</v>
      </c>
      <c r="B215" s="115">
        <v>274</v>
      </c>
      <c r="C215" s="115">
        <v>268</v>
      </c>
      <c r="D215" s="115">
        <v>267.10000000000002</v>
      </c>
      <c r="E215" s="115">
        <v>271</v>
      </c>
      <c r="F215" s="115">
        <v>268</v>
      </c>
      <c r="G215">
        <v>2652</v>
      </c>
      <c r="H215" s="115"/>
      <c r="I215" s="115"/>
      <c r="L215" s="169">
        <v>42314</v>
      </c>
      <c r="M215" s="115">
        <v>267.55</v>
      </c>
      <c r="N215" s="115">
        <v>274.39999999999998</v>
      </c>
      <c r="O215" s="115">
        <v>265.25</v>
      </c>
      <c r="P215" s="115">
        <v>270.95</v>
      </c>
      <c r="Q215" s="115">
        <v>267.55</v>
      </c>
      <c r="R215">
        <v>4529</v>
      </c>
    </row>
    <row r="216" spans="1:18" x14ac:dyDescent="0.25">
      <c r="A216" s="169">
        <v>42317</v>
      </c>
      <c r="B216" s="115">
        <v>265</v>
      </c>
      <c r="C216" s="115">
        <v>259.39999999999998</v>
      </c>
      <c r="D216" s="115">
        <v>250.3</v>
      </c>
      <c r="E216" s="115">
        <v>250.6</v>
      </c>
      <c r="F216" s="115">
        <v>259.39999999999998</v>
      </c>
      <c r="G216">
        <v>5163</v>
      </c>
      <c r="H216" s="115"/>
      <c r="I216" s="115"/>
      <c r="L216" s="169">
        <v>42317</v>
      </c>
      <c r="M216" s="115">
        <v>259.35000000000002</v>
      </c>
      <c r="N216" s="115">
        <v>265.60000000000002</v>
      </c>
      <c r="O216" s="115">
        <v>258.10000000000002</v>
      </c>
      <c r="P216" s="115">
        <v>265.60000000000002</v>
      </c>
      <c r="Q216" s="115">
        <v>259.35000000000002</v>
      </c>
      <c r="R216">
        <v>20523</v>
      </c>
    </row>
    <row r="217" spans="1:18" x14ac:dyDescent="0.25">
      <c r="A217" s="169">
        <v>42318</v>
      </c>
      <c r="B217" s="115">
        <v>265</v>
      </c>
      <c r="C217" s="115">
        <v>262.3</v>
      </c>
      <c r="D217" s="115">
        <v>258</v>
      </c>
      <c r="E217" s="115">
        <v>258.2</v>
      </c>
      <c r="F217" s="115">
        <v>262.3</v>
      </c>
      <c r="G217">
        <v>3337</v>
      </c>
      <c r="H217" s="115"/>
      <c r="I217" s="115"/>
      <c r="L217" s="169">
        <v>42318</v>
      </c>
      <c r="M217" s="115">
        <v>262.25</v>
      </c>
      <c r="N217" s="115">
        <v>265.89999999999998</v>
      </c>
      <c r="O217" s="115">
        <v>259</v>
      </c>
      <c r="P217" s="115">
        <v>259</v>
      </c>
      <c r="Q217" s="115">
        <v>262.25</v>
      </c>
      <c r="R217">
        <v>7690</v>
      </c>
    </row>
    <row r="218" spans="1:18" x14ac:dyDescent="0.25">
      <c r="A218" s="169">
        <v>42319</v>
      </c>
      <c r="B218" s="115">
        <v>267.60000000000002</v>
      </c>
      <c r="C218" s="115">
        <v>267.10000000000002</v>
      </c>
      <c r="D218" s="115">
        <v>264.5</v>
      </c>
      <c r="E218" s="115">
        <v>266</v>
      </c>
      <c r="F218" s="115">
        <v>267.10000000000002</v>
      </c>
      <c r="G218">
        <v>848</v>
      </c>
      <c r="H218" s="115"/>
      <c r="I218" s="115"/>
      <c r="L218" s="169">
        <v>42319</v>
      </c>
      <c r="M218" s="115">
        <v>266.5</v>
      </c>
      <c r="N218" s="115">
        <v>266.89999999999998</v>
      </c>
      <c r="O218" s="115">
        <v>263</v>
      </c>
      <c r="P218" s="115">
        <v>263</v>
      </c>
      <c r="Q218" s="115">
        <v>266.5</v>
      </c>
      <c r="R218">
        <v>6011</v>
      </c>
    </row>
    <row r="219" spans="1:18" x14ac:dyDescent="0.25">
      <c r="A219" s="169">
        <v>42321</v>
      </c>
      <c r="B219" s="115">
        <v>266</v>
      </c>
      <c r="C219" s="115">
        <v>260.2</v>
      </c>
      <c r="D219" s="115">
        <v>259.5</v>
      </c>
      <c r="E219" s="115">
        <v>266</v>
      </c>
      <c r="F219" s="115">
        <v>260.2</v>
      </c>
      <c r="G219">
        <v>4027</v>
      </c>
      <c r="H219" s="115"/>
      <c r="I219" s="115"/>
      <c r="L219" s="169">
        <v>42321</v>
      </c>
      <c r="M219" s="115">
        <v>262.35000000000002</v>
      </c>
      <c r="N219" s="115">
        <v>264.95</v>
      </c>
      <c r="O219" s="115">
        <v>260.10000000000002</v>
      </c>
      <c r="P219" s="115">
        <v>264.95</v>
      </c>
      <c r="Q219" s="115">
        <v>262.35000000000002</v>
      </c>
      <c r="R219">
        <v>10115</v>
      </c>
    </row>
    <row r="220" spans="1:18" x14ac:dyDescent="0.25">
      <c r="A220" s="169">
        <v>42324</v>
      </c>
      <c r="B220" s="115">
        <v>264.39999999999998</v>
      </c>
      <c r="C220" s="115">
        <v>254.9</v>
      </c>
      <c r="D220" s="115">
        <v>254.3</v>
      </c>
      <c r="E220" s="115">
        <v>264.3</v>
      </c>
      <c r="F220" s="115">
        <v>254.9</v>
      </c>
      <c r="G220">
        <v>2351</v>
      </c>
      <c r="H220" s="115"/>
      <c r="I220" s="115"/>
      <c r="L220" s="169">
        <v>42324</v>
      </c>
      <c r="M220" s="115">
        <v>255.75</v>
      </c>
      <c r="N220" s="115">
        <v>263</v>
      </c>
      <c r="O220" s="115">
        <v>254.05</v>
      </c>
      <c r="P220" s="115">
        <v>263</v>
      </c>
      <c r="Q220" s="115">
        <v>255.75</v>
      </c>
      <c r="R220">
        <v>9407</v>
      </c>
    </row>
    <row r="221" spans="1:18" x14ac:dyDescent="0.25">
      <c r="A221" s="169">
        <v>42325</v>
      </c>
      <c r="B221" s="115">
        <v>257</v>
      </c>
      <c r="C221" s="115">
        <v>253</v>
      </c>
      <c r="D221" s="115">
        <v>252.1</v>
      </c>
      <c r="E221" s="115">
        <v>255</v>
      </c>
      <c r="F221" s="115">
        <v>253</v>
      </c>
      <c r="G221">
        <v>4860</v>
      </c>
      <c r="H221" s="115"/>
      <c r="I221" s="115"/>
      <c r="L221" s="169">
        <v>42325</v>
      </c>
      <c r="M221" s="115">
        <v>253.55</v>
      </c>
      <c r="N221" s="115">
        <v>258.89999999999998</v>
      </c>
      <c r="O221" s="115">
        <v>252.7</v>
      </c>
      <c r="P221" s="115">
        <v>256</v>
      </c>
      <c r="Q221" s="115">
        <v>253.55</v>
      </c>
      <c r="R221">
        <v>8164</v>
      </c>
    </row>
    <row r="222" spans="1:18" x14ac:dyDescent="0.25">
      <c r="A222" s="169">
        <v>42326</v>
      </c>
      <c r="B222" s="115">
        <v>256.89999999999998</v>
      </c>
      <c r="C222" s="115">
        <v>254.8</v>
      </c>
      <c r="D222" s="115">
        <v>252.5</v>
      </c>
      <c r="E222" s="115">
        <v>256.89999999999998</v>
      </c>
      <c r="F222" s="115">
        <v>254.8</v>
      </c>
      <c r="G222">
        <v>2444</v>
      </c>
      <c r="H222" s="115"/>
      <c r="I222" s="115"/>
      <c r="L222" s="169">
        <v>42326</v>
      </c>
      <c r="M222" s="115">
        <v>253.85</v>
      </c>
      <c r="N222" s="115">
        <v>260.85000000000002</v>
      </c>
      <c r="O222" s="115">
        <v>252.2</v>
      </c>
      <c r="P222" s="115">
        <v>255.95</v>
      </c>
      <c r="Q222" s="115">
        <v>253.85</v>
      </c>
      <c r="R222">
        <v>7774</v>
      </c>
    </row>
    <row r="223" spans="1:18" x14ac:dyDescent="0.25">
      <c r="A223" s="169">
        <v>42327</v>
      </c>
      <c r="B223" s="115">
        <v>255.1</v>
      </c>
      <c r="C223" s="115">
        <v>251.2</v>
      </c>
      <c r="D223" s="115">
        <v>248.2</v>
      </c>
      <c r="E223" s="115">
        <v>255.1</v>
      </c>
      <c r="F223" s="115">
        <v>251.2</v>
      </c>
      <c r="G223">
        <v>4255</v>
      </c>
      <c r="H223" s="115"/>
      <c r="I223" s="115"/>
      <c r="L223" s="169">
        <v>42327</v>
      </c>
      <c r="M223" s="115">
        <v>250.45</v>
      </c>
      <c r="N223" s="115">
        <v>256</v>
      </c>
      <c r="O223" s="115">
        <v>249.1</v>
      </c>
      <c r="P223" s="115">
        <v>255.15</v>
      </c>
      <c r="Q223" s="115">
        <v>250.45</v>
      </c>
      <c r="R223">
        <v>13047</v>
      </c>
    </row>
    <row r="224" spans="1:18" x14ac:dyDescent="0.25">
      <c r="A224" s="169">
        <v>42328</v>
      </c>
      <c r="B224" s="115">
        <v>258.3</v>
      </c>
      <c r="C224" s="115">
        <v>244.6</v>
      </c>
      <c r="D224" s="115">
        <v>243</v>
      </c>
      <c r="E224" s="115">
        <v>254.3</v>
      </c>
      <c r="F224" s="115">
        <v>244.6</v>
      </c>
      <c r="G224">
        <v>10026</v>
      </c>
      <c r="H224" s="115"/>
      <c r="I224" s="115"/>
      <c r="L224" s="169">
        <v>42328</v>
      </c>
      <c r="M224" s="115">
        <v>243.6</v>
      </c>
      <c r="N224" s="115">
        <v>260</v>
      </c>
      <c r="O224" s="115">
        <v>242</v>
      </c>
      <c r="P224" s="115">
        <v>249.1</v>
      </c>
      <c r="Q224" s="115">
        <v>243.6</v>
      </c>
      <c r="R224">
        <v>50082</v>
      </c>
    </row>
    <row r="225" spans="1:18" x14ac:dyDescent="0.25">
      <c r="A225" s="169">
        <v>42331</v>
      </c>
      <c r="B225" s="115">
        <v>246.7</v>
      </c>
      <c r="C225" s="115">
        <v>240.5</v>
      </c>
      <c r="D225" s="115">
        <v>238</v>
      </c>
      <c r="E225" s="115">
        <v>246.7</v>
      </c>
      <c r="F225" s="115">
        <v>240.5</v>
      </c>
      <c r="G225">
        <v>4145</v>
      </c>
      <c r="H225" s="115"/>
      <c r="I225" s="115"/>
      <c r="L225" s="169">
        <v>42331</v>
      </c>
      <c r="M225" s="115">
        <v>240.3</v>
      </c>
      <c r="N225" s="115">
        <v>245.9</v>
      </c>
      <c r="O225" s="115">
        <v>237.65</v>
      </c>
      <c r="P225" s="115">
        <v>242</v>
      </c>
      <c r="Q225" s="115">
        <v>240.3</v>
      </c>
      <c r="R225">
        <v>17988</v>
      </c>
    </row>
    <row r="226" spans="1:18" x14ac:dyDescent="0.25">
      <c r="A226" s="169">
        <v>42332</v>
      </c>
      <c r="B226" s="115">
        <v>245.9</v>
      </c>
      <c r="C226" s="115">
        <v>241.8</v>
      </c>
      <c r="D226" s="115">
        <v>239</v>
      </c>
      <c r="E226" s="115">
        <v>243.9</v>
      </c>
      <c r="F226" s="115">
        <v>241.8</v>
      </c>
      <c r="G226">
        <v>4260</v>
      </c>
      <c r="H226" s="115"/>
      <c r="I226" s="115"/>
      <c r="L226" s="169">
        <v>42332</v>
      </c>
      <c r="M226" s="115">
        <v>241.3</v>
      </c>
      <c r="N226" s="115">
        <v>247</v>
      </c>
      <c r="O226" s="115">
        <v>240</v>
      </c>
      <c r="P226" s="115">
        <v>240.5</v>
      </c>
      <c r="Q226" s="115">
        <v>241.3</v>
      </c>
      <c r="R226">
        <v>8249</v>
      </c>
    </row>
    <row r="227" spans="1:18" x14ac:dyDescent="0.25">
      <c r="A227" s="169">
        <v>42334</v>
      </c>
      <c r="B227" s="115">
        <v>248.7</v>
      </c>
      <c r="C227" s="115">
        <v>238.6</v>
      </c>
      <c r="D227" s="115">
        <v>237</v>
      </c>
      <c r="E227" s="115">
        <v>244.8</v>
      </c>
      <c r="F227" s="115">
        <v>238.6</v>
      </c>
      <c r="G227">
        <v>5415</v>
      </c>
      <c r="H227" s="115"/>
      <c r="I227" s="115"/>
      <c r="L227" s="169">
        <v>42334</v>
      </c>
      <c r="M227" s="115">
        <v>237</v>
      </c>
      <c r="N227" s="115">
        <v>249.75</v>
      </c>
      <c r="O227" s="115">
        <v>236.2</v>
      </c>
      <c r="P227" s="115">
        <v>245.8</v>
      </c>
      <c r="Q227" s="115">
        <v>237</v>
      </c>
      <c r="R227">
        <v>22013</v>
      </c>
    </row>
    <row r="228" spans="1:18" x14ac:dyDescent="0.25">
      <c r="A228" s="169">
        <v>42335</v>
      </c>
      <c r="B228" s="115">
        <v>245</v>
      </c>
      <c r="C228" s="115">
        <v>238</v>
      </c>
      <c r="D228" s="115">
        <v>236</v>
      </c>
      <c r="E228" s="115">
        <v>238</v>
      </c>
      <c r="F228" s="115">
        <v>238</v>
      </c>
      <c r="G228">
        <v>1741</v>
      </c>
      <c r="H228" s="115"/>
      <c r="I228" s="115"/>
      <c r="L228" s="169">
        <v>42335</v>
      </c>
      <c r="M228" s="115">
        <v>237.25</v>
      </c>
      <c r="N228" s="115">
        <v>243</v>
      </c>
      <c r="O228" s="115">
        <v>236.25</v>
      </c>
      <c r="P228" s="115">
        <v>239.75</v>
      </c>
      <c r="Q228" s="115">
        <v>237.25</v>
      </c>
      <c r="R228">
        <v>10982</v>
      </c>
    </row>
    <row r="229" spans="1:18" x14ac:dyDescent="0.25">
      <c r="A229" s="169">
        <v>42338</v>
      </c>
      <c r="B229" s="115">
        <v>244.7</v>
      </c>
      <c r="C229" s="115">
        <v>241.3</v>
      </c>
      <c r="D229" s="115">
        <v>238.5</v>
      </c>
      <c r="E229" s="115">
        <v>238.5</v>
      </c>
      <c r="F229" s="115">
        <v>241.3</v>
      </c>
      <c r="G229">
        <v>3922</v>
      </c>
      <c r="H229" s="115"/>
      <c r="I229" s="115"/>
      <c r="L229" s="169">
        <v>42338</v>
      </c>
      <c r="M229" s="115">
        <v>240.4</v>
      </c>
      <c r="N229" s="115">
        <v>245</v>
      </c>
      <c r="O229" s="115">
        <v>238</v>
      </c>
      <c r="P229" s="115">
        <v>238.05</v>
      </c>
      <c r="Q229" s="115">
        <v>240.4</v>
      </c>
      <c r="R229">
        <v>22796</v>
      </c>
    </row>
    <row r="230" spans="1:18" x14ac:dyDescent="0.25">
      <c r="A230" s="169">
        <v>42339</v>
      </c>
      <c r="B230" s="115">
        <v>243</v>
      </c>
      <c r="C230" s="115">
        <v>238.8</v>
      </c>
      <c r="D230" s="115">
        <v>238.5</v>
      </c>
      <c r="E230" s="115">
        <v>243</v>
      </c>
      <c r="F230" s="115">
        <v>238.8</v>
      </c>
      <c r="G230">
        <v>2848</v>
      </c>
      <c r="H230" s="115"/>
      <c r="I230" s="115"/>
      <c r="L230" s="169">
        <v>42339</v>
      </c>
      <c r="M230" s="115">
        <v>238.2</v>
      </c>
      <c r="N230" s="115">
        <v>242.75</v>
      </c>
      <c r="O230" s="115">
        <v>237.05</v>
      </c>
      <c r="P230" s="115">
        <v>242.7</v>
      </c>
      <c r="Q230" s="115">
        <v>238.2</v>
      </c>
      <c r="R230">
        <v>10979</v>
      </c>
    </row>
    <row r="231" spans="1:18" x14ac:dyDescent="0.25">
      <c r="A231" s="169">
        <v>42340</v>
      </c>
      <c r="B231" s="115">
        <v>251.9</v>
      </c>
      <c r="C231" s="115">
        <v>249.8</v>
      </c>
      <c r="D231" s="115">
        <v>238.5</v>
      </c>
      <c r="E231" s="115">
        <v>241.5</v>
      </c>
      <c r="F231" s="115">
        <v>249.8</v>
      </c>
      <c r="G231">
        <v>4998</v>
      </c>
      <c r="H231" s="115"/>
      <c r="I231" s="115"/>
      <c r="L231" s="169">
        <v>42340</v>
      </c>
      <c r="M231" s="115">
        <v>248.35</v>
      </c>
      <c r="N231" s="115">
        <v>252.2</v>
      </c>
      <c r="O231" s="115">
        <v>238.1</v>
      </c>
      <c r="P231" s="115">
        <v>239.95</v>
      </c>
      <c r="Q231" s="115">
        <v>248.35</v>
      </c>
      <c r="R231">
        <v>26077</v>
      </c>
    </row>
    <row r="232" spans="1:18" x14ac:dyDescent="0.25">
      <c r="A232" s="169">
        <v>42341</v>
      </c>
      <c r="B232" s="115">
        <v>253</v>
      </c>
      <c r="C232" s="115">
        <v>245.7</v>
      </c>
      <c r="D232" s="115">
        <v>244.2</v>
      </c>
      <c r="E232" s="115">
        <v>248</v>
      </c>
      <c r="F232" s="115">
        <v>245.7</v>
      </c>
      <c r="G232">
        <v>9307</v>
      </c>
      <c r="H232" s="115"/>
      <c r="I232" s="115"/>
      <c r="L232" s="169">
        <v>42341</v>
      </c>
      <c r="M232" s="115">
        <v>246</v>
      </c>
      <c r="N232" s="115">
        <v>254.2</v>
      </c>
      <c r="O232" s="115">
        <v>245</v>
      </c>
      <c r="P232" s="115">
        <v>252</v>
      </c>
      <c r="Q232" s="115">
        <v>246</v>
      </c>
      <c r="R232">
        <v>12413</v>
      </c>
    </row>
    <row r="233" spans="1:18" x14ac:dyDescent="0.25">
      <c r="A233" s="169">
        <v>42342</v>
      </c>
      <c r="B233" s="115">
        <v>246.5</v>
      </c>
      <c r="C233" s="115">
        <v>241.9</v>
      </c>
      <c r="D233" s="115">
        <v>241.3</v>
      </c>
      <c r="E233" s="115">
        <v>242.1</v>
      </c>
      <c r="F233" s="115">
        <v>241.9</v>
      </c>
      <c r="G233">
        <v>3638</v>
      </c>
      <c r="H233" s="115"/>
      <c r="I233" s="115"/>
      <c r="L233" s="169">
        <v>42342</v>
      </c>
      <c r="M233" s="115">
        <v>242.45</v>
      </c>
      <c r="N233" s="115">
        <v>248</v>
      </c>
      <c r="O233" s="115">
        <v>241.2</v>
      </c>
      <c r="P233" s="115">
        <v>248</v>
      </c>
      <c r="Q233" s="115">
        <v>242.45</v>
      </c>
      <c r="R233">
        <v>9676</v>
      </c>
    </row>
    <row r="234" spans="1:18" x14ac:dyDescent="0.25">
      <c r="A234" s="169">
        <v>42345</v>
      </c>
      <c r="B234" s="115">
        <v>247</v>
      </c>
      <c r="C234" s="115">
        <v>240.8</v>
      </c>
      <c r="D234" s="115">
        <v>238</v>
      </c>
      <c r="E234" s="115">
        <v>247</v>
      </c>
      <c r="F234" s="115">
        <v>240.8</v>
      </c>
      <c r="G234">
        <v>3649</v>
      </c>
      <c r="H234" s="115"/>
      <c r="I234" s="115"/>
      <c r="L234" s="169">
        <v>42345</v>
      </c>
      <c r="M234" s="115">
        <v>240.9</v>
      </c>
      <c r="N234" s="115">
        <v>246.85</v>
      </c>
      <c r="O234" s="115">
        <v>237</v>
      </c>
      <c r="P234" s="115">
        <v>240</v>
      </c>
      <c r="Q234" s="115">
        <v>240.9</v>
      </c>
      <c r="R234">
        <v>10359</v>
      </c>
    </row>
    <row r="235" spans="1:18" x14ac:dyDescent="0.25">
      <c r="A235" s="169">
        <v>42346</v>
      </c>
      <c r="B235" s="115">
        <v>241.5</v>
      </c>
      <c r="C235" s="115">
        <v>235.5</v>
      </c>
      <c r="D235" s="115">
        <v>235.2</v>
      </c>
      <c r="E235" s="115">
        <v>239.1</v>
      </c>
      <c r="F235" s="115">
        <v>235.5</v>
      </c>
      <c r="G235">
        <v>9064</v>
      </c>
      <c r="H235" s="115"/>
      <c r="I235" s="115"/>
      <c r="L235" s="169">
        <v>42346</v>
      </c>
      <c r="M235" s="115">
        <v>235.45</v>
      </c>
      <c r="N235" s="115">
        <v>242.85</v>
      </c>
      <c r="O235" s="115">
        <v>235.2</v>
      </c>
      <c r="P235" s="115">
        <v>240.05</v>
      </c>
      <c r="Q235" s="115">
        <v>235.45</v>
      </c>
      <c r="R235">
        <v>30606</v>
      </c>
    </row>
    <row r="236" spans="1:18" x14ac:dyDescent="0.25">
      <c r="A236" s="169">
        <v>42347</v>
      </c>
      <c r="B236" s="115">
        <v>240</v>
      </c>
      <c r="C236" s="115">
        <v>236.8</v>
      </c>
      <c r="D236" s="115">
        <v>236</v>
      </c>
      <c r="E236" s="115">
        <v>237</v>
      </c>
      <c r="F236" s="115">
        <v>236.8</v>
      </c>
      <c r="G236">
        <v>2251</v>
      </c>
      <c r="H236" s="115"/>
      <c r="I236" s="115"/>
      <c r="L236" s="169">
        <v>42347</v>
      </c>
      <c r="M236" s="115">
        <v>237.95</v>
      </c>
      <c r="N236" s="115">
        <v>241</v>
      </c>
      <c r="O236" s="115">
        <v>235.2</v>
      </c>
      <c r="P236" s="115">
        <v>235.25</v>
      </c>
      <c r="Q236" s="115">
        <v>237.95</v>
      </c>
      <c r="R236">
        <v>76435</v>
      </c>
    </row>
    <row r="237" spans="1:18" x14ac:dyDescent="0.25">
      <c r="A237" s="169">
        <v>42348</v>
      </c>
      <c r="B237" s="115">
        <v>237.9</v>
      </c>
      <c r="C237" s="115">
        <v>236.6</v>
      </c>
      <c r="D237" s="115">
        <v>234.3</v>
      </c>
      <c r="E237" s="115">
        <v>237.5</v>
      </c>
      <c r="F237" s="115">
        <v>236.6</v>
      </c>
      <c r="G237">
        <v>2737</v>
      </c>
      <c r="H237" s="115"/>
      <c r="I237" s="115"/>
      <c r="L237" s="169">
        <v>42348</v>
      </c>
      <c r="M237" s="115">
        <v>235.7</v>
      </c>
      <c r="N237" s="115">
        <v>239.95</v>
      </c>
      <c r="O237" s="115">
        <v>233.3</v>
      </c>
      <c r="P237" s="115">
        <v>235.05</v>
      </c>
      <c r="Q237" s="115">
        <v>235.7</v>
      </c>
      <c r="R237">
        <v>36973</v>
      </c>
    </row>
    <row r="238" spans="1:18" x14ac:dyDescent="0.25">
      <c r="A238" s="169">
        <v>42349</v>
      </c>
      <c r="B238" s="115">
        <v>237.1</v>
      </c>
      <c r="C238" s="115">
        <v>234.7</v>
      </c>
      <c r="D238" s="115">
        <v>233.3</v>
      </c>
      <c r="E238" s="115">
        <v>234.1</v>
      </c>
      <c r="F238" s="115">
        <v>234.7</v>
      </c>
      <c r="G238">
        <v>2576</v>
      </c>
      <c r="H238" s="115"/>
      <c r="I238" s="115"/>
      <c r="L238" s="169">
        <v>42349</v>
      </c>
      <c r="M238" s="115">
        <v>235.5</v>
      </c>
      <c r="N238" s="115">
        <v>237.65</v>
      </c>
      <c r="O238" s="115">
        <v>235.1</v>
      </c>
      <c r="P238" s="115">
        <v>237.65</v>
      </c>
      <c r="Q238" s="115">
        <v>235.5</v>
      </c>
      <c r="R238">
        <v>24253</v>
      </c>
    </row>
    <row r="239" spans="1:18" x14ac:dyDescent="0.25">
      <c r="A239" s="169">
        <v>42352</v>
      </c>
      <c r="B239" s="115">
        <v>238.4</v>
      </c>
      <c r="C239" s="115">
        <v>236.1</v>
      </c>
      <c r="D239" s="115">
        <v>236</v>
      </c>
      <c r="E239" s="115">
        <v>238.4</v>
      </c>
      <c r="F239" s="115">
        <v>236.1</v>
      </c>
      <c r="G239">
        <v>1050</v>
      </c>
      <c r="H239" s="115"/>
      <c r="I239" s="115"/>
      <c r="L239" s="169">
        <v>42352</v>
      </c>
      <c r="M239" s="115">
        <v>236.1</v>
      </c>
      <c r="N239" s="115">
        <v>239.9</v>
      </c>
      <c r="O239" s="115">
        <v>234.95</v>
      </c>
      <c r="P239" s="115">
        <v>235.15</v>
      </c>
      <c r="Q239" s="115">
        <v>236.1</v>
      </c>
      <c r="R239">
        <v>33697</v>
      </c>
    </row>
    <row r="240" spans="1:18" x14ac:dyDescent="0.25">
      <c r="A240" s="169">
        <v>42353</v>
      </c>
      <c r="B240" s="115">
        <v>239.9</v>
      </c>
      <c r="C240" s="115">
        <v>236.8</v>
      </c>
      <c r="D240" s="115">
        <v>233.7</v>
      </c>
      <c r="E240" s="115">
        <v>237</v>
      </c>
      <c r="F240" s="115">
        <v>236.8</v>
      </c>
      <c r="G240">
        <v>2619</v>
      </c>
      <c r="H240" s="115"/>
      <c r="I240" s="115"/>
      <c r="L240" s="169">
        <v>42353</v>
      </c>
      <c r="M240" s="115">
        <v>235.25</v>
      </c>
      <c r="N240" s="115">
        <v>239</v>
      </c>
      <c r="O240" s="115">
        <v>233.8</v>
      </c>
      <c r="P240" s="115">
        <v>236.95</v>
      </c>
      <c r="Q240" s="115">
        <v>235.25</v>
      </c>
      <c r="R240">
        <v>8385</v>
      </c>
    </row>
    <row r="241" spans="1:18" x14ac:dyDescent="0.25">
      <c r="A241" s="169">
        <v>42354</v>
      </c>
      <c r="B241" s="115">
        <v>236</v>
      </c>
      <c r="C241" s="115">
        <v>227.9</v>
      </c>
      <c r="D241" s="115">
        <v>227.5</v>
      </c>
      <c r="E241" s="115">
        <v>236</v>
      </c>
      <c r="F241" s="115">
        <v>227.9</v>
      </c>
      <c r="G241">
        <v>6571</v>
      </c>
      <c r="H241" s="115"/>
      <c r="I241" s="115"/>
      <c r="L241" s="169">
        <v>42354</v>
      </c>
      <c r="M241" s="115">
        <v>228.6</v>
      </c>
      <c r="N241" s="115">
        <v>239</v>
      </c>
      <c r="O241" s="115">
        <v>228</v>
      </c>
      <c r="P241" s="115">
        <v>238.95</v>
      </c>
      <c r="Q241" s="115">
        <v>228.6</v>
      </c>
      <c r="R241">
        <v>17437</v>
      </c>
    </row>
    <row r="242" spans="1:18" x14ac:dyDescent="0.25">
      <c r="A242" s="169">
        <v>42355</v>
      </c>
      <c r="B242" s="115">
        <v>239.4</v>
      </c>
      <c r="C242" s="115">
        <v>236.9</v>
      </c>
      <c r="D242" s="115">
        <v>227</v>
      </c>
      <c r="E242" s="115">
        <v>233.4</v>
      </c>
      <c r="F242" s="115">
        <v>236.9</v>
      </c>
      <c r="G242">
        <v>8896</v>
      </c>
      <c r="H242" s="115"/>
      <c r="I242" s="115"/>
      <c r="L242" s="169">
        <v>42355</v>
      </c>
      <c r="M242" s="115">
        <v>236.05</v>
      </c>
      <c r="N242" s="115">
        <v>238.95</v>
      </c>
      <c r="O242" s="115">
        <v>226.3</v>
      </c>
      <c r="P242" s="115">
        <v>233.95</v>
      </c>
      <c r="Q242" s="115">
        <v>236.05</v>
      </c>
      <c r="R242">
        <v>42517</v>
      </c>
    </row>
    <row r="243" spans="1:18" x14ac:dyDescent="0.25">
      <c r="A243" s="169">
        <v>42356</v>
      </c>
      <c r="B243" s="115">
        <v>238.6</v>
      </c>
      <c r="C243" s="115">
        <v>237</v>
      </c>
      <c r="D243" s="115">
        <v>233.5</v>
      </c>
      <c r="E243" s="115">
        <v>237</v>
      </c>
      <c r="F243" s="115">
        <v>237</v>
      </c>
      <c r="G243">
        <v>5878</v>
      </c>
      <c r="H243" s="115"/>
      <c r="I243" s="115"/>
      <c r="L243" s="169">
        <v>42356</v>
      </c>
      <c r="M243" s="115">
        <v>238.15</v>
      </c>
      <c r="N243" s="115">
        <v>239.55</v>
      </c>
      <c r="O243" s="115">
        <v>235</v>
      </c>
      <c r="P243" s="115">
        <v>238.4</v>
      </c>
      <c r="Q243" s="115">
        <v>238.15</v>
      </c>
      <c r="R243">
        <v>17444</v>
      </c>
    </row>
    <row r="244" spans="1:18" x14ac:dyDescent="0.25">
      <c r="A244" s="169">
        <v>42359</v>
      </c>
      <c r="B244" s="115">
        <v>248</v>
      </c>
      <c r="C244" s="115">
        <v>245.4</v>
      </c>
      <c r="D244" s="115">
        <v>239.5</v>
      </c>
      <c r="E244" s="115">
        <v>240</v>
      </c>
      <c r="F244" s="115">
        <v>245.4</v>
      </c>
      <c r="G244">
        <v>16065</v>
      </c>
      <c r="H244" s="115"/>
      <c r="I244" s="115"/>
      <c r="L244" s="169">
        <v>42359</v>
      </c>
      <c r="M244" s="115">
        <v>246.95</v>
      </c>
      <c r="N244" s="115">
        <v>250</v>
      </c>
      <c r="O244" s="115">
        <v>239.45</v>
      </c>
      <c r="P244" s="115">
        <v>239.5</v>
      </c>
      <c r="Q244" s="115">
        <v>246.95</v>
      </c>
      <c r="R244">
        <v>86115</v>
      </c>
    </row>
    <row r="245" spans="1:18" x14ac:dyDescent="0.25">
      <c r="A245" s="169">
        <v>42360</v>
      </c>
      <c r="B245" s="115">
        <v>249</v>
      </c>
      <c r="C245" s="115">
        <v>242.6</v>
      </c>
      <c r="D245" s="115">
        <v>241.1</v>
      </c>
      <c r="E245" s="115">
        <v>249</v>
      </c>
      <c r="F245" s="115">
        <v>242.6</v>
      </c>
      <c r="G245">
        <v>1896</v>
      </c>
      <c r="H245" s="115"/>
      <c r="I245" s="115"/>
      <c r="L245" s="169">
        <v>42360</v>
      </c>
      <c r="M245" s="115">
        <v>243.5</v>
      </c>
      <c r="N245" s="115">
        <v>248.7</v>
      </c>
      <c r="O245" s="115">
        <v>241.35</v>
      </c>
      <c r="P245" s="115">
        <v>245</v>
      </c>
      <c r="Q245" s="115">
        <v>243.5</v>
      </c>
      <c r="R245">
        <v>10320</v>
      </c>
    </row>
    <row r="246" spans="1:18" x14ac:dyDescent="0.25">
      <c r="A246" s="169">
        <v>42361</v>
      </c>
      <c r="B246" s="115">
        <v>248</v>
      </c>
      <c r="C246" s="115">
        <v>245.1</v>
      </c>
      <c r="D246" s="115">
        <v>242</v>
      </c>
      <c r="E246" s="115">
        <v>243.1</v>
      </c>
      <c r="F246" s="115">
        <v>245.1</v>
      </c>
      <c r="G246">
        <v>4056</v>
      </c>
      <c r="H246" s="115"/>
      <c r="I246" s="115"/>
      <c r="L246" s="169">
        <v>42361</v>
      </c>
      <c r="M246" s="115">
        <v>243.65</v>
      </c>
      <c r="N246" s="115">
        <v>249.5</v>
      </c>
      <c r="O246" s="115">
        <v>242.3</v>
      </c>
      <c r="P246" s="115">
        <v>244.15</v>
      </c>
      <c r="Q246" s="115">
        <v>243.65</v>
      </c>
      <c r="R246">
        <v>11431</v>
      </c>
    </row>
    <row r="247" spans="1:18" x14ac:dyDescent="0.25">
      <c r="A247" s="169">
        <v>42362</v>
      </c>
      <c r="B247" s="115">
        <v>251.2</v>
      </c>
      <c r="C247" s="115">
        <v>244.3</v>
      </c>
      <c r="D247" s="115">
        <v>243.2</v>
      </c>
      <c r="E247" s="115">
        <v>247</v>
      </c>
      <c r="F247" s="115">
        <v>244.3</v>
      </c>
      <c r="G247">
        <v>3880</v>
      </c>
      <c r="H247" s="115"/>
      <c r="I247" s="115"/>
      <c r="L247" s="169">
        <v>42362</v>
      </c>
      <c r="M247" s="115">
        <v>244.9</v>
      </c>
      <c r="N247" s="115">
        <v>251.95</v>
      </c>
      <c r="O247" s="115">
        <v>243</v>
      </c>
      <c r="P247" s="115">
        <v>244.95</v>
      </c>
      <c r="Q247" s="115">
        <v>244.9</v>
      </c>
      <c r="R247">
        <v>15469</v>
      </c>
    </row>
    <row r="248" spans="1:18" x14ac:dyDescent="0.25">
      <c r="A248" s="169">
        <v>42366</v>
      </c>
      <c r="B248" s="115">
        <v>248</v>
      </c>
      <c r="C248" s="115">
        <v>247.4</v>
      </c>
      <c r="D248" s="115">
        <v>245</v>
      </c>
      <c r="E248" s="115">
        <v>245</v>
      </c>
      <c r="F248" s="115">
        <v>247.4</v>
      </c>
      <c r="G248">
        <v>4042</v>
      </c>
      <c r="H248" s="115"/>
      <c r="I248" s="115"/>
      <c r="L248" s="169">
        <v>42366</v>
      </c>
      <c r="M248" s="115">
        <v>247.45</v>
      </c>
      <c r="N248" s="115">
        <v>249.95</v>
      </c>
      <c r="O248" s="115">
        <v>242.1</v>
      </c>
      <c r="P248" s="115">
        <v>244.95</v>
      </c>
      <c r="Q248" s="115">
        <v>247.45</v>
      </c>
      <c r="R248">
        <v>7636</v>
      </c>
    </row>
    <row r="249" spans="1:18" x14ac:dyDescent="0.25">
      <c r="A249" s="169">
        <v>42367</v>
      </c>
      <c r="B249" s="115">
        <v>250.2</v>
      </c>
      <c r="C249" s="115">
        <v>245</v>
      </c>
      <c r="D249" s="115">
        <v>243.6</v>
      </c>
      <c r="E249" s="115">
        <v>247</v>
      </c>
      <c r="F249" s="115">
        <v>245</v>
      </c>
      <c r="G249">
        <v>633</v>
      </c>
      <c r="H249" s="115"/>
      <c r="I249" s="115"/>
      <c r="L249" s="169">
        <v>42367</v>
      </c>
      <c r="M249" s="115">
        <v>243.65</v>
      </c>
      <c r="N249" s="115">
        <v>251.4</v>
      </c>
      <c r="O249" s="115">
        <v>243.15</v>
      </c>
      <c r="P249" s="115">
        <v>246.05</v>
      </c>
      <c r="Q249" s="115">
        <v>243.65</v>
      </c>
      <c r="R249">
        <v>8411</v>
      </c>
    </row>
    <row r="250" spans="1:18" x14ac:dyDescent="0.25">
      <c r="A250" s="169">
        <v>42368</v>
      </c>
      <c r="B250" s="115">
        <v>243.4</v>
      </c>
      <c r="C250" s="115">
        <v>240</v>
      </c>
      <c r="D250" s="115">
        <v>239</v>
      </c>
      <c r="E250" s="115">
        <v>243.1</v>
      </c>
      <c r="F250" s="115">
        <v>240</v>
      </c>
      <c r="G250">
        <v>5223</v>
      </c>
      <c r="H250" s="115"/>
      <c r="I250" s="115"/>
      <c r="L250" s="169">
        <v>42368</v>
      </c>
      <c r="M250" s="115">
        <v>240</v>
      </c>
      <c r="N250" s="115">
        <v>245.7</v>
      </c>
      <c r="O250" s="115">
        <v>237.2</v>
      </c>
      <c r="P250" s="115">
        <v>245.7</v>
      </c>
      <c r="Q250" s="115">
        <v>240</v>
      </c>
      <c r="R250">
        <v>27171</v>
      </c>
    </row>
    <row r="251" spans="1:18" x14ac:dyDescent="0.25">
      <c r="A251" s="169">
        <v>42369</v>
      </c>
      <c r="B251" s="115">
        <v>242</v>
      </c>
      <c r="C251" s="115">
        <v>239.7</v>
      </c>
      <c r="D251" s="115">
        <v>239</v>
      </c>
      <c r="E251" s="115">
        <v>240</v>
      </c>
      <c r="F251" s="115">
        <v>239.7</v>
      </c>
      <c r="G251">
        <v>3644</v>
      </c>
      <c r="H251" s="115"/>
      <c r="I251" s="115"/>
      <c r="L251" s="169">
        <v>42369</v>
      </c>
      <c r="M251" s="115">
        <v>239.75</v>
      </c>
      <c r="N251" s="115">
        <v>244.9</v>
      </c>
      <c r="O251" s="115">
        <v>238.4</v>
      </c>
      <c r="P251" s="115">
        <v>243.95</v>
      </c>
      <c r="Q251" s="115">
        <v>239.75</v>
      </c>
      <c r="R251">
        <v>9249</v>
      </c>
    </row>
    <row r="252" spans="1:18" x14ac:dyDescent="0.25">
      <c r="A252" s="169">
        <v>42370</v>
      </c>
      <c r="B252" s="115">
        <v>244</v>
      </c>
      <c r="C252" s="115">
        <v>240.9</v>
      </c>
      <c r="D252" s="115">
        <v>240</v>
      </c>
      <c r="E252" s="115">
        <v>242</v>
      </c>
      <c r="F252" s="115">
        <v>240.9</v>
      </c>
      <c r="G252">
        <v>5059</v>
      </c>
      <c r="H252" s="115"/>
      <c r="I252" s="115"/>
      <c r="L252" s="169">
        <v>42370</v>
      </c>
      <c r="M252" s="115">
        <v>241.9</v>
      </c>
      <c r="N252" s="115">
        <v>244.9</v>
      </c>
      <c r="O252" s="115">
        <v>240</v>
      </c>
      <c r="P252" s="115">
        <v>241.45</v>
      </c>
      <c r="Q252" s="115">
        <v>241.9</v>
      </c>
      <c r="R252">
        <v>12823</v>
      </c>
    </row>
    <row r="253" spans="1:18" x14ac:dyDescent="0.25">
      <c r="A253" s="169">
        <v>42373</v>
      </c>
      <c r="B253" s="115">
        <v>249</v>
      </c>
      <c r="C253" s="115">
        <v>238.3</v>
      </c>
      <c r="D253" s="115">
        <v>238</v>
      </c>
      <c r="E253" s="115">
        <v>249</v>
      </c>
      <c r="F253" s="115">
        <v>238.3</v>
      </c>
      <c r="G253">
        <v>4550</v>
      </c>
      <c r="H253" s="115"/>
      <c r="I253" s="115"/>
      <c r="L253" s="169">
        <v>42373</v>
      </c>
      <c r="M253" s="115">
        <v>237.9</v>
      </c>
      <c r="N253" s="115">
        <v>244</v>
      </c>
      <c r="O253" s="115">
        <v>235.5</v>
      </c>
      <c r="P253" s="115">
        <v>241.95</v>
      </c>
      <c r="Q253" s="115">
        <v>237.9</v>
      </c>
      <c r="R253">
        <v>12006</v>
      </c>
    </row>
    <row r="254" spans="1:18" x14ac:dyDescent="0.25">
      <c r="A254" s="169">
        <v>42374</v>
      </c>
      <c r="B254" s="115">
        <v>244</v>
      </c>
      <c r="C254" s="115">
        <v>238.3</v>
      </c>
      <c r="D254" s="115">
        <v>236.3</v>
      </c>
      <c r="E254" s="115">
        <v>239</v>
      </c>
      <c r="F254" s="115">
        <v>238.3</v>
      </c>
      <c r="G254">
        <v>4110</v>
      </c>
      <c r="H254" s="115"/>
      <c r="I254" s="115"/>
      <c r="L254" s="169">
        <v>42374</v>
      </c>
      <c r="M254" s="115">
        <v>238.8</v>
      </c>
      <c r="N254" s="115">
        <v>244</v>
      </c>
      <c r="O254" s="115">
        <v>237.05</v>
      </c>
      <c r="P254" s="115">
        <v>240.95</v>
      </c>
      <c r="Q254" s="115">
        <v>238.8</v>
      </c>
      <c r="R254">
        <v>11227</v>
      </c>
    </row>
    <row r="255" spans="1:18" x14ac:dyDescent="0.25">
      <c r="A255" s="169">
        <v>42375</v>
      </c>
      <c r="B255" s="115">
        <v>244</v>
      </c>
      <c r="C255" s="115">
        <v>242.6</v>
      </c>
      <c r="D255" s="115">
        <v>239.1</v>
      </c>
      <c r="E255" s="115">
        <v>239.1</v>
      </c>
      <c r="F255" s="115">
        <v>242.6</v>
      </c>
      <c r="G255">
        <v>1554</v>
      </c>
      <c r="H255" s="115"/>
      <c r="I255" s="115"/>
      <c r="L255" s="169">
        <v>42375</v>
      </c>
      <c r="M255" s="115">
        <v>243.35</v>
      </c>
      <c r="N255" s="115">
        <v>244.45</v>
      </c>
      <c r="O255" s="115">
        <v>237.5</v>
      </c>
      <c r="P255" s="115">
        <v>238.2</v>
      </c>
      <c r="Q255" s="115">
        <v>243.35</v>
      </c>
      <c r="R255">
        <v>13752</v>
      </c>
    </row>
    <row r="256" spans="1:18" x14ac:dyDescent="0.25">
      <c r="A256" s="169">
        <v>42376</v>
      </c>
      <c r="B256" s="115">
        <v>242.6</v>
      </c>
      <c r="C256" s="115">
        <v>239.7</v>
      </c>
      <c r="D256" s="115">
        <v>238</v>
      </c>
      <c r="E256" s="115">
        <v>242.6</v>
      </c>
      <c r="F256" s="115">
        <v>239.7</v>
      </c>
      <c r="G256">
        <v>1132</v>
      </c>
      <c r="H256" s="115"/>
      <c r="I256" s="115"/>
      <c r="L256" s="169">
        <v>42376</v>
      </c>
      <c r="M256" s="115">
        <v>240.15</v>
      </c>
      <c r="N256" s="115">
        <v>242</v>
      </c>
      <c r="O256" s="115">
        <v>237.1</v>
      </c>
      <c r="P256" s="115">
        <v>242</v>
      </c>
      <c r="Q256" s="115">
        <v>240.15</v>
      </c>
      <c r="R256">
        <v>15858</v>
      </c>
    </row>
    <row r="257" spans="1:18" x14ac:dyDescent="0.25">
      <c r="A257" s="169">
        <v>42377</v>
      </c>
      <c r="B257" s="115">
        <v>241.7</v>
      </c>
      <c r="C257" s="115">
        <v>238.9</v>
      </c>
      <c r="D257" s="115">
        <v>232.3</v>
      </c>
      <c r="E257" s="115">
        <v>237.3</v>
      </c>
      <c r="F257" s="115">
        <v>238.9</v>
      </c>
      <c r="G257">
        <v>1735</v>
      </c>
      <c r="H257" s="115"/>
      <c r="I257" s="115"/>
      <c r="L257" s="169">
        <v>42377</v>
      </c>
      <c r="M257" s="115">
        <v>240.55</v>
      </c>
      <c r="N257" s="115">
        <v>241.5</v>
      </c>
      <c r="O257" s="115">
        <v>238</v>
      </c>
      <c r="P257" s="115">
        <v>239.05</v>
      </c>
      <c r="Q257" s="115">
        <v>240.55</v>
      </c>
      <c r="R257">
        <v>13926</v>
      </c>
    </row>
    <row r="258" spans="1:18" x14ac:dyDescent="0.25">
      <c r="A258" s="169">
        <v>42380</v>
      </c>
      <c r="B258" s="115">
        <v>241.2</v>
      </c>
      <c r="C258" s="115">
        <v>236.6</v>
      </c>
      <c r="D258" s="115">
        <v>235</v>
      </c>
      <c r="E258" s="115">
        <v>238.2</v>
      </c>
      <c r="F258" s="115">
        <v>236.6</v>
      </c>
      <c r="G258">
        <v>2002</v>
      </c>
      <c r="H258" s="115"/>
      <c r="I258" s="115"/>
      <c r="L258" s="169">
        <v>42380</v>
      </c>
      <c r="M258" s="115">
        <v>236.4</v>
      </c>
      <c r="N258" s="115">
        <v>253.2</v>
      </c>
      <c r="O258" s="115">
        <v>235.1</v>
      </c>
      <c r="P258" s="115">
        <v>241.2</v>
      </c>
      <c r="Q258" s="115">
        <v>236.4</v>
      </c>
      <c r="R258">
        <v>9341</v>
      </c>
    </row>
    <row r="259" spans="1:18" x14ac:dyDescent="0.25">
      <c r="A259" s="169">
        <v>42381</v>
      </c>
      <c r="B259" s="115">
        <v>240</v>
      </c>
      <c r="C259" s="115">
        <v>235.5</v>
      </c>
      <c r="D259" s="115">
        <v>234</v>
      </c>
      <c r="E259" s="115">
        <v>236.4</v>
      </c>
      <c r="F259" s="115">
        <v>235.5</v>
      </c>
      <c r="G259">
        <v>2637</v>
      </c>
      <c r="H259" s="115"/>
      <c r="I259" s="115"/>
      <c r="L259" s="169">
        <v>42381</v>
      </c>
      <c r="M259" s="115">
        <v>234.3</v>
      </c>
      <c r="N259" s="115">
        <v>242.65</v>
      </c>
      <c r="O259" s="115">
        <v>233.5</v>
      </c>
      <c r="P259" s="115">
        <v>236.25</v>
      </c>
      <c r="Q259" s="115">
        <v>234.3</v>
      </c>
      <c r="R259">
        <v>10899</v>
      </c>
    </row>
    <row r="260" spans="1:18" x14ac:dyDescent="0.25">
      <c r="A260" s="169">
        <v>42382</v>
      </c>
      <c r="B260" s="115">
        <v>242</v>
      </c>
      <c r="C260" s="115">
        <v>236.2</v>
      </c>
      <c r="D260" s="115">
        <v>228</v>
      </c>
      <c r="E260" s="115">
        <v>242</v>
      </c>
      <c r="F260" s="115">
        <v>236.2</v>
      </c>
      <c r="G260">
        <v>6885</v>
      </c>
      <c r="H260" s="115"/>
      <c r="I260" s="115"/>
      <c r="L260" s="169">
        <v>42382</v>
      </c>
      <c r="M260" s="115">
        <v>238</v>
      </c>
      <c r="N260" s="115">
        <v>244.8</v>
      </c>
      <c r="O260" s="115">
        <v>227.1</v>
      </c>
      <c r="P260" s="115">
        <v>244.8</v>
      </c>
      <c r="Q260" s="115">
        <v>238</v>
      </c>
      <c r="R260">
        <v>140015</v>
      </c>
    </row>
    <row r="261" spans="1:18" x14ac:dyDescent="0.25">
      <c r="A261" s="169">
        <v>42383</v>
      </c>
      <c r="B261" s="115">
        <v>236.1</v>
      </c>
      <c r="C261" s="115">
        <v>233.3</v>
      </c>
      <c r="D261" s="115">
        <v>233</v>
      </c>
      <c r="E261" s="115">
        <v>236</v>
      </c>
      <c r="F261" s="115">
        <v>233.3</v>
      </c>
      <c r="G261">
        <v>4155</v>
      </c>
      <c r="H261" s="115"/>
      <c r="I261" s="115"/>
      <c r="L261" s="169">
        <v>42383</v>
      </c>
      <c r="M261" s="115">
        <v>234.35</v>
      </c>
      <c r="N261" s="115">
        <v>237</v>
      </c>
      <c r="O261" s="115">
        <v>233.5</v>
      </c>
      <c r="P261" s="115">
        <v>233.5</v>
      </c>
      <c r="Q261" s="115">
        <v>234.35</v>
      </c>
      <c r="R261">
        <v>7941</v>
      </c>
    </row>
    <row r="262" spans="1:18" x14ac:dyDescent="0.25">
      <c r="A262" s="169">
        <v>42384</v>
      </c>
      <c r="B262" s="115">
        <v>238</v>
      </c>
      <c r="C262" s="115">
        <v>227.9</v>
      </c>
      <c r="D262" s="115">
        <v>225.1</v>
      </c>
      <c r="E262" s="115">
        <v>235</v>
      </c>
      <c r="F262" s="115">
        <v>227.9</v>
      </c>
      <c r="G262">
        <v>2943</v>
      </c>
      <c r="H262" s="115"/>
      <c r="I262" s="115"/>
      <c r="L262" s="169">
        <v>42384</v>
      </c>
      <c r="M262" s="115">
        <v>227</v>
      </c>
      <c r="N262" s="115">
        <v>238.4</v>
      </c>
      <c r="O262" s="115">
        <v>224.05</v>
      </c>
      <c r="P262" s="115">
        <v>234.45</v>
      </c>
      <c r="Q262" s="115">
        <v>227</v>
      </c>
      <c r="R262">
        <v>8704</v>
      </c>
    </row>
    <row r="263" spans="1:18" x14ac:dyDescent="0.25">
      <c r="A263" s="169">
        <v>42387</v>
      </c>
      <c r="B263" s="115">
        <v>225</v>
      </c>
      <c r="C263" s="115">
        <v>219.1</v>
      </c>
      <c r="D263" s="115">
        <v>213</v>
      </c>
      <c r="E263" s="115">
        <v>225</v>
      </c>
      <c r="F263" s="115">
        <v>219.1</v>
      </c>
      <c r="G263">
        <v>5345</v>
      </c>
      <c r="H263" s="115"/>
      <c r="I263" s="115"/>
      <c r="L263" s="169">
        <v>42387</v>
      </c>
      <c r="M263" s="115">
        <v>220.75</v>
      </c>
      <c r="N263" s="115">
        <v>231.65</v>
      </c>
      <c r="O263" s="115">
        <v>212.55</v>
      </c>
      <c r="P263" s="115">
        <v>231.65</v>
      </c>
      <c r="Q263" s="115">
        <v>220.75</v>
      </c>
      <c r="R263">
        <v>41439</v>
      </c>
    </row>
    <row r="264" spans="1:18" x14ac:dyDescent="0.25">
      <c r="A264" s="169">
        <v>42388</v>
      </c>
      <c r="B264" s="115">
        <v>224</v>
      </c>
      <c r="C264" s="115">
        <v>222.3</v>
      </c>
      <c r="D264" s="115">
        <v>219</v>
      </c>
      <c r="E264" s="115">
        <v>219.7</v>
      </c>
      <c r="F264" s="115">
        <v>222.3</v>
      </c>
      <c r="G264">
        <v>1513</v>
      </c>
      <c r="H264" s="115"/>
      <c r="I264" s="115"/>
      <c r="L264" s="169">
        <v>42388</v>
      </c>
      <c r="M264" s="115">
        <v>222.6</v>
      </c>
      <c r="N264" s="115">
        <v>227.5</v>
      </c>
      <c r="O264" s="115">
        <v>219.95</v>
      </c>
      <c r="P264" s="115">
        <v>227.5</v>
      </c>
      <c r="Q264" s="115">
        <v>222.6</v>
      </c>
      <c r="R264">
        <v>17544</v>
      </c>
    </row>
    <row r="265" spans="1:18" x14ac:dyDescent="0.25">
      <c r="A265" s="169">
        <v>42389</v>
      </c>
      <c r="B265" s="115">
        <v>218.1</v>
      </c>
      <c r="C265" s="115">
        <v>210.5</v>
      </c>
      <c r="D265" s="115">
        <v>206.3</v>
      </c>
      <c r="E265" s="115">
        <v>218.1</v>
      </c>
      <c r="F265" s="115">
        <v>210.5</v>
      </c>
      <c r="G265">
        <v>2302</v>
      </c>
      <c r="H265" s="115"/>
      <c r="I265" s="115"/>
      <c r="L265" s="169">
        <v>42389</v>
      </c>
      <c r="M265" s="115">
        <v>212.4</v>
      </c>
      <c r="N265" s="115">
        <v>221.05</v>
      </c>
      <c r="O265" s="115">
        <v>205.2</v>
      </c>
      <c r="P265" s="115">
        <v>220</v>
      </c>
      <c r="Q265" s="115">
        <v>212.4</v>
      </c>
      <c r="R265">
        <v>32698</v>
      </c>
    </row>
    <row r="266" spans="1:18" x14ac:dyDescent="0.25">
      <c r="A266" s="169">
        <v>42390</v>
      </c>
      <c r="B266" s="115">
        <v>218</v>
      </c>
      <c r="C266" s="115">
        <v>212.2</v>
      </c>
      <c r="D266" s="115">
        <v>209</v>
      </c>
      <c r="E266" s="115">
        <v>215.9</v>
      </c>
      <c r="F266" s="115">
        <v>212.2</v>
      </c>
      <c r="G266">
        <v>2253</v>
      </c>
      <c r="H266" s="115"/>
      <c r="I266" s="115"/>
      <c r="L266" s="169">
        <v>42390</v>
      </c>
      <c r="M266" s="115">
        <v>212.05</v>
      </c>
      <c r="N266" s="115">
        <v>217</v>
      </c>
      <c r="O266" s="115">
        <v>209.55</v>
      </c>
      <c r="P266" s="115">
        <v>215.05</v>
      </c>
      <c r="Q266" s="115">
        <v>212.05</v>
      </c>
      <c r="R266">
        <v>10049</v>
      </c>
    </row>
    <row r="267" spans="1:18" x14ac:dyDescent="0.25">
      <c r="A267" s="169">
        <v>42391</v>
      </c>
      <c r="B267" s="115">
        <v>225.1</v>
      </c>
      <c r="C267" s="115">
        <v>219.4</v>
      </c>
      <c r="D267" s="115">
        <v>213.1</v>
      </c>
      <c r="E267" s="115">
        <v>213.1</v>
      </c>
      <c r="F267" s="115">
        <v>219.4</v>
      </c>
      <c r="G267">
        <v>3234</v>
      </c>
      <c r="H267" s="115"/>
      <c r="I267" s="115"/>
      <c r="L267" s="169">
        <v>42391</v>
      </c>
      <c r="M267" s="115">
        <v>219.8</v>
      </c>
      <c r="N267" s="115">
        <v>229.8</v>
      </c>
      <c r="O267" s="115">
        <v>212</v>
      </c>
      <c r="P267" s="115">
        <v>213</v>
      </c>
      <c r="Q267" s="115">
        <v>219.8</v>
      </c>
      <c r="R267">
        <v>15965</v>
      </c>
    </row>
    <row r="268" spans="1:18" x14ac:dyDescent="0.25">
      <c r="A268" s="169">
        <v>42394</v>
      </c>
      <c r="B268" s="115">
        <v>227</v>
      </c>
      <c r="C268" s="115">
        <v>226</v>
      </c>
      <c r="D268" s="115">
        <v>224.9</v>
      </c>
      <c r="E268" s="115">
        <v>225.5</v>
      </c>
      <c r="F268" s="115">
        <v>226</v>
      </c>
      <c r="G268">
        <v>1457</v>
      </c>
      <c r="H268" s="115"/>
      <c r="I268" s="115"/>
      <c r="L268" s="169">
        <v>42394</v>
      </c>
      <c r="M268" s="115">
        <v>225.05</v>
      </c>
      <c r="N268" s="115">
        <v>228.8</v>
      </c>
      <c r="O268" s="115">
        <v>221.4</v>
      </c>
      <c r="P268" s="115">
        <v>223.45</v>
      </c>
      <c r="Q268" s="115">
        <v>225.05</v>
      </c>
      <c r="R268">
        <v>13169</v>
      </c>
    </row>
    <row r="269" spans="1:18" x14ac:dyDescent="0.25">
      <c r="A269" s="169">
        <v>42396</v>
      </c>
      <c r="B269" s="115">
        <v>229.8</v>
      </c>
      <c r="C269" s="115">
        <v>219.6</v>
      </c>
      <c r="D269" s="115">
        <v>219.3</v>
      </c>
      <c r="E269" s="115">
        <v>229</v>
      </c>
      <c r="F269" s="115">
        <v>219.6</v>
      </c>
      <c r="G269">
        <v>860</v>
      </c>
      <c r="H269" s="115"/>
      <c r="I269" s="115"/>
      <c r="L269" s="169">
        <v>42396</v>
      </c>
      <c r="M269" s="115">
        <v>220.35</v>
      </c>
      <c r="N269" s="115">
        <v>226</v>
      </c>
      <c r="O269" s="115">
        <v>217</v>
      </c>
      <c r="P269" s="115">
        <v>225.15</v>
      </c>
      <c r="Q269" s="115">
        <v>220.35</v>
      </c>
      <c r="R269">
        <v>9116</v>
      </c>
    </row>
    <row r="270" spans="1:18" x14ac:dyDescent="0.25">
      <c r="A270" s="169">
        <v>42397</v>
      </c>
      <c r="B270" s="115">
        <v>222.3</v>
      </c>
      <c r="C270" s="115">
        <v>215.1</v>
      </c>
      <c r="D270" s="115">
        <v>214</v>
      </c>
      <c r="E270" s="115">
        <v>222.3</v>
      </c>
      <c r="F270" s="115">
        <v>215.1</v>
      </c>
      <c r="G270">
        <v>2454</v>
      </c>
      <c r="H270" s="115"/>
      <c r="I270" s="115"/>
      <c r="L270" s="169">
        <v>42397</v>
      </c>
      <c r="M270" s="115">
        <v>214.85</v>
      </c>
      <c r="N270" s="115">
        <v>223</v>
      </c>
      <c r="O270" s="115">
        <v>214.05</v>
      </c>
      <c r="P270" s="115">
        <v>222.95</v>
      </c>
      <c r="Q270" s="115">
        <v>214.85</v>
      </c>
      <c r="R270">
        <v>6897</v>
      </c>
    </row>
    <row r="271" spans="1:18" x14ac:dyDescent="0.25">
      <c r="A271" s="169">
        <v>42398</v>
      </c>
      <c r="B271" s="115">
        <v>227</v>
      </c>
      <c r="C271" s="115">
        <v>222.6</v>
      </c>
      <c r="D271" s="115">
        <v>208.5</v>
      </c>
      <c r="E271" s="115">
        <v>213.1</v>
      </c>
      <c r="F271" s="115">
        <v>222.6</v>
      </c>
      <c r="G271">
        <v>6918</v>
      </c>
      <c r="H271" s="115"/>
      <c r="I271" s="115"/>
      <c r="L271" s="169">
        <v>42398</v>
      </c>
      <c r="M271" s="115">
        <v>220.05</v>
      </c>
      <c r="N271" s="115">
        <v>226</v>
      </c>
      <c r="O271" s="115">
        <v>213.1</v>
      </c>
      <c r="P271" s="115">
        <v>214.1</v>
      </c>
      <c r="Q271" s="115">
        <v>220.05</v>
      </c>
      <c r="R271">
        <v>6621</v>
      </c>
    </row>
    <row r="272" spans="1:18" x14ac:dyDescent="0.25">
      <c r="A272" s="169">
        <v>42401</v>
      </c>
      <c r="B272" s="115">
        <v>224.2</v>
      </c>
      <c r="C272" s="115">
        <v>218.9</v>
      </c>
      <c r="D272" s="115">
        <v>214.5</v>
      </c>
      <c r="E272" s="115">
        <v>221.6</v>
      </c>
      <c r="F272" s="115">
        <v>218.9</v>
      </c>
      <c r="G272">
        <v>2409</v>
      </c>
      <c r="H272" s="115"/>
      <c r="I272" s="115"/>
      <c r="L272" s="169">
        <v>42401</v>
      </c>
      <c r="M272" s="115">
        <v>215.6</v>
      </c>
      <c r="N272" s="115">
        <v>224.95</v>
      </c>
      <c r="O272" s="115">
        <v>214.65</v>
      </c>
      <c r="P272" s="115">
        <v>224.95</v>
      </c>
      <c r="Q272" s="115">
        <v>215.6</v>
      </c>
      <c r="R272">
        <v>7681</v>
      </c>
    </row>
    <row r="273" spans="1:18" x14ac:dyDescent="0.25">
      <c r="A273" s="169">
        <v>42402</v>
      </c>
      <c r="B273" s="115">
        <v>219.9</v>
      </c>
      <c r="C273" s="115">
        <v>213.8</v>
      </c>
      <c r="D273" s="115">
        <v>213</v>
      </c>
      <c r="E273" s="115">
        <v>219.8</v>
      </c>
      <c r="F273" s="115">
        <v>213.8</v>
      </c>
      <c r="G273">
        <v>1962</v>
      </c>
      <c r="H273" s="115"/>
      <c r="I273" s="115"/>
      <c r="L273" s="169">
        <v>42402</v>
      </c>
      <c r="M273" s="115">
        <v>212.7</v>
      </c>
      <c r="N273" s="115">
        <v>219</v>
      </c>
      <c r="O273" s="115">
        <v>211</v>
      </c>
      <c r="P273" s="115">
        <v>215.1</v>
      </c>
      <c r="Q273" s="115">
        <v>212.7</v>
      </c>
      <c r="R273">
        <v>8394</v>
      </c>
    </row>
    <row r="274" spans="1:18" x14ac:dyDescent="0.25">
      <c r="A274" s="169">
        <v>42403</v>
      </c>
      <c r="B274" s="115">
        <v>212</v>
      </c>
      <c r="C274" s="115">
        <v>208.9</v>
      </c>
      <c r="D274" s="115">
        <v>203</v>
      </c>
      <c r="E274" s="115">
        <v>212</v>
      </c>
      <c r="F274" s="115">
        <v>208.9</v>
      </c>
      <c r="G274">
        <v>2193</v>
      </c>
      <c r="H274" s="115"/>
      <c r="I274" s="115"/>
      <c r="L274" s="169">
        <v>42403</v>
      </c>
      <c r="M274" s="115">
        <v>207.95</v>
      </c>
      <c r="N274" s="115">
        <v>215.95</v>
      </c>
      <c r="O274" s="115">
        <v>200.1</v>
      </c>
      <c r="P274" s="115">
        <v>213.05</v>
      </c>
      <c r="Q274" s="115">
        <v>207.95</v>
      </c>
      <c r="R274">
        <v>16302</v>
      </c>
    </row>
    <row r="275" spans="1:18" x14ac:dyDescent="0.25">
      <c r="A275" s="169">
        <v>42404</v>
      </c>
      <c r="B275" s="115">
        <v>212</v>
      </c>
      <c r="C275" s="115">
        <v>207.6</v>
      </c>
      <c r="D275" s="115">
        <v>206</v>
      </c>
      <c r="E275" s="115">
        <v>209.4</v>
      </c>
      <c r="F275" s="115">
        <v>207.6</v>
      </c>
      <c r="G275">
        <v>794</v>
      </c>
      <c r="H275" s="115"/>
      <c r="I275" s="115"/>
      <c r="L275" s="169">
        <v>42404</v>
      </c>
      <c r="M275" s="115">
        <v>206.05</v>
      </c>
      <c r="N275" s="115">
        <v>212.6</v>
      </c>
      <c r="O275" s="115">
        <v>201.2</v>
      </c>
      <c r="P275" s="115">
        <v>208.85</v>
      </c>
      <c r="Q275" s="115">
        <v>206.05</v>
      </c>
      <c r="R275">
        <v>30465</v>
      </c>
    </row>
    <row r="276" spans="1:18" x14ac:dyDescent="0.25">
      <c r="A276" s="169">
        <v>42405</v>
      </c>
      <c r="B276" s="115">
        <v>212</v>
      </c>
      <c r="C276" s="115">
        <v>208.6</v>
      </c>
      <c r="D276" s="115">
        <v>205.2</v>
      </c>
      <c r="E276" s="115">
        <v>209</v>
      </c>
      <c r="F276" s="115">
        <v>208.6</v>
      </c>
      <c r="G276">
        <v>400</v>
      </c>
      <c r="H276" s="115"/>
      <c r="I276" s="115"/>
      <c r="L276" s="169">
        <v>42405</v>
      </c>
      <c r="M276" s="115">
        <v>208.9</v>
      </c>
      <c r="N276" s="115">
        <v>213</v>
      </c>
      <c r="O276" s="115">
        <v>203.05</v>
      </c>
      <c r="P276" s="115">
        <v>205.05</v>
      </c>
      <c r="Q276" s="115">
        <v>208.9</v>
      </c>
      <c r="R276">
        <v>7988</v>
      </c>
    </row>
    <row r="277" spans="1:18" x14ac:dyDescent="0.25">
      <c r="A277" s="169">
        <v>42408</v>
      </c>
      <c r="B277" s="115">
        <v>210</v>
      </c>
      <c r="C277" s="115">
        <v>204.4</v>
      </c>
      <c r="D277" s="115">
        <v>203.2</v>
      </c>
      <c r="E277" s="115">
        <v>208.1</v>
      </c>
      <c r="F277" s="115">
        <v>204.4</v>
      </c>
      <c r="G277">
        <v>1316</v>
      </c>
      <c r="H277" s="115"/>
      <c r="I277" s="115"/>
      <c r="L277" s="169">
        <v>42408</v>
      </c>
      <c r="M277" s="115">
        <v>203.25</v>
      </c>
      <c r="N277" s="115">
        <v>211.75</v>
      </c>
      <c r="O277" s="115">
        <v>202.85</v>
      </c>
      <c r="P277" s="115">
        <v>207.55</v>
      </c>
      <c r="Q277" s="115">
        <v>203.25</v>
      </c>
      <c r="R277">
        <v>10100</v>
      </c>
    </row>
    <row r="278" spans="1:18" x14ac:dyDescent="0.25">
      <c r="A278" s="169">
        <v>42409</v>
      </c>
      <c r="B278" s="115">
        <v>206.6</v>
      </c>
      <c r="C278" s="115">
        <v>204.1</v>
      </c>
      <c r="D278" s="115">
        <v>201.3</v>
      </c>
      <c r="E278" s="115">
        <v>204.1</v>
      </c>
      <c r="F278" s="115">
        <v>204.1</v>
      </c>
      <c r="G278">
        <v>278</v>
      </c>
      <c r="H278" s="115"/>
      <c r="I278" s="115"/>
      <c r="L278" s="169">
        <v>42409</v>
      </c>
      <c r="M278" s="115">
        <v>205.15</v>
      </c>
      <c r="N278" s="115">
        <v>207.9</v>
      </c>
      <c r="O278" s="115">
        <v>203.3</v>
      </c>
      <c r="P278" s="115">
        <v>203.3</v>
      </c>
      <c r="Q278" s="115">
        <v>205.15</v>
      </c>
      <c r="R278">
        <v>3308</v>
      </c>
    </row>
    <row r="279" spans="1:18" x14ac:dyDescent="0.25">
      <c r="A279" s="169">
        <v>42410</v>
      </c>
      <c r="B279" s="115">
        <v>207</v>
      </c>
      <c r="C279" s="115">
        <v>200.8</v>
      </c>
      <c r="D279" s="115">
        <v>197.2</v>
      </c>
      <c r="E279" s="115">
        <v>205</v>
      </c>
      <c r="F279" s="115">
        <v>200.8</v>
      </c>
      <c r="G279">
        <v>1565</v>
      </c>
      <c r="H279" s="115"/>
      <c r="I279" s="115"/>
      <c r="L279" s="169">
        <v>42410</v>
      </c>
      <c r="M279" s="115">
        <v>201.4</v>
      </c>
      <c r="N279" s="115">
        <v>206.7</v>
      </c>
      <c r="O279" s="115">
        <v>199.1</v>
      </c>
      <c r="P279" s="115">
        <v>205.15</v>
      </c>
      <c r="Q279" s="115">
        <v>201.4</v>
      </c>
      <c r="R279">
        <v>6260</v>
      </c>
    </row>
    <row r="280" spans="1:18" x14ac:dyDescent="0.25">
      <c r="A280" s="169">
        <v>42411</v>
      </c>
      <c r="B280" s="115">
        <v>206</v>
      </c>
      <c r="C280" s="115">
        <v>187.2</v>
      </c>
      <c r="D280" s="115">
        <v>184</v>
      </c>
      <c r="E280" s="115">
        <v>195</v>
      </c>
      <c r="F280" s="115">
        <v>187.2</v>
      </c>
      <c r="G280">
        <v>3002</v>
      </c>
      <c r="H280" s="115"/>
      <c r="I280" s="115"/>
      <c r="L280" s="169">
        <v>42411</v>
      </c>
      <c r="M280" s="115">
        <v>187.15</v>
      </c>
      <c r="N280" s="115">
        <v>204.95</v>
      </c>
      <c r="O280" s="115">
        <v>182</v>
      </c>
      <c r="P280" s="115">
        <v>204.95</v>
      </c>
      <c r="Q280" s="115">
        <v>187.15</v>
      </c>
      <c r="R280">
        <v>30561</v>
      </c>
    </row>
    <row r="281" spans="1:18" x14ac:dyDescent="0.25">
      <c r="A281" s="169">
        <v>42412</v>
      </c>
      <c r="B281" s="115">
        <v>189</v>
      </c>
      <c r="C281" s="115">
        <v>184</v>
      </c>
      <c r="D281" s="115">
        <v>176.9</v>
      </c>
      <c r="E281" s="115">
        <v>186.5</v>
      </c>
      <c r="F281" s="115">
        <v>184</v>
      </c>
      <c r="G281">
        <v>4688</v>
      </c>
      <c r="H281" s="115"/>
      <c r="I281" s="115"/>
      <c r="L281" s="169">
        <v>42412</v>
      </c>
      <c r="M281" s="115">
        <v>183.3</v>
      </c>
      <c r="N281" s="115">
        <v>193.65</v>
      </c>
      <c r="O281" s="115">
        <v>176</v>
      </c>
      <c r="P281" s="115">
        <v>186</v>
      </c>
      <c r="Q281" s="115">
        <v>183.3</v>
      </c>
      <c r="R281">
        <v>18193</v>
      </c>
    </row>
    <row r="282" spans="1:18" x14ac:dyDescent="0.25">
      <c r="A282" s="169">
        <v>42415</v>
      </c>
      <c r="B282" s="115">
        <v>195</v>
      </c>
      <c r="C282" s="115">
        <v>194.4</v>
      </c>
      <c r="D282" s="115">
        <v>183.3</v>
      </c>
      <c r="E282" s="115">
        <v>190.8</v>
      </c>
      <c r="F282" s="115">
        <v>194.4</v>
      </c>
      <c r="G282">
        <v>5287</v>
      </c>
      <c r="H282" s="115"/>
      <c r="I282" s="115"/>
      <c r="L282" s="169">
        <v>42415</v>
      </c>
      <c r="M282" s="115">
        <v>194.5</v>
      </c>
      <c r="N282" s="115">
        <v>195</v>
      </c>
      <c r="O282" s="115">
        <v>181.05</v>
      </c>
      <c r="P282" s="115">
        <v>181.05</v>
      </c>
      <c r="Q282" s="115">
        <v>194.5</v>
      </c>
      <c r="R282">
        <v>9219</v>
      </c>
    </row>
    <row r="283" spans="1:18" x14ac:dyDescent="0.25">
      <c r="A283" s="169">
        <v>42416</v>
      </c>
      <c r="B283" s="115">
        <v>200</v>
      </c>
      <c r="C283" s="115">
        <v>195.7</v>
      </c>
      <c r="D283" s="115">
        <v>194</v>
      </c>
      <c r="E283" s="115">
        <v>195</v>
      </c>
      <c r="F283" s="115">
        <v>195.7</v>
      </c>
      <c r="G283">
        <v>3821</v>
      </c>
      <c r="H283" s="115"/>
      <c r="I283" s="115"/>
      <c r="L283" s="169">
        <v>42416</v>
      </c>
      <c r="M283" s="115">
        <v>196.45</v>
      </c>
      <c r="N283" s="115">
        <v>199.9</v>
      </c>
      <c r="O283" s="115">
        <v>192</v>
      </c>
      <c r="P283" s="115">
        <v>192</v>
      </c>
      <c r="Q283" s="115">
        <v>196.45</v>
      </c>
      <c r="R283">
        <v>11447</v>
      </c>
    </row>
    <row r="284" spans="1:18" x14ac:dyDescent="0.25">
      <c r="A284" s="169">
        <v>42417</v>
      </c>
      <c r="B284" s="115">
        <v>206</v>
      </c>
      <c r="C284" s="115">
        <v>205</v>
      </c>
      <c r="D284" s="115">
        <v>186.1</v>
      </c>
      <c r="E284" s="115">
        <v>202.5</v>
      </c>
      <c r="F284" s="115">
        <v>205</v>
      </c>
      <c r="G284">
        <v>10801</v>
      </c>
      <c r="H284" s="115"/>
      <c r="I284" s="115"/>
      <c r="L284" s="169">
        <v>42417</v>
      </c>
      <c r="M284" s="115">
        <v>204.7</v>
      </c>
      <c r="N284" s="115">
        <v>207.5</v>
      </c>
      <c r="O284" s="115">
        <v>191</v>
      </c>
      <c r="P284" s="115">
        <v>199</v>
      </c>
      <c r="Q284" s="115">
        <v>204.7</v>
      </c>
      <c r="R284">
        <v>24805</v>
      </c>
    </row>
    <row r="285" spans="1:18" x14ac:dyDescent="0.25">
      <c r="A285" s="169">
        <v>42418</v>
      </c>
      <c r="B285" s="115">
        <v>208.3</v>
      </c>
      <c r="C285" s="115">
        <v>203.4</v>
      </c>
      <c r="D285" s="115">
        <v>200.1</v>
      </c>
      <c r="E285" s="115">
        <v>208</v>
      </c>
      <c r="F285" s="115">
        <v>203.4</v>
      </c>
      <c r="G285">
        <v>3224</v>
      </c>
      <c r="H285" s="115"/>
      <c r="I285" s="115"/>
      <c r="L285" s="169">
        <v>42418</v>
      </c>
      <c r="M285" s="115">
        <v>203.5</v>
      </c>
      <c r="N285" s="115">
        <v>209</v>
      </c>
      <c r="O285" s="115">
        <v>202.5</v>
      </c>
      <c r="P285" s="115">
        <v>203</v>
      </c>
      <c r="Q285" s="115">
        <v>203.5</v>
      </c>
      <c r="R285">
        <v>6908</v>
      </c>
    </row>
    <row r="286" spans="1:18" x14ac:dyDescent="0.25">
      <c r="A286" s="169">
        <v>42419</v>
      </c>
      <c r="B286" s="115">
        <v>206.5</v>
      </c>
      <c r="C286" s="115">
        <v>204.5</v>
      </c>
      <c r="D286" s="115">
        <v>204</v>
      </c>
      <c r="E286" s="115">
        <v>206</v>
      </c>
      <c r="F286" s="115">
        <v>204.5</v>
      </c>
      <c r="G286">
        <v>541</v>
      </c>
      <c r="H286" s="115"/>
      <c r="I286" s="115"/>
      <c r="L286" s="169">
        <v>42419</v>
      </c>
      <c r="M286" s="115">
        <v>204.75</v>
      </c>
      <c r="N286" s="115">
        <v>207.45</v>
      </c>
      <c r="O286" s="115">
        <v>203</v>
      </c>
      <c r="P286" s="115">
        <v>207.45</v>
      </c>
      <c r="Q286" s="115">
        <v>204.75</v>
      </c>
      <c r="R286">
        <v>9535</v>
      </c>
    </row>
    <row r="287" spans="1:18" x14ac:dyDescent="0.25">
      <c r="A287" s="169">
        <v>42422</v>
      </c>
      <c r="B287" s="115">
        <v>207</v>
      </c>
      <c r="C287" s="115">
        <v>204.1</v>
      </c>
      <c r="D287" s="115">
        <v>198</v>
      </c>
      <c r="E287" s="115">
        <v>198</v>
      </c>
      <c r="F287" s="115">
        <v>204.1</v>
      </c>
      <c r="G287">
        <v>1220</v>
      </c>
      <c r="H287" s="115"/>
      <c r="I287" s="115"/>
      <c r="L287" s="169">
        <v>42422</v>
      </c>
      <c r="M287" s="115">
        <v>202.3</v>
      </c>
      <c r="N287" s="115">
        <v>208.85</v>
      </c>
      <c r="O287" s="115">
        <v>200.95</v>
      </c>
      <c r="P287" s="115">
        <v>205</v>
      </c>
      <c r="Q287" s="115">
        <v>202.3</v>
      </c>
      <c r="R287">
        <v>8546</v>
      </c>
    </row>
    <row r="288" spans="1:18" x14ac:dyDescent="0.25">
      <c r="A288" s="169">
        <v>42423</v>
      </c>
      <c r="B288" s="115">
        <v>200</v>
      </c>
      <c r="C288" s="115">
        <v>197.9</v>
      </c>
      <c r="D288" s="115">
        <v>194</v>
      </c>
      <c r="E288" s="115">
        <v>200</v>
      </c>
      <c r="F288" s="115">
        <v>197.9</v>
      </c>
      <c r="G288">
        <v>3051</v>
      </c>
      <c r="H288" s="115"/>
      <c r="I288" s="115"/>
      <c r="L288" s="169">
        <v>42423</v>
      </c>
      <c r="M288" s="115">
        <v>198.45</v>
      </c>
      <c r="N288" s="115">
        <v>204</v>
      </c>
      <c r="O288" s="115">
        <v>196</v>
      </c>
      <c r="P288" s="115">
        <v>202.35</v>
      </c>
      <c r="Q288" s="115">
        <v>198.45</v>
      </c>
      <c r="R288">
        <v>11272</v>
      </c>
    </row>
    <row r="289" spans="1:18" x14ac:dyDescent="0.25">
      <c r="A289" s="169">
        <v>42424</v>
      </c>
      <c r="B289" s="115">
        <v>195.8</v>
      </c>
      <c r="C289" s="115">
        <v>191.5</v>
      </c>
      <c r="D289" s="115">
        <v>190.3</v>
      </c>
      <c r="E289" s="115">
        <v>195.8</v>
      </c>
      <c r="F289" s="115">
        <v>191.5</v>
      </c>
      <c r="G289">
        <v>2045</v>
      </c>
      <c r="H289" s="115"/>
      <c r="I289" s="115"/>
      <c r="L289" s="169">
        <v>42424</v>
      </c>
      <c r="M289" s="115">
        <v>190.95</v>
      </c>
      <c r="N289" s="115">
        <v>197</v>
      </c>
      <c r="O289" s="115">
        <v>190.1</v>
      </c>
      <c r="P289" s="115">
        <v>196.05</v>
      </c>
      <c r="Q289" s="115">
        <v>190.95</v>
      </c>
      <c r="R289">
        <v>10044</v>
      </c>
    </row>
    <row r="290" spans="1:18" x14ac:dyDescent="0.25">
      <c r="A290" s="169">
        <v>42425</v>
      </c>
      <c r="B290" s="115">
        <v>198.9</v>
      </c>
      <c r="C290" s="115">
        <v>194.5</v>
      </c>
      <c r="D290" s="115">
        <v>189.8</v>
      </c>
      <c r="E290" s="115">
        <v>190</v>
      </c>
      <c r="F290" s="115">
        <v>194.5</v>
      </c>
      <c r="G290">
        <v>327</v>
      </c>
      <c r="H290" s="115"/>
      <c r="I290" s="115"/>
      <c r="L290" s="169">
        <v>42425</v>
      </c>
      <c r="M290" s="115">
        <v>195.9</v>
      </c>
      <c r="N290" s="115">
        <v>199.05</v>
      </c>
      <c r="O290" s="115">
        <v>186.35</v>
      </c>
      <c r="P290" s="115">
        <v>192.3</v>
      </c>
      <c r="Q290" s="115">
        <v>195.9</v>
      </c>
      <c r="R290">
        <v>5336</v>
      </c>
    </row>
    <row r="291" spans="1:18" x14ac:dyDescent="0.25">
      <c r="A291" s="169">
        <v>42426</v>
      </c>
      <c r="B291" s="115">
        <v>194.5</v>
      </c>
      <c r="C291" s="115">
        <v>190.3</v>
      </c>
      <c r="D291" s="115">
        <v>190.1</v>
      </c>
      <c r="E291" s="115">
        <v>194.2</v>
      </c>
      <c r="F291" s="115">
        <v>190.3</v>
      </c>
      <c r="G291">
        <v>985</v>
      </c>
      <c r="H291" s="115"/>
      <c r="I291" s="115"/>
      <c r="L291" s="169">
        <v>42426</v>
      </c>
      <c r="M291" s="115">
        <v>190.15</v>
      </c>
      <c r="N291" s="115">
        <v>200.8</v>
      </c>
      <c r="O291" s="115">
        <v>190</v>
      </c>
      <c r="P291" s="115">
        <v>198.95</v>
      </c>
      <c r="Q291" s="115">
        <v>190.15</v>
      </c>
      <c r="R291">
        <v>8911</v>
      </c>
    </row>
    <row r="292" spans="1:18" x14ac:dyDescent="0.25">
      <c r="A292" s="169">
        <v>42429</v>
      </c>
      <c r="B292" s="115">
        <v>205.4</v>
      </c>
      <c r="C292" s="115">
        <v>201.6</v>
      </c>
      <c r="D292" s="115">
        <v>186.5</v>
      </c>
      <c r="E292" s="115">
        <v>193.9</v>
      </c>
      <c r="F292" s="115">
        <v>201.6</v>
      </c>
      <c r="G292">
        <v>4685</v>
      </c>
      <c r="H292" s="115"/>
      <c r="I292" s="115"/>
      <c r="L292" s="169">
        <v>42429</v>
      </c>
      <c r="M292" s="115">
        <v>202.75</v>
      </c>
      <c r="N292" s="115">
        <v>205.8</v>
      </c>
      <c r="O292" s="115">
        <v>185</v>
      </c>
      <c r="P292" s="115">
        <v>191.05</v>
      </c>
      <c r="Q292" s="115">
        <v>202.75</v>
      </c>
      <c r="R292">
        <v>25196</v>
      </c>
    </row>
    <row r="293" spans="1:18" x14ac:dyDescent="0.25">
      <c r="A293" s="169">
        <v>42430</v>
      </c>
      <c r="B293" s="115">
        <v>208</v>
      </c>
      <c r="C293" s="115">
        <v>204.7</v>
      </c>
      <c r="D293" s="115">
        <v>203.5</v>
      </c>
      <c r="E293" s="115">
        <v>205</v>
      </c>
      <c r="F293" s="115">
        <v>204.7</v>
      </c>
      <c r="G293">
        <v>2007</v>
      </c>
      <c r="H293" s="115"/>
      <c r="I293" s="115"/>
      <c r="L293" s="169">
        <v>42430</v>
      </c>
      <c r="M293" s="115">
        <v>204.8</v>
      </c>
      <c r="N293" s="115">
        <v>208</v>
      </c>
      <c r="O293" s="115">
        <v>201.05</v>
      </c>
      <c r="P293" s="115">
        <v>202.45</v>
      </c>
      <c r="Q293" s="115">
        <v>204.8</v>
      </c>
      <c r="R293">
        <v>5980</v>
      </c>
    </row>
    <row r="294" spans="1:18" x14ac:dyDescent="0.25">
      <c r="A294" s="169">
        <v>42431</v>
      </c>
      <c r="B294" s="115">
        <v>215.4</v>
      </c>
      <c r="C294" s="115">
        <v>213.2</v>
      </c>
      <c r="D294" s="115">
        <v>208.9</v>
      </c>
      <c r="E294" s="115">
        <v>208.9</v>
      </c>
      <c r="F294" s="115">
        <v>213.2</v>
      </c>
      <c r="G294">
        <v>3568</v>
      </c>
      <c r="H294" s="115"/>
      <c r="I294" s="115"/>
      <c r="L294" s="169">
        <v>42431</v>
      </c>
      <c r="M294" s="115">
        <v>212.6</v>
      </c>
      <c r="N294" s="115">
        <v>214.5</v>
      </c>
      <c r="O294" s="115">
        <v>208.55</v>
      </c>
      <c r="P294" s="115">
        <v>208.75</v>
      </c>
      <c r="Q294" s="115">
        <v>212.6</v>
      </c>
      <c r="R294">
        <v>15609</v>
      </c>
    </row>
    <row r="295" spans="1:18" x14ac:dyDescent="0.25">
      <c r="A295" s="169">
        <v>42432</v>
      </c>
      <c r="B295" s="115">
        <v>225</v>
      </c>
      <c r="C295" s="115">
        <v>220.6</v>
      </c>
      <c r="D295" s="115">
        <v>213.4</v>
      </c>
      <c r="E295" s="115">
        <v>215</v>
      </c>
      <c r="F295" s="115">
        <v>220.6</v>
      </c>
      <c r="G295">
        <v>1950</v>
      </c>
      <c r="H295" s="115"/>
      <c r="I295" s="115"/>
      <c r="L295" s="169">
        <v>42432</v>
      </c>
      <c r="M295" s="115">
        <v>220.7</v>
      </c>
      <c r="N295" s="115">
        <v>222</v>
      </c>
      <c r="O295" s="115">
        <v>211.5</v>
      </c>
      <c r="P295" s="115">
        <v>213.05</v>
      </c>
      <c r="Q295" s="115">
        <v>220.7</v>
      </c>
      <c r="R295">
        <v>21183</v>
      </c>
    </row>
    <row r="296" spans="1:18" x14ac:dyDescent="0.25">
      <c r="A296" s="169">
        <v>42433</v>
      </c>
      <c r="B296" s="115">
        <v>226.6</v>
      </c>
      <c r="C296" s="115">
        <v>226</v>
      </c>
      <c r="D296" s="115">
        <v>220</v>
      </c>
      <c r="E296" s="115">
        <v>224</v>
      </c>
      <c r="F296" s="115">
        <v>226</v>
      </c>
      <c r="G296">
        <v>13555</v>
      </c>
      <c r="H296" s="115"/>
      <c r="I296" s="115"/>
      <c r="L296" s="169">
        <v>42433</v>
      </c>
      <c r="M296" s="115">
        <v>226.2</v>
      </c>
      <c r="N296" s="115">
        <v>227.7</v>
      </c>
      <c r="O296" s="115">
        <v>220.6</v>
      </c>
      <c r="P296" s="115">
        <v>224.6</v>
      </c>
      <c r="Q296" s="115">
        <v>226.2</v>
      </c>
      <c r="R296">
        <v>13254</v>
      </c>
    </row>
    <row r="297" spans="1:18" x14ac:dyDescent="0.25">
      <c r="A297" s="169">
        <v>42437</v>
      </c>
      <c r="B297" s="115">
        <v>229.9</v>
      </c>
      <c r="C297" s="115">
        <v>221.5</v>
      </c>
      <c r="D297" s="115">
        <v>220</v>
      </c>
      <c r="E297" s="115">
        <v>227.4</v>
      </c>
      <c r="F297" s="115">
        <v>221.5</v>
      </c>
      <c r="G297">
        <v>7648</v>
      </c>
      <c r="H297" s="115"/>
      <c r="I297" s="115"/>
      <c r="L297" s="169">
        <v>42437</v>
      </c>
      <c r="M297" s="115">
        <v>220.95</v>
      </c>
      <c r="N297" s="115">
        <v>230.95</v>
      </c>
      <c r="O297" s="115">
        <v>217.55</v>
      </c>
      <c r="P297" s="115">
        <v>225</v>
      </c>
      <c r="Q297" s="115">
        <v>220.95</v>
      </c>
      <c r="R297">
        <v>15550</v>
      </c>
    </row>
    <row r="298" spans="1:18" x14ac:dyDescent="0.25">
      <c r="A298" s="169">
        <v>42438</v>
      </c>
      <c r="B298" s="115">
        <v>220</v>
      </c>
      <c r="C298" s="115">
        <v>219.5</v>
      </c>
      <c r="D298" s="115">
        <v>216</v>
      </c>
      <c r="E298" s="115">
        <v>218.5</v>
      </c>
      <c r="F298" s="115">
        <v>219.5</v>
      </c>
      <c r="G298">
        <v>3870</v>
      </c>
      <c r="H298" s="115"/>
      <c r="I298" s="115"/>
      <c r="L298" s="169">
        <v>42438</v>
      </c>
      <c r="M298" s="115">
        <v>218.3</v>
      </c>
      <c r="N298" s="115">
        <v>221.65</v>
      </c>
      <c r="O298" s="115">
        <v>215.2</v>
      </c>
      <c r="P298" s="115">
        <v>216.55</v>
      </c>
      <c r="Q298" s="115">
        <v>218.3</v>
      </c>
      <c r="R298">
        <v>13595</v>
      </c>
    </row>
    <row r="299" spans="1:18" x14ac:dyDescent="0.25">
      <c r="A299" s="169">
        <v>42439</v>
      </c>
      <c r="B299" s="115">
        <v>223.9</v>
      </c>
      <c r="C299" s="115">
        <v>219.6</v>
      </c>
      <c r="D299" s="115">
        <v>216.6</v>
      </c>
      <c r="E299" s="115">
        <v>221.9</v>
      </c>
      <c r="F299" s="115">
        <v>219.6</v>
      </c>
      <c r="G299">
        <v>2652</v>
      </c>
      <c r="H299" s="115"/>
      <c r="I299" s="115"/>
      <c r="L299" s="169">
        <v>42439</v>
      </c>
      <c r="M299" s="115">
        <v>218.7</v>
      </c>
      <c r="N299" s="115">
        <v>224</v>
      </c>
      <c r="O299" s="115">
        <v>216</v>
      </c>
      <c r="P299" s="115">
        <v>220.8</v>
      </c>
      <c r="Q299" s="115">
        <v>218.7</v>
      </c>
      <c r="R299">
        <v>7521</v>
      </c>
    </row>
    <row r="300" spans="1:18" x14ac:dyDescent="0.25">
      <c r="A300" s="169">
        <v>42440</v>
      </c>
      <c r="B300" s="115">
        <v>224</v>
      </c>
      <c r="C300" s="115">
        <v>217.8</v>
      </c>
      <c r="D300" s="115">
        <v>216.4</v>
      </c>
      <c r="E300" s="115">
        <v>224</v>
      </c>
      <c r="F300" s="115">
        <v>217.8</v>
      </c>
      <c r="G300">
        <v>1754</v>
      </c>
      <c r="H300" s="115"/>
      <c r="I300" s="115"/>
      <c r="L300" s="169">
        <v>42440</v>
      </c>
      <c r="M300" s="115">
        <v>217.6</v>
      </c>
      <c r="N300" s="115">
        <v>220</v>
      </c>
      <c r="O300" s="115">
        <v>216</v>
      </c>
      <c r="P300" s="115">
        <v>219.5</v>
      </c>
      <c r="Q300" s="115">
        <v>217.6</v>
      </c>
      <c r="R300">
        <v>4416</v>
      </c>
    </row>
    <row r="301" spans="1:18" x14ac:dyDescent="0.25">
      <c r="A301" s="169">
        <v>42443</v>
      </c>
      <c r="B301" s="115">
        <v>225</v>
      </c>
      <c r="C301" s="115">
        <v>219</v>
      </c>
      <c r="D301" s="115">
        <v>219</v>
      </c>
      <c r="E301" s="115">
        <v>225</v>
      </c>
      <c r="F301" s="115">
        <v>219</v>
      </c>
      <c r="G301">
        <v>1909</v>
      </c>
      <c r="H301" s="115"/>
      <c r="I301" s="115"/>
      <c r="L301" s="169">
        <v>42443</v>
      </c>
      <c r="M301" s="115">
        <v>219</v>
      </c>
      <c r="N301" s="115">
        <v>229.5</v>
      </c>
      <c r="O301" s="115">
        <v>217.4</v>
      </c>
      <c r="P301" s="115">
        <v>221</v>
      </c>
      <c r="Q301" s="115">
        <v>219</v>
      </c>
      <c r="R301">
        <v>4971</v>
      </c>
    </row>
    <row r="302" spans="1:18" x14ac:dyDescent="0.25">
      <c r="A302" s="169">
        <v>42444</v>
      </c>
      <c r="B302" s="115">
        <v>220</v>
      </c>
      <c r="C302" s="115">
        <v>218</v>
      </c>
      <c r="D302" s="115">
        <v>217.5</v>
      </c>
      <c r="E302" s="115">
        <v>219</v>
      </c>
      <c r="F302" s="115">
        <v>218</v>
      </c>
      <c r="G302">
        <v>1020</v>
      </c>
      <c r="H302" s="115"/>
      <c r="I302" s="115"/>
      <c r="L302" s="169">
        <v>42444</v>
      </c>
      <c r="M302" s="115">
        <v>220.4</v>
      </c>
      <c r="N302" s="115">
        <v>221.95</v>
      </c>
      <c r="O302" s="115">
        <v>216.35</v>
      </c>
      <c r="P302" s="115">
        <v>221.2</v>
      </c>
      <c r="Q302" s="115">
        <v>220.4</v>
      </c>
      <c r="R302">
        <v>3438</v>
      </c>
    </row>
    <row r="303" spans="1:18" x14ac:dyDescent="0.25">
      <c r="A303" s="169">
        <v>42445</v>
      </c>
      <c r="B303" s="115">
        <v>219</v>
      </c>
      <c r="C303" s="115">
        <v>219</v>
      </c>
      <c r="D303" s="115">
        <v>215.1</v>
      </c>
      <c r="E303" s="115">
        <v>218.4</v>
      </c>
      <c r="F303" s="115">
        <v>219</v>
      </c>
      <c r="G303">
        <v>2052</v>
      </c>
      <c r="H303" s="115"/>
      <c r="I303" s="115"/>
      <c r="L303" s="169">
        <v>42445</v>
      </c>
      <c r="M303" s="115">
        <v>218.5</v>
      </c>
      <c r="N303" s="115">
        <v>220</v>
      </c>
      <c r="O303" s="115">
        <v>215.2</v>
      </c>
      <c r="P303" s="115">
        <v>219.25</v>
      </c>
      <c r="Q303" s="115">
        <v>218.5</v>
      </c>
      <c r="R303">
        <v>4195</v>
      </c>
    </row>
    <row r="304" spans="1:18" x14ac:dyDescent="0.25">
      <c r="A304" s="169">
        <v>42446</v>
      </c>
      <c r="B304" s="115">
        <v>220</v>
      </c>
      <c r="C304" s="115">
        <v>212.6</v>
      </c>
      <c r="D304" s="115">
        <v>212</v>
      </c>
      <c r="E304" s="115">
        <v>220</v>
      </c>
      <c r="F304" s="115">
        <v>212.6</v>
      </c>
      <c r="G304">
        <v>6066</v>
      </c>
      <c r="H304" s="115"/>
      <c r="I304" s="115"/>
      <c r="L304" s="169">
        <v>42446</v>
      </c>
      <c r="M304" s="115">
        <v>213.55</v>
      </c>
      <c r="N304" s="115">
        <v>218.6</v>
      </c>
      <c r="O304" s="115">
        <v>212</v>
      </c>
      <c r="P304" s="115">
        <v>218.6</v>
      </c>
      <c r="Q304" s="115">
        <v>213.55</v>
      </c>
      <c r="R304">
        <v>9320</v>
      </c>
    </row>
    <row r="305" spans="1:18" x14ac:dyDescent="0.25">
      <c r="A305" s="169">
        <v>42447</v>
      </c>
      <c r="B305" s="115">
        <v>216</v>
      </c>
      <c r="C305" s="115">
        <v>210.3</v>
      </c>
      <c r="D305" s="115">
        <v>210</v>
      </c>
      <c r="E305" s="115">
        <v>212</v>
      </c>
      <c r="F305" s="115">
        <v>210.3</v>
      </c>
      <c r="G305">
        <v>2388</v>
      </c>
      <c r="H305" s="115"/>
      <c r="I305" s="115"/>
      <c r="L305" s="169">
        <v>42447</v>
      </c>
      <c r="M305" s="115">
        <v>211.35</v>
      </c>
      <c r="N305" s="115">
        <v>215.8</v>
      </c>
      <c r="O305" s="115">
        <v>211.1</v>
      </c>
      <c r="P305" s="115">
        <v>213.85</v>
      </c>
      <c r="Q305" s="115">
        <v>211.35</v>
      </c>
      <c r="R305">
        <v>3231</v>
      </c>
    </row>
    <row r="306" spans="1:18" x14ac:dyDescent="0.25">
      <c r="A306" s="169">
        <v>42450</v>
      </c>
      <c r="B306" s="115">
        <v>219</v>
      </c>
      <c r="C306" s="115">
        <v>217.5</v>
      </c>
      <c r="D306" s="115">
        <v>206.8</v>
      </c>
      <c r="E306" s="115">
        <v>209.5</v>
      </c>
      <c r="F306" s="115">
        <v>217.5</v>
      </c>
      <c r="G306">
        <v>1567</v>
      </c>
      <c r="H306" s="115"/>
      <c r="I306" s="115"/>
      <c r="L306" s="169">
        <v>42450</v>
      </c>
      <c r="M306" s="115">
        <v>216.8</v>
      </c>
      <c r="N306" s="115">
        <v>218.95</v>
      </c>
      <c r="O306" s="115">
        <v>208.1</v>
      </c>
      <c r="P306" s="115">
        <v>211.15</v>
      </c>
      <c r="Q306" s="115">
        <v>216.8</v>
      </c>
      <c r="R306">
        <v>7448</v>
      </c>
    </row>
    <row r="307" spans="1:18" x14ac:dyDescent="0.25">
      <c r="A307" s="169">
        <v>42451</v>
      </c>
      <c r="B307" s="115">
        <v>221</v>
      </c>
      <c r="C307" s="115">
        <v>220</v>
      </c>
      <c r="D307" s="115">
        <v>216.5</v>
      </c>
      <c r="E307" s="115">
        <v>217</v>
      </c>
      <c r="F307" s="115">
        <v>220</v>
      </c>
      <c r="G307">
        <v>3495</v>
      </c>
      <c r="H307" s="115"/>
      <c r="I307" s="115"/>
      <c r="L307" s="169">
        <v>42451</v>
      </c>
      <c r="M307" s="115">
        <v>220.15</v>
      </c>
      <c r="N307" s="115">
        <v>225.5</v>
      </c>
      <c r="O307" s="115">
        <v>214.75</v>
      </c>
      <c r="P307" s="115">
        <v>225.5</v>
      </c>
      <c r="Q307" s="115">
        <v>220.15</v>
      </c>
      <c r="R307">
        <v>4117</v>
      </c>
    </row>
    <row r="308" spans="1:18" x14ac:dyDescent="0.25">
      <c r="A308" s="169">
        <v>42452</v>
      </c>
      <c r="B308" s="115">
        <v>221.9</v>
      </c>
      <c r="C308" s="115">
        <v>219.2</v>
      </c>
      <c r="D308" s="115">
        <v>218</v>
      </c>
      <c r="E308" s="115">
        <v>220.7</v>
      </c>
      <c r="F308" s="115">
        <v>219.2</v>
      </c>
      <c r="G308">
        <v>936</v>
      </c>
      <c r="H308" s="115"/>
      <c r="I308" s="115"/>
      <c r="L308" s="169">
        <v>42452</v>
      </c>
      <c r="M308" s="115">
        <v>217.95</v>
      </c>
      <c r="N308" s="115">
        <v>222.05</v>
      </c>
      <c r="O308" s="115">
        <v>215.15</v>
      </c>
      <c r="P308" s="115">
        <v>221.05</v>
      </c>
      <c r="Q308" s="115">
        <v>217.95</v>
      </c>
      <c r="R308">
        <v>4900</v>
      </c>
    </row>
    <row r="309" spans="1:18" x14ac:dyDescent="0.25">
      <c r="A309" s="169">
        <v>42457</v>
      </c>
      <c r="B309" s="115">
        <v>215.1</v>
      </c>
      <c r="C309" s="115">
        <v>209.9</v>
      </c>
      <c r="D309" s="115">
        <v>209.2</v>
      </c>
      <c r="E309" s="115">
        <v>215.1</v>
      </c>
      <c r="F309" s="115">
        <v>209.9</v>
      </c>
      <c r="G309">
        <v>4183</v>
      </c>
      <c r="H309" s="115"/>
      <c r="I309" s="115"/>
      <c r="L309" s="169">
        <v>42457</v>
      </c>
      <c r="M309" s="115">
        <v>209.2</v>
      </c>
      <c r="N309" s="115">
        <v>220.8</v>
      </c>
      <c r="O309" s="115">
        <v>207.05</v>
      </c>
      <c r="P309" s="115">
        <v>219.85</v>
      </c>
      <c r="Q309" s="115">
        <v>209.2</v>
      </c>
      <c r="R309">
        <v>10612</v>
      </c>
    </row>
    <row r="310" spans="1:18" x14ac:dyDescent="0.25">
      <c r="A310" s="169">
        <v>42458</v>
      </c>
      <c r="B310" s="115">
        <v>213.2</v>
      </c>
      <c r="C310" s="115">
        <v>203.1</v>
      </c>
      <c r="D310" s="115">
        <v>202</v>
      </c>
      <c r="E310" s="115">
        <v>213.2</v>
      </c>
      <c r="F310" s="115">
        <v>203.1</v>
      </c>
      <c r="G310">
        <v>4320</v>
      </c>
      <c r="H310" s="115"/>
      <c r="I310" s="115"/>
      <c r="L310" s="169">
        <v>42458</v>
      </c>
      <c r="M310" s="115">
        <v>202.9</v>
      </c>
      <c r="N310" s="115">
        <v>212.45</v>
      </c>
      <c r="O310" s="115">
        <v>201.7</v>
      </c>
      <c r="P310" s="115">
        <v>210</v>
      </c>
      <c r="Q310" s="115">
        <v>202.9</v>
      </c>
      <c r="R310">
        <v>19625</v>
      </c>
    </row>
    <row r="311" spans="1:18" x14ac:dyDescent="0.25">
      <c r="A311" s="169">
        <v>42459</v>
      </c>
      <c r="B311" s="115">
        <v>209</v>
      </c>
      <c r="C311" s="115">
        <v>202</v>
      </c>
      <c r="D311" s="115">
        <v>201.7</v>
      </c>
      <c r="E311" s="115">
        <v>208.4</v>
      </c>
      <c r="F311" s="115">
        <v>202</v>
      </c>
      <c r="G311">
        <v>13285</v>
      </c>
      <c r="H311" s="115"/>
      <c r="I311" s="115"/>
      <c r="L311" s="169">
        <v>42459</v>
      </c>
      <c r="M311" s="115">
        <v>204.4</v>
      </c>
      <c r="N311" s="115">
        <v>209.3</v>
      </c>
      <c r="O311" s="115">
        <v>202.5</v>
      </c>
      <c r="P311" s="115">
        <v>205.3</v>
      </c>
      <c r="Q311" s="115">
        <v>204.4</v>
      </c>
      <c r="R311">
        <v>7337</v>
      </c>
    </row>
    <row r="312" spans="1:18" x14ac:dyDescent="0.25">
      <c r="A312" s="169">
        <v>42460</v>
      </c>
      <c r="B312" s="115">
        <v>216</v>
      </c>
      <c r="C312" s="115">
        <v>209.6</v>
      </c>
      <c r="D312" s="115">
        <v>200</v>
      </c>
      <c r="E312" s="115">
        <v>200.3</v>
      </c>
      <c r="F312" s="115">
        <v>209.6</v>
      </c>
      <c r="G312">
        <v>1611</v>
      </c>
      <c r="H312" s="115"/>
      <c r="I312" s="115"/>
      <c r="L312" s="169">
        <v>42460</v>
      </c>
      <c r="M312" s="115">
        <v>209.55</v>
      </c>
      <c r="N312" s="115">
        <v>217</v>
      </c>
      <c r="O312" s="115">
        <v>199.8</v>
      </c>
      <c r="P312" s="115">
        <v>210</v>
      </c>
      <c r="Q312" s="115">
        <v>209.55</v>
      </c>
      <c r="R312">
        <v>20784</v>
      </c>
    </row>
    <row r="313" spans="1:18" x14ac:dyDescent="0.25">
      <c r="A313" s="169">
        <v>42461</v>
      </c>
      <c r="B313" s="115">
        <v>216</v>
      </c>
      <c r="C313" s="115">
        <v>214.1</v>
      </c>
      <c r="D313" s="115">
        <v>210.6</v>
      </c>
      <c r="E313" s="115">
        <v>212.8</v>
      </c>
      <c r="F313" s="115">
        <v>214.1</v>
      </c>
      <c r="G313">
        <v>441</v>
      </c>
      <c r="H313" s="115"/>
      <c r="I313" s="115"/>
      <c r="L313" s="169">
        <v>42461</v>
      </c>
      <c r="M313" s="115">
        <v>215.55</v>
      </c>
      <c r="N313" s="115">
        <v>216</v>
      </c>
      <c r="O313" s="115">
        <v>208.65</v>
      </c>
      <c r="P313" s="115">
        <v>213.85</v>
      </c>
      <c r="Q313" s="115">
        <v>215.55</v>
      </c>
      <c r="R313">
        <v>10157</v>
      </c>
    </row>
    <row r="314" spans="1:18" x14ac:dyDescent="0.25">
      <c r="A314" s="169">
        <v>42464</v>
      </c>
      <c r="B314" s="115">
        <v>220.5</v>
      </c>
      <c r="C314" s="115">
        <v>220</v>
      </c>
      <c r="D314" s="115">
        <v>211</v>
      </c>
      <c r="E314" s="115">
        <v>211</v>
      </c>
      <c r="F314" s="115">
        <v>220</v>
      </c>
      <c r="G314">
        <v>667</v>
      </c>
      <c r="H314" s="115"/>
      <c r="I314" s="115"/>
      <c r="L314" s="169">
        <v>42464</v>
      </c>
      <c r="M314" s="115">
        <v>218.95</v>
      </c>
      <c r="N314" s="115">
        <v>221</v>
      </c>
      <c r="O314" s="115">
        <v>211.25</v>
      </c>
      <c r="P314" s="115">
        <v>216</v>
      </c>
      <c r="Q314" s="115">
        <v>218.95</v>
      </c>
      <c r="R314">
        <v>7608</v>
      </c>
    </row>
    <row r="315" spans="1:18" x14ac:dyDescent="0.25">
      <c r="A315" s="169">
        <v>42465</v>
      </c>
      <c r="B315" s="115">
        <v>219.9</v>
      </c>
      <c r="C315" s="115">
        <v>219</v>
      </c>
      <c r="D315" s="115">
        <v>216</v>
      </c>
      <c r="E315" s="115">
        <v>216</v>
      </c>
      <c r="F315" s="115">
        <v>219</v>
      </c>
      <c r="G315">
        <v>323</v>
      </c>
      <c r="H315" s="115"/>
      <c r="I315" s="115"/>
      <c r="L315" s="169">
        <v>42465</v>
      </c>
      <c r="M315" s="115">
        <v>217.8</v>
      </c>
      <c r="N315" s="115">
        <v>220.25</v>
      </c>
      <c r="O315" s="115">
        <v>216</v>
      </c>
      <c r="P315" s="115">
        <v>220.25</v>
      </c>
      <c r="Q315" s="115">
        <v>217.8</v>
      </c>
      <c r="R315">
        <v>5236</v>
      </c>
    </row>
    <row r="316" spans="1:18" x14ac:dyDescent="0.25">
      <c r="A316" s="169">
        <v>42466</v>
      </c>
      <c r="B316" s="115">
        <v>228</v>
      </c>
      <c r="C316" s="115">
        <v>220.7</v>
      </c>
      <c r="D316" s="115">
        <v>218.7</v>
      </c>
      <c r="E316" s="115">
        <v>221.5</v>
      </c>
      <c r="F316" s="115">
        <v>220.7</v>
      </c>
      <c r="G316">
        <v>7135</v>
      </c>
      <c r="H316" s="115"/>
      <c r="I316" s="115"/>
      <c r="L316" s="169">
        <v>42466</v>
      </c>
      <c r="M316" s="115">
        <v>221.9</v>
      </c>
      <c r="N316" s="115">
        <v>227.95</v>
      </c>
      <c r="O316" s="115">
        <v>217.25</v>
      </c>
      <c r="P316" s="115">
        <v>217.3</v>
      </c>
      <c r="Q316" s="115">
        <v>221.9</v>
      </c>
      <c r="R316">
        <v>24676</v>
      </c>
    </row>
    <row r="317" spans="1:18" x14ac:dyDescent="0.25">
      <c r="A317" s="169">
        <v>42467</v>
      </c>
      <c r="B317" s="115">
        <v>236</v>
      </c>
      <c r="C317" s="115">
        <v>229.7</v>
      </c>
      <c r="D317" s="115">
        <v>221.1</v>
      </c>
      <c r="E317" s="115">
        <v>221.1</v>
      </c>
      <c r="F317" s="115">
        <v>229.7</v>
      </c>
      <c r="G317">
        <v>9219</v>
      </c>
      <c r="H317" s="115"/>
      <c r="I317" s="115"/>
      <c r="L317" s="169">
        <v>42467</v>
      </c>
      <c r="M317" s="115">
        <v>230.6</v>
      </c>
      <c r="N317" s="115">
        <v>236.1</v>
      </c>
      <c r="O317" s="115">
        <v>221.95</v>
      </c>
      <c r="P317" s="115">
        <v>222</v>
      </c>
      <c r="Q317" s="115">
        <v>230.6</v>
      </c>
      <c r="R317">
        <v>39171</v>
      </c>
    </row>
    <row r="318" spans="1:18" x14ac:dyDescent="0.25">
      <c r="A318" s="169">
        <v>42468</v>
      </c>
      <c r="B318" s="115">
        <v>231.9</v>
      </c>
      <c r="C318" s="115">
        <v>225.4</v>
      </c>
      <c r="D318" s="115">
        <v>225</v>
      </c>
      <c r="E318" s="115">
        <v>230.1</v>
      </c>
      <c r="F318" s="115">
        <v>225.4</v>
      </c>
      <c r="G318">
        <v>3728</v>
      </c>
      <c r="H318" s="115"/>
      <c r="I318" s="115"/>
      <c r="L318" s="169">
        <v>42468</v>
      </c>
      <c r="M318" s="115">
        <v>224.85</v>
      </c>
      <c r="N318" s="115">
        <v>232.5</v>
      </c>
      <c r="O318" s="115">
        <v>224.2</v>
      </c>
      <c r="P318" s="115">
        <v>229.9</v>
      </c>
      <c r="Q318" s="115">
        <v>224.85</v>
      </c>
      <c r="R318">
        <v>13791</v>
      </c>
    </row>
    <row r="319" spans="1:18" x14ac:dyDescent="0.25">
      <c r="A319" s="169">
        <v>42471</v>
      </c>
      <c r="B319" s="115">
        <v>235</v>
      </c>
      <c r="C319" s="115">
        <v>226.7</v>
      </c>
      <c r="D319" s="115">
        <v>225</v>
      </c>
      <c r="E319" s="115">
        <v>226</v>
      </c>
      <c r="F319" s="115">
        <v>226.7</v>
      </c>
      <c r="G319">
        <v>8253</v>
      </c>
      <c r="H319" s="115"/>
      <c r="I319" s="115"/>
      <c r="L319" s="169">
        <v>42471</v>
      </c>
      <c r="M319" s="115">
        <v>226.25</v>
      </c>
      <c r="N319" s="115">
        <v>235.7</v>
      </c>
      <c r="O319" s="115">
        <v>223</v>
      </c>
      <c r="P319" s="115">
        <v>226.95</v>
      </c>
      <c r="Q319" s="115">
        <v>226.25</v>
      </c>
      <c r="R319">
        <v>31561</v>
      </c>
    </row>
    <row r="320" spans="1:18" x14ac:dyDescent="0.25">
      <c r="A320" s="169">
        <v>42472</v>
      </c>
      <c r="B320" s="115">
        <v>228.5</v>
      </c>
      <c r="C320" s="115">
        <v>225.3</v>
      </c>
      <c r="D320" s="115">
        <v>222.5</v>
      </c>
      <c r="E320" s="115">
        <v>228.5</v>
      </c>
      <c r="F320" s="115">
        <v>225.3</v>
      </c>
      <c r="G320">
        <v>7631</v>
      </c>
      <c r="H320" s="115"/>
      <c r="I320" s="115"/>
      <c r="L320" s="169">
        <v>42472</v>
      </c>
      <c r="M320" s="115">
        <v>224.85</v>
      </c>
      <c r="N320" s="115">
        <v>226.75</v>
      </c>
      <c r="O320" s="115">
        <v>221</v>
      </c>
      <c r="P320" s="115">
        <v>225.1</v>
      </c>
      <c r="Q320" s="115">
        <v>224.85</v>
      </c>
      <c r="R320">
        <v>11933</v>
      </c>
    </row>
    <row r="321" spans="1:18" x14ac:dyDescent="0.25">
      <c r="A321" s="169">
        <v>42473</v>
      </c>
      <c r="B321" s="115">
        <v>232.8</v>
      </c>
      <c r="C321" s="115">
        <v>226.3</v>
      </c>
      <c r="D321" s="115">
        <v>222.8</v>
      </c>
      <c r="E321" s="115">
        <v>227</v>
      </c>
      <c r="F321" s="115">
        <v>226.3</v>
      </c>
      <c r="G321">
        <v>7501</v>
      </c>
      <c r="H321" s="115"/>
      <c r="I321" s="115"/>
      <c r="L321" s="169">
        <v>42473</v>
      </c>
      <c r="M321" s="115">
        <v>227.45</v>
      </c>
      <c r="N321" s="115">
        <v>229.65</v>
      </c>
      <c r="O321" s="115">
        <v>218</v>
      </c>
      <c r="P321" s="115">
        <v>229.65</v>
      </c>
      <c r="Q321" s="115">
        <v>227.45</v>
      </c>
      <c r="R321">
        <v>24587</v>
      </c>
    </row>
    <row r="322" spans="1:18" x14ac:dyDescent="0.25">
      <c r="A322" s="169">
        <v>42478</v>
      </c>
      <c r="B322" s="115">
        <v>230</v>
      </c>
      <c r="C322" s="115">
        <v>225.5</v>
      </c>
      <c r="D322" s="115">
        <v>222.6</v>
      </c>
      <c r="E322" s="115">
        <v>228</v>
      </c>
      <c r="F322" s="115">
        <v>225.5</v>
      </c>
      <c r="G322">
        <v>5515</v>
      </c>
      <c r="H322" s="115"/>
      <c r="I322" s="115"/>
      <c r="L322" s="169">
        <v>42478</v>
      </c>
      <c r="M322" s="115">
        <v>224.65</v>
      </c>
      <c r="N322" s="115">
        <v>231</v>
      </c>
      <c r="O322" s="115">
        <v>220.55</v>
      </c>
      <c r="P322" s="115">
        <v>227.5</v>
      </c>
      <c r="Q322" s="115">
        <v>224.65</v>
      </c>
      <c r="R322">
        <v>18217</v>
      </c>
    </row>
    <row r="323" spans="1:18" x14ac:dyDescent="0.25">
      <c r="A323" s="169">
        <v>42480</v>
      </c>
      <c r="B323" s="115">
        <v>235</v>
      </c>
      <c r="C323" s="115">
        <v>231.2</v>
      </c>
      <c r="D323" s="115">
        <v>225</v>
      </c>
      <c r="E323" s="115">
        <v>225.2</v>
      </c>
      <c r="F323" s="115">
        <v>231.2</v>
      </c>
      <c r="G323">
        <v>3463</v>
      </c>
      <c r="H323" s="115"/>
      <c r="I323" s="115"/>
      <c r="L323" s="169">
        <v>42480</v>
      </c>
      <c r="M323" s="115">
        <v>233.8</v>
      </c>
      <c r="N323" s="115">
        <v>236.5</v>
      </c>
      <c r="O323" s="115">
        <v>225</v>
      </c>
      <c r="P323" s="115">
        <v>225.05</v>
      </c>
      <c r="Q323" s="115">
        <v>233.8</v>
      </c>
      <c r="R323">
        <v>21831</v>
      </c>
    </row>
    <row r="324" spans="1:18" x14ac:dyDescent="0.25">
      <c r="A324" s="169">
        <v>42481</v>
      </c>
      <c r="B324" s="115">
        <v>231.5</v>
      </c>
      <c r="C324" s="115">
        <v>226.2</v>
      </c>
      <c r="D324" s="115">
        <v>226</v>
      </c>
      <c r="E324" s="115">
        <v>231.5</v>
      </c>
      <c r="F324" s="115">
        <v>226.2</v>
      </c>
      <c r="G324">
        <v>2233</v>
      </c>
      <c r="H324" s="115"/>
      <c r="I324" s="115"/>
      <c r="L324" s="169">
        <v>42481</v>
      </c>
      <c r="M324" s="115">
        <v>226.35</v>
      </c>
      <c r="N324" s="115">
        <v>235.9</v>
      </c>
      <c r="O324" s="115">
        <v>225</v>
      </c>
      <c r="P324" s="115">
        <v>232.55</v>
      </c>
      <c r="Q324" s="115">
        <v>226.35</v>
      </c>
      <c r="R324">
        <v>11400</v>
      </c>
    </row>
    <row r="325" spans="1:18" x14ac:dyDescent="0.25">
      <c r="A325" s="169">
        <v>42482</v>
      </c>
      <c r="B325" s="115">
        <v>229.2</v>
      </c>
      <c r="C325" s="115">
        <v>226</v>
      </c>
      <c r="D325" s="115">
        <v>225.2</v>
      </c>
      <c r="E325" s="115">
        <v>228</v>
      </c>
      <c r="F325" s="115">
        <v>226</v>
      </c>
      <c r="G325">
        <v>2770</v>
      </c>
      <c r="H325" s="115"/>
      <c r="I325" s="115"/>
      <c r="L325" s="169">
        <v>42482</v>
      </c>
      <c r="M325" s="115">
        <v>225.4</v>
      </c>
      <c r="N325" s="115">
        <v>231</v>
      </c>
      <c r="O325" s="115">
        <v>224.6</v>
      </c>
      <c r="P325" s="115">
        <v>227.9</v>
      </c>
      <c r="Q325" s="115">
        <v>225.4</v>
      </c>
      <c r="R325">
        <v>9829</v>
      </c>
    </row>
    <row r="326" spans="1:18" x14ac:dyDescent="0.25">
      <c r="A326" s="169">
        <v>42485</v>
      </c>
      <c r="B326" s="115">
        <v>226</v>
      </c>
      <c r="C326" s="115">
        <v>225.4</v>
      </c>
      <c r="D326" s="115">
        <v>225.3</v>
      </c>
      <c r="E326" s="115">
        <v>226</v>
      </c>
      <c r="F326" s="115">
        <v>225.4</v>
      </c>
      <c r="G326">
        <v>520</v>
      </c>
      <c r="H326" s="115"/>
      <c r="I326" s="115"/>
      <c r="L326" s="169">
        <v>42485</v>
      </c>
      <c r="M326" s="115">
        <v>224.6</v>
      </c>
      <c r="N326" s="115">
        <v>229.9</v>
      </c>
      <c r="O326" s="115">
        <v>224.1</v>
      </c>
      <c r="P326" s="115">
        <v>229.9</v>
      </c>
      <c r="Q326" s="115">
        <v>224.6</v>
      </c>
      <c r="R326">
        <v>6227</v>
      </c>
    </row>
    <row r="327" spans="1:18" x14ac:dyDescent="0.25">
      <c r="A327" s="169">
        <v>42486</v>
      </c>
      <c r="B327" s="115">
        <v>228.7</v>
      </c>
      <c r="C327" s="115">
        <v>224.1</v>
      </c>
      <c r="D327" s="115">
        <v>223.5</v>
      </c>
      <c r="E327" s="115">
        <v>226</v>
      </c>
      <c r="F327" s="115">
        <v>224.1</v>
      </c>
      <c r="G327">
        <v>3631</v>
      </c>
      <c r="H327" s="115"/>
      <c r="I327" s="115"/>
      <c r="L327" s="169">
        <v>42486</v>
      </c>
      <c r="M327" s="115">
        <v>224.3</v>
      </c>
      <c r="N327" s="115">
        <v>228</v>
      </c>
      <c r="O327" s="115">
        <v>223.2</v>
      </c>
      <c r="P327" s="115">
        <v>226.75</v>
      </c>
      <c r="Q327" s="115">
        <v>224.3</v>
      </c>
      <c r="R327">
        <v>9314</v>
      </c>
    </row>
    <row r="328" spans="1:18" x14ac:dyDescent="0.25">
      <c r="A328" s="169">
        <v>42487</v>
      </c>
      <c r="B328" s="115">
        <v>227</v>
      </c>
      <c r="C328" s="115">
        <v>225.3</v>
      </c>
      <c r="D328" s="115">
        <v>223.8</v>
      </c>
      <c r="E328" s="115">
        <v>223.8</v>
      </c>
      <c r="F328" s="115">
        <v>225.3</v>
      </c>
      <c r="G328">
        <v>2876</v>
      </c>
      <c r="H328" s="115"/>
      <c r="I328" s="115"/>
      <c r="L328" s="169">
        <v>42487</v>
      </c>
      <c r="M328" s="115">
        <v>226.05</v>
      </c>
      <c r="N328" s="115">
        <v>226.9</v>
      </c>
      <c r="O328" s="115">
        <v>221.3</v>
      </c>
      <c r="P328" s="115">
        <v>224</v>
      </c>
      <c r="Q328" s="115">
        <v>226.05</v>
      </c>
      <c r="R328">
        <v>5842</v>
      </c>
    </row>
    <row r="329" spans="1:18" x14ac:dyDescent="0.25">
      <c r="A329" s="169">
        <v>42488</v>
      </c>
      <c r="B329" s="115">
        <v>230</v>
      </c>
      <c r="C329" s="115">
        <v>224.9</v>
      </c>
      <c r="D329" s="115">
        <v>224</v>
      </c>
      <c r="E329" s="115">
        <v>228</v>
      </c>
      <c r="F329" s="115">
        <v>224.9</v>
      </c>
      <c r="G329">
        <v>4083</v>
      </c>
      <c r="H329" s="115"/>
      <c r="I329" s="115"/>
      <c r="L329" s="169">
        <v>42488</v>
      </c>
      <c r="M329" s="115">
        <v>223.6</v>
      </c>
      <c r="N329" s="115">
        <v>229.05</v>
      </c>
      <c r="O329" s="115">
        <v>221.2</v>
      </c>
      <c r="P329" s="115">
        <v>227.05</v>
      </c>
      <c r="Q329" s="115">
        <v>223.6</v>
      </c>
      <c r="R329">
        <v>5949</v>
      </c>
    </row>
    <row r="330" spans="1:18" x14ac:dyDescent="0.25">
      <c r="A330" s="169">
        <v>42489</v>
      </c>
      <c r="B330" s="115">
        <v>228</v>
      </c>
      <c r="C330" s="115">
        <v>226</v>
      </c>
      <c r="D330" s="115">
        <v>225</v>
      </c>
      <c r="E330" s="115">
        <v>225</v>
      </c>
      <c r="F330" s="115">
        <v>226</v>
      </c>
      <c r="G330">
        <v>990</v>
      </c>
      <c r="H330" s="115"/>
      <c r="I330" s="115"/>
      <c r="L330" s="169">
        <v>42489</v>
      </c>
      <c r="M330" s="115">
        <v>225.3</v>
      </c>
      <c r="N330" s="115">
        <v>227.05</v>
      </c>
      <c r="O330" s="115">
        <v>225</v>
      </c>
      <c r="P330" s="115">
        <v>225.85</v>
      </c>
      <c r="Q330" s="115">
        <v>225.3</v>
      </c>
      <c r="R330">
        <v>4911</v>
      </c>
    </row>
    <row r="331" spans="1:18" x14ac:dyDescent="0.25">
      <c r="A331" s="169">
        <v>42492</v>
      </c>
      <c r="B331" s="115">
        <v>227</v>
      </c>
      <c r="C331" s="115">
        <v>225.6</v>
      </c>
      <c r="D331" s="115">
        <v>224.5</v>
      </c>
      <c r="E331" s="115">
        <v>226.9</v>
      </c>
      <c r="F331" s="115">
        <v>225.6</v>
      </c>
      <c r="G331">
        <v>4533</v>
      </c>
      <c r="H331" s="115"/>
      <c r="I331" s="115"/>
      <c r="L331" s="169">
        <v>42492</v>
      </c>
      <c r="M331" s="115">
        <v>224.85</v>
      </c>
      <c r="N331" s="115">
        <v>227</v>
      </c>
      <c r="O331" s="115">
        <v>224.5</v>
      </c>
      <c r="P331" s="115">
        <v>226.5</v>
      </c>
      <c r="Q331" s="115">
        <v>224.85</v>
      </c>
      <c r="R331">
        <v>4610</v>
      </c>
    </row>
    <row r="332" spans="1:18" x14ac:dyDescent="0.25">
      <c r="A332" s="169">
        <v>42493</v>
      </c>
      <c r="B332" s="115">
        <v>226</v>
      </c>
      <c r="C332" s="115">
        <v>223.2</v>
      </c>
      <c r="D332" s="115">
        <v>222.5</v>
      </c>
      <c r="E332" s="115">
        <v>224.5</v>
      </c>
      <c r="F332" s="115">
        <v>223.2</v>
      </c>
      <c r="G332">
        <v>7386</v>
      </c>
      <c r="H332" s="115"/>
      <c r="I332" s="115"/>
      <c r="L332" s="169">
        <v>42493</v>
      </c>
      <c r="M332" s="115">
        <v>222.9</v>
      </c>
      <c r="N332" s="115">
        <v>227</v>
      </c>
      <c r="O332" s="115">
        <v>222.4</v>
      </c>
      <c r="P332" s="115">
        <v>224.4</v>
      </c>
      <c r="Q332" s="115">
        <v>222.9</v>
      </c>
      <c r="R332">
        <v>10623</v>
      </c>
    </row>
    <row r="333" spans="1:18" x14ac:dyDescent="0.25">
      <c r="A333" s="169">
        <v>42494</v>
      </c>
      <c r="B333" s="115">
        <v>223.9</v>
      </c>
      <c r="C333" s="115">
        <v>222</v>
      </c>
      <c r="D333" s="115">
        <v>220.6</v>
      </c>
      <c r="E333" s="115">
        <v>221</v>
      </c>
      <c r="F333" s="115">
        <v>222</v>
      </c>
      <c r="G333">
        <v>3605</v>
      </c>
      <c r="H333" s="115"/>
      <c r="I333" s="115"/>
      <c r="L333" s="169">
        <v>42494</v>
      </c>
      <c r="M333" s="115">
        <v>221.15</v>
      </c>
      <c r="N333" s="115">
        <v>224.25</v>
      </c>
      <c r="O333" s="115">
        <v>219.25</v>
      </c>
      <c r="P333" s="115">
        <v>221.95</v>
      </c>
      <c r="Q333" s="115">
        <v>221.15</v>
      </c>
      <c r="R333">
        <v>10458</v>
      </c>
    </row>
    <row r="334" spans="1:18" x14ac:dyDescent="0.25">
      <c r="A334" s="169">
        <v>42495</v>
      </c>
      <c r="B334" s="115">
        <v>228</v>
      </c>
      <c r="C334" s="115">
        <v>219.2</v>
      </c>
      <c r="D334" s="115">
        <v>218.7</v>
      </c>
      <c r="E334" s="115">
        <v>228</v>
      </c>
      <c r="F334" s="115">
        <v>219.2</v>
      </c>
      <c r="G334">
        <v>4912</v>
      </c>
      <c r="H334" s="115"/>
      <c r="I334" s="115"/>
      <c r="L334" s="169">
        <v>42495</v>
      </c>
      <c r="M334" s="115">
        <v>221</v>
      </c>
      <c r="N334" s="115">
        <v>225</v>
      </c>
      <c r="O334" s="115">
        <v>217.55</v>
      </c>
      <c r="P334" s="115">
        <v>224.95</v>
      </c>
      <c r="Q334" s="115">
        <v>221</v>
      </c>
      <c r="R334">
        <v>10676</v>
      </c>
    </row>
    <row r="335" spans="1:18" x14ac:dyDescent="0.25">
      <c r="A335" s="169">
        <v>42496</v>
      </c>
      <c r="B335" s="115">
        <v>223.9</v>
      </c>
      <c r="C335" s="115">
        <v>216.5</v>
      </c>
      <c r="D335" s="115">
        <v>216</v>
      </c>
      <c r="E335" s="115">
        <v>223</v>
      </c>
      <c r="F335" s="115">
        <v>216.5</v>
      </c>
      <c r="G335">
        <v>3404</v>
      </c>
      <c r="H335" s="115"/>
      <c r="I335" s="115"/>
      <c r="L335" s="169">
        <v>42496</v>
      </c>
      <c r="M335" s="115">
        <v>217.55</v>
      </c>
      <c r="N335" s="115">
        <v>223.1</v>
      </c>
      <c r="O335" s="115">
        <v>216</v>
      </c>
      <c r="P335" s="115">
        <v>220.15</v>
      </c>
      <c r="Q335" s="115">
        <v>217.55</v>
      </c>
      <c r="R335">
        <v>9737</v>
      </c>
    </row>
    <row r="336" spans="1:18" x14ac:dyDescent="0.25">
      <c r="A336" s="169">
        <v>42499</v>
      </c>
      <c r="B336" s="115">
        <v>235.7</v>
      </c>
      <c r="C336" s="115">
        <v>228.8</v>
      </c>
      <c r="D336" s="115">
        <v>217</v>
      </c>
      <c r="E336" s="115">
        <v>217.6</v>
      </c>
      <c r="F336" s="115">
        <v>228.8</v>
      </c>
      <c r="G336">
        <v>23041</v>
      </c>
      <c r="H336" s="115"/>
      <c r="I336" s="115"/>
      <c r="L336" s="169">
        <v>42499</v>
      </c>
      <c r="M336" s="115">
        <v>229.2</v>
      </c>
      <c r="N336" s="115">
        <v>235.8</v>
      </c>
      <c r="O336" s="115">
        <v>216.2</v>
      </c>
      <c r="P336" s="115">
        <v>220</v>
      </c>
      <c r="Q336" s="115">
        <v>229.2</v>
      </c>
      <c r="R336">
        <v>63709</v>
      </c>
    </row>
    <row r="337" spans="1:18" x14ac:dyDescent="0.25">
      <c r="A337" s="169">
        <v>42500</v>
      </c>
      <c r="B337" s="115">
        <v>234</v>
      </c>
      <c r="C337" s="115">
        <v>231.2</v>
      </c>
      <c r="D337" s="115">
        <v>228</v>
      </c>
      <c r="E337" s="115">
        <v>233</v>
      </c>
      <c r="F337" s="115">
        <v>231.2</v>
      </c>
      <c r="G337">
        <v>4738</v>
      </c>
      <c r="H337" s="115"/>
      <c r="I337" s="115"/>
      <c r="L337" s="169">
        <v>42500</v>
      </c>
      <c r="M337" s="115">
        <v>231.1</v>
      </c>
      <c r="N337" s="115">
        <v>234.4</v>
      </c>
      <c r="O337" s="115">
        <v>227</v>
      </c>
      <c r="P337" s="115">
        <v>230.95</v>
      </c>
      <c r="Q337" s="115">
        <v>231.1</v>
      </c>
      <c r="R337">
        <v>29786</v>
      </c>
    </row>
    <row r="338" spans="1:18" x14ac:dyDescent="0.25">
      <c r="A338" s="169">
        <v>42501</v>
      </c>
      <c r="B338" s="115">
        <v>277.39999999999998</v>
      </c>
      <c r="C338" s="115">
        <v>277.39999999999998</v>
      </c>
      <c r="D338" s="115">
        <v>246</v>
      </c>
      <c r="E338" s="115">
        <v>246</v>
      </c>
      <c r="F338" s="115">
        <v>277.39999999999998</v>
      </c>
      <c r="G338">
        <v>116966</v>
      </c>
      <c r="H338" s="115"/>
      <c r="I338" s="115"/>
      <c r="L338" s="169">
        <v>42501</v>
      </c>
      <c r="M338" s="115">
        <v>277.3</v>
      </c>
      <c r="N338" s="115">
        <v>277.3</v>
      </c>
      <c r="O338" s="115">
        <v>246.05</v>
      </c>
      <c r="P338" s="115">
        <v>252.4</v>
      </c>
      <c r="Q338" s="115">
        <v>277.3</v>
      </c>
      <c r="R338">
        <v>599358</v>
      </c>
    </row>
    <row r="339" spans="1:18" x14ac:dyDescent="0.25">
      <c r="A339" s="169">
        <v>42502</v>
      </c>
      <c r="B339" s="115">
        <v>315.10000000000002</v>
      </c>
      <c r="C339" s="115">
        <v>269.3</v>
      </c>
      <c r="D339" s="115">
        <v>265</v>
      </c>
      <c r="E339" s="115">
        <v>315.10000000000002</v>
      </c>
      <c r="F339" s="115">
        <v>269.3</v>
      </c>
      <c r="G339">
        <v>142004</v>
      </c>
      <c r="H339" s="115"/>
      <c r="I339" s="115"/>
      <c r="L339" s="169">
        <v>42502</v>
      </c>
      <c r="M339" s="115">
        <v>268.35000000000002</v>
      </c>
      <c r="N339" s="115">
        <v>310</v>
      </c>
      <c r="O339" s="115">
        <v>265</v>
      </c>
      <c r="P339" s="115">
        <v>310</v>
      </c>
      <c r="Q339" s="115">
        <v>268.35000000000002</v>
      </c>
      <c r="R339">
        <v>678738</v>
      </c>
    </row>
    <row r="340" spans="1:18" x14ac:dyDescent="0.25">
      <c r="A340" s="169">
        <v>42503</v>
      </c>
      <c r="B340" s="115">
        <v>276.89999999999998</v>
      </c>
      <c r="C340" s="115">
        <v>267.89999999999998</v>
      </c>
      <c r="D340" s="115">
        <v>264.5</v>
      </c>
      <c r="E340" s="115">
        <v>269.10000000000002</v>
      </c>
      <c r="F340" s="115">
        <v>267.89999999999998</v>
      </c>
      <c r="G340">
        <v>26014</v>
      </c>
      <c r="H340" s="115"/>
      <c r="I340" s="115"/>
      <c r="L340" s="169">
        <v>42503</v>
      </c>
      <c r="M340" s="115">
        <v>267.8</v>
      </c>
      <c r="N340" s="115">
        <v>277.89999999999998</v>
      </c>
      <c r="O340" s="115">
        <v>264.14999999999998</v>
      </c>
      <c r="P340" s="115">
        <v>268.85000000000002</v>
      </c>
      <c r="Q340" s="115">
        <v>267.8</v>
      </c>
      <c r="R340">
        <v>118652</v>
      </c>
    </row>
    <row r="341" spans="1:18" x14ac:dyDescent="0.25">
      <c r="A341" s="169">
        <v>42506</v>
      </c>
      <c r="B341" s="115">
        <v>277</v>
      </c>
      <c r="C341" s="115">
        <v>270.5</v>
      </c>
      <c r="D341" s="115">
        <v>268.2</v>
      </c>
      <c r="E341" s="115">
        <v>275</v>
      </c>
      <c r="F341" s="115">
        <v>270.5</v>
      </c>
      <c r="G341">
        <v>13265</v>
      </c>
      <c r="H341" s="115"/>
      <c r="I341" s="115"/>
      <c r="L341" s="169">
        <v>42506</v>
      </c>
      <c r="M341" s="115">
        <v>270.45</v>
      </c>
      <c r="N341" s="115">
        <v>277.60000000000002</v>
      </c>
      <c r="O341" s="115">
        <v>268</v>
      </c>
      <c r="P341" s="115">
        <v>268</v>
      </c>
      <c r="Q341" s="115">
        <v>270.45</v>
      </c>
      <c r="R341">
        <v>51380</v>
      </c>
    </row>
    <row r="342" spans="1:18" x14ac:dyDescent="0.25">
      <c r="A342" s="169">
        <v>42507</v>
      </c>
      <c r="B342" s="115">
        <v>284</v>
      </c>
      <c r="C342" s="115">
        <v>275.39999999999998</v>
      </c>
      <c r="D342" s="115">
        <v>268.2</v>
      </c>
      <c r="E342" s="115">
        <v>269.5</v>
      </c>
      <c r="F342" s="115">
        <v>275.39999999999998</v>
      </c>
      <c r="G342">
        <v>31638</v>
      </c>
      <c r="H342" s="115"/>
      <c r="I342" s="115"/>
      <c r="L342" s="169">
        <v>42507</v>
      </c>
      <c r="M342" s="115">
        <v>274.60000000000002</v>
      </c>
      <c r="N342" s="115">
        <v>283.55</v>
      </c>
      <c r="O342" s="115">
        <v>270.14999999999998</v>
      </c>
      <c r="P342" s="115">
        <v>271.25</v>
      </c>
      <c r="Q342" s="115">
        <v>274.60000000000002</v>
      </c>
      <c r="R342">
        <v>151867</v>
      </c>
    </row>
    <row r="343" spans="1:18" x14ac:dyDescent="0.25">
      <c r="A343" s="169">
        <v>42508</v>
      </c>
      <c r="B343" s="115">
        <v>276</v>
      </c>
      <c r="C343" s="115">
        <v>271.8</v>
      </c>
      <c r="D343" s="115">
        <v>269.2</v>
      </c>
      <c r="E343" s="115">
        <v>274.60000000000002</v>
      </c>
      <c r="F343" s="115">
        <v>271.8</v>
      </c>
      <c r="G343">
        <v>5861</v>
      </c>
      <c r="H343" s="115"/>
      <c r="I343" s="115"/>
      <c r="L343" s="169">
        <v>42508</v>
      </c>
      <c r="M343" s="115">
        <v>272.2</v>
      </c>
      <c r="N343" s="115">
        <v>277.95</v>
      </c>
      <c r="O343" s="115">
        <v>270.45</v>
      </c>
      <c r="P343" s="115">
        <v>275</v>
      </c>
      <c r="Q343" s="115">
        <v>272.2</v>
      </c>
      <c r="R343">
        <v>24499</v>
      </c>
    </row>
    <row r="344" spans="1:18" x14ac:dyDescent="0.25">
      <c r="A344" s="169">
        <v>42509</v>
      </c>
      <c r="B344" s="115">
        <v>275</v>
      </c>
      <c r="C344" s="115">
        <v>265.10000000000002</v>
      </c>
      <c r="D344" s="115">
        <v>262.10000000000002</v>
      </c>
      <c r="E344" s="115">
        <v>269</v>
      </c>
      <c r="F344" s="115">
        <v>265.10000000000002</v>
      </c>
      <c r="G344">
        <v>12338</v>
      </c>
      <c r="H344" s="115"/>
      <c r="I344" s="115"/>
      <c r="L344" s="169">
        <v>42509</v>
      </c>
      <c r="M344" s="115">
        <v>262.85000000000002</v>
      </c>
      <c r="N344" s="115">
        <v>275.5</v>
      </c>
      <c r="O344" s="115">
        <v>258.25</v>
      </c>
      <c r="P344" s="115">
        <v>271</v>
      </c>
      <c r="Q344" s="115">
        <v>262.85000000000002</v>
      </c>
      <c r="R344">
        <v>56432</v>
      </c>
    </row>
    <row r="345" spans="1:18" x14ac:dyDescent="0.25">
      <c r="A345" s="169">
        <v>42510</v>
      </c>
      <c r="B345" s="115">
        <v>267.3</v>
      </c>
      <c r="C345" s="115">
        <v>261.3</v>
      </c>
      <c r="D345" s="115">
        <v>261</v>
      </c>
      <c r="E345" s="115">
        <v>262</v>
      </c>
      <c r="F345" s="115">
        <v>261.3</v>
      </c>
      <c r="G345">
        <v>4576</v>
      </c>
      <c r="H345" s="115"/>
      <c r="I345" s="115"/>
      <c r="L345" s="169">
        <v>42510</v>
      </c>
      <c r="M345" s="115">
        <v>262.7</v>
      </c>
      <c r="N345" s="115">
        <v>266.95</v>
      </c>
      <c r="O345" s="115">
        <v>260</v>
      </c>
      <c r="P345" s="115">
        <v>261</v>
      </c>
      <c r="Q345" s="115">
        <v>262.7</v>
      </c>
      <c r="R345">
        <v>20338</v>
      </c>
    </row>
    <row r="346" spans="1:18" x14ac:dyDescent="0.25">
      <c r="A346" s="169">
        <v>42513</v>
      </c>
      <c r="B346" s="115">
        <v>263.64999999999998</v>
      </c>
      <c r="C346" s="115">
        <v>256.95</v>
      </c>
      <c r="D346" s="115">
        <v>255.1</v>
      </c>
      <c r="E346" s="115">
        <v>261.60000000000002</v>
      </c>
      <c r="F346" s="115">
        <v>256.95</v>
      </c>
      <c r="G346">
        <v>5012</v>
      </c>
      <c r="H346" s="115"/>
      <c r="I346" s="115"/>
      <c r="L346" s="169">
        <v>42513</v>
      </c>
      <c r="M346" s="115">
        <v>257.2</v>
      </c>
      <c r="N346" s="115">
        <v>264.05</v>
      </c>
      <c r="O346" s="115">
        <v>255.3</v>
      </c>
      <c r="P346" s="115">
        <v>261.55</v>
      </c>
      <c r="Q346" s="115">
        <v>257.2</v>
      </c>
      <c r="R346">
        <v>15602</v>
      </c>
    </row>
    <row r="347" spans="1:18" x14ac:dyDescent="0.25">
      <c r="A347" s="169">
        <v>42514</v>
      </c>
      <c r="B347" s="115">
        <v>267</v>
      </c>
      <c r="C347" s="115">
        <v>259.45</v>
      </c>
      <c r="D347" s="115">
        <v>250.25</v>
      </c>
      <c r="E347" s="115">
        <v>259.85000000000002</v>
      </c>
      <c r="F347" s="115">
        <v>259.45</v>
      </c>
      <c r="G347">
        <v>3617</v>
      </c>
      <c r="H347" s="115"/>
      <c r="I347" s="115"/>
      <c r="L347" s="169">
        <v>42514</v>
      </c>
      <c r="M347" s="115">
        <v>257.3</v>
      </c>
      <c r="N347" s="115">
        <v>260</v>
      </c>
      <c r="O347" s="115">
        <v>249.7</v>
      </c>
      <c r="P347" s="115">
        <v>257.2</v>
      </c>
      <c r="Q347" s="115">
        <v>257.3</v>
      </c>
      <c r="R347">
        <v>28552</v>
      </c>
    </row>
    <row r="348" spans="1:18" x14ac:dyDescent="0.25">
      <c r="A348" s="169">
        <v>42515</v>
      </c>
      <c r="B348" s="115">
        <v>265</v>
      </c>
      <c r="C348" s="115">
        <v>262.85000000000002</v>
      </c>
      <c r="D348" s="115">
        <v>254.1</v>
      </c>
      <c r="E348" s="115">
        <v>256</v>
      </c>
      <c r="F348" s="115">
        <v>262.85000000000002</v>
      </c>
      <c r="G348">
        <v>1972</v>
      </c>
      <c r="H348" s="115"/>
      <c r="I348" s="115"/>
      <c r="L348" s="169">
        <v>42515</v>
      </c>
      <c r="M348" s="115">
        <v>262.8</v>
      </c>
      <c r="N348" s="115">
        <v>265</v>
      </c>
      <c r="O348" s="115">
        <v>257.10000000000002</v>
      </c>
      <c r="P348" s="115">
        <v>260</v>
      </c>
      <c r="Q348" s="115">
        <v>262.8</v>
      </c>
      <c r="R348">
        <v>14144</v>
      </c>
    </row>
    <row r="349" spans="1:18" x14ac:dyDescent="0.25">
      <c r="A349" s="169">
        <v>42516</v>
      </c>
      <c r="B349" s="115">
        <v>265.89999999999998</v>
      </c>
      <c r="C349" s="115">
        <v>265.64999999999998</v>
      </c>
      <c r="D349" s="115">
        <v>261</v>
      </c>
      <c r="E349" s="115">
        <v>265</v>
      </c>
      <c r="F349" s="115">
        <v>265.64999999999998</v>
      </c>
      <c r="G349">
        <v>4040</v>
      </c>
      <c r="H349" s="115"/>
      <c r="I349" s="115"/>
      <c r="L349" s="169">
        <v>42516</v>
      </c>
      <c r="M349" s="115">
        <v>263.14999999999998</v>
      </c>
      <c r="N349" s="115">
        <v>267.89999999999998</v>
      </c>
      <c r="O349" s="115">
        <v>262</v>
      </c>
      <c r="P349" s="115">
        <v>265.85000000000002</v>
      </c>
      <c r="Q349" s="115">
        <v>263.14999999999998</v>
      </c>
      <c r="R349">
        <v>12759</v>
      </c>
    </row>
    <row r="350" spans="1:18" x14ac:dyDescent="0.25">
      <c r="A350" s="169">
        <v>42517</v>
      </c>
      <c r="B350" s="115">
        <v>272</v>
      </c>
      <c r="C350" s="115">
        <v>266.95</v>
      </c>
      <c r="D350" s="115">
        <v>263</v>
      </c>
      <c r="E350" s="115">
        <v>264.5</v>
      </c>
      <c r="F350" s="115">
        <v>266.95</v>
      </c>
      <c r="G350">
        <v>5422</v>
      </c>
      <c r="H350" s="115"/>
      <c r="I350" s="115"/>
      <c r="L350" s="169">
        <v>42517</v>
      </c>
      <c r="M350" s="115">
        <v>266.05</v>
      </c>
      <c r="N350" s="115">
        <v>271.85000000000002</v>
      </c>
      <c r="O350" s="115">
        <v>263.60000000000002</v>
      </c>
      <c r="P350" s="115">
        <v>264</v>
      </c>
      <c r="Q350" s="115">
        <v>266.05</v>
      </c>
      <c r="R350">
        <v>20043</v>
      </c>
    </row>
    <row r="351" spans="1:18" x14ac:dyDescent="0.25">
      <c r="A351" s="169">
        <v>42520</v>
      </c>
      <c r="B351" s="115">
        <v>270.39999999999998</v>
      </c>
      <c r="C351" s="115">
        <v>265.05</v>
      </c>
      <c r="D351" s="115">
        <v>263.05</v>
      </c>
      <c r="E351" s="115">
        <v>270</v>
      </c>
      <c r="F351" s="115">
        <v>265.05</v>
      </c>
      <c r="G351">
        <v>2724</v>
      </c>
      <c r="H351" s="115"/>
      <c r="I351" s="115"/>
      <c r="L351" s="169">
        <v>42520</v>
      </c>
      <c r="M351" s="115">
        <v>264.75</v>
      </c>
      <c r="N351" s="115">
        <v>270</v>
      </c>
      <c r="O351" s="115">
        <v>261.64999999999998</v>
      </c>
      <c r="P351" s="115">
        <v>266.55</v>
      </c>
      <c r="Q351" s="115">
        <v>264.75</v>
      </c>
      <c r="R351">
        <v>12210</v>
      </c>
    </row>
    <row r="352" spans="1:18" x14ac:dyDescent="0.25">
      <c r="A352" s="169">
        <v>42521</v>
      </c>
      <c r="B352" s="115">
        <v>268.89999999999998</v>
      </c>
      <c r="C352" s="115">
        <v>264.89999999999998</v>
      </c>
      <c r="D352" s="115">
        <v>263.5</v>
      </c>
      <c r="E352" s="115">
        <v>265.39999999999998</v>
      </c>
      <c r="F352" s="115">
        <v>264.89999999999998</v>
      </c>
      <c r="G352">
        <v>3539</v>
      </c>
      <c r="H352" s="115"/>
      <c r="I352" s="115"/>
      <c r="L352" s="169">
        <v>42521</v>
      </c>
      <c r="M352" s="115">
        <v>265.85000000000002</v>
      </c>
      <c r="N352" s="115">
        <v>269</v>
      </c>
      <c r="O352" s="115">
        <v>264</v>
      </c>
      <c r="P352" s="115">
        <v>265.39999999999998</v>
      </c>
      <c r="Q352" s="115">
        <v>265.85000000000002</v>
      </c>
      <c r="R352">
        <v>11098</v>
      </c>
    </row>
    <row r="353" spans="1:18" x14ac:dyDescent="0.25">
      <c r="A353" s="169">
        <v>42522</v>
      </c>
      <c r="B353" s="115">
        <v>271.39999999999998</v>
      </c>
      <c r="C353" s="115">
        <v>266.89999999999998</v>
      </c>
      <c r="D353" s="115">
        <v>262</v>
      </c>
      <c r="E353" s="115">
        <v>268.5</v>
      </c>
      <c r="F353" s="115">
        <v>266.89999999999998</v>
      </c>
      <c r="G353">
        <v>3075</v>
      </c>
      <c r="H353" s="115"/>
      <c r="I353" s="115"/>
      <c r="L353" s="169">
        <v>42522</v>
      </c>
      <c r="M353" s="115">
        <v>266.2</v>
      </c>
      <c r="N353" s="115">
        <v>271</v>
      </c>
      <c r="O353" s="115">
        <v>264.10000000000002</v>
      </c>
      <c r="P353" s="115">
        <v>266</v>
      </c>
      <c r="Q353" s="115">
        <v>266.2</v>
      </c>
      <c r="R353">
        <v>10852</v>
      </c>
    </row>
    <row r="354" spans="1:18" x14ac:dyDescent="0.25">
      <c r="A354" s="169">
        <v>42523</v>
      </c>
      <c r="B354" s="115">
        <v>270</v>
      </c>
      <c r="C354" s="115">
        <v>267.3</v>
      </c>
      <c r="D354" s="115">
        <v>262</v>
      </c>
      <c r="E354" s="115">
        <v>270</v>
      </c>
      <c r="F354" s="115">
        <v>267.3</v>
      </c>
      <c r="G354">
        <v>2039</v>
      </c>
      <c r="H354" s="115"/>
      <c r="I354" s="115"/>
      <c r="L354" s="169">
        <v>42523</v>
      </c>
      <c r="M354" s="115">
        <v>268.3</v>
      </c>
      <c r="N354" s="115">
        <v>271</v>
      </c>
      <c r="O354" s="115">
        <v>262.35000000000002</v>
      </c>
      <c r="P354" s="115">
        <v>264.14999999999998</v>
      </c>
      <c r="Q354" s="115">
        <v>268.3</v>
      </c>
      <c r="R354">
        <v>18119</v>
      </c>
    </row>
    <row r="355" spans="1:18" x14ac:dyDescent="0.25">
      <c r="A355" s="169">
        <v>42524</v>
      </c>
      <c r="B355" s="115">
        <v>272</v>
      </c>
      <c r="C355" s="115">
        <v>268.5</v>
      </c>
      <c r="D355" s="115">
        <v>265.8</v>
      </c>
      <c r="E355" s="115">
        <v>270</v>
      </c>
      <c r="F355" s="115">
        <v>268.5</v>
      </c>
      <c r="G355">
        <v>2097</v>
      </c>
      <c r="H355" s="115"/>
      <c r="I355" s="115"/>
      <c r="L355" s="169">
        <v>42524</v>
      </c>
      <c r="M355" s="115">
        <v>267.5</v>
      </c>
      <c r="N355" s="115">
        <v>270.2</v>
      </c>
      <c r="O355" s="115">
        <v>266</v>
      </c>
      <c r="P355" s="115">
        <v>270.14999999999998</v>
      </c>
      <c r="Q355" s="115">
        <v>267.5</v>
      </c>
      <c r="R355">
        <v>8378</v>
      </c>
    </row>
    <row r="356" spans="1:18" x14ac:dyDescent="0.25">
      <c r="A356" s="169">
        <v>42527</v>
      </c>
      <c r="B356" s="115">
        <v>268</v>
      </c>
      <c r="C356" s="115">
        <v>263.95</v>
      </c>
      <c r="D356" s="115">
        <v>263</v>
      </c>
      <c r="E356" s="115">
        <v>268</v>
      </c>
      <c r="F356" s="115">
        <v>263.95</v>
      </c>
      <c r="G356">
        <v>1421</v>
      </c>
      <c r="H356" s="115"/>
      <c r="I356" s="115"/>
      <c r="L356" s="169">
        <v>42527</v>
      </c>
      <c r="M356" s="115">
        <v>263.5</v>
      </c>
      <c r="N356" s="115">
        <v>267.7</v>
      </c>
      <c r="O356" s="115">
        <v>262.10000000000002</v>
      </c>
      <c r="P356" s="115">
        <v>267.25</v>
      </c>
      <c r="Q356" s="115">
        <v>263.5</v>
      </c>
      <c r="R356">
        <v>18349</v>
      </c>
    </row>
    <row r="357" spans="1:18" x14ac:dyDescent="0.25">
      <c r="A357" s="169">
        <v>42528</v>
      </c>
      <c r="B357" s="115">
        <v>266.35000000000002</v>
      </c>
      <c r="C357" s="115">
        <v>263.89999999999998</v>
      </c>
      <c r="D357" s="115">
        <v>262.39999999999998</v>
      </c>
      <c r="E357" s="115">
        <v>262.8</v>
      </c>
      <c r="F357" s="115">
        <v>263.89999999999998</v>
      </c>
      <c r="G357">
        <v>2861</v>
      </c>
      <c r="H357" s="115"/>
      <c r="I357" s="115"/>
      <c r="L357" s="169">
        <v>42528</v>
      </c>
      <c r="M357" s="115">
        <v>262.2</v>
      </c>
      <c r="N357" s="115">
        <v>266</v>
      </c>
      <c r="O357" s="115">
        <v>261.05</v>
      </c>
      <c r="P357" s="115">
        <v>262</v>
      </c>
      <c r="Q357" s="115">
        <v>262.2</v>
      </c>
      <c r="R357">
        <v>12841</v>
      </c>
    </row>
    <row r="358" spans="1:18" x14ac:dyDescent="0.25">
      <c r="A358" s="169">
        <v>42529</v>
      </c>
      <c r="B358" s="115">
        <v>270</v>
      </c>
      <c r="C358" s="115">
        <v>266.95</v>
      </c>
      <c r="D358" s="115">
        <v>255</v>
      </c>
      <c r="E358" s="115">
        <v>260</v>
      </c>
      <c r="F358" s="115">
        <v>266.95</v>
      </c>
      <c r="G358">
        <v>4951</v>
      </c>
      <c r="H358" s="115"/>
      <c r="I358" s="115"/>
      <c r="L358" s="169">
        <v>42529</v>
      </c>
      <c r="M358" s="115">
        <v>266.35000000000002</v>
      </c>
      <c r="N358" s="115">
        <v>269.7</v>
      </c>
      <c r="O358" s="115">
        <v>249</v>
      </c>
      <c r="P358" s="115">
        <v>263.5</v>
      </c>
      <c r="Q358" s="115">
        <v>266.35000000000002</v>
      </c>
      <c r="R358">
        <v>46518</v>
      </c>
    </row>
    <row r="359" spans="1:18" x14ac:dyDescent="0.25">
      <c r="A359" s="169">
        <v>42530</v>
      </c>
      <c r="B359" s="115">
        <v>269</v>
      </c>
      <c r="C359" s="115">
        <v>265</v>
      </c>
      <c r="D359" s="115">
        <v>263.5</v>
      </c>
      <c r="E359" s="115">
        <v>268.95</v>
      </c>
      <c r="F359" s="115">
        <v>265</v>
      </c>
      <c r="G359">
        <v>1575</v>
      </c>
      <c r="H359" s="115"/>
      <c r="I359" s="115"/>
      <c r="L359" s="169">
        <v>42530</v>
      </c>
      <c r="M359" s="115">
        <v>263.89999999999998</v>
      </c>
      <c r="N359" s="115">
        <v>269.45</v>
      </c>
      <c r="O359" s="115">
        <v>263.39999999999998</v>
      </c>
      <c r="P359" s="115">
        <v>269.45</v>
      </c>
      <c r="Q359" s="115">
        <v>263.89999999999998</v>
      </c>
      <c r="R359">
        <v>14770</v>
      </c>
    </row>
    <row r="360" spans="1:18" x14ac:dyDescent="0.25">
      <c r="A360" s="169">
        <v>42531</v>
      </c>
      <c r="B360" s="115">
        <v>265</v>
      </c>
      <c r="C360" s="115">
        <v>262.05</v>
      </c>
      <c r="D360" s="115">
        <v>261</v>
      </c>
      <c r="E360" s="115">
        <v>262.60000000000002</v>
      </c>
      <c r="F360" s="115">
        <v>262.05</v>
      </c>
      <c r="G360">
        <v>1428</v>
      </c>
      <c r="H360" s="115"/>
      <c r="I360" s="115"/>
      <c r="L360" s="169">
        <v>42531</v>
      </c>
      <c r="M360" s="115">
        <v>260.7</v>
      </c>
      <c r="N360" s="115">
        <v>266.25</v>
      </c>
      <c r="O360" s="115">
        <v>259.95</v>
      </c>
      <c r="P360" s="115">
        <v>266.25</v>
      </c>
      <c r="Q360" s="115">
        <v>260.7</v>
      </c>
      <c r="R360">
        <v>10665</v>
      </c>
    </row>
    <row r="361" spans="1:18" x14ac:dyDescent="0.25">
      <c r="A361" s="169">
        <v>42534</v>
      </c>
      <c r="B361" s="115">
        <v>262.5</v>
      </c>
      <c r="C361" s="115">
        <v>260.89999999999998</v>
      </c>
      <c r="D361" s="115">
        <v>258.7</v>
      </c>
      <c r="E361" s="115">
        <v>260</v>
      </c>
      <c r="F361" s="115">
        <v>260.89999999999998</v>
      </c>
      <c r="G361">
        <v>5649</v>
      </c>
      <c r="H361" s="115"/>
      <c r="I361" s="115"/>
      <c r="L361" s="169">
        <v>42534</v>
      </c>
      <c r="M361" s="115">
        <v>259.95</v>
      </c>
      <c r="N361" s="115">
        <v>262</v>
      </c>
      <c r="O361" s="115">
        <v>257.39999999999998</v>
      </c>
      <c r="P361" s="115">
        <v>260.05</v>
      </c>
      <c r="Q361" s="115">
        <v>259.95</v>
      </c>
      <c r="R361">
        <v>7667</v>
      </c>
    </row>
    <row r="362" spans="1:18" x14ac:dyDescent="0.25">
      <c r="A362" s="169">
        <v>42535</v>
      </c>
      <c r="B362" s="115">
        <v>261.85000000000002</v>
      </c>
      <c r="C362" s="115">
        <v>261</v>
      </c>
      <c r="D362" s="115">
        <v>259.10000000000002</v>
      </c>
      <c r="E362" s="115">
        <v>261.5</v>
      </c>
      <c r="F362" s="115">
        <v>261</v>
      </c>
      <c r="G362">
        <v>3733</v>
      </c>
      <c r="H362" s="115"/>
      <c r="I362" s="115"/>
      <c r="L362" s="169">
        <v>42535</v>
      </c>
      <c r="M362" s="115">
        <v>260.60000000000002</v>
      </c>
      <c r="N362" s="115">
        <v>264.05</v>
      </c>
      <c r="O362" s="115">
        <v>258.3</v>
      </c>
      <c r="P362" s="115">
        <v>260.5</v>
      </c>
      <c r="Q362" s="115">
        <v>260.60000000000002</v>
      </c>
      <c r="R362">
        <v>9015</v>
      </c>
    </row>
    <row r="363" spans="1:18" x14ac:dyDescent="0.25">
      <c r="A363" s="169">
        <v>42536</v>
      </c>
      <c r="B363" s="115">
        <v>269</v>
      </c>
      <c r="C363" s="115">
        <v>267.8</v>
      </c>
      <c r="D363" s="115">
        <v>261</v>
      </c>
      <c r="E363" s="115">
        <v>261</v>
      </c>
      <c r="F363" s="115">
        <v>267.8</v>
      </c>
      <c r="G363">
        <v>5772</v>
      </c>
      <c r="H363" s="115"/>
      <c r="I363" s="115"/>
      <c r="L363" s="169">
        <v>42536</v>
      </c>
      <c r="M363" s="115">
        <v>267.89999999999998</v>
      </c>
      <c r="N363" s="115">
        <v>269.7</v>
      </c>
      <c r="O363" s="115">
        <v>261.95</v>
      </c>
      <c r="P363" s="115">
        <v>263.75</v>
      </c>
      <c r="Q363" s="115">
        <v>267.89999999999998</v>
      </c>
      <c r="R363">
        <v>24779</v>
      </c>
    </row>
    <row r="364" spans="1:18" x14ac:dyDescent="0.25">
      <c r="A364" s="169">
        <v>42537</v>
      </c>
      <c r="B364" s="115">
        <v>299.64999999999998</v>
      </c>
      <c r="C364" s="115">
        <v>280.10000000000002</v>
      </c>
      <c r="D364" s="115">
        <v>273.3</v>
      </c>
      <c r="E364" s="115">
        <v>275.7</v>
      </c>
      <c r="F364" s="115">
        <v>280.10000000000002</v>
      </c>
      <c r="G364">
        <v>109385</v>
      </c>
      <c r="H364" s="115"/>
      <c r="I364" s="115"/>
      <c r="L364" s="169">
        <v>42537</v>
      </c>
      <c r="M364" s="115">
        <v>280.5</v>
      </c>
      <c r="N364" s="115">
        <v>298.95</v>
      </c>
      <c r="O364" s="115">
        <v>270</v>
      </c>
      <c r="P364" s="115">
        <v>273.8</v>
      </c>
      <c r="Q364" s="115">
        <v>280.5</v>
      </c>
      <c r="R364">
        <v>339872</v>
      </c>
    </row>
    <row r="365" spans="1:18" x14ac:dyDescent="0.25">
      <c r="A365" s="169">
        <v>42538</v>
      </c>
      <c r="B365" s="115">
        <v>294</v>
      </c>
      <c r="C365" s="115">
        <v>291.14999999999998</v>
      </c>
      <c r="D365" s="115">
        <v>281.05</v>
      </c>
      <c r="E365" s="115">
        <v>281.25</v>
      </c>
      <c r="F365" s="115">
        <v>291.14999999999998</v>
      </c>
      <c r="G365">
        <v>25233</v>
      </c>
      <c r="H365" s="115"/>
      <c r="I365" s="115"/>
      <c r="L365" s="169">
        <v>42538</v>
      </c>
      <c r="M365" s="115">
        <v>291.89999999999998</v>
      </c>
      <c r="N365" s="115">
        <v>294.95</v>
      </c>
      <c r="O365" s="115">
        <v>280.60000000000002</v>
      </c>
      <c r="P365" s="115">
        <v>280.60000000000002</v>
      </c>
      <c r="Q365" s="115">
        <v>291.89999999999998</v>
      </c>
      <c r="R365">
        <v>96667</v>
      </c>
    </row>
    <row r="366" spans="1:18" x14ac:dyDescent="0.25">
      <c r="A366" s="169">
        <v>42541</v>
      </c>
      <c r="B366" s="115">
        <v>299</v>
      </c>
      <c r="C366" s="115">
        <v>293.64999999999998</v>
      </c>
      <c r="D366" s="115">
        <v>286.39999999999998</v>
      </c>
      <c r="E366" s="115">
        <v>289.89999999999998</v>
      </c>
      <c r="F366" s="115">
        <v>293.64999999999998</v>
      </c>
      <c r="G366">
        <v>16479</v>
      </c>
      <c r="H366" s="115"/>
      <c r="I366" s="115"/>
      <c r="L366" s="169">
        <v>42541</v>
      </c>
      <c r="M366" s="115">
        <v>293.39999999999998</v>
      </c>
      <c r="N366" s="115">
        <v>299.5</v>
      </c>
      <c r="O366" s="115">
        <v>285.8</v>
      </c>
      <c r="P366" s="115">
        <v>287.05</v>
      </c>
      <c r="Q366" s="115">
        <v>293.39999999999998</v>
      </c>
      <c r="R366">
        <v>48792</v>
      </c>
    </row>
    <row r="367" spans="1:18" x14ac:dyDescent="0.25">
      <c r="A367" s="169">
        <v>42542</v>
      </c>
      <c r="B367" s="115">
        <v>297</v>
      </c>
      <c r="C367" s="115">
        <v>293.45</v>
      </c>
      <c r="D367" s="115">
        <v>288.05</v>
      </c>
      <c r="E367" s="115">
        <v>290</v>
      </c>
      <c r="F367" s="115">
        <v>293.45</v>
      </c>
      <c r="G367">
        <v>7336</v>
      </c>
      <c r="H367" s="115"/>
      <c r="I367" s="115"/>
      <c r="L367" s="169">
        <v>42542</v>
      </c>
      <c r="M367" s="115">
        <v>294.10000000000002</v>
      </c>
      <c r="N367" s="115">
        <v>298.39999999999998</v>
      </c>
      <c r="O367" s="115">
        <v>287.35000000000002</v>
      </c>
      <c r="P367" s="115">
        <v>293.39999999999998</v>
      </c>
      <c r="Q367" s="115">
        <v>294.10000000000002</v>
      </c>
      <c r="R367">
        <v>30375</v>
      </c>
    </row>
    <row r="368" spans="1:18" x14ac:dyDescent="0.25">
      <c r="A368" s="169">
        <v>42543</v>
      </c>
      <c r="B368" s="115">
        <v>296</v>
      </c>
      <c r="C368" s="115">
        <v>279.05</v>
      </c>
      <c r="D368" s="115">
        <v>276.75</v>
      </c>
      <c r="E368" s="115">
        <v>293.39999999999998</v>
      </c>
      <c r="F368" s="115">
        <v>279.05</v>
      </c>
      <c r="G368">
        <v>8222</v>
      </c>
      <c r="H368" s="115"/>
      <c r="I368" s="115"/>
      <c r="L368" s="169">
        <v>42543</v>
      </c>
      <c r="M368" s="115">
        <v>278.25</v>
      </c>
      <c r="N368" s="115">
        <v>296.8</v>
      </c>
      <c r="O368" s="115">
        <v>275.2</v>
      </c>
      <c r="P368" s="115">
        <v>294</v>
      </c>
      <c r="Q368" s="115">
        <v>278.25</v>
      </c>
      <c r="R368">
        <v>40810</v>
      </c>
    </row>
    <row r="369" spans="1:18" x14ac:dyDescent="0.25">
      <c r="A369" s="169">
        <v>42544</v>
      </c>
      <c r="B369" s="115">
        <v>289.89999999999998</v>
      </c>
      <c r="C369" s="115">
        <v>287.35000000000002</v>
      </c>
      <c r="D369" s="115">
        <v>278</v>
      </c>
      <c r="E369" s="115">
        <v>278.64999999999998</v>
      </c>
      <c r="F369" s="115">
        <v>287.35000000000002</v>
      </c>
      <c r="G369">
        <v>15442</v>
      </c>
      <c r="H369" s="115"/>
      <c r="I369" s="115"/>
      <c r="L369" s="169">
        <v>42544</v>
      </c>
      <c r="M369" s="115">
        <v>288.8</v>
      </c>
      <c r="N369" s="115">
        <v>290</v>
      </c>
      <c r="O369" s="115">
        <v>276.2</v>
      </c>
      <c r="P369" s="115">
        <v>278</v>
      </c>
      <c r="Q369" s="115">
        <v>288.8</v>
      </c>
      <c r="R369">
        <v>41991</v>
      </c>
    </row>
    <row r="370" spans="1:18" x14ac:dyDescent="0.25">
      <c r="A370" s="169">
        <v>42545</v>
      </c>
      <c r="B370" s="115">
        <v>289</v>
      </c>
      <c r="C370" s="115">
        <v>287.2</v>
      </c>
      <c r="D370" s="115">
        <v>274.8</v>
      </c>
      <c r="E370" s="115">
        <v>278.3</v>
      </c>
      <c r="F370" s="115">
        <v>287.2</v>
      </c>
      <c r="G370">
        <v>10395</v>
      </c>
      <c r="H370" s="115"/>
      <c r="I370" s="115"/>
      <c r="L370" s="169">
        <v>42545</v>
      </c>
      <c r="M370" s="115">
        <v>287.75</v>
      </c>
      <c r="N370" s="115">
        <v>289</v>
      </c>
      <c r="O370" s="115">
        <v>273.7</v>
      </c>
      <c r="P370" s="115">
        <v>281.75</v>
      </c>
      <c r="Q370" s="115">
        <v>287.75</v>
      </c>
      <c r="R370">
        <v>33108</v>
      </c>
    </row>
    <row r="371" spans="1:18" x14ac:dyDescent="0.25">
      <c r="A371" s="169">
        <v>42548</v>
      </c>
      <c r="B371" s="115">
        <v>290.3</v>
      </c>
      <c r="C371" s="115">
        <v>287.2</v>
      </c>
      <c r="D371" s="115">
        <v>283.89999999999998</v>
      </c>
      <c r="E371" s="115">
        <v>287.2</v>
      </c>
      <c r="F371" s="115">
        <v>287.2</v>
      </c>
      <c r="G371">
        <v>2582</v>
      </c>
      <c r="H371" s="115"/>
      <c r="I371" s="115"/>
      <c r="L371" s="169">
        <v>42548</v>
      </c>
      <c r="M371" s="115">
        <v>287.60000000000002</v>
      </c>
      <c r="N371" s="115">
        <v>289.75</v>
      </c>
      <c r="O371" s="115">
        <v>285.14999999999998</v>
      </c>
      <c r="P371" s="115">
        <v>286.89999999999998</v>
      </c>
      <c r="Q371" s="115">
        <v>287.60000000000002</v>
      </c>
      <c r="R371">
        <v>7680</v>
      </c>
    </row>
    <row r="372" spans="1:18" x14ac:dyDescent="0.25">
      <c r="A372" s="169">
        <v>42549</v>
      </c>
      <c r="B372" s="115">
        <v>290</v>
      </c>
      <c r="C372" s="115">
        <v>280.95</v>
      </c>
      <c r="D372" s="115">
        <v>279</v>
      </c>
      <c r="E372" s="115">
        <v>288.5</v>
      </c>
      <c r="F372" s="115">
        <v>280.95</v>
      </c>
      <c r="G372">
        <v>2733</v>
      </c>
      <c r="H372" s="115"/>
      <c r="I372" s="115"/>
      <c r="L372" s="169">
        <v>42549</v>
      </c>
      <c r="M372" s="115">
        <v>280.75</v>
      </c>
      <c r="N372" s="115">
        <v>291</v>
      </c>
      <c r="O372" s="115">
        <v>278</v>
      </c>
      <c r="P372" s="115">
        <v>287.8</v>
      </c>
      <c r="Q372" s="115">
        <v>280.75</v>
      </c>
      <c r="R372">
        <v>11904</v>
      </c>
    </row>
    <row r="373" spans="1:18" x14ac:dyDescent="0.25">
      <c r="A373" s="169">
        <v>42550</v>
      </c>
      <c r="B373" s="115">
        <v>290.89999999999998</v>
      </c>
      <c r="C373" s="115">
        <v>288.75</v>
      </c>
      <c r="D373" s="115">
        <v>280.10000000000002</v>
      </c>
      <c r="E373" s="115">
        <v>284.89999999999998</v>
      </c>
      <c r="F373" s="115">
        <v>288.75</v>
      </c>
      <c r="G373">
        <v>2312</v>
      </c>
      <c r="H373" s="115"/>
      <c r="I373" s="115"/>
      <c r="L373" s="169">
        <v>42550</v>
      </c>
      <c r="M373" s="115">
        <v>287.3</v>
      </c>
      <c r="N373" s="115">
        <v>292</v>
      </c>
      <c r="O373" s="115">
        <v>280.10000000000002</v>
      </c>
      <c r="P373" s="115">
        <v>283.95</v>
      </c>
      <c r="Q373" s="115">
        <v>287.3</v>
      </c>
      <c r="R373">
        <v>18299</v>
      </c>
    </row>
    <row r="374" spans="1:18" x14ac:dyDescent="0.25">
      <c r="A374" s="169">
        <v>42551</v>
      </c>
      <c r="B374" s="115">
        <v>300.2</v>
      </c>
      <c r="C374" s="115">
        <v>297.7</v>
      </c>
      <c r="D374" s="115">
        <v>288.75</v>
      </c>
      <c r="E374" s="115">
        <v>291.5</v>
      </c>
      <c r="F374" s="115">
        <v>297.7</v>
      </c>
      <c r="G374">
        <v>13388</v>
      </c>
      <c r="H374" s="115"/>
      <c r="I374" s="115"/>
      <c r="L374" s="169">
        <v>42551</v>
      </c>
      <c r="M374" s="115">
        <v>298.39999999999998</v>
      </c>
      <c r="N374" s="115">
        <v>301.89999999999998</v>
      </c>
      <c r="O374" s="115">
        <v>289.85000000000002</v>
      </c>
      <c r="P374" s="115">
        <v>291.85000000000002</v>
      </c>
      <c r="Q374" s="115">
        <v>298.39999999999998</v>
      </c>
      <c r="R374">
        <v>76976</v>
      </c>
    </row>
    <row r="375" spans="1:18" x14ac:dyDescent="0.25">
      <c r="A375" s="169">
        <v>42552</v>
      </c>
      <c r="B375" s="115">
        <v>304</v>
      </c>
      <c r="C375" s="115">
        <v>303.05</v>
      </c>
      <c r="D375" s="115">
        <v>298</v>
      </c>
      <c r="E375" s="115">
        <v>303</v>
      </c>
      <c r="F375" s="115">
        <v>303.05</v>
      </c>
      <c r="G375">
        <v>9056</v>
      </c>
      <c r="H375" s="115"/>
      <c r="I375" s="115"/>
      <c r="L375" s="169">
        <v>42552</v>
      </c>
      <c r="M375" s="115">
        <v>302.75</v>
      </c>
      <c r="N375" s="115">
        <v>304.7</v>
      </c>
      <c r="O375" s="115">
        <v>296.8</v>
      </c>
      <c r="P375" s="115">
        <v>301</v>
      </c>
      <c r="Q375" s="115">
        <v>302.75</v>
      </c>
      <c r="R375">
        <v>49507</v>
      </c>
    </row>
    <row r="376" spans="1:18" x14ac:dyDescent="0.25">
      <c r="A376" s="169">
        <v>42555</v>
      </c>
      <c r="B376" s="115">
        <v>309</v>
      </c>
      <c r="C376" s="115">
        <v>303.35000000000002</v>
      </c>
      <c r="D376" s="115">
        <v>301.5</v>
      </c>
      <c r="E376" s="115">
        <v>305</v>
      </c>
      <c r="F376" s="115">
        <v>303.35000000000002</v>
      </c>
      <c r="G376">
        <v>14082</v>
      </c>
      <c r="H376" s="115"/>
      <c r="I376" s="115"/>
      <c r="L376" s="169">
        <v>42555</v>
      </c>
      <c r="M376" s="115">
        <v>302.64999999999998</v>
      </c>
      <c r="N376" s="115">
        <v>308.89999999999998</v>
      </c>
      <c r="O376" s="115">
        <v>300.25</v>
      </c>
      <c r="P376" s="115">
        <v>305</v>
      </c>
      <c r="Q376" s="115">
        <v>302.64999999999998</v>
      </c>
      <c r="R376">
        <v>26472</v>
      </c>
    </row>
    <row r="377" spans="1:18" x14ac:dyDescent="0.25">
      <c r="A377" s="169">
        <v>42556</v>
      </c>
      <c r="B377" s="115">
        <v>305.64999999999998</v>
      </c>
      <c r="C377" s="115">
        <v>295.5</v>
      </c>
      <c r="D377" s="115">
        <v>290</v>
      </c>
      <c r="E377" s="115">
        <v>305.64999999999998</v>
      </c>
      <c r="F377" s="115">
        <v>295.5</v>
      </c>
      <c r="G377">
        <v>10269</v>
      </c>
      <c r="H377" s="115"/>
      <c r="I377" s="115"/>
      <c r="L377" s="169">
        <v>42556</v>
      </c>
      <c r="M377" s="115">
        <v>296.5</v>
      </c>
      <c r="N377" s="115">
        <v>305.89999999999998</v>
      </c>
      <c r="O377" s="115">
        <v>296</v>
      </c>
      <c r="P377" s="115">
        <v>305.89999999999998</v>
      </c>
      <c r="Q377" s="115">
        <v>296.5</v>
      </c>
      <c r="R377">
        <v>19785</v>
      </c>
    </row>
    <row r="378" spans="1:18" x14ac:dyDescent="0.25">
      <c r="A378" s="169">
        <v>42558</v>
      </c>
      <c r="B378" s="115">
        <v>301.5</v>
      </c>
      <c r="C378" s="115">
        <v>300.25</v>
      </c>
      <c r="D378" s="115">
        <v>293.5</v>
      </c>
      <c r="E378" s="115">
        <v>295.10000000000002</v>
      </c>
      <c r="F378" s="115">
        <v>300.25</v>
      </c>
      <c r="G378">
        <v>9389</v>
      </c>
      <c r="H378" s="115"/>
      <c r="I378" s="115"/>
      <c r="L378" s="169">
        <v>42558</v>
      </c>
      <c r="M378" s="115">
        <v>299.25</v>
      </c>
      <c r="N378" s="115">
        <v>302.5</v>
      </c>
      <c r="O378" s="115">
        <v>292.35000000000002</v>
      </c>
      <c r="P378" s="115">
        <v>296</v>
      </c>
      <c r="Q378" s="115">
        <v>299.25</v>
      </c>
      <c r="R378">
        <v>15887</v>
      </c>
    </row>
    <row r="379" spans="1:18" x14ac:dyDescent="0.25">
      <c r="A379" s="169">
        <v>42559</v>
      </c>
      <c r="B379" s="115">
        <v>310</v>
      </c>
      <c r="C379" s="115">
        <v>301.39999999999998</v>
      </c>
      <c r="D379" s="115">
        <v>297.75</v>
      </c>
      <c r="E379" s="115">
        <v>302</v>
      </c>
      <c r="F379" s="115">
        <v>301.39999999999998</v>
      </c>
      <c r="G379">
        <v>17190</v>
      </c>
      <c r="H379" s="115"/>
      <c r="I379" s="115"/>
      <c r="L379" s="169">
        <v>42559</v>
      </c>
      <c r="M379" s="115">
        <v>299.89999999999998</v>
      </c>
      <c r="N379" s="115">
        <v>309.35000000000002</v>
      </c>
      <c r="O379" s="115">
        <v>296.45</v>
      </c>
      <c r="P379" s="115">
        <v>296.45</v>
      </c>
      <c r="Q379" s="115">
        <v>299.89999999999998</v>
      </c>
      <c r="R379">
        <v>48378</v>
      </c>
    </row>
    <row r="380" spans="1:18" x14ac:dyDescent="0.25">
      <c r="A380" s="169">
        <v>42562</v>
      </c>
      <c r="B380" s="115">
        <v>306.5</v>
      </c>
      <c r="C380" s="115">
        <v>303.55</v>
      </c>
      <c r="D380" s="115">
        <v>299.39999999999998</v>
      </c>
      <c r="E380" s="115">
        <v>301.39999999999998</v>
      </c>
      <c r="F380" s="115">
        <v>303.55</v>
      </c>
      <c r="G380">
        <v>3922</v>
      </c>
      <c r="H380" s="115"/>
      <c r="I380" s="115"/>
      <c r="L380" s="169">
        <v>42562</v>
      </c>
      <c r="M380" s="115">
        <v>302.64999999999998</v>
      </c>
      <c r="N380" s="115">
        <v>307.8</v>
      </c>
      <c r="O380" s="115">
        <v>300</v>
      </c>
      <c r="P380" s="115">
        <v>305.75</v>
      </c>
      <c r="Q380" s="115">
        <v>302.64999999999998</v>
      </c>
      <c r="R380">
        <v>16938</v>
      </c>
    </row>
    <row r="381" spans="1:18" x14ac:dyDescent="0.25">
      <c r="A381" s="169">
        <v>42563</v>
      </c>
      <c r="B381" s="115">
        <v>304</v>
      </c>
      <c r="C381" s="115">
        <v>297.89999999999998</v>
      </c>
      <c r="D381" s="115">
        <v>296</v>
      </c>
      <c r="E381" s="115">
        <v>300.89999999999998</v>
      </c>
      <c r="F381" s="115">
        <v>297.89999999999998</v>
      </c>
      <c r="G381">
        <v>6592</v>
      </c>
      <c r="H381" s="115"/>
      <c r="I381" s="115"/>
      <c r="L381" s="169">
        <v>42563</v>
      </c>
      <c r="M381" s="115">
        <v>298.14999999999998</v>
      </c>
      <c r="N381" s="115">
        <v>302.64999999999998</v>
      </c>
      <c r="O381" s="115">
        <v>296</v>
      </c>
      <c r="P381" s="115">
        <v>302.60000000000002</v>
      </c>
      <c r="Q381" s="115">
        <v>298.14999999999998</v>
      </c>
      <c r="R381">
        <v>9720</v>
      </c>
    </row>
    <row r="382" spans="1:18" x14ac:dyDescent="0.25">
      <c r="A382" s="169">
        <v>42564</v>
      </c>
      <c r="B382" s="115">
        <v>300</v>
      </c>
      <c r="C382" s="115">
        <v>296.5</v>
      </c>
      <c r="D382" s="115">
        <v>290.8</v>
      </c>
      <c r="E382" s="115">
        <v>298.14999999999998</v>
      </c>
      <c r="F382" s="115">
        <v>296.5</v>
      </c>
      <c r="G382">
        <v>4347</v>
      </c>
      <c r="H382" s="115"/>
      <c r="I382" s="115"/>
      <c r="L382" s="169">
        <v>42564</v>
      </c>
      <c r="M382" s="115">
        <v>296.3</v>
      </c>
      <c r="N382" s="115">
        <v>301.75</v>
      </c>
      <c r="O382" s="115">
        <v>290.10000000000002</v>
      </c>
      <c r="P382" s="115">
        <v>301.75</v>
      </c>
      <c r="Q382" s="115">
        <v>296.3</v>
      </c>
      <c r="R382">
        <v>21504</v>
      </c>
    </row>
    <row r="383" spans="1:18" x14ac:dyDescent="0.25">
      <c r="A383" s="169">
        <v>42565</v>
      </c>
      <c r="B383" s="115">
        <v>302</v>
      </c>
      <c r="C383" s="115">
        <v>301.89999999999998</v>
      </c>
      <c r="D383" s="115">
        <v>292</v>
      </c>
      <c r="E383" s="115">
        <v>294.75</v>
      </c>
      <c r="F383" s="115">
        <v>301.89999999999998</v>
      </c>
      <c r="G383">
        <v>2208</v>
      </c>
      <c r="H383" s="115"/>
      <c r="I383" s="115"/>
      <c r="L383" s="169">
        <v>42565</v>
      </c>
      <c r="M383" s="115">
        <v>298.75</v>
      </c>
      <c r="N383" s="115">
        <v>303</v>
      </c>
      <c r="O383" s="115">
        <v>293.2</v>
      </c>
      <c r="P383" s="115">
        <v>296.35000000000002</v>
      </c>
      <c r="Q383" s="115">
        <v>298.75</v>
      </c>
      <c r="R383">
        <v>10362</v>
      </c>
    </row>
    <row r="384" spans="1:18" x14ac:dyDescent="0.25">
      <c r="A384" s="169">
        <v>42566</v>
      </c>
      <c r="B384" s="115">
        <v>297.39999999999998</v>
      </c>
      <c r="C384" s="115">
        <v>292.85000000000002</v>
      </c>
      <c r="D384" s="115">
        <v>292</v>
      </c>
      <c r="E384" s="115">
        <v>297.35000000000002</v>
      </c>
      <c r="F384" s="115">
        <v>292.85000000000002</v>
      </c>
      <c r="G384">
        <v>5550</v>
      </c>
      <c r="H384" s="115"/>
      <c r="I384" s="115"/>
      <c r="L384" s="169">
        <v>42566</v>
      </c>
      <c r="M384" s="115">
        <v>294.14999999999998</v>
      </c>
      <c r="N384" s="115">
        <v>300.14999999999998</v>
      </c>
      <c r="O384" s="115">
        <v>292</v>
      </c>
      <c r="P384" s="115">
        <v>297.14999999999998</v>
      </c>
      <c r="Q384" s="115">
        <v>294.14999999999998</v>
      </c>
      <c r="R384">
        <v>8144</v>
      </c>
    </row>
    <row r="385" spans="1:18" x14ac:dyDescent="0.25">
      <c r="A385" s="169">
        <v>42569</v>
      </c>
      <c r="B385" s="115">
        <v>303.5</v>
      </c>
      <c r="C385" s="115">
        <v>294.75</v>
      </c>
      <c r="D385" s="115">
        <v>293</v>
      </c>
      <c r="E385" s="115">
        <v>297.25</v>
      </c>
      <c r="F385" s="115">
        <v>294.75</v>
      </c>
      <c r="G385">
        <v>1868</v>
      </c>
      <c r="H385" s="115"/>
      <c r="I385" s="115"/>
      <c r="L385" s="169">
        <v>42569</v>
      </c>
      <c r="M385" s="115">
        <v>295.45</v>
      </c>
      <c r="N385" s="115">
        <v>303.95</v>
      </c>
      <c r="O385" s="115">
        <v>294</v>
      </c>
      <c r="P385" s="115">
        <v>294.3</v>
      </c>
      <c r="Q385" s="115">
        <v>295.45</v>
      </c>
      <c r="R385">
        <v>19287</v>
      </c>
    </row>
    <row r="386" spans="1:18" x14ac:dyDescent="0.25">
      <c r="A386" s="169">
        <v>42570</v>
      </c>
      <c r="B386" s="115">
        <v>300</v>
      </c>
      <c r="C386" s="115">
        <v>294.10000000000002</v>
      </c>
      <c r="D386" s="115">
        <v>293</v>
      </c>
      <c r="E386" s="115">
        <v>300</v>
      </c>
      <c r="F386" s="115">
        <v>294.10000000000002</v>
      </c>
      <c r="G386">
        <v>1756</v>
      </c>
      <c r="H386" s="115"/>
      <c r="I386" s="115"/>
      <c r="L386" s="169">
        <v>42570</v>
      </c>
      <c r="M386" s="115">
        <v>295.95</v>
      </c>
      <c r="N386" s="115">
        <v>299</v>
      </c>
      <c r="O386" s="115">
        <v>293</v>
      </c>
      <c r="P386" s="115">
        <v>299</v>
      </c>
      <c r="Q386" s="115">
        <v>295.95</v>
      </c>
      <c r="R386">
        <v>14253</v>
      </c>
    </row>
    <row r="387" spans="1:18" x14ac:dyDescent="0.25">
      <c r="A387" s="169">
        <v>42571</v>
      </c>
      <c r="B387" s="115">
        <v>298.25</v>
      </c>
      <c r="C387" s="115">
        <v>293.39999999999998</v>
      </c>
      <c r="D387" s="115">
        <v>293</v>
      </c>
      <c r="E387" s="115">
        <v>295.39999999999998</v>
      </c>
      <c r="F387" s="115">
        <v>293.39999999999998</v>
      </c>
      <c r="G387">
        <v>2810</v>
      </c>
      <c r="H387" s="115"/>
      <c r="I387" s="115"/>
      <c r="L387" s="169">
        <v>42571</v>
      </c>
      <c r="M387" s="115">
        <v>294.25</v>
      </c>
      <c r="N387" s="115">
        <v>298.89999999999998</v>
      </c>
      <c r="O387" s="115">
        <v>294</v>
      </c>
      <c r="P387" s="115">
        <v>294.35000000000002</v>
      </c>
      <c r="Q387" s="115">
        <v>294.25</v>
      </c>
      <c r="R387">
        <v>11299</v>
      </c>
    </row>
    <row r="388" spans="1:18" x14ac:dyDescent="0.25">
      <c r="A388" s="169">
        <v>42572</v>
      </c>
      <c r="B388" s="115">
        <v>296.10000000000002</v>
      </c>
      <c r="C388" s="115">
        <v>291.8</v>
      </c>
      <c r="D388" s="115">
        <v>291.5</v>
      </c>
      <c r="E388" s="115">
        <v>293.8</v>
      </c>
      <c r="F388" s="115">
        <v>291.8</v>
      </c>
      <c r="G388">
        <v>2229</v>
      </c>
      <c r="H388" s="115"/>
      <c r="I388" s="115"/>
      <c r="L388" s="169">
        <v>42572</v>
      </c>
      <c r="M388" s="115">
        <v>292.3</v>
      </c>
      <c r="N388" s="115">
        <v>297</v>
      </c>
      <c r="O388" s="115">
        <v>290.14999999999998</v>
      </c>
      <c r="P388" s="115">
        <v>293.7</v>
      </c>
      <c r="Q388" s="115">
        <v>292.3</v>
      </c>
      <c r="R388">
        <v>13058</v>
      </c>
    </row>
    <row r="389" spans="1:18" x14ac:dyDescent="0.25">
      <c r="A389" s="169">
        <v>42573</v>
      </c>
      <c r="B389" s="115">
        <v>296.8</v>
      </c>
      <c r="C389" s="115">
        <v>293.10000000000002</v>
      </c>
      <c r="D389" s="115">
        <v>290</v>
      </c>
      <c r="E389" s="115">
        <v>295.05</v>
      </c>
      <c r="F389" s="115">
        <v>293.10000000000002</v>
      </c>
      <c r="G389">
        <v>4125</v>
      </c>
      <c r="H389" s="115"/>
      <c r="I389" s="115"/>
      <c r="L389" s="169">
        <v>42573</v>
      </c>
      <c r="M389" s="115">
        <v>291.64999999999998</v>
      </c>
      <c r="N389" s="115">
        <v>296.39999999999998</v>
      </c>
      <c r="O389" s="115">
        <v>290.14999999999998</v>
      </c>
      <c r="P389" s="115">
        <v>292.8</v>
      </c>
      <c r="Q389" s="115">
        <v>291.64999999999998</v>
      </c>
      <c r="R389">
        <v>11306</v>
      </c>
    </row>
    <row r="390" spans="1:18" x14ac:dyDescent="0.25">
      <c r="A390" s="169">
        <v>42576</v>
      </c>
      <c r="B390" s="115">
        <v>307</v>
      </c>
      <c r="C390" s="115">
        <v>304.39999999999998</v>
      </c>
      <c r="D390" s="115">
        <v>298.55</v>
      </c>
      <c r="E390" s="115">
        <v>298.55</v>
      </c>
      <c r="F390" s="115">
        <v>304.39999999999998</v>
      </c>
      <c r="G390">
        <v>19552</v>
      </c>
      <c r="H390" s="115"/>
      <c r="I390" s="115"/>
      <c r="L390" s="169">
        <v>42576</v>
      </c>
      <c r="M390" s="115">
        <v>304.35000000000002</v>
      </c>
      <c r="N390" s="115">
        <v>306.89999999999998</v>
      </c>
      <c r="O390" s="115">
        <v>295.75</v>
      </c>
      <c r="P390" s="115">
        <v>296.10000000000002</v>
      </c>
      <c r="Q390" s="115">
        <v>304.35000000000002</v>
      </c>
      <c r="R390">
        <v>61599</v>
      </c>
    </row>
    <row r="391" spans="1:18" x14ac:dyDescent="0.25">
      <c r="A391" s="169">
        <v>42577</v>
      </c>
      <c r="B391" s="115">
        <v>323</v>
      </c>
      <c r="C391" s="115">
        <v>315.25</v>
      </c>
      <c r="D391" s="115">
        <v>314</v>
      </c>
      <c r="E391" s="115">
        <v>314</v>
      </c>
      <c r="F391" s="115">
        <v>315.25</v>
      </c>
      <c r="G391">
        <v>36320</v>
      </c>
      <c r="H391" s="115"/>
      <c r="I391" s="115"/>
      <c r="L391" s="169">
        <v>42577</v>
      </c>
      <c r="M391" s="115">
        <v>315.45</v>
      </c>
      <c r="N391" s="115">
        <v>322.89999999999998</v>
      </c>
      <c r="O391" s="115">
        <v>313.05</v>
      </c>
      <c r="P391" s="115">
        <v>315</v>
      </c>
      <c r="Q391" s="115">
        <v>315.45</v>
      </c>
      <c r="R391">
        <v>116575</v>
      </c>
    </row>
    <row r="392" spans="1:18" x14ac:dyDescent="0.25">
      <c r="A392" s="169">
        <v>42578</v>
      </c>
      <c r="B392" s="115">
        <v>324</v>
      </c>
      <c r="C392" s="115">
        <v>321.3</v>
      </c>
      <c r="D392" s="115">
        <v>317</v>
      </c>
      <c r="E392" s="115">
        <v>320</v>
      </c>
      <c r="F392" s="115">
        <v>321.3</v>
      </c>
      <c r="G392">
        <v>17290</v>
      </c>
      <c r="H392" s="115"/>
      <c r="I392" s="115"/>
      <c r="L392" s="169">
        <v>42578</v>
      </c>
      <c r="M392" s="115">
        <v>321.3</v>
      </c>
      <c r="N392" s="115">
        <v>324.75</v>
      </c>
      <c r="O392" s="115">
        <v>317.10000000000002</v>
      </c>
      <c r="P392" s="115">
        <v>318.89999999999998</v>
      </c>
      <c r="Q392" s="115">
        <v>321.3</v>
      </c>
      <c r="R392">
        <v>57390</v>
      </c>
    </row>
    <row r="393" spans="1:18" x14ac:dyDescent="0.25">
      <c r="A393" s="169">
        <v>42579</v>
      </c>
      <c r="B393" s="115">
        <v>326.5</v>
      </c>
      <c r="C393" s="115">
        <v>321.45</v>
      </c>
      <c r="D393" s="115">
        <v>319.10000000000002</v>
      </c>
      <c r="E393" s="115">
        <v>321.60000000000002</v>
      </c>
      <c r="F393" s="115">
        <v>321.45</v>
      </c>
      <c r="G393">
        <v>7111</v>
      </c>
      <c r="H393" s="115"/>
      <c r="I393" s="115"/>
      <c r="L393" s="169">
        <v>42579</v>
      </c>
      <c r="M393" s="115">
        <v>320.5</v>
      </c>
      <c r="N393" s="115">
        <v>326.45</v>
      </c>
      <c r="O393" s="115">
        <v>318.8</v>
      </c>
      <c r="P393" s="115">
        <v>324</v>
      </c>
      <c r="Q393" s="115">
        <v>320.5</v>
      </c>
      <c r="R393">
        <v>38466</v>
      </c>
    </row>
    <row r="394" spans="1:18" x14ac:dyDescent="0.25">
      <c r="A394" s="169">
        <v>42580</v>
      </c>
      <c r="B394" s="115">
        <v>323</v>
      </c>
      <c r="C394" s="115">
        <v>319.3</v>
      </c>
      <c r="D394" s="115">
        <v>317.35000000000002</v>
      </c>
      <c r="E394" s="115">
        <v>319.8</v>
      </c>
      <c r="F394" s="115">
        <v>319.3</v>
      </c>
      <c r="G394">
        <v>1971</v>
      </c>
      <c r="H394" s="115"/>
      <c r="I394" s="115"/>
      <c r="L394" s="169">
        <v>42580</v>
      </c>
      <c r="M394" s="115">
        <v>319.05</v>
      </c>
      <c r="N394" s="115">
        <v>323.89999999999998</v>
      </c>
      <c r="O394" s="115">
        <v>315.25</v>
      </c>
      <c r="P394" s="115">
        <v>323.85000000000002</v>
      </c>
      <c r="Q394" s="115">
        <v>319.05</v>
      </c>
      <c r="R394">
        <v>12372</v>
      </c>
    </row>
    <row r="395" spans="1:18" x14ac:dyDescent="0.25">
      <c r="A395" s="169">
        <v>42583</v>
      </c>
      <c r="B395" s="115">
        <v>323.7</v>
      </c>
      <c r="C395" s="115">
        <v>314.55</v>
      </c>
      <c r="D395" s="115">
        <v>310</v>
      </c>
      <c r="E395" s="115">
        <v>323.7</v>
      </c>
      <c r="F395" s="115">
        <v>314.55</v>
      </c>
      <c r="G395">
        <v>2944</v>
      </c>
      <c r="H395" s="115"/>
      <c r="I395" s="115"/>
      <c r="L395" s="169">
        <v>42583</v>
      </c>
      <c r="M395" s="115">
        <v>313.14999999999998</v>
      </c>
      <c r="N395" s="115">
        <v>323.64999999999998</v>
      </c>
      <c r="O395" s="115">
        <v>309.55</v>
      </c>
      <c r="P395" s="115">
        <v>320</v>
      </c>
      <c r="Q395" s="115">
        <v>313.14999999999998</v>
      </c>
      <c r="R395">
        <v>19974</v>
      </c>
    </row>
    <row r="396" spans="1:18" x14ac:dyDescent="0.25">
      <c r="A396" s="169">
        <v>42584</v>
      </c>
      <c r="B396" s="115">
        <v>315.2</v>
      </c>
      <c r="C396" s="115">
        <v>311.95</v>
      </c>
      <c r="D396" s="115">
        <v>310.14999999999998</v>
      </c>
      <c r="E396" s="115">
        <v>312.39999999999998</v>
      </c>
      <c r="F396" s="115">
        <v>311.95</v>
      </c>
      <c r="G396">
        <v>4156</v>
      </c>
      <c r="H396" s="115"/>
      <c r="I396" s="115"/>
      <c r="L396" s="169">
        <v>42584</v>
      </c>
      <c r="M396" s="115">
        <v>312.60000000000002</v>
      </c>
      <c r="N396" s="115">
        <v>316.95</v>
      </c>
      <c r="O396" s="115">
        <v>309.10000000000002</v>
      </c>
      <c r="P396" s="115">
        <v>315</v>
      </c>
      <c r="Q396" s="115">
        <v>312.60000000000002</v>
      </c>
      <c r="R396">
        <v>11057</v>
      </c>
    </row>
    <row r="397" spans="1:18" x14ac:dyDescent="0.25">
      <c r="A397" s="169">
        <v>42585</v>
      </c>
      <c r="B397" s="115">
        <v>308.5</v>
      </c>
      <c r="C397" s="115">
        <v>304.5</v>
      </c>
      <c r="D397" s="115">
        <v>301</v>
      </c>
      <c r="E397" s="115">
        <v>308.5</v>
      </c>
      <c r="F397" s="115">
        <v>304.5</v>
      </c>
      <c r="G397">
        <v>2704</v>
      </c>
      <c r="H397" s="115"/>
      <c r="I397" s="115"/>
      <c r="L397" s="169">
        <v>42585</v>
      </c>
      <c r="M397" s="115">
        <v>302.75</v>
      </c>
      <c r="N397" s="115">
        <v>311.64999999999998</v>
      </c>
      <c r="O397" s="115">
        <v>301</v>
      </c>
      <c r="P397" s="115">
        <v>311.64999999999998</v>
      </c>
      <c r="Q397" s="115">
        <v>302.75</v>
      </c>
      <c r="R397">
        <v>27742</v>
      </c>
    </row>
    <row r="398" spans="1:18" x14ac:dyDescent="0.25">
      <c r="A398" s="169">
        <v>42586</v>
      </c>
      <c r="B398" s="115">
        <v>312</v>
      </c>
      <c r="C398" s="115">
        <v>299.3</v>
      </c>
      <c r="D398" s="115">
        <v>298.64999999999998</v>
      </c>
      <c r="E398" s="115">
        <v>300.05</v>
      </c>
      <c r="F398" s="115">
        <v>299.3</v>
      </c>
      <c r="G398">
        <v>4838</v>
      </c>
      <c r="H398" s="115"/>
      <c r="I398" s="115"/>
      <c r="L398" s="169">
        <v>42586</v>
      </c>
      <c r="M398" s="115">
        <v>300.45</v>
      </c>
      <c r="N398" s="115">
        <v>306.35000000000002</v>
      </c>
      <c r="O398" s="115">
        <v>299.60000000000002</v>
      </c>
      <c r="P398" s="115">
        <v>303.35000000000002</v>
      </c>
      <c r="Q398" s="115">
        <v>300.45</v>
      </c>
      <c r="R398">
        <v>20713</v>
      </c>
    </row>
    <row r="399" spans="1:18" x14ac:dyDescent="0.25">
      <c r="A399" s="169">
        <v>42587</v>
      </c>
      <c r="B399" s="115">
        <v>314.75</v>
      </c>
      <c r="C399" s="115">
        <v>312.60000000000002</v>
      </c>
      <c r="D399" s="115">
        <v>304.5</v>
      </c>
      <c r="E399" s="115">
        <v>304.5</v>
      </c>
      <c r="F399" s="115">
        <v>312.60000000000002</v>
      </c>
      <c r="G399">
        <v>2398</v>
      </c>
      <c r="H399" s="115"/>
      <c r="I399" s="115"/>
      <c r="L399" s="169">
        <v>42587</v>
      </c>
      <c r="M399" s="115">
        <v>312.3</v>
      </c>
      <c r="N399" s="115">
        <v>314.89999999999998</v>
      </c>
      <c r="O399" s="115">
        <v>300</v>
      </c>
      <c r="P399" s="115">
        <v>300.14999999999998</v>
      </c>
      <c r="Q399" s="115">
        <v>312.3</v>
      </c>
      <c r="R399">
        <v>30064</v>
      </c>
    </row>
    <row r="400" spans="1:18" x14ac:dyDescent="0.25">
      <c r="A400" s="169">
        <v>42590</v>
      </c>
      <c r="B400" s="115">
        <v>327</v>
      </c>
      <c r="C400" s="115">
        <v>314.45</v>
      </c>
      <c r="D400" s="115">
        <v>312</v>
      </c>
      <c r="E400" s="115">
        <v>312</v>
      </c>
      <c r="F400" s="115">
        <v>314.45</v>
      </c>
      <c r="G400">
        <v>5226</v>
      </c>
      <c r="H400" s="115"/>
      <c r="I400" s="115"/>
      <c r="L400" s="169">
        <v>42590</v>
      </c>
      <c r="M400" s="115">
        <v>313.8</v>
      </c>
      <c r="N400" s="115">
        <v>317.3</v>
      </c>
      <c r="O400" s="115">
        <v>311.89999999999998</v>
      </c>
      <c r="P400" s="115">
        <v>315.75</v>
      </c>
      <c r="Q400" s="115">
        <v>313.8</v>
      </c>
      <c r="R400">
        <v>21125</v>
      </c>
    </row>
    <row r="401" spans="1:18" x14ac:dyDescent="0.25">
      <c r="A401" s="169">
        <v>42591</v>
      </c>
      <c r="B401" s="115">
        <v>317</v>
      </c>
      <c r="C401" s="115">
        <v>314.10000000000002</v>
      </c>
      <c r="D401" s="115">
        <v>306.10000000000002</v>
      </c>
      <c r="E401" s="115">
        <v>314.5</v>
      </c>
      <c r="F401" s="115">
        <v>314.10000000000002</v>
      </c>
      <c r="G401">
        <v>3946</v>
      </c>
      <c r="H401" s="115"/>
      <c r="I401" s="115"/>
      <c r="L401" s="169">
        <v>42591</v>
      </c>
      <c r="M401" s="115">
        <v>314.75</v>
      </c>
      <c r="N401" s="115">
        <v>318</v>
      </c>
      <c r="O401" s="115">
        <v>305.05</v>
      </c>
      <c r="P401" s="115">
        <v>315.95</v>
      </c>
      <c r="Q401" s="115">
        <v>314.75</v>
      </c>
      <c r="R401">
        <v>41989</v>
      </c>
    </row>
    <row r="402" spans="1:18" x14ac:dyDescent="0.25">
      <c r="A402" s="169">
        <v>42592</v>
      </c>
      <c r="B402" s="115">
        <v>303</v>
      </c>
      <c r="C402" s="115">
        <v>288.75</v>
      </c>
      <c r="D402" s="115">
        <v>277.5</v>
      </c>
      <c r="E402" s="115">
        <v>299</v>
      </c>
      <c r="F402" s="115">
        <v>288.75</v>
      </c>
      <c r="G402">
        <v>22498</v>
      </c>
      <c r="H402" s="115"/>
      <c r="I402" s="115"/>
      <c r="L402" s="169">
        <v>42592</v>
      </c>
      <c r="M402" s="115">
        <v>289.25</v>
      </c>
      <c r="N402" s="115">
        <v>302.75</v>
      </c>
      <c r="O402" s="115">
        <v>275.64999999999998</v>
      </c>
      <c r="P402" s="115">
        <v>295</v>
      </c>
      <c r="Q402" s="115">
        <v>289.25</v>
      </c>
      <c r="R402">
        <v>171122</v>
      </c>
    </row>
    <row r="403" spans="1:18" x14ac:dyDescent="0.25">
      <c r="A403" s="169">
        <v>42593</v>
      </c>
      <c r="B403" s="115">
        <v>293.89999999999998</v>
      </c>
      <c r="C403" s="115">
        <v>287.95</v>
      </c>
      <c r="D403" s="115">
        <v>285.39999999999998</v>
      </c>
      <c r="E403" s="115">
        <v>293.89999999999998</v>
      </c>
      <c r="F403" s="115">
        <v>287.95</v>
      </c>
      <c r="G403">
        <v>3574</v>
      </c>
      <c r="H403" s="115"/>
      <c r="I403" s="115"/>
      <c r="L403" s="169">
        <v>42593</v>
      </c>
      <c r="M403" s="115">
        <v>287.85000000000002</v>
      </c>
      <c r="N403" s="115">
        <v>294.45</v>
      </c>
      <c r="O403" s="115">
        <v>285.25</v>
      </c>
      <c r="P403" s="115">
        <v>294.39999999999998</v>
      </c>
      <c r="Q403" s="115">
        <v>287.85000000000002</v>
      </c>
      <c r="R403">
        <v>21322</v>
      </c>
    </row>
    <row r="404" spans="1:18" x14ac:dyDescent="0.25">
      <c r="A404" s="169">
        <v>42594</v>
      </c>
      <c r="B404" s="115">
        <v>294</v>
      </c>
      <c r="C404" s="115">
        <v>283.3</v>
      </c>
      <c r="D404" s="115">
        <v>282.10000000000002</v>
      </c>
      <c r="E404" s="115">
        <v>291.5</v>
      </c>
      <c r="F404" s="115">
        <v>283.3</v>
      </c>
      <c r="G404">
        <v>2621</v>
      </c>
      <c r="H404" s="115"/>
      <c r="I404" s="115"/>
      <c r="L404" s="169">
        <v>42594</v>
      </c>
      <c r="M404" s="115">
        <v>283</v>
      </c>
      <c r="N404" s="115">
        <v>294</v>
      </c>
      <c r="O404" s="115">
        <v>281.2</v>
      </c>
      <c r="P404" s="115">
        <v>291.5</v>
      </c>
      <c r="Q404" s="115">
        <v>283</v>
      </c>
      <c r="R404">
        <v>12377</v>
      </c>
    </row>
    <row r="405" spans="1:18" x14ac:dyDescent="0.25">
      <c r="A405" s="169">
        <v>42598</v>
      </c>
      <c r="B405" s="115">
        <v>288.55</v>
      </c>
      <c r="C405" s="115">
        <v>282.5</v>
      </c>
      <c r="D405" s="115">
        <v>281</v>
      </c>
      <c r="E405" s="115">
        <v>284.14999999999998</v>
      </c>
      <c r="F405" s="115">
        <v>282.5</v>
      </c>
      <c r="G405">
        <v>4293</v>
      </c>
      <c r="H405" s="115"/>
      <c r="I405" s="115"/>
      <c r="L405" s="169">
        <v>42598</v>
      </c>
      <c r="M405" s="115">
        <v>281.85000000000002</v>
      </c>
      <c r="N405" s="115">
        <v>290</v>
      </c>
      <c r="O405" s="115">
        <v>280.10000000000002</v>
      </c>
      <c r="P405" s="115">
        <v>285.14999999999998</v>
      </c>
      <c r="Q405" s="115">
        <v>281.85000000000002</v>
      </c>
      <c r="R405">
        <v>10646</v>
      </c>
    </row>
    <row r="406" spans="1:18" x14ac:dyDescent="0.25">
      <c r="A406" s="169">
        <v>42599</v>
      </c>
      <c r="B406" s="115">
        <v>285.64999999999998</v>
      </c>
      <c r="C406" s="115">
        <v>280.5</v>
      </c>
      <c r="D406" s="115">
        <v>280.10000000000002</v>
      </c>
      <c r="E406" s="115">
        <v>283.75</v>
      </c>
      <c r="F406" s="115">
        <v>280.5</v>
      </c>
      <c r="G406">
        <v>2865</v>
      </c>
      <c r="H406" s="115"/>
      <c r="I406" s="115"/>
      <c r="L406" s="169">
        <v>42599</v>
      </c>
      <c r="M406" s="115">
        <v>281.35000000000002</v>
      </c>
      <c r="N406" s="115">
        <v>285.85000000000002</v>
      </c>
      <c r="O406" s="115">
        <v>281</v>
      </c>
      <c r="P406" s="115">
        <v>285.85000000000002</v>
      </c>
      <c r="Q406" s="115">
        <v>281.35000000000002</v>
      </c>
      <c r="R406">
        <v>4136</v>
      </c>
    </row>
    <row r="407" spans="1:18" x14ac:dyDescent="0.25">
      <c r="A407" s="169">
        <v>42600</v>
      </c>
      <c r="B407" s="115">
        <v>289</v>
      </c>
      <c r="C407" s="115">
        <v>279.05</v>
      </c>
      <c r="D407" s="115">
        <v>275</v>
      </c>
      <c r="E407" s="115">
        <v>285.5</v>
      </c>
      <c r="F407" s="115">
        <v>279.05</v>
      </c>
      <c r="G407">
        <v>7733</v>
      </c>
      <c r="H407" s="115"/>
      <c r="I407" s="115"/>
      <c r="L407" s="169">
        <v>42600</v>
      </c>
      <c r="M407" s="115">
        <v>278.25</v>
      </c>
      <c r="N407" s="115">
        <v>288</v>
      </c>
      <c r="O407" s="115">
        <v>275</v>
      </c>
      <c r="P407" s="115">
        <v>280.64999999999998</v>
      </c>
      <c r="Q407" s="115">
        <v>278.25</v>
      </c>
      <c r="R407">
        <v>16465</v>
      </c>
    </row>
    <row r="408" spans="1:18" x14ac:dyDescent="0.25">
      <c r="A408" s="169">
        <v>42601</v>
      </c>
      <c r="B408" s="115">
        <v>290.5</v>
      </c>
      <c r="C408" s="115">
        <v>280.14999999999998</v>
      </c>
      <c r="D408" s="115">
        <v>277</v>
      </c>
      <c r="E408" s="115">
        <v>277.14999999999998</v>
      </c>
      <c r="F408" s="115">
        <v>280.14999999999998</v>
      </c>
      <c r="G408">
        <v>5008</v>
      </c>
      <c r="H408" s="115"/>
      <c r="I408" s="115"/>
      <c r="L408" s="169">
        <v>42601</v>
      </c>
      <c r="M408" s="115">
        <v>279.35000000000002</v>
      </c>
      <c r="N408" s="115">
        <v>283</v>
      </c>
      <c r="O408" s="115">
        <v>277</v>
      </c>
      <c r="P408" s="115">
        <v>281.45</v>
      </c>
      <c r="Q408" s="115">
        <v>279.35000000000002</v>
      </c>
      <c r="R408">
        <v>11754</v>
      </c>
    </row>
    <row r="409" spans="1:18" x14ac:dyDescent="0.25">
      <c r="A409" s="169">
        <v>42604</v>
      </c>
      <c r="B409" s="115">
        <v>286</v>
      </c>
      <c r="C409" s="115">
        <v>283.45</v>
      </c>
      <c r="D409" s="115">
        <v>279</v>
      </c>
      <c r="E409" s="115">
        <v>280</v>
      </c>
      <c r="F409" s="115">
        <v>283.45</v>
      </c>
      <c r="G409">
        <v>8069</v>
      </c>
      <c r="H409" s="115"/>
      <c r="I409" s="115"/>
      <c r="L409" s="169">
        <v>42604</v>
      </c>
      <c r="M409" s="115">
        <v>282.64999999999998</v>
      </c>
      <c r="N409" s="115">
        <v>287</v>
      </c>
      <c r="O409" s="115">
        <v>278.3</v>
      </c>
      <c r="P409" s="115">
        <v>279</v>
      </c>
      <c r="Q409" s="115">
        <v>282.64999999999998</v>
      </c>
      <c r="R409">
        <v>13967</v>
      </c>
    </row>
    <row r="410" spans="1:18" x14ac:dyDescent="0.25">
      <c r="A410" s="169">
        <v>42605</v>
      </c>
      <c r="B410" s="115">
        <v>290</v>
      </c>
      <c r="C410" s="115">
        <v>284</v>
      </c>
      <c r="D410" s="115">
        <v>279</v>
      </c>
      <c r="E410" s="115">
        <v>286.5</v>
      </c>
      <c r="F410" s="115">
        <v>284</v>
      </c>
      <c r="G410">
        <v>2246</v>
      </c>
      <c r="H410" s="115"/>
      <c r="I410" s="115"/>
      <c r="L410" s="169">
        <v>42605</v>
      </c>
      <c r="M410" s="115">
        <v>284.2</v>
      </c>
      <c r="N410" s="115">
        <v>289.25</v>
      </c>
      <c r="O410" s="115">
        <v>280.55</v>
      </c>
      <c r="P410" s="115">
        <v>282.95</v>
      </c>
      <c r="Q410" s="115">
        <v>284.2</v>
      </c>
      <c r="R410">
        <v>13989</v>
      </c>
    </row>
    <row r="411" spans="1:18" x14ac:dyDescent="0.25">
      <c r="A411" s="169">
        <v>42606</v>
      </c>
      <c r="B411" s="115">
        <v>287.60000000000002</v>
      </c>
      <c r="C411" s="115">
        <v>285.8</v>
      </c>
      <c r="D411" s="115">
        <v>281</v>
      </c>
      <c r="E411" s="115">
        <v>282.35000000000002</v>
      </c>
      <c r="F411" s="115">
        <v>285.8</v>
      </c>
      <c r="G411">
        <v>4489</v>
      </c>
      <c r="H411" s="115"/>
      <c r="I411" s="115"/>
      <c r="L411" s="169">
        <v>42606</v>
      </c>
      <c r="M411" s="115">
        <v>286.7</v>
      </c>
      <c r="N411" s="115">
        <v>287.85000000000002</v>
      </c>
      <c r="O411" s="115">
        <v>280.14999999999998</v>
      </c>
      <c r="P411" s="115">
        <v>287.60000000000002</v>
      </c>
      <c r="Q411" s="115">
        <v>286.7</v>
      </c>
      <c r="R411">
        <v>12606</v>
      </c>
    </row>
    <row r="412" spans="1:18" x14ac:dyDescent="0.25">
      <c r="A412" s="169">
        <v>42607</v>
      </c>
      <c r="B412" s="115">
        <v>299.7</v>
      </c>
      <c r="C412" s="115">
        <v>291.10000000000002</v>
      </c>
      <c r="D412" s="115">
        <v>286</v>
      </c>
      <c r="E412" s="115">
        <v>286</v>
      </c>
      <c r="F412" s="115">
        <v>291.10000000000002</v>
      </c>
      <c r="G412">
        <v>9983</v>
      </c>
      <c r="H412" s="115"/>
      <c r="I412" s="115"/>
      <c r="L412" s="169">
        <v>42607</v>
      </c>
      <c r="M412" s="115">
        <v>292</v>
      </c>
      <c r="N412" s="115">
        <v>299.75</v>
      </c>
      <c r="O412" s="115">
        <v>287.05</v>
      </c>
      <c r="P412" s="115">
        <v>287.75</v>
      </c>
      <c r="Q412" s="115">
        <v>292</v>
      </c>
      <c r="R412">
        <v>52436</v>
      </c>
    </row>
    <row r="413" spans="1:18" x14ac:dyDescent="0.25">
      <c r="A413" s="169">
        <v>42608</v>
      </c>
      <c r="B413" s="115">
        <v>294.8</v>
      </c>
      <c r="C413" s="115">
        <v>290.39999999999998</v>
      </c>
      <c r="D413" s="115">
        <v>288</v>
      </c>
      <c r="E413" s="115">
        <v>290</v>
      </c>
      <c r="F413" s="115">
        <v>290.39999999999998</v>
      </c>
      <c r="G413">
        <v>699</v>
      </c>
      <c r="H413" s="115"/>
      <c r="I413" s="115"/>
      <c r="L413" s="169">
        <v>42608</v>
      </c>
      <c r="M413" s="115">
        <v>288.10000000000002</v>
      </c>
      <c r="N413" s="115">
        <v>295.85000000000002</v>
      </c>
      <c r="O413" s="115">
        <v>287.3</v>
      </c>
      <c r="P413" s="115">
        <v>292.55</v>
      </c>
      <c r="Q413" s="115">
        <v>288.10000000000002</v>
      </c>
      <c r="R413">
        <v>6188</v>
      </c>
    </row>
    <row r="414" spans="1:18" x14ac:dyDescent="0.25">
      <c r="A414" s="169">
        <v>42611</v>
      </c>
      <c r="B414" s="115">
        <v>290</v>
      </c>
      <c r="C414" s="115">
        <v>283.85000000000002</v>
      </c>
      <c r="D414" s="115">
        <v>275</v>
      </c>
      <c r="E414" s="115">
        <v>275</v>
      </c>
      <c r="F414" s="115">
        <v>283.85000000000002</v>
      </c>
      <c r="G414">
        <v>2306</v>
      </c>
      <c r="H414" s="115"/>
      <c r="I414" s="115"/>
      <c r="L414" s="169">
        <v>42611</v>
      </c>
      <c r="M414" s="115">
        <v>284.55</v>
      </c>
      <c r="N414" s="115">
        <v>293.5</v>
      </c>
      <c r="O414" s="115">
        <v>280.5</v>
      </c>
      <c r="P414" s="115">
        <v>288.10000000000002</v>
      </c>
      <c r="Q414" s="115">
        <v>284.55</v>
      </c>
      <c r="R414">
        <v>12663</v>
      </c>
    </row>
    <row r="415" spans="1:18" x14ac:dyDescent="0.25">
      <c r="A415" s="169">
        <v>42612</v>
      </c>
      <c r="B415" s="115">
        <v>290.5</v>
      </c>
      <c r="C415" s="115">
        <v>286.60000000000002</v>
      </c>
      <c r="D415" s="115">
        <v>285.2</v>
      </c>
      <c r="E415" s="115">
        <v>286</v>
      </c>
      <c r="F415" s="115">
        <v>286.60000000000002</v>
      </c>
      <c r="G415">
        <v>3759</v>
      </c>
      <c r="H415" s="115"/>
      <c r="I415" s="115"/>
      <c r="L415" s="169">
        <v>42612</v>
      </c>
      <c r="M415" s="115">
        <v>287.35000000000002</v>
      </c>
      <c r="N415" s="115">
        <v>291.2</v>
      </c>
      <c r="O415" s="115">
        <v>285.10000000000002</v>
      </c>
      <c r="P415" s="115">
        <v>286</v>
      </c>
      <c r="Q415" s="115">
        <v>287.35000000000002</v>
      </c>
      <c r="R415">
        <v>11646</v>
      </c>
    </row>
    <row r="416" spans="1:18" x14ac:dyDescent="0.25">
      <c r="A416" s="169">
        <v>42613</v>
      </c>
      <c r="B416" s="115">
        <v>289.10000000000002</v>
      </c>
      <c r="C416" s="115">
        <v>282.5</v>
      </c>
      <c r="D416" s="115">
        <v>282.14999999999998</v>
      </c>
      <c r="E416" s="115">
        <v>284.95</v>
      </c>
      <c r="F416" s="115">
        <v>282.5</v>
      </c>
      <c r="G416">
        <v>1688</v>
      </c>
      <c r="H416" s="115"/>
      <c r="I416" s="115"/>
      <c r="L416" s="169">
        <v>42613</v>
      </c>
      <c r="M416" s="115">
        <v>282.7</v>
      </c>
      <c r="N416" s="115">
        <v>291.2</v>
      </c>
      <c r="O416" s="115">
        <v>280.60000000000002</v>
      </c>
      <c r="P416" s="115">
        <v>290.64999999999998</v>
      </c>
      <c r="Q416" s="115">
        <v>282.7</v>
      </c>
      <c r="R416">
        <v>17541</v>
      </c>
    </row>
    <row r="417" spans="1:18" x14ac:dyDescent="0.25">
      <c r="A417" s="169">
        <v>42614</v>
      </c>
      <c r="B417" s="115">
        <v>283</v>
      </c>
      <c r="C417" s="115">
        <v>279.39999999999998</v>
      </c>
      <c r="D417" s="115">
        <v>278</v>
      </c>
      <c r="E417" s="115">
        <v>283</v>
      </c>
      <c r="F417" s="115">
        <v>279.39999999999998</v>
      </c>
      <c r="G417">
        <v>2176</v>
      </c>
      <c r="H417" s="115"/>
      <c r="I417" s="115"/>
      <c r="L417" s="169">
        <v>42614</v>
      </c>
      <c r="M417" s="115">
        <v>279.25</v>
      </c>
      <c r="N417" s="115">
        <v>285</v>
      </c>
      <c r="O417" s="115">
        <v>278.05</v>
      </c>
      <c r="P417" s="115">
        <v>281.64999999999998</v>
      </c>
      <c r="Q417" s="115">
        <v>279.25</v>
      </c>
      <c r="R417">
        <v>7753</v>
      </c>
    </row>
    <row r="418" spans="1:18" x14ac:dyDescent="0.25">
      <c r="A418" s="169">
        <v>42615</v>
      </c>
      <c r="B418" s="115">
        <v>281.55</v>
      </c>
      <c r="C418" s="115">
        <v>281.25</v>
      </c>
      <c r="D418" s="115">
        <v>278.14999999999998</v>
      </c>
      <c r="E418" s="115">
        <v>278.89999999999998</v>
      </c>
      <c r="F418" s="115">
        <v>281.25</v>
      </c>
      <c r="G418">
        <v>455</v>
      </c>
      <c r="H418" s="115"/>
      <c r="I418" s="115"/>
      <c r="L418" s="169">
        <v>42615</v>
      </c>
      <c r="M418" s="115">
        <v>280.55</v>
      </c>
      <c r="N418" s="115">
        <v>282.35000000000002</v>
      </c>
      <c r="O418" s="115">
        <v>277.10000000000002</v>
      </c>
      <c r="P418" s="115">
        <v>278.25</v>
      </c>
      <c r="Q418" s="115">
        <v>280.55</v>
      </c>
      <c r="R418">
        <v>5765</v>
      </c>
    </row>
    <row r="419" spans="1:18" x14ac:dyDescent="0.25">
      <c r="A419" s="169">
        <v>42619</v>
      </c>
      <c r="B419" s="115">
        <v>284</v>
      </c>
      <c r="C419" s="115">
        <v>282.14999999999998</v>
      </c>
      <c r="D419" s="115">
        <v>282</v>
      </c>
      <c r="E419" s="115">
        <v>282.39999999999998</v>
      </c>
      <c r="F419" s="115">
        <v>282.14999999999998</v>
      </c>
      <c r="G419">
        <v>2398</v>
      </c>
      <c r="H419" s="115"/>
      <c r="I419" s="115"/>
      <c r="L419" s="169">
        <v>42619</v>
      </c>
      <c r="M419" s="115">
        <v>282.85000000000002</v>
      </c>
      <c r="N419" s="115">
        <v>287.89999999999998</v>
      </c>
      <c r="O419" s="115">
        <v>281.10000000000002</v>
      </c>
      <c r="P419" s="115">
        <v>281.39999999999998</v>
      </c>
      <c r="Q419" s="115">
        <v>282.85000000000002</v>
      </c>
      <c r="R419">
        <v>4926</v>
      </c>
    </row>
    <row r="420" spans="1:18" x14ac:dyDescent="0.25">
      <c r="A420" s="169">
        <v>42620</v>
      </c>
      <c r="B420" s="115">
        <v>282.7</v>
      </c>
      <c r="C420" s="115">
        <v>279.5</v>
      </c>
      <c r="D420" s="115">
        <v>278</v>
      </c>
      <c r="E420" s="115">
        <v>282.7</v>
      </c>
      <c r="F420" s="115">
        <v>279.5</v>
      </c>
      <c r="G420">
        <v>3931</v>
      </c>
      <c r="H420" s="115"/>
      <c r="I420" s="115"/>
      <c r="L420" s="169">
        <v>42620</v>
      </c>
      <c r="M420" s="115">
        <v>276.85000000000002</v>
      </c>
      <c r="N420" s="115">
        <v>284.95</v>
      </c>
      <c r="O420" s="115">
        <v>275.05</v>
      </c>
      <c r="P420" s="115">
        <v>284.14999999999998</v>
      </c>
      <c r="Q420" s="115">
        <v>276.85000000000002</v>
      </c>
      <c r="R420">
        <v>14289</v>
      </c>
    </row>
    <row r="421" spans="1:18" x14ac:dyDescent="0.25">
      <c r="A421" s="169">
        <v>42621</v>
      </c>
      <c r="B421" s="115">
        <v>281.89999999999998</v>
      </c>
      <c r="C421" s="115">
        <v>278.95</v>
      </c>
      <c r="D421" s="115">
        <v>277.3</v>
      </c>
      <c r="E421" s="115">
        <v>278.8</v>
      </c>
      <c r="F421" s="115">
        <v>278.95</v>
      </c>
      <c r="G421">
        <v>3020</v>
      </c>
      <c r="H421" s="115"/>
      <c r="I421" s="115"/>
      <c r="L421" s="169">
        <v>42621</v>
      </c>
      <c r="M421" s="115">
        <v>279.75</v>
      </c>
      <c r="N421" s="115">
        <v>284</v>
      </c>
      <c r="O421" s="115">
        <v>275.05</v>
      </c>
      <c r="P421" s="115">
        <v>284</v>
      </c>
      <c r="Q421" s="115">
        <v>279.75</v>
      </c>
      <c r="R421">
        <v>16849</v>
      </c>
    </row>
    <row r="422" spans="1:18" x14ac:dyDescent="0.25">
      <c r="A422" s="169">
        <v>42622</v>
      </c>
      <c r="B422" s="115">
        <v>282.95</v>
      </c>
      <c r="C422" s="115">
        <v>278.5</v>
      </c>
      <c r="D422" s="115">
        <v>276.85000000000002</v>
      </c>
      <c r="E422" s="115">
        <v>281.95</v>
      </c>
      <c r="F422" s="115">
        <v>278.5</v>
      </c>
      <c r="G422">
        <v>2967</v>
      </c>
      <c r="H422" s="115"/>
      <c r="I422" s="115"/>
      <c r="L422" s="169">
        <v>42622</v>
      </c>
      <c r="M422" s="115">
        <v>277.60000000000002</v>
      </c>
      <c r="N422" s="115">
        <v>285</v>
      </c>
      <c r="O422" s="115">
        <v>275.64999999999998</v>
      </c>
      <c r="P422" s="115">
        <v>280.10000000000002</v>
      </c>
      <c r="Q422" s="115">
        <v>277.60000000000002</v>
      </c>
      <c r="R422">
        <v>20925</v>
      </c>
    </row>
    <row r="423" spans="1:18" x14ac:dyDescent="0.25">
      <c r="A423" s="169">
        <v>42625</v>
      </c>
      <c r="B423" s="115">
        <v>279.95</v>
      </c>
      <c r="C423" s="115">
        <v>276.3</v>
      </c>
      <c r="D423" s="115">
        <v>275.10000000000002</v>
      </c>
      <c r="E423" s="115">
        <v>278</v>
      </c>
      <c r="F423" s="115">
        <v>276.3</v>
      </c>
      <c r="G423">
        <v>1687</v>
      </c>
      <c r="H423" s="115"/>
      <c r="I423" s="115"/>
      <c r="L423" s="169">
        <v>42625</v>
      </c>
      <c r="M423" s="115">
        <v>276.10000000000002</v>
      </c>
      <c r="N423" s="115">
        <v>288.5</v>
      </c>
      <c r="O423" s="115">
        <v>275.05</v>
      </c>
      <c r="P423" s="115">
        <v>288.5</v>
      </c>
      <c r="Q423" s="115">
        <v>276.10000000000002</v>
      </c>
      <c r="R423">
        <v>12581</v>
      </c>
    </row>
    <row r="424" spans="1:18" x14ac:dyDescent="0.25">
      <c r="A424" s="169">
        <v>42627</v>
      </c>
      <c r="B424" s="115">
        <v>278</v>
      </c>
      <c r="C424" s="115">
        <v>274.3</v>
      </c>
      <c r="D424" s="115">
        <v>272</v>
      </c>
      <c r="E424" s="115">
        <v>276</v>
      </c>
      <c r="F424" s="115">
        <v>274.3</v>
      </c>
      <c r="G424">
        <v>1896</v>
      </c>
      <c r="H424" s="115"/>
      <c r="I424" s="115"/>
      <c r="L424" s="169">
        <v>42627</v>
      </c>
      <c r="M424" s="115">
        <v>273.7</v>
      </c>
      <c r="N424" s="115">
        <v>279</v>
      </c>
      <c r="O424" s="115">
        <v>271.10000000000002</v>
      </c>
      <c r="P424" s="115">
        <v>275.2</v>
      </c>
      <c r="Q424" s="115">
        <v>273.7</v>
      </c>
      <c r="R424">
        <v>12867</v>
      </c>
    </row>
    <row r="425" spans="1:18" x14ac:dyDescent="0.25">
      <c r="A425" s="169">
        <v>42628</v>
      </c>
      <c r="B425" s="115">
        <v>279.3</v>
      </c>
      <c r="C425" s="115">
        <v>273.55</v>
      </c>
      <c r="D425" s="115">
        <v>272</v>
      </c>
      <c r="E425" s="115">
        <v>272.89999999999998</v>
      </c>
      <c r="F425" s="115">
        <v>273.55</v>
      </c>
      <c r="G425">
        <v>1827</v>
      </c>
      <c r="H425" s="115"/>
      <c r="I425" s="115"/>
      <c r="L425" s="169">
        <v>42628</v>
      </c>
      <c r="M425" s="115">
        <v>273.2</v>
      </c>
      <c r="N425" s="115">
        <v>277.89999999999998</v>
      </c>
      <c r="O425" s="115">
        <v>271.3</v>
      </c>
      <c r="P425" s="115">
        <v>273</v>
      </c>
      <c r="Q425" s="115">
        <v>273.2</v>
      </c>
      <c r="R425">
        <v>7061</v>
      </c>
    </row>
    <row r="426" spans="1:18" x14ac:dyDescent="0.25">
      <c r="A426" s="169">
        <v>42629</v>
      </c>
      <c r="B426" s="115">
        <v>279.89999999999998</v>
      </c>
      <c r="C426" s="115">
        <v>269</v>
      </c>
      <c r="D426" s="115">
        <v>266.10000000000002</v>
      </c>
      <c r="E426" s="115">
        <v>276.8</v>
      </c>
      <c r="F426" s="115">
        <v>269</v>
      </c>
      <c r="G426">
        <v>5376</v>
      </c>
      <c r="H426" s="115"/>
      <c r="I426" s="115"/>
      <c r="L426" s="169">
        <v>42629</v>
      </c>
      <c r="M426" s="115">
        <v>267.64999999999998</v>
      </c>
      <c r="N426" s="115">
        <v>279</v>
      </c>
      <c r="O426" s="115">
        <v>265.10000000000002</v>
      </c>
      <c r="P426" s="115">
        <v>277.75</v>
      </c>
      <c r="Q426" s="115">
        <v>267.64999999999998</v>
      </c>
      <c r="R426">
        <v>27127</v>
      </c>
    </row>
    <row r="427" spans="1:18" x14ac:dyDescent="0.25">
      <c r="A427" s="169">
        <v>42632</v>
      </c>
      <c r="B427" s="115">
        <v>283.7</v>
      </c>
      <c r="C427" s="115">
        <v>278.60000000000002</v>
      </c>
      <c r="D427" s="115">
        <v>268</v>
      </c>
      <c r="E427" s="115">
        <v>270.75</v>
      </c>
      <c r="F427" s="115">
        <v>278.60000000000002</v>
      </c>
      <c r="G427">
        <v>3340</v>
      </c>
      <c r="H427" s="115"/>
      <c r="I427" s="115"/>
      <c r="L427" s="169">
        <v>42632</v>
      </c>
      <c r="M427" s="115">
        <v>278.75</v>
      </c>
      <c r="N427" s="115">
        <v>284</v>
      </c>
      <c r="O427" s="115">
        <v>266</v>
      </c>
      <c r="P427" s="115">
        <v>266</v>
      </c>
      <c r="Q427" s="115">
        <v>278.75</v>
      </c>
      <c r="R427">
        <v>25484</v>
      </c>
    </row>
    <row r="428" spans="1:18" x14ac:dyDescent="0.25">
      <c r="A428" s="169">
        <v>42633</v>
      </c>
      <c r="B428" s="115">
        <v>281.60000000000002</v>
      </c>
      <c r="C428" s="115">
        <v>276.35000000000002</v>
      </c>
      <c r="D428" s="115">
        <v>275.35000000000002</v>
      </c>
      <c r="E428" s="115">
        <v>279.5</v>
      </c>
      <c r="F428" s="115">
        <v>276.35000000000002</v>
      </c>
      <c r="G428">
        <v>2630</v>
      </c>
      <c r="H428" s="115"/>
      <c r="I428" s="115"/>
      <c r="L428" s="169">
        <v>42633</v>
      </c>
      <c r="M428" s="115">
        <v>276.85000000000002</v>
      </c>
      <c r="N428" s="115">
        <v>282</v>
      </c>
      <c r="O428" s="115">
        <v>275</v>
      </c>
      <c r="P428" s="115">
        <v>278</v>
      </c>
      <c r="Q428" s="115">
        <v>276.85000000000002</v>
      </c>
      <c r="R428">
        <v>14466</v>
      </c>
    </row>
    <row r="429" spans="1:18" x14ac:dyDescent="0.25">
      <c r="A429" s="169">
        <v>42634</v>
      </c>
      <c r="B429" s="115">
        <v>279.95</v>
      </c>
      <c r="C429" s="115">
        <v>269.75</v>
      </c>
      <c r="D429" s="115">
        <v>266.60000000000002</v>
      </c>
      <c r="E429" s="115">
        <v>279.95</v>
      </c>
      <c r="F429" s="115">
        <v>269.75</v>
      </c>
      <c r="G429">
        <v>3443</v>
      </c>
      <c r="H429" s="115"/>
      <c r="I429" s="115"/>
      <c r="L429" s="169">
        <v>42634</v>
      </c>
      <c r="M429" s="115">
        <v>269.60000000000002</v>
      </c>
      <c r="N429" s="115">
        <v>279.95</v>
      </c>
      <c r="O429" s="115">
        <v>268.55</v>
      </c>
      <c r="P429" s="115">
        <v>276</v>
      </c>
      <c r="Q429" s="115">
        <v>269.60000000000002</v>
      </c>
      <c r="R429">
        <v>9795</v>
      </c>
    </row>
    <row r="430" spans="1:18" x14ac:dyDescent="0.25">
      <c r="A430" s="169">
        <v>42635</v>
      </c>
      <c r="B430" s="115">
        <v>275</v>
      </c>
      <c r="C430" s="115">
        <v>270</v>
      </c>
      <c r="D430" s="115">
        <v>267.25</v>
      </c>
      <c r="E430" s="115">
        <v>273.10000000000002</v>
      </c>
      <c r="F430" s="115">
        <v>270</v>
      </c>
      <c r="G430">
        <v>5410</v>
      </c>
      <c r="H430" s="115"/>
      <c r="I430" s="115"/>
      <c r="L430" s="169">
        <v>42635</v>
      </c>
      <c r="M430" s="115">
        <v>269.60000000000002</v>
      </c>
      <c r="N430" s="115">
        <v>277.45</v>
      </c>
      <c r="O430" s="115">
        <v>269</v>
      </c>
      <c r="P430" s="115">
        <v>276.89999999999998</v>
      </c>
      <c r="Q430" s="115">
        <v>269.60000000000002</v>
      </c>
      <c r="R430">
        <v>12517</v>
      </c>
    </row>
    <row r="431" spans="1:18" x14ac:dyDescent="0.25">
      <c r="A431" s="169">
        <v>42636</v>
      </c>
      <c r="B431" s="115">
        <v>279.95</v>
      </c>
      <c r="C431" s="115">
        <v>267.10000000000002</v>
      </c>
      <c r="D431" s="115">
        <v>265</v>
      </c>
      <c r="E431" s="115">
        <v>270</v>
      </c>
      <c r="F431" s="115">
        <v>267.10000000000002</v>
      </c>
      <c r="G431">
        <v>4883</v>
      </c>
      <c r="H431" s="115"/>
      <c r="I431" s="115"/>
      <c r="L431" s="169">
        <v>42636</v>
      </c>
      <c r="M431" s="115">
        <v>266.05</v>
      </c>
      <c r="N431" s="115">
        <v>271</v>
      </c>
      <c r="O431" s="115">
        <v>265.39999999999998</v>
      </c>
      <c r="P431" s="115">
        <v>270</v>
      </c>
      <c r="Q431" s="115">
        <v>266.05</v>
      </c>
      <c r="R431">
        <v>51835</v>
      </c>
    </row>
    <row r="432" spans="1:18" x14ac:dyDescent="0.25">
      <c r="A432" s="169">
        <v>42639</v>
      </c>
      <c r="B432" s="115">
        <v>270</v>
      </c>
      <c r="C432" s="115">
        <v>269.5</v>
      </c>
      <c r="D432" s="115">
        <v>267</v>
      </c>
      <c r="E432" s="115">
        <v>267.5</v>
      </c>
      <c r="F432" s="115">
        <v>269.5</v>
      </c>
      <c r="G432">
        <v>5546</v>
      </c>
      <c r="H432" s="115"/>
      <c r="I432" s="115"/>
      <c r="L432" s="169">
        <v>42639</v>
      </c>
      <c r="M432" s="115">
        <v>268.35000000000002</v>
      </c>
      <c r="N432" s="115">
        <v>269.95</v>
      </c>
      <c r="O432" s="115">
        <v>265.5</v>
      </c>
      <c r="P432" s="115">
        <v>267</v>
      </c>
      <c r="Q432" s="115">
        <v>268.35000000000002</v>
      </c>
      <c r="R432">
        <v>10814</v>
      </c>
    </row>
    <row r="433" spans="1:18" x14ac:dyDescent="0.25">
      <c r="A433" s="169">
        <v>42640</v>
      </c>
      <c r="B433" s="115">
        <v>270</v>
      </c>
      <c r="C433" s="115">
        <v>266.64999999999998</v>
      </c>
      <c r="D433" s="115">
        <v>266.39999999999998</v>
      </c>
      <c r="E433" s="115">
        <v>268.60000000000002</v>
      </c>
      <c r="F433" s="115">
        <v>266.64999999999998</v>
      </c>
      <c r="G433">
        <v>558</v>
      </c>
      <c r="H433" s="115"/>
      <c r="I433" s="115"/>
      <c r="L433" s="169">
        <v>42640</v>
      </c>
      <c r="M433" s="115">
        <v>267.64999999999998</v>
      </c>
      <c r="N433" s="115">
        <v>271</v>
      </c>
      <c r="O433" s="115">
        <v>265.35000000000002</v>
      </c>
      <c r="P433" s="115">
        <v>271</v>
      </c>
      <c r="Q433" s="115">
        <v>267.64999999999998</v>
      </c>
      <c r="R433">
        <v>6836</v>
      </c>
    </row>
    <row r="434" spans="1:18" x14ac:dyDescent="0.25">
      <c r="A434" s="169">
        <v>42641</v>
      </c>
      <c r="B434" s="115">
        <v>272</v>
      </c>
      <c r="C434" s="115">
        <v>269.8</v>
      </c>
      <c r="D434" s="115">
        <v>261</v>
      </c>
      <c r="E434" s="115">
        <v>270.10000000000002</v>
      </c>
      <c r="F434" s="115">
        <v>269.8</v>
      </c>
      <c r="G434">
        <v>3399</v>
      </c>
      <c r="H434" s="115"/>
      <c r="I434" s="115"/>
      <c r="L434" s="169">
        <v>42641</v>
      </c>
      <c r="M434" s="115">
        <v>267.8</v>
      </c>
      <c r="N434" s="115">
        <v>271.89999999999998</v>
      </c>
      <c r="O434" s="115">
        <v>260.25</v>
      </c>
      <c r="P434" s="115">
        <v>269</v>
      </c>
      <c r="Q434" s="115">
        <v>267.8</v>
      </c>
      <c r="R434">
        <v>30928</v>
      </c>
    </row>
    <row r="435" spans="1:18" x14ac:dyDescent="0.25">
      <c r="A435" s="169">
        <v>42642</v>
      </c>
      <c r="B435" s="115">
        <v>271.95</v>
      </c>
      <c r="C435" s="115">
        <v>257</v>
      </c>
      <c r="D435" s="115">
        <v>256.3</v>
      </c>
      <c r="E435" s="115">
        <v>271.95</v>
      </c>
      <c r="F435" s="115">
        <v>257</v>
      </c>
      <c r="G435">
        <v>8421</v>
      </c>
      <c r="H435" s="115"/>
      <c r="I435" s="115"/>
      <c r="L435" s="169">
        <v>42642</v>
      </c>
      <c r="M435" s="115">
        <v>258.14999999999998</v>
      </c>
      <c r="N435" s="115">
        <v>273.14999999999998</v>
      </c>
      <c r="O435" s="115">
        <v>255.55</v>
      </c>
      <c r="P435" s="115">
        <v>269.89999999999998</v>
      </c>
      <c r="Q435" s="115">
        <v>258.14999999999998</v>
      </c>
      <c r="R435">
        <v>22759</v>
      </c>
    </row>
    <row r="436" spans="1:18" x14ac:dyDescent="0.25">
      <c r="A436" s="169">
        <v>42643</v>
      </c>
      <c r="B436" s="115">
        <v>267</v>
      </c>
      <c r="C436" s="115">
        <v>257.5</v>
      </c>
      <c r="D436" s="115">
        <v>255.1</v>
      </c>
      <c r="E436" s="115">
        <v>262.85000000000002</v>
      </c>
      <c r="F436" s="115">
        <v>257.5</v>
      </c>
      <c r="G436">
        <v>1971</v>
      </c>
      <c r="H436" s="115"/>
      <c r="I436" s="115"/>
      <c r="L436" s="169">
        <v>42643</v>
      </c>
      <c r="M436" s="115">
        <v>257.14999999999998</v>
      </c>
      <c r="N436" s="115">
        <v>261.89999999999998</v>
      </c>
      <c r="O436" s="115">
        <v>253</v>
      </c>
      <c r="P436" s="115">
        <v>260</v>
      </c>
      <c r="Q436" s="115">
        <v>257.14999999999998</v>
      </c>
      <c r="R436">
        <v>13999</v>
      </c>
    </row>
    <row r="437" spans="1:18" x14ac:dyDescent="0.25">
      <c r="A437" s="169">
        <v>42646</v>
      </c>
      <c r="B437" s="115">
        <v>265</v>
      </c>
      <c r="C437" s="115">
        <v>260.45</v>
      </c>
      <c r="D437" s="115">
        <v>258</v>
      </c>
      <c r="E437" s="115">
        <v>261.64999999999998</v>
      </c>
      <c r="F437" s="115">
        <v>260.45</v>
      </c>
      <c r="G437">
        <v>4060</v>
      </c>
      <c r="H437" s="115"/>
      <c r="I437" s="115"/>
      <c r="L437" s="169">
        <v>42646</v>
      </c>
      <c r="M437" s="115">
        <v>259.64999999999998</v>
      </c>
      <c r="N437" s="115">
        <v>264.8</v>
      </c>
      <c r="O437" s="115">
        <v>257.14999999999998</v>
      </c>
      <c r="P437" s="115">
        <v>259.14999999999998</v>
      </c>
      <c r="Q437" s="115">
        <v>259.64999999999998</v>
      </c>
      <c r="R437">
        <v>17364</v>
      </c>
    </row>
    <row r="438" spans="1:18" x14ac:dyDescent="0.25">
      <c r="A438" s="169">
        <v>42647</v>
      </c>
      <c r="B438" s="115">
        <v>268</v>
      </c>
      <c r="C438" s="115">
        <v>264</v>
      </c>
      <c r="D438" s="115">
        <v>263</v>
      </c>
      <c r="E438" s="115">
        <v>263.35000000000002</v>
      </c>
      <c r="F438" s="115">
        <v>264</v>
      </c>
      <c r="G438">
        <v>3906</v>
      </c>
      <c r="H438" s="115"/>
      <c r="I438" s="115"/>
      <c r="L438" s="169">
        <v>42647</v>
      </c>
      <c r="M438" s="115">
        <v>265.5</v>
      </c>
      <c r="N438" s="115">
        <v>270</v>
      </c>
      <c r="O438" s="115">
        <v>262.5</v>
      </c>
      <c r="P438" s="115">
        <v>262.5</v>
      </c>
      <c r="Q438" s="115">
        <v>265.5</v>
      </c>
      <c r="R438">
        <v>57169</v>
      </c>
    </row>
    <row r="439" spans="1:18" x14ac:dyDescent="0.25">
      <c r="A439" s="169">
        <v>42648</v>
      </c>
      <c r="B439" s="115">
        <v>273</v>
      </c>
      <c r="C439" s="115">
        <v>270</v>
      </c>
      <c r="D439" s="115">
        <v>266</v>
      </c>
      <c r="E439" s="115">
        <v>267.3</v>
      </c>
      <c r="F439" s="115">
        <v>270</v>
      </c>
      <c r="G439">
        <v>2469</v>
      </c>
      <c r="H439" s="115"/>
      <c r="I439" s="115"/>
      <c r="L439" s="169">
        <v>42648</v>
      </c>
      <c r="M439" s="115">
        <v>269.8</v>
      </c>
      <c r="N439" s="115">
        <v>272</v>
      </c>
      <c r="O439" s="115">
        <v>265.3</v>
      </c>
      <c r="P439" s="115">
        <v>266.05</v>
      </c>
      <c r="Q439" s="115">
        <v>269.8</v>
      </c>
      <c r="R439">
        <v>17083</v>
      </c>
    </row>
    <row r="440" spans="1:18" x14ac:dyDescent="0.25">
      <c r="A440" s="169">
        <v>42649</v>
      </c>
      <c r="B440" s="115">
        <v>272.8</v>
      </c>
      <c r="C440" s="115">
        <v>266.39999999999998</v>
      </c>
      <c r="D440" s="115">
        <v>265.05</v>
      </c>
      <c r="E440" s="115">
        <v>272.8</v>
      </c>
      <c r="F440" s="115">
        <v>266.39999999999998</v>
      </c>
      <c r="G440">
        <v>4534</v>
      </c>
      <c r="H440" s="115"/>
      <c r="I440" s="115"/>
      <c r="L440" s="169">
        <v>42649</v>
      </c>
      <c r="M440" s="115">
        <v>266.3</v>
      </c>
      <c r="N440" s="115">
        <v>272.8</v>
      </c>
      <c r="O440" s="115">
        <v>265.8</v>
      </c>
      <c r="P440" s="115">
        <v>272.8</v>
      </c>
      <c r="Q440" s="115">
        <v>266.3</v>
      </c>
      <c r="R440">
        <v>16313</v>
      </c>
    </row>
    <row r="441" spans="1:18" x14ac:dyDescent="0.25">
      <c r="A441" s="169">
        <v>42650</v>
      </c>
      <c r="B441" s="115">
        <v>270</v>
      </c>
      <c r="C441" s="115">
        <v>265.95</v>
      </c>
      <c r="D441" s="115">
        <v>262.89999999999998</v>
      </c>
      <c r="E441" s="115">
        <v>266</v>
      </c>
      <c r="F441" s="115">
        <v>265.95</v>
      </c>
      <c r="G441">
        <v>13314</v>
      </c>
      <c r="H441" s="115"/>
      <c r="I441" s="115"/>
      <c r="L441" s="169">
        <v>42650</v>
      </c>
      <c r="M441" s="115">
        <v>265.05</v>
      </c>
      <c r="N441" s="115">
        <v>270</v>
      </c>
      <c r="O441" s="115">
        <v>263.55</v>
      </c>
      <c r="P441" s="115">
        <v>266.5</v>
      </c>
      <c r="Q441" s="115">
        <v>265.05</v>
      </c>
      <c r="R441">
        <v>55026</v>
      </c>
    </row>
    <row r="442" spans="1:18" x14ac:dyDescent="0.25">
      <c r="A442" s="169">
        <v>42653</v>
      </c>
      <c r="B442" s="115">
        <v>267.89999999999998</v>
      </c>
      <c r="C442" s="115">
        <v>263.55</v>
      </c>
      <c r="D442" s="115">
        <v>263</v>
      </c>
      <c r="E442" s="115">
        <v>267</v>
      </c>
      <c r="F442" s="115">
        <v>263.55</v>
      </c>
      <c r="G442">
        <v>4385</v>
      </c>
      <c r="H442" s="115"/>
      <c r="I442" s="115"/>
      <c r="L442" s="169">
        <v>42653</v>
      </c>
      <c r="M442" s="115">
        <v>263.85000000000002</v>
      </c>
      <c r="N442" s="115">
        <v>268.85000000000002</v>
      </c>
      <c r="O442" s="115">
        <v>262.3</v>
      </c>
      <c r="P442" s="115">
        <v>268.85000000000002</v>
      </c>
      <c r="Q442" s="115">
        <v>263.85000000000002</v>
      </c>
      <c r="R442">
        <v>22822</v>
      </c>
    </row>
    <row r="443" spans="1:18" x14ac:dyDescent="0.25">
      <c r="A443" s="169">
        <v>42656</v>
      </c>
      <c r="B443" s="115">
        <v>267.5</v>
      </c>
      <c r="C443" s="115">
        <v>259.75</v>
      </c>
      <c r="D443" s="115">
        <v>258.14999999999998</v>
      </c>
      <c r="E443" s="115">
        <v>263.5</v>
      </c>
      <c r="F443" s="115">
        <v>259.75</v>
      </c>
      <c r="G443">
        <v>5649</v>
      </c>
      <c r="H443" s="115"/>
      <c r="I443" s="115"/>
      <c r="L443" s="169">
        <v>42656</v>
      </c>
      <c r="M443" s="115">
        <v>259.89999999999998</v>
      </c>
      <c r="N443" s="115">
        <v>268</v>
      </c>
      <c r="O443" s="115">
        <v>257.35000000000002</v>
      </c>
      <c r="P443" s="115">
        <v>268</v>
      </c>
      <c r="Q443" s="115">
        <v>259.89999999999998</v>
      </c>
      <c r="R443">
        <v>14420</v>
      </c>
    </row>
    <row r="444" spans="1:18" x14ac:dyDescent="0.25">
      <c r="A444" s="169">
        <v>42657</v>
      </c>
      <c r="B444" s="115">
        <v>259.95</v>
      </c>
      <c r="C444" s="115">
        <v>257.89999999999998</v>
      </c>
      <c r="D444" s="115">
        <v>255</v>
      </c>
      <c r="E444" s="115">
        <v>259.95</v>
      </c>
      <c r="F444" s="115">
        <v>257.89999999999998</v>
      </c>
      <c r="G444">
        <v>897</v>
      </c>
      <c r="H444" s="115"/>
      <c r="I444" s="115"/>
      <c r="L444" s="169">
        <v>42657</v>
      </c>
      <c r="M444" s="115">
        <v>258.64999999999998</v>
      </c>
      <c r="N444" s="115">
        <v>264.3</v>
      </c>
      <c r="O444" s="115">
        <v>258</v>
      </c>
      <c r="P444" s="115">
        <v>264.3</v>
      </c>
      <c r="Q444" s="115">
        <v>258.64999999999998</v>
      </c>
      <c r="R444">
        <v>12088</v>
      </c>
    </row>
    <row r="445" spans="1:18" x14ac:dyDescent="0.25">
      <c r="A445" s="169">
        <v>42660</v>
      </c>
      <c r="B445" s="115">
        <v>260</v>
      </c>
      <c r="C445" s="115">
        <v>256.39999999999998</v>
      </c>
      <c r="D445" s="115">
        <v>255</v>
      </c>
      <c r="E445" s="115">
        <v>259.5</v>
      </c>
      <c r="F445" s="115">
        <v>256.39999999999998</v>
      </c>
      <c r="G445">
        <v>6374</v>
      </c>
      <c r="H445" s="115"/>
      <c r="I445" s="115"/>
      <c r="L445" s="169">
        <v>42660</v>
      </c>
      <c r="M445" s="115">
        <v>255.65</v>
      </c>
      <c r="N445" s="115">
        <v>261.95</v>
      </c>
      <c r="O445" s="115">
        <v>255.05</v>
      </c>
      <c r="P445" s="115">
        <v>261.95</v>
      </c>
      <c r="Q445" s="115">
        <v>255.65</v>
      </c>
      <c r="R445">
        <v>17639</v>
      </c>
    </row>
    <row r="446" spans="1:18" x14ac:dyDescent="0.25">
      <c r="A446" s="169">
        <v>42661</v>
      </c>
      <c r="B446" s="115">
        <v>271.75</v>
      </c>
      <c r="C446" s="115">
        <v>269</v>
      </c>
      <c r="D446" s="115">
        <v>257</v>
      </c>
      <c r="E446" s="115">
        <v>257</v>
      </c>
      <c r="F446" s="115">
        <v>269</v>
      </c>
      <c r="G446">
        <v>4619</v>
      </c>
      <c r="H446" s="115"/>
      <c r="I446" s="115"/>
      <c r="L446" s="169">
        <v>42661</v>
      </c>
      <c r="M446" s="115">
        <v>268.39999999999998</v>
      </c>
      <c r="N446" s="115">
        <v>271</v>
      </c>
      <c r="O446" s="115">
        <v>256</v>
      </c>
      <c r="P446" s="115">
        <v>259.45</v>
      </c>
      <c r="Q446" s="115">
        <v>268.39999999999998</v>
      </c>
      <c r="R446">
        <v>52072</v>
      </c>
    </row>
    <row r="447" spans="1:18" x14ac:dyDescent="0.25">
      <c r="A447" s="169">
        <v>42662</v>
      </c>
      <c r="B447" s="115">
        <v>284.8</v>
      </c>
      <c r="C447" s="115">
        <v>281.10000000000002</v>
      </c>
      <c r="D447" s="115">
        <v>271.39999999999998</v>
      </c>
      <c r="E447" s="115">
        <v>274</v>
      </c>
      <c r="F447" s="115">
        <v>281.10000000000002</v>
      </c>
      <c r="G447">
        <v>18588</v>
      </c>
      <c r="H447" s="115"/>
      <c r="I447" s="115"/>
      <c r="L447" s="169">
        <v>42662</v>
      </c>
      <c r="M447" s="115">
        <v>280.5</v>
      </c>
      <c r="N447" s="115">
        <v>284</v>
      </c>
      <c r="O447" s="115">
        <v>270</v>
      </c>
      <c r="P447" s="115">
        <v>271</v>
      </c>
      <c r="Q447" s="115">
        <v>280.5</v>
      </c>
      <c r="R447">
        <v>80951</v>
      </c>
    </row>
    <row r="448" spans="1:18" x14ac:dyDescent="0.25">
      <c r="A448" s="169">
        <v>42663</v>
      </c>
      <c r="B448" s="115">
        <v>285</v>
      </c>
      <c r="C448" s="115">
        <v>279</v>
      </c>
      <c r="D448" s="115">
        <v>276.14999999999998</v>
      </c>
      <c r="E448" s="115">
        <v>282</v>
      </c>
      <c r="F448" s="115">
        <v>279</v>
      </c>
      <c r="G448">
        <v>7698</v>
      </c>
      <c r="H448" s="115"/>
      <c r="I448" s="115"/>
      <c r="L448" s="169">
        <v>42663</v>
      </c>
      <c r="M448" s="115">
        <v>281.05</v>
      </c>
      <c r="N448" s="115">
        <v>285</v>
      </c>
      <c r="O448" s="115">
        <v>276.45</v>
      </c>
      <c r="P448" s="115">
        <v>284</v>
      </c>
      <c r="Q448" s="115">
        <v>281.05</v>
      </c>
      <c r="R448">
        <v>30582</v>
      </c>
    </row>
    <row r="449" spans="1:18" x14ac:dyDescent="0.25">
      <c r="A449" s="169">
        <v>42664</v>
      </c>
      <c r="B449" s="115">
        <v>287</v>
      </c>
      <c r="C449" s="115">
        <v>285.10000000000002</v>
      </c>
      <c r="D449" s="115">
        <v>276</v>
      </c>
      <c r="E449" s="115">
        <v>279</v>
      </c>
      <c r="F449" s="115">
        <v>285.10000000000002</v>
      </c>
      <c r="G449">
        <v>8189</v>
      </c>
      <c r="H449" s="115"/>
      <c r="I449" s="115"/>
      <c r="L449" s="169">
        <v>42664</v>
      </c>
      <c r="M449" s="115">
        <v>284.5</v>
      </c>
      <c r="N449" s="115">
        <v>286.85000000000002</v>
      </c>
      <c r="O449" s="115">
        <v>277.35000000000002</v>
      </c>
      <c r="P449" s="115">
        <v>278</v>
      </c>
      <c r="Q449" s="115">
        <v>284.5</v>
      </c>
      <c r="R449">
        <v>33088</v>
      </c>
    </row>
    <row r="450" spans="1:18" x14ac:dyDescent="0.25">
      <c r="A450" s="169">
        <v>42667</v>
      </c>
      <c r="B450" s="115">
        <v>293.3</v>
      </c>
      <c r="C450" s="115">
        <v>290.2</v>
      </c>
      <c r="D450" s="115">
        <v>285.05</v>
      </c>
      <c r="E450" s="115">
        <v>289</v>
      </c>
      <c r="F450" s="115">
        <v>290.2</v>
      </c>
      <c r="G450">
        <v>9239</v>
      </c>
      <c r="H450" s="115"/>
      <c r="I450" s="115"/>
      <c r="L450" s="169">
        <v>42667</v>
      </c>
      <c r="M450" s="115">
        <v>289.3</v>
      </c>
      <c r="N450" s="115">
        <v>294</v>
      </c>
      <c r="O450" s="115">
        <v>285.10000000000002</v>
      </c>
      <c r="P450" s="115">
        <v>287.75</v>
      </c>
      <c r="Q450" s="115">
        <v>289.3</v>
      </c>
      <c r="R450">
        <v>48547</v>
      </c>
    </row>
    <row r="451" spans="1:18" x14ac:dyDescent="0.25">
      <c r="A451" s="169">
        <v>42668</v>
      </c>
      <c r="B451" s="115">
        <v>291</v>
      </c>
      <c r="C451" s="115">
        <v>290.05</v>
      </c>
      <c r="D451" s="115">
        <v>284.5</v>
      </c>
      <c r="E451" s="115">
        <v>289</v>
      </c>
      <c r="F451" s="115">
        <v>290.05</v>
      </c>
      <c r="G451">
        <v>7782</v>
      </c>
      <c r="H451" s="115"/>
      <c r="I451" s="115"/>
      <c r="L451" s="169">
        <v>42668</v>
      </c>
      <c r="M451" s="115">
        <v>289.05</v>
      </c>
      <c r="N451" s="115">
        <v>290</v>
      </c>
      <c r="O451" s="115">
        <v>283</v>
      </c>
      <c r="P451" s="115">
        <v>290</v>
      </c>
      <c r="Q451" s="115">
        <v>289.05</v>
      </c>
      <c r="R451">
        <v>14548</v>
      </c>
    </row>
    <row r="452" spans="1:18" x14ac:dyDescent="0.25">
      <c r="A452" s="169">
        <v>42669</v>
      </c>
      <c r="B452" s="115">
        <v>290.35000000000002</v>
      </c>
      <c r="C452" s="115">
        <v>287.64999999999998</v>
      </c>
      <c r="D452" s="115">
        <v>286.10000000000002</v>
      </c>
      <c r="E452" s="115">
        <v>288.14999999999998</v>
      </c>
      <c r="F452" s="115">
        <v>287.64999999999998</v>
      </c>
      <c r="G452">
        <v>3205</v>
      </c>
      <c r="H452" s="115"/>
      <c r="I452" s="115"/>
      <c r="L452" s="169">
        <v>42669</v>
      </c>
      <c r="M452" s="115">
        <v>286.5</v>
      </c>
      <c r="N452" s="115">
        <v>291</v>
      </c>
      <c r="O452" s="115">
        <v>285</v>
      </c>
      <c r="P452" s="115">
        <v>288.60000000000002</v>
      </c>
      <c r="Q452" s="115">
        <v>286.5</v>
      </c>
      <c r="R452">
        <v>13160</v>
      </c>
    </row>
    <row r="453" spans="1:18" x14ac:dyDescent="0.25">
      <c r="A453" s="169">
        <v>42670</v>
      </c>
      <c r="B453" s="115">
        <v>290.7</v>
      </c>
      <c r="C453" s="115">
        <v>280.5</v>
      </c>
      <c r="D453" s="115">
        <v>277.05</v>
      </c>
      <c r="E453" s="115">
        <v>287</v>
      </c>
      <c r="F453" s="115">
        <v>280.5</v>
      </c>
      <c r="G453">
        <v>12013</v>
      </c>
      <c r="H453" s="115"/>
      <c r="I453" s="115"/>
      <c r="L453" s="169">
        <v>42670</v>
      </c>
      <c r="M453" s="115">
        <v>282.05</v>
      </c>
      <c r="N453" s="115">
        <v>292</v>
      </c>
      <c r="O453" s="115">
        <v>278</v>
      </c>
      <c r="P453" s="115">
        <v>292</v>
      </c>
      <c r="Q453" s="115">
        <v>282.05</v>
      </c>
      <c r="R453">
        <v>8010</v>
      </c>
    </row>
    <row r="454" spans="1:18" x14ac:dyDescent="0.25">
      <c r="A454" s="169">
        <v>42671</v>
      </c>
      <c r="B454" s="115">
        <v>289.85000000000002</v>
      </c>
      <c r="C454" s="115">
        <v>286.45</v>
      </c>
      <c r="D454" s="115">
        <v>278</v>
      </c>
      <c r="E454" s="115">
        <v>278</v>
      </c>
      <c r="F454" s="115">
        <v>286.45</v>
      </c>
      <c r="G454">
        <v>3834</v>
      </c>
      <c r="H454" s="115"/>
      <c r="I454" s="115"/>
      <c r="L454" s="169">
        <v>42671</v>
      </c>
      <c r="M454" s="115">
        <v>285.05</v>
      </c>
      <c r="N454" s="115">
        <v>290</v>
      </c>
      <c r="O454" s="115">
        <v>282.05</v>
      </c>
      <c r="P454" s="115">
        <v>282.05</v>
      </c>
      <c r="Q454" s="115">
        <v>285.05</v>
      </c>
      <c r="R454">
        <v>12726</v>
      </c>
    </row>
    <row r="455" spans="1:18" x14ac:dyDescent="0.25">
      <c r="A455" s="169">
        <v>42673</v>
      </c>
      <c r="B455" s="115">
        <v>295.8</v>
      </c>
      <c r="C455" s="115">
        <v>290.7</v>
      </c>
      <c r="D455" s="115">
        <v>286.3</v>
      </c>
      <c r="E455" s="115">
        <v>289.8</v>
      </c>
      <c r="F455" s="115">
        <v>290.7</v>
      </c>
      <c r="G455">
        <v>3659</v>
      </c>
      <c r="H455" s="115"/>
      <c r="I455" s="115"/>
      <c r="L455" s="169">
        <v>42673</v>
      </c>
      <c r="M455" s="115">
        <v>289.8</v>
      </c>
      <c r="N455" s="115">
        <v>292.89999999999998</v>
      </c>
      <c r="O455" s="115">
        <v>288</v>
      </c>
      <c r="P455" s="115">
        <v>289.45</v>
      </c>
      <c r="Q455" s="115">
        <v>289.8</v>
      </c>
      <c r="R455">
        <v>9266</v>
      </c>
    </row>
    <row r="456" spans="1:18" x14ac:dyDescent="0.25">
      <c r="A456" s="169">
        <v>42675</v>
      </c>
      <c r="B456" s="115">
        <v>296</v>
      </c>
      <c r="C456" s="115">
        <v>282.39999999999998</v>
      </c>
      <c r="D456" s="115">
        <v>280</v>
      </c>
      <c r="E456" s="115">
        <v>293</v>
      </c>
      <c r="F456" s="115">
        <v>282.39999999999998</v>
      </c>
      <c r="G456">
        <v>3938</v>
      </c>
      <c r="H456" s="115"/>
      <c r="I456" s="115"/>
      <c r="L456" s="169">
        <v>42675</v>
      </c>
      <c r="M456" s="115">
        <v>282.25</v>
      </c>
      <c r="N456" s="115">
        <v>292.95</v>
      </c>
      <c r="O456" s="115">
        <v>279</v>
      </c>
      <c r="P456" s="115">
        <v>291.2</v>
      </c>
      <c r="Q456" s="115">
        <v>282.25</v>
      </c>
      <c r="R456">
        <v>14895</v>
      </c>
    </row>
    <row r="457" spans="1:18" x14ac:dyDescent="0.25">
      <c r="A457" s="169">
        <v>42676</v>
      </c>
      <c r="B457" s="115">
        <v>288.25</v>
      </c>
      <c r="C457" s="115">
        <v>281</v>
      </c>
      <c r="D457" s="115">
        <v>280</v>
      </c>
      <c r="E457" s="115">
        <v>288.2</v>
      </c>
      <c r="F457" s="115">
        <v>281</v>
      </c>
      <c r="G457">
        <v>3151</v>
      </c>
      <c r="H457" s="115"/>
      <c r="I457" s="115"/>
      <c r="L457" s="169">
        <v>42676</v>
      </c>
      <c r="M457" s="115">
        <v>280.60000000000002</v>
      </c>
      <c r="N457" s="115">
        <v>287.60000000000002</v>
      </c>
      <c r="O457" s="115">
        <v>278.60000000000002</v>
      </c>
      <c r="P457" s="115">
        <v>284.85000000000002</v>
      </c>
      <c r="Q457" s="115">
        <v>280.60000000000002</v>
      </c>
      <c r="R457">
        <v>19505</v>
      </c>
    </row>
    <row r="458" spans="1:18" x14ac:dyDescent="0.25">
      <c r="A458" s="169">
        <v>42677</v>
      </c>
      <c r="B458" s="115">
        <v>283.7</v>
      </c>
      <c r="C458" s="115">
        <v>273.8</v>
      </c>
      <c r="D458" s="115">
        <v>272</v>
      </c>
      <c r="E458" s="115">
        <v>283.64999999999998</v>
      </c>
      <c r="F458" s="115">
        <v>273.8</v>
      </c>
      <c r="G458">
        <v>4738</v>
      </c>
      <c r="H458" s="115"/>
      <c r="I458" s="115"/>
      <c r="L458" s="169">
        <v>42677</v>
      </c>
      <c r="M458" s="115">
        <v>271.89999999999998</v>
      </c>
      <c r="N458" s="115">
        <v>284.55</v>
      </c>
      <c r="O458" s="115">
        <v>270.7</v>
      </c>
      <c r="P458" s="115">
        <v>278</v>
      </c>
      <c r="Q458" s="115">
        <v>271.89999999999998</v>
      </c>
      <c r="R458">
        <v>16059</v>
      </c>
    </row>
    <row r="459" spans="1:18" x14ac:dyDescent="0.25">
      <c r="A459" s="169">
        <v>42678</v>
      </c>
      <c r="B459" s="115">
        <v>273.5</v>
      </c>
      <c r="C459" s="115">
        <v>269.2</v>
      </c>
      <c r="D459" s="115">
        <v>263</v>
      </c>
      <c r="E459" s="115">
        <v>272</v>
      </c>
      <c r="F459" s="115">
        <v>269.2</v>
      </c>
      <c r="G459">
        <v>2342</v>
      </c>
      <c r="H459" s="115"/>
      <c r="I459" s="115"/>
      <c r="L459" s="169">
        <v>42678</v>
      </c>
      <c r="M459" s="115">
        <v>268</v>
      </c>
      <c r="N459" s="115">
        <v>275.7</v>
      </c>
      <c r="O459" s="115">
        <v>265.10000000000002</v>
      </c>
      <c r="P459" s="115">
        <v>271</v>
      </c>
      <c r="Q459" s="115">
        <v>268</v>
      </c>
      <c r="R459">
        <v>19622</v>
      </c>
    </row>
    <row r="460" spans="1:18" x14ac:dyDescent="0.25">
      <c r="A460" s="169">
        <v>42681</v>
      </c>
      <c r="B460" s="115">
        <v>280</v>
      </c>
      <c r="C460" s="115">
        <v>272.5</v>
      </c>
      <c r="D460" s="115">
        <v>270.05</v>
      </c>
      <c r="E460" s="115">
        <v>277</v>
      </c>
      <c r="F460" s="115">
        <v>272.5</v>
      </c>
      <c r="G460">
        <v>3903</v>
      </c>
      <c r="H460" s="115"/>
      <c r="I460" s="115"/>
      <c r="L460" s="169">
        <v>42681</v>
      </c>
      <c r="M460" s="115">
        <v>271.14999999999998</v>
      </c>
      <c r="N460" s="115">
        <v>277.95</v>
      </c>
      <c r="O460" s="115">
        <v>269.05</v>
      </c>
      <c r="P460" s="115">
        <v>277.85000000000002</v>
      </c>
      <c r="Q460" s="115">
        <v>271.14999999999998</v>
      </c>
      <c r="R460">
        <v>8354</v>
      </c>
    </row>
    <row r="461" spans="1:18" x14ac:dyDescent="0.25">
      <c r="A461" s="169">
        <v>42682</v>
      </c>
      <c r="B461" s="115">
        <v>275</v>
      </c>
      <c r="C461" s="115">
        <v>274.75</v>
      </c>
      <c r="D461" s="115">
        <v>268</v>
      </c>
      <c r="E461" s="115">
        <v>270.10000000000002</v>
      </c>
      <c r="F461" s="115">
        <v>274.75</v>
      </c>
      <c r="G461">
        <v>2602</v>
      </c>
      <c r="H461" s="115"/>
      <c r="I461" s="115"/>
      <c r="L461" s="169">
        <v>42682</v>
      </c>
      <c r="M461" s="115">
        <v>274.39999999999998</v>
      </c>
      <c r="N461" s="115">
        <v>277</v>
      </c>
      <c r="O461" s="115">
        <v>271</v>
      </c>
      <c r="P461" s="115">
        <v>271.14999999999998</v>
      </c>
      <c r="Q461" s="115">
        <v>274.39999999999998</v>
      </c>
      <c r="R461">
        <v>5367</v>
      </c>
    </row>
    <row r="462" spans="1:18" x14ac:dyDescent="0.25">
      <c r="A462" s="169">
        <v>42683</v>
      </c>
      <c r="B462" s="115">
        <v>274.39999999999998</v>
      </c>
      <c r="C462" s="115">
        <v>273.7</v>
      </c>
      <c r="D462" s="115">
        <v>240</v>
      </c>
      <c r="E462" s="115">
        <v>260</v>
      </c>
      <c r="F462" s="115">
        <v>273.7</v>
      </c>
      <c r="G462">
        <v>3335</v>
      </c>
      <c r="H462" s="115"/>
      <c r="I462" s="115"/>
      <c r="L462" s="169">
        <v>42683</v>
      </c>
      <c r="M462" s="115">
        <v>274.45</v>
      </c>
      <c r="N462" s="115">
        <v>278.85000000000002</v>
      </c>
      <c r="O462" s="115">
        <v>235.1</v>
      </c>
      <c r="P462" s="115">
        <v>265</v>
      </c>
      <c r="Q462" s="115">
        <v>274.45</v>
      </c>
      <c r="R462">
        <v>17074</v>
      </c>
    </row>
    <row r="463" spans="1:18" x14ac:dyDescent="0.25">
      <c r="A463" s="169">
        <v>42684</v>
      </c>
      <c r="B463" s="115">
        <v>272.75</v>
      </c>
      <c r="C463" s="115">
        <v>270.64999999999998</v>
      </c>
      <c r="D463" s="115">
        <v>268.05</v>
      </c>
      <c r="E463" s="115">
        <v>270</v>
      </c>
      <c r="F463" s="115">
        <v>270.64999999999998</v>
      </c>
      <c r="G463">
        <v>3166</v>
      </c>
      <c r="H463" s="115"/>
      <c r="I463" s="115"/>
      <c r="L463" s="169">
        <v>42684</v>
      </c>
      <c r="M463" s="115">
        <v>269.25</v>
      </c>
      <c r="N463" s="115">
        <v>275</v>
      </c>
      <c r="O463" s="115">
        <v>265.25</v>
      </c>
      <c r="P463" s="115">
        <v>274.45</v>
      </c>
      <c r="Q463" s="115">
        <v>269.25</v>
      </c>
      <c r="R463">
        <v>24211</v>
      </c>
    </row>
    <row r="464" spans="1:18" x14ac:dyDescent="0.25">
      <c r="A464" s="169">
        <v>42685</v>
      </c>
      <c r="B464" s="115">
        <v>293</v>
      </c>
      <c r="C464" s="115">
        <v>259.8</v>
      </c>
      <c r="D464" s="115">
        <v>254.2</v>
      </c>
      <c r="E464" s="115">
        <v>267.7</v>
      </c>
      <c r="F464" s="115">
        <v>259.8</v>
      </c>
      <c r="G464">
        <v>3619</v>
      </c>
      <c r="H464" s="115"/>
      <c r="I464" s="115"/>
      <c r="L464" s="169">
        <v>42685</v>
      </c>
      <c r="M464" s="115">
        <v>257.85000000000002</v>
      </c>
      <c r="N464" s="115">
        <v>269</v>
      </c>
      <c r="O464" s="115">
        <v>255.05</v>
      </c>
      <c r="P464" s="115">
        <v>269</v>
      </c>
      <c r="Q464" s="115">
        <v>257.85000000000002</v>
      </c>
      <c r="R464">
        <v>20047</v>
      </c>
    </row>
    <row r="465" spans="1:18" x14ac:dyDescent="0.25">
      <c r="A465" s="169">
        <v>42689</v>
      </c>
      <c r="B465" s="115">
        <v>257.64999999999998</v>
      </c>
      <c r="C465" s="115">
        <v>238.25</v>
      </c>
      <c r="D465" s="115">
        <v>230</v>
      </c>
      <c r="E465" s="115">
        <v>257.64999999999998</v>
      </c>
      <c r="F465" s="115">
        <v>238.25</v>
      </c>
      <c r="G465">
        <v>5384</v>
      </c>
      <c r="H465" s="115"/>
      <c r="I465" s="115"/>
      <c r="L465" s="169">
        <v>42689</v>
      </c>
      <c r="M465" s="115">
        <v>236</v>
      </c>
      <c r="N465" s="115">
        <v>256</v>
      </c>
      <c r="O465" s="115">
        <v>226.35</v>
      </c>
      <c r="P465" s="115">
        <v>256</v>
      </c>
      <c r="Q465" s="115">
        <v>236</v>
      </c>
      <c r="R465">
        <v>61347</v>
      </c>
    </row>
    <row r="466" spans="1:18" x14ac:dyDescent="0.25">
      <c r="A466" s="169">
        <v>42690</v>
      </c>
      <c r="B466" s="115">
        <v>250</v>
      </c>
      <c r="C466" s="115">
        <v>241.35</v>
      </c>
      <c r="D466" s="115">
        <v>239</v>
      </c>
      <c r="E466" s="115">
        <v>246.5</v>
      </c>
      <c r="F466" s="115">
        <v>241.35</v>
      </c>
      <c r="G466">
        <v>1487</v>
      </c>
      <c r="H466" s="115"/>
      <c r="I466" s="115"/>
      <c r="L466" s="169">
        <v>42690</v>
      </c>
      <c r="M466" s="115">
        <v>240.65</v>
      </c>
      <c r="N466" s="115">
        <v>249.95</v>
      </c>
      <c r="O466" s="115">
        <v>238</v>
      </c>
      <c r="P466" s="115">
        <v>249.9</v>
      </c>
      <c r="Q466" s="115">
        <v>240.65</v>
      </c>
      <c r="R466">
        <v>9546</v>
      </c>
    </row>
    <row r="467" spans="1:18" x14ac:dyDescent="0.25">
      <c r="A467" s="169">
        <v>42691</v>
      </c>
      <c r="B467" s="115">
        <v>250</v>
      </c>
      <c r="C467" s="115">
        <v>240.7</v>
      </c>
      <c r="D467" s="115">
        <v>239.1</v>
      </c>
      <c r="E467" s="115">
        <v>248</v>
      </c>
      <c r="F467" s="115">
        <v>240.7</v>
      </c>
      <c r="G467">
        <v>1432</v>
      </c>
      <c r="H467" s="115"/>
      <c r="I467" s="115"/>
      <c r="L467" s="169">
        <v>42691</v>
      </c>
      <c r="M467" s="115">
        <v>241.25</v>
      </c>
      <c r="N467" s="115">
        <v>246.05</v>
      </c>
      <c r="O467" s="115">
        <v>238</v>
      </c>
      <c r="P467" s="115">
        <v>240.7</v>
      </c>
      <c r="Q467" s="115">
        <v>241.25</v>
      </c>
      <c r="R467">
        <v>7994</v>
      </c>
    </row>
    <row r="468" spans="1:18" x14ac:dyDescent="0.25">
      <c r="A468" s="169">
        <v>42692</v>
      </c>
      <c r="B468" s="115">
        <v>251</v>
      </c>
      <c r="C468" s="115">
        <v>248.3</v>
      </c>
      <c r="D468" s="115">
        <v>241.1</v>
      </c>
      <c r="E468" s="115">
        <v>241.1</v>
      </c>
      <c r="F468" s="115">
        <v>248.3</v>
      </c>
      <c r="G468">
        <v>3162</v>
      </c>
      <c r="H468" s="115"/>
      <c r="I468" s="115"/>
      <c r="L468" s="169">
        <v>42692</v>
      </c>
      <c r="M468" s="115">
        <v>247.15</v>
      </c>
      <c r="N468" s="115">
        <v>249</v>
      </c>
      <c r="O468" s="115">
        <v>236.1</v>
      </c>
      <c r="P468" s="115">
        <v>240</v>
      </c>
      <c r="Q468" s="115">
        <v>247.15</v>
      </c>
      <c r="R468">
        <v>6766</v>
      </c>
    </row>
    <row r="469" spans="1:18" x14ac:dyDescent="0.25">
      <c r="A469" s="169">
        <v>42695</v>
      </c>
      <c r="B469" s="115">
        <v>244</v>
      </c>
      <c r="C469" s="115">
        <v>231.8</v>
      </c>
      <c r="D469" s="115">
        <v>230</v>
      </c>
      <c r="E469" s="115">
        <v>244</v>
      </c>
      <c r="F469" s="115">
        <v>231.8</v>
      </c>
      <c r="G469">
        <v>3188</v>
      </c>
      <c r="H469" s="115"/>
      <c r="I469" s="115"/>
      <c r="L469" s="169">
        <v>42695</v>
      </c>
      <c r="M469" s="115">
        <v>230.5</v>
      </c>
      <c r="N469" s="115">
        <v>250.4</v>
      </c>
      <c r="O469" s="115">
        <v>228.05</v>
      </c>
      <c r="P469" s="115">
        <v>250.4</v>
      </c>
      <c r="Q469" s="115">
        <v>230.5</v>
      </c>
      <c r="R469">
        <v>16699</v>
      </c>
    </row>
    <row r="470" spans="1:18" x14ac:dyDescent="0.25">
      <c r="A470" s="169">
        <v>42696</v>
      </c>
      <c r="B470" s="115">
        <v>234.55</v>
      </c>
      <c r="C470" s="115">
        <v>230.15</v>
      </c>
      <c r="D470" s="115">
        <v>228.35</v>
      </c>
      <c r="E470" s="115">
        <v>232.95</v>
      </c>
      <c r="F470" s="115">
        <v>230.15</v>
      </c>
      <c r="G470">
        <v>2217</v>
      </c>
      <c r="H470" s="115"/>
      <c r="I470" s="115"/>
      <c r="L470" s="169">
        <v>42696</v>
      </c>
      <c r="M470" s="115">
        <v>231.95</v>
      </c>
      <c r="N470" s="115">
        <v>235.2</v>
      </c>
      <c r="O470" s="115">
        <v>228.05</v>
      </c>
      <c r="P470" s="115">
        <v>234.8</v>
      </c>
      <c r="Q470" s="115">
        <v>231.95</v>
      </c>
      <c r="R470">
        <v>9708</v>
      </c>
    </row>
    <row r="471" spans="1:18" x14ac:dyDescent="0.25">
      <c r="A471" s="169">
        <v>42697</v>
      </c>
      <c r="B471" s="115">
        <v>238</v>
      </c>
      <c r="C471" s="115">
        <v>236.85</v>
      </c>
      <c r="D471" s="115">
        <v>231</v>
      </c>
      <c r="E471" s="115">
        <v>233</v>
      </c>
      <c r="F471" s="115">
        <v>236.85</v>
      </c>
      <c r="G471">
        <v>4030</v>
      </c>
      <c r="H471" s="115"/>
      <c r="I471" s="115"/>
      <c r="L471" s="169">
        <v>42697</v>
      </c>
      <c r="M471" s="115">
        <v>235.6</v>
      </c>
      <c r="N471" s="115">
        <v>238.9</v>
      </c>
      <c r="O471" s="115">
        <v>229.05</v>
      </c>
      <c r="P471" s="115">
        <v>234.05</v>
      </c>
      <c r="Q471" s="115">
        <v>235.6</v>
      </c>
      <c r="R471">
        <v>9893</v>
      </c>
    </row>
    <row r="472" spans="1:18" x14ac:dyDescent="0.25">
      <c r="A472" s="169">
        <v>42698</v>
      </c>
      <c r="B472" s="115">
        <v>239</v>
      </c>
      <c r="C472" s="115">
        <v>237.6</v>
      </c>
      <c r="D472" s="115">
        <v>230.1</v>
      </c>
      <c r="E472" s="115">
        <v>230.1</v>
      </c>
      <c r="F472" s="115">
        <v>237.6</v>
      </c>
      <c r="G472">
        <v>3362</v>
      </c>
      <c r="H472" s="115"/>
      <c r="I472" s="115"/>
      <c r="L472" s="169">
        <v>42698</v>
      </c>
      <c r="M472" s="115">
        <v>236.85</v>
      </c>
      <c r="N472" s="115">
        <v>237.9</v>
      </c>
      <c r="O472" s="115">
        <v>228</v>
      </c>
      <c r="P472" s="115">
        <v>234.4</v>
      </c>
      <c r="Q472" s="115">
        <v>236.85</v>
      </c>
      <c r="R472">
        <v>15263</v>
      </c>
    </row>
    <row r="473" spans="1:18" x14ac:dyDescent="0.25">
      <c r="A473" s="169">
        <v>42699</v>
      </c>
      <c r="B473" s="115">
        <v>254.85</v>
      </c>
      <c r="C473" s="115">
        <v>248.65</v>
      </c>
      <c r="D473" s="115">
        <v>236</v>
      </c>
      <c r="E473" s="115">
        <v>236.25</v>
      </c>
      <c r="F473" s="115">
        <v>248.65</v>
      </c>
      <c r="G473">
        <v>2280</v>
      </c>
      <c r="H473" s="115"/>
      <c r="I473" s="115"/>
      <c r="L473" s="169">
        <v>42699</v>
      </c>
      <c r="M473" s="115">
        <v>250.5</v>
      </c>
      <c r="N473" s="115">
        <v>255</v>
      </c>
      <c r="O473" s="115">
        <v>235.5</v>
      </c>
      <c r="P473" s="115">
        <v>238.7</v>
      </c>
      <c r="Q473" s="115">
        <v>250.5</v>
      </c>
      <c r="R473">
        <v>16424</v>
      </c>
    </row>
    <row r="474" spans="1:18" x14ac:dyDescent="0.25">
      <c r="A474" s="169">
        <v>42702</v>
      </c>
      <c r="B474" s="115">
        <v>252.95</v>
      </c>
      <c r="C474" s="115">
        <v>252.9</v>
      </c>
      <c r="D474" s="115">
        <v>245</v>
      </c>
      <c r="E474" s="115">
        <v>248.25</v>
      </c>
      <c r="F474" s="115">
        <v>252.9</v>
      </c>
      <c r="G474">
        <v>1166</v>
      </c>
      <c r="H474" s="115"/>
      <c r="I474" s="115"/>
      <c r="L474" s="169">
        <v>42702</v>
      </c>
      <c r="M474" s="115">
        <v>250.15</v>
      </c>
      <c r="N474" s="115">
        <v>251.95</v>
      </c>
      <c r="O474" s="115">
        <v>242.6</v>
      </c>
      <c r="P474" s="115">
        <v>250.5</v>
      </c>
      <c r="Q474" s="115">
        <v>250.15</v>
      </c>
      <c r="R474">
        <v>13794</v>
      </c>
    </row>
    <row r="475" spans="1:18" x14ac:dyDescent="0.25">
      <c r="A475" s="169">
        <v>42703</v>
      </c>
      <c r="B475" s="115">
        <v>252.6</v>
      </c>
      <c r="C475" s="115">
        <v>251.85</v>
      </c>
      <c r="D475" s="115">
        <v>248.15</v>
      </c>
      <c r="E475" s="115">
        <v>248.65</v>
      </c>
      <c r="F475" s="115">
        <v>251.85</v>
      </c>
      <c r="G475">
        <v>1277</v>
      </c>
      <c r="H475" s="115"/>
      <c r="I475" s="115"/>
      <c r="L475" s="169">
        <v>42703</v>
      </c>
      <c r="M475" s="115">
        <v>250.1</v>
      </c>
      <c r="N475" s="115">
        <v>257.35000000000002</v>
      </c>
      <c r="O475" s="115">
        <v>249.25</v>
      </c>
      <c r="P475" s="115">
        <v>257.3</v>
      </c>
      <c r="Q475" s="115">
        <v>250.1</v>
      </c>
      <c r="R475">
        <v>7087</v>
      </c>
    </row>
    <row r="476" spans="1:18" x14ac:dyDescent="0.25">
      <c r="A476" s="169">
        <v>42704</v>
      </c>
      <c r="B476" s="115">
        <v>255</v>
      </c>
      <c r="C476" s="115">
        <v>254.2</v>
      </c>
      <c r="D476" s="115">
        <v>251</v>
      </c>
      <c r="E476" s="115">
        <v>253.7</v>
      </c>
      <c r="F476" s="115">
        <v>254.2</v>
      </c>
      <c r="G476">
        <v>1581</v>
      </c>
      <c r="H476" s="115"/>
      <c r="I476" s="115"/>
      <c r="L476" s="169">
        <v>42704</v>
      </c>
      <c r="M476" s="115">
        <v>254.3</v>
      </c>
      <c r="N476" s="115">
        <v>256.5</v>
      </c>
      <c r="O476" s="115">
        <v>250.2</v>
      </c>
      <c r="P476" s="115">
        <v>251.95</v>
      </c>
      <c r="Q476" s="115">
        <v>254.3</v>
      </c>
      <c r="R476">
        <v>7023</v>
      </c>
    </row>
    <row r="477" spans="1:18" x14ac:dyDescent="0.25">
      <c r="A477" s="169">
        <v>42705</v>
      </c>
      <c r="B477" s="115">
        <v>253</v>
      </c>
      <c r="C477" s="115">
        <v>247.45</v>
      </c>
      <c r="D477" s="115">
        <v>245</v>
      </c>
      <c r="E477" s="115">
        <v>251.65</v>
      </c>
      <c r="F477" s="115">
        <v>247.45</v>
      </c>
      <c r="G477">
        <v>1441</v>
      </c>
      <c r="H477" s="115"/>
      <c r="I477" s="115"/>
      <c r="L477" s="169">
        <v>42705</v>
      </c>
      <c r="M477" s="115">
        <v>244.7</v>
      </c>
      <c r="N477" s="115">
        <v>261.14999999999998</v>
      </c>
      <c r="O477" s="115">
        <v>244</v>
      </c>
      <c r="P477" s="115">
        <v>261.14999999999998</v>
      </c>
      <c r="Q477" s="115">
        <v>244.7</v>
      </c>
      <c r="R477">
        <v>26013</v>
      </c>
    </row>
    <row r="478" spans="1:18" x14ac:dyDescent="0.25">
      <c r="A478" s="169">
        <v>42706</v>
      </c>
      <c r="B478" s="115">
        <v>249.5</v>
      </c>
      <c r="C478" s="115">
        <v>247.6</v>
      </c>
      <c r="D478" s="115">
        <v>242.5</v>
      </c>
      <c r="E478" s="115">
        <v>243</v>
      </c>
      <c r="F478" s="115">
        <v>247.6</v>
      </c>
      <c r="G478">
        <v>1444</v>
      </c>
      <c r="H478" s="115"/>
      <c r="I478" s="115"/>
      <c r="L478" s="169">
        <v>42706</v>
      </c>
      <c r="M478" s="115">
        <v>247.45</v>
      </c>
      <c r="N478" s="115">
        <v>249.95</v>
      </c>
      <c r="O478" s="115">
        <v>242</v>
      </c>
      <c r="P478" s="115">
        <v>243.5</v>
      </c>
      <c r="Q478" s="115">
        <v>247.45</v>
      </c>
      <c r="R478">
        <v>3220</v>
      </c>
    </row>
    <row r="479" spans="1:18" x14ac:dyDescent="0.25">
      <c r="A479" s="169">
        <v>42709</v>
      </c>
      <c r="B479" s="115">
        <v>254</v>
      </c>
      <c r="C479" s="115">
        <v>247.85</v>
      </c>
      <c r="D479" s="115">
        <v>242.15</v>
      </c>
      <c r="E479" s="115">
        <v>250.45</v>
      </c>
      <c r="F479" s="115">
        <v>247.85</v>
      </c>
      <c r="G479">
        <v>1126</v>
      </c>
      <c r="H479" s="115"/>
      <c r="I479" s="115"/>
      <c r="L479" s="169">
        <v>42709</v>
      </c>
      <c r="M479" s="115">
        <v>247.95</v>
      </c>
      <c r="N479" s="115">
        <v>254.55</v>
      </c>
      <c r="O479" s="115">
        <v>242.5</v>
      </c>
      <c r="P479" s="115">
        <v>246</v>
      </c>
      <c r="Q479" s="115">
        <v>247.95</v>
      </c>
      <c r="R479">
        <v>8588</v>
      </c>
    </row>
    <row r="480" spans="1:18" x14ac:dyDescent="0.25">
      <c r="A480" s="169">
        <v>42710</v>
      </c>
      <c r="B480" s="115">
        <v>263.89999999999998</v>
      </c>
      <c r="C480" s="115">
        <v>256.64999999999998</v>
      </c>
      <c r="D480" s="115">
        <v>250</v>
      </c>
      <c r="E480" s="115">
        <v>253</v>
      </c>
      <c r="F480" s="115">
        <v>256.64999999999998</v>
      </c>
      <c r="G480">
        <v>1738</v>
      </c>
      <c r="H480" s="115"/>
      <c r="I480" s="115"/>
      <c r="L480" s="169">
        <v>42710</v>
      </c>
      <c r="M480" s="115">
        <v>256.55</v>
      </c>
      <c r="N480" s="115">
        <v>264.2</v>
      </c>
      <c r="O480" s="115">
        <v>248</v>
      </c>
      <c r="P480" s="115">
        <v>248</v>
      </c>
      <c r="Q480" s="115">
        <v>256.55</v>
      </c>
      <c r="R480">
        <v>21866</v>
      </c>
    </row>
    <row r="481" spans="1:18" x14ac:dyDescent="0.25">
      <c r="A481" s="169">
        <v>42711</v>
      </c>
      <c r="B481" s="115">
        <v>256</v>
      </c>
      <c r="C481" s="115">
        <v>253.1</v>
      </c>
      <c r="D481" s="115">
        <v>251.5</v>
      </c>
      <c r="E481" s="115">
        <v>254</v>
      </c>
      <c r="F481" s="115">
        <v>253.1</v>
      </c>
      <c r="G481">
        <v>830</v>
      </c>
      <c r="H481" s="115"/>
      <c r="I481" s="115"/>
      <c r="L481" s="169">
        <v>42711</v>
      </c>
      <c r="M481" s="115">
        <v>252.4</v>
      </c>
      <c r="N481" s="115">
        <v>258</v>
      </c>
      <c r="O481" s="115">
        <v>250.55</v>
      </c>
      <c r="P481" s="115">
        <v>255.55</v>
      </c>
      <c r="Q481" s="115">
        <v>252.4</v>
      </c>
      <c r="R481">
        <v>9579</v>
      </c>
    </row>
    <row r="482" spans="1:18" x14ac:dyDescent="0.25">
      <c r="A482" s="169">
        <v>42712</v>
      </c>
      <c r="B482" s="115">
        <v>255.95</v>
      </c>
      <c r="C482" s="115">
        <v>254.1</v>
      </c>
      <c r="D482" s="115">
        <v>250.75</v>
      </c>
      <c r="E482" s="115">
        <v>250.75</v>
      </c>
      <c r="F482" s="115">
        <v>254.1</v>
      </c>
      <c r="G482">
        <v>2011</v>
      </c>
      <c r="H482" s="115"/>
      <c r="I482" s="115"/>
      <c r="L482" s="169">
        <v>42712</v>
      </c>
      <c r="M482" s="115">
        <v>254.4</v>
      </c>
      <c r="N482" s="115">
        <v>256.89999999999998</v>
      </c>
      <c r="O482" s="115">
        <v>251.05</v>
      </c>
      <c r="P482" s="115">
        <v>252.4</v>
      </c>
      <c r="Q482" s="115">
        <v>254.4</v>
      </c>
      <c r="R482">
        <v>3126</v>
      </c>
    </row>
    <row r="483" spans="1:18" x14ac:dyDescent="0.25">
      <c r="A483" s="169">
        <v>42713</v>
      </c>
      <c r="B483" s="115">
        <v>256.55</v>
      </c>
      <c r="C483" s="115">
        <v>251.05</v>
      </c>
      <c r="D483" s="115">
        <v>250</v>
      </c>
      <c r="E483" s="115">
        <v>252.6</v>
      </c>
      <c r="F483" s="115">
        <v>251.05</v>
      </c>
      <c r="G483">
        <v>2722</v>
      </c>
      <c r="H483" s="115"/>
      <c r="I483" s="115"/>
      <c r="L483" s="169">
        <v>42713</v>
      </c>
      <c r="M483" s="115">
        <v>251.95</v>
      </c>
      <c r="N483" s="115">
        <v>257.3</v>
      </c>
      <c r="O483" s="115">
        <v>251</v>
      </c>
      <c r="P483" s="115">
        <v>253.55</v>
      </c>
      <c r="Q483" s="115">
        <v>251.95</v>
      </c>
      <c r="R483">
        <v>5300</v>
      </c>
    </row>
    <row r="484" spans="1:18" x14ac:dyDescent="0.25">
      <c r="A484" s="169">
        <v>42716</v>
      </c>
      <c r="B484" s="115">
        <v>253.45</v>
      </c>
      <c r="C484" s="115">
        <v>250.1</v>
      </c>
      <c r="D484" s="115">
        <v>245</v>
      </c>
      <c r="E484" s="115">
        <v>250.55</v>
      </c>
      <c r="F484" s="115">
        <v>250.1</v>
      </c>
      <c r="G484">
        <v>1477</v>
      </c>
      <c r="H484" s="115"/>
      <c r="I484" s="115"/>
      <c r="L484" s="169">
        <v>42716</v>
      </c>
      <c r="M484" s="115">
        <v>251.25</v>
      </c>
      <c r="N484" s="115">
        <v>253.45</v>
      </c>
      <c r="O484" s="115">
        <v>245.15</v>
      </c>
      <c r="P484" s="115">
        <v>250.2</v>
      </c>
      <c r="Q484" s="115">
        <v>251.25</v>
      </c>
      <c r="R484">
        <v>14402</v>
      </c>
    </row>
    <row r="485" spans="1:18" x14ac:dyDescent="0.25">
      <c r="A485" s="169">
        <v>42717</v>
      </c>
      <c r="B485" s="115">
        <v>251</v>
      </c>
      <c r="C485" s="115">
        <v>251</v>
      </c>
      <c r="D485" s="115">
        <v>247.2</v>
      </c>
      <c r="E485" s="115">
        <v>250.25</v>
      </c>
      <c r="F485" s="115">
        <v>251</v>
      </c>
      <c r="G485">
        <v>353</v>
      </c>
      <c r="H485" s="115"/>
      <c r="I485" s="115"/>
      <c r="L485" s="169">
        <v>42717</v>
      </c>
      <c r="M485" s="115">
        <v>247.75</v>
      </c>
      <c r="N485" s="115">
        <v>253</v>
      </c>
      <c r="O485" s="115">
        <v>245.05</v>
      </c>
      <c r="P485" s="115">
        <v>251.95</v>
      </c>
      <c r="Q485" s="115">
        <v>247.75</v>
      </c>
      <c r="R485">
        <v>4145</v>
      </c>
    </row>
    <row r="486" spans="1:18" x14ac:dyDescent="0.25">
      <c r="A486" s="169">
        <v>42718</v>
      </c>
      <c r="B486" s="115">
        <v>249.9</v>
      </c>
      <c r="C486" s="115">
        <v>243.3</v>
      </c>
      <c r="D486" s="115">
        <v>241</v>
      </c>
      <c r="E486" s="115">
        <v>245.5</v>
      </c>
      <c r="F486" s="115">
        <v>243.3</v>
      </c>
      <c r="G486">
        <v>2769</v>
      </c>
      <c r="H486" s="115"/>
      <c r="I486" s="115"/>
      <c r="L486" s="169">
        <v>42718</v>
      </c>
      <c r="M486" s="115">
        <v>244.9</v>
      </c>
      <c r="N486" s="115">
        <v>249.9</v>
      </c>
      <c r="O486" s="115">
        <v>240.1</v>
      </c>
      <c r="P486" s="115">
        <v>249.9</v>
      </c>
      <c r="Q486" s="115">
        <v>244.9</v>
      </c>
      <c r="R486">
        <v>12191</v>
      </c>
    </row>
    <row r="487" spans="1:18" x14ac:dyDescent="0.25">
      <c r="A487" s="169">
        <v>42719</v>
      </c>
      <c r="B487" s="115">
        <v>248.95</v>
      </c>
      <c r="C487" s="115">
        <v>246.1</v>
      </c>
      <c r="D487" s="115">
        <v>244</v>
      </c>
      <c r="E487" s="115">
        <v>244.9</v>
      </c>
      <c r="F487" s="115">
        <v>246.1</v>
      </c>
      <c r="G487">
        <v>670</v>
      </c>
      <c r="H487" s="115"/>
      <c r="I487" s="115"/>
      <c r="L487" s="169">
        <v>42719</v>
      </c>
      <c r="M487" s="115">
        <v>246.25</v>
      </c>
      <c r="N487" s="115">
        <v>249.9</v>
      </c>
      <c r="O487" s="115">
        <v>243.75</v>
      </c>
      <c r="P487" s="115">
        <v>244.9</v>
      </c>
      <c r="Q487" s="115">
        <v>246.25</v>
      </c>
      <c r="R487">
        <v>1963</v>
      </c>
    </row>
    <row r="488" spans="1:18" x14ac:dyDescent="0.25">
      <c r="A488" s="169">
        <v>42720</v>
      </c>
      <c r="B488" s="115">
        <v>248</v>
      </c>
      <c r="C488" s="115">
        <v>243.2</v>
      </c>
      <c r="D488" s="115">
        <v>242.25</v>
      </c>
      <c r="E488" s="115">
        <v>245.9</v>
      </c>
      <c r="F488" s="115">
        <v>243.2</v>
      </c>
      <c r="G488">
        <v>3072</v>
      </c>
      <c r="H488" s="115"/>
      <c r="I488" s="115"/>
      <c r="L488" s="169">
        <v>42720</v>
      </c>
      <c r="M488" s="115">
        <v>243.65</v>
      </c>
      <c r="N488" s="115">
        <v>249.4</v>
      </c>
      <c r="O488" s="115">
        <v>242.1</v>
      </c>
      <c r="P488" s="115">
        <v>244</v>
      </c>
      <c r="Q488" s="115">
        <v>243.65</v>
      </c>
      <c r="R488">
        <v>2434</v>
      </c>
    </row>
    <row r="489" spans="1:18" x14ac:dyDescent="0.25">
      <c r="A489" s="169">
        <v>42723</v>
      </c>
      <c r="B489" s="115">
        <v>246.7</v>
      </c>
      <c r="C489" s="115">
        <v>240.85</v>
      </c>
      <c r="D489" s="115">
        <v>238.8</v>
      </c>
      <c r="E489" s="115">
        <v>245</v>
      </c>
      <c r="F489" s="115">
        <v>240.85</v>
      </c>
      <c r="G489">
        <v>985</v>
      </c>
      <c r="H489" s="115"/>
      <c r="I489" s="115"/>
      <c r="L489" s="169">
        <v>42723</v>
      </c>
      <c r="M489" s="115">
        <v>238.4</v>
      </c>
      <c r="N489" s="115">
        <v>255</v>
      </c>
      <c r="O489" s="115">
        <v>238</v>
      </c>
      <c r="P489" s="115">
        <v>255</v>
      </c>
      <c r="Q489" s="115">
        <v>238.4</v>
      </c>
      <c r="R489">
        <v>10081</v>
      </c>
    </row>
    <row r="490" spans="1:18" x14ac:dyDescent="0.25">
      <c r="A490" s="169">
        <v>42724</v>
      </c>
      <c r="B490" s="115">
        <v>240</v>
      </c>
      <c r="C490" s="115">
        <v>233.25</v>
      </c>
      <c r="D490" s="115">
        <v>232.4</v>
      </c>
      <c r="E490" s="115">
        <v>237</v>
      </c>
      <c r="F490" s="115">
        <v>233.25</v>
      </c>
      <c r="G490">
        <v>7577</v>
      </c>
      <c r="H490" s="115"/>
      <c r="I490" s="115"/>
      <c r="L490" s="169">
        <v>42724</v>
      </c>
      <c r="M490" s="115">
        <v>234.8</v>
      </c>
      <c r="N490" s="115">
        <v>240</v>
      </c>
      <c r="O490" s="115">
        <v>234.1</v>
      </c>
      <c r="P490" s="115">
        <v>240</v>
      </c>
      <c r="Q490" s="115">
        <v>234.8</v>
      </c>
      <c r="R490">
        <v>8030</v>
      </c>
    </row>
    <row r="491" spans="1:18" x14ac:dyDescent="0.25">
      <c r="A491" s="169">
        <v>42725</v>
      </c>
      <c r="B491" s="115">
        <v>241.5</v>
      </c>
      <c r="C491" s="115">
        <v>235.5</v>
      </c>
      <c r="D491" s="115">
        <v>235</v>
      </c>
      <c r="E491" s="115">
        <v>241.5</v>
      </c>
      <c r="F491" s="115">
        <v>235.5</v>
      </c>
      <c r="G491">
        <v>2033</v>
      </c>
      <c r="H491" s="115"/>
      <c r="I491" s="115"/>
      <c r="L491" s="169">
        <v>42725</v>
      </c>
      <c r="M491" s="115">
        <v>236</v>
      </c>
      <c r="N491" s="115">
        <v>239.4</v>
      </c>
      <c r="O491" s="115">
        <v>233.9</v>
      </c>
      <c r="P491" s="115">
        <v>239.4</v>
      </c>
      <c r="Q491" s="115">
        <v>236</v>
      </c>
      <c r="R491">
        <v>4009</v>
      </c>
    </row>
    <row r="492" spans="1:18" x14ac:dyDescent="0.25">
      <c r="A492" s="169">
        <v>42726</v>
      </c>
      <c r="B492" s="115">
        <v>236.9</v>
      </c>
      <c r="C492" s="115">
        <v>235</v>
      </c>
      <c r="D492" s="115">
        <v>233</v>
      </c>
      <c r="E492" s="115">
        <v>235</v>
      </c>
      <c r="F492" s="115">
        <v>235</v>
      </c>
      <c r="G492">
        <v>1787</v>
      </c>
      <c r="H492" s="115"/>
      <c r="I492" s="115"/>
      <c r="L492" s="169">
        <v>42726</v>
      </c>
      <c r="M492" s="115">
        <v>235.3</v>
      </c>
      <c r="N492" s="115">
        <v>238.9</v>
      </c>
      <c r="O492" s="115">
        <v>233.15</v>
      </c>
      <c r="P492" s="115">
        <v>236.25</v>
      </c>
      <c r="Q492" s="115">
        <v>235.3</v>
      </c>
      <c r="R492">
        <v>2486</v>
      </c>
    </row>
    <row r="493" spans="1:18" x14ac:dyDescent="0.25">
      <c r="A493" s="169">
        <v>42727</v>
      </c>
      <c r="B493" s="115">
        <v>240</v>
      </c>
      <c r="C493" s="115">
        <v>237.95</v>
      </c>
      <c r="D493" s="115">
        <v>230.25</v>
      </c>
      <c r="E493" s="115">
        <v>232</v>
      </c>
      <c r="F493" s="115">
        <v>237.95</v>
      </c>
      <c r="G493">
        <v>1386</v>
      </c>
      <c r="H493" s="115"/>
      <c r="I493" s="115"/>
      <c r="L493" s="169">
        <v>42727</v>
      </c>
      <c r="M493" s="115">
        <v>236.25</v>
      </c>
      <c r="N493" s="115">
        <v>241.7</v>
      </c>
      <c r="O493" s="115">
        <v>232.8</v>
      </c>
      <c r="P493" s="115">
        <v>235</v>
      </c>
      <c r="Q493" s="115">
        <v>236.25</v>
      </c>
      <c r="R493">
        <v>6780</v>
      </c>
    </row>
    <row r="494" spans="1:18" x14ac:dyDescent="0.25">
      <c r="A494" s="169">
        <v>42730</v>
      </c>
      <c r="B494" s="115">
        <v>238.1</v>
      </c>
      <c r="C494" s="115">
        <v>236.85</v>
      </c>
      <c r="D494" s="115">
        <v>230</v>
      </c>
      <c r="E494" s="115">
        <v>235</v>
      </c>
      <c r="F494" s="115">
        <v>236.85</v>
      </c>
      <c r="G494">
        <v>3066</v>
      </c>
      <c r="H494" s="115"/>
      <c r="I494" s="115"/>
      <c r="L494" s="169">
        <v>42730</v>
      </c>
      <c r="M494" s="115">
        <v>234.7</v>
      </c>
      <c r="N494" s="115">
        <v>237.3</v>
      </c>
      <c r="O494" s="115">
        <v>231.6</v>
      </c>
      <c r="P494" s="115">
        <v>235</v>
      </c>
      <c r="Q494" s="115">
        <v>234.7</v>
      </c>
      <c r="R494">
        <v>8398</v>
      </c>
    </row>
    <row r="495" spans="1:18" x14ac:dyDescent="0.25">
      <c r="A495" s="169">
        <v>42731</v>
      </c>
      <c r="B495" s="115">
        <v>240</v>
      </c>
      <c r="C495" s="115">
        <v>238.45</v>
      </c>
      <c r="D495" s="115">
        <v>231</v>
      </c>
      <c r="E495" s="115">
        <v>231</v>
      </c>
      <c r="F495" s="115">
        <v>238.45</v>
      </c>
      <c r="G495">
        <v>884</v>
      </c>
      <c r="H495" s="115"/>
      <c r="I495" s="115"/>
      <c r="L495" s="169">
        <v>42731</v>
      </c>
      <c r="M495" s="115">
        <v>239.25</v>
      </c>
      <c r="N495" s="115">
        <v>240.95</v>
      </c>
      <c r="O495" s="115">
        <v>233.8</v>
      </c>
      <c r="P495" s="115">
        <v>233.8</v>
      </c>
      <c r="Q495" s="115">
        <v>239.25</v>
      </c>
      <c r="R495">
        <v>3590</v>
      </c>
    </row>
    <row r="496" spans="1:18" x14ac:dyDescent="0.25">
      <c r="A496" s="169">
        <v>42732</v>
      </c>
      <c r="B496" s="115">
        <v>244.95</v>
      </c>
      <c r="C496" s="115">
        <v>238.1</v>
      </c>
      <c r="D496" s="115">
        <v>238</v>
      </c>
      <c r="E496" s="115">
        <v>239.85</v>
      </c>
      <c r="F496" s="115">
        <v>238.1</v>
      </c>
      <c r="G496">
        <v>676</v>
      </c>
      <c r="H496" s="115"/>
      <c r="I496" s="115"/>
      <c r="L496" s="169">
        <v>42732</v>
      </c>
      <c r="M496" s="115">
        <v>241.85</v>
      </c>
      <c r="N496" s="115">
        <v>245</v>
      </c>
      <c r="O496" s="115">
        <v>238.1</v>
      </c>
      <c r="P496" s="115">
        <v>242</v>
      </c>
      <c r="Q496" s="115">
        <v>241.85</v>
      </c>
      <c r="R496">
        <v>18227</v>
      </c>
    </row>
    <row r="497" spans="1:18" x14ac:dyDescent="0.25">
      <c r="A497" s="169">
        <v>42733</v>
      </c>
      <c r="B497" s="115">
        <v>244.95</v>
      </c>
      <c r="C497" s="115">
        <v>243.65</v>
      </c>
      <c r="D497" s="115">
        <v>237</v>
      </c>
      <c r="E497" s="115">
        <v>238.05</v>
      </c>
      <c r="F497" s="115">
        <v>243.65</v>
      </c>
      <c r="G497">
        <v>1532</v>
      </c>
      <c r="H497" s="115"/>
      <c r="I497" s="115"/>
      <c r="L497" s="169">
        <v>42733</v>
      </c>
      <c r="M497" s="115">
        <v>244.5</v>
      </c>
      <c r="N497" s="115">
        <v>245.9</v>
      </c>
      <c r="O497" s="115">
        <v>236.2</v>
      </c>
      <c r="P497" s="115">
        <v>241</v>
      </c>
      <c r="Q497" s="115">
        <v>244.5</v>
      </c>
      <c r="R497">
        <v>6582</v>
      </c>
    </row>
    <row r="498" spans="1:18" x14ac:dyDescent="0.25">
      <c r="A498" s="169">
        <v>42734</v>
      </c>
      <c r="B498" s="115">
        <v>244.9</v>
      </c>
      <c r="C498" s="115">
        <v>242</v>
      </c>
      <c r="D498" s="115">
        <v>240.7</v>
      </c>
      <c r="E498" s="115">
        <v>240.7</v>
      </c>
      <c r="F498" s="115">
        <v>242</v>
      </c>
      <c r="G498">
        <v>196</v>
      </c>
      <c r="H498" s="115"/>
      <c r="I498" s="115"/>
      <c r="L498" s="169">
        <v>42734</v>
      </c>
      <c r="M498" s="115">
        <v>242.3</v>
      </c>
      <c r="N498" s="115">
        <v>244</v>
      </c>
      <c r="O498" s="115">
        <v>241.1</v>
      </c>
      <c r="P498" s="115">
        <v>241.1</v>
      </c>
      <c r="Q498" s="115">
        <v>242.3</v>
      </c>
      <c r="R498">
        <v>4046</v>
      </c>
    </row>
    <row r="499" spans="1:18" x14ac:dyDescent="0.25">
      <c r="A499" s="169">
        <v>42737</v>
      </c>
      <c r="B499" s="115">
        <v>245</v>
      </c>
      <c r="C499" s="115">
        <v>241.15</v>
      </c>
      <c r="D499" s="115">
        <v>240.25</v>
      </c>
      <c r="E499" s="115">
        <v>240.35</v>
      </c>
      <c r="F499" s="115">
        <v>241.15</v>
      </c>
      <c r="G499">
        <v>151</v>
      </c>
      <c r="H499" s="115"/>
      <c r="I499" s="115"/>
      <c r="L499" s="169">
        <v>42737</v>
      </c>
      <c r="M499" s="115">
        <v>240.3</v>
      </c>
      <c r="N499" s="115">
        <v>247.35</v>
      </c>
      <c r="O499" s="115">
        <v>239</v>
      </c>
      <c r="P499" s="115">
        <v>242</v>
      </c>
      <c r="Q499" s="115">
        <v>240.3</v>
      </c>
      <c r="R499">
        <v>2906</v>
      </c>
    </row>
    <row r="500" spans="1:18" x14ac:dyDescent="0.25">
      <c r="A500" s="169">
        <v>42738</v>
      </c>
      <c r="B500" s="115">
        <v>247</v>
      </c>
      <c r="C500" s="115">
        <v>242.85</v>
      </c>
      <c r="D500" s="115">
        <v>239.75</v>
      </c>
      <c r="E500" s="115">
        <v>241</v>
      </c>
      <c r="F500" s="115">
        <v>242.85</v>
      </c>
      <c r="G500">
        <v>1786</v>
      </c>
      <c r="H500" s="115"/>
      <c r="I500" s="115"/>
      <c r="L500" s="169">
        <v>42738</v>
      </c>
      <c r="M500" s="115">
        <v>244.25</v>
      </c>
      <c r="N500" s="115">
        <v>247.75</v>
      </c>
      <c r="O500" s="115">
        <v>239.1</v>
      </c>
      <c r="P500" s="115">
        <v>239.15</v>
      </c>
      <c r="Q500" s="115">
        <v>244.25</v>
      </c>
      <c r="R500">
        <v>25568</v>
      </c>
    </row>
    <row r="501" spans="1:18" x14ac:dyDescent="0.25">
      <c r="A501" s="169">
        <v>42739</v>
      </c>
      <c r="B501" s="115">
        <v>244.5</v>
      </c>
      <c r="C501" s="115">
        <v>241.8</v>
      </c>
      <c r="D501" s="115">
        <v>241.1</v>
      </c>
      <c r="E501" s="115">
        <v>244.5</v>
      </c>
      <c r="F501" s="115">
        <v>241.8</v>
      </c>
      <c r="G501">
        <v>1883</v>
      </c>
      <c r="H501" s="115"/>
      <c r="I501" s="115"/>
      <c r="L501" s="169">
        <v>42739</v>
      </c>
      <c r="M501" s="115">
        <v>242.75</v>
      </c>
      <c r="N501" s="115">
        <v>245.8</v>
      </c>
      <c r="O501" s="115">
        <v>240.5</v>
      </c>
      <c r="P501" s="115">
        <v>241.5</v>
      </c>
      <c r="Q501" s="115">
        <v>242.75</v>
      </c>
      <c r="R501">
        <v>7942</v>
      </c>
    </row>
    <row r="502" spans="1:18" x14ac:dyDescent="0.25">
      <c r="A502" s="169">
        <v>42740</v>
      </c>
      <c r="B502" s="115">
        <v>245</v>
      </c>
      <c r="C502" s="115">
        <v>240.7</v>
      </c>
      <c r="D502" s="115">
        <v>240.2</v>
      </c>
      <c r="E502" s="115">
        <v>245</v>
      </c>
      <c r="F502" s="115">
        <v>240.7</v>
      </c>
      <c r="G502">
        <v>898</v>
      </c>
      <c r="H502" s="115"/>
      <c r="I502" s="115"/>
      <c r="L502" s="169">
        <v>42740</v>
      </c>
      <c r="M502" s="115">
        <v>241.75</v>
      </c>
      <c r="N502" s="115">
        <v>245</v>
      </c>
      <c r="O502" s="115">
        <v>239.35</v>
      </c>
      <c r="P502" s="115">
        <v>243.9</v>
      </c>
      <c r="Q502" s="115">
        <v>241.75</v>
      </c>
      <c r="R502">
        <v>7443</v>
      </c>
    </row>
    <row r="503" spans="1:18" x14ac:dyDescent="0.25">
      <c r="A503" s="169">
        <v>42741</v>
      </c>
      <c r="B503" s="115">
        <v>244.75</v>
      </c>
      <c r="C503" s="115">
        <v>242.65</v>
      </c>
      <c r="D503" s="115">
        <v>239.95</v>
      </c>
      <c r="E503" s="115">
        <v>241.1</v>
      </c>
      <c r="F503" s="115">
        <v>242.65</v>
      </c>
      <c r="G503">
        <v>5000</v>
      </c>
      <c r="H503" s="115"/>
      <c r="I503" s="115"/>
      <c r="L503" s="169">
        <v>42741</v>
      </c>
      <c r="M503" s="115">
        <v>243.35</v>
      </c>
      <c r="N503" s="115">
        <v>246</v>
      </c>
      <c r="O503" s="115">
        <v>240.2</v>
      </c>
      <c r="P503" s="115">
        <v>244</v>
      </c>
      <c r="Q503" s="115">
        <v>243.35</v>
      </c>
      <c r="R503">
        <v>8318</v>
      </c>
    </row>
    <row r="504" spans="1:18" x14ac:dyDescent="0.25">
      <c r="A504" s="169">
        <v>42744</v>
      </c>
      <c r="B504" s="115">
        <v>243.7</v>
      </c>
      <c r="C504" s="115">
        <v>241.9</v>
      </c>
      <c r="D504" s="115">
        <v>238.5</v>
      </c>
      <c r="E504" s="115">
        <v>240.35</v>
      </c>
      <c r="F504" s="115">
        <v>241.9</v>
      </c>
      <c r="G504">
        <v>921</v>
      </c>
      <c r="H504" s="115"/>
      <c r="I504" s="115"/>
      <c r="L504" s="169">
        <v>42744</v>
      </c>
      <c r="M504" s="115">
        <v>242.55</v>
      </c>
      <c r="N504" s="115">
        <v>244.45</v>
      </c>
      <c r="O504" s="115">
        <v>237.65</v>
      </c>
      <c r="P504" s="115">
        <v>241</v>
      </c>
      <c r="Q504" s="115">
        <v>242.55</v>
      </c>
      <c r="R504">
        <v>27422</v>
      </c>
    </row>
    <row r="505" spans="1:18" x14ac:dyDescent="0.25">
      <c r="A505" s="169">
        <v>42745</v>
      </c>
      <c r="B505" s="115">
        <v>244</v>
      </c>
      <c r="C505" s="115">
        <v>244</v>
      </c>
      <c r="D505" s="115">
        <v>240.2</v>
      </c>
      <c r="E505" s="115">
        <v>242</v>
      </c>
      <c r="F505" s="115">
        <v>244</v>
      </c>
      <c r="G505">
        <v>2255</v>
      </c>
      <c r="H505" s="115"/>
      <c r="I505" s="115"/>
      <c r="L505" s="169">
        <v>42745</v>
      </c>
      <c r="M505" s="115">
        <v>244.25</v>
      </c>
      <c r="N505" s="115">
        <v>245.85</v>
      </c>
      <c r="O505" s="115">
        <v>239.3</v>
      </c>
      <c r="P505" s="115">
        <v>242.05</v>
      </c>
      <c r="Q505" s="115">
        <v>244.25</v>
      </c>
      <c r="R505">
        <v>11419</v>
      </c>
    </row>
    <row r="506" spans="1:18" x14ac:dyDescent="0.25">
      <c r="A506" s="169">
        <v>42746</v>
      </c>
      <c r="B506" s="115">
        <v>247</v>
      </c>
      <c r="C506" s="115">
        <v>246.2</v>
      </c>
      <c r="D506" s="115">
        <v>244</v>
      </c>
      <c r="E506" s="115">
        <v>244.85</v>
      </c>
      <c r="F506" s="115">
        <v>246.2</v>
      </c>
      <c r="G506">
        <v>1021</v>
      </c>
      <c r="H506" s="115"/>
      <c r="I506" s="115"/>
      <c r="L506" s="169">
        <v>42746</v>
      </c>
      <c r="M506" s="115">
        <v>244</v>
      </c>
      <c r="N506" s="115">
        <v>246.9</v>
      </c>
      <c r="O506" s="115">
        <v>243.1</v>
      </c>
      <c r="P506" s="115">
        <v>245.4</v>
      </c>
      <c r="Q506" s="115">
        <v>244</v>
      </c>
      <c r="R506">
        <v>14049</v>
      </c>
    </row>
    <row r="507" spans="1:18" x14ac:dyDescent="0.25">
      <c r="A507" s="169">
        <v>42747</v>
      </c>
      <c r="B507" s="115">
        <v>247.9</v>
      </c>
      <c r="C507" s="115">
        <v>244.3</v>
      </c>
      <c r="D507" s="115">
        <v>242.15</v>
      </c>
      <c r="E507" s="115">
        <v>247.9</v>
      </c>
      <c r="F507" s="115">
        <v>244.3</v>
      </c>
      <c r="G507">
        <v>204</v>
      </c>
      <c r="H507" s="115"/>
      <c r="I507" s="115"/>
      <c r="L507" s="169">
        <v>42747</v>
      </c>
      <c r="M507" s="115">
        <v>245.05</v>
      </c>
      <c r="N507" s="115">
        <v>246</v>
      </c>
      <c r="O507" s="115">
        <v>242.1</v>
      </c>
      <c r="P507" s="115">
        <v>245.85</v>
      </c>
      <c r="Q507" s="115">
        <v>245.05</v>
      </c>
      <c r="R507">
        <v>4659</v>
      </c>
    </row>
    <row r="508" spans="1:18" x14ac:dyDescent="0.25">
      <c r="A508" s="169">
        <v>42748</v>
      </c>
      <c r="B508" s="115">
        <v>246</v>
      </c>
      <c r="C508" s="115">
        <v>240.5</v>
      </c>
      <c r="D508" s="115">
        <v>239.95</v>
      </c>
      <c r="E508" s="115">
        <v>245.2</v>
      </c>
      <c r="F508" s="115">
        <v>240.5</v>
      </c>
      <c r="G508">
        <v>4287</v>
      </c>
      <c r="H508" s="115"/>
      <c r="I508" s="115"/>
      <c r="L508" s="169">
        <v>42748</v>
      </c>
      <c r="M508" s="115">
        <v>242</v>
      </c>
      <c r="N508" s="115">
        <v>244.8</v>
      </c>
      <c r="O508" s="115">
        <v>240.05</v>
      </c>
      <c r="P508" s="115">
        <v>244.8</v>
      </c>
      <c r="Q508" s="115">
        <v>242</v>
      </c>
      <c r="R508">
        <v>9068</v>
      </c>
    </row>
    <row r="509" spans="1:18" x14ac:dyDescent="0.25">
      <c r="A509" s="169">
        <v>42751</v>
      </c>
      <c r="B509" s="115">
        <v>243</v>
      </c>
      <c r="C509" s="115">
        <v>241.8</v>
      </c>
      <c r="D509" s="115">
        <v>239</v>
      </c>
      <c r="E509" s="115">
        <v>239.75</v>
      </c>
      <c r="F509" s="115">
        <v>241.8</v>
      </c>
      <c r="G509">
        <v>2676</v>
      </c>
      <c r="H509" s="115"/>
      <c r="I509" s="115"/>
      <c r="L509" s="169">
        <v>42751</v>
      </c>
      <c r="M509" s="115">
        <v>241.9</v>
      </c>
      <c r="N509" s="115">
        <v>244.9</v>
      </c>
      <c r="O509" s="115">
        <v>239.7</v>
      </c>
      <c r="P509" s="115">
        <v>242.1</v>
      </c>
      <c r="Q509" s="115">
        <v>241.9</v>
      </c>
      <c r="R509">
        <v>8756</v>
      </c>
    </row>
    <row r="510" spans="1:18" x14ac:dyDescent="0.25">
      <c r="A510" s="169">
        <v>42752</v>
      </c>
      <c r="B510" s="115">
        <v>245.7</v>
      </c>
      <c r="C510" s="115">
        <v>245</v>
      </c>
      <c r="D510" s="115">
        <v>240.15</v>
      </c>
      <c r="E510" s="115">
        <v>242</v>
      </c>
      <c r="F510" s="115">
        <v>245</v>
      </c>
      <c r="G510">
        <v>5583</v>
      </c>
      <c r="H510" s="115"/>
      <c r="I510" s="115"/>
      <c r="L510" s="169">
        <v>42752</v>
      </c>
      <c r="M510" s="115">
        <v>243.95</v>
      </c>
      <c r="N510" s="115">
        <v>244.9</v>
      </c>
      <c r="O510" s="115">
        <v>240.35</v>
      </c>
      <c r="P510" s="115">
        <v>243</v>
      </c>
      <c r="Q510" s="115">
        <v>243.95</v>
      </c>
      <c r="R510">
        <v>6285</v>
      </c>
    </row>
    <row r="511" spans="1:18" x14ac:dyDescent="0.25">
      <c r="A511" s="169">
        <v>42753</v>
      </c>
      <c r="B511" s="115">
        <v>243.45</v>
      </c>
      <c r="C511" s="115">
        <v>241.35</v>
      </c>
      <c r="D511" s="115">
        <v>239</v>
      </c>
      <c r="E511" s="115">
        <v>242</v>
      </c>
      <c r="F511" s="115">
        <v>241.35</v>
      </c>
      <c r="G511">
        <v>1657</v>
      </c>
      <c r="H511" s="115"/>
      <c r="I511" s="115"/>
      <c r="L511" s="169">
        <v>42753</v>
      </c>
      <c r="M511" s="115">
        <v>241.45</v>
      </c>
      <c r="N511" s="115">
        <v>244.15</v>
      </c>
      <c r="O511" s="115">
        <v>239.95</v>
      </c>
      <c r="P511" s="115">
        <v>244.15</v>
      </c>
      <c r="Q511" s="115">
        <v>241.45</v>
      </c>
      <c r="R511">
        <v>39272</v>
      </c>
    </row>
    <row r="512" spans="1:18" x14ac:dyDescent="0.25">
      <c r="A512" s="169">
        <v>42754</v>
      </c>
      <c r="B512" s="115">
        <v>245.65</v>
      </c>
      <c r="C512" s="115">
        <v>244.65</v>
      </c>
      <c r="D512" s="115">
        <v>242</v>
      </c>
      <c r="E512" s="115">
        <v>243.5</v>
      </c>
      <c r="F512" s="115">
        <v>244.65</v>
      </c>
      <c r="G512">
        <v>1268</v>
      </c>
      <c r="H512" s="115"/>
      <c r="I512" s="115"/>
      <c r="L512" s="169">
        <v>42754</v>
      </c>
      <c r="M512" s="115">
        <v>245.2</v>
      </c>
      <c r="N512" s="115">
        <v>245.95</v>
      </c>
      <c r="O512" s="115">
        <v>241.2</v>
      </c>
      <c r="P512" s="115">
        <v>241.2</v>
      </c>
      <c r="Q512" s="115">
        <v>245.2</v>
      </c>
      <c r="R512">
        <v>4584</v>
      </c>
    </row>
    <row r="513" spans="1:18" x14ac:dyDescent="0.25">
      <c r="A513" s="169">
        <v>42755</v>
      </c>
      <c r="B513" s="115">
        <v>247</v>
      </c>
      <c r="C513" s="115">
        <v>242.45</v>
      </c>
      <c r="D513" s="115">
        <v>241.05</v>
      </c>
      <c r="E513" s="115">
        <v>246</v>
      </c>
      <c r="F513" s="115">
        <v>242.45</v>
      </c>
      <c r="G513">
        <v>1412</v>
      </c>
      <c r="H513" s="115"/>
      <c r="I513" s="115"/>
      <c r="L513" s="169">
        <v>42755</v>
      </c>
      <c r="M513" s="115">
        <v>242.9</v>
      </c>
      <c r="N513" s="115">
        <v>248.05</v>
      </c>
      <c r="O513" s="115">
        <v>241.3</v>
      </c>
      <c r="P513" s="115">
        <v>244.5</v>
      </c>
      <c r="Q513" s="115">
        <v>242.9</v>
      </c>
      <c r="R513">
        <v>6063</v>
      </c>
    </row>
    <row r="514" spans="1:18" x14ac:dyDescent="0.25">
      <c r="A514" s="169">
        <v>42758</v>
      </c>
      <c r="B514" s="115">
        <v>242.95</v>
      </c>
      <c r="C514" s="115">
        <v>242.5</v>
      </c>
      <c r="D514" s="115">
        <v>240.2</v>
      </c>
      <c r="E514" s="115">
        <v>242.95</v>
      </c>
      <c r="F514" s="115">
        <v>242.5</v>
      </c>
      <c r="G514">
        <v>308</v>
      </c>
      <c r="H514" s="115"/>
      <c r="I514" s="115"/>
      <c r="L514" s="169">
        <v>42758</v>
      </c>
      <c r="M514" s="115">
        <v>242</v>
      </c>
      <c r="N514" s="115">
        <v>243.8</v>
      </c>
      <c r="O514" s="115">
        <v>241</v>
      </c>
      <c r="P514" s="115">
        <v>242.3</v>
      </c>
      <c r="Q514" s="115">
        <v>242</v>
      </c>
      <c r="R514">
        <v>27689</v>
      </c>
    </row>
    <row r="515" spans="1:18" x14ac:dyDescent="0.25">
      <c r="A515" s="169">
        <v>42759</v>
      </c>
      <c r="B515" s="115">
        <v>243.85</v>
      </c>
      <c r="C515" s="115">
        <v>242</v>
      </c>
      <c r="D515" s="115">
        <v>238</v>
      </c>
      <c r="E515" s="115">
        <v>240.5</v>
      </c>
      <c r="F515" s="115">
        <v>242</v>
      </c>
      <c r="G515">
        <v>595</v>
      </c>
      <c r="H515" s="115"/>
      <c r="I515" s="115"/>
      <c r="L515" s="169">
        <v>42759</v>
      </c>
      <c r="M515" s="115">
        <v>242.05</v>
      </c>
      <c r="N515" s="115">
        <v>243.8</v>
      </c>
      <c r="O515" s="115">
        <v>235.1</v>
      </c>
      <c r="P515" s="115">
        <v>242</v>
      </c>
      <c r="Q515" s="115">
        <v>242.05</v>
      </c>
      <c r="R515">
        <v>14463</v>
      </c>
    </row>
    <row r="516" spans="1:18" x14ac:dyDescent="0.25">
      <c r="A516" s="169">
        <v>42760</v>
      </c>
      <c r="B516" s="115">
        <v>243.9</v>
      </c>
      <c r="C516" s="115">
        <v>241.35</v>
      </c>
      <c r="D516" s="115">
        <v>240</v>
      </c>
      <c r="E516" s="115">
        <v>242</v>
      </c>
      <c r="F516" s="115">
        <v>241.35</v>
      </c>
      <c r="G516">
        <v>3185</v>
      </c>
      <c r="H516" s="115"/>
      <c r="I516" s="115"/>
      <c r="L516" s="169">
        <v>42760</v>
      </c>
      <c r="M516" s="115">
        <v>242.25</v>
      </c>
      <c r="N516" s="115">
        <v>243.5</v>
      </c>
      <c r="O516" s="115">
        <v>240.25</v>
      </c>
      <c r="P516" s="115">
        <v>242.65</v>
      </c>
      <c r="Q516" s="115">
        <v>242.25</v>
      </c>
      <c r="R516">
        <v>42067</v>
      </c>
    </row>
    <row r="517" spans="1:18" x14ac:dyDescent="0.25">
      <c r="A517" s="169">
        <v>42762</v>
      </c>
      <c r="B517" s="115">
        <v>250</v>
      </c>
      <c r="C517" s="115">
        <v>248.3</v>
      </c>
      <c r="D517" s="115">
        <v>241</v>
      </c>
      <c r="E517" s="115">
        <v>241.85</v>
      </c>
      <c r="F517" s="115">
        <v>248.3</v>
      </c>
      <c r="G517">
        <v>3541</v>
      </c>
      <c r="H517" s="115"/>
      <c r="I517" s="115"/>
      <c r="L517" s="169">
        <v>42762</v>
      </c>
      <c r="M517" s="115">
        <v>248.45</v>
      </c>
      <c r="N517" s="115">
        <v>250.1</v>
      </c>
      <c r="O517" s="115">
        <v>241.4</v>
      </c>
      <c r="P517" s="115">
        <v>241.4</v>
      </c>
      <c r="Q517" s="115">
        <v>248.45</v>
      </c>
      <c r="R517">
        <v>15645</v>
      </c>
    </row>
    <row r="518" spans="1:18" x14ac:dyDescent="0.25">
      <c r="A518" s="169">
        <v>42765</v>
      </c>
      <c r="B518" s="115">
        <v>249</v>
      </c>
      <c r="C518" s="115">
        <v>244.2</v>
      </c>
      <c r="D518" s="115">
        <v>242.1</v>
      </c>
      <c r="E518" s="115">
        <v>249</v>
      </c>
      <c r="F518" s="115">
        <v>244.2</v>
      </c>
      <c r="G518">
        <v>5451</v>
      </c>
      <c r="H518" s="115"/>
      <c r="I518" s="115"/>
      <c r="L518" s="169">
        <v>42765</v>
      </c>
      <c r="M518" s="115">
        <v>243.5</v>
      </c>
      <c r="N518" s="115">
        <v>249.3</v>
      </c>
      <c r="O518" s="115">
        <v>242.8</v>
      </c>
      <c r="P518" s="115">
        <v>249.15</v>
      </c>
      <c r="Q518" s="115">
        <v>243.5</v>
      </c>
      <c r="R518">
        <v>18468</v>
      </c>
    </row>
    <row r="519" spans="1:18" x14ac:dyDescent="0.25">
      <c r="A519" s="169">
        <v>42766</v>
      </c>
      <c r="B519" s="115">
        <v>244.9</v>
      </c>
      <c r="C519" s="115">
        <v>242.5</v>
      </c>
      <c r="D519" s="115">
        <v>241</v>
      </c>
      <c r="E519" s="115">
        <v>242.35</v>
      </c>
      <c r="F519" s="115">
        <v>242.5</v>
      </c>
      <c r="G519">
        <v>1016</v>
      </c>
      <c r="H519" s="115"/>
      <c r="I519" s="115"/>
      <c r="L519" s="169">
        <v>42766</v>
      </c>
      <c r="M519" s="115">
        <v>244.4</v>
      </c>
      <c r="N519" s="115">
        <v>246</v>
      </c>
      <c r="O519" s="115">
        <v>240</v>
      </c>
      <c r="P519" s="115">
        <v>242</v>
      </c>
      <c r="Q519" s="115">
        <v>244.4</v>
      </c>
      <c r="R519">
        <v>5741</v>
      </c>
    </row>
    <row r="520" spans="1:18" x14ac:dyDescent="0.25">
      <c r="A520" s="169">
        <v>42767</v>
      </c>
      <c r="B520" s="115">
        <v>247.95</v>
      </c>
      <c r="C520" s="115">
        <v>246</v>
      </c>
      <c r="D520" s="115">
        <v>240.2</v>
      </c>
      <c r="E520" s="115">
        <v>243</v>
      </c>
      <c r="F520" s="115">
        <v>246</v>
      </c>
      <c r="G520">
        <v>1025</v>
      </c>
      <c r="H520" s="115"/>
      <c r="I520" s="115"/>
      <c r="L520" s="169">
        <v>42767</v>
      </c>
      <c r="M520" s="115">
        <v>247.45</v>
      </c>
      <c r="N520" s="115">
        <v>248.8</v>
      </c>
      <c r="O520" s="115">
        <v>235.05</v>
      </c>
      <c r="P520" s="115">
        <v>243</v>
      </c>
      <c r="Q520" s="115">
        <v>247.45</v>
      </c>
      <c r="R520">
        <v>7947</v>
      </c>
    </row>
    <row r="521" spans="1:18" x14ac:dyDescent="0.25">
      <c r="A521" s="169">
        <v>42768</v>
      </c>
      <c r="B521" s="115">
        <v>251</v>
      </c>
      <c r="C521" s="115">
        <v>250.75</v>
      </c>
      <c r="D521" s="115">
        <v>242.75</v>
      </c>
      <c r="E521" s="115">
        <v>248.35</v>
      </c>
      <c r="F521" s="115">
        <v>250.75</v>
      </c>
      <c r="G521">
        <v>668</v>
      </c>
      <c r="H521" s="115"/>
      <c r="I521" s="115"/>
      <c r="L521" s="169">
        <v>42768</v>
      </c>
      <c r="M521" s="115">
        <v>250.55</v>
      </c>
      <c r="N521" s="115">
        <v>252.45</v>
      </c>
      <c r="O521" s="115">
        <v>240.9</v>
      </c>
      <c r="P521" s="115">
        <v>246.2</v>
      </c>
      <c r="Q521" s="115">
        <v>250.55</v>
      </c>
      <c r="R521">
        <v>20398</v>
      </c>
    </row>
    <row r="522" spans="1:18" x14ac:dyDescent="0.25">
      <c r="A522" s="169">
        <v>42769</v>
      </c>
      <c r="B522" s="115">
        <v>258</v>
      </c>
      <c r="C522" s="115">
        <v>256.45</v>
      </c>
      <c r="D522" s="115">
        <v>249.1</v>
      </c>
      <c r="E522" s="115">
        <v>251.95</v>
      </c>
      <c r="F522" s="115">
        <v>256.45</v>
      </c>
      <c r="G522">
        <v>5113</v>
      </c>
      <c r="H522" s="115"/>
      <c r="I522" s="115"/>
      <c r="L522" s="169">
        <v>42769</v>
      </c>
      <c r="M522" s="115">
        <v>256.75</v>
      </c>
      <c r="N522" s="115">
        <v>258</v>
      </c>
      <c r="O522" s="115">
        <v>246.5</v>
      </c>
      <c r="P522" s="115">
        <v>249.5</v>
      </c>
      <c r="Q522" s="115">
        <v>256.75</v>
      </c>
      <c r="R522">
        <v>23103</v>
      </c>
    </row>
    <row r="523" spans="1:18" x14ac:dyDescent="0.25">
      <c r="A523" s="169">
        <v>42772</v>
      </c>
      <c r="B523" s="115">
        <v>257</v>
      </c>
      <c r="C523" s="115">
        <v>249.35</v>
      </c>
      <c r="D523" s="115">
        <v>249</v>
      </c>
      <c r="E523" s="115">
        <v>257</v>
      </c>
      <c r="F523" s="115">
        <v>249.35</v>
      </c>
      <c r="G523">
        <v>4694</v>
      </c>
      <c r="H523" s="115"/>
      <c r="I523" s="115"/>
      <c r="L523" s="169">
        <v>42772</v>
      </c>
      <c r="M523" s="115">
        <v>249.9</v>
      </c>
      <c r="N523" s="115">
        <v>258</v>
      </c>
      <c r="O523" s="115">
        <v>248</v>
      </c>
      <c r="P523" s="115">
        <v>257.95</v>
      </c>
      <c r="Q523" s="115">
        <v>249.9</v>
      </c>
      <c r="R523">
        <v>42008</v>
      </c>
    </row>
    <row r="524" spans="1:18" x14ac:dyDescent="0.25">
      <c r="A524" s="169">
        <v>42773</v>
      </c>
      <c r="B524" s="115">
        <v>250</v>
      </c>
      <c r="C524" s="115">
        <v>243.15</v>
      </c>
      <c r="D524" s="115">
        <v>240</v>
      </c>
      <c r="E524" s="115">
        <v>250</v>
      </c>
      <c r="F524" s="115">
        <v>243.15</v>
      </c>
      <c r="G524">
        <v>16880</v>
      </c>
      <c r="H524" s="115"/>
      <c r="I524" s="115"/>
      <c r="L524" s="169">
        <v>42773</v>
      </c>
      <c r="M524" s="115">
        <v>243.45</v>
      </c>
      <c r="N524" s="115">
        <v>255.8</v>
      </c>
      <c r="O524" s="115">
        <v>240.65</v>
      </c>
      <c r="P524" s="115">
        <v>255.8</v>
      </c>
      <c r="Q524" s="115">
        <v>243.45</v>
      </c>
      <c r="R524">
        <v>33582</v>
      </c>
    </row>
    <row r="525" spans="1:18" x14ac:dyDescent="0.25">
      <c r="A525" s="169">
        <v>42774</v>
      </c>
      <c r="B525" s="115">
        <v>244.7</v>
      </c>
      <c r="C525" s="115">
        <v>241.65</v>
      </c>
      <c r="D525" s="115">
        <v>241.5</v>
      </c>
      <c r="E525" s="115">
        <v>244.7</v>
      </c>
      <c r="F525" s="115">
        <v>241.65</v>
      </c>
      <c r="G525">
        <v>1259</v>
      </c>
      <c r="H525" s="115"/>
      <c r="I525" s="115"/>
      <c r="L525" s="169">
        <v>42774</v>
      </c>
      <c r="M525" s="115">
        <v>241.25</v>
      </c>
      <c r="N525" s="115">
        <v>245.05</v>
      </c>
      <c r="O525" s="115">
        <v>240.5</v>
      </c>
      <c r="P525" s="115">
        <v>245</v>
      </c>
      <c r="Q525" s="115">
        <v>241.25</v>
      </c>
      <c r="R525">
        <v>22706</v>
      </c>
    </row>
    <row r="526" spans="1:18" x14ac:dyDescent="0.25">
      <c r="A526" s="169">
        <v>42775</v>
      </c>
      <c r="B526" s="115">
        <v>243.9</v>
      </c>
      <c r="C526" s="115">
        <v>240.1</v>
      </c>
      <c r="D526" s="115">
        <v>239.5</v>
      </c>
      <c r="E526" s="115">
        <v>241</v>
      </c>
      <c r="F526" s="115">
        <v>240.1</v>
      </c>
      <c r="G526">
        <v>4829</v>
      </c>
      <c r="H526" s="115"/>
      <c r="I526" s="115"/>
      <c r="L526" s="169">
        <v>42775</v>
      </c>
      <c r="M526" s="115">
        <v>241.15</v>
      </c>
      <c r="N526" s="115">
        <v>244</v>
      </c>
      <c r="O526" s="115">
        <v>239.95</v>
      </c>
      <c r="P526" s="115">
        <v>241.75</v>
      </c>
      <c r="Q526" s="115">
        <v>241.15</v>
      </c>
      <c r="R526">
        <v>22431</v>
      </c>
    </row>
    <row r="527" spans="1:18" x14ac:dyDescent="0.25">
      <c r="A527" s="169">
        <v>42776</v>
      </c>
      <c r="B527" s="115">
        <v>242.75</v>
      </c>
      <c r="C527" s="115">
        <v>241.15</v>
      </c>
      <c r="D527" s="115">
        <v>241</v>
      </c>
      <c r="E527" s="115">
        <v>242.1</v>
      </c>
      <c r="F527" s="115">
        <v>241.15</v>
      </c>
      <c r="G527">
        <v>1177</v>
      </c>
      <c r="H527" s="115"/>
      <c r="I527" s="115"/>
      <c r="L527" s="169">
        <v>42776</v>
      </c>
      <c r="M527" s="115">
        <v>241.85</v>
      </c>
      <c r="N527" s="115">
        <v>243</v>
      </c>
      <c r="O527" s="115">
        <v>241</v>
      </c>
      <c r="P527" s="115">
        <v>241.05</v>
      </c>
      <c r="Q527" s="115">
        <v>241.85</v>
      </c>
      <c r="R527">
        <v>21281</v>
      </c>
    </row>
    <row r="528" spans="1:18" x14ac:dyDescent="0.25">
      <c r="A528" s="169">
        <v>42779</v>
      </c>
      <c r="B528" s="115">
        <v>241.95</v>
      </c>
      <c r="C528" s="115">
        <v>240.75</v>
      </c>
      <c r="D528" s="115">
        <v>239</v>
      </c>
      <c r="E528" s="115">
        <v>241.05</v>
      </c>
      <c r="F528" s="115">
        <v>240.75</v>
      </c>
      <c r="G528">
        <v>664</v>
      </c>
      <c r="H528" s="115"/>
      <c r="I528" s="115"/>
      <c r="L528" s="169">
        <v>42779</v>
      </c>
      <c r="M528" s="115">
        <v>239.35</v>
      </c>
      <c r="N528" s="115">
        <v>242.25</v>
      </c>
      <c r="O528" s="115">
        <v>238.15</v>
      </c>
      <c r="P528" s="115">
        <v>242.05</v>
      </c>
      <c r="Q528" s="115">
        <v>239.35</v>
      </c>
      <c r="R528">
        <v>7511</v>
      </c>
    </row>
    <row r="529" spans="1:18" x14ac:dyDescent="0.25">
      <c r="A529" s="169">
        <v>42780</v>
      </c>
      <c r="B529" s="115">
        <v>244.7</v>
      </c>
      <c r="C529" s="115">
        <v>242.2</v>
      </c>
      <c r="D529" s="115">
        <v>240.75</v>
      </c>
      <c r="E529" s="115">
        <v>242.8</v>
      </c>
      <c r="F529" s="115">
        <v>242.2</v>
      </c>
      <c r="G529">
        <v>1600</v>
      </c>
      <c r="H529" s="115"/>
      <c r="I529" s="115"/>
      <c r="L529" s="169">
        <v>42780</v>
      </c>
      <c r="M529" s="115">
        <v>241.8</v>
      </c>
      <c r="N529" s="115">
        <v>244.9</v>
      </c>
      <c r="O529" s="115">
        <v>239.9</v>
      </c>
      <c r="P529" s="115">
        <v>240</v>
      </c>
      <c r="Q529" s="115">
        <v>241.8</v>
      </c>
      <c r="R529">
        <v>4950</v>
      </c>
    </row>
    <row r="530" spans="1:18" x14ac:dyDescent="0.25">
      <c r="A530" s="169">
        <v>42781</v>
      </c>
      <c r="B530" s="115">
        <v>242.5</v>
      </c>
      <c r="C530" s="115">
        <v>238.25</v>
      </c>
      <c r="D530" s="115">
        <v>237.05</v>
      </c>
      <c r="E530" s="115">
        <v>242.5</v>
      </c>
      <c r="F530" s="115">
        <v>238.25</v>
      </c>
      <c r="G530">
        <v>3507</v>
      </c>
      <c r="H530" s="115"/>
      <c r="I530" s="115"/>
      <c r="L530" s="169">
        <v>42781</v>
      </c>
      <c r="M530" s="115">
        <v>237.9</v>
      </c>
      <c r="N530" s="115">
        <v>241.95</v>
      </c>
      <c r="O530" s="115">
        <v>237.25</v>
      </c>
      <c r="P530" s="115">
        <v>241.1</v>
      </c>
      <c r="Q530" s="115">
        <v>237.9</v>
      </c>
      <c r="R530">
        <v>9225</v>
      </c>
    </row>
    <row r="531" spans="1:18" x14ac:dyDescent="0.25">
      <c r="A531" s="169">
        <v>42782</v>
      </c>
      <c r="B531" s="115">
        <v>247</v>
      </c>
      <c r="C531" s="115">
        <v>244.55</v>
      </c>
      <c r="D531" s="115">
        <v>237.5</v>
      </c>
      <c r="E531" s="115">
        <v>241</v>
      </c>
      <c r="F531" s="115">
        <v>244.55</v>
      </c>
      <c r="G531">
        <v>2234</v>
      </c>
      <c r="H531" s="115"/>
      <c r="I531" s="115"/>
      <c r="L531" s="169">
        <v>42782</v>
      </c>
      <c r="M531" s="115">
        <v>245.7</v>
      </c>
      <c r="N531" s="115">
        <v>248.8</v>
      </c>
      <c r="O531" s="115">
        <v>235.35</v>
      </c>
      <c r="P531" s="115">
        <v>241.45</v>
      </c>
      <c r="Q531" s="115">
        <v>245.7</v>
      </c>
      <c r="R531">
        <v>15100</v>
      </c>
    </row>
    <row r="532" spans="1:18" x14ac:dyDescent="0.25">
      <c r="A532" s="169">
        <v>42783</v>
      </c>
      <c r="B532" s="115">
        <v>250</v>
      </c>
      <c r="C532" s="115">
        <v>245.9</v>
      </c>
      <c r="D532" s="115">
        <v>242.35</v>
      </c>
      <c r="E532" s="115">
        <v>248.45</v>
      </c>
      <c r="F532" s="115">
        <v>245.9</v>
      </c>
      <c r="G532">
        <v>2204</v>
      </c>
      <c r="H532" s="115"/>
      <c r="I532" s="115"/>
      <c r="L532" s="169">
        <v>42783</v>
      </c>
      <c r="M532" s="115">
        <v>244.15</v>
      </c>
      <c r="N532" s="115">
        <v>249.9</v>
      </c>
      <c r="O532" s="115">
        <v>242.3</v>
      </c>
      <c r="P532" s="115">
        <v>248.5</v>
      </c>
      <c r="Q532" s="115">
        <v>244.15</v>
      </c>
      <c r="R532">
        <v>9552</v>
      </c>
    </row>
    <row r="533" spans="1:18" x14ac:dyDescent="0.25">
      <c r="A533" s="169">
        <v>42786</v>
      </c>
      <c r="B533" s="115">
        <v>247.4</v>
      </c>
      <c r="C533" s="115">
        <v>245.6</v>
      </c>
      <c r="D533" s="115">
        <v>243.1</v>
      </c>
      <c r="E533" s="115">
        <v>245.45</v>
      </c>
      <c r="F533" s="115">
        <v>245.6</v>
      </c>
      <c r="G533">
        <v>590</v>
      </c>
      <c r="H533" s="115"/>
      <c r="I533" s="115"/>
      <c r="L533" s="169">
        <v>42786</v>
      </c>
      <c r="M533" s="115">
        <v>245.55</v>
      </c>
      <c r="N533" s="115">
        <v>245.9</v>
      </c>
      <c r="O533" s="115">
        <v>243</v>
      </c>
      <c r="P533" s="115">
        <v>244.95</v>
      </c>
      <c r="Q533" s="115">
        <v>245.55</v>
      </c>
      <c r="R533">
        <v>4195</v>
      </c>
    </row>
    <row r="534" spans="1:18" x14ac:dyDescent="0.25">
      <c r="A534" s="169">
        <v>42787</v>
      </c>
      <c r="B534" s="115">
        <v>246.85</v>
      </c>
      <c r="C534" s="115">
        <v>242.9</v>
      </c>
      <c r="D534" s="115">
        <v>241.6</v>
      </c>
      <c r="E534" s="115">
        <v>246.85</v>
      </c>
      <c r="F534" s="115">
        <v>242.9</v>
      </c>
      <c r="G534">
        <v>775</v>
      </c>
      <c r="H534" s="115"/>
      <c r="I534" s="115"/>
      <c r="L534" s="169">
        <v>42787</v>
      </c>
      <c r="M534" s="115">
        <v>242.75</v>
      </c>
      <c r="N534" s="115">
        <v>247.3</v>
      </c>
      <c r="O534" s="115">
        <v>241.15</v>
      </c>
      <c r="P534" s="115">
        <v>245</v>
      </c>
      <c r="Q534" s="115">
        <v>242.75</v>
      </c>
      <c r="R534">
        <v>5461</v>
      </c>
    </row>
    <row r="535" spans="1:18" x14ac:dyDescent="0.25">
      <c r="A535" s="169">
        <v>42788</v>
      </c>
      <c r="B535" s="115">
        <v>241.95</v>
      </c>
      <c r="C535" s="115">
        <v>239</v>
      </c>
      <c r="D535" s="115">
        <v>235.05</v>
      </c>
      <c r="E535" s="115">
        <v>241.95</v>
      </c>
      <c r="F535" s="115">
        <v>239</v>
      </c>
      <c r="G535">
        <v>11277</v>
      </c>
      <c r="H535" s="115"/>
      <c r="I535" s="115"/>
      <c r="L535" s="169">
        <v>42788</v>
      </c>
      <c r="M535" s="115">
        <v>238.25</v>
      </c>
      <c r="N535" s="115">
        <v>240.6</v>
      </c>
      <c r="O535" s="115">
        <v>234.5</v>
      </c>
      <c r="P535" s="115">
        <v>240.5</v>
      </c>
      <c r="Q535" s="115">
        <v>238.25</v>
      </c>
      <c r="R535">
        <v>54968</v>
      </c>
    </row>
    <row r="536" spans="1:18" x14ac:dyDescent="0.25">
      <c r="A536" s="169">
        <v>42789</v>
      </c>
      <c r="B536" s="115">
        <v>237</v>
      </c>
      <c r="C536" s="115">
        <v>234.5</v>
      </c>
      <c r="D536" s="115">
        <v>233.9</v>
      </c>
      <c r="E536" s="115">
        <v>236.35</v>
      </c>
      <c r="F536" s="115">
        <v>234.5</v>
      </c>
      <c r="G536">
        <v>2086</v>
      </c>
      <c r="H536" s="115"/>
      <c r="I536" s="115"/>
      <c r="L536" s="169">
        <v>42789</v>
      </c>
      <c r="M536" s="115">
        <v>234.05</v>
      </c>
      <c r="N536" s="115">
        <v>239.45</v>
      </c>
      <c r="O536" s="115">
        <v>233.15</v>
      </c>
      <c r="P536" s="115">
        <v>239.45</v>
      </c>
      <c r="Q536" s="115">
        <v>234.05</v>
      </c>
      <c r="R536">
        <v>14098</v>
      </c>
    </row>
    <row r="537" spans="1:18" x14ac:dyDescent="0.25">
      <c r="A537" s="169">
        <v>42793</v>
      </c>
      <c r="B537" s="115">
        <v>235.85</v>
      </c>
      <c r="C537" s="115">
        <v>234.5</v>
      </c>
      <c r="D537" s="115">
        <v>232</v>
      </c>
      <c r="E537" s="115">
        <v>235.85</v>
      </c>
      <c r="F537" s="115">
        <v>234.5</v>
      </c>
      <c r="G537">
        <v>5023</v>
      </c>
      <c r="H537" s="115"/>
      <c r="I537" s="115"/>
      <c r="L537" s="169">
        <v>42793</v>
      </c>
      <c r="M537" s="115">
        <v>233.4</v>
      </c>
      <c r="N537" s="115">
        <v>236.8</v>
      </c>
      <c r="O537" s="115">
        <v>231.5</v>
      </c>
      <c r="P537" s="115">
        <v>232.15</v>
      </c>
      <c r="Q537" s="115">
        <v>233.4</v>
      </c>
      <c r="R537">
        <v>19086</v>
      </c>
    </row>
    <row r="538" spans="1:18" x14ac:dyDescent="0.25">
      <c r="A538" s="169">
        <v>42794</v>
      </c>
      <c r="B538" s="115">
        <v>240.8</v>
      </c>
      <c r="C538" s="115">
        <v>239.6</v>
      </c>
      <c r="D538" s="115">
        <v>234.5</v>
      </c>
      <c r="E538" s="115">
        <v>235</v>
      </c>
      <c r="F538" s="115">
        <v>239.6</v>
      </c>
      <c r="G538">
        <v>5235</v>
      </c>
      <c r="H538" s="115"/>
      <c r="I538" s="115"/>
      <c r="L538" s="169">
        <v>42794</v>
      </c>
      <c r="M538" s="115">
        <v>239.35</v>
      </c>
      <c r="N538" s="115">
        <v>241.4</v>
      </c>
      <c r="O538" s="115">
        <v>234.1</v>
      </c>
      <c r="P538" s="115">
        <v>235</v>
      </c>
      <c r="Q538" s="115">
        <v>239.35</v>
      </c>
      <c r="R538">
        <v>9613</v>
      </c>
    </row>
    <row r="539" spans="1:18" x14ac:dyDescent="0.25">
      <c r="A539" s="169">
        <v>42795</v>
      </c>
      <c r="B539" s="115">
        <v>246.8</v>
      </c>
      <c r="C539" s="115">
        <v>242.45</v>
      </c>
      <c r="D539" s="115">
        <v>237.25</v>
      </c>
      <c r="E539" s="115">
        <v>239.95</v>
      </c>
      <c r="F539" s="115">
        <v>242.45</v>
      </c>
      <c r="G539">
        <v>4850</v>
      </c>
      <c r="H539" s="115"/>
      <c r="I539" s="115"/>
      <c r="L539" s="169">
        <v>42795</v>
      </c>
      <c r="M539" s="115">
        <v>242.15</v>
      </c>
      <c r="N539" s="115">
        <v>248</v>
      </c>
      <c r="O539" s="115">
        <v>235.25</v>
      </c>
      <c r="P539" s="115">
        <v>238</v>
      </c>
      <c r="Q539" s="115">
        <v>242.15</v>
      </c>
      <c r="R539">
        <v>30372</v>
      </c>
    </row>
    <row r="540" spans="1:18" x14ac:dyDescent="0.25">
      <c r="A540" s="169">
        <v>42796</v>
      </c>
      <c r="B540" s="115">
        <v>246</v>
      </c>
      <c r="C540" s="115">
        <v>239.45</v>
      </c>
      <c r="D540" s="115">
        <v>239</v>
      </c>
      <c r="E540" s="115">
        <v>242</v>
      </c>
      <c r="F540" s="115">
        <v>239.45</v>
      </c>
      <c r="G540">
        <v>4088</v>
      </c>
      <c r="H540" s="115"/>
      <c r="I540" s="115"/>
      <c r="L540" s="169">
        <v>42796</v>
      </c>
      <c r="M540" s="115">
        <v>239.5</v>
      </c>
      <c r="N540" s="115">
        <v>246</v>
      </c>
      <c r="O540" s="115">
        <v>238.5</v>
      </c>
      <c r="P540" s="115">
        <v>243.7</v>
      </c>
      <c r="Q540" s="115">
        <v>239.5</v>
      </c>
      <c r="R540">
        <v>12128</v>
      </c>
    </row>
    <row r="541" spans="1:18" x14ac:dyDescent="0.25">
      <c r="A541" s="169">
        <v>42797</v>
      </c>
      <c r="B541" s="115">
        <v>237.9</v>
      </c>
      <c r="C541" s="115">
        <v>234.5</v>
      </c>
      <c r="D541" s="115">
        <v>233.55</v>
      </c>
      <c r="E541" s="115">
        <v>237.25</v>
      </c>
      <c r="F541" s="115">
        <v>234.5</v>
      </c>
      <c r="G541">
        <v>3225</v>
      </c>
      <c r="H541" s="115"/>
      <c r="I541" s="115"/>
      <c r="L541" s="169">
        <v>42797</v>
      </c>
      <c r="M541" s="115">
        <v>233.55</v>
      </c>
      <c r="N541" s="115">
        <v>241</v>
      </c>
      <c r="O541" s="115">
        <v>232.5</v>
      </c>
      <c r="P541" s="115">
        <v>238.8</v>
      </c>
      <c r="Q541" s="115">
        <v>233.55</v>
      </c>
      <c r="R541">
        <v>12182</v>
      </c>
    </row>
    <row r="542" spans="1:18" x14ac:dyDescent="0.25">
      <c r="A542" s="169">
        <v>42800</v>
      </c>
      <c r="B542" s="115">
        <v>242</v>
      </c>
      <c r="C542" s="115">
        <v>241</v>
      </c>
      <c r="D542" s="115">
        <v>234.05</v>
      </c>
      <c r="E542" s="115">
        <v>234.05</v>
      </c>
      <c r="F542" s="115">
        <v>241</v>
      </c>
      <c r="G542">
        <v>3668</v>
      </c>
      <c r="H542" s="115"/>
      <c r="I542" s="115"/>
      <c r="L542" s="169">
        <v>42800</v>
      </c>
      <c r="M542" s="115">
        <v>240.95</v>
      </c>
      <c r="N542" s="115">
        <v>241.6</v>
      </c>
      <c r="O542" s="115">
        <v>232.25</v>
      </c>
      <c r="P542" s="115">
        <v>234</v>
      </c>
      <c r="Q542" s="115">
        <v>240.95</v>
      </c>
      <c r="R542">
        <v>12278</v>
      </c>
    </row>
    <row r="543" spans="1:18" x14ac:dyDescent="0.25">
      <c r="A543" s="169">
        <v>42801</v>
      </c>
      <c r="B543" s="115">
        <v>243</v>
      </c>
      <c r="C543" s="115">
        <v>242.5</v>
      </c>
      <c r="D543" s="115">
        <v>238.55</v>
      </c>
      <c r="E543" s="115">
        <v>241</v>
      </c>
      <c r="F543" s="115">
        <v>242.5</v>
      </c>
      <c r="G543">
        <v>2913</v>
      </c>
      <c r="H543" s="115"/>
      <c r="I543" s="115"/>
      <c r="L543" s="169">
        <v>42801</v>
      </c>
      <c r="M543" s="115">
        <v>241.85</v>
      </c>
      <c r="N543" s="115">
        <v>243.85</v>
      </c>
      <c r="O543" s="115">
        <v>237.25</v>
      </c>
      <c r="P543" s="115">
        <v>242.9</v>
      </c>
      <c r="Q543" s="115">
        <v>241.85</v>
      </c>
      <c r="R543">
        <v>13245</v>
      </c>
    </row>
    <row r="544" spans="1:18" x14ac:dyDescent="0.25">
      <c r="A544" s="169">
        <v>42802</v>
      </c>
      <c r="B544" s="115">
        <v>242.7</v>
      </c>
      <c r="C544" s="115">
        <v>240.95</v>
      </c>
      <c r="D544" s="115">
        <v>240</v>
      </c>
      <c r="E544" s="115">
        <v>241</v>
      </c>
      <c r="F544" s="115">
        <v>240.95</v>
      </c>
      <c r="G544">
        <v>4328</v>
      </c>
      <c r="H544" s="115"/>
      <c r="I544" s="115"/>
      <c r="L544" s="169">
        <v>42802</v>
      </c>
      <c r="M544" s="115">
        <v>240.05</v>
      </c>
      <c r="N544" s="115">
        <v>244</v>
      </c>
      <c r="O544" s="115">
        <v>239.25</v>
      </c>
      <c r="P544" s="115">
        <v>241</v>
      </c>
      <c r="Q544" s="115">
        <v>240.05</v>
      </c>
      <c r="R544">
        <v>7026</v>
      </c>
    </row>
    <row r="545" spans="1:18" x14ac:dyDescent="0.25">
      <c r="A545" s="169">
        <v>42803</v>
      </c>
      <c r="B545" s="115">
        <v>248</v>
      </c>
      <c r="C545" s="115">
        <v>238.3</v>
      </c>
      <c r="D545" s="115">
        <v>238.3</v>
      </c>
      <c r="E545" s="115">
        <v>244</v>
      </c>
      <c r="F545" s="115">
        <v>238.3</v>
      </c>
      <c r="G545">
        <v>4583</v>
      </c>
      <c r="H545" s="115"/>
      <c r="I545" s="115"/>
      <c r="L545" s="169">
        <v>42803</v>
      </c>
      <c r="M545" s="115">
        <v>238.15</v>
      </c>
      <c r="N545" s="115">
        <v>241.95</v>
      </c>
      <c r="O545" s="115">
        <v>237.3</v>
      </c>
      <c r="P545" s="115">
        <v>239.05</v>
      </c>
      <c r="Q545" s="115">
        <v>238.15</v>
      </c>
      <c r="R545">
        <v>19339</v>
      </c>
    </row>
    <row r="546" spans="1:18" x14ac:dyDescent="0.25">
      <c r="A546" s="169">
        <v>42804</v>
      </c>
      <c r="B546" s="115">
        <v>240.65</v>
      </c>
      <c r="C546" s="115">
        <v>240.1</v>
      </c>
      <c r="D546" s="115">
        <v>240</v>
      </c>
      <c r="E546" s="115">
        <v>240.5</v>
      </c>
      <c r="F546" s="115">
        <v>240.1</v>
      </c>
      <c r="G546">
        <v>5948</v>
      </c>
      <c r="H546" s="115"/>
      <c r="I546" s="115"/>
      <c r="L546" s="169">
        <v>42804</v>
      </c>
      <c r="M546" s="115">
        <v>240</v>
      </c>
      <c r="N546" s="115">
        <v>242</v>
      </c>
      <c r="O546" s="115">
        <v>238.8</v>
      </c>
      <c r="P546" s="115">
        <v>239.25</v>
      </c>
      <c r="Q546" s="115">
        <v>240</v>
      </c>
      <c r="R546">
        <v>38088</v>
      </c>
    </row>
    <row r="547" spans="1:18" x14ac:dyDescent="0.25">
      <c r="A547" s="169">
        <v>42808</v>
      </c>
      <c r="B547" s="115">
        <v>240.95</v>
      </c>
      <c r="C547" s="115">
        <v>239.05</v>
      </c>
      <c r="D547" s="115">
        <v>238.3</v>
      </c>
      <c r="E547" s="115">
        <v>240.9</v>
      </c>
      <c r="F547" s="115">
        <v>239.05</v>
      </c>
      <c r="G547">
        <v>2120</v>
      </c>
      <c r="H547" s="115"/>
      <c r="I547" s="115"/>
      <c r="L547" s="169">
        <v>42808</v>
      </c>
      <c r="M547" s="115">
        <v>240</v>
      </c>
      <c r="N547" s="115">
        <v>242.5</v>
      </c>
      <c r="O547" s="115">
        <v>238.75</v>
      </c>
      <c r="P547" s="115">
        <v>242</v>
      </c>
      <c r="Q547" s="115">
        <v>240</v>
      </c>
      <c r="R547">
        <v>65586</v>
      </c>
    </row>
    <row r="548" spans="1:18" x14ac:dyDescent="0.25">
      <c r="A548" s="169">
        <v>42809</v>
      </c>
      <c r="B548" s="115">
        <v>241.85</v>
      </c>
      <c r="C548" s="115">
        <v>240.3</v>
      </c>
      <c r="D548" s="115">
        <v>239.15</v>
      </c>
      <c r="E548" s="115">
        <v>241.25</v>
      </c>
      <c r="F548" s="115">
        <v>240.3</v>
      </c>
      <c r="G548">
        <v>9224</v>
      </c>
      <c r="H548" s="115"/>
      <c r="I548" s="115"/>
      <c r="L548" s="169">
        <v>42809</v>
      </c>
      <c r="M548" s="115">
        <v>240.05</v>
      </c>
      <c r="N548" s="115">
        <v>242</v>
      </c>
      <c r="O548" s="115">
        <v>239</v>
      </c>
      <c r="P548" s="115">
        <v>240.05</v>
      </c>
      <c r="Q548" s="115">
        <v>240.05</v>
      </c>
      <c r="R548">
        <v>56329</v>
      </c>
    </row>
    <row r="549" spans="1:18" x14ac:dyDescent="0.25">
      <c r="A549" s="169">
        <v>42810</v>
      </c>
      <c r="B549" s="115">
        <v>242</v>
      </c>
      <c r="C549" s="115">
        <v>238.3</v>
      </c>
      <c r="D549" s="115">
        <v>238</v>
      </c>
      <c r="E549" s="115">
        <v>242</v>
      </c>
      <c r="F549" s="115">
        <v>238.3</v>
      </c>
      <c r="G549">
        <v>2718</v>
      </c>
      <c r="H549" s="115"/>
      <c r="I549" s="115"/>
      <c r="L549" s="169">
        <v>42810</v>
      </c>
      <c r="M549" s="115">
        <v>238.3</v>
      </c>
      <c r="N549" s="115">
        <v>244.8</v>
      </c>
      <c r="O549" s="115">
        <v>237.4</v>
      </c>
      <c r="P549" s="115">
        <v>243.8</v>
      </c>
      <c r="Q549" s="115">
        <v>238.3</v>
      </c>
      <c r="R549">
        <v>30942</v>
      </c>
    </row>
    <row r="550" spans="1:18" x14ac:dyDescent="0.25">
      <c r="A550" s="169">
        <v>42811</v>
      </c>
      <c r="B550" s="115">
        <v>240.25</v>
      </c>
      <c r="C550" s="115">
        <v>238.9</v>
      </c>
      <c r="D550" s="115">
        <v>236.95</v>
      </c>
      <c r="E550" s="115">
        <v>238.5</v>
      </c>
      <c r="F550" s="115">
        <v>238.9</v>
      </c>
      <c r="G550">
        <v>3658</v>
      </c>
      <c r="H550" s="115"/>
      <c r="I550" s="115"/>
      <c r="L550" s="169">
        <v>42811</v>
      </c>
      <c r="M550" s="115">
        <v>238.65</v>
      </c>
      <c r="N550" s="115">
        <v>240</v>
      </c>
      <c r="O550" s="115">
        <v>237.15</v>
      </c>
      <c r="P550" s="115">
        <v>239</v>
      </c>
      <c r="Q550" s="115">
        <v>238.65</v>
      </c>
      <c r="R550">
        <v>11281</v>
      </c>
    </row>
    <row r="551" spans="1:18" x14ac:dyDescent="0.25">
      <c r="A551" s="169">
        <v>42814</v>
      </c>
      <c r="B551" s="115">
        <v>240.5</v>
      </c>
      <c r="C551" s="115">
        <v>234.4</v>
      </c>
      <c r="D551" s="115">
        <v>230</v>
      </c>
      <c r="E551" s="115">
        <v>240.5</v>
      </c>
      <c r="F551" s="115">
        <v>234.4</v>
      </c>
      <c r="G551">
        <v>3310</v>
      </c>
      <c r="H551" s="115"/>
      <c r="I551" s="115"/>
      <c r="L551" s="169">
        <v>42814</v>
      </c>
      <c r="M551" s="115">
        <v>233.75</v>
      </c>
      <c r="N551" s="115">
        <v>241.9</v>
      </c>
      <c r="O551" s="115">
        <v>233.1</v>
      </c>
      <c r="P551" s="115">
        <v>240.9</v>
      </c>
      <c r="Q551" s="115">
        <v>233.75</v>
      </c>
      <c r="R551">
        <v>14459</v>
      </c>
    </row>
    <row r="552" spans="1:18" x14ac:dyDescent="0.25">
      <c r="A552" s="169">
        <v>42815</v>
      </c>
      <c r="B552" s="115">
        <v>241.85</v>
      </c>
      <c r="C552" s="115">
        <v>240.95</v>
      </c>
      <c r="D552" s="115">
        <v>234</v>
      </c>
      <c r="E552" s="115">
        <v>234.5</v>
      </c>
      <c r="F552" s="115">
        <v>240.95</v>
      </c>
      <c r="G552">
        <v>1038</v>
      </c>
      <c r="H552" s="115"/>
      <c r="I552" s="115"/>
      <c r="L552" s="169">
        <v>42815</v>
      </c>
      <c r="M552" s="115">
        <v>239.5</v>
      </c>
      <c r="N552" s="115">
        <v>241.5</v>
      </c>
      <c r="O552" s="115">
        <v>233.5</v>
      </c>
      <c r="P552" s="115">
        <v>235</v>
      </c>
      <c r="Q552" s="115">
        <v>239.5</v>
      </c>
      <c r="R552">
        <v>43714</v>
      </c>
    </row>
    <row r="553" spans="1:18" x14ac:dyDescent="0.25">
      <c r="A553" s="169">
        <v>42816</v>
      </c>
      <c r="B553" s="115">
        <v>240</v>
      </c>
      <c r="C553" s="115">
        <v>237.15</v>
      </c>
      <c r="D553" s="115">
        <v>236</v>
      </c>
      <c r="E553" s="115">
        <v>240</v>
      </c>
      <c r="F553" s="115">
        <v>237.15</v>
      </c>
      <c r="G553">
        <v>996</v>
      </c>
      <c r="H553" s="115"/>
      <c r="I553" s="115"/>
      <c r="L553" s="169">
        <v>42816</v>
      </c>
      <c r="M553" s="115">
        <v>237.15</v>
      </c>
      <c r="N553" s="115">
        <v>239.65</v>
      </c>
      <c r="O553" s="115">
        <v>236</v>
      </c>
      <c r="P553" s="115">
        <v>239</v>
      </c>
      <c r="Q553" s="115">
        <v>237.15</v>
      </c>
      <c r="R553">
        <v>13881</v>
      </c>
    </row>
    <row r="554" spans="1:18" x14ac:dyDescent="0.25">
      <c r="A554" s="169">
        <v>42817</v>
      </c>
      <c r="B554" s="115">
        <v>239.75</v>
      </c>
      <c r="C554" s="115">
        <v>238.8</v>
      </c>
      <c r="D554" s="115">
        <v>237.2</v>
      </c>
      <c r="E554" s="115">
        <v>237.2</v>
      </c>
      <c r="F554" s="115">
        <v>238.8</v>
      </c>
      <c r="G554">
        <v>363</v>
      </c>
      <c r="H554" s="115"/>
      <c r="I554" s="115"/>
      <c r="L554" s="169">
        <v>42817</v>
      </c>
      <c r="M554" s="115">
        <v>238.45</v>
      </c>
      <c r="N554" s="115">
        <v>241.85</v>
      </c>
      <c r="O554" s="115">
        <v>237</v>
      </c>
      <c r="P554" s="115">
        <v>237</v>
      </c>
      <c r="Q554" s="115">
        <v>238.45</v>
      </c>
      <c r="R554">
        <v>9002</v>
      </c>
    </row>
    <row r="555" spans="1:18" x14ac:dyDescent="0.25">
      <c r="A555" s="169">
        <v>42818</v>
      </c>
      <c r="B555" s="115">
        <v>244</v>
      </c>
      <c r="C555" s="115">
        <v>238.35</v>
      </c>
      <c r="D555" s="115">
        <v>236</v>
      </c>
      <c r="E555" s="115">
        <v>237.45</v>
      </c>
      <c r="F555" s="115">
        <v>238.35</v>
      </c>
      <c r="G555">
        <v>4827</v>
      </c>
      <c r="H555" s="115"/>
      <c r="I555" s="115"/>
      <c r="L555" s="169">
        <v>42818</v>
      </c>
      <c r="M555" s="115">
        <v>238.45</v>
      </c>
      <c r="N555" s="115">
        <v>244.9</v>
      </c>
      <c r="O555" s="115">
        <v>237.15</v>
      </c>
      <c r="P555" s="115">
        <v>240.05</v>
      </c>
      <c r="Q555" s="115">
        <v>238.45</v>
      </c>
      <c r="R555">
        <v>23417</v>
      </c>
    </row>
    <row r="556" spans="1:18" x14ac:dyDescent="0.25">
      <c r="A556" s="169">
        <v>42821</v>
      </c>
      <c r="B556" s="115">
        <v>241.1</v>
      </c>
      <c r="C556" s="115">
        <v>232.2</v>
      </c>
      <c r="D556" s="115">
        <v>231.6</v>
      </c>
      <c r="E556" s="115">
        <v>241.1</v>
      </c>
      <c r="F556" s="115">
        <v>232.2</v>
      </c>
      <c r="G556">
        <v>6023</v>
      </c>
      <c r="H556" s="115"/>
      <c r="I556" s="115"/>
      <c r="L556" s="169">
        <v>42821</v>
      </c>
      <c r="M556" s="115">
        <v>232.1</v>
      </c>
      <c r="N556" s="115">
        <v>242.7</v>
      </c>
      <c r="O556" s="115">
        <v>231.75</v>
      </c>
      <c r="P556" s="115">
        <v>242.7</v>
      </c>
      <c r="Q556" s="115">
        <v>232.1</v>
      </c>
      <c r="R556">
        <v>24872</v>
      </c>
    </row>
    <row r="557" spans="1:18" x14ac:dyDescent="0.25">
      <c r="A557" s="169">
        <v>42822</v>
      </c>
      <c r="B557" s="115">
        <v>237</v>
      </c>
      <c r="C557" s="115">
        <v>232</v>
      </c>
      <c r="D557" s="115">
        <v>231.65</v>
      </c>
      <c r="E557" s="115">
        <v>236.85</v>
      </c>
      <c r="F557" s="115">
        <v>232</v>
      </c>
      <c r="G557">
        <v>7976</v>
      </c>
      <c r="H557" s="115"/>
      <c r="I557" s="115"/>
      <c r="L557" s="169">
        <v>42822</v>
      </c>
      <c r="M557" s="115">
        <v>232.1</v>
      </c>
      <c r="N557" s="115">
        <v>238.9</v>
      </c>
      <c r="O557" s="115">
        <v>232</v>
      </c>
      <c r="P557" s="115">
        <v>237</v>
      </c>
      <c r="Q557" s="115">
        <v>232.1</v>
      </c>
      <c r="R557">
        <v>25058</v>
      </c>
    </row>
    <row r="558" spans="1:18" x14ac:dyDescent="0.25">
      <c r="A558" s="169">
        <v>42823</v>
      </c>
      <c r="B558" s="115">
        <v>234.85</v>
      </c>
      <c r="C558" s="115">
        <v>227.95</v>
      </c>
      <c r="D558" s="115">
        <v>227</v>
      </c>
      <c r="E558" s="115">
        <v>234.8</v>
      </c>
      <c r="F558" s="115">
        <v>227.95</v>
      </c>
      <c r="G558">
        <v>165034</v>
      </c>
      <c r="H558" s="115"/>
      <c r="I558" s="115"/>
      <c r="L558" s="169">
        <v>42823</v>
      </c>
      <c r="M558" s="115">
        <v>227.9</v>
      </c>
      <c r="N558" s="115">
        <v>235.05</v>
      </c>
      <c r="O558" s="115">
        <v>227.55</v>
      </c>
      <c r="P558" s="115">
        <v>232.95</v>
      </c>
      <c r="Q558" s="115">
        <v>227.9</v>
      </c>
      <c r="R558">
        <v>233834</v>
      </c>
    </row>
    <row r="559" spans="1:18" x14ac:dyDescent="0.25">
      <c r="A559" s="169">
        <v>42824</v>
      </c>
      <c r="B559" s="115">
        <v>242</v>
      </c>
      <c r="C559" s="115">
        <v>241</v>
      </c>
      <c r="D559" s="115">
        <v>228</v>
      </c>
      <c r="E559" s="115">
        <v>228</v>
      </c>
      <c r="F559" s="115">
        <v>241</v>
      </c>
      <c r="G559">
        <v>8829</v>
      </c>
      <c r="H559" s="115"/>
      <c r="I559" s="115"/>
      <c r="L559" s="169">
        <v>42824</v>
      </c>
      <c r="M559" s="115">
        <v>239.95</v>
      </c>
      <c r="N559" s="115">
        <v>241.55</v>
      </c>
      <c r="O559" s="115">
        <v>230.8</v>
      </c>
      <c r="P559" s="115">
        <v>230.8</v>
      </c>
      <c r="Q559" s="115">
        <v>239.95</v>
      </c>
      <c r="R559">
        <v>65017</v>
      </c>
    </row>
    <row r="560" spans="1:18" x14ac:dyDescent="0.25">
      <c r="A560" s="169">
        <v>42825</v>
      </c>
      <c r="B560" s="115">
        <v>244.5</v>
      </c>
      <c r="C560" s="115">
        <v>237.4</v>
      </c>
      <c r="D560" s="115">
        <v>235.25</v>
      </c>
      <c r="E560" s="115">
        <v>243</v>
      </c>
      <c r="F560" s="115">
        <v>237.4</v>
      </c>
      <c r="G560">
        <v>4915</v>
      </c>
      <c r="H560" s="115"/>
      <c r="I560" s="115"/>
      <c r="L560" s="169">
        <v>42825</v>
      </c>
      <c r="M560" s="115">
        <v>239.2</v>
      </c>
      <c r="N560" s="115">
        <v>245.4</v>
      </c>
      <c r="O560" s="115">
        <v>237.75</v>
      </c>
      <c r="P560" s="115">
        <v>241.95</v>
      </c>
      <c r="Q560" s="115">
        <v>239.2</v>
      </c>
      <c r="R560">
        <v>27270</v>
      </c>
    </row>
    <row r="561" spans="1:18" x14ac:dyDescent="0.25">
      <c r="A561" s="169">
        <v>42828</v>
      </c>
      <c r="B561" s="115">
        <v>246.8</v>
      </c>
      <c r="C561" s="115">
        <v>245.25</v>
      </c>
      <c r="D561" s="115">
        <v>239.95</v>
      </c>
      <c r="E561" s="115">
        <v>242</v>
      </c>
      <c r="F561" s="115">
        <v>245.25</v>
      </c>
      <c r="G561">
        <v>6899</v>
      </c>
      <c r="H561" s="115"/>
      <c r="I561" s="115"/>
      <c r="L561" s="169">
        <v>42828</v>
      </c>
      <c r="M561" s="115">
        <v>245.7</v>
      </c>
      <c r="N561" s="115">
        <v>248</v>
      </c>
      <c r="O561" s="115">
        <v>238.35</v>
      </c>
      <c r="P561" s="115">
        <v>242.35</v>
      </c>
      <c r="Q561" s="115">
        <v>245.7</v>
      </c>
      <c r="R561">
        <v>104965</v>
      </c>
    </row>
    <row r="562" spans="1:18" x14ac:dyDescent="0.25">
      <c r="A562" s="169">
        <v>42830</v>
      </c>
      <c r="B562" s="115">
        <v>258.75</v>
      </c>
      <c r="C562" s="115">
        <v>256.25</v>
      </c>
      <c r="D562" s="115">
        <v>244.15</v>
      </c>
      <c r="E562" s="115">
        <v>247</v>
      </c>
      <c r="F562" s="115">
        <v>256.25</v>
      </c>
      <c r="G562">
        <v>14128</v>
      </c>
      <c r="H562" s="115"/>
      <c r="I562" s="115"/>
      <c r="L562" s="169">
        <v>42830</v>
      </c>
      <c r="M562" s="115">
        <v>257.95</v>
      </c>
      <c r="N562" s="115">
        <v>260.3</v>
      </c>
      <c r="O562" s="115">
        <v>245.05</v>
      </c>
      <c r="P562" s="115">
        <v>246.7</v>
      </c>
      <c r="Q562" s="115">
        <v>257.95</v>
      </c>
      <c r="R562">
        <v>91568</v>
      </c>
    </row>
    <row r="563" spans="1:18" x14ac:dyDescent="0.25">
      <c r="A563" s="169">
        <v>42831</v>
      </c>
      <c r="B563" s="115">
        <v>261</v>
      </c>
      <c r="C563" s="115">
        <v>255.6</v>
      </c>
      <c r="D563" s="115">
        <v>254</v>
      </c>
      <c r="E563" s="115">
        <v>256.85000000000002</v>
      </c>
      <c r="F563" s="115">
        <v>255.6</v>
      </c>
      <c r="G563">
        <v>7224</v>
      </c>
      <c r="H563" s="115"/>
      <c r="I563" s="115"/>
      <c r="L563" s="169">
        <v>42831</v>
      </c>
      <c r="M563" s="115">
        <v>257.35000000000002</v>
      </c>
      <c r="N563" s="115">
        <v>263.5</v>
      </c>
      <c r="O563" s="115">
        <v>255</v>
      </c>
      <c r="P563" s="115">
        <v>255.15</v>
      </c>
      <c r="Q563" s="115">
        <v>257.35000000000002</v>
      </c>
      <c r="R563">
        <v>50175</v>
      </c>
    </row>
    <row r="564" spans="1:18" x14ac:dyDescent="0.25">
      <c r="A564" s="169">
        <v>42832</v>
      </c>
      <c r="B564" s="115">
        <v>274</v>
      </c>
      <c r="C564" s="115">
        <v>267.7</v>
      </c>
      <c r="D564" s="115">
        <v>255</v>
      </c>
      <c r="E564" s="115">
        <v>255</v>
      </c>
      <c r="F564" s="115">
        <v>267.7</v>
      </c>
      <c r="G564">
        <v>18233</v>
      </c>
      <c r="H564" s="115"/>
      <c r="I564" s="115"/>
      <c r="L564" s="169">
        <v>42832</v>
      </c>
      <c r="M564" s="115">
        <v>268.89999999999998</v>
      </c>
      <c r="N564" s="115">
        <v>275</v>
      </c>
      <c r="O564" s="115">
        <v>253.1</v>
      </c>
      <c r="P564" s="115">
        <v>253.1</v>
      </c>
      <c r="Q564" s="115">
        <v>268.89999999999998</v>
      </c>
      <c r="R564">
        <v>88709</v>
      </c>
    </row>
    <row r="565" spans="1:18" x14ac:dyDescent="0.25">
      <c r="A565" s="169">
        <v>42835</v>
      </c>
      <c r="B565" s="115">
        <v>277.39999999999998</v>
      </c>
      <c r="C565" s="115">
        <v>267.95</v>
      </c>
      <c r="D565" s="115">
        <v>265</v>
      </c>
      <c r="E565" s="115">
        <v>269.89999999999998</v>
      </c>
      <c r="F565" s="115">
        <v>267.95</v>
      </c>
      <c r="G565">
        <v>7579</v>
      </c>
      <c r="H565" s="115"/>
      <c r="I565" s="115"/>
      <c r="L565" s="169">
        <v>42835</v>
      </c>
      <c r="M565" s="115">
        <v>266</v>
      </c>
      <c r="N565" s="115">
        <v>274</v>
      </c>
      <c r="O565" s="115">
        <v>264.60000000000002</v>
      </c>
      <c r="P565" s="115">
        <v>269.89999999999998</v>
      </c>
      <c r="Q565" s="115">
        <v>266</v>
      </c>
      <c r="R565">
        <v>50685</v>
      </c>
    </row>
    <row r="566" spans="1:18" x14ac:dyDescent="0.25">
      <c r="A566" s="169">
        <v>42836</v>
      </c>
      <c r="B566" s="115">
        <v>274.39999999999998</v>
      </c>
      <c r="C566" s="115">
        <v>265.55</v>
      </c>
      <c r="D566" s="115">
        <v>265</v>
      </c>
      <c r="E566" s="115">
        <v>268</v>
      </c>
      <c r="F566" s="115">
        <v>265.55</v>
      </c>
      <c r="G566">
        <v>4099</v>
      </c>
      <c r="H566" s="115"/>
      <c r="I566" s="115"/>
      <c r="L566" s="169">
        <v>42836</v>
      </c>
      <c r="M566" s="115">
        <v>266.39999999999998</v>
      </c>
      <c r="N566" s="115">
        <v>274.85000000000002</v>
      </c>
      <c r="O566" s="115">
        <v>264.05</v>
      </c>
      <c r="P566" s="115">
        <v>267.25</v>
      </c>
      <c r="Q566" s="115">
        <v>266.39999999999998</v>
      </c>
      <c r="R566">
        <v>36482</v>
      </c>
    </row>
    <row r="567" spans="1:18" x14ac:dyDescent="0.25">
      <c r="A567" s="169">
        <v>42837</v>
      </c>
      <c r="B567" s="115">
        <v>270</v>
      </c>
      <c r="C567" s="115">
        <v>264.8</v>
      </c>
      <c r="D567" s="115">
        <v>261.95</v>
      </c>
      <c r="E567" s="115">
        <v>270</v>
      </c>
      <c r="F567" s="115">
        <v>264.8</v>
      </c>
      <c r="G567">
        <v>1208</v>
      </c>
      <c r="H567" s="115"/>
      <c r="I567" s="115"/>
      <c r="L567" s="169">
        <v>42837</v>
      </c>
      <c r="M567" s="115">
        <v>262.75</v>
      </c>
      <c r="N567" s="115">
        <v>271.8</v>
      </c>
      <c r="O567" s="115">
        <v>262</v>
      </c>
      <c r="P567" s="115">
        <v>266.39999999999998</v>
      </c>
      <c r="Q567" s="115">
        <v>262.75</v>
      </c>
      <c r="R567">
        <v>26092</v>
      </c>
    </row>
    <row r="568" spans="1:18" x14ac:dyDescent="0.25">
      <c r="A568" s="169">
        <v>42838</v>
      </c>
      <c r="B568" s="115">
        <v>265</v>
      </c>
      <c r="C568" s="115">
        <v>261.60000000000002</v>
      </c>
      <c r="D568" s="115">
        <v>258.35000000000002</v>
      </c>
      <c r="E568" s="115">
        <v>265</v>
      </c>
      <c r="F568" s="115">
        <v>261.60000000000002</v>
      </c>
      <c r="G568">
        <v>4420</v>
      </c>
      <c r="H568" s="115"/>
      <c r="I568" s="115"/>
      <c r="L568" s="169">
        <v>42838</v>
      </c>
      <c r="M568" s="115">
        <v>258.14999999999998</v>
      </c>
      <c r="N568" s="115">
        <v>269.85000000000002</v>
      </c>
      <c r="O568" s="115">
        <v>257.05</v>
      </c>
      <c r="P568" s="115">
        <v>269.85000000000002</v>
      </c>
      <c r="Q568" s="115">
        <v>258.14999999999998</v>
      </c>
      <c r="R568">
        <v>16338</v>
      </c>
    </row>
    <row r="569" spans="1:18" x14ac:dyDescent="0.25">
      <c r="A569" s="169">
        <v>42842</v>
      </c>
      <c r="B569" s="115">
        <v>262.14999999999998</v>
      </c>
      <c r="C569" s="115">
        <v>256.10000000000002</v>
      </c>
      <c r="D569" s="115">
        <v>255</v>
      </c>
      <c r="E569" s="115">
        <v>259.7</v>
      </c>
      <c r="F569" s="115">
        <v>256.10000000000002</v>
      </c>
      <c r="G569">
        <v>2020</v>
      </c>
      <c r="H569" s="115"/>
      <c r="I569" s="115"/>
      <c r="L569" s="169">
        <v>42842</v>
      </c>
      <c r="M569" s="115">
        <v>256</v>
      </c>
      <c r="N569" s="115">
        <v>262.89999999999998</v>
      </c>
      <c r="O569" s="115">
        <v>255.2</v>
      </c>
      <c r="P569" s="115">
        <v>262</v>
      </c>
      <c r="Q569" s="115">
        <v>256</v>
      </c>
      <c r="R569">
        <v>16517</v>
      </c>
    </row>
    <row r="570" spans="1:18" x14ac:dyDescent="0.25">
      <c r="A570" s="169">
        <v>42843</v>
      </c>
      <c r="B570" s="115">
        <v>267</v>
      </c>
      <c r="C570" s="115">
        <v>256</v>
      </c>
      <c r="D570" s="115">
        <v>251.6</v>
      </c>
      <c r="E570" s="115">
        <v>260.89999999999998</v>
      </c>
      <c r="F570" s="115">
        <v>256</v>
      </c>
      <c r="G570">
        <v>3265</v>
      </c>
      <c r="H570" s="115"/>
      <c r="I570" s="115"/>
      <c r="L570" s="169">
        <v>42843</v>
      </c>
      <c r="M570" s="115">
        <v>254.95</v>
      </c>
      <c r="N570" s="115">
        <v>269.95</v>
      </c>
      <c r="O570" s="115">
        <v>250.55</v>
      </c>
      <c r="P570" s="115">
        <v>254.35</v>
      </c>
      <c r="Q570" s="115">
        <v>254.95</v>
      </c>
      <c r="R570">
        <v>68879</v>
      </c>
    </row>
    <row r="571" spans="1:18" x14ac:dyDescent="0.25">
      <c r="A571" s="169">
        <v>42844</v>
      </c>
      <c r="B571" s="115">
        <v>261</v>
      </c>
      <c r="C571" s="115">
        <v>259.35000000000002</v>
      </c>
      <c r="D571" s="115">
        <v>252.05</v>
      </c>
      <c r="E571" s="115">
        <v>254.5</v>
      </c>
      <c r="F571" s="115">
        <v>259.35000000000002</v>
      </c>
      <c r="G571">
        <v>6792</v>
      </c>
      <c r="H571" s="115"/>
      <c r="I571" s="115"/>
      <c r="L571" s="169">
        <v>42844</v>
      </c>
      <c r="M571" s="115">
        <v>257.25</v>
      </c>
      <c r="N571" s="115">
        <v>258.89999999999998</v>
      </c>
      <c r="O571" s="115">
        <v>251.1</v>
      </c>
      <c r="P571" s="115">
        <v>257.5</v>
      </c>
      <c r="Q571" s="115">
        <v>257.25</v>
      </c>
      <c r="R571">
        <v>20090</v>
      </c>
    </row>
    <row r="572" spans="1:18" x14ac:dyDescent="0.25">
      <c r="A572" s="169">
        <v>42845</v>
      </c>
      <c r="B572" s="115">
        <v>271</v>
      </c>
      <c r="C572" s="115">
        <v>254.35</v>
      </c>
      <c r="D572" s="115">
        <v>253.5</v>
      </c>
      <c r="E572" s="115">
        <v>271</v>
      </c>
      <c r="F572" s="115">
        <v>254.35</v>
      </c>
      <c r="G572">
        <v>6527</v>
      </c>
      <c r="H572" s="115"/>
      <c r="I572" s="115"/>
      <c r="L572" s="169">
        <v>42845</v>
      </c>
      <c r="M572" s="115">
        <v>255.15</v>
      </c>
      <c r="N572" s="115">
        <v>262.89999999999998</v>
      </c>
      <c r="O572" s="115">
        <v>253.1</v>
      </c>
      <c r="P572" s="115">
        <v>262.25</v>
      </c>
      <c r="Q572" s="115">
        <v>255.15</v>
      </c>
      <c r="R572">
        <v>38029</v>
      </c>
    </row>
    <row r="573" spans="1:18" x14ac:dyDescent="0.25">
      <c r="A573" s="169">
        <v>42846</v>
      </c>
      <c r="B573" s="115">
        <v>272.55</v>
      </c>
      <c r="C573" s="115">
        <v>261.10000000000002</v>
      </c>
      <c r="D573" s="115">
        <v>259.8</v>
      </c>
      <c r="E573" s="115">
        <v>260</v>
      </c>
      <c r="F573" s="115">
        <v>261.10000000000002</v>
      </c>
      <c r="G573">
        <v>33153</v>
      </c>
      <c r="H573" s="115"/>
      <c r="I573" s="115"/>
      <c r="L573" s="169">
        <v>42846</v>
      </c>
      <c r="M573" s="115">
        <v>259.5</v>
      </c>
      <c r="N573" s="115">
        <v>273</v>
      </c>
      <c r="O573" s="115">
        <v>258.45</v>
      </c>
      <c r="P573" s="115">
        <v>264</v>
      </c>
      <c r="Q573" s="115">
        <v>259.5</v>
      </c>
      <c r="R573">
        <v>92247</v>
      </c>
    </row>
    <row r="574" spans="1:18" x14ac:dyDescent="0.25">
      <c r="A574" s="169">
        <v>42849</v>
      </c>
      <c r="B574" s="115">
        <v>265.85000000000002</v>
      </c>
      <c r="C574" s="115">
        <v>260.89999999999998</v>
      </c>
      <c r="D574" s="115">
        <v>257</v>
      </c>
      <c r="E574" s="115">
        <v>263.25</v>
      </c>
      <c r="F574" s="115">
        <v>260.89999999999998</v>
      </c>
      <c r="G574">
        <v>11345</v>
      </c>
      <c r="H574" s="115"/>
      <c r="I574" s="115"/>
      <c r="L574" s="169">
        <v>42849</v>
      </c>
      <c r="M574" s="115">
        <v>258.8</v>
      </c>
      <c r="N574" s="115">
        <v>266.2</v>
      </c>
      <c r="O574" s="115">
        <v>256.95</v>
      </c>
      <c r="P574" s="115">
        <v>262.05</v>
      </c>
      <c r="Q574" s="115">
        <v>258.8</v>
      </c>
      <c r="R574">
        <v>103094</v>
      </c>
    </row>
    <row r="575" spans="1:18" x14ac:dyDescent="0.25">
      <c r="A575" s="169">
        <v>42850</v>
      </c>
      <c r="B575" s="115">
        <v>269</v>
      </c>
      <c r="C575" s="115">
        <v>264.5</v>
      </c>
      <c r="D575" s="115">
        <v>261</v>
      </c>
      <c r="E575" s="115">
        <v>262</v>
      </c>
      <c r="F575" s="115">
        <v>264.5</v>
      </c>
      <c r="G575">
        <v>14696</v>
      </c>
      <c r="H575" s="115"/>
      <c r="I575" s="115"/>
      <c r="L575" s="169">
        <v>42850</v>
      </c>
      <c r="M575" s="115">
        <v>264.95</v>
      </c>
      <c r="N575" s="115">
        <v>266.14999999999998</v>
      </c>
      <c r="O575" s="115">
        <v>255</v>
      </c>
      <c r="P575" s="115">
        <v>259.10000000000002</v>
      </c>
      <c r="Q575" s="115">
        <v>264.95</v>
      </c>
      <c r="R575">
        <v>73742</v>
      </c>
    </row>
    <row r="576" spans="1:18" x14ac:dyDescent="0.25">
      <c r="A576" s="169">
        <v>42851</v>
      </c>
      <c r="B576" s="115">
        <v>272</v>
      </c>
      <c r="C576" s="115">
        <v>265.39999999999998</v>
      </c>
      <c r="D576" s="115">
        <v>264</v>
      </c>
      <c r="E576" s="115">
        <v>270.60000000000002</v>
      </c>
      <c r="F576" s="115">
        <v>265.39999999999998</v>
      </c>
      <c r="G576">
        <v>44115</v>
      </c>
      <c r="H576" s="115"/>
      <c r="I576" s="115"/>
      <c r="L576" s="169">
        <v>42851</v>
      </c>
      <c r="M576" s="115">
        <v>265.55</v>
      </c>
      <c r="N576" s="115">
        <v>271.10000000000002</v>
      </c>
      <c r="O576" s="115">
        <v>264</v>
      </c>
      <c r="P576" s="115">
        <v>266</v>
      </c>
      <c r="Q576" s="115">
        <v>265.55</v>
      </c>
      <c r="R576">
        <v>86521</v>
      </c>
    </row>
    <row r="577" spans="1:18" x14ac:dyDescent="0.25">
      <c r="A577" s="169">
        <v>42852</v>
      </c>
      <c r="B577" s="115">
        <v>275.7</v>
      </c>
      <c r="C577" s="115">
        <v>269.7</v>
      </c>
      <c r="D577" s="115">
        <v>257.5</v>
      </c>
      <c r="E577" s="115">
        <v>264.5</v>
      </c>
      <c r="F577" s="115">
        <v>269.7</v>
      </c>
      <c r="G577">
        <v>10040</v>
      </c>
      <c r="H577" s="115"/>
      <c r="I577" s="115"/>
      <c r="L577" s="169">
        <v>42852</v>
      </c>
      <c r="M577" s="115">
        <v>269.64999999999998</v>
      </c>
      <c r="N577" s="115">
        <v>276.14999999999998</v>
      </c>
      <c r="O577" s="115">
        <v>262.8</v>
      </c>
      <c r="P577" s="115">
        <v>265.95</v>
      </c>
      <c r="Q577" s="115">
        <v>269.64999999999998</v>
      </c>
      <c r="R577">
        <v>103299</v>
      </c>
    </row>
    <row r="578" spans="1:18" x14ac:dyDescent="0.25">
      <c r="A578" s="169">
        <v>42853</v>
      </c>
      <c r="B578" s="115">
        <v>271.5</v>
      </c>
      <c r="C578" s="115">
        <v>271.10000000000002</v>
      </c>
      <c r="D578" s="115">
        <v>265.89999999999998</v>
      </c>
      <c r="E578" s="115">
        <v>269.5</v>
      </c>
      <c r="F578" s="115">
        <v>271.10000000000002</v>
      </c>
      <c r="G578">
        <v>2439</v>
      </c>
      <c r="H578" s="115"/>
      <c r="I578" s="115"/>
      <c r="L578" s="169">
        <v>42853</v>
      </c>
      <c r="M578" s="115">
        <v>271.25</v>
      </c>
      <c r="N578" s="115">
        <v>275</v>
      </c>
      <c r="O578" s="115">
        <v>266.2</v>
      </c>
      <c r="P578" s="115">
        <v>268.5</v>
      </c>
      <c r="Q578" s="115">
        <v>271.25</v>
      </c>
      <c r="R578">
        <v>21646</v>
      </c>
    </row>
    <row r="579" spans="1:18" x14ac:dyDescent="0.25">
      <c r="A579" s="169">
        <v>42857</v>
      </c>
      <c r="B579" s="115">
        <v>274</v>
      </c>
      <c r="C579" s="115">
        <v>269.3</v>
      </c>
      <c r="D579" s="115">
        <v>268.64999999999998</v>
      </c>
      <c r="E579" s="115">
        <v>274</v>
      </c>
      <c r="F579" s="115">
        <v>269.3</v>
      </c>
      <c r="G579">
        <v>4377</v>
      </c>
      <c r="H579" s="115"/>
      <c r="I579" s="115"/>
      <c r="L579" s="169">
        <v>42857</v>
      </c>
      <c r="M579" s="115">
        <v>268.64999999999998</v>
      </c>
      <c r="N579" s="115">
        <v>274.64999999999998</v>
      </c>
      <c r="O579" s="115">
        <v>267</v>
      </c>
      <c r="P579" s="115">
        <v>267.5</v>
      </c>
      <c r="Q579" s="115">
        <v>268.64999999999998</v>
      </c>
      <c r="R579">
        <v>28663</v>
      </c>
    </row>
    <row r="580" spans="1:18" x14ac:dyDescent="0.25">
      <c r="A580" s="169">
        <v>42858</v>
      </c>
      <c r="B580" s="115">
        <v>274</v>
      </c>
      <c r="C580" s="115">
        <v>270</v>
      </c>
      <c r="D580" s="115">
        <v>268.25</v>
      </c>
      <c r="E580" s="115">
        <v>270</v>
      </c>
      <c r="F580" s="115">
        <v>270</v>
      </c>
      <c r="G580">
        <v>2993</v>
      </c>
      <c r="H580" s="115"/>
      <c r="I580" s="115"/>
      <c r="L580" s="169">
        <v>42858</v>
      </c>
      <c r="M580" s="115">
        <v>268.25</v>
      </c>
      <c r="N580" s="115">
        <v>272.85000000000002</v>
      </c>
      <c r="O580" s="115">
        <v>267</v>
      </c>
      <c r="P580" s="115">
        <v>268</v>
      </c>
      <c r="Q580" s="115">
        <v>268.25</v>
      </c>
      <c r="R580">
        <v>21547</v>
      </c>
    </row>
    <row r="581" spans="1:18" x14ac:dyDescent="0.25">
      <c r="A581" s="169">
        <v>42859</v>
      </c>
      <c r="B581" s="115">
        <v>270.64999999999998</v>
      </c>
      <c r="C581" s="115">
        <v>265.45</v>
      </c>
      <c r="D581" s="115">
        <v>265</v>
      </c>
      <c r="E581" s="115">
        <v>270.64999999999998</v>
      </c>
      <c r="F581" s="115">
        <v>265.45</v>
      </c>
      <c r="G581">
        <v>3528</v>
      </c>
      <c r="H581" s="115"/>
      <c r="I581" s="115"/>
      <c r="L581" s="169">
        <v>42859</v>
      </c>
      <c r="M581" s="115">
        <v>265.35000000000002</v>
      </c>
      <c r="N581" s="115">
        <v>272</v>
      </c>
      <c r="O581" s="115">
        <v>264.3</v>
      </c>
      <c r="P581" s="115">
        <v>268</v>
      </c>
      <c r="Q581" s="115">
        <v>265.35000000000002</v>
      </c>
      <c r="R581">
        <v>14925</v>
      </c>
    </row>
    <row r="582" spans="1:18" x14ac:dyDescent="0.25">
      <c r="A582" s="169">
        <v>42860</v>
      </c>
      <c r="B582" s="115">
        <v>271</v>
      </c>
      <c r="C582" s="115">
        <v>264.05</v>
      </c>
      <c r="D582" s="115">
        <v>261.89999999999998</v>
      </c>
      <c r="E582" s="115">
        <v>265</v>
      </c>
      <c r="F582" s="115">
        <v>264.05</v>
      </c>
      <c r="G582">
        <v>3380</v>
      </c>
      <c r="H582" s="115"/>
      <c r="I582" s="115"/>
      <c r="L582" s="169">
        <v>42860</v>
      </c>
      <c r="M582" s="115">
        <v>263.05</v>
      </c>
      <c r="N582" s="115">
        <v>270</v>
      </c>
      <c r="O582" s="115">
        <v>261.35000000000002</v>
      </c>
      <c r="P582" s="115">
        <v>264.64999999999998</v>
      </c>
      <c r="Q582" s="115">
        <v>263.05</v>
      </c>
      <c r="R582">
        <v>17579</v>
      </c>
    </row>
    <row r="583" spans="1:18" x14ac:dyDescent="0.25">
      <c r="A583" s="169">
        <v>42863</v>
      </c>
      <c r="B583" s="115">
        <v>268.5</v>
      </c>
      <c r="C583" s="115">
        <v>265.05</v>
      </c>
      <c r="D583" s="115">
        <v>260</v>
      </c>
      <c r="E583" s="115">
        <v>264.25</v>
      </c>
      <c r="F583" s="115">
        <v>265.05</v>
      </c>
      <c r="G583">
        <v>2852</v>
      </c>
      <c r="H583" s="115"/>
      <c r="I583" s="115"/>
      <c r="L583" s="169">
        <v>42863</v>
      </c>
      <c r="M583" s="115">
        <v>265.39999999999998</v>
      </c>
      <c r="N583" s="115">
        <v>268.05</v>
      </c>
      <c r="O583" s="115">
        <v>262.05</v>
      </c>
      <c r="P583" s="115">
        <v>263.14999999999998</v>
      </c>
      <c r="Q583" s="115">
        <v>265.39999999999998</v>
      </c>
      <c r="R583">
        <v>14963</v>
      </c>
    </row>
    <row r="584" spans="1:18" x14ac:dyDescent="0.25">
      <c r="A584" s="169">
        <v>42864</v>
      </c>
      <c r="B584" s="115">
        <v>268.85000000000002</v>
      </c>
      <c r="C584" s="115">
        <v>265</v>
      </c>
      <c r="D584" s="115">
        <v>263.85000000000002</v>
      </c>
      <c r="E584" s="115">
        <v>267.5</v>
      </c>
      <c r="F584" s="115">
        <v>265</v>
      </c>
      <c r="G584">
        <v>1730</v>
      </c>
      <c r="H584" s="115"/>
      <c r="I584" s="115"/>
      <c r="L584" s="169">
        <v>42864</v>
      </c>
      <c r="M584" s="115">
        <v>265.45</v>
      </c>
      <c r="N584" s="115">
        <v>269.5</v>
      </c>
      <c r="O584" s="115">
        <v>263.14999999999998</v>
      </c>
      <c r="P584" s="115">
        <v>264.7</v>
      </c>
      <c r="Q584" s="115">
        <v>265.45</v>
      </c>
      <c r="R584">
        <v>13380</v>
      </c>
    </row>
    <row r="585" spans="1:18" x14ac:dyDescent="0.25">
      <c r="A585" s="169">
        <v>42865</v>
      </c>
      <c r="B585" s="115">
        <v>272.60000000000002</v>
      </c>
      <c r="C585" s="115">
        <v>271.64999999999998</v>
      </c>
      <c r="D585" s="115">
        <v>265.64999999999998</v>
      </c>
      <c r="E585" s="115">
        <v>265.64999999999998</v>
      </c>
      <c r="F585" s="115">
        <v>271.64999999999998</v>
      </c>
      <c r="G585">
        <v>3612</v>
      </c>
      <c r="H585" s="115"/>
      <c r="I585" s="115"/>
      <c r="L585" s="169">
        <v>42865</v>
      </c>
      <c r="M585" s="115">
        <v>269.85000000000002</v>
      </c>
      <c r="N585" s="115">
        <v>272.10000000000002</v>
      </c>
      <c r="O585" s="115">
        <v>264.25</v>
      </c>
      <c r="P585" s="115">
        <v>264.5</v>
      </c>
      <c r="Q585" s="115">
        <v>269.85000000000002</v>
      </c>
      <c r="R585">
        <v>27783</v>
      </c>
    </row>
    <row r="586" spans="1:18" x14ac:dyDescent="0.25">
      <c r="A586" s="169">
        <v>42866</v>
      </c>
      <c r="B586" s="115">
        <v>275</v>
      </c>
      <c r="C586" s="115">
        <v>270.8</v>
      </c>
      <c r="D586" s="115">
        <v>268.89999999999998</v>
      </c>
      <c r="E586" s="115">
        <v>274.39999999999998</v>
      </c>
      <c r="F586" s="115">
        <v>270.8</v>
      </c>
      <c r="G586">
        <v>1639</v>
      </c>
      <c r="H586" s="115"/>
      <c r="I586" s="115"/>
      <c r="L586" s="169">
        <v>42866</v>
      </c>
      <c r="M586" s="115">
        <v>270.25</v>
      </c>
      <c r="N586" s="115">
        <v>273</v>
      </c>
      <c r="O586" s="115">
        <v>266.10000000000002</v>
      </c>
      <c r="P586" s="115">
        <v>269</v>
      </c>
      <c r="Q586" s="115">
        <v>270.25</v>
      </c>
      <c r="R586">
        <v>15481</v>
      </c>
    </row>
    <row r="587" spans="1:18" x14ac:dyDescent="0.25">
      <c r="A587" s="169">
        <v>42867</v>
      </c>
      <c r="B587" s="115">
        <v>274.85000000000002</v>
      </c>
      <c r="C587" s="115">
        <v>268.8</v>
      </c>
      <c r="D587" s="115">
        <v>266.10000000000002</v>
      </c>
      <c r="E587" s="115">
        <v>267</v>
      </c>
      <c r="F587" s="115">
        <v>268.8</v>
      </c>
      <c r="G587">
        <v>3739</v>
      </c>
      <c r="H587" s="115"/>
      <c r="I587" s="115"/>
      <c r="L587" s="169">
        <v>42867</v>
      </c>
      <c r="M587" s="115">
        <v>270.5</v>
      </c>
      <c r="N587" s="115">
        <v>274.7</v>
      </c>
      <c r="O587" s="115">
        <v>265.89999999999998</v>
      </c>
      <c r="P587" s="115">
        <v>269.05</v>
      </c>
      <c r="Q587" s="115">
        <v>270.5</v>
      </c>
      <c r="R587">
        <v>19511</v>
      </c>
    </row>
    <row r="588" spans="1:18" x14ac:dyDescent="0.25">
      <c r="A588" s="169">
        <v>42870</v>
      </c>
      <c r="B588" s="115">
        <v>269</v>
      </c>
      <c r="C588" s="115">
        <v>257.85000000000002</v>
      </c>
      <c r="D588" s="115">
        <v>250.25</v>
      </c>
      <c r="E588" s="115">
        <v>269</v>
      </c>
      <c r="F588" s="115">
        <v>257.85000000000002</v>
      </c>
      <c r="G588">
        <v>7233</v>
      </c>
      <c r="H588" s="115"/>
      <c r="I588" s="115"/>
      <c r="L588" s="169">
        <v>42870</v>
      </c>
      <c r="M588" s="115">
        <v>257.5</v>
      </c>
      <c r="N588" s="115">
        <v>264</v>
      </c>
      <c r="O588" s="115">
        <v>248.65</v>
      </c>
      <c r="P588" s="115">
        <v>262</v>
      </c>
      <c r="Q588" s="115">
        <v>257.5</v>
      </c>
      <c r="R588">
        <v>75113</v>
      </c>
    </row>
    <row r="589" spans="1:18" x14ac:dyDescent="0.25">
      <c r="A589" s="169">
        <v>42871</v>
      </c>
      <c r="B589" s="115">
        <v>262</v>
      </c>
      <c r="C589" s="115">
        <v>258.14999999999998</v>
      </c>
      <c r="D589" s="115">
        <v>257.10000000000002</v>
      </c>
      <c r="E589" s="115">
        <v>258.10000000000002</v>
      </c>
      <c r="F589" s="115">
        <v>258.14999999999998</v>
      </c>
      <c r="G589">
        <v>3646</v>
      </c>
      <c r="H589" s="115"/>
      <c r="I589" s="115"/>
      <c r="L589" s="169">
        <v>42871</v>
      </c>
      <c r="M589" s="115">
        <v>259.7</v>
      </c>
      <c r="N589" s="115">
        <v>262.8</v>
      </c>
      <c r="O589" s="115">
        <v>256.55</v>
      </c>
      <c r="P589" s="115">
        <v>258.89999999999998</v>
      </c>
      <c r="Q589" s="115">
        <v>259.7</v>
      </c>
      <c r="R589">
        <v>16629</v>
      </c>
    </row>
    <row r="590" spans="1:18" x14ac:dyDescent="0.25">
      <c r="A590" s="169">
        <v>42872</v>
      </c>
      <c r="B590" s="115">
        <v>263</v>
      </c>
      <c r="C590" s="115">
        <v>260.75</v>
      </c>
      <c r="D590" s="115">
        <v>259.55</v>
      </c>
      <c r="E590" s="115">
        <v>259.89999999999998</v>
      </c>
      <c r="F590" s="115">
        <v>260.75</v>
      </c>
      <c r="G590">
        <v>5997</v>
      </c>
      <c r="H590" s="115"/>
      <c r="I590" s="115"/>
      <c r="L590" s="169">
        <v>42872</v>
      </c>
      <c r="M590" s="115">
        <v>260.55</v>
      </c>
      <c r="N590" s="115">
        <v>264</v>
      </c>
      <c r="O590" s="115">
        <v>258</v>
      </c>
      <c r="P590" s="115">
        <v>261.45</v>
      </c>
      <c r="Q590" s="115">
        <v>260.55</v>
      </c>
      <c r="R590">
        <v>16582</v>
      </c>
    </row>
    <row r="591" spans="1:18" x14ac:dyDescent="0.25">
      <c r="A591" s="169">
        <v>42873</v>
      </c>
      <c r="B591" s="115">
        <v>262.10000000000002</v>
      </c>
      <c r="C591" s="115">
        <v>255</v>
      </c>
      <c r="D591" s="115">
        <v>254.45</v>
      </c>
      <c r="E591" s="115">
        <v>262.10000000000002</v>
      </c>
      <c r="F591" s="115">
        <v>255</v>
      </c>
      <c r="G591">
        <v>4207</v>
      </c>
      <c r="H591" s="115"/>
      <c r="I591" s="115"/>
      <c r="L591" s="169">
        <v>42873</v>
      </c>
      <c r="M591" s="115">
        <v>256.8</v>
      </c>
      <c r="N591" s="115">
        <v>263.2</v>
      </c>
      <c r="O591" s="115">
        <v>255.4</v>
      </c>
      <c r="P591" s="115">
        <v>261.60000000000002</v>
      </c>
      <c r="Q591" s="115">
        <v>256.8</v>
      </c>
      <c r="R591">
        <v>16558</v>
      </c>
    </row>
    <row r="592" spans="1:18" x14ac:dyDescent="0.25">
      <c r="A592" s="169">
        <v>42874</v>
      </c>
      <c r="B592" s="115">
        <v>258.89999999999998</v>
      </c>
      <c r="C592" s="115">
        <v>252.8</v>
      </c>
      <c r="D592" s="115">
        <v>251.15</v>
      </c>
      <c r="E592" s="115">
        <v>258.89999999999998</v>
      </c>
      <c r="F592" s="115">
        <v>252.8</v>
      </c>
      <c r="G592">
        <v>2359</v>
      </c>
      <c r="H592" s="115"/>
      <c r="I592" s="115"/>
      <c r="L592" s="169">
        <v>42874</v>
      </c>
      <c r="M592" s="115">
        <v>252.05</v>
      </c>
      <c r="N592" s="115">
        <v>261</v>
      </c>
      <c r="O592" s="115">
        <v>250.5</v>
      </c>
      <c r="P592" s="115">
        <v>255.5</v>
      </c>
      <c r="Q592" s="115">
        <v>252.05</v>
      </c>
      <c r="R592">
        <v>14150</v>
      </c>
    </row>
    <row r="593" spans="1:18" x14ac:dyDescent="0.25">
      <c r="A593" s="169">
        <v>42877</v>
      </c>
      <c r="B593" s="115">
        <v>255</v>
      </c>
      <c r="C593" s="115">
        <v>251</v>
      </c>
      <c r="D593" s="115">
        <v>250</v>
      </c>
      <c r="E593" s="115">
        <v>255</v>
      </c>
      <c r="F593" s="115">
        <v>251</v>
      </c>
      <c r="G593">
        <v>1882</v>
      </c>
      <c r="H593" s="115"/>
      <c r="I593" s="115"/>
      <c r="L593" s="169">
        <v>42877</v>
      </c>
      <c r="M593" s="115">
        <v>250.25</v>
      </c>
      <c r="N593" s="115">
        <v>259</v>
      </c>
      <c r="O593" s="115">
        <v>249.05</v>
      </c>
      <c r="P593" s="115">
        <v>252.55</v>
      </c>
      <c r="Q593" s="115">
        <v>250.25</v>
      </c>
      <c r="R593">
        <v>13687</v>
      </c>
    </row>
    <row r="594" spans="1:18" x14ac:dyDescent="0.25">
      <c r="A594" s="169">
        <v>42878</v>
      </c>
      <c r="B594" s="115">
        <v>252</v>
      </c>
      <c r="C594" s="115">
        <v>251.15</v>
      </c>
      <c r="D594" s="115">
        <v>243.55</v>
      </c>
      <c r="E594" s="115">
        <v>252</v>
      </c>
      <c r="F594" s="115">
        <v>251.15</v>
      </c>
      <c r="G594">
        <v>995</v>
      </c>
      <c r="H594" s="115"/>
      <c r="I594" s="115"/>
      <c r="L594" s="169">
        <v>42878</v>
      </c>
      <c r="M594" s="115">
        <v>248.95</v>
      </c>
      <c r="N594" s="115">
        <v>251.05</v>
      </c>
      <c r="O594" s="115">
        <v>243.1</v>
      </c>
      <c r="P594" s="115">
        <v>249.5</v>
      </c>
      <c r="Q594" s="115">
        <v>248.95</v>
      </c>
      <c r="R594">
        <v>22648</v>
      </c>
    </row>
    <row r="595" spans="1:18" x14ac:dyDescent="0.25">
      <c r="A595" s="169">
        <v>42879</v>
      </c>
      <c r="B595" s="115">
        <v>250</v>
      </c>
      <c r="C595" s="115">
        <v>242.75</v>
      </c>
      <c r="D595" s="115">
        <v>241.55</v>
      </c>
      <c r="E595" s="115">
        <v>247</v>
      </c>
      <c r="F595" s="115">
        <v>242.75</v>
      </c>
      <c r="G595">
        <v>1330</v>
      </c>
      <c r="H595" s="115"/>
      <c r="I595" s="115"/>
      <c r="L595" s="169">
        <v>42879</v>
      </c>
      <c r="M595" s="115">
        <v>242.6</v>
      </c>
      <c r="N595" s="115">
        <v>250</v>
      </c>
      <c r="O595" s="115">
        <v>241.3</v>
      </c>
      <c r="P595" s="115">
        <v>249.8</v>
      </c>
      <c r="Q595" s="115">
        <v>242.6</v>
      </c>
      <c r="R595">
        <v>14943</v>
      </c>
    </row>
    <row r="596" spans="1:18" x14ac:dyDescent="0.25">
      <c r="A596" s="169">
        <v>42880</v>
      </c>
      <c r="B596" s="115">
        <v>246.4</v>
      </c>
      <c r="C596" s="115">
        <v>239.3</v>
      </c>
      <c r="D596" s="115">
        <v>237</v>
      </c>
      <c r="E596" s="115">
        <v>246.4</v>
      </c>
      <c r="F596" s="115">
        <v>239.3</v>
      </c>
      <c r="G596">
        <v>5916</v>
      </c>
      <c r="H596" s="115"/>
      <c r="I596" s="115"/>
      <c r="L596" s="169">
        <v>42880</v>
      </c>
      <c r="M596" s="115">
        <v>236.7</v>
      </c>
      <c r="N596" s="115">
        <v>245.8</v>
      </c>
      <c r="O596" s="115">
        <v>235</v>
      </c>
      <c r="P596" s="115">
        <v>243.35</v>
      </c>
      <c r="Q596" s="115">
        <v>236.7</v>
      </c>
      <c r="R596">
        <v>26046</v>
      </c>
    </row>
    <row r="597" spans="1:18" x14ac:dyDescent="0.25">
      <c r="A597" s="169">
        <v>42881</v>
      </c>
      <c r="B597" s="115">
        <v>247.8</v>
      </c>
      <c r="C597" s="115">
        <v>240.55</v>
      </c>
      <c r="D597" s="115">
        <v>240</v>
      </c>
      <c r="E597" s="115">
        <v>240</v>
      </c>
      <c r="F597" s="115">
        <v>240.55</v>
      </c>
      <c r="G597">
        <v>2393</v>
      </c>
      <c r="H597" s="115"/>
      <c r="I597" s="115"/>
      <c r="L597" s="169">
        <v>42881</v>
      </c>
      <c r="M597" s="115">
        <v>239.4</v>
      </c>
      <c r="N597" s="115">
        <v>245</v>
      </c>
      <c r="O597" s="115">
        <v>237.25</v>
      </c>
      <c r="P597" s="115">
        <v>242.8</v>
      </c>
      <c r="Q597" s="115">
        <v>239.4</v>
      </c>
      <c r="R597">
        <v>18863</v>
      </c>
    </row>
    <row r="598" spans="1:18" x14ac:dyDescent="0.25">
      <c r="A598" s="169">
        <v>42884</v>
      </c>
      <c r="B598" s="115">
        <v>241</v>
      </c>
      <c r="C598" s="115">
        <v>236.25</v>
      </c>
      <c r="D598" s="115">
        <v>235</v>
      </c>
      <c r="E598" s="115">
        <v>240</v>
      </c>
      <c r="F598" s="115">
        <v>236.25</v>
      </c>
      <c r="G598">
        <v>3774</v>
      </c>
      <c r="H598" s="115"/>
      <c r="I598" s="115"/>
      <c r="L598" s="169">
        <v>42884</v>
      </c>
      <c r="M598" s="115">
        <v>235.65</v>
      </c>
      <c r="N598" s="115">
        <v>241.95</v>
      </c>
      <c r="O598" s="115">
        <v>235</v>
      </c>
      <c r="P598" s="115">
        <v>240.8</v>
      </c>
      <c r="Q598" s="115">
        <v>235.65</v>
      </c>
      <c r="R598">
        <v>29234</v>
      </c>
    </row>
    <row r="599" spans="1:18" x14ac:dyDescent="0.25">
      <c r="A599" s="169">
        <v>42885</v>
      </c>
      <c r="B599" s="115">
        <v>239</v>
      </c>
      <c r="C599" s="115">
        <v>237.85</v>
      </c>
      <c r="D599" s="115">
        <v>235.5</v>
      </c>
      <c r="E599" s="115">
        <v>237.65</v>
      </c>
      <c r="F599" s="115">
        <v>237.85</v>
      </c>
      <c r="G599">
        <v>3349</v>
      </c>
      <c r="H599" s="115"/>
      <c r="I599" s="115"/>
      <c r="L599" s="169">
        <v>42885</v>
      </c>
      <c r="M599" s="115">
        <v>236</v>
      </c>
      <c r="N599" s="115">
        <v>239</v>
      </c>
      <c r="O599" s="115">
        <v>234</v>
      </c>
      <c r="P599" s="115">
        <v>234</v>
      </c>
      <c r="Q599" s="115">
        <v>236</v>
      </c>
      <c r="R599">
        <v>16639</v>
      </c>
    </row>
    <row r="600" spans="1:18" x14ac:dyDescent="0.25">
      <c r="A600" s="169">
        <v>42886</v>
      </c>
      <c r="B600" s="115">
        <v>239</v>
      </c>
      <c r="C600" s="115">
        <v>234.25</v>
      </c>
      <c r="D600" s="115">
        <v>233</v>
      </c>
      <c r="E600" s="115">
        <v>239</v>
      </c>
      <c r="F600" s="115">
        <v>234.25</v>
      </c>
      <c r="G600">
        <v>7246</v>
      </c>
      <c r="H600" s="115"/>
      <c r="I600" s="115"/>
      <c r="L600" s="169">
        <v>42886</v>
      </c>
      <c r="M600" s="115">
        <v>232.7</v>
      </c>
      <c r="N600" s="115">
        <v>237</v>
      </c>
      <c r="O600" s="115">
        <v>232</v>
      </c>
      <c r="P600" s="115">
        <v>235.9</v>
      </c>
      <c r="Q600" s="115">
        <v>232.7</v>
      </c>
      <c r="R600">
        <v>16383</v>
      </c>
    </row>
    <row r="601" spans="1:18" x14ac:dyDescent="0.25">
      <c r="A601" s="169">
        <v>42887</v>
      </c>
      <c r="B601" s="115">
        <v>239.9</v>
      </c>
      <c r="C601" s="115">
        <v>235.15</v>
      </c>
      <c r="D601" s="115">
        <v>232</v>
      </c>
      <c r="E601" s="115">
        <v>234</v>
      </c>
      <c r="F601" s="115">
        <v>235.15</v>
      </c>
      <c r="G601">
        <v>3154</v>
      </c>
      <c r="H601" s="115"/>
      <c r="I601" s="115"/>
      <c r="L601" s="169">
        <v>42887</v>
      </c>
      <c r="M601" s="115">
        <v>235.2</v>
      </c>
      <c r="N601" s="115">
        <v>238.65</v>
      </c>
      <c r="O601" s="115">
        <v>232.15</v>
      </c>
      <c r="P601" s="115">
        <v>235</v>
      </c>
      <c r="Q601" s="115">
        <v>235.2</v>
      </c>
      <c r="R601">
        <v>13623</v>
      </c>
    </row>
    <row r="602" spans="1:18" x14ac:dyDescent="0.25">
      <c r="A602" s="169">
        <v>42888</v>
      </c>
      <c r="B602" s="115">
        <v>245</v>
      </c>
      <c r="C602" s="115">
        <v>242.95</v>
      </c>
      <c r="D602" s="115">
        <v>236</v>
      </c>
      <c r="E602" s="115">
        <v>237</v>
      </c>
      <c r="F602" s="115">
        <v>242.95</v>
      </c>
      <c r="G602">
        <v>3499</v>
      </c>
      <c r="H602" s="115"/>
      <c r="I602" s="115"/>
      <c r="L602" s="169">
        <v>42888</v>
      </c>
      <c r="M602" s="115">
        <v>243.15</v>
      </c>
      <c r="N602" s="115">
        <v>248</v>
      </c>
      <c r="O602" s="115">
        <v>235.1</v>
      </c>
      <c r="P602" s="115">
        <v>236.4</v>
      </c>
      <c r="Q602" s="115">
        <v>243.15</v>
      </c>
      <c r="R602">
        <v>35683</v>
      </c>
    </row>
    <row r="603" spans="1:18" x14ac:dyDescent="0.25">
      <c r="A603" s="169">
        <v>42891</v>
      </c>
      <c r="B603" s="115">
        <v>250.45</v>
      </c>
      <c r="C603" s="115">
        <v>243.85</v>
      </c>
      <c r="D603" s="115">
        <v>240.85</v>
      </c>
      <c r="E603" s="115">
        <v>250.45</v>
      </c>
      <c r="F603" s="115">
        <v>243.85</v>
      </c>
      <c r="G603">
        <v>2214</v>
      </c>
      <c r="H603" s="115"/>
      <c r="I603" s="115"/>
      <c r="L603" s="169">
        <v>42891</v>
      </c>
      <c r="M603" s="115">
        <v>242.9</v>
      </c>
      <c r="N603" s="115">
        <v>248</v>
      </c>
      <c r="O603" s="115">
        <v>241</v>
      </c>
      <c r="P603" s="115">
        <v>243.15</v>
      </c>
      <c r="Q603" s="115">
        <v>242.9</v>
      </c>
      <c r="R603">
        <v>16961</v>
      </c>
    </row>
    <row r="604" spans="1:18" x14ac:dyDescent="0.25">
      <c r="A604" s="169">
        <v>42892</v>
      </c>
      <c r="B604" s="115">
        <v>246.7</v>
      </c>
      <c r="C604" s="115">
        <v>242.2</v>
      </c>
      <c r="D604" s="115">
        <v>238</v>
      </c>
      <c r="E604" s="115">
        <v>246.7</v>
      </c>
      <c r="F604" s="115">
        <v>242.2</v>
      </c>
      <c r="G604">
        <v>8396</v>
      </c>
      <c r="H604" s="115"/>
      <c r="I604" s="115"/>
      <c r="L604" s="169">
        <v>42892</v>
      </c>
      <c r="M604" s="115">
        <v>241.85</v>
      </c>
      <c r="N604" s="115">
        <v>246</v>
      </c>
      <c r="O604" s="115">
        <v>237.05</v>
      </c>
      <c r="P604" s="115">
        <v>243.05</v>
      </c>
      <c r="Q604" s="115">
        <v>241.85</v>
      </c>
      <c r="R604">
        <v>29954</v>
      </c>
    </row>
    <row r="605" spans="1:18" x14ac:dyDescent="0.25">
      <c r="A605" s="169">
        <v>42893</v>
      </c>
      <c r="B605" s="115">
        <v>245</v>
      </c>
      <c r="C605" s="115">
        <v>244.95</v>
      </c>
      <c r="D605" s="115">
        <v>240.15</v>
      </c>
      <c r="E605" s="115">
        <v>245</v>
      </c>
      <c r="F605" s="115">
        <v>244.95</v>
      </c>
      <c r="G605">
        <v>2574</v>
      </c>
      <c r="H605" s="115"/>
      <c r="I605" s="115"/>
      <c r="L605" s="169">
        <v>42893</v>
      </c>
      <c r="M605" s="115">
        <v>243.75</v>
      </c>
      <c r="N605" s="115">
        <v>245.95</v>
      </c>
      <c r="O605" s="115">
        <v>241</v>
      </c>
      <c r="P605" s="115">
        <v>242.7</v>
      </c>
      <c r="Q605" s="115">
        <v>243.75</v>
      </c>
      <c r="R605">
        <v>23937</v>
      </c>
    </row>
    <row r="606" spans="1:18" x14ac:dyDescent="0.25">
      <c r="A606" s="169">
        <v>42894</v>
      </c>
      <c r="B606" s="115">
        <v>250</v>
      </c>
      <c r="C606" s="115">
        <v>242.9</v>
      </c>
      <c r="D606" s="115">
        <v>235.3</v>
      </c>
      <c r="E606" s="115">
        <v>244.2</v>
      </c>
      <c r="F606" s="115">
        <v>242.9</v>
      </c>
      <c r="G606">
        <v>3797</v>
      </c>
      <c r="H606" s="115"/>
      <c r="I606" s="115"/>
      <c r="L606" s="169">
        <v>42894</v>
      </c>
      <c r="M606" s="115">
        <v>242.85</v>
      </c>
      <c r="N606" s="115">
        <v>251.95</v>
      </c>
      <c r="O606" s="115">
        <v>241</v>
      </c>
      <c r="P606" s="115">
        <v>243.8</v>
      </c>
      <c r="Q606" s="115">
        <v>242.85</v>
      </c>
      <c r="R606">
        <v>19573</v>
      </c>
    </row>
    <row r="607" spans="1:18" x14ac:dyDescent="0.25">
      <c r="A607" s="169">
        <v>42895</v>
      </c>
      <c r="B607" s="115">
        <v>243.8</v>
      </c>
      <c r="C607" s="115">
        <v>242.6</v>
      </c>
      <c r="D607" s="115">
        <v>239</v>
      </c>
      <c r="E607" s="115">
        <v>242</v>
      </c>
      <c r="F607" s="115">
        <v>242.6</v>
      </c>
      <c r="G607">
        <v>405</v>
      </c>
      <c r="H607" s="115"/>
      <c r="I607" s="115"/>
      <c r="L607" s="169">
        <v>42895</v>
      </c>
      <c r="M607" s="115">
        <v>242.8</v>
      </c>
      <c r="N607" s="115">
        <v>244</v>
      </c>
      <c r="O607" s="115">
        <v>240</v>
      </c>
      <c r="P607" s="115">
        <v>241</v>
      </c>
      <c r="Q607" s="115">
        <v>242.8</v>
      </c>
      <c r="R607">
        <v>11709</v>
      </c>
    </row>
    <row r="608" spans="1:18" x14ac:dyDescent="0.25">
      <c r="A608" s="169">
        <v>42898</v>
      </c>
      <c r="B608" s="115">
        <v>242.75</v>
      </c>
      <c r="C608" s="115">
        <v>239.1</v>
      </c>
      <c r="D608" s="115">
        <v>236.05</v>
      </c>
      <c r="E608" s="115">
        <v>241</v>
      </c>
      <c r="F608" s="115">
        <v>239.1</v>
      </c>
      <c r="G608">
        <v>10855</v>
      </c>
      <c r="H608" s="115"/>
      <c r="I608" s="115"/>
      <c r="L608" s="169">
        <v>42898</v>
      </c>
      <c r="M608" s="115">
        <v>238.9</v>
      </c>
      <c r="N608" s="115">
        <v>246.5</v>
      </c>
      <c r="O608" s="115">
        <v>235.35</v>
      </c>
      <c r="P608" s="115">
        <v>242.8</v>
      </c>
      <c r="Q608" s="115">
        <v>238.9</v>
      </c>
      <c r="R608">
        <v>14101</v>
      </c>
    </row>
    <row r="609" spans="1:18" x14ac:dyDescent="0.25">
      <c r="A609" s="169">
        <v>42899</v>
      </c>
      <c r="B609" s="115">
        <v>243</v>
      </c>
      <c r="C609" s="115">
        <v>241.35</v>
      </c>
      <c r="D609" s="115">
        <v>237.6</v>
      </c>
      <c r="E609" s="115">
        <v>240</v>
      </c>
      <c r="F609" s="115">
        <v>241.35</v>
      </c>
      <c r="G609">
        <v>1285</v>
      </c>
      <c r="H609" s="115"/>
      <c r="I609" s="115"/>
      <c r="L609" s="169">
        <v>42899</v>
      </c>
      <c r="M609" s="115">
        <v>242</v>
      </c>
      <c r="N609" s="115">
        <v>244.05</v>
      </c>
      <c r="O609" s="115">
        <v>237.6</v>
      </c>
      <c r="P609" s="115">
        <v>242.5</v>
      </c>
      <c r="Q609" s="115">
        <v>242</v>
      </c>
      <c r="R609">
        <v>15986</v>
      </c>
    </row>
    <row r="610" spans="1:18" x14ac:dyDescent="0.25">
      <c r="A610" s="169">
        <v>42900</v>
      </c>
      <c r="B610" s="115">
        <v>250</v>
      </c>
      <c r="C610" s="115">
        <v>247.1</v>
      </c>
      <c r="D610" s="115">
        <v>240.8</v>
      </c>
      <c r="E610" s="115">
        <v>241.2</v>
      </c>
      <c r="F610" s="115">
        <v>247.1</v>
      </c>
      <c r="G610">
        <v>15477</v>
      </c>
      <c r="H610" s="115"/>
      <c r="I610" s="115"/>
      <c r="L610" s="169">
        <v>42900</v>
      </c>
      <c r="M610" s="115">
        <v>248</v>
      </c>
      <c r="N610" s="115">
        <v>250</v>
      </c>
      <c r="O610" s="115">
        <v>241.05</v>
      </c>
      <c r="P610" s="115">
        <v>242.4</v>
      </c>
      <c r="Q610" s="115">
        <v>248</v>
      </c>
      <c r="R610">
        <v>24687</v>
      </c>
    </row>
    <row r="611" spans="1:18" x14ac:dyDescent="0.25">
      <c r="A611" s="169">
        <v>42901</v>
      </c>
      <c r="B611" s="115">
        <v>250.85</v>
      </c>
      <c r="C611" s="115">
        <v>245</v>
      </c>
      <c r="D611" s="115">
        <v>243.5</v>
      </c>
      <c r="E611" s="115">
        <v>248</v>
      </c>
      <c r="F611" s="115">
        <v>245</v>
      </c>
      <c r="G611">
        <v>7282</v>
      </c>
      <c r="H611" s="115"/>
      <c r="I611" s="115"/>
      <c r="L611" s="169">
        <v>42901</v>
      </c>
      <c r="M611" s="115">
        <v>246.15</v>
      </c>
      <c r="N611" s="115">
        <v>250.95</v>
      </c>
      <c r="O611" s="115">
        <v>243.3</v>
      </c>
      <c r="P611" s="115">
        <v>248</v>
      </c>
      <c r="Q611" s="115">
        <v>246.15</v>
      </c>
      <c r="R611">
        <v>42920</v>
      </c>
    </row>
    <row r="612" spans="1:18" x14ac:dyDescent="0.25">
      <c r="A612" s="169">
        <v>42902</v>
      </c>
      <c r="B612" s="115">
        <v>253</v>
      </c>
      <c r="C612" s="115">
        <v>246.2</v>
      </c>
      <c r="D612" s="115">
        <v>245</v>
      </c>
      <c r="E612" s="115">
        <v>250.8</v>
      </c>
      <c r="F612" s="115">
        <v>246.2</v>
      </c>
      <c r="G612">
        <v>7366</v>
      </c>
      <c r="H612" s="115"/>
      <c r="I612" s="115"/>
      <c r="L612" s="169">
        <v>42902</v>
      </c>
      <c r="M612" s="115">
        <v>249.75</v>
      </c>
      <c r="N612" s="115">
        <v>253.8</v>
      </c>
      <c r="O612" s="115">
        <v>247</v>
      </c>
      <c r="P612" s="115">
        <v>248</v>
      </c>
      <c r="Q612" s="115">
        <v>249.75</v>
      </c>
      <c r="R612">
        <v>38195</v>
      </c>
    </row>
    <row r="613" spans="1:18" x14ac:dyDescent="0.25">
      <c r="A613" s="169">
        <v>42905</v>
      </c>
      <c r="B613" s="115">
        <v>254</v>
      </c>
      <c r="C613" s="115">
        <v>251</v>
      </c>
      <c r="D613" s="115">
        <v>249.1</v>
      </c>
      <c r="E613" s="115">
        <v>251.85</v>
      </c>
      <c r="F613" s="115">
        <v>251</v>
      </c>
      <c r="G613">
        <v>3174</v>
      </c>
      <c r="H613" s="115"/>
      <c r="I613" s="115"/>
      <c r="L613" s="169">
        <v>42905</v>
      </c>
      <c r="M613" s="115">
        <v>254.3</v>
      </c>
      <c r="N613" s="115">
        <v>255</v>
      </c>
      <c r="O613" s="115">
        <v>245.6</v>
      </c>
      <c r="P613" s="115">
        <v>248</v>
      </c>
      <c r="Q613" s="115">
        <v>254.3</v>
      </c>
      <c r="R613">
        <v>39850</v>
      </c>
    </row>
    <row r="614" spans="1:18" x14ac:dyDescent="0.25">
      <c r="A614" s="169">
        <v>42906</v>
      </c>
      <c r="B614" s="115">
        <v>255.95</v>
      </c>
      <c r="C614" s="115">
        <v>253.45</v>
      </c>
      <c r="D614" s="115">
        <v>251.1</v>
      </c>
      <c r="E614" s="115">
        <v>253.4</v>
      </c>
      <c r="F614" s="115">
        <v>253.45</v>
      </c>
      <c r="G614">
        <v>419</v>
      </c>
      <c r="H614" s="115"/>
      <c r="I614" s="115"/>
      <c r="L614" s="169">
        <v>42906</v>
      </c>
      <c r="M614" s="115">
        <v>254.1</v>
      </c>
      <c r="N614" s="115">
        <v>256.60000000000002</v>
      </c>
      <c r="O614" s="115">
        <v>252.05</v>
      </c>
      <c r="P614" s="115">
        <v>255.3</v>
      </c>
      <c r="Q614" s="115">
        <v>254.1</v>
      </c>
      <c r="R614">
        <v>11295</v>
      </c>
    </row>
    <row r="615" spans="1:18" x14ac:dyDescent="0.25">
      <c r="A615" s="169">
        <v>42907</v>
      </c>
      <c r="B615" s="115">
        <v>264.89999999999998</v>
      </c>
      <c r="C615" s="115">
        <v>262.35000000000002</v>
      </c>
      <c r="D615" s="115">
        <v>250.05</v>
      </c>
      <c r="E615" s="115">
        <v>253.85</v>
      </c>
      <c r="F615" s="115">
        <v>262.35000000000002</v>
      </c>
      <c r="G615">
        <v>3123</v>
      </c>
      <c r="H615" s="115"/>
      <c r="I615" s="115"/>
      <c r="L615" s="169">
        <v>42907</v>
      </c>
      <c r="M615" s="115">
        <v>263.60000000000002</v>
      </c>
      <c r="N615" s="115">
        <v>264.89999999999998</v>
      </c>
      <c r="O615" s="115">
        <v>249.55</v>
      </c>
      <c r="P615" s="115">
        <v>254</v>
      </c>
      <c r="Q615" s="115">
        <v>263.60000000000002</v>
      </c>
      <c r="R615">
        <v>53355</v>
      </c>
    </row>
    <row r="616" spans="1:18" x14ac:dyDescent="0.25">
      <c r="A616" s="169">
        <v>42908</v>
      </c>
      <c r="B616" s="115">
        <v>268.39999999999998</v>
      </c>
      <c r="C616" s="115">
        <v>263.05</v>
      </c>
      <c r="D616" s="115">
        <v>262.5</v>
      </c>
      <c r="E616" s="115">
        <v>263.5</v>
      </c>
      <c r="F616" s="115">
        <v>263.05</v>
      </c>
      <c r="G616">
        <v>8114</v>
      </c>
      <c r="H616" s="115"/>
      <c r="I616" s="115"/>
      <c r="L616" s="169">
        <v>42908</v>
      </c>
      <c r="M616" s="115">
        <v>264.2</v>
      </c>
      <c r="N616" s="115">
        <v>269.8</v>
      </c>
      <c r="O616" s="115">
        <v>262.05</v>
      </c>
      <c r="P616" s="115">
        <v>263.95</v>
      </c>
      <c r="Q616" s="115">
        <v>264.2</v>
      </c>
      <c r="R616">
        <v>71277</v>
      </c>
    </row>
    <row r="617" spans="1:18" x14ac:dyDescent="0.25">
      <c r="A617" s="169">
        <v>42909</v>
      </c>
      <c r="B617" s="115">
        <v>260</v>
      </c>
      <c r="C617" s="115">
        <v>255.95</v>
      </c>
      <c r="D617" s="115">
        <v>252.4</v>
      </c>
      <c r="E617" s="115">
        <v>260</v>
      </c>
      <c r="F617" s="115">
        <v>255.95</v>
      </c>
      <c r="G617">
        <v>1114</v>
      </c>
      <c r="H617" s="115"/>
      <c r="I617" s="115"/>
      <c r="L617" s="169">
        <v>42909</v>
      </c>
      <c r="M617" s="115">
        <v>257.7</v>
      </c>
      <c r="N617" s="115">
        <v>268.85000000000002</v>
      </c>
      <c r="O617" s="115">
        <v>255.1</v>
      </c>
      <c r="P617" s="115">
        <v>267.89999999999998</v>
      </c>
      <c r="Q617" s="115">
        <v>257.7</v>
      </c>
      <c r="R617">
        <v>23454</v>
      </c>
    </row>
    <row r="618" spans="1:18" x14ac:dyDescent="0.25">
      <c r="A618" s="169">
        <v>42913</v>
      </c>
      <c r="B618" s="115">
        <v>262</v>
      </c>
      <c r="C618" s="115">
        <v>254.35</v>
      </c>
      <c r="D618" s="115">
        <v>253.05</v>
      </c>
      <c r="E618" s="115">
        <v>255.95</v>
      </c>
      <c r="F618" s="115">
        <v>254.35</v>
      </c>
      <c r="G618">
        <v>2489</v>
      </c>
      <c r="H618" s="115"/>
      <c r="I618" s="115"/>
      <c r="L618" s="169">
        <v>42913</v>
      </c>
      <c r="M618" s="115">
        <v>257.14999999999998</v>
      </c>
      <c r="N618" s="115">
        <v>263.10000000000002</v>
      </c>
      <c r="O618" s="115">
        <v>254.5</v>
      </c>
      <c r="P618" s="115">
        <v>257.7</v>
      </c>
      <c r="Q618" s="115">
        <v>257.14999999999998</v>
      </c>
      <c r="R618">
        <v>27025</v>
      </c>
    </row>
    <row r="619" spans="1:18" x14ac:dyDescent="0.25">
      <c r="A619" s="169">
        <v>42914</v>
      </c>
      <c r="B619" s="115">
        <v>260.89999999999998</v>
      </c>
      <c r="C619" s="115">
        <v>256.8</v>
      </c>
      <c r="D619" s="115">
        <v>250.05</v>
      </c>
      <c r="E619" s="115">
        <v>250.15</v>
      </c>
      <c r="F619" s="115">
        <v>256.8</v>
      </c>
      <c r="G619">
        <v>1667</v>
      </c>
      <c r="H619" s="115"/>
      <c r="I619" s="115"/>
      <c r="L619" s="169">
        <v>42914</v>
      </c>
      <c r="M619" s="115">
        <v>254.75</v>
      </c>
      <c r="N619" s="115">
        <v>258.5</v>
      </c>
      <c r="O619" s="115">
        <v>250.35</v>
      </c>
      <c r="P619" s="115">
        <v>255.05</v>
      </c>
      <c r="Q619" s="115">
        <v>254.75</v>
      </c>
      <c r="R619">
        <v>12720</v>
      </c>
    </row>
    <row r="620" spans="1:18" x14ac:dyDescent="0.25">
      <c r="A620" s="169">
        <v>42915</v>
      </c>
      <c r="B620" s="115">
        <v>260</v>
      </c>
      <c r="C620" s="115">
        <v>257</v>
      </c>
      <c r="D620" s="115">
        <v>255.4</v>
      </c>
      <c r="E620" s="115">
        <v>257.85000000000002</v>
      </c>
      <c r="F620" s="115">
        <v>257</v>
      </c>
      <c r="G620">
        <v>696</v>
      </c>
      <c r="H620" s="115"/>
      <c r="I620" s="115"/>
      <c r="L620" s="169">
        <v>42915</v>
      </c>
      <c r="M620" s="115">
        <v>257</v>
      </c>
      <c r="N620" s="115">
        <v>257.35000000000002</v>
      </c>
      <c r="O620" s="115">
        <v>253.8</v>
      </c>
      <c r="P620" s="115">
        <v>256.8</v>
      </c>
      <c r="Q620" s="115">
        <v>257</v>
      </c>
      <c r="R620">
        <v>4057</v>
      </c>
    </row>
    <row r="621" spans="1:18" x14ac:dyDescent="0.25">
      <c r="A621" s="169">
        <v>42916</v>
      </c>
      <c r="B621" s="115">
        <v>261.39999999999998</v>
      </c>
      <c r="C621" s="115">
        <v>259.75</v>
      </c>
      <c r="D621" s="115">
        <v>257</v>
      </c>
      <c r="E621" s="115">
        <v>257</v>
      </c>
      <c r="F621" s="115">
        <v>259.75</v>
      </c>
      <c r="G621">
        <v>1246</v>
      </c>
      <c r="H621" s="115"/>
      <c r="I621" s="115"/>
      <c r="L621" s="169">
        <v>42916</v>
      </c>
      <c r="M621" s="115">
        <v>257.14999999999998</v>
      </c>
      <c r="N621" s="115">
        <v>258.85000000000002</v>
      </c>
      <c r="O621" s="115">
        <v>257</v>
      </c>
      <c r="P621" s="115">
        <v>258.85000000000002</v>
      </c>
      <c r="Q621" s="115">
        <v>257.14999999999998</v>
      </c>
      <c r="R621">
        <v>5607</v>
      </c>
    </row>
    <row r="622" spans="1:18" x14ac:dyDescent="0.25">
      <c r="A622" s="169">
        <v>42919</v>
      </c>
      <c r="B622" s="115">
        <v>262.95</v>
      </c>
      <c r="C622" s="115">
        <v>259.95</v>
      </c>
      <c r="D622" s="115">
        <v>257</v>
      </c>
      <c r="E622" s="115">
        <v>261.10000000000002</v>
      </c>
      <c r="F622" s="115">
        <v>259.95</v>
      </c>
      <c r="G622">
        <v>1414</v>
      </c>
      <c r="H622" s="115"/>
      <c r="I622" s="115"/>
      <c r="L622" s="169">
        <v>42919</v>
      </c>
      <c r="M622" s="115">
        <v>260.45</v>
      </c>
      <c r="N622" s="115">
        <v>263.95</v>
      </c>
      <c r="O622" s="115">
        <v>257.2</v>
      </c>
      <c r="P622" s="115">
        <v>261</v>
      </c>
      <c r="Q622" s="115">
        <v>260.45</v>
      </c>
      <c r="R622">
        <v>13393</v>
      </c>
    </row>
    <row r="623" spans="1:18" x14ac:dyDescent="0.25">
      <c r="A623" s="169">
        <v>42920</v>
      </c>
      <c r="B623" s="115">
        <v>263</v>
      </c>
      <c r="C623" s="115">
        <v>261.5</v>
      </c>
      <c r="D623" s="115">
        <v>258.7</v>
      </c>
      <c r="E623" s="115">
        <v>261</v>
      </c>
      <c r="F623" s="115">
        <v>261.5</v>
      </c>
      <c r="G623">
        <v>1168</v>
      </c>
      <c r="H623" s="115"/>
      <c r="I623" s="115"/>
      <c r="L623" s="169">
        <v>42920</v>
      </c>
      <c r="M623" s="115">
        <v>262.14999999999998</v>
      </c>
      <c r="N623" s="115">
        <v>263.7</v>
      </c>
      <c r="O623" s="115">
        <v>259.60000000000002</v>
      </c>
      <c r="P623" s="115">
        <v>260.60000000000002</v>
      </c>
      <c r="Q623" s="115">
        <v>262.14999999999998</v>
      </c>
      <c r="R623">
        <v>13200</v>
      </c>
    </row>
    <row r="624" spans="1:18" x14ac:dyDescent="0.25">
      <c r="A624" s="169">
        <v>42921</v>
      </c>
      <c r="B624" s="115">
        <v>268</v>
      </c>
      <c r="C624" s="115">
        <v>262.10000000000002</v>
      </c>
      <c r="D624" s="115">
        <v>260</v>
      </c>
      <c r="E624" s="115">
        <v>264</v>
      </c>
      <c r="F624" s="115">
        <v>262.10000000000002</v>
      </c>
      <c r="G624">
        <v>3433</v>
      </c>
      <c r="H624" s="115"/>
      <c r="I624" s="115"/>
      <c r="L624" s="169">
        <v>42921</v>
      </c>
      <c r="M624" s="115">
        <v>262.8</v>
      </c>
      <c r="N624" s="115">
        <v>269.75</v>
      </c>
      <c r="O624" s="115">
        <v>261</v>
      </c>
      <c r="P624" s="115">
        <v>263.95</v>
      </c>
      <c r="Q624" s="115">
        <v>262.8</v>
      </c>
      <c r="R624">
        <v>28516</v>
      </c>
    </row>
    <row r="625" spans="1:18" x14ac:dyDescent="0.25">
      <c r="A625" s="169">
        <v>42922</v>
      </c>
      <c r="B625" s="115">
        <v>267.25</v>
      </c>
      <c r="C625" s="115">
        <v>260.7</v>
      </c>
      <c r="D625" s="115">
        <v>259.85000000000002</v>
      </c>
      <c r="E625" s="115">
        <v>267.25</v>
      </c>
      <c r="F625" s="115">
        <v>260.7</v>
      </c>
      <c r="G625">
        <v>3638</v>
      </c>
      <c r="H625" s="115"/>
      <c r="I625" s="115"/>
      <c r="L625" s="169">
        <v>42922</v>
      </c>
      <c r="M625" s="115">
        <v>260.2</v>
      </c>
      <c r="N625" s="115">
        <v>264</v>
      </c>
      <c r="O625" s="115">
        <v>259.14999999999998</v>
      </c>
      <c r="P625" s="115">
        <v>263.64999999999998</v>
      </c>
      <c r="Q625" s="115">
        <v>260.2</v>
      </c>
      <c r="R625">
        <v>13491</v>
      </c>
    </row>
    <row r="626" spans="1:18" x14ac:dyDescent="0.25">
      <c r="A626" s="169">
        <v>42923</v>
      </c>
      <c r="B626" s="115">
        <v>263.2</v>
      </c>
      <c r="C626" s="115">
        <v>257.25</v>
      </c>
      <c r="D626" s="115">
        <v>256.35000000000002</v>
      </c>
      <c r="E626" s="115">
        <v>262.35000000000002</v>
      </c>
      <c r="F626" s="115">
        <v>257.25</v>
      </c>
      <c r="G626">
        <v>1372</v>
      </c>
      <c r="H626" s="115"/>
      <c r="I626" s="115"/>
      <c r="L626" s="169">
        <v>42923</v>
      </c>
      <c r="M626" s="115">
        <v>258.25</v>
      </c>
      <c r="N626" s="115">
        <v>263.55</v>
      </c>
      <c r="O626" s="115">
        <v>258</v>
      </c>
      <c r="P626" s="115">
        <v>261.35000000000002</v>
      </c>
      <c r="Q626" s="115">
        <v>258.25</v>
      </c>
      <c r="R626">
        <v>9227</v>
      </c>
    </row>
    <row r="627" spans="1:18" x14ac:dyDescent="0.25">
      <c r="A627" s="169">
        <v>42926</v>
      </c>
      <c r="B627" s="115">
        <v>264</v>
      </c>
      <c r="C627" s="115">
        <v>260.3</v>
      </c>
      <c r="D627" s="115">
        <v>257</v>
      </c>
      <c r="E627" s="115">
        <v>257</v>
      </c>
      <c r="F627" s="115">
        <v>260.3</v>
      </c>
      <c r="G627">
        <v>6051</v>
      </c>
      <c r="H627" s="115"/>
      <c r="I627" s="115"/>
      <c r="L627" s="169">
        <v>42926</v>
      </c>
      <c r="M627" s="115">
        <v>260.89999999999998</v>
      </c>
      <c r="N627" s="115">
        <v>261.8</v>
      </c>
      <c r="O627" s="115">
        <v>257.5</v>
      </c>
      <c r="P627" s="115">
        <v>257.5</v>
      </c>
      <c r="Q627" s="115">
        <v>260.89999999999998</v>
      </c>
      <c r="R627">
        <v>6407</v>
      </c>
    </row>
    <row r="628" spans="1:18" x14ac:dyDescent="0.25">
      <c r="A628" s="169">
        <v>42927</v>
      </c>
      <c r="B628" s="115">
        <v>262.3</v>
      </c>
      <c r="C628" s="115">
        <v>260.95</v>
      </c>
      <c r="D628" s="115">
        <v>256.05</v>
      </c>
      <c r="E628" s="115">
        <v>260.5</v>
      </c>
      <c r="F628" s="115">
        <v>260.95</v>
      </c>
      <c r="G628">
        <v>1497</v>
      </c>
      <c r="H628" s="115"/>
      <c r="I628" s="115"/>
      <c r="L628" s="169">
        <v>42927</v>
      </c>
      <c r="M628" s="115">
        <v>260.89999999999998</v>
      </c>
      <c r="N628" s="115">
        <v>264</v>
      </c>
      <c r="O628" s="115">
        <v>255.3</v>
      </c>
      <c r="P628" s="115">
        <v>261.89999999999998</v>
      </c>
      <c r="Q628" s="115">
        <v>260.89999999999998</v>
      </c>
      <c r="R628">
        <v>11536</v>
      </c>
    </row>
    <row r="629" spans="1:18" x14ac:dyDescent="0.25">
      <c r="A629" s="169">
        <v>42928</v>
      </c>
      <c r="B629" s="115">
        <v>264.89999999999998</v>
      </c>
      <c r="C629" s="115">
        <v>262.89999999999998</v>
      </c>
      <c r="D629" s="115">
        <v>261</v>
      </c>
      <c r="E629" s="115">
        <v>261</v>
      </c>
      <c r="F629" s="115">
        <v>262.89999999999998</v>
      </c>
      <c r="G629">
        <v>2094</v>
      </c>
      <c r="H629" s="115"/>
      <c r="I629" s="115"/>
      <c r="L629" s="169">
        <v>42928</v>
      </c>
      <c r="M629" s="115">
        <v>261.39999999999998</v>
      </c>
      <c r="N629" s="115">
        <v>264.64999999999998</v>
      </c>
      <c r="O629" s="115">
        <v>260</v>
      </c>
      <c r="P629" s="115">
        <v>264</v>
      </c>
      <c r="Q629" s="115">
        <v>261.39999999999998</v>
      </c>
      <c r="R629">
        <v>38248</v>
      </c>
    </row>
    <row r="630" spans="1:18" x14ac:dyDescent="0.25">
      <c r="A630" s="169">
        <v>42929</v>
      </c>
      <c r="B630" s="115">
        <v>267</v>
      </c>
      <c r="C630" s="115">
        <v>262.5</v>
      </c>
      <c r="D630" s="115">
        <v>261</v>
      </c>
      <c r="E630" s="115">
        <v>265</v>
      </c>
      <c r="F630" s="115">
        <v>262.5</v>
      </c>
      <c r="G630">
        <v>2253</v>
      </c>
      <c r="H630" s="115"/>
      <c r="I630" s="115"/>
      <c r="L630" s="169">
        <v>42929</v>
      </c>
      <c r="M630" s="115">
        <v>261.60000000000002</v>
      </c>
      <c r="N630" s="115">
        <v>266</v>
      </c>
      <c r="O630" s="115">
        <v>258.3</v>
      </c>
      <c r="P630" s="115">
        <v>260.3</v>
      </c>
      <c r="Q630" s="115">
        <v>261.60000000000002</v>
      </c>
      <c r="R630">
        <v>19465</v>
      </c>
    </row>
    <row r="631" spans="1:18" x14ac:dyDescent="0.25">
      <c r="A631" s="169">
        <v>42930</v>
      </c>
      <c r="B631" s="115">
        <v>263.2</v>
      </c>
      <c r="C631" s="115">
        <v>262</v>
      </c>
      <c r="D631" s="115">
        <v>261</v>
      </c>
      <c r="E631" s="115">
        <v>261</v>
      </c>
      <c r="F631" s="115">
        <v>262</v>
      </c>
      <c r="G631">
        <v>685</v>
      </c>
      <c r="H631" s="115"/>
      <c r="I631" s="115"/>
      <c r="L631" s="169">
        <v>42930</v>
      </c>
      <c r="M631" s="115">
        <v>261.5</v>
      </c>
      <c r="N631" s="115">
        <v>265</v>
      </c>
      <c r="O631" s="115">
        <v>259.8</v>
      </c>
      <c r="P631" s="115">
        <v>264.89999999999998</v>
      </c>
      <c r="Q631" s="115">
        <v>261.5</v>
      </c>
      <c r="R631">
        <v>25372</v>
      </c>
    </row>
    <row r="632" spans="1:18" x14ac:dyDescent="0.25">
      <c r="A632" s="169">
        <v>42933</v>
      </c>
      <c r="B632" s="115">
        <v>268.8</v>
      </c>
      <c r="C632" s="115">
        <v>262.95</v>
      </c>
      <c r="D632" s="115">
        <v>261.39999999999998</v>
      </c>
      <c r="E632" s="115">
        <v>264</v>
      </c>
      <c r="F632" s="115">
        <v>262.95</v>
      </c>
      <c r="G632">
        <v>2414</v>
      </c>
      <c r="H632" s="115"/>
      <c r="I632" s="115"/>
      <c r="L632" s="169">
        <v>42933</v>
      </c>
      <c r="M632" s="115">
        <v>260.89999999999998</v>
      </c>
      <c r="N632" s="115">
        <v>265.89999999999998</v>
      </c>
      <c r="O632" s="115">
        <v>260</v>
      </c>
      <c r="P632" s="115">
        <v>263</v>
      </c>
      <c r="Q632" s="115">
        <v>260.89999999999998</v>
      </c>
      <c r="R632">
        <v>19899</v>
      </c>
    </row>
    <row r="633" spans="1:18" x14ac:dyDescent="0.25">
      <c r="A633" s="169">
        <v>42934</v>
      </c>
      <c r="B633" s="115">
        <v>264.3</v>
      </c>
      <c r="C633" s="115">
        <v>263.10000000000002</v>
      </c>
      <c r="D633" s="115">
        <v>259.25</v>
      </c>
      <c r="E633" s="115">
        <v>260</v>
      </c>
      <c r="F633" s="115">
        <v>263.10000000000002</v>
      </c>
      <c r="G633">
        <v>1279</v>
      </c>
      <c r="H633" s="115"/>
      <c r="I633" s="115"/>
      <c r="L633" s="169">
        <v>42934</v>
      </c>
      <c r="M633" s="115">
        <v>263.25</v>
      </c>
      <c r="N633" s="115">
        <v>265.89999999999998</v>
      </c>
      <c r="O633" s="115">
        <v>258.5</v>
      </c>
      <c r="P633" s="115">
        <v>261.10000000000002</v>
      </c>
      <c r="Q633" s="115">
        <v>263.25</v>
      </c>
      <c r="R633">
        <v>14691</v>
      </c>
    </row>
    <row r="634" spans="1:18" x14ac:dyDescent="0.25">
      <c r="A634" s="169">
        <v>42935</v>
      </c>
      <c r="B634" s="115">
        <v>268.7</v>
      </c>
      <c r="C634" s="115">
        <v>268</v>
      </c>
      <c r="D634" s="115">
        <v>264</v>
      </c>
      <c r="E634" s="115">
        <v>266.5</v>
      </c>
      <c r="F634" s="115">
        <v>268</v>
      </c>
      <c r="G634">
        <v>2833</v>
      </c>
      <c r="H634" s="115"/>
      <c r="I634" s="115"/>
      <c r="L634" s="169">
        <v>42935</v>
      </c>
      <c r="M634" s="115">
        <v>266.05</v>
      </c>
      <c r="N634" s="115">
        <v>268.5</v>
      </c>
      <c r="O634" s="115">
        <v>260.5</v>
      </c>
      <c r="P634" s="115">
        <v>263.2</v>
      </c>
      <c r="Q634" s="115">
        <v>266.05</v>
      </c>
      <c r="R634">
        <v>12087</v>
      </c>
    </row>
    <row r="635" spans="1:18" x14ac:dyDescent="0.25">
      <c r="A635" s="169">
        <v>42936</v>
      </c>
      <c r="B635" s="115">
        <v>272</v>
      </c>
      <c r="C635" s="115">
        <v>270.25</v>
      </c>
      <c r="D635" s="115">
        <v>266</v>
      </c>
      <c r="E635" s="115">
        <v>270.95</v>
      </c>
      <c r="F635" s="115">
        <v>270.25</v>
      </c>
      <c r="G635">
        <v>6071</v>
      </c>
      <c r="H635" s="115"/>
      <c r="I635" s="115"/>
      <c r="L635" s="169">
        <v>42936</v>
      </c>
      <c r="M635" s="115">
        <v>271</v>
      </c>
      <c r="N635" s="115">
        <v>272.39999999999998</v>
      </c>
      <c r="O635" s="115">
        <v>265.2</v>
      </c>
      <c r="P635" s="115">
        <v>269</v>
      </c>
      <c r="Q635" s="115">
        <v>271</v>
      </c>
      <c r="R635">
        <v>25487</v>
      </c>
    </row>
    <row r="636" spans="1:18" x14ac:dyDescent="0.25">
      <c r="A636" s="169">
        <v>42937</v>
      </c>
      <c r="B636" s="115">
        <v>273.3</v>
      </c>
      <c r="C636" s="115">
        <v>268.10000000000002</v>
      </c>
      <c r="D636" s="115">
        <v>266</v>
      </c>
      <c r="E636" s="115">
        <v>271</v>
      </c>
      <c r="F636" s="115">
        <v>268.10000000000002</v>
      </c>
      <c r="G636">
        <v>2394</v>
      </c>
      <c r="H636" s="115"/>
      <c r="I636" s="115"/>
      <c r="L636" s="169">
        <v>42937</v>
      </c>
      <c r="M636" s="115">
        <v>268</v>
      </c>
      <c r="N636" s="115">
        <v>274</v>
      </c>
      <c r="O636" s="115">
        <v>266.10000000000002</v>
      </c>
      <c r="P636" s="115">
        <v>271</v>
      </c>
      <c r="Q636" s="115">
        <v>268</v>
      </c>
      <c r="R636">
        <v>24006</v>
      </c>
    </row>
    <row r="637" spans="1:18" x14ac:dyDescent="0.25">
      <c r="A637" s="169">
        <v>42940</v>
      </c>
      <c r="B637" s="115">
        <v>269.95</v>
      </c>
      <c r="C637" s="115">
        <v>253.3</v>
      </c>
      <c r="D637" s="115">
        <v>251.7</v>
      </c>
      <c r="E637" s="115">
        <v>269.95</v>
      </c>
      <c r="F637" s="115">
        <v>253.3</v>
      </c>
      <c r="G637">
        <v>8332</v>
      </c>
      <c r="H637" s="115"/>
      <c r="I637" s="115"/>
      <c r="L637" s="169">
        <v>42940</v>
      </c>
      <c r="M637" s="115">
        <v>252.95</v>
      </c>
      <c r="N637" s="115">
        <v>270</v>
      </c>
      <c r="O637" s="115">
        <v>251.65</v>
      </c>
      <c r="P637" s="115">
        <v>270</v>
      </c>
      <c r="Q637" s="115">
        <v>252.95</v>
      </c>
      <c r="R637">
        <v>91778</v>
      </c>
    </row>
    <row r="638" spans="1:18" x14ac:dyDescent="0.25">
      <c r="A638" s="169">
        <v>42941</v>
      </c>
      <c r="B638" s="115">
        <v>258.2</v>
      </c>
      <c r="C638" s="115">
        <v>256.89999999999998</v>
      </c>
      <c r="D638" s="115">
        <v>253</v>
      </c>
      <c r="E638" s="115">
        <v>253</v>
      </c>
      <c r="F638" s="115">
        <v>256.89999999999998</v>
      </c>
      <c r="G638">
        <v>2220</v>
      </c>
      <c r="H638" s="115"/>
      <c r="I638" s="115"/>
      <c r="L638" s="169">
        <v>42941</v>
      </c>
      <c r="M638" s="115">
        <v>257.10000000000002</v>
      </c>
      <c r="N638" s="115">
        <v>260</v>
      </c>
      <c r="O638" s="115">
        <v>252</v>
      </c>
      <c r="P638" s="115">
        <v>253</v>
      </c>
      <c r="Q638" s="115">
        <v>257.10000000000002</v>
      </c>
      <c r="R638">
        <v>17635</v>
      </c>
    </row>
    <row r="639" spans="1:18" x14ac:dyDescent="0.25">
      <c r="A639" s="169">
        <v>42942</v>
      </c>
      <c r="B639" s="115">
        <v>262.2</v>
      </c>
      <c r="C639" s="115">
        <v>261.35000000000002</v>
      </c>
      <c r="D639" s="115">
        <v>257.2</v>
      </c>
      <c r="E639" s="115">
        <v>257.75</v>
      </c>
      <c r="F639" s="115">
        <v>261.35000000000002</v>
      </c>
      <c r="G639">
        <v>766</v>
      </c>
      <c r="H639" s="115"/>
      <c r="I639" s="115"/>
      <c r="L639" s="169">
        <v>42942</v>
      </c>
      <c r="M639" s="115">
        <v>260.60000000000002</v>
      </c>
      <c r="N639" s="115">
        <v>262.95</v>
      </c>
      <c r="O639" s="115">
        <v>258.05</v>
      </c>
      <c r="P639" s="115">
        <v>262.64999999999998</v>
      </c>
      <c r="Q639" s="115">
        <v>260.60000000000002</v>
      </c>
      <c r="R639">
        <v>10219</v>
      </c>
    </row>
    <row r="640" spans="1:18" x14ac:dyDescent="0.25">
      <c r="A640" s="169">
        <v>42943</v>
      </c>
      <c r="B640" s="115">
        <v>264</v>
      </c>
      <c r="C640" s="115">
        <v>263.95</v>
      </c>
      <c r="D640" s="115">
        <v>259.14999999999998</v>
      </c>
      <c r="E640" s="115">
        <v>259.95</v>
      </c>
      <c r="F640" s="115">
        <v>263.95</v>
      </c>
      <c r="G640">
        <v>1219</v>
      </c>
      <c r="H640" s="115"/>
      <c r="I640" s="115"/>
      <c r="L640" s="169">
        <v>42943</v>
      </c>
      <c r="M640" s="115">
        <v>261.85000000000002</v>
      </c>
      <c r="N640" s="115">
        <v>263.45</v>
      </c>
      <c r="O640" s="115">
        <v>260.25</v>
      </c>
      <c r="P640" s="115">
        <v>261.8</v>
      </c>
      <c r="Q640" s="115">
        <v>261.85000000000002</v>
      </c>
      <c r="R640">
        <v>11041</v>
      </c>
    </row>
    <row r="641" spans="1:18" x14ac:dyDescent="0.25">
      <c r="A641" s="169">
        <v>42944</v>
      </c>
      <c r="B641" s="115">
        <v>265</v>
      </c>
      <c r="C641" s="115">
        <v>259</v>
      </c>
      <c r="D641" s="115">
        <v>258</v>
      </c>
      <c r="E641" s="115">
        <v>261</v>
      </c>
      <c r="F641" s="115">
        <v>259</v>
      </c>
      <c r="G641">
        <v>3497</v>
      </c>
      <c r="H641" s="115"/>
      <c r="I641" s="115"/>
      <c r="L641" s="169">
        <v>42944</v>
      </c>
      <c r="M641" s="115">
        <v>258.95</v>
      </c>
      <c r="N641" s="115">
        <v>264.95</v>
      </c>
      <c r="O641" s="115">
        <v>257.05</v>
      </c>
      <c r="P641" s="115">
        <v>264.95</v>
      </c>
      <c r="Q641" s="115">
        <v>258.95</v>
      </c>
      <c r="R641">
        <v>12665</v>
      </c>
    </row>
    <row r="642" spans="1:18" x14ac:dyDescent="0.25">
      <c r="A642" s="169">
        <v>42947</v>
      </c>
      <c r="B642" s="115">
        <v>258.95</v>
      </c>
      <c r="C642" s="115">
        <v>255.2</v>
      </c>
      <c r="D642" s="115">
        <v>254.25</v>
      </c>
      <c r="E642" s="115">
        <v>257.05</v>
      </c>
      <c r="F642" s="115">
        <v>255.2</v>
      </c>
      <c r="G642">
        <v>2852</v>
      </c>
      <c r="H642" s="115"/>
      <c r="I642" s="115"/>
      <c r="L642" s="169">
        <v>42947</v>
      </c>
      <c r="M642" s="115">
        <v>254.1</v>
      </c>
      <c r="N642" s="115">
        <v>263.89999999999998</v>
      </c>
      <c r="O642" s="115">
        <v>251.25</v>
      </c>
      <c r="P642" s="115">
        <v>263.85000000000002</v>
      </c>
      <c r="Q642" s="115">
        <v>254.1</v>
      </c>
      <c r="R642">
        <v>24661</v>
      </c>
    </row>
    <row r="643" spans="1:18" x14ac:dyDescent="0.25">
      <c r="A643" s="169">
        <v>42948</v>
      </c>
      <c r="B643" s="115">
        <v>260</v>
      </c>
      <c r="C643" s="115">
        <v>251.65</v>
      </c>
      <c r="D643" s="115">
        <v>250</v>
      </c>
      <c r="E643" s="115">
        <v>254.1</v>
      </c>
      <c r="F643" s="115">
        <v>251.65</v>
      </c>
      <c r="G643">
        <v>1528</v>
      </c>
      <c r="H643" s="115"/>
      <c r="I643" s="115"/>
      <c r="L643" s="169">
        <v>42948</v>
      </c>
      <c r="M643" s="115">
        <v>250.05</v>
      </c>
      <c r="N643" s="115">
        <v>259</v>
      </c>
      <c r="O643" s="115">
        <v>248.25</v>
      </c>
      <c r="P643" s="115">
        <v>254.85</v>
      </c>
      <c r="Q643" s="115">
        <v>250.05</v>
      </c>
      <c r="R643">
        <v>22258</v>
      </c>
    </row>
    <row r="644" spans="1:18" x14ac:dyDescent="0.25">
      <c r="A644" s="169">
        <v>42949</v>
      </c>
      <c r="B644" s="115">
        <v>252</v>
      </c>
      <c r="C644" s="115">
        <v>252</v>
      </c>
      <c r="D644" s="115">
        <v>249.05</v>
      </c>
      <c r="E644" s="115">
        <v>250</v>
      </c>
      <c r="F644" s="115">
        <v>252</v>
      </c>
      <c r="G644">
        <v>438</v>
      </c>
      <c r="H644" s="115"/>
      <c r="I644" s="115"/>
      <c r="L644" s="169">
        <v>42949</v>
      </c>
      <c r="M644" s="115">
        <v>250.55</v>
      </c>
      <c r="N644" s="115">
        <v>252</v>
      </c>
      <c r="O644" s="115">
        <v>248.5</v>
      </c>
      <c r="P644" s="115">
        <v>250</v>
      </c>
      <c r="Q644" s="115">
        <v>250.55</v>
      </c>
      <c r="R644">
        <v>29744</v>
      </c>
    </row>
    <row r="645" spans="1:18" x14ac:dyDescent="0.25">
      <c r="A645" s="169">
        <v>42950</v>
      </c>
      <c r="B645" s="115">
        <v>250.9</v>
      </c>
      <c r="C645" s="115">
        <v>246.9</v>
      </c>
      <c r="D645" s="115">
        <v>245.25</v>
      </c>
      <c r="E645" s="115">
        <v>250</v>
      </c>
      <c r="F645" s="115">
        <v>246.9</v>
      </c>
      <c r="G645">
        <v>1137</v>
      </c>
      <c r="H645" s="115"/>
      <c r="I645" s="115"/>
      <c r="L645" s="169">
        <v>42950</v>
      </c>
      <c r="M645" s="115">
        <v>246</v>
      </c>
      <c r="N645" s="115">
        <v>252</v>
      </c>
      <c r="O645" s="115">
        <v>245.25</v>
      </c>
      <c r="P645" s="115">
        <v>252</v>
      </c>
      <c r="Q645" s="115">
        <v>246</v>
      </c>
      <c r="R645">
        <v>10736</v>
      </c>
    </row>
    <row r="646" spans="1:18" x14ac:dyDescent="0.25">
      <c r="A646" s="169">
        <v>42951</v>
      </c>
      <c r="B646" s="115">
        <v>246.15</v>
      </c>
      <c r="C646" s="115">
        <v>243.85</v>
      </c>
      <c r="D646" s="115">
        <v>243</v>
      </c>
      <c r="E646" s="115">
        <v>245.55</v>
      </c>
      <c r="F646" s="115">
        <v>243.85</v>
      </c>
      <c r="G646">
        <v>1932</v>
      </c>
      <c r="H646" s="115"/>
      <c r="I646" s="115"/>
      <c r="L646" s="169">
        <v>42951</v>
      </c>
      <c r="M646" s="115">
        <v>244</v>
      </c>
      <c r="N646" s="115">
        <v>253.9</v>
      </c>
      <c r="O646" s="115">
        <v>243.1</v>
      </c>
      <c r="P646" s="115">
        <v>253.9</v>
      </c>
      <c r="Q646" s="115">
        <v>244</v>
      </c>
      <c r="R646">
        <v>11167</v>
      </c>
    </row>
    <row r="647" spans="1:18" x14ac:dyDescent="0.25">
      <c r="A647" s="169">
        <v>42954</v>
      </c>
      <c r="B647" s="115">
        <v>247.05</v>
      </c>
      <c r="C647" s="115">
        <v>245</v>
      </c>
      <c r="D647" s="115">
        <v>243</v>
      </c>
      <c r="E647" s="115">
        <v>247.05</v>
      </c>
      <c r="F647" s="115">
        <v>245</v>
      </c>
      <c r="G647">
        <v>2662</v>
      </c>
      <c r="H647" s="115"/>
      <c r="I647" s="115"/>
      <c r="L647" s="169">
        <v>42954</v>
      </c>
      <c r="M647" s="115">
        <v>242.85</v>
      </c>
      <c r="N647" s="115">
        <v>248.9</v>
      </c>
      <c r="O647" s="115">
        <v>241.95</v>
      </c>
      <c r="P647" s="115">
        <v>248.9</v>
      </c>
      <c r="Q647" s="115">
        <v>242.85</v>
      </c>
      <c r="R647">
        <v>17827</v>
      </c>
    </row>
    <row r="648" spans="1:18" x14ac:dyDescent="0.25">
      <c r="A648" s="169">
        <v>42955</v>
      </c>
      <c r="B648" s="115">
        <v>243.8</v>
      </c>
      <c r="C648" s="115">
        <v>243.8</v>
      </c>
      <c r="D648" s="115">
        <v>240</v>
      </c>
      <c r="E648" s="115">
        <v>243</v>
      </c>
      <c r="F648" s="115">
        <v>243.8</v>
      </c>
      <c r="G648">
        <v>1179</v>
      </c>
      <c r="H648" s="115"/>
      <c r="I648" s="115"/>
      <c r="L648" s="169">
        <v>42955</v>
      </c>
      <c r="M648" s="115">
        <v>242.35</v>
      </c>
      <c r="N648" s="115">
        <v>245.05</v>
      </c>
      <c r="O648" s="115">
        <v>238.25</v>
      </c>
      <c r="P648" s="115">
        <v>245.05</v>
      </c>
      <c r="Q648" s="115">
        <v>242.35</v>
      </c>
      <c r="R648">
        <v>13591</v>
      </c>
    </row>
    <row r="649" spans="1:18" x14ac:dyDescent="0.25">
      <c r="A649" s="169">
        <v>42956</v>
      </c>
      <c r="B649" s="115">
        <v>243</v>
      </c>
      <c r="C649" s="115">
        <v>241.7</v>
      </c>
      <c r="D649" s="115">
        <v>239.95</v>
      </c>
      <c r="E649" s="115">
        <v>241.05</v>
      </c>
      <c r="F649" s="115">
        <v>241.7</v>
      </c>
      <c r="G649">
        <v>1418</v>
      </c>
      <c r="H649" s="115"/>
      <c r="I649" s="115"/>
      <c r="L649" s="169">
        <v>42956</v>
      </c>
      <c r="M649" s="115">
        <v>240.1</v>
      </c>
      <c r="N649" s="115">
        <v>243</v>
      </c>
      <c r="O649" s="115">
        <v>239</v>
      </c>
      <c r="P649" s="115">
        <v>242</v>
      </c>
      <c r="Q649" s="115">
        <v>240.1</v>
      </c>
      <c r="R649">
        <v>32897</v>
      </c>
    </row>
    <row r="650" spans="1:18" x14ac:dyDescent="0.25">
      <c r="A650" s="169">
        <v>42957</v>
      </c>
      <c r="B650" s="115">
        <v>238.9</v>
      </c>
      <c r="C650" s="115">
        <v>235.75</v>
      </c>
      <c r="D650" s="115">
        <v>232.25</v>
      </c>
      <c r="E650" s="115">
        <v>238</v>
      </c>
      <c r="F650" s="115">
        <v>235.75</v>
      </c>
      <c r="G650">
        <v>2023</v>
      </c>
      <c r="H650" s="115"/>
      <c r="I650" s="115"/>
      <c r="L650" s="169">
        <v>42957</v>
      </c>
      <c r="M650" s="115">
        <v>232.65</v>
      </c>
      <c r="N650" s="115">
        <v>240.9</v>
      </c>
      <c r="O650" s="115">
        <v>230.25</v>
      </c>
      <c r="P650" s="115">
        <v>240.9</v>
      </c>
      <c r="Q650" s="115">
        <v>232.65</v>
      </c>
      <c r="R650">
        <v>23020</v>
      </c>
    </row>
    <row r="651" spans="1:18" x14ac:dyDescent="0.25">
      <c r="A651" s="169">
        <v>42958</v>
      </c>
      <c r="B651" s="115">
        <v>239.9</v>
      </c>
      <c r="C651" s="115">
        <v>235.45</v>
      </c>
      <c r="D651" s="115">
        <v>230.1</v>
      </c>
      <c r="E651" s="115">
        <v>230.1</v>
      </c>
      <c r="F651" s="115">
        <v>235.45</v>
      </c>
      <c r="G651">
        <v>790</v>
      </c>
      <c r="H651" s="115"/>
      <c r="I651" s="115"/>
      <c r="L651" s="169">
        <v>42958</v>
      </c>
      <c r="M651" s="115">
        <v>233</v>
      </c>
      <c r="N651" s="115">
        <v>238</v>
      </c>
      <c r="O651" s="115">
        <v>226.15</v>
      </c>
      <c r="P651" s="115">
        <v>233.15</v>
      </c>
      <c r="Q651" s="115">
        <v>233</v>
      </c>
      <c r="R651">
        <v>17531</v>
      </c>
    </row>
    <row r="652" spans="1:18" x14ac:dyDescent="0.25">
      <c r="A652" s="169">
        <v>42961</v>
      </c>
      <c r="B652" s="115">
        <v>231</v>
      </c>
      <c r="C652" s="115">
        <v>227.55</v>
      </c>
      <c r="D652" s="115">
        <v>224</v>
      </c>
      <c r="E652" s="115">
        <v>231</v>
      </c>
      <c r="F652" s="115">
        <v>227.55</v>
      </c>
      <c r="G652">
        <v>5815</v>
      </c>
      <c r="H652" s="115"/>
      <c r="I652" s="115"/>
      <c r="L652" s="169">
        <v>42961</v>
      </c>
      <c r="M652" s="115">
        <v>226.75</v>
      </c>
      <c r="N652" s="115">
        <v>231.55</v>
      </c>
      <c r="O652" s="115">
        <v>222.9</v>
      </c>
      <c r="P652" s="115">
        <v>230</v>
      </c>
      <c r="Q652" s="115">
        <v>226.75</v>
      </c>
      <c r="R652">
        <v>62210</v>
      </c>
    </row>
    <row r="653" spans="1:18" x14ac:dyDescent="0.25">
      <c r="A653" s="169">
        <v>42963</v>
      </c>
      <c r="B653" s="115">
        <v>238</v>
      </c>
      <c r="C653" s="115">
        <v>234.1</v>
      </c>
      <c r="D653" s="115">
        <v>225.05</v>
      </c>
      <c r="E653" s="115">
        <v>225.05</v>
      </c>
      <c r="F653" s="115">
        <v>234.1</v>
      </c>
      <c r="G653">
        <v>5637</v>
      </c>
      <c r="H653" s="115"/>
      <c r="I653" s="115"/>
      <c r="L653" s="169">
        <v>42963</v>
      </c>
      <c r="M653" s="115">
        <v>233.75</v>
      </c>
      <c r="N653" s="115">
        <v>235.65</v>
      </c>
      <c r="O653" s="115">
        <v>226.2</v>
      </c>
      <c r="P653" s="115">
        <v>226.8</v>
      </c>
      <c r="Q653" s="115">
        <v>233.75</v>
      </c>
      <c r="R653">
        <v>16410</v>
      </c>
    </row>
    <row r="654" spans="1:18" x14ac:dyDescent="0.25">
      <c r="A654" s="169">
        <v>42964</v>
      </c>
      <c r="B654" s="115">
        <v>242</v>
      </c>
      <c r="C654" s="115">
        <v>236.1</v>
      </c>
      <c r="D654" s="115">
        <v>230</v>
      </c>
      <c r="E654" s="115">
        <v>236.5</v>
      </c>
      <c r="F654" s="115">
        <v>236.1</v>
      </c>
      <c r="G654">
        <v>4495636</v>
      </c>
      <c r="H654" s="115"/>
      <c r="I654" s="115"/>
      <c r="L654" s="169">
        <v>42964</v>
      </c>
      <c r="M654" s="115">
        <v>240.75</v>
      </c>
      <c r="N654" s="115">
        <v>247.05</v>
      </c>
      <c r="O654" s="115">
        <v>230</v>
      </c>
      <c r="P654" s="115">
        <v>244.9</v>
      </c>
      <c r="Q654" s="115">
        <v>240.75</v>
      </c>
      <c r="R654">
        <v>308257</v>
      </c>
    </row>
    <row r="655" spans="1:18" x14ac:dyDescent="0.25">
      <c r="A655" s="169">
        <v>42965</v>
      </c>
      <c r="B655" s="115">
        <v>235.7</v>
      </c>
      <c r="C655" s="115">
        <v>229.75</v>
      </c>
      <c r="D655" s="115">
        <v>227</v>
      </c>
      <c r="E655" s="115">
        <v>235.7</v>
      </c>
      <c r="F655" s="115">
        <v>229.75</v>
      </c>
      <c r="G655">
        <v>38796</v>
      </c>
      <c r="H655" s="115"/>
      <c r="I655" s="115"/>
      <c r="L655" s="169">
        <v>42965</v>
      </c>
      <c r="M655" s="115">
        <v>230.05</v>
      </c>
      <c r="N655" s="115">
        <v>234.35</v>
      </c>
      <c r="O655" s="115">
        <v>227.05</v>
      </c>
      <c r="P655" s="115">
        <v>232.9</v>
      </c>
      <c r="Q655" s="115">
        <v>230.05</v>
      </c>
      <c r="R655">
        <v>136076</v>
      </c>
    </row>
    <row r="656" spans="1:18" x14ac:dyDescent="0.25">
      <c r="A656" s="169">
        <v>42968</v>
      </c>
      <c r="B656" s="115">
        <v>232.8</v>
      </c>
      <c r="C656" s="115">
        <v>220.75</v>
      </c>
      <c r="D656" s="115">
        <v>219</v>
      </c>
      <c r="E656" s="115">
        <v>231.8</v>
      </c>
      <c r="F656" s="115">
        <v>220.75</v>
      </c>
      <c r="G656">
        <v>20765</v>
      </c>
      <c r="H656" s="115"/>
      <c r="I656" s="115"/>
      <c r="L656" s="169">
        <v>42968</v>
      </c>
      <c r="M656" s="115">
        <v>220.8</v>
      </c>
      <c r="N656" s="115">
        <v>232.95</v>
      </c>
      <c r="O656" s="115">
        <v>219.1</v>
      </c>
      <c r="P656" s="115">
        <v>230.95</v>
      </c>
      <c r="Q656" s="115">
        <v>220.8</v>
      </c>
      <c r="R656">
        <v>65664</v>
      </c>
    </row>
    <row r="657" spans="1:18" x14ac:dyDescent="0.25">
      <c r="A657" s="169">
        <v>42969</v>
      </c>
      <c r="B657" s="115">
        <v>223.95</v>
      </c>
      <c r="C657" s="115">
        <v>219.85</v>
      </c>
      <c r="D657" s="115">
        <v>213</v>
      </c>
      <c r="E657" s="115">
        <v>223.15</v>
      </c>
      <c r="F657" s="115">
        <v>219.85</v>
      </c>
      <c r="G657">
        <v>7199</v>
      </c>
      <c r="H657" s="115"/>
      <c r="I657" s="115"/>
      <c r="L657" s="169">
        <v>42969</v>
      </c>
      <c r="M657" s="115">
        <v>219.6</v>
      </c>
      <c r="N657" s="115">
        <v>225.2</v>
      </c>
      <c r="O657" s="115">
        <v>213.85</v>
      </c>
      <c r="P657" s="115">
        <v>220.8</v>
      </c>
      <c r="Q657" s="115">
        <v>219.6</v>
      </c>
      <c r="R657">
        <v>66036</v>
      </c>
    </row>
    <row r="658" spans="1:18" x14ac:dyDescent="0.25">
      <c r="A658" s="169">
        <v>42970</v>
      </c>
      <c r="B658" s="115">
        <v>221</v>
      </c>
      <c r="C658" s="115">
        <v>219.4</v>
      </c>
      <c r="D658" s="115">
        <v>217</v>
      </c>
      <c r="E658" s="115">
        <v>220.05</v>
      </c>
      <c r="F658" s="115">
        <v>219.4</v>
      </c>
      <c r="G658">
        <v>6388</v>
      </c>
      <c r="H658" s="115"/>
      <c r="I658" s="115"/>
      <c r="L658" s="169">
        <v>42970</v>
      </c>
      <c r="M658" s="115">
        <v>220.65</v>
      </c>
      <c r="N658" s="115">
        <v>221.85</v>
      </c>
      <c r="O658" s="115">
        <v>215.65</v>
      </c>
      <c r="P658" s="115">
        <v>219</v>
      </c>
      <c r="Q658" s="115">
        <v>220.65</v>
      </c>
      <c r="R658">
        <v>17400</v>
      </c>
    </row>
    <row r="659" spans="1:18" x14ac:dyDescent="0.25">
      <c r="A659" s="169">
        <v>42971</v>
      </c>
      <c r="B659" s="115">
        <v>222.85</v>
      </c>
      <c r="C659" s="115">
        <v>219.45</v>
      </c>
      <c r="D659" s="115">
        <v>215.5</v>
      </c>
      <c r="E659" s="115">
        <v>220.45</v>
      </c>
      <c r="F659" s="115">
        <v>219.45</v>
      </c>
      <c r="G659">
        <v>5622</v>
      </c>
      <c r="H659" s="115"/>
      <c r="I659" s="115"/>
      <c r="L659" s="169">
        <v>42971</v>
      </c>
      <c r="M659" s="115">
        <v>220.25</v>
      </c>
      <c r="N659" s="115">
        <v>223.85</v>
      </c>
      <c r="O659" s="115">
        <v>215.65</v>
      </c>
      <c r="P659" s="115">
        <v>222.65</v>
      </c>
      <c r="Q659" s="115">
        <v>220.25</v>
      </c>
      <c r="R659">
        <v>38409</v>
      </c>
    </row>
    <row r="660" spans="1:18" x14ac:dyDescent="0.25">
      <c r="A660" s="169">
        <v>42975</v>
      </c>
      <c r="B660" s="115">
        <v>224.2</v>
      </c>
      <c r="C660" s="115">
        <v>220.7</v>
      </c>
      <c r="D660" s="115">
        <v>218</v>
      </c>
      <c r="E660" s="115">
        <v>219</v>
      </c>
      <c r="F660" s="115">
        <v>220.7</v>
      </c>
      <c r="G660">
        <v>5845</v>
      </c>
      <c r="H660" s="115"/>
      <c r="I660" s="115"/>
      <c r="L660" s="169">
        <v>42975</v>
      </c>
      <c r="M660" s="115">
        <v>222.4</v>
      </c>
      <c r="N660" s="115">
        <v>224</v>
      </c>
      <c r="O660" s="115">
        <v>220.45</v>
      </c>
      <c r="P660" s="115">
        <v>220.95</v>
      </c>
      <c r="Q660" s="115">
        <v>222.4</v>
      </c>
      <c r="R660">
        <v>21713</v>
      </c>
    </row>
    <row r="661" spans="1:18" x14ac:dyDescent="0.25">
      <c r="A661" s="169">
        <v>42976</v>
      </c>
      <c r="B661" s="115">
        <v>221</v>
      </c>
      <c r="C661" s="115">
        <v>219.6</v>
      </c>
      <c r="D661" s="115">
        <v>216</v>
      </c>
      <c r="E661" s="115">
        <v>220</v>
      </c>
      <c r="F661" s="115">
        <v>219.6</v>
      </c>
      <c r="G661">
        <v>7555</v>
      </c>
      <c r="H661" s="115"/>
      <c r="I661" s="115"/>
      <c r="L661" s="169">
        <v>42976</v>
      </c>
      <c r="M661" s="115">
        <v>219.5</v>
      </c>
      <c r="N661" s="115">
        <v>221.5</v>
      </c>
      <c r="O661" s="115">
        <v>216</v>
      </c>
      <c r="P661" s="115">
        <v>221.5</v>
      </c>
      <c r="Q661" s="115">
        <v>219.5</v>
      </c>
      <c r="R661">
        <v>35063</v>
      </c>
    </row>
    <row r="662" spans="1:18" x14ac:dyDescent="0.25">
      <c r="A662" s="169">
        <v>42977</v>
      </c>
      <c r="B662" s="115">
        <v>222.55</v>
      </c>
      <c r="C662" s="115">
        <v>222</v>
      </c>
      <c r="D662" s="115">
        <v>217.25</v>
      </c>
      <c r="E662" s="115">
        <v>221.2</v>
      </c>
      <c r="F662" s="115">
        <v>222</v>
      </c>
      <c r="G662">
        <v>6562</v>
      </c>
      <c r="H662" s="115"/>
      <c r="I662" s="115"/>
      <c r="L662" s="169">
        <v>42977</v>
      </c>
      <c r="M662" s="115">
        <v>222.9</v>
      </c>
      <c r="N662" s="115">
        <v>223.9</v>
      </c>
      <c r="O662" s="115">
        <v>218.15</v>
      </c>
      <c r="P662" s="115">
        <v>219.9</v>
      </c>
      <c r="Q662" s="115">
        <v>222.9</v>
      </c>
      <c r="R662">
        <v>11198</v>
      </c>
    </row>
    <row r="663" spans="1:18" x14ac:dyDescent="0.25">
      <c r="A663" s="169">
        <v>42978</v>
      </c>
      <c r="B663" s="115">
        <v>224.4</v>
      </c>
      <c r="C663" s="115">
        <v>219.35</v>
      </c>
      <c r="D663" s="115">
        <v>217.7</v>
      </c>
      <c r="E663" s="115">
        <v>221.9</v>
      </c>
      <c r="F663" s="115">
        <v>219.35</v>
      </c>
      <c r="G663">
        <v>3039</v>
      </c>
      <c r="H663" s="115"/>
      <c r="I663" s="115"/>
      <c r="L663" s="169">
        <v>42978</v>
      </c>
      <c r="M663" s="115">
        <v>219.4</v>
      </c>
      <c r="N663" s="115">
        <v>224.95</v>
      </c>
      <c r="O663" s="115">
        <v>218.5</v>
      </c>
      <c r="P663" s="115">
        <v>224.9</v>
      </c>
      <c r="Q663" s="115">
        <v>219.4</v>
      </c>
      <c r="R663">
        <v>18278</v>
      </c>
    </row>
    <row r="664" spans="1:18" x14ac:dyDescent="0.25">
      <c r="A664" s="169">
        <v>42979</v>
      </c>
      <c r="B664" s="115">
        <v>224.7</v>
      </c>
      <c r="C664" s="115">
        <v>222.1</v>
      </c>
      <c r="D664" s="115">
        <v>219.5</v>
      </c>
      <c r="E664" s="115">
        <v>219.5</v>
      </c>
      <c r="F664" s="115">
        <v>222.1</v>
      </c>
      <c r="G664">
        <v>55824</v>
      </c>
      <c r="H664" s="115"/>
      <c r="I664" s="115"/>
      <c r="L664" s="169">
        <v>42979</v>
      </c>
      <c r="M664" s="115">
        <v>221.85</v>
      </c>
      <c r="N664" s="115">
        <v>224.2</v>
      </c>
      <c r="O664" s="115">
        <v>218.25</v>
      </c>
      <c r="P664" s="115">
        <v>221</v>
      </c>
      <c r="Q664" s="115">
        <v>221.85</v>
      </c>
      <c r="R664">
        <v>22120</v>
      </c>
    </row>
    <row r="665" spans="1:18" x14ac:dyDescent="0.25">
      <c r="A665" s="169">
        <v>42982</v>
      </c>
      <c r="B665" s="115">
        <v>220.9</v>
      </c>
      <c r="C665" s="115">
        <v>218.8</v>
      </c>
      <c r="D665" s="115">
        <v>217.05</v>
      </c>
      <c r="E665" s="115">
        <v>220.1</v>
      </c>
      <c r="F665" s="115">
        <v>218.8</v>
      </c>
      <c r="G665">
        <v>4511</v>
      </c>
      <c r="H665" s="115"/>
      <c r="I665" s="115"/>
      <c r="L665" s="169">
        <v>42982</v>
      </c>
      <c r="M665" s="115">
        <v>218.1</v>
      </c>
      <c r="N665" s="115">
        <v>222</v>
      </c>
      <c r="O665" s="115">
        <v>216.1</v>
      </c>
      <c r="P665" s="115">
        <v>222</v>
      </c>
      <c r="Q665" s="115">
        <v>218.1</v>
      </c>
      <c r="R665">
        <v>18016</v>
      </c>
    </row>
    <row r="666" spans="1:18" x14ac:dyDescent="0.25">
      <c r="A666" s="169">
        <v>42983</v>
      </c>
      <c r="B666" s="115">
        <v>224.4</v>
      </c>
      <c r="C666" s="115">
        <v>224.2</v>
      </c>
      <c r="D666" s="115">
        <v>220</v>
      </c>
      <c r="E666" s="115">
        <v>222</v>
      </c>
      <c r="F666" s="115">
        <v>224.2</v>
      </c>
      <c r="G666">
        <v>3468</v>
      </c>
      <c r="H666" s="115"/>
      <c r="I666" s="115"/>
      <c r="L666" s="169">
        <v>42983</v>
      </c>
      <c r="M666" s="115">
        <v>222.65</v>
      </c>
      <c r="N666" s="115">
        <v>223.45</v>
      </c>
      <c r="O666" s="115">
        <v>219.3</v>
      </c>
      <c r="P666" s="115">
        <v>220</v>
      </c>
      <c r="Q666" s="115">
        <v>222.65</v>
      </c>
      <c r="R666">
        <v>11900</v>
      </c>
    </row>
    <row r="667" spans="1:18" x14ac:dyDescent="0.25">
      <c r="A667" s="169">
        <v>42984</v>
      </c>
      <c r="B667" s="115">
        <v>223.95</v>
      </c>
      <c r="C667" s="115">
        <v>222.6</v>
      </c>
      <c r="D667" s="115">
        <v>220.35</v>
      </c>
      <c r="E667" s="115">
        <v>220.4</v>
      </c>
      <c r="F667" s="115">
        <v>222.6</v>
      </c>
      <c r="G667">
        <v>4687</v>
      </c>
      <c r="H667" s="115"/>
      <c r="I667" s="115"/>
      <c r="L667" s="169">
        <v>42984</v>
      </c>
      <c r="M667" s="115">
        <v>221.95</v>
      </c>
      <c r="N667" s="115">
        <v>223</v>
      </c>
      <c r="O667" s="115">
        <v>220</v>
      </c>
      <c r="P667" s="115">
        <v>220</v>
      </c>
      <c r="Q667" s="115">
        <v>221.95</v>
      </c>
      <c r="R667">
        <v>18128</v>
      </c>
    </row>
    <row r="668" spans="1:18" x14ac:dyDescent="0.25">
      <c r="A668" s="169">
        <v>42985</v>
      </c>
      <c r="B668" s="115">
        <v>222.25</v>
      </c>
      <c r="C668" s="115">
        <v>219.45</v>
      </c>
      <c r="D668" s="115">
        <v>217.85</v>
      </c>
      <c r="E668" s="115">
        <v>222.25</v>
      </c>
      <c r="F668" s="115">
        <v>219.45</v>
      </c>
      <c r="G668">
        <v>3111</v>
      </c>
      <c r="H668" s="115"/>
      <c r="I668" s="115"/>
      <c r="L668" s="169">
        <v>42985</v>
      </c>
      <c r="M668" s="115">
        <v>218.95</v>
      </c>
      <c r="N668" s="115">
        <v>224.15</v>
      </c>
      <c r="O668" s="115">
        <v>217</v>
      </c>
      <c r="P668" s="115">
        <v>224.15</v>
      </c>
      <c r="Q668" s="115">
        <v>218.95</v>
      </c>
      <c r="R668">
        <v>33231</v>
      </c>
    </row>
    <row r="669" spans="1:18" x14ac:dyDescent="0.25">
      <c r="A669" s="169">
        <v>42986</v>
      </c>
      <c r="B669" s="115">
        <v>223.7</v>
      </c>
      <c r="C669" s="115">
        <v>220.95</v>
      </c>
      <c r="D669" s="115">
        <v>219.2</v>
      </c>
      <c r="E669" s="115">
        <v>219.2</v>
      </c>
      <c r="F669" s="115">
        <v>220.95</v>
      </c>
      <c r="G669">
        <v>4122</v>
      </c>
      <c r="H669" s="115"/>
      <c r="I669" s="115"/>
      <c r="L669" s="169">
        <v>42986</v>
      </c>
      <c r="M669" s="115">
        <v>219.85</v>
      </c>
      <c r="N669" s="115">
        <v>224</v>
      </c>
      <c r="O669" s="115">
        <v>217.65</v>
      </c>
      <c r="P669" s="115">
        <v>218.55</v>
      </c>
      <c r="Q669" s="115">
        <v>219.85</v>
      </c>
      <c r="R669">
        <v>48180</v>
      </c>
    </row>
    <row r="670" spans="1:18" x14ac:dyDescent="0.25">
      <c r="A670" s="169">
        <v>42989</v>
      </c>
      <c r="B670" s="115">
        <v>222.45</v>
      </c>
      <c r="C670" s="115">
        <v>221.6</v>
      </c>
      <c r="D670" s="115">
        <v>219.6</v>
      </c>
      <c r="E670" s="115">
        <v>219.65</v>
      </c>
      <c r="F670" s="115">
        <v>221.6</v>
      </c>
      <c r="G670">
        <v>2668</v>
      </c>
      <c r="H670" s="115"/>
      <c r="I670" s="115"/>
      <c r="L670" s="169">
        <v>42989</v>
      </c>
      <c r="M670" s="115">
        <v>221.2</v>
      </c>
      <c r="N670" s="115">
        <v>223.15</v>
      </c>
      <c r="O670" s="115">
        <v>218.65</v>
      </c>
      <c r="P670" s="115">
        <v>221.95</v>
      </c>
      <c r="Q670" s="115">
        <v>221.2</v>
      </c>
      <c r="R670">
        <v>21749</v>
      </c>
    </row>
    <row r="671" spans="1:18" x14ac:dyDescent="0.25">
      <c r="A671" s="169">
        <v>42990</v>
      </c>
      <c r="B671" s="115">
        <v>220.7</v>
      </c>
      <c r="C671" s="115">
        <v>218.8</v>
      </c>
      <c r="D671" s="115">
        <v>218</v>
      </c>
      <c r="E671" s="115">
        <v>220.5</v>
      </c>
      <c r="F671" s="115">
        <v>218.8</v>
      </c>
      <c r="G671">
        <v>13490</v>
      </c>
      <c r="H671" s="115"/>
      <c r="I671" s="115"/>
      <c r="L671" s="169">
        <v>42990</v>
      </c>
      <c r="M671" s="115">
        <v>218.9</v>
      </c>
      <c r="N671" s="115">
        <v>222.35</v>
      </c>
      <c r="O671" s="115">
        <v>218.05</v>
      </c>
      <c r="P671" s="115">
        <v>221.85</v>
      </c>
      <c r="Q671" s="115">
        <v>218.9</v>
      </c>
      <c r="R671">
        <v>25796</v>
      </c>
    </row>
    <row r="672" spans="1:18" x14ac:dyDescent="0.25">
      <c r="A672" s="169">
        <v>42991</v>
      </c>
      <c r="B672" s="115">
        <v>227.95</v>
      </c>
      <c r="C672" s="115">
        <v>224.15</v>
      </c>
      <c r="D672" s="115">
        <v>220.55</v>
      </c>
      <c r="E672" s="115">
        <v>221</v>
      </c>
      <c r="F672" s="115">
        <v>224.15</v>
      </c>
      <c r="G672">
        <v>7743</v>
      </c>
      <c r="H672" s="115"/>
      <c r="I672" s="115"/>
      <c r="L672" s="169">
        <v>42991</v>
      </c>
      <c r="M672" s="115">
        <v>223</v>
      </c>
      <c r="N672" s="115">
        <v>229</v>
      </c>
      <c r="O672" s="115">
        <v>218.95</v>
      </c>
      <c r="P672" s="115">
        <v>219.65</v>
      </c>
      <c r="Q672" s="115">
        <v>223</v>
      </c>
      <c r="R672">
        <v>67912</v>
      </c>
    </row>
    <row r="673" spans="1:18" x14ac:dyDescent="0.25">
      <c r="A673" s="169">
        <v>42992</v>
      </c>
      <c r="B673" s="115">
        <v>226.95</v>
      </c>
      <c r="C673" s="115">
        <v>224.65</v>
      </c>
      <c r="D673" s="115">
        <v>222.6</v>
      </c>
      <c r="E673" s="115">
        <v>222.6</v>
      </c>
      <c r="F673" s="115">
        <v>224.65</v>
      </c>
      <c r="G673">
        <v>3918</v>
      </c>
      <c r="H673" s="115"/>
      <c r="I673" s="115"/>
      <c r="L673" s="169">
        <v>42992</v>
      </c>
      <c r="M673" s="115">
        <v>225.15</v>
      </c>
      <c r="N673" s="115">
        <v>226.8</v>
      </c>
      <c r="O673" s="115">
        <v>223</v>
      </c>
      <c r="P673" s="115">
        <v>225</v>
      </c>
      <c r="Q673" s="115">
        <v>225.15</v>
      </c>
      <c r="R673">
        <v>12766</v>
      </c>
    </row>
    <row r="674" spans="1:18" x14ac:dyDescent="0.25">
      <c r="A674" s="169">
        <v>42993</v>
      </c>
      <c r="B674" s="115">
        <v>221.95</v>
      </c>
      <c r="C674" s="115">
        <v>221.1</v>
      </c>
      <c r="D674" s="115">
        <v>214.95</v>
      </c>
      <c r="E674" s="115">
        <v>221</v>
      </c>
      <c r="F674" s="115">
        <v>221.1</v>
      </c>
      <c r="G674">
        <v>5168</v>
      </c>
      <c r="H674" s="115"/>
      <c r="I674" s="115"/>
      <c r="L674" s="169">
        <v>42993</v>
      </c>
      <c r="M674" s="115">
        <v>219.5</v>
      </c>
      <c r="N674" s="115">
        <v>223.65</v>
      </c>
      <c r="O674" s="115">
        <v>215</v>
      </c>
      <c r="P674" s="115">
        <v>223.65</v>
      </c>
      <c r="Q674" s="115">
        <v>219.5</v>
      </c>
      <c r="R674">
        <v>27583</v>
      </c>
    </row>
    <row r="675" spans="1:18" x14ac:dyDescent="0.25">
      <c r="A675" s="169">
        <v>42996</v>
      </c>
      <c r="B675" s="115">
        <v>225.05</v>
      </c>
      <c r="C675" s="115">
        <v>224.5</v>
      </c>
      <c r="D675" s="115">
        <v>219.1</v>
      </c>
      <c r="E675" s="115">
        <v>219.5</v>
      </c>
      <c r="F675" s="115">
        <v>224.5</v>
      </c>
      <c r="G675">
        <v>2606</v>
      </c>
      <c r="H675" s="115"/>
      <c r="I675" s="115"/>
      <c r="L675" s="169">
        <v>42996</v>
      </c>
      <c r="M675" s="115">
        <v>222.65</v>
      </c>
      <c r="N675" s="115">
        <v>224.9</v>
      </c>
      <c r="O675" s="115">
        <v>218.4</v>
      </c>
      <c r="P675" s="115">
        <v>221.7</v>
      </c>
      <c r="Q675" s="115">
        <v>222.65</v>
      </c>
      <c r="R675">
        <v>10156</v>
      </c>
    </row>
    <row r="676" spans="1:18" x14ac:dyDescent="0.25">
      <c r="A676" s="169">
        <v>42997</v>
      </c>
      <c r="B676" s="115">
        <v>224</v>
      </c>
      <c r="C676" s="115">
        <v>221.25</v>
      </c>
      <c r="D676" s="115">
        <v>219.15</v>
      </c>
      <c r="E676" s="115">
        <v>222</v>
      </c>
      <c r="F676" s="115">
        <v>221.25</v>
      </c>
      <c r="G676">
        <v>23222</v>
      </c>
      <c r="H676" s="115"/>
      <c r="I676" s="115"/>
      <c r="L676" s="169">
        <v>42997</v>
      </c>
      <c r="M676" s="115">
        <v>221.5</v>
      </c>
      <c r="N676" s="115">
        <v>222.8</v>
      </c>
      <c r="O676" s="115">
        <v>219.2</v>
      </c>
      <c r="P676" s="115">
        <v>221.8</v>
      </c>
      <c r="Q676" s="115">
        <v>221.5</v>
      </c>
      <c r="R676">
        <v>26192</v>
      </c>
    </row>
    <row r="677" spans="1:18" x14ac:dyDescent="0.25">
      <c r="A677" s="169">
        <v>42998</v>
      </c>
      <c r="B677" s="115">
        <v>221.75</v>
      </c>
      <c r="C677" s="115">
        <v>219.75</v>
      </c>
      <c r="D677" s="115">
        <v>219.55</v>
      </c>
      <c r="E677" s="115">
        <v>221</v>
      </c>
      <c r="F677" s="115">
        <v>219.75</v>
      </c>
      <c r="G677">
        <v>2485</v>
      </c>
      <c r="H677" s="115"/>
      <c r="I677" s="115"/>
      <c r="L677" s="169">
        <v>42998</v>
      </c>
      <c r="M677" s="115">
        <v>220.1</v>
      </c>
      <c r="N677" s="115">
        <v>222.55</v>
      </c>
      <c r="O677" s="115">
        <v>219.25</v>
      </c>
      <c r="P677" s="115">
        <v>222.5</v>
      </c>
      <c r="Q677" s="115">
        <v>220.1</v>
      </c>
      <c r="R677">
        <v>18840</v>
      </c>
    </row>
    <row r="678" spans="1:18" x14ac:dyDescent="0.25">
      <c r="A678" s="169">
        <v>42999</v>
      </c>
      <c r="B678" s="115">
        <v>221.8</v>
      </c>
      <c r="C678" s="115">
        <v>220.4</v>
      </c>
      <c r="D678" s="115">
        <v>218</v>
      </c>
      <c r="E678" s="115">
        <v>219.75</v>
      </c>
      <c r="F678" s="115">
        <v>220.4</v>
      </c>
      <c r="G678">
        <v>2173</v>
      </c>
      <c r="H678" s="115"/>
      <c r="I678" s="115"/>
      <c r="L678" s="169">
        <v>42999</v>
      </c>
      <c r="M678" s="115">
        <v>219.05</v>
      </c>
      <c r="N678" s="115">
        <v>222</v>
      </c>
      <c r="O678" s="115">
        <v>217.25</v>
      </c>
      <c r="P678" s="115">
        <v>220</v>
      </c>
      <c r="Q678" s="115">
        <v>219.05</v>
      </c>
      <c r="R678">
        <v>11861</v>
      </c>
    </row>
    <row r="679" spans="1:18" x14ac:dyDescent="0.25">
      <c r="A679" s="169">
        <v>43000</v>
      </c>
      <c r="B679" s="115">
        <v>224.6</v>
      </c>
      <c r="C679" s="115">
        <v>214.8</v>
      </c>
      <c r="D679" s="115">
        <v>213.2</v>
      </c>
      <c r="E679" s="115">
        <v>219.1</v>
      </c>
      <c r="F679" s="115">
        <v>214.8</v>
      </c>
      <c r="G679">
        <v>5954</v>
      </c>
      <c r="H679" s="115"/>
      <c r="I679" s="115"/>
      <c r="L679" s="169">
        <v>43000</v>
      </c>
      <c r="M679" s="115">
        <v>215.05</v>
      </c>
      <c r="N679" s="115">
        <v>220</v>
      </c>
      <c r="O679" s="115">
        <v>214.6</v>
      </c>
      <c r="P679" s="115">
        <v>220</v>
      </c>
      <c r="Q679" s="115">
        <v>215.05</v>
      </c>
      <c r="R679">
        <v>42662</v>
      </c>
    </row>
    <row r="680" spans="1:18" x14ac:dyDescent="0.25">
      <c r="A680" s="169">
        <v>43003</v>
      </c>
      <c r="B680" s="115">
        <v>214.2</v>
      </c>
      <c r="C680" s="115">
        <v>209.1</v>
      </c>
      <c r="D680" s="115">
        <v>207</v>
      </c>
      <c r="E680" s="115">
        <v>213.65</v>
      </c>
      <c r="F680" s="115">
        <v>209.1</v>
      </c>
      <c r="G680">
        <v>7399</v>
      </c>
      <c r="H680" s="115"/>
      <c r="I680" s="115"/>
      <c r="L680" s="169">
        <v>43003</v>
      </c>
      <c r="M680" s="115">
        <v>208.85</v>
      </c>
      <c r="N680" s="115">
        <v>216.3</v>
      </c>
      <c r="O680" s="115">
        <v>206</v>
      </c>
      <c r="P680" s="115">
        <v>215.1</v>
      </c>
      <c r="Q680" s="115">
        <v>208.85</v>
      </c>
      <c r="R680">
        <v>23503</v>
      </c>
    </row>
    <row r="681" spans="1:18" x14ac:dyDescent="0.25">
      <c r="A681" s="169">
        <v>43004</v>
      </c>
      <c r="B681" s="115">
        <v>214.75</v>
      </c>
      <c r="C681" s="115">
        <v>203</v>
      </c>
      <c r="D681" s="115">
        <v>201</v>
      </c>
      <c r="E681" s="115">
        <v>210</v>
      </c>
      <c r="F681" s="115">
        <v>203</v>
      </c>
      <c r="G681">
        <v>18511</v>
      </c>
      <c r="H681" s="115"/>
      <c r="I681" s="115"/>
      <c r="L681" s="169">
        <v>43004</v>
      </c>
      <c r="M681" s="115">
        <v>204.2</v>
      </c>
      <c r="N681" s="115">
        <v>215.35</v>
      </c>
      <c r="O681" s="115">
        <v>200.95</v>
      </c>
      <c r="P681" s="115">
        <v>208.6</v>
      </c>
      <c r="Q681" s="115">
        <v>204.2</v>
      </c>
      <c r="R681">
        <v>143161</v>
      </c>
    </row>
    <row r="682" spans="1:18" x14ac:dyDescent="0.25">
      <c r="A682" s="169">
        <v>43005</v>
      </c>
      <c r="B682" s="115">
        <v>214.4</v>
      </c>
      <c r="C682" s="115">
        <v>211.1</v>
      </c>
      <c r="D682" s="115">
        <v>203.25</v>
      </c>
      <c r="E682" s="115">
        <v>206.1</v>
      </c>
      <c r="F682" s="115">
        <v>211.1</v>
      </c>
      <c r="G682">
        <v>6867</v>
      </c>
      <c r="H682" s="115"/>
      <c r="I682" s="115"/>
      <c r="L682" s="169">
        <v>43005</v>
      </c>
      <c r="M682" s="115">
        <v>211.75</v>
      </c>
      <c r="N682" s="115">
        <v>215.3</v>
      </c>
      <c r="O682" s="115">
        <v>204.5</v>
      </c>
      <c r="P682" s="115">
        <v>206</v>
      </c>
      <c r="Q682" s="115">
        <v>211.75</v>
      </c>
      <c r="R682">
        <v>32989</v>
      </c>
    </row>
    <row r="683" spans="1:18" x14ac:dyDescent="0.25">
      <c r="A683" s="169">
        <v>43006</v>
      </c>
      <c r="B683" s="115">
        <v>220</v>
      </c>
      <c r="C683" s="115">
        <v>219.15</v>
      </c>
      <c r="D683" s="115">
        <v>213</v>
      </c>
      <c r="E683" s="115">
        <v>213.5</v>
      </c>
      <c r="F683" s="115">
        <v>219.15</v>
      </c>
      <c r="G683">
        <v>4436</v>
      </c>
      <c r="H683" s="115"/>
      <c r="I683" s="115"/>
      <c r="L683" s="169">
        <v>43006</v>
      </c>
      <c r="M683" s="115">
        <v>220.45</v>
      </c>
      <c r="N683" s="115">
        <v>221.9</v>
      </c>
      <c r="O683" s="115">
        <v>207.5</v>
      </c>
      <c r="P683" s="115">
        <v>207.5</v>
      </c>
      <c r="Q683" s="115">
        <v>220.45</v>
      </c>
      <c r="R683">
        <v>24161</v>
      </c>
    </row>
    <row r="684" spans="1:18" x14ac:dyDescent="0.25">
      <c r="A684" s="169">
        <v>43007</v>
      </c>
      <c r="B684" s="115">
        <v>224.95</v>
      </c>
      <c r="C684" s="115">
        <v>218.35</v>
      </c>
      <c r="D684" s="115">
        <v>217</v>
      </c>
      <c r="E684" s="115">
        <v>223.95</v>
      </c>
      <c r="F684" s="115">
        <v>218.35</v>
      </c>
      <c r="G684">
        <v>3376</v>
      </c>
      <c r="H684" s="115"/>
      <c r="I684" s="115"/>
      <c r="L684" s="169">
        <v>43007</v>
      </c>
      <c r="M684" s="115">
        <v>220.65</v>
      </c>
      <c r="N684" s="115">
        <v>224.2</v>
      </c>
      <c r="O684" s="115">
        <v>217</v>
      </c>
      <c r="P684" s="115">
        <v>221.6</v>
      </c>
      <c r="Q684" s="115">
        <v>220.65</v>
      </c>
      <c r="R684">
        <v>23405</v>
      </c>
    </row>
    <row r="685" spans="1:18" x14ac:dyDescent="0.25">
      <c r="A685" s="169">
        <v>43011</v>
      </c>
      <c r="B685" s="115">
        <v>224.45</v>
      </c>
      <c r="C685" s="115">
        <v>219.4</v>
      </c>
      <c r="D685" s="115">
        <v>216.05</v>
      </c>
      <c r="E685" s="115">
        <v>218.9</v>
      </c>
      <c r="F685" s="115">
        <v>219.4</v>
      </c>
      <c r="G685">
        <v>906</v>
      </c>
      <c r="H685" s="115"/>
      <c r="I685" s="115"/>
      <c r="L685" s="169">
        <v>43011</v>
      </c>
      <c r="M685" s="115">
        <v>218.55</v>
      </c>
      <c r="N685" s="115">
        <v>224.9</v>
      </c>
      <c r="O685" s="115">
        <v>216.6</v>
      </c>
      <c r="P685" s="115">
        <v>224.9</v>
      </c>
      <c r="Q685" s="115">
        <v>218.55</v>
      </c>
      <c r="R685">
        <v>10428</v>
      </c>
    </row>
    <row r="686" spans="1:18" x14ac:dyDescent="0.25">
      <c r="A686" s="169">
        <v>43012</v>
      </c>
      <c r="B686" s="115">
        <v>222</v>
      </c>
      <c r="C686" s="115">
        <v>216.95</v>
      </c>
      <c r="D686" s="115">
        <v>215.2</v>
      </c>
      <c r="E686" s="115">
        <v>219.3</v>
      </c>
      <c r="F686" s="115">
        <v>216.95</v>
      </c>
      <c r="G686">
        <v>2473</v>
      </c>
      <c r="H686" s="115"/>
      <c r="I686" s="115"/>
      <c r="L686" s="169">
        <v>43012</v>
      </c>
      <c r="M686" s="115">
        <v>218.2</v>
      </c>
      <c r="N686" s="115">
        <v>221</v>
      </c>
      <c r="O686" s="115">
        <v>215.25</v>
      </c>
      <c r="P686" s="115">
        <v>220</v>
      </c>
      <c r="Q686" s="115">
        <v>218.2</v>
      </c>
      <c r="R686">
        <v>30958</v>
      </c>
    </row>
    <row r="687" spans="1:18" x14ac:dyDescent="0.25">
      <c r="A687" s="169">
        <v>43013</v>
      </c>
      <c r="B687" s="115">
        <v>223.95</v>
      </c>
      <c r="C687" s="115">
        <v>218.7</v>
      </c>
      <c r="D687" s="115">
        <v>216</v>
      </c>
      <c r="E687" s="115">
        <v>219.8</v>
      </c>
      <c r="F687" s="115">
        <v>218.7</v>
      </c>
      <c r="G687">
        <v>2704</v>
      </c>
      <c r="H687" s="115"/>
      <c r="I687" s="115"/>
      <c r="L687" s="169">
        <v>43013</v>
      </c>
      <c r="M687" s="115">
        <v>219.05</v>
      </c>
      <c r="N687" s="115">
        <v>224.4</v>
      </c>
      <c r="O687" s="115">
        <v>215.7</v>
      </c>
      <c r="P687" s="115">
        <v>218.5</v>
      </c>
      <c r="Q687" s="115">
        <v>219.05</v>
      </c>
      <c r="R687">
        <v>59011</v>
      </c>
    </row>
    <row r="688" spans="1:18" x14ac:dyDescent="0.25">
      <c r="A688" s="169">
        <v>43014</v>
      </c>
      <c r="B688" s="115">
        <v>222.85</v>
      </c>
      <c r="C688" s="115">
        <v>220.9</v>
      </c>
      <c r="D688" s="115">
        <v>220</v>
      </c>
      <c r="E688" s="115">
        <v>221.65</v>
      </c>
      <c r="F688" s="115">
        <v>220.9</v>
      </c>
      <c r="G688">
        <v>684</v>
      </c>
      <c r="H688" s="115"/>
      <c r="I688" s="115"/>
      <c r="L688" s="169">
        <v>43014</v>
      </c>
      <c r="M688" s="115">
        <v>220.7</v>
      </c>
      <c r="N688" s="115">
        <v>223.6</v>
      </c>
      <c r="O688" s="115">
        <v>219.1</v>
      </c>
      <c r="P688" s="115">
        <v>223.6</v>
      </c>
      <c r="Q688" s="115">
        <v>220.7</v>
      </c>
      <c r="R688">
        <v>18537</v>
      </c>
    </row>
    <row r="689" spans="1:18" x14ac:dyDescent="0.25">
      <c r="A689" s="169">
        <v>43017</v>
      </c>
      <c r="B689" s="115">
        <v>222.15</v>
      </c>
      <c r="C689" s="115">
        <v>221</v>
      </c>
      <c r="D689" s="115">
        <v>217</v>
      </c>
      <c r="E689" s="115">
        <v>221</v>
      </c>
      <c r="F689" s="115">
        <v>221</v>
      </c>
      <c r="G689">
        <v>2687</v>
      </c>
      <c r="H689" s="115"/>
      <c r="I689" s="115"/>
      <c r="L689" s="169">
        <v>43017</v>
      </c>
      <c r="M689" s="115">
        <v>220.5</v>
      </c>
      <c r="N689" s="115">
        <v>221.15</v>
      </c>
      <c r="O689" s="115">
        <v>216.75</v>
      </c>
      <c r="P689" s="115">
        <v>216.75</v>
      </c>
      <c r="Q689" s="115">
        <v>220.5</v>
      </c>
      <c r="R689">
        <v>16643</v>
      </c>
    </row>
    <row r="690" spans="1:18" x14ac:dyDescent="0.25">
      <c r="A690" s="169">
        <v>43018</v>
      </c>
      <c r="B690" s="115">
        <v>236</v>
      </c>
      <c r="C690" s="115">
        <v>233.75</v>
      </c>
      <c r="D690" s="115">
        <v>218.25</v>
      </c>
      <c r="E690" s="115">
        <v>218.25</v>
      </c>
      <c r="F690" s="115">
        <v>233.75</v>
      </c>
      <c r="G690">
        <v>13339</v>
      </c>
      <c r="H690" s="115"/>
      <c r="I690" s="115"/>
      <c r="L690" s="169">
        <v>43018</v>
      </c>
      <c r="M690" s="115">
        <v>234</v>
      </c>
      <c r="N690" s="115">
        <v>235.8</v>
      </c>
      <c r="O690" s="115">
        <v>220.05</v>
      </c>
      <c r="P690" s="115">
        <v>222.65</v>
      </c>
      <c r="Q690" s="115">
        <v>234</v>
      </c>
      <c r="R690">
        <v>58538</v>
      </c>
    </row>
    <row r="691" spans="1:18" x14ac:dyDescent="0.25">
      <c r="A691" s="169">
        <v>43019</v>
      </c>
      <c r="B691" s="115">
        <v>244</v>
      </c>
      <c r="C691" s="115">
        <v>228.05</v>
      </c>
      <c r="D691" s="115">
        <v>226</v>
      </c>
      <c r="E691" s="115">
        <v>241.7</v>
      </c>
      <c r="F691" s="115">
        <v>228.05</v>
      </c>
      <c r="G691">
        <v>18306</v>
      </c>
      <c r="H691" s="115"/>
      <c r="I691" s="115"/>
      <c r="L691" s="169">
        <v>43019</v>
      </c>
      <c r="M691" s="115">
        <v>228.75</v>
      </c>
      <c r="N691" s="115">
        <v>244.75</v>
      </c>
      <c r="O691" s="115">
        <v>225.1</v>
      </c>
      <c r="P691" s="115">
        <v>240</v>
      </c>
      <c r="Q691" s="115">
        <v>228.75</v>
      </c>
      <c r="R691">
        <v>88556</v>
      </c>
    </row>
    <row r="692" spans="1:18" x14ac:dyDescent="0.25">
      <c r="A692" s="169">
        <v>43020</v>
      </c>
      <c r="B692" s="115">
        <v>237.9</v>
      </c>
      <c r="C692" s="115">
        <v>233.45</v>
      </c>
      <c r="D692" s="115">
        <v>228.4</v>
      </c>
      <c r="E692" s="115">
        <v>233.6</v>
      </c>
      <c r="F692" s="115">
        <v>233.45</v>
      </c>
      <c r="G692">
        <v>16895</v>
      </c>
      <c r="H692" s="115"/>
      <c r="I692" s="115"/>
      <c r="L692" s="169">
        <v>43020</v>
      </c>
      <c r="M692" s="115">
        <v>231.3</v>
      </c>
      <c r="N692" s="115">
        <v>237</v>
      </c>
      <c r="O692" s="115">
        <v>228</v>
      </c>
      <c r="P692" s="115">
        <v>236.85</v>
      </c>
      <c r="Q692" s="115">
        <v>231.3</v>
      </c>
      <c r="R692">
        <v>78774</v>
      </c>
    </row>
    <row r="693" spans="1:18" x14ac:dyDescent="0.25">
      <c r="A693" s="169">
        <v>43021</v>
      </c>
      <c r="B693" s="115">
        <v>235.5</v>
      </c>
      <c r="C693" s="115">
        <v>231.75</v>
      </c>
      <c r="D693" s="115">
        <v>228</v>
      </c>
      <c r="E693" s="115">
        <v>233.5</v>
      </c>
      <c r="F693" s="115">
        <v>231.75</v>
      </c>
      <c r="G693">
        <v>10865</v>
      </c>
      <c r="H693" s="115"/>
      <c r="I693" s="115"/>
      <c r="L693" s="169">
        <v>43021</v>
      </c>
      <c r="M693" s="115">
        <v>231.65</v>
      </c>
      <c r="N693" s="115">
        <v>234.8</v>
      </c>
      <c r="O693" s="115">
        <v>226.1</v>
      </c>
      <c r="P693" s="115">
        <v>232.95</v>
      </c>
      <c r="Q693" s="115">
        <v>231.65</v>
      </c>
      <c r="R693">
        <v>30132</v>
      </c>
    </row>
    <row r="694" spans="1:18" x14ac:dyDescent="0.25">
      <c r="A694" s="169">
        <v>43024</v>
      </c>
      <c r="B694" s="115">
        <v>240</v>
      </c>
      <c r="C694" s="115">
        <v>233.7</v>
      </c>
      <c r="D694" s="115">
        <v>232.6</v>
      </c>
      <c r="E694" s="115">
        <v>232.65</v>
      </c>
      <c r="F694" s="115">
        <v>233.7</v>
      </c>
      <c r="G694">
        <v>7185</v>
      </c>
      <c r="H694" s="115"/>
      <c r="I694" s="115"/>
      <c r="L694" s="169">
        <v>43024</v>
      </c>
      <c r="M694" s="115">
        <v>233.75</v>
      </c>
      <c r="N694" s="115">
        <v>240.9</v>
      </c>
      <c r="O694" s="115">
        <v>231</v>
      </c>
      <c r="P694" s="115">
        <v>234</v>
      </c>
      <c r="Q694" s="115">
        <v>233.75</v>
      </c>
      <c r="R694">
        <v>64158</v>
      </c>
    </row>
    <row r="695" spans="1:18" x14ac:dyDescent="0.25">
      <c r="A695" s="169">
        <v>43025</v>
      </c>
      <c r="B695" s="115">
        <v>238</v>
      </c>
      <c r="C695" s="115">
        <v>233.9</v>
      </c>
      <c r="D695" s="115">
        <v>229.6</v>
      </c>
      <c r="E695" s="115">
        <v>233.8</v>
      </c>
      <c r="F695" s="115">
        <v>233.9</v>
      </c>
      <c r="G695">
        <v>4471</v>
      </c>
      <c r="H695" s="115"/>
      <c r="I695" s="115"/>
      <c r="L695" s="169">
        <v>43025</v>
      </c>
      <c r="M695" s="115">
        <v>233.55</v>
      </c>
      <c r="N695" s="115">
        <v>240</v>
      </c>
      <c r="O695" s="115">
        <v>230</v>
      </c>
      <c r="P695" s="115">
        <v>232.5</v>
      </c>
      <c r="Q695" s="115">
        <v>233.55</v>
      </c>
      <c r="R695">
        <v>46994</v>
      </c>
    </row>
    <row r="696" spans="1:18" x14ac:dyDescent="0.25">
      <c r="A696" s="169">
        <v>43026</v>
      </c>
      <c r="B696" s="115">
        <v>237</v>
      </c>
      <c r="C696" s="115">
        <v>233.75</v>
      </c>
      <c r="D696" s="115">
        <v>228.15</v>
      </c>
      <c r="E696" s="115">
        <v>233.9</v>
      </c>
      <c r="F696" s="115">
        <v>233.75</v>
      </c>
      <c r="G696">
        <v>4591</v>
      </c>
      <c r="H696" s="115"/>
      <c r="I696" s="115"/>
      <c r="L696" s="169">
        <v>43026</v>
      </c>
      <c r="M696" s="115">
        <v>233.95</v>
      </c>
      <c r="N696" s="115">
        <v>240.35</v>
      </c>
      <c r="O696" s="115">
        <v>228.3</v>
      </c>
      <c r="P696" s="115">
        <v>232.5</v>
      </c>
      <c r="Q696" s="115">
        <v>233.95</v>
      </c>
      <c r="R696">
        <v>82847</v>
      </c>
    </row>
    <row r="697" spans="1:18" x14ac:dyDescent="0.25">
      <c r="A697" s="169">
        <v>43027</v>
      </c>
      <c r="B697" s="115">
        <v>240</v>
      </c>
      <c r="C697" s="115">
        <v>238.25</v>
      </c>
      <c r="D697" s="115">
        <v>236</v>
      </c>
      <c r="E697" s="115">
        <v>238.5</v>
      </c>
      <c r="F697" s="115">
        <v>238.25</v>
      </c>
      <c r="G697">
        <v>4055</v>
      </c>
      <c r="H697" s="115"/>
      <c r="I697" s="115"/>
      <c r="L697" s="169">
        <v>43027</v>
      </c>
      <c r="M697" s="115">
        <v>237.7</v>
      </c>
      <c r="N697" s="115">
        <v>240.45</v>
      </c>
      <c r="O697" s="115">
        <v>236.85</v>
      </c>
      <c r="P697" s="115">
        <v>237</v>
      </c>
      <c r="Q697" s="115">
        <v>237.7</v>
      </c>
      <c r="R697">
        <v>16696</v>
      </c>
    </row>
    <row r="698" spans="1:18" x14ac:dyDescent="0.25">
      <c r="A698" s="169">
        <v>43031</v>
      </c>
      <c r="B698" s="115">
        <v>237</v>
      </c>
      <c r="C698" s="115">
        <v>231.3</v>
      </c>
      <c r="D698" s="115">
        <v>229</v>
      </c>
      <c r="E698" s="115">
        <v>235.7</v>
      </c>
      <c r="F698" s="115">
        <v>231.3</v>
      </c>
      <c r="G698">
        <v>3234</v>
      </c>
      <c r="H698" s="115"/>
      <c r="I698" s="115"/>
      <c r="L698" s="169">
        <v>43031</v>
      </c>
      <c r="M698" s="115">
        <v>232</v>
      </c>
      <c r="N698" s="115">
        <v>240</v>
      </c>
      <c r="O698" s="115">
        <v>230.6</v>
      </c>
      <c r="P698" s="115">
        <v>238.95</v>
      </c>
      <c r="Q698" s="115">
        <v>232</v>
      </c>
      <c r="R698">
        <v>177934</v>
      </c>
    </row>
    <row r="699" spans="1:18" x14ac:dyDescent="0.25">
      <c r="A699" s="169">
        <v>43032</v>
      </c>
      <c r="B699" s="115">
        <v>242</v>
      </c>
      <c r="C699" s="115">
        <v>240.4</v>
      </c>
      <c r="D699" s="115">
        <v>233.85</v>
      </c>
      <c r="E699" s="115">
        <v>233.85</v>
      </c>
      <c r="F699" s="115">
        <v>240.4</v>
      </c>
      <c r="G699">
        <v>7883</v>
      </c>
      <c r="H699" s="115"/>
      <c r="I699" s="115"/>
      <c r="L699" s="169">
        <v>43032</v>
      </c>
      <c r="M699" s="115">
        <v>240.55</v>
      </c>
      <c r="N699" s="115">
        <v>242</v>
      </c>
      <c r="O699" s="115">
        <v>233.1</v>
      </c>
      <c r="P699" s="115">
        <v>234</v>
      </c>
      <c r="Q699" s="115">
        <v>240.55</v>
      </c>
      <c r="R699">
        <v>258920</v>
      </c>
    </row>
    <row r="700" spans="1:18" x14ac:dyDescent="0.25">
      <c r="A700" s="169">
        <v>43033</v>
      </c>
      <c r="B700" s="115">
        <v>244</v>
      </c>
      <c r="C700" s="115">
        <v>240.3</v>
      </c>
      <c r="D700" s="115">
        <v>239</v>
      </c>
      <c r="E700" s="115">
        <v>239.5</v>
      </c>
      <c r="F700" s="115">
        <v>240.3</v>
      </c>
      <c r="G700">
        <v>7294</v>
      </c>
      <c r="H700" s="115"/>
      <c r="I700" s="115"/>
      <c r="L700" s="169">
        <v>43033</v>
      </c>
      <c r="M700" s="115">
        <v>241.2</v>
      </c>
      <c r="N700" s="115">
        <v>244.4</v>
      </c>
      <c r="O700" s="115">
        <v>236.55</v>
      </c>
      <c r="P700" s="115">
        <v>236.55</v>
      </c>
      <c r="Q700" s="115">
        <v>241.2</v>
      </c>
      <c r="R700">
        <v>117370</v>
      </c>
    </row>
    <row r="701" spans="1:18" x14ac:dyDescent="0.25">
      <c r="A701" s="169">
        <v>43034</v>
      </c>
      <c r="B701" s="115">
        <v>253.35</v>
      </c>
      <c r="C701" s="115">
        <v>251.6</v>
      </c>
      <c r="D701" s="115">
        <v>235.5</v>
      </c>
      <c r="E701" s="115">
        <v>242.4</v>
      </c>
      <c r="F701" s="115">
        <v>251.6</v>
      </c>
      <c r="G701">
        <v>11926</v>
      </c>
      <c r="H701" s="115"/>
      <c r="I701" s="115"/>
      <c r="L701" s="169">
        <v>43034</v>
      </c>
      <c r="M701" s="115">
        <v>251.45</v>
      </c>
      <c r="N701" s="115">
        <v>253.7</v>
      </c>
      <c r="O701" s="115">
        <v>242</v>
      </c>
      <c r="P701" s="115">
        <v>243</v>
      </c>
      <c r="Q701" s="115">
        <v>251.45</v>
      </c>
      <c r="R701">
        <v>61246</v>
      </c>
    </row>
    <row r="702" spans="1:18" x14ac:dyDescent="0.25">
      <c r="A702" s="169">
        <v>43035</v>
      </c>
      <c r="B702" s="115">
        <v>254</v>
      </c>
      <c r="C702" s="115">
        <v>252.8</v>
      </c>
      <c r="D702" s="115">
        <v>249</v>
      </c>
      <c r="E702" s="115">
        <v>253.9</v>
      </c>
      <c r="F702" s="115">
        <v>252.8</v>
      </c>
      <c r="G702">
        <v>2929</v>
      </c>
      <c r="H702" s="115"/>
      <c r="I702" s="115"/>
      <c r="L702" s="169">
        <v>43035</v>
      </c>
      <c r="M702" s="115">
        <v>254.25</v>
      </c>
      <c r="N702" s="115">
        <v>256</v>
      </c>
      <c r="O702" s="115">
        <v>249.95</v>
      </c>
      <c r="P702" s="115">
        <v>251.4</v>
      </c>
      <c r="Q702" s="115">
        <v>254.25</v>
      </c>
      <c r="R702">
        <v>58096</v>
      </c>
    </row>
    <row r="703" spans="1:18" x14ac:dyDescent="0.25">
      <c r="A703" s="169">
        <v>43038</v>
      </c>
      <c r="B703" s="115">
        <v>259</v>
      </c>
      <c r="C703" s="115">
        <v>256.05</v>
      </c>
      <c r="D703" s="115">
        <v>250</v>
      </c>
      <c r="E703" s="115">
        <v>257.85000000000002</v>
      </c>
      <c r="F703" s="115">
        <v>256.05</v>
      </c>
      <c r="G703">
        <v>6584</v>
      </c>
      <c r="H703" s="115"/>
      <c r="I703" s="115"/>
      <c r="L703" s="169">
        <v>43038</v>
      </c>
      <c r="M703" s="115">
        <v>256.8</v>
      </c>
      <c r="N703" s="115">
        <v>259.8</v>
      </c>
      <c r="O703" s="115">
        <v>246.35</v>
      </c>
      <c r="P703" s="115">
        <v>252</v>
      </c>
      <c r="Q703" s="115">
        <v>256.8</v>
      </c>
      <c r="R703">
        <v>67755</v>
      </c>
    </row>
    <row r="704" spans="1:18" x14ac:dyDescent="0.25">
      <c r="A704" s="169">
        <v>43039</v>
      </c>
      <c r="B704" s="115">
        <v>259</v>
      </c>
      <c r="C704" s="115">
        <v>257.10000000000002</v>
      </c>
      <c r="D704" s="115">
        <v>254.4</v>
      </c>
      <c r="E704" s="115">
        <v>256.2</v>
      </c>
      <c r="F704" s="115">
        <v>257.10000000000002</v>
      </c>
      <c r="G704">
        <v>3620</v>
      </c>
      <c r="H704" s="115"/>
      <c r="I704" s="115"/>
      <c r="L704" s="169">
        <v>43039</v>
      </c>
      <c r="M704" s="115">
        <v>258</v>
      </c>
      <c r="N704" s="115">
        <v>259.5</v>
      </c>
      <c r="O704" s="115">
        <v>254</v>
      </c>
      <c r="P704" s="115">
        <v>256</v>
      </c>
      <c r="Q704" s="115">
        <v>258</v>
      </c>
      <c r="R704">
        <v>36680</v>
      </c>
    </row>
    <row r="705" spans="1:18" x14ac:dyDescent="0.25">
      <c r="A705" s="169">
        <v>43040</v>
      </c>
      <c r="B705" s="115">
        <v>264</v>
      </c>
      <c r="C705" s="115">
        <v>261.85000000000002</v>
      </c>
      <c r="D705" s="115">
        <v>255</v>
      </c>
      <c r="E705" s="115">
        <v>259.5</v>
      </c>
      <c r="F705" s="115">
        <v>261.85000000000002</v>
      </c>
      <c r="G705">
        <v>6484</v>
      </c>
      <c r="H705" s="115"/>
      <c r="I705" s="115"/>
      <c r="L705" s="169">
        <v>43040</v>
      </c>
      <c r="M705" s="115">
        <v>261.64999999999998</v>
      </c>
      <c r="N705" s="115">
        <v>264.7</v>
      </c>
      <c r="O705" s="115">
        <v>255</v>
      </c>
      <c r="P705" s="115">
        <v>259.75</v>
      </c>
      <c r="Q705" s="115">
        <v>261.64999999999998</v>
      </c>
      <c r="R705">
        <v>37400</v>
      </c>
    </row>
    <row r="706" spans="1:18" x14ac:dyDescent="0.25">
      <c r="A706" s="169">
        <v>43041</v>
      </c>
      <c r="B706" s="115">
        <v>272</v>
      </c>
      <c r="C706" s="115">
        <v>268.8</v>
      </c>
      <c r="D706" s="115">
        <v>260.39999999999998</v>
      </c>
      <c r="E706" s="115">
        <v>266.3</v>
      </c>
      <c r="F706" s="115">
        <v>268.8</v>
      </c>
      <c r="G706">
        <v>8614</v>
      </c>
      <c r="H706" s="115"/>
      <c r="I706" s="115"/>
      <c r="L706" s="169">
        <v>43041</v>
      </c>
      <c r="M706" s="115">
        <v>269.60000000000002</v>
      </c>
      <c r="N706" s="115">
        <v>273</v>
      </c>
      <c r="O706" s="115">
        <v>261.8</v>
      </c>
      <c r="P706" s="115">
        <v>264.7</v>
      </c>
      <c r="Q706" s="115">
        <v>269.60000000000002</v>
      </c>
      <c r="R706">
        <v>70888</v>
      </c>
    </row>
    <row r="707" spans="1:18" x14ac:dyDescent="0.25">
      <c r="A707" s="169">
        <v>43042</v>
      </c>
      <c r="B707" s="115">
        <v>322.55</v>
      </c>
      <c r="C707" s="115">
        <v>294.3</v>
      </c>
      <c r="D707" s="115">
        <v>269.95</v>
      </c>
      <c r="E707" s="115">
        <v>271.5</v>
      </c>
      <c r="F707" s="115">
        <v>294.3</v>
      </c>
      <c r="G707">
        <v>168393</v>
      </c>
      <c r="H707" s="115"/>
      <c r="I707" s="115"/>
      <c r="L707" s="169">
        <v>43042</v>
      </c>
      <c r="M707" s="115">
        <v>295.95</v>
      </c>
      <c r="N707" s="115">
        <v>323.5</v>
      </c>
      <c r="O707" s="115">
        <v>269.45</v>
      </c>
      <c r="P707" s="115">
        <v>273</v>
      </c>
      <c r="Q707" s="115">
        <v>295.95</v>
      </c>
      <c r="R707">
        <v>746914</v>
      </c>
    </row>
    <row r="708" spans="1:18" x14ac:dyDescent="0.25">
      <c r="A708" s="169">
        <v>43045</v>
      </c>
      <c r="B708" s="115">
        <v>295</v>
      </c>
      <c r="C708" s="115">
        <v>290.55</v>
      </c>
      <c r="D708" s="115">
        <v>283.5</v>
      </c>
      <c r="E708" s="115">
        <v>292</v>
      </c>
      <c r="F708" s="115">
        <v>290.55</v>
      </c>
      <c r="G708">
        <v>14976</v>
      </c>
      <c r="H708" s="115"/>
      <c r="I708" s="115"/>
      <c r="L708" s="169">
        <v>43045</v>
      </c>
      <c r="M708" s="115">
        <v>289.75</v>
      </c>
      <c r="N708" s="115">
        <v>294.3</v>
      </c>
      <c r="O708" s="115">
        <v>285.25</v>
      </c>
      <c r="P708" s="115">
        <v>294.2</v>
      </c>
      <c r="Q708" s="115">
        <v>289.75</v>
      </c>
      <c r="R708">
        <v>141758</v>
      </c>
    </row>
    <row r="709" spans="1:18" x14ac:dyDescent="0.25">
      <c r="A709" s="169">
        <v>43046</v>
      </c>
      <c r="B709" s="115">
        <v>302</v>
      </c>
      <c r="C709" s="115">
        <v>287.60000000000002</v>
      </c>
      <c r="D709" s="115">
        <v>285</v>
      </c>
      <c r="E709" s="115">
        <v>292</v>
      </c>
      <c r="F709" s="115">
        <v>287.60000000000002</v>
      </c>
      <c r="G709">
        <v>17884</v>
      </c>
      <c r="H709" s="115"/>
      <c r="I709" s="115"/>
      <c r="L709" s="169">
        <v>43046</v>
      </c>
      <c r="M709" s="115">
        <v>288.85000000000002</v>
      </c>
      <c r="N709" s="115">
        <v>298.8</v>
      </c>
      <c r="O709" s="115">
        <v>285.10000000000002</v>
      </c>
      <c r="P709" s="115">
        <v>289</v>
      </c>
      <c r="Q709" s="115">
        <v>288.85000000000002</v>
      </c>
      <c r="R709">
        <v>108939</v>
      </c>
    </row>
    <row r="710" spans="1:18" x14ac:dyDescent="0.25">
      <c r="A710" s="169">
        <v>43047</v>
      </c>
      <c r="B710" s="115">
        <v>294</v>
      </c>
      <c r="C710" s="115">
        <v>286.64999999999998</v>
      </c>
      <c r="D710" s="115">
        <v>283.3</v>
      </c>
      <c r="E710" s="115">
        <v>285</v>
      </c>
      <c r="F710" s="115">
        <v>286.64999999999998</v>
      </c>
      <c r="G710">
        <v>7784</v>
      </c>
      <c r="H710" s="115"/>
      <c r="I710" s="115"/>
      <c r="L710" s="169">
        <v>43047</v>
      </c>
      <c r="M710" s="115">
        <v>287.3</v>
      </c>
      <c r="N710" s="115">
        <v>296.75</v>
      </c>
      <c r="O710" s="115">
        <v>283.7</v>
      </c>
      <c r="P710" s="115">
        <v>296.75</v>
      </c>
      <c r="Q710" s="115">
        <v>287.3</v>
      </c>
      <c r="R710">
        <v>62246</v>
      </c>
    </row>
    <row r="711" spans="1:18" x14ac:dyDescent="0.25">
      <c r="A711" s="169">
        <v>43048</v>
      </c>
      <c r="B711" s="115">
        <v>291.2</v>
      </c>
      <c r="C711" s="115">
        <v>282.45</v>
      </c>
      <c r="D711" s="115">
        <v>280</v>
      </c>
      <c r="E711" s="115">
        <v>288.7</v>
      </c>
      <c r="F711" s="115">
        <v>282.45</v>
      </c>
      <c r="G711">
        <v>4229</v>
      </c>
      <c r="H711" s="115"/>
      <c r="I711" s="115"/>
      <c r="L711" s="169">
        <v>43048</v>
      </c>
      <c r="M711" s="115">
        <v>282.95</v>
      </c>
      <c r="N711" s="115">
        <v>290.05</v>
      </c>
      <c r="O711" s="115">
        <v>279.3</v>
      </c>
      <c r="P711" s="115">
        <v>286</v>
      </c>
      <c r="Q711" s="115">
        <v>282.95</v>
      </c>
      <c r="R711">
        <v>75487</v>
      </c>
    </row>
    <row r="712" spans="1:18" x14ac:dyDescent="0.25">
      <c r="A712" s="169">
        <v>43049</v>
      </c>
      <c r="B712" s="115">
        <v>286.7</v>
      </c>
      <c r="C712" s="115">
        <v>279.95</v>
      </c>
      <c r="D712" s="115">
        <v>276.3</v>
      </c>
      <c r="E712" s="115">
        <v>281.10000000000002</v>
      </c>
      <c r="F712" s="115">
        <v>279.95</v>
      </c>
      <c r="G712">
        <v>4034</v>
      </c>
      <c r="H712" s="115"/>
      <c r="I712" s="115"/>
      <c r="L712" s="169">
        <v>43049</v>
      </c>
      <c r="M712" s="115">
        <v>279.35000000000002</v>
      </c>
      <c r="N712" s="115">
        <v>294.95</v>
      </c>
      <c r="O712" s="115">
        <v>277.05</v>
      </c>
      <c r="P712" s="115">
        <v>279.14999999999998</v>
      </c>
      <c r="Q712" s="115">
        <v>279.35000000000002</v>
      </c>
      <c r="R712">
        <v>26150</v>
      </c>
    </row>
    <row r="713" spans="1:18" x14ac:dyDescent="0.25">
      <c r="A713" s="169">
        <v>43052</v>
      </c>
      <c r="B713" s="115">
        <v>285</v>
      </c>
      <c r="C713" s="115">
        <v>279.05</v>
      </c>
      <c r="D713" s="115">
        <v>273</v>
      </c>
      <c r="E713" s="115">
        <v>273</v>
      </c>
      <c r="F713" s="115">
        <v>279.05</v>
      </c>
      <c r="G713">
        <v>7426</v>
      </c>
      <c r="H713" s="115"/>
      <c r="I713" s="115"/>
      <c r="L713" s="169">
        <v>43052</v>
      </c>
      <c r="M713" s="115">
        <v>278.35000000000002</v>
      </c>
      <c r="N713" s="115">
        <v>285.05</v>
      </c>
      <c r="O713" s="115">
        <v>277</v>
      </c>
      <c r="P713" s="115">
        <v>280.5</v>
      </c>
      <c r="Q713" s="115">
        <v>278.35000000000002</v>
      </c>
      <c r="R713">
        <v>37978</v>
      </c>
    </row>
    <row r="714" spans="1:18" x14ac:dyDescent="0.25">
      <c r="A714" s="169">
        <v>43053</v>
      </c>
      <c r="B714" s="115">
        <v>284.95</v>
      </c>
      <c r="C714" s="115">
        <v>280.55</v>
      </c>
      <c r="D714" s="115">
        <v>273.14999999999998</v>
      </c>
      <c r="E714" s="115">
        <v>276.7</v>
      </c>
      <c r="F714" s="115">
        <v>280.55</v>
      </c>
      <c r="G714">
        <v>14671</v>
      </c>
      <c r="H714" s="115"/>
      <c r="I714" s="115"/>
      <c r="L714" s="169">
        <v>43053</v>
      </c>
      <c r="M714" s="115">
        <v>280.64999999999998</v>
      </c>
      <c r="N714" s="115">
        <v>284.35000000000002</v>
      </c>
      <c r="O714" s="115">
        <v>278.35000000000002</v>
      </c>
      <c r="P714" s="115">
        <v>278.89999999999998</v>
      </c>
      <c r="Q714" s="115">
        <v>280.64999999999998</v>
      </c>
      <c r="R714">
        <v>38488</v>
      </c>
    </row>
    <row r="715" spans="1:18" x14ac:dyDescent="0.25">
      <c r="A715" s="169">
        <v>43054</v>
      </c>
      <c r="B715" s="115">
        <v>294.3</v>
      </c>
      <c r="C715" s="115">
        <v>285.64999999999998</v>
      </c>
      <c r="D715" s="115">
        <v>276</v>
      </c>
      <c r="E715" s="115">
        <v>279.3</v>
      </c>
      <c r="F715" s="115">
        <v>285.64999999999998</v>
      </c>
      <c r="G715">
        <v>7042</v>
      </c>
      <c r="H715" s="115"/>
      <c r="I715" s="115"/>
      <c r="L715" s="169">
        <v>43054</v>
      </c>
      <c r="M715" s="115">
        <v>286.3</v>
      </c>
      <c r="N715" s="115">
        <v>294.75</v>
      </c>
      <c r="O715" s="115">
        <v>276.89999999999998</v>
      </c>
      <c r="P715" s="115">
        <v>281.14999999999998</v>
      </c>
      <c r="Q715" s="115">
        <v>286.3</v>
      </c>
      <c r="R715">
        <v>52188</v>
      </c>
    </row>
    <row r="716" spans="1:18" x14ac:dyDescent="0.25">
      <c r="A716" s="169">
        <v>43055</v>
      </c>
      <c r="B716" s="115">
        <v>290.5</v>
      </c>
      <c r="C716" s="115">
        <v>284.3</v>
      </c>
      <c r="D716" s="115">
        <v>284</v>
      </c>
      <c r="E716" s="115">
        <v>286.3</v>
      </c>
      <c r="F716" s="115">
        <v>284.3</v>
      </c>
      <c r="G716">
        <v>4497</v>
      </c>
      <c r="H716" s="115"/>
      <c r="I716" s="115"/>
      <c r="L716" s="169">
        <v>43055</v>
      </c>
      <c r="M716" s="115">
        <v>285</v>
      </c>
      <c r="N716" s="115">
        <v>291</v>
      </c>
      <c r="O716" s="115">
        <v>282.75</v>
      </c>
      <c r="P716" s="115">
        <v>282.75</v>
      </c>
      <c r="Q716" s="115">
        <v>285</v>
      </c>
      <c r="R716">
        <v>62882</v>
      </c>
    </row>
    <row r="717" spans="1:18" x14ac:dyDescent="0.25">
      <c r="A717" s="169">
        <v>43056</v>
      </c>
      <c r="B717" s="115">
        <v>291.60000000000002</v>
      </c>
      <c r="C717" s="115">
        <v>285.3</v>
      </c>
      <c r="D717" s="115">
        <v>284.05</v>
      </c>
      <c r="E717" s="115">
        <v>286</v>
      </c>
      <c r="F717" s="115">
        <v>285.3</v>
      </c>
      <c r="G717">
        <v>2629</v>
      </c>
      <c r="H717" s="115"/>
      <c r="I717" s="115"/>
      <c r="L717" s="169">
        <v>43056</v>
      </c>
      <c r="M717" s="115">
        <v>285</v>
      </c>
      <c r="N717" s="115">
        <v>292.5</v>
      </c>
      <c r="O717" s="115">
        <v>284</v>
      </c>
      <c r="P717" s="115">
        <v>286.75</v>
      </c>
      <c r="Q717" s="115">
        <v>285</v>
      </c>
      <c r="R717">
        <v>18467</v>
      </c>
    </row>
    <row r="718" spans="1:18" x14ac:dyDescent="0.25">
      <c r="A718" s="169">
        <v>43059</v>
      </c>
      <c r="B718" s="115">
        <v>294.5</v>
      </c>
      <c r="C718" s="115">
        <v>289.39999999999998</v>
      </c>
      <c r="D718" s="115">
        <v>284</v>
      </c>
      <c r="E718" s="115">
        <v>285.05</v>
      </c>
      <c r="F718" s="115">
        <v>289.39999999999998</v>
      </c>
      <c r="G718">
        <v>7812</v>
      </c>
      <c r="H718" s="115"/>
      <c r="I718" s="115"/>
      <c r="L718" s="169">
        <v>43059</v>
      </c>
      <c r="M718" s="115">
        <v>287.95</v>
      </c>
      <c r="N718" s="115">
        <v>294.85000000000002</v>
      </c>
      <c r="O718" s="115">
        <v>283.2</v>
      </c>
      <c r="P718" s="115">
        <v>285</v>
      </c>
      <c r="Q718" s="115">
        <v>287.95</v>
      </c>
      <c r="R718">
        <v>40771</v>
      </c>
    </row>
    <row r="719" spans="1:18" x14ac:dyDescent="0.25">
      <c r="A719" s="169">
        <v>43060</v>
      </c>
      <c r="B719" s="115">
        <v>288.85000000000002</v>
      </c>
      <c r="C719" s="115">
        <v>285</v>
      </c>
      <c r="D719" s="115">
        <v>284.05</v>
      </c>
      <c r="E719" s="115">
        <v>288.85000000000002</v>
      </c>
      <c r="F719" s="115">
        <v>285</v>
      </c>
      <c r="G719">
        <v>2007</v>
      </c>
      <c r="H719" s="115"/>
      <c r="I719" s="115"/>
      <c r="L719" s="169">
        <v>43060</v>
      </c>
      <c r="M719" s="115">
        <v>285.10000000000002</v>
      </c>
      <c r="N719" s="115">
        <v>290.10000000000002</v>
      </c>
      <c r="O719" s="115">
        <v>284</v>
      </c>
      <c r="P719" s="115">
        <v>286.35000000000002</v>
      </c>
      <c r="Q719" s="115">
        <v>285.10000000000002</v>
      </c>
      <c r="R719">
        <v>11483</v>
      </c>
    </row>
    <row r="720" spans="1:18" x14ac:dyDescent="0.25">
      <c r="A720" s="169">
        <v>43061</v>
      </c>
      <c r="B720" s="115">
        <v>293</v>
      </c>
      <c r="C720" s="115">
        <v>291.45</v>
      </c>
      <c r="D720" s="115">
        <v>285</v>
      </c>
      <c r="E720" s="115">
        <v>285.14999999999998</v>
      </c>
      <c r="F720" s="115">
        <v>291.45</v>
      </c>
      <c r="G720">
        <v>3053</v>
      </c>
      <c r="H720" s="115"/>
      <c r="I720" s="115"/>
      <c r="L720" s="169">
        <v>43061</v>
      </c>
      <c r="M720" s="115">
        <v>292.5</v>
      </c>
      <c r="N720" s="115">
        <v>294</v>
      </c>
      <c r="O720" s="115">
        <v>285</v>
      </c>
      <c r="P720" s="115">
        <v>287.75</v>
      </c>
      <c r="Q720" s="115">
        <v>292.5</v>
      </c>
      <c r="R720">
        <v>11244</v>
      </c>
    </row>
    <row r="721" spans="1:18" x14ac:dyDescent="0.25">
      <c r="A721" s="169">
        <v>43062</v>
      </c>
      <c r="B721" s="115">
        <v>294</v>
      </c>
      <c r="C721" s="115">
        <v>290.05</v>
      </c>
      <c r="D721" s="115">
        <v>288.75</v>
      </c>
      <c r="E721" s="115">
        <v>288.75</v>
      </c>
      <c r="F721" s="115">
        <v>290.05</v>
      </c>
      <c r="G721">
        <v>3430</v>
      </c>
      <c r="H721" s="115"/>
      <c r="I721" s="115"/>
      <c r="L721" s="169">
        <v>43062</v>
      </c>
      <c r="M721" s="115">
        <v>290.60000000000002</v>
      </c>
      <c r="N721" s="115">
        <v>294</v>
      </c>
      <c r="O721" s="115">
        <v>288.25</v>
      </c>
      <c r="P721" s="115">
        <v>293</v>
      </c>
      <c r="Q721" s="115">
        <v>290.60000000000002</v>
      </c>
      <c r="R721">
        <v>13596</v>
      </c>
    </row>
    <row r="722" spans="1:18" x14ac:dyDescent="0.25">
      <c r="A722" s="169">
        <v>43063</v>
      </c>
      <c r="B722" s="115">
        <v>303.39999999999998</v>
      </c>
      <c r="C722" s="115">
        <v>294.35000000000002</v>
      </c>
      <c r="D722" s="115">
        <v>292.05</v>
      </c>
      <c r="E722" s="115">
        <v>292.05</v>
      </c>
      <c r="F722" s="115">
        <v>294.35000000000002</v>
      </c>
      <c r="G722">
        <v>11060</v>
      </c>
      <c r="H722" s="115"/>
      <c r="I722" s="115"/>
      <c r="L722" s="169">
        <v>43063</v>
      </c>
      <c r="M722" s="115">
        <v>295.7</v>
      </c>
      <c r="N722" s="115">
        <v>305</v>
      </c>
      <c r="O722" s="115">
        <v>290.39999999999998</v>
      </c>
      <c r="P722" s="115">
        <v>290.60000000000002</v>
      </c>
      <c r="Q722" s="115">
        <v>295.7</v>
      </c>
      <c r="R722">
        <v>68551</v>
      </c>
    </row>
    <row r="723" spans="1:18" x14ac:dyDescent="0.25">
      <c r="A723" s="169">
        <v>43066</v>
      </c>
      <c r="B723" s="115">
        <v>299</v>
      </c>
      <c r="C723" s="115">
        <v>297.64999999999998</v>
      </c>
      <c r="D723" s="115">
        <v>294.60000000000002</v>
      </c>
      <c r="E723" s="115">
        <v>297.10000000000002</v>
      </c>
      <c r="F723" s="115">
        <v>297.64999999999998</v>
      </c>
      <c r="G723">
        <v>2275</v>
      </c>
      <c r="H723" s="115"/>
      <c r="I723" s="115"/>
      <c r="L723" s="169">
        <v>43066</v>
      </c>
      <c r="M723" s="115">
        <v>296.95</v>
      </c>
      <c r="N723" s="115">
        <v>298.45</v>
      </c>
      <c r="O723" s="115">
        <v>294</v>
      </c>
      <c r="P723" s="115">
        <v>297.64999999999998</v>
      </c>
      <c r="Q723" s="115">
        <v>296.95</v>
      </c>
      <c r="R723">
        <v>16675</v>
      </c>
    </row>
    <row r="724" spans="1:18" x14ac:dyDescent="0.25">
      <c r="A724" s="169">
        <v>43067</v>
      </c>
      <c r="B724" s="115">
        <v>304.85000000000002</v>
      </c>
      <c r="C724" s="115">
        <v>301.3</v>
      </c>
      <c r="D724" s="115">
        <v>296.25</v>
      </c>
      <c r="E724" s="115">
        <v>296.39999999999998</v>
      </c>
      <c r="F724" s="115">
        <v>301.3</v>
      </c>
      <c r="G724">
        <v>17022</v>
      </c>
      <c r="H724" s="115"/>
      <c r="I724" s="115"/>
      <c r="L724" s="169">
        <v>43067</v>
      </c>
      <c r="M724" s="115">
        <v>300.95</v>
      </c>
      <c r="N724" s="115">
        <v>304.8</v>
      </c>
      <c r="O724" s="115">
        <v>296</v>
      </c>
      <c r="P724" s="115">
        <v>297.64999999999998</v>
      </c>
      <c r="Q724" s="115">
        <v>300.95</v>
      </c>
      <c r="R724">
        <v>83115</v>
      </c>
    </row>
    <row r="725" spans="1:18" x14ac:dyDescent="0.25">
      <c r="A725" s="169">
        <v>43068</v>
      </c>
      <c r="B725" s="115">
        <v>303.8</v>
      </c>
      <c r="C725" s="115">
        <v>301.35000000000002</v>
      </c>
      <c r="D725" s="115">
        <v>297.05</v>
      </c>
      <c r="E725" s="115">
        <v>299.60000000000002</v>
      </c>
      <c r="F725" s="115">
        <v>301.35000000000002</v>
      </c>
      <c r="G725">
        <v>3237</v>
      </c>
      <c r="H725" s="115"/>
      <c r="I725" s="115"/>
      <c r="L725" s="169">
        <v>43068</v>
      </c>
      <c r="M725" s="115">
        <v>301.7</v>
      </c>
      <c r="N725" s="115">
        <v>304</v>
      </c>
      <c r="O725" s="115">
        <v>295.39999999999998</v>
      </c>
      <c r="P725" s="115">
        <v>301</v>
      </c>
      <c r="Q725" s="115">
        <v>301.7</v>
      </c>
      <c r="R725">
        <v>18222</v>
      </c>
    </row>
    <row r="726" spans="1:18" x14ac:dyDescent="0.25">
      <c r="A726" s="169">
        <v>43069</v>
      </c>
      <c r="B726" s="115">
        <v>307.14999999999998</v>
      </c>
      <c r="C726" s="115">
        <v>303.25</v>
      </c>
      <c r="D726" s="115">
        <v>297</v>
      </c>
      <c r="E726" s="115">
        <v>302.45</v>
      </c>
      <c r="F726" s="115">
        <v>303.25</v>
      </c>
      <c r="G726">
        <v>5156</v>
      </c>
      <c r="H726" s="115"/>
      <c r="I726" s="115"/>
      <c r="L726" s="169">
        <v>43069</v>
      </c>
      <c r="M726" s="115">
        <v>304.75</v>
      </c>
      <c r="N726" s="115">
        <v>308</v>
      </c>
      <c r="O726" s="115">
        <v>296.45</v>
      </c>
      <c r="P726" s="115">
        <v>300.55</v>
      </c>
      <c r="Q726" s="115">
        <v>304.75</v>
      </c>
      <c r="R726">
        <v>29058</v>
      </c>
    </row>
    <row r="727" spans="1:18" x14ac:dyDescent="0.25">
      <c r="A727" s="169">
        <v>43070</v>
      </c>
      <c r="B727" s="115">
        <v>335</v>
      </c>
      <c r="C727" s="115">
        <v>320.3</v>
      </c>
      <c r="D727" s="115">
        <v>305</v>
      </c>
      <c r="E727" s="115">
        <v>305</v>
      </c>
      <c r="F727" s="115">
        <v>320.3</v>
      </c>
      <c r="G727">
        <v>47061</v>
      </c>
      <c r="H727" s="115"/>
      <c r="I727" s="115"/>
      <c r="L727" s="169">
        <v>43070</v>
      </c>
      <c r="M727" s="115">
        <v>319.39999999999998</v>
      </c>
      <c r="N727" s="115">
        <v>336.2</v>
      </c>
      <c r="O727" s="115">
        <v>304</v>
      </c>
      <c r="P727" s="115">
        <v>304</v>
      </c>
      <c r="Q727" s="115">
        <v>319.39999999999998</v>
      </c>
      <c r="R727">
        <v>331697</v>
      </c>
    </row>
    <row r="728" spans="1:18" x14ac:dyDescent="0.25">
      <c r="A728" s="169">
        <v>43073</v>
      </c>
      <c r="B728" s="115">
        <v>339.4</v>
      </c>
      <c r="C728" s="115">
        <v>331.2</v>
      </c>
      <c r="D728" s="115">
        <v>313</v>
      </c>
      <c r="E728" s="115">
        <v>321</v>
      </c>
      <c r="F728" s="115">
        <v>331.2</v>
      </c>
      <c r="G728">
        <v>31553</v>
      </c>
      <c r="H728" s="115"/>
      <c r="I728" s="115"/>
      <c r="L728" s="169">
        <v>43073</v>
      </c>
      <c r="M728" s="115">
        <v>328.6</v>
      </c>
      <c r="N728" s="115">
        <v>339.75</v>
      </c>
      <c r="O728" s="115">
        <v>313.14999999999998</v>
      </c>
      <c r="P728" s="115">
        <v>322.55</v>
      </c>
      <c r="Q728" s="115">
        <v>328.6</v>
      </c>
      <c r="R728">
        <v>244459</v>
      </c>
    </row>
    <row r="729" spans="1:18" x14ac:dyDescent="0.25">
      <c r="A729" s="169">
        <v>43074</v>
      </c>
      <c r="B729" s="115">
        <v>333.75</v>
      </c>
      <c r="C729" s="115">
        <v>331.75</v>
      </c>
      <c r="D729" s="115">
        <v>322</v>
      </c>
      <c r="E729" s="115">
        <v>333.75</v>
      </c>
      <c r="F729" s="115">
        <v>331.75</v>
      </c>
      <c r="G729">
        <v>12648</v>
      </c>
      <c r="H729" s="115"/>
      <c r="I729" s="115"/>
      <c r="L729" s="169">
        <v>43074</v>
      </c>
      <c r="M729" s="115">
        <v>330.65</v>
      </c>
      <c r="N729" s="115">
        <v>334</v>
      </c>
      <c r="O729" s="115">
        <v>321.45</v>
      </c>
      <c r="P729" s="115">
        <v>331.9</v>
      </c>
      <c r="Q729" s="115">
        <v>330.65</v>
      </c>
      <c r="R729">
        <v>62641</v>
      </c>
    </row>
    <row r="730" spans="1:18" x14ac:dyDescent="0.25">
      <c r="A730" s="169">
        <v>43075</v>
      </c>
      <c r="B730" s="115">
        <v>331.5</v>
      </c>
      <c r="C730" s="115">
        <v>328.15</v>
      </c>
      <c r="D730" s="115">
        <v>324.05</v>
      </c>
      <c r="E730" s="115">
        <v>325.55</v>
      </c>
      <c r="F730" s="115">
        <v>328.15</v>
      </c>
      <c r="G730">
        <v>11522</v>
      </c>
      <c r="H730" s="115"/>
      <c r="I730" s="115"/>
      <c r="L730" s="169">
        <v>43075</v>
      </c>
      <c r="M730" s="115">
        <v>327.95</v>
      </c>
      <c r="N730" s="115">
        <v>331</v>
      </c>
      <c r="O730" s="115">
        <v>324.64999999999998</v>
      </c>
      <c r="P730" s="115">
        <v>330</v>
      </c>
      <c r="Q730" s="115">
        <v>327.95</v>
      </c>
      <c r="R730">
        <v>46786</v>
      </c>
    </row>
    <row r="731" spans="1:18" x14ac:dyDescent="0.25">
      <c r="A731" s="169">
        <v>43076</v>
      </c>
      <c r="B731" s="115">
        <v>331.9</v>
      </c>
      <c r="C731" s="115">
        <v>330.2</v>
      </c>
      <c r="D731" s="115">
        <v>322</v>
      </c>
      <c r="E731" s="115">
        <v>327.9</v>
      </c>
      <c r="F731" s="115">
        <v>330.2</v>
      </c>
      <c r="G731">
        <v>11292</v>
      </c>
      <c r="H731" s="115"/>
      <c r="I731" s="115"/>
      <c r="L731" s="169">
        <v>43076</v>
      </c>
      <c r="M731" s="115">
        <v>330.35</v>
      </c>
      <c r="N731" s="115">
        <v>331.45</v>
      </c>
      <c r="O731" s="115">
        <v>321.60000000000002</v>
      </c>
      <c r="P731" s="115">
        <v>328</v>
      </c>
      <c r="Q731" s="115">
        <v>330.35</v>
      </c>
      <c r="R731">
        <v>29462</v>
      </c>
    </row>
    <row r="732" spans="1:18" x14ac:dyDescent="0.25">
      <c r="A732" s="169">
        <v>43077</v>
      </c>
      <c r="B732" s="115">
        <v>348.95</v>
      </c>
      <c r="C732" s="115">
        <v>340.8</v>
      </c>
      <c r="D732" s="115">
        <v>327.85</v>
      </c>
      <c r="E732" s="115">
        <v>330.55</v>
      </c>
      <c r="F732" s="115">
        <v>340.8</v>
      </c>
      <c r="G732">
        <v>41578</v>
      </c>
      <c r="H732" s="115"/>
      <c r="I732" s="115"/>
      <c r="L732" s="169">
        <v>43077</v>
      </c>
      <c r="M732" s="115">
        <v>340.35</v>
      </c>
      <c r="N732" s="115">
        <v>347.9</v>
      </c>
      <c r="O732" s="115">
        <v>325.10000000000002</v>
      </c>
      <c r="P732" s="115">
        <v>325.10000000000002</v>
      </c>
      <c r="Q732" s="115">
        <v>340.35</v>
      </c>
      <c r="R732">
        <v>213564</v>
      </c>
    </row>
    <row r="733" spans="1:18" x14ac:dyDescent="0.25">
      <c r="A733" s="169">
        <v>43080</v>
      </c>
      <c r="B733" s="115">
        <v>362.4</v>
      </c>
      <c r="C733" s="115">
        <v>360.2</v>
      </c>
      <c r="D733" s="115">
        <v>344</v>
      </c>
      <c r="E733" s="115">
        <v>345.05</v>
      </c>
      <c r="F733" s="115">
        <v>360.2</v>
      </c>
      <c r="G733">
        <v>74057</v>
      </c>
      <c r="H733" s="115"/>
      <c r="I733" s="115"/>
      <c r="L733" s="169">
        <v>43080</v>
      </c>
      <c r="M733" s="115">
        <v>360.3</v>
      </c>
      <c r="N733" s="115">
        <v>363.25</v>
      </c>
      <c r="O733" s="115">
        <v>343.1</v>
      </c>
      <c r="P733" s="115">
        <v>346.05</v>
      </c>
      <c r="Q733" s="115">
        <v>360.3</v>
      </c>
      <c r="R733">
        <v>456247</v>
      </c>
    </row>
    <row r="734" spans="1:18" x14ac:dyDescent="0.25">
      <c r="A734" s="169">
        <v>43081</v>
      </c>
      <c r="B734" s="115">
        <v>387</v>
      </c>
      <c r="C734" s="115">
        <v>359.8</v>
      </c>
      <c r="D734" s="115">
        <v>350</v>
      </c>
      <c r="E734" s="115">
        <v>368.8</v>
      </c>
      <c r="F734" s="115">
        <v>359.8</v>
      </c>
      <c r="G734">
        <v>24323</v>
      </c>
      <c r="H734" s="115"/>
      <c r="I734" s="115"/>
      <c r="L734" s="169">
        <v>43081</v>
      </c>
      <c r="M734" s="115">
        <v>359.35</v>
      </c>
      <c r="N734" s="115">
        <v>364.7</v>
      </c>
      <c r="O734" s="115">
        <v>351</v>
      </c>
      <c r="P734" s="115">
        <v>362.9</v>
      </c>
      <c r="Q734" s="115">
        <v>359.35</v>
      </c>
      <c r="R734">
        <v>111092</v>
      </c>
    </row>
    <row r="735" spans="1:18" x14ac:dyDescent="0.25">
      <c r="A735" s="169">
        <v>43082</v>
      </c>
      <c r="B735" s="115">
        <v>369.6</v>
      </c>
      <c r="C735" s="115">
        <v>354.95</v>
      </c>
      <c r="D735" s="115">
        <v>353.95</v>
      </c>
      <c r="E735" s="115">
        <v>360</v>
      </c>
      <c r="F735" s="115">
        <v>354.95</v>
      </c>
      <c r="G735">
        <v>30684</v>
      </c>
      <c r="H735" s="115"/>
      <c r="I735" s="115"/>
      <c r="L735" s="169">
        <v>43082</v>
      </c>
      <c r="M735" s="115">
        <v>355.95</v>
      </c>
      <c r="N735" s="115">
        <v>368.7</v>
      </c>
      <c r="O735" s="115">
        <v>354.1</v>
      </c>
      <c r="P735" s="115">
        <v>361.05</v>
      </c>
      <c r="Q735" s="115">
        <v>355.95</v>
      </c>
      <c r="R735">
        <v>146102</v>
      </c>
    </row>
    <row r="736" spans="1:18" x14ac:dyDescent="0.25">
      <c r="A736" s="169">
        <v>43083</v>
      </c>
      <c r="B736" s="115">
        <v>359</v>
      </c>
      <c r="C736" s="115">
        <v>355.2</v>
      </c>
      <c r="D736" s="115">
        <v>343.7</v>
      </c>
      <c r="E736" s="115">
        <v>356.7</v>
      </c>
      <c r="F736" s="115">
        <v>355.2</v>
      </c>
      <c r="G736">
        <v>4711</v>
      </c>
      <c r="H736" s="115"/>
      <c r="I736" s="115"/>
      <c r="L736" s="169">
        <v>43083</v>
      </c>
      <c r="M736" s="115">
        <v>355.45</v>
      </c>
      <c r="N736" s="115">
        <v>360</v>
      </c>
      <c r="O736" s="115">
        <v>343.5</v>
      </c>
      <c r="P736" s="115">
        <v>359.45</v>
      </c>
      <c r="Q736" s="115">
        <v>355.45</v>
      </c>
      <c r="R736">
        <v>46114</v>
      </c>
    </row>
    <row r="737" spans="1:18" x14ac:dyDescent="0.25">
      <c r="A737" s="169">
        <v>43084</v>
      </c>
      <c r="B737" s="115">
        <v>361.9</v>
      </c>
      <c r="C737" s="115">
        <v>355.1</v>
      </c>
      <c r="D737" s="115">
        <v>353.8</v>
      </c>
      <c r="E737" s="115">
        <v>360</v>
      </c>
      <c r="F737" s="115">
        <v>355.1</v>
      </c>
      <c r="G737">
        <v>10195</v>
      </c>
      <c r="H737" s="115"/>
      <c r="I737" s="115"/>
      <c r="L737" s="169">
        <v>43084</v>
      </c>
      <c r="M737" s="115">
        <v>355.1</v>
      </c>
      <c r="N737" s="115">
        <v>363</v>
      </c>
      <c r="O737" s="115">
        <v>352.2</v>
      </c>
      <c r="P737" s="115">
        <v>359.7</v>
      </c>
      <c r="Q737" s="115">
        <v>355.1</v>
      </c>
      <c r="R737">
        <v>41104</v>
      </c>
    </row>
    <row r="738" spans="1:18" x14ac:dyDescent="0.25">
      <c r="A738" s="169">
        <v>43087</v>
      </c>
      <c r="B738" s="115">
        <v>359.1</v>
      </c>
      <c r="C738" s="115">
        <v>353.5</v>
      </c>
      <c r="D738" s="115">
        <v>325.89999999999998</v>
      </c>
      <c r="E738" s="115">
        <v>355.15</v>
      </c>
      <c r="F738" s="115">
        <v>353.5</v>
      </c>
      <c r="G738">
        <v>20173</v>
      </c>
      <c r="H738" s="115"/>
      <c r="I738" s="115"/>
      <c r="L738" s="169">
        <v>43087</v>
      </c>
      <c r="M738" s="115">
        <v>350.9</v>
      </c>
      <c r="N738" s="115">
        <v>360</v>
      </c>
      <c r="O738" s="115">
        <v>322.60000000000002</v>
      </c>
      <c r="P738" s="115">
        <v>359.55</v>
      </c>
      <c r="Q738" s="115">
        <v>350.9</v>
      </c>
      <c r="R738">
        <v>94004</v>
      </c>
    </row>
    <row r="739" spans="1:18" x14ac:dyDescent="0.25">
      <c r="A739" s="169">
        <v>43088</v>
      </c>
      <c r="B739" s="115">
        <v>365.2</v>
      </c>
      <c r="C739" s="115">
        <v>361.15</v>
      </c>
      <c r="D739" s="115">
        <v>353.95</v>
      </c>
      <c r="E739" s="115">
        <v>354.05</v>
      </c>
      <c r="F739" s="115">
        <v>361.15</v>
      </c>
      <c r="G739">
        <v>5390</v>
      </c>
      <c r="H739" s="115"/>
      <c r="I739" s="115"/>
      <c r="L739" s="169">
        <v>43088</v>
      </c>
      <c r="M739" s="115">
        <v>360.7</v>
      </c>
      <c r="N739" s="115">
        <v>364.9</v>
      </c>
      <c r="O739" s="115">
        <v>350.9</v>
      </c>
      <c r="P739" s="115">
        <v>350.9</v>
      </c>
      <c r="Q739" s="115">
        <v>360.7</v>
      </c>
      <c r="R739">
        <v>107399</v>
      </c>
    </row>
    <row r="740" spans="1:18" x14ac:dyDescent="0.25">
      <c r="A740" s="169">
        <v>43089</v>
      </c>
      <c r="B740" s="115">
        <v>362.5</v>
      </c>
      <c r="C740" s="115">
        <v>355.6</v>
      </c>
      <c r="D740" s="115">
        <v>355</v>
      </c>
      <c r="E740" s="115">
        <v>359.9</v>
      </c>
      <c r="F740" s="115">
        <v>355.6</v>
      </c>
      <c r="G740">
        <v>2990</v>
      </c>
      <c r="H740" s="115"/>
      <c r="I740" s="115"/>
      <c r="L740" s="169">
        <v>43089</v>
      </c>
      <c r="M740" s="115">
        <v>355.75</v>
      </c>
      <c r="N740" s="115">
        <v>362</v>
      </c>
      <c r="O740" s="115">
        <v>355</v>
      </c>
      <c r="P740" s="115">
        <v>360.95</v>
      </c>
      <c r="Q740" s="115">
        <v>355.75</v>
      </c>
      <c r="R740">
        <v>18087</v>
      </c>
    </row>
    <row r="741" spans="1:18" x14ac:dyDescent="0.25">
      <c r="A741" s="169">
        <v>43090</v>
      </c>
      <c r="B741" s="115">
        <v>365</v>
      </c>
      <c r="C741" s="115">
        <v>354.65</v>
      </c>
      <c r="D741" s="115">
        <v>351.3</v>
      </c>
      <c r="E741" s="115">
        <v>365</v>
      </c>
      <c r="F741" s="115">
        <v>354.65</v>
      </c>
      <c r="G741">
        <v>10799</v>
      </c>
      <c r="H741" s="115"/>
      <c r="I741" s="115"/>
      <c r="L741" s="169">
        <v>43090</v>
      </c>
      <c r="M741" s="115">
        <v>356.4</v>
      </c>
      <c r="N741" s="115">
        <v>360</v>
      </c>
      <c r="O741" s="115">
        <v>351.6</v>
      </c>
      <c r="P741" s="115">
        <v>359.25</v>
      </c>
      <c r="Q741" s="115">
        <v>356.4</v>
      </c>
      <c r="R741">
        <v>46942</v>
      </c>
    </row>
    <row r="742" spans="1:18" x14ac:dyDescent="0.25">
      <c r="A742" s="169">
        <v>43091</v>
      </c>
      <c r="B742" s="115">
        <v>362.6</v>
      </c>
      <c r="C742" s="115">
        <v>359.5</v>
      </c>
      <c r="D742" s="115">
        <v>355</v>
      </c>
      <c r="E742" s="115">
        <v>355.5</v>
      </c>
      <c r="F742" s="115">
        <v>359.5</v>
      </c>
      <c r="G742">
        <v>11783</v>
      </c>
      <c r="H742" s="115"/>
      <c r="I742" s="115"/>
      <c r="L742" s="169">
        <v>43091</v>
      </c>
      <c r="M742" s="115">
        <v>359.55</v>
      </c>
      <c r="N742" s="115">
        <v>360</v>
      </c>
      <c r="O742" s="115">
        <v>353</v>
      </c>
      <c r="P742" s="115">
        <v>359.9</v>
      </c>
      <c r="Q742" s="115">
        <v>359.55</v>
      </c>
      <c r="R742">
        <v>46848</v>
      </c>
    </row>
    <row r="743" spans="1:18" x14ac:dyDescent="0.25">
      <c r="A743" s="169">
        <v>43095</v>
      </c>
      <c r="B743" s="115">
        <v>360.8</v>
      </c>
      <c r="C743" s="115">
        <v>358.05</v>
      </c>
      <c r="D743" s="115">
        <v>353.75</v>
      </c>
      <c r="E743" s="115">
        <v>359.55</v>
      </c>
      <c r="F743" s="115">
        <v>358.05</v>
      </c>
      <c r="G743">
        <v>4697</v>
      </c>
      <c r="H743" s="115"/>
      <c r="I743" s="115"/>
      <c r="L743" s="169">
        <v>43095</v>
      </c>
      <c r="M743" s="115">
        <v>356.9</v>
      </c>
      <c r="N743" s="115">
        <v>359.9</v>
      </c>
      <c r="O743" s="115">
        <v>352</v>
      </c>
      <c r="P743" s="115">
        <v>359.55</v>
      </c>
      <c r="Q743" s="115">
        <v>356.9</v>
      </c>
      <c r="R743">
        <v>28372</v>
      </c>
    </row>
    <row r="744" spans="1:18" x14ac:dyDescent="0.25">
      <c r="A744" s="169">
        <v>43096</v>
      </c>
      <c r="B744" s="115">
        <v>356.9</v>
      </c>
      <c r="C744" s="115">
        <v>355</v>
      </c>
      <c r="D744" s="115">
        <v>353.35</v>
      </c>
      <c r="E744" s="115">
        <v>356.2</v>
      </c>
      <c r="F744" s="115">
        <v>355</v>
      </c>
      <c r="G744">
        <v>3500</v>
      </c>
      <c r="H744" s="115"/>
      <c r="I744" s="115"/>
      <c r="L744" s="169">
        <v>43096</v>
      </c>
      <c r="M744" s="115">
        <v>355.15</v>
      </c>
      <c r="N744" s="115">
        <v>359.75</v>
      </c>
      <c r="O744" s="115">
        <v>354.1</v>
      </c>
      <c r="P744" s="115">
        <v>357.95</v>
      </c>
      <c r="Q744" s="115">
        <v>355.15</v>
      </c>
      <c r="R744">
        <v>17616</v>
      </c>
    </row>
    <row r="745" spans="1:18" x14ac:dyDescent="0.25">
      <c r="A745" s="169">
        <v>43097</v>
      </c>
      <c r="B745" s="115">
        <v>357.3</v>
      </c>
      <c r="C745" s="115">
        <v>355.5</v>
      </c>
      <c r="D745" s="115">
        <v>350.65</v>
      </c>
      <c r="E745" s="115">
        <v>356.3</v>
      </c>
      <c r="F745" s="115">
        <v>355.5</v>
      </c>
      <c r="G745">
        <v>3401</v>
      </c>
      <c r="H745" s="115"/>
      <c r="I745" s="115"/>
      <c r="L745" s="169">
        <v>43097</v>
      </c>
      <c r="M745" s="115">
        <v>355</v>
      </c>
      <c r="N745" s="115">
        <v>356</v>
      </c>
      <c r="O745" s="115">
        <v>352.15</v>
      </c>
      <c r="P745" s="115">
        <v>356</v>
      </c>
      <c r="Q745" s="115">
        <v>355</v>
      </c>
      <c r="R745">
        <v>92372</v>
      </c>
    </row>
    <row r="746" spans="1:18" x14ac:dyDescent="0.25">
      <c r="A746" s="169">
        <v>43098</v>
      </c>
      <c r="B746" s="115">
        <v>360</v>
      </c>
      <c r="C746" s="115">
        <v>353.65</v>
      </c>
      <c r="D746" s="115">
        <v>349.95</v>
      </c>
      <c r="E746" s="115">
        <v>355.35</v>
      </c>
      <c r="F746" s="115">
        <v>353.65</v>
      </c>
      <c r="G746">
        <v>3954</v>
      </c>
      <c r="H746" s="115"/>
      <c r="I746" s="115"/>
      <c r="L746" s="169">
        <v>43098</v>
      </c>
      <c r="M746" s="115">
        <v>355</v>
      </c>
      <c r="N746" s="115">
        <v>356</v>
      </c>
      <c r="O746" s="115">
        <v>352</v>
      </c>
      <c r="P746" s="115">
        <v>355.65</v>
      </c>
      <c r="Q746" s="115">
        <v>355</v>
      </c>
      <c r="R746">
        <v>24487</v>
      </c>
    </row>
    <row r="747" spans="1:18" x14ac:dyDescent="0.25">
      <c r="A747" s="169">
        <v>43101</v>
      </c>
      <c r="B747" s="115">
        <v>355.1</v>
      </c>
      <c r="C747" s="115">
        <v>354.9</v>
      </c>
      <c r="D747" s="115">
        <v>350.65</v>
      </c>
      <c r="E747" s="115">
        <v>354.3</v>
      </c>
      <c r="F747" s="115">
        <v>354.9</v>
      </c>
      <c r="G747">
        <v>6039</v>
      </c>
      <c r="H747" s="115"/>
      <c r="I747" s="115"/>
      <c r="L747" s="169">
        <v>43101</v>
      </c>
      <c r="M747" s="115">
        <v>355.2</v>
      </c>
      <c r="N747" s="115">
        <v>356.95</v>
      </c>
      <c r="O747" s="115">
        <v>351</v>
      </c>
      <c r="P747" s="115">
        <v>355.55</v>
      </c>
      <c r="Q747" s="115">
        <v>355.2</v>
      </c>
      <c r="R747">
        <v>17748</v>
      </c>
    </row>
    <row r="748" spans="1:18" x14ac:dyDescent="0.25">
      <c r="A748" s="169">
        <v>43102</v>
      </c>
      <c r="B748" s="115">
        <v>364</v>
      </c>
      <c r="C748" s="115">
        <v>357.2</v>
      </c>
      <c r="D748" s="115">
        <v>349.95</v>
      </c>
      <c r="E748" s="115">
        <v>363.5</v>
      </c>
      <c r="F748" s="115">
        <v>357.2</v>
      </c>
      <c r="G748">
        <v>5627</v>
      </c>
      <c r="H748" s="115"/>
      <c r="I748" s="115"/>
      <c r="L748" s="169">
        <v>43102</v>
      </c>
      <c r="M748" s="115">
        <v>358.35</v>
      </c>
      <c r="N748" s="115">
        <v>363</v>
      </c>
      <c r="O748" s="115">
        <v>351</v>
      </c>
      <c r="P748" s="115">
        <v>360.1</v>
      </c>
      <c r="Q748" s="115">
        <v>358.35</v>
      </c>
      <c r="R748">
        <v>47911</v>
      </c>
    </row>
    <row r="749" spans="1:18" x14ac:dyDescent="0.25">
      <c r="A749" s="169">
        <v>43103</v>
      </c>
      <c r="B749" s="115">
        <v>360.75</v>
      </c>
      <c r="C749" s="115">
        <v>360.05</v>
      </c>
      <c r="D749" s="115">
        <v>355</v>
      </c>
      <c r="E749" s="115">
        <v>355</v>
      </c>
      <c r="F749" s="115">
        <v>360.05</v>
      </c>
      <c r="G749">
        <v>4223</v>
      </c>
      <c r="H749" s="115"/>
      <c r="I749" s="115"/>
      <c r="L749" s="169">
        <v>43103</v>
      </c>
      <c r="M749" s="115">
        <v>360</v>
      </c>
      <c r="N749" s="115">
        <v>361.5</v>
      </c>
      <c r="O749" s="115">
        <v>353.3</v>
      </c>
      <c r="P749" s="115">
        <v>359</v>
      </c>
      <c r="Q749" s="115">
        <v>360</v>
      </c>
      <c r="R749">
        <v>19703</v>
      </c>
    </row>
    <row r="750" spans="1:18" x14ac:dyDescent="0.25">
      <c r="A750" s="169">
        <v>43104</v>
      </c>
      <c r="B750" s="115">
        <v>364.95</v>
      </c>
      <c r="C750" s="115">
        <v>363.35</v>
      </c>
      <c r="D750" s="115">
        <v>355</v>
      </c>
      <c r="E750" s="115">
        <v>360</v>
      </c>
      <c r="F750" s="115">
        <v>363.35</v>
      </c>
      <c r="G750">
        <v>5857</v>
      </c>
      <c r="H750" s="115"/>
      <c r="I750" s="115"/>
      <c r="L750" s="169">
        <v>43104</v>
      </c>
      <c r="M750" s="115">
        <v>362</v>
      </c>
      <c r="N750" s="115">
        <v>365</v>
      </c>
      <c r="O750" s="115">
        <v>354.5</v>
      </c>
      <c r="P750" s="115">
        <v>361</v>
      </c>
      <c r="Q750" s="115">
        <v>362</v>
      </c>
      <c r="R750">
        <v>31704</v>
      </c>
    </row>
    <row r="751" spans="1:18" x14ac:dyDescent="0.25">
      <c r="A751" s="169">
        <v>43105</v>
      </c>
      <c r="B751" s="115">
        <v>364</v>
      </c>
      <c r="C751" s="115">
        <v>362.2</v>
      </c>
      <c r="D751" s="115">
        <v>359</v>
      </c>
      <c r="E751" s="115">
        <v>363.35</v>
      </c>
      <c r="F751" s="115">
        <v>362.2</v>
      </c>
      <c r="G751">
        <v>6431</v>
      </c>
      <c r="H751" s="115"/>
      <c r="I751" s="115"/>
      <c r="L751" s="169">
        <v>43105</v>
      </c>
      <c r="M751" s="115">
        <v>361.8</v>
      </c>
      <c r="N751" s="115">
        <v>365</v>
      </c>
      <c r="O751" s="115">
        <v>359</v>
      </c>
      <c r="P751" s="115">
        <v>362</v>
      </c>
      <c r="Q751" s="115">
        <v>361.8</v>
      </c>
      <c r="R751">
        <v>39835</v>
      </c>
    </row>
    <row r="752" spans="1:18" x14ac:dyDescent="0.25">
      <c r="A752" s="169">
        <v>43108</v>
      </c>
      <c r="B752" s="115">
        <v>365</v>
      </c>
      <c r="C752" s="115">
        <v>362.1</v>
      </c>
      <c r="D752" s="115">
        <v>355</v>
      </c>
      <c r="E752" s="115">
        <v>359.85</v>
      </c>
      <c r="F752" s="115">
        <v>362.1</v>
      </c>
      <c r="G752">
        <v>5893</v>
      </c>
      <c r="H752" s="115"/>
      <c r="I752" s="115"/>
      <c r="L752" s="169">
        <v>43108</v>
      </c>
      <c r="M752" s="115">
        <v>362.25</v>
      </c>
      <c r="N752" s="115">
        <v>364.9</v>
      </c>
      <c r="O752" s="115">
        <v>357</v>
      </c>
      <c r="P752" s="115">
        <v>364.9</v>
      </c>
      <c r="Q752" s="115">
        <v>362.25</v>
      </c>
      <c r="R752">
        <v>21980</v>
      </c>
    </row>
    <row r="753" spans="1:18" x14ac:dyDescent="0.25">
      <c r="A753" s="169">
        <v>43109</v>
      </c>
      <c r="B753" s="115">
        <v>373.05</v>
      </c>
      <c r="C753" s="115">
        <v>365.7</v>
      </c>
      <c r="D753" s="115">
        <v>355</v>
      </c>
      <c r="E753" s="115">
        <v>359.5</v>
      </c>
      <c r="F753" s="115">
        <v>365.7</v>
      </c>
      <c r="G753">
        <v>11883</v>
      </c>
      <c r="H753" s="115"/>
      <c r="I753" s="115"/>
      <c r="L753" s="169">
        <v>43109</v>
      </c>
      <c r="M753" s="115">
        <v>366.8</v>
      </c>
      <c r="N753" s="115">
        <v>373.8</v>
      </c>
      <c r="O753" s="115">
        <v>355.7</v>
      </c>
      <c r="P753" s="115">
        <v>360</v>
      </c>
      <c r="Q753" s="115">
        <v>366.8</v>
      </c>
      <c r="R753">
        <v>90379</v>
      </c>
    </row>
    <row r="754" spans="1:18" x14ac:dyDescent="0.25">
      <c r="A754" s="169">
        <v>43110</v>
      </c>
      <c r="B754" s="115">
        <v>368</v>
      </c>
      <c r="C754" s="115">
        <v>361.95</v>
      </c>
      <c r="D754" s="115">
        <v>359</v>
      </c>
      <c r="E754" s="115">
        <v>367</v>
      </c>
      <c r="F754" s="115">
        <v>361.95</v>
      </c>
      <c r="G754">
        <v>9744</v>
      </c>
      <c r="H754" s="115"/>
      <c r="I754" s="115"/>
      <c r="L754" s="169">
        <v>43110</v>
      </c>
      <c r="M754" s="115">
        <v>360.8</v>
      </c>
      <c r="N754" s="115">
        <v>372.05</v>
      </c>
      <c r="O754" s="115">
        <v>358.1</v>
      </c>
      <c r="P754" s="115">
        <v>365</v>
      </c>
      <c r="Q754" s="115">
        <v>360.8</v>
      </c>
      <c r="R754">
        <v>57775</v>
      </c>
    </row>
    <row r="755" spans="1:18" x14ac:dyDescent="0.25">
      <c r="A755" s="169">
        <v>43111</v>
      </c>
      <c r="B755" s="115">
        <v>362.35</v>
      </c>
      <c r="C755" s="115">
        <v>359.1</v>
      </c>
      <c r="D755" s="115">
        <v>351.5</v>
      </c>
      <c r="E755" s="115">
        <v>352</v>
      </c>
      <c r="F755" s="115">
        <v>359.1</v>
      </c>
      <c r="G755">
        <v>4311</v>
      </c>
      <c r="H755" s="115"/>
      <c r="I755" s="115"/>
      <c r="L755" s="169">
        <v>43111</v>
      </c>
      <c r="M755" s="115">
        <v>359</v>
      </c>
      <c r="N755" s="115">
        <v>362.5</v>
      </c>
      <c r="O755" s="115">
        <v>351.35</v>
      </c>
      <c r="P755" s="115">
        <v>358.5</v>
      </c>
      <c r="Q755" s="115">
        <v>359</v>
      </c>
      <c r="R755">
        <v>24219</v>
      </c>
    </row>
    <row r="756" spans="1:18" x14ac:dyDescent="0.25">
      <c r="A756" s="169">
        <v>43112</v>
      </c>
      <c r="B756" s="115">
        <v>361.75</v>
      </c>
      <c r="C756" s="115">
        <v>360.25</v>
      </c>
      <c r="D756" s="115">
        <v>352.1</v>
      </c>
      <c r="E756" s="115">
        <v>356.6</v>
      </c>
      <c r="F756" s="115">
        <v>360.25</v>
      </c>
      <c r="G756">
        <v>4812</v>
      </c>
      <c r="H756" s="115"/>
      <c r="I756" s="115"/>
      <c r="L756" s="169">
        <v>43112</v>
      </c>
      <c r="M756" s="115">
        <v>360</v>
      </c>
      <c r="N756" s="115">
        <v>363.95</v>
      </c>
      <c r="O756" s="115">
        <v>352.15</v>
      </c>
      <c r="P756" s="115">
        <v>358.2</v>
      </c>
      <c r="Q756" s="115">
        <v>360</v>
      </c>
      <c r="R756">
        <v>28612</v>
      </c>
    </row>
    <row r="757" spans="1:18" x14ac:dyDescent="0.25">
      <c r="A757" s="169">
        <v>43115</v>
      </c>
      <c r="B757" s="115">
        <v>364.1</v>
      </c>
      <c r="C757" s="115">
        <v>360.8</v>
      </c>
      <c r="D757" s="115">
        <v>357</v>
      </c>
      <c r="E757" s="115">
        <v>360</v>
      </c>
      <c r="F757" s="115">
        <v>360.8</v>
      </c>
      <c r="G757">
        <v>3119</v>
      </c>
      <c r="H757" s="115"/>
      <c r="I757" s="115"/>
      <c r="L757" s="169">
        <v>43115</v>
      </c>
      <c r="M757" s="115">
        <v>362.25</v>
      </c>
      <c r="N757" s="115">
        <v>363.3</v>
      </c>
      <c r="O757" s="115">
        <v>357</v>
      </c>
      <c r="P757" s="115">
        <v>358.6</v>
      </c>
      <c r="Q757" s="115">
        <v>362.25</v>
      </c>
      <c r="R757">
        <v>23029</v>
      </c>
    </row>
    <row r="758" spans="1:18" x14ac:dyDescent="0.25">
      <c r="A758" s="169">
        <v>43116</v>
      </c>
      <c r="B758" s="115">
        <v>357.4</v>
      </c>
      <c r="C758" s="115">
        <v>356.55</v>
      </c>
      <c r="D758" s="115">
        <v>354</v>
      </c>
      <c r="E758" s="115">
        <v>356.15</v>
      </c>
      <c r="F758" s="115">
        <v>356.55</v>
      </c>
      <c r="G758">
        <v>8129</v>
      </c>
      <c r="H758" s="115"/>
      <c r="I758" s="115"/>
      <c r="L758" s="169">
        <v>43116</v>
      </c>
      <c r="M758" s="115">
        <v>355.05</v>
      </c>
      <c r="N758" s="115">
        <v>361</v>
      </c>
      <c r="O758" s="115">
        <v>353.35</v>
      </c>
      <c r="P758" s="115">
        <v>361</v>
      </c>
      <c r="Q758" s="115">
        <v>355.05</v>
      </c>
      <c r="R758">
        <v>27469</v>
      </c>
    </row>
    <row r="759" spans="1:18" x14ac:dyDescent="0.25">
      <c r="A759" s="169">
        <v>43117</v>
      </c>
      <c r="B759" s="115">
        <v>353</v>
      </c>
      <c r="C759" s="115">
        <v>350.2</v>
      </c>
      <c r="D759" s="115">
        <v>346.8</v>
      </c>
      <c r="E759" s="115">
        <v>346.8</v>
      </c>
      <c r="F759" s="115">
        <v>350.2</v>
      </c>
      <c r="G759">
        <v>4577</v>
      </c>
      <c r="H759" s="115"/>
      <c r="I759" s="115"/>
      <c r="L759" s="169">
        <v>43117</v>
      </c>
      <c r="M759" s="115">
        <v>350.75</v>
      </c>
      <c r="N759" s="115">
        <v>354.8</v>
      </c>
      <c r="O759" s="115">
        <v>346.35</v>
      </c>
      <c r="P759" s="115">
        <v>354.8</v>
      </c>
      <c r="Q759" s="115">
        <v>350.75</v>
      </c>
      <c r="R759">
        <v>22351</v>
      </c>
    </row>
    <row r="760" spans="1:18" x14ac:dyDescent="0.25">
      <c r="A760" s="169">
        <v>43118</v>
      </c>
      <c r="B760" s="115">
        <v>355.4</v>
      </c>
      <c r="C760" s="115">
        <v>350.35</v>
      </c>
      <c r="D760" s="115">
        <v>350</v>
      </c>
      <c r="E760" s="115">
        <v>353.6</v>
      </c>
      <c r="F760" s="115">
        <v>350.35</v>
      </c>
      <c r="G760">
        <v>5065</v>
      </c>
      <c r="H760" s="115"/>
      <c r="I760" s="115"/>
      <c r="L760" s="169">
        <v>43118</v>
      </c>
      <c r="M760" s="115">
        <v>349.95</v>
      </c>
      <c r="N760" s="115">
        <v>354.25</v>
      </c>
      <c r="O760" s="115">
        <v>348.2</v>
      </c>
      <c r="P760" s="115">
        <v>351.8</v>
      </c>
      <c r="Q760" s="115">
        <v>349.95</v>
      </c>
      <c r="R760">
        <v>26287</v>
      </c>
    </row>
    <row r="761" spans="1:18" x14ac:dyDescent="0.25">
      <c r="A761" s="169">
        <v>43119</v>
      </c>
      <c r="B761" s="115">
        <v>350</v>
      </c>
      <c r="C761" s="115">
        <v>345.65</v>
      </c>
      <c r="D761" s="115">
        <v>342.55</v>
      </c>
      <c r="E761" s="115">
        <v>350</v>
      </c>
      <c r="F761" s="115">
        <v>345.65</v>
      </c>
      <c r="G761">
        <v>5803</v>
      </c>
      <c r="H761" s="115"/>
      <c r="I761" s="115"/>
      <c r="L761" s="169">
        <v>43119</v>
      </c>
      <c r="M761" s="115">
        <v>346.75</v>
      </c>
      <c r="N761" s="115">
        <v>350.5</v>
      </c>
      <c r="O761" s="115">
        <v>342.1</v>
      </c>
      <c r="P761" s="115">
        <v>350.5</v>
      </c>
      <c r="Q761" s="115">
        <v>346.75</v>
      </c>
      <c r="R761">
        <v>21311</v>
      </c>
    </row>
    <row r="762" spans="1:18" x14ac:dyDescent="0.25">
      <c r="A762" s="169">
        <v>43122</v>
      </c>
      <c r="B762" s="115">
        <v>346.6</v>
      </c>
      <c r="C762" s="115">
        <v>345.5</v>
      </c>
      <c r="D762" s="115">
        <v>341.9</v>
      </c>
      <c r="E762" s="115">
        <v>346.6</v>
      </c>
      <c r="F762" s="115">
        <v>345.5</v>
      </c>
      <c r="G762">
        <v>1749</v>
      </c>
      <c r="H762" s="115"/>
      <c r="I762" s="115"/>
      <c r="L762" s="169">
        <v>43122</v>
      </c>
      <c r="M762" s="115">
        <v>344.05</v>
      </c>
      <c r="N762" s="115">
        <v>354.9</v>
      </c>
      <c r="O762" s="115">
        <v>340.05</v>
      </c>
      <c r="P762" s="115">
        <v>347</v>
      </c>
      <c r="Q762" s="115">
        <v>344.05</v>
      </c>
      <c r="R762">
        <v>15099</v>
      </c>
    </row>
    <row r="763" spans="1:18" x14ac:dyDescent="0.25">
      <c r="A763" s="169">
        <v>43123</v>
      </c>
      <c r="B763" s="115">
        <v>348</v>
      </c>
      <c r="C763" s="115">
        <v>343.25</v>
      </c>
      <c r="D763" s="115">
        <v>342</v>
      </c>
      <c r="E763" s="115">
        <v>345</v>
      </c>
      <c r="F763" s="115">
        <v>343.25</v>
      </c>
      <c r="G763">
        <v>3336</v>
      </c>
      <c r="H763" s="115"/>
      <c r="I763" s="115"/>
      <c r="L763" s="169">
        <v>43123</v>
      </c>
      <c r="M763" s="115">
        <v>342.8</v>
      </c>
      <c r="N763" s="115">
        <v>348.25</v>
      </c>
      <c r="O763" s="115">
        <v>341.3</v>
      </c>
      <c r="P763" s="115">
        <v>344.05</v>
      </c>
      <c r="Q763" s="115">
        <v>342.8</v>
      </c>
      <c r="R763">
        <v>19909</v>
      </c>
    </row>
    <row r="764" spans="1:18" x14ac:dyDescent="0.25">
      <c r="A764" s="169">
        <v>43124</v>
      </c>
      <c r="B764" s="115">
        <v>340.55</v>
      </c>
      <c r="C764" s="115">
        <v>330.75</v>
      </c>
      <c r="D764" s="115">
        <v>323.45</v>
      </c>
      <c r="E764" s="115">
        <v>340.55</v>
      </c>
      <c r="F764" s="115">
        <v>330.75</v>
      </c>
      <c r="G764">
        <v>4242</v>
      </c>
      <c r="H764" s="115"/>
      <c r="I764" s="115"/>
      <c r="L764" s="169">
        <v>43124</v>
      </c>
      <c r="M764" s="115">
        <v>330.65</v>
      </c>
      <c r="N764" s="115">
        <v>344.95</v>
      </c>
      <c r="O764" s="115">
        <v>321.8</v>
      </c>
      <c r="P764" s="115">
        <v>342.4</v>
      </c>
      <c r="Q764" s="115">
        <v>330.65</v>
      </c>
      <c r="R764">
        <v>32740</v>
      </c>
    </row>
    <row r="765" spans="1:18" x14ac:dyDescent="0.25">
      <c r="A765" s="169">
        <v>43125</v>
      </c>
      <c r="B765" s="115">
        <v>330.85</v>
      </c>
      <c r="C765" s="115">
        <v>326.3</v>
      </c>
      <c r="D765" s="115">
        <v>320</v>
      </c>
      <c r="E765" s="115">
        <v>330.85</v>
      </c>
      <c r="F765" s="115">
        <v>326.3</v>
      </c>
      <c r="G765">
        <v>8447</v>
      </c>
      <c r="H765" s="115"/>
      <c r="I765" s="115"/>
      <c r="L765" s="169">
        <v>43125</v>
      </c>
      <c r="M765" s="115">
        <v>325.10000000000002</v>
      </c>
      <c r="N765" s="115">
        <v>330.6</v>
      </c>
      <c r="O765" s="115">
        <v>320.10000000000002</v>
      </c>
      <c r="P765" s="115">
        <v>329.1</v>
      </c>
      <c r="Q765" s="115">
        <v>325.10000000000002</v>
      </c>
      <c r="R765">
        <v>34966</v>
      </c>
    </row>
    <row r="766" spans="1:18" x14ac:dyDescent="0.25">
      <c r="A766" s="169">
        <v>43129</v>
      </c>
      <c r="B766" s="115">
        <v>333</v>
      </c>
      <c r="C766" s="115">
        <v>330.05</v>
      </c>
      <c r="D766" s="115">
        <v>317.10000000000002</v>
      </c>
      <c r="E766" s="115">
        <v>321</v>
      </c>
      <c r="F766" s="115">
        <v>330.05</v>
      </c>
      <c r="G766">
        <v>2203</v>
      </c>
      <c r="H766" s="115"/>
      <c r="I766" s="115"/>
      <c r="L766" s="169">
        <v>43129</v>
      </c>
      <c r="M766" s="115">
        <v>329.65</v>
      </c>
      <c r="N766" s="115">
        <v>331.7</v>
      </c>
      <c r="O766" s="115">
        <v>321</v>
      </c>
      <c r="P766" s="115">
        <v>325</v>
      </c>
      <c r="Q766" s="115">
        <v>329.65</v>
      </c>
      <c r="R766">
        <v>17208</v>
      </c>
    </row>
    <row r="767" spans="1:18" x14ac:dyDescent="0.25">
      <c r="A767" s="169">
        <v>43130</v>
      </c>
      <c r="B767" s="115">
        <v>328.5</v>
      </c>
      <c r="C767" s="115">
        <v>326.3</v>
      </c>
      <c r="D767" s="115">
        <v>319.25</v>
      </c>
      <c r="E767" s="115">
        <v>322.8</v>
      </c>
      <c r="F767" s="115">
        <v>326.3</v>
      </c>
      <c r="G767">
        <v>1777</v>
      </c>
      <c r="H767" s="115"/>
      <c r="I767" s="115"/>
      <c r="L767" s="169">
        <v>43130</v>
      </c>
      <c r="M767" s="115">
        <v>327.10000000000002</v>
      </c>
      <c r="N767" s="115">
        <v>328.05</v>
      </c>
      <c r="O767" s="115">
        <v>320.45</v>
      </c>
      <c r="P767" s="115">
        <v>323.35000000000002</v>
      </c>
      <c r="Q767" s="115">
        <v>327.10000000000002</v>
      </c>
      <c r="R767">
        <v>11912</v>
      </c>
    </row>
    <row r="768" spans="1:18" x14ac:dyDescent="0.25">
      <c r="A768" s="169">
        <v>43131</v>
      </c>
      <c r="B768" s="115">
        <v>324.75</v>
      </c>
      <c r="C768" s="115">
        <v>321.05</v>
      </c>
      <c r="D768" s="115">
        <v>321</v>
      </c>
      <c r="E768" s="115">
        <v>324.75</v>
      </c>
      <c r="F768" s="115">
        <v>321.05</v>
      </c>
      <c r="G768">
        <v>4149</v>
      </c>
      <c r="H768" s="115"/>
      <c r="I768" s="115"/>
      <c r="L768" s="169">
        <v>43131</v>
      </c>
      <c r="M768" s="115">
        <v>320.10000000000002</v>
      </c>
      <c r="N768" s="115">
        <v>327.39999999999998</v>
      </c>
      <c r="O768" s="115">
        <v>319.14999999999998</v>
      </c>
      <c r="P768" s="115">
        <v>327.39999999999998</v>
      </c>
      <c r="Q768" s="115">
        <v>320.10000000000002</v>
      </c>
      <c r="R768">
        <v>36857</v>
      </c>
    </row>
    <row r="769" spans="1:18" x14ac:dyDescent="0.25">
      <c r="A769" s="169">
        <v>43132</v>
      </c>
      <c r="B769" s="115">
        <v>320.85000000000002</v>
      </c>
      <c r="C769" s="115">
        <v>310</v>
      </c>
      <c r="D769" s="115">
        <v>304</v>
      </c>
      <c r="E769" s="115">
        <v>320.64999999999998</v>
      </c>
      <c r="F769" s="115">
        <v>310</v>
      </c>
      <c r="G769">
        <v>4866</v>
      </c>
      <c r="H769" s="115"/>
      <c r="I769" s="115"/>
      <c r="L769" s="169">
        <v>43132</v>
      </c>
      <c r="M769" s="115">
        <v>309.95</v>
      </c>
      <c r="N769" s="115">
        <v>325.5</v>
      </c>
      <c r="O769" s="115">
        <v>301.7</v>
      </c>
      <c r="P769" s="115">
        <v>323.14999999999998</v>
      </c>
      <c r="Q769" s="115">
        <v>309.95</v>
      </c>
      <c r="R769">
        <v>25543</v>
      </c>
    </row>
    <row r="770" spans="1:18" x14ac:dyDescent="0.25">
      <c r="A770" s="169">
        <v>43133</v>
      </c>
      <c r="B770" s="115">
        <v>303.45</v>
      </c>
      <c r="C770" s="115">
        <v>298.2</v>
      </c>
      <c r="D770" s="115">
        <v>290</v>
      </c>
      <c r="E770" s="115">
        <v>303.45</v>
      </c>
      <c r="F770" s="115">
        <v>298.2</v>
      </c>
      <c r="G770">
        <v>5357</v>
      </c>
      <c r="H770" s="115"/>
      <c r="I770" s="115"/>
      <c r="L770" s="169">
        <v>43133</v>
      </c>
      <c r="M770" s="115">
        <v>296.14999999999998</v>
      </c>
      <c r="N770" s="115">
        <v>304.75</v>
      </c>
      <c r="O770" s="115">
        <v>288.89999999999998</v>
      </c>
      <c r="P770" s="115">
        <v>303.95</v>
      </c>
      <c r="Q770" s="115">
        <v>296.14999999999998</v>
      </c>
      <c r="R770">
        <v>39861</v>
      </c>
    </row>
    <row r="771" spans="1:18" x14ac:dyDescent="0.25">
      <c r="A771" s="169">
        <v>43136</v>
      </c>
      <c r="B771" s="115">
        <v>305.60000000000002</v>
      </c>
      <c r="C771" s="115">
        <v>304.8</v>
      </c>
      <c r="D771" s="115">
        <v>287.45</v>
      </c>
      <c r="E771" s="115">
        <v>290.60000000000002</v>
      </c>
      <c r="F771" s="115">
        <v>304.8</v>
      </c>
      <c r="G771">
        <v>3471</v>
      </c>
      <c r="H771" s="115"/>
      <c r="I771" s="115"/>
      <c r="L771" s="169">
        <v>43136</v>
      </c>
      <c r="M771" s="115">
        <v>307.05</v>
      </c>
      <c r="N771" s="115">
        <v>310</v>
      </c>
      <c r="O771" s="115">
        <v>286</v>
      </c>
      <c r="P771" s="115">
        <v>290.25</v>
      </c>
      <c r="Q771" s="115">
        <v>307.05</v>
      </c>
      <c r="R771">
        <v>22116</v>
      </c>
    </row>
    <row r="772" spans="1:18" x14ac:dyDescent="0.25">
      <c r="A772" s="169">
        <v>43137</v>
      </c>
      <c r="B772" s="115">
        <v>303.60000000000002</v>
      </c>
      <c r="C772" s="115">
        <v>300.25</v>
      </c>
      <c r="D772" s="115">
        <v>276</v>
      </c>
      <c r="E772" s="115">
        <v>290.85000000000002</v>
      </c>
      <c r="F772" s="115">
        <v>300.25</v>
      </c>
      <c r="G772">
        <v>4709</v>
      </c>
      <c r="H772" s="115"/>
      <c r="I772" s="115"/>
      <c r="L772" s="169">
        <v>43137</v>
      </c>
      <c r="M772" s="115">
        <v>300.85000000000002</v>
      </c>
      <c r="N772" s="115">
        <v>303</v>
      </c>
      <c r="O772" s="115">
        <v>285.85000000000002</v>
      </c>
      <c r="P772" s="115">
        <v>299.85000000000002</v>
      </c>
      <c r="Q772" s="115">
        <v>300.85000000000002</v>
      </c>
      <c r="R772">
        <v>23990</v>
      </c>
    </row>
    <row r="773" spans="1:18" x14ac:dyDescent="0.25">
      <c r="A773" s="169">
        <v>43138</v>
      </c>
      <c r="B773" s="115">
        <v>323.25</v>
      </c>
      <c r="C773" s="115">
        <v>320.39999999999998</v>
      </c>
      <c r="D773" s="115">
        <v>306</v>
      </c>
      <c r="E773" s="115">
        <v>308</v>
      </c>
      <c r="F773" s="115">
        <v>320.39999999999998</v>
      </c>
      <c r="G773">
        <v>8141</v>
      </c>
      <c r="H773" s="115"/>
      <c r="I773" s="115"/>
      <c r="L773" s="169">
        <v>43138</v>
      </c>
      <c r="M773" s="115">
        <v>319.55</v>
      </c>
      <c r="N773" s="115">
        <v>322.7</v>
      </c>
      <c r="O773" s="115">
        <v>303.5</v>
      </c>
      <c r="P773" s="115">
        <v>303.5</v>
      </c>
      <c r="Q773" s="115">
        <v>319.55</v>
      </c>
      <c r="R773">
        <v>31792</v>
      </c>
    </row>
    <row r="774" spans="1:18" x14ac:dyDescent="0.25">
      <c r="A774" s="169">
        <v>43139</v>
      </c>
      <c r="B774" s="115">
        <v>321.8</v>
      </c>
      <c r="C774" s="115">
        <v>320.2</v>
      </c>
      <c r="D774" s="115">
        <v>319.35000000000002</v>
      </c>
      <c r="E774" s="115">
        <v>319.35000000000002</v>
      </c>
      <c r="F774" s="115">
        <v>320.2</v>
      </c>
      <c r="G774">
        <v>2855</v>
      </c>
      <c r="H774" s="115"/>
      <c r="I774" s="115"/>
      <c r="L774" s="169">
        <v>43139</v>
      </c>
      <c r="M774" s="115">
        <v>320.35000000000002</v>
      </c>
      <c r="N774" s="115">
        <v>321.8</v>
      </c>
      <c r="O774" s="115">
        <v>317.05</v>
      </c>
      <c r="P774" s="115">
        <v>318.95</v>
      </c>
      <c r="Q774" s="115">
        <v>320.35000000000002</v>
      </c>
      <c r="R774">
        <v>30755</v>
      </c>
    </row>
    <row r="775" spans="1:18" x14ac:dyDescent="0.25">
      <c r="A775" s="169">
        <v>43140</v>
      </c>
      <c r="B775" s="115">
        <v>344</v>
      </c>
      <c r="C775" s="115">
        <v>339.1</v>
      </c>
      <c r="D775" s="115">
        <v>315</v>
      </c>
      <c r="E775" s="115">
        <v>315</v>
      </c>
      <c r="F775" s="115">
        <v>339.1</v>
      </c>
      <c r="G775">
        <v>5582</v>
      </c>
      <c r="H775" s="115"/>
      <c r="I775" s="115"/>
      <c r="L775" s="169">
        <v>43140</v>
      </c>
      <c r="M775" s="115">
        <v>338.35</v>
      </c>
      <c r="N775" s="115">
        <v>341</v>
      </c>
      <c r="O775" s="115">
        <v>309.10000000000002</v>
      </c>
      <c r="P775" s="115">
        <v>318</v>
      </c>
      <c r="Q775" s="115">
        <v>338.35</v>
      </c>
      <c r="R775">
        <v>24042</v>
      </c>
    </row>
    <row r="776" spans="1:18" x14ac:dyDescent="0.25">
      <c r="A776" s="169">
        <v>43143</v>
      </c>
      <c r="B776" s="115">
        <v>346.75</v>
      </c>
      <c r="C776" s="115">
        <v>344.65</v>
      </c>
      <c r="D776" s="115">
        <v>332.3</v>
      </c>
      <c r="E776" s="115">
        <v>337.25</v>
      </c>
      <c r="F776" s="115">
        <v>344.65</v>
      </c>
      <c r="G776">
        <v>3527</v>
      </c>
      <c r="H776" s="115"/>
      <c r="I776" s="115"/>
      <c r="L776" s="169">
        <v>43143</v>
      </c>
      <c r="M776" s="115">
        <v>344.95</v>
      </c>
      <c r="N776" s="115">
        <v>348</v>
      </c>
      <c r="O776" s="115">
        <v>331.5</v>
      </c>
      <c r="P776" s="115">
        <v>338.45</v>
      </c>
      <c r="Q776" s="115">
        <v>344.95</v>
      </c>
      <c r="R776">
        <v>20806</v>
      </c>
    </row>
    <row r="777" spans="1:18" x14ac:dyDescent="0.25">
      <c r="A777" s="169">
        <v>43145</v>
      </c>
      <c r="B777" s="115">
        <v>353</v>
      </c>
      <c r="C777" s="115">
        <v>350.05</v>
      </c>
      <c r="D777" s="115">
        <v>344.7</v>
      </c>
      <c r="E777" s="115">
        <v>349.75</v>
      </c>
      <c r="F777" s="115">
        <v>350.05</v>
      </c>
      <c r="G777">
        <v>3852</v>
      </c>
      <c r="H777" s="115"/>
      <c r="I777" s="115"/>
      <c r="L777" s="169">
        <v>43145</v>
      </c>
      <c r="M777" s="115">
        <v>352.35</v>
      </c>
      <c r="N777" s="115">
        <v>354.75</v>
      </c>
      <c r="O777" s="115">
        <v>343.85</v>
      </c>
      <c r="P777" s="115">
        <v>345</v>
      </c>
      <c r="Q777" s="115">
        <v>352.35</v>
      </c>
      <c r="R777">
        <v>20307</v>
      </c>
    </row>
    <row r="778" spans="1:18" x14ac:dyDescent="0.25">
      <c r="A778" s="169">
        <v>43146</v>
      </c>
      <c r="B778" s="115">
        <v>353</v>
      </c>
      <c r="C778" s="115">
        <v>350.9</v>
      </c>
      <c r="D778" s="115">
        <v>349</v>
      </c>
      <c r="E778" s="115">
        <v>353</v>
      </c>
      <c r="F778" s="115">
        <v>350.9</v>
      </c>
      <c r="G778">
        <v>5058</v>
      </c>
      <c r="H778" s="115"/>
      <c r="I778" s="115"/>
      <c r="L778" s="169">
        <v>43146</v>
      </c>
      <c r="M778" s="115">
        <v>350.2</v>
      </c>
      <c r="N778" s="115">
        <v>353.45</v>
      </c>
      <c r="O778" s="115">
        <v>345.35</v>
      </c>
      <c r="P778" s="115">
        <v>345.35</v>
      </c>
      <c r="Q778" s="115">
        <v>350.2</v>
      </c>
      <c r="R778">
        <v>16699</v>
      </c>
    </row>
    <row r="779" spans="1:18" x14ac:dyDescent="0.25">
      <c r="A779" s="169">
        <v>43147</v>
      </c>
      <c r="B779" s="115">
        <v>352.9</v>
      </c>
      <c r="C779" s="115">
        <v>344</v>
      </c>
      <c r="D779" s="115">
        <v>342.3</v>
      </c>
      <c r="E779" s="115">
        <v>352.9</v>
      </c>
      <c r="F779" s="115">
        <v>344</v>
      </c>
      <c r="G779">
        <v>4923</v>
      </c>
      <c r="H779" s="115"/>
      <c r="I779" s="115"/>
      <c r="L779" s="169">
        <v>43147</v>
      </c>
      <c r="M779" s="115">
        <v>344.2</v>
      </c>
      <c r="N779" s="115">
        <v>351.4</v>
      </c>
      <c r="O779" s="115">
        <v>343</v>
      </c>
      <c r="P779" s="115">
        <v>351.4</v>
      </c>
      <c r="Q779" s="115">
        <v>344.2</v>
      </c>
      <c r="R779">
        <v>30616</v>
      </c>
    </row>
    <row r="780" spans="1:18" x14ac:dyDescent="0.25">
      <c r="A780" s="169">
        <v>43150</v>
      </c>
      <c r="B780" s="115">
        <v>341.5</v>
      </c>
      <c r="C780" s="115">
        <v>339.1</v>
      </c>
      <c r="D780" s="115">
        <v>336.3</v>
      </c>
      <c r="E780" s="115">
        <v>340.5</v>
      </c>
      <c r="F780" s="115">
        <v>339.1</v>
      </c>
      <c r="G780">
        <v>7014</v>
      </c>
      <c r="H780" s="115"/>
      <c r="I780" s="115"/>
      <c r="L780" s="169">
        <v>43150</v>
      </c>
      <c r="M780" s="115">
        <v>339.55</v>
      </c>
      <c r="N780" s="115">
        <v>342.25</v>
      </c>
      <c r="O780" s="115">
        <v>335</v>
      </c>
      <c r="P780" s="115">
        <v>340</v>
      </c>
      <c r="Q780" s="115">
        <v>339.55</v>
      </c>
      <c r="R780">
        <v>32190</v>
      </c>
    </row>
    <row r="781" spans="1:18" x14ac:dyDescent="0.25">
      <c r="A781" s="169">
        <v>43151</v>
      </c>
      <c r="B781" s="115">
        <v>348.8</v>
      </c>
      <c r="C781" s="115">
        <v>344.5</v>
      </c>
      <c r="D781" s="115">
        <v>338</v>
      </c>
      <c r="E781" s="115">
        <v>338</v>
      </c>
      <c r="F781" s="115">
        <v>344.5</v>
      </c>
      <c r="G781">
        <v>3987</v>
      </c>
      <c r="H781" s="115"/>
      <c r="I781" s="115"/>
      <c r="L781" s="169">
        <v>43151</v>
      </c>
      <c r="M781" s="115">
        <v>342.95</v>
      </c>
      <c r="N781" s="115">
        <v>349.8</v>
      </c>
      <c r="O781" s="115">
        <v>331.6</v>
      </c>
      <c r="P781" s="115">
        <v>340</v>
      </c>
      <c r="Q781" s="115">
        <v>342.95</v>
      </c>
      <c r="R781">
        <v>25569</v>
      </c>
    </row>
    <row r="782" spans="1:18" x14ac:dyDescent="0.25">
      <c r="A782" s="169">
        <v>43152</v>
      </c>
      <c r="B782" s="115">
        <v>343.35</v>
      </c>
      <c r="C782" s="115">
        <v>327.10000000000002</v>
      </c>
      <c r="D782" s="115">
        <v>324.05</v>
      </c>
      <c r="E782" s="115">
        <v>343.35</v>
      </c>
      <c r="F782" s="115">
        <v>327.10000000000002</v>
      </c>
      <c r="G782">
        <v>6890</v>
      </c>
      <c r="H782" s="115"/>
      <c r="I782" s="115"/>
      <c r="L782" s="169">
        <v>43152</v>
      </c>
      <c r="M782" s="115">
        <v>328.35</v>
      </c>
      <c r="N782" s="115">
        <v>348</v>
      </c>
      <c r="O782" s="115">
        <v>322.39999999999998</v>
      </c>
      <c r="P782" s="115">
        <v>348</v>
      </c>
      <c r="Q782" s="115">
        <v>328.35</v>
      </c>
      <c r="R782">
        <v>58145</v>
      </c>
    </row>
    <row r="783" spans="1:18" x14ac:dyDescent="0.25">
      <c r="A783" s="169">
        <v>43153</v>
      </c>
      <c r="B783" s="115">
        <v>327.5</v>
      </c>
      <c r="C783" s="115">
        <v>316.55</v>
      </c>
      <c r="D783" s="115">
        <v>315.2</v>
      </c>
      <c r="E783" s="115">
        <v>327.5</v>
      </c>
      <c r="F783" s="115">
        <v>316.55</v>
      </c>
      <c r="G783">
        <v>1186</v>
      </c>
      <c r="H783" s="115"/>
      <c r="I783" s="115"/>
      <c r="L783" s="169">
        <v>43153</v>
      </c>
      <c r="M783" s="115">
        <v>318.64999999999998</v>
      </c>
      <c r="N783" s="115">
        <v>328</v>
      </c>
      <c r="O783" s="115">
        <v>313.14999999999998</v>
      </c>
      <c r="P783" s="115">
        <v>327.95</v>
      </c>
      <c r="Q783" s="115">
        <v>318.64999999999998</v>
      </c>
      <c r="R783">
        <v>21757</v>
      </c>
    </row>
    <row r="784" spans="1:18" x14ac:dyDescent="0.25">
      <c r="A784" s="169">
        <v>43154</v>
      </c>
      <c r="B784" s="115">
        <v>329.95</v>
      </c>
      <c r="C784" s="115">
        <v>326.7</v>
      </c>
      <c r="D784" s="115">
        <v>317</v>
      </c>
      <c r="E784" s="115">
        <v>317</v>
      </c>
      <c r="F784" s="115">
        <v>326.7</v>
      </c>
      <c r="G784">
        <v>8051</v>
      </c>
      <c r="H784" s="115"/>
      <c r="I784" s="115"/>
      <c r="L784" s="169">
        <v>43154</v>
      </c>
      <c r="M784" s="115">
        <v>326.89999999999998</v>
      </c>
      <c r="N784" s="115">
        <v>329.9</v>
      </c>
      <c r="O784" s="115">
        <v>315.05</v>
      </c>
      <c r="P784" s="115">
        <v>318</v>
      </c>
      <c r="Q784" s="115">
        <v>326.89999999999998</v>
      </c>
      <c r="R784">
        <v>14996</v>
      </c>
    </row>
    <row r="785" spans="1:18" x14ac:dyDescent="0.25">
      <c r="A785" s="169">
        <v>43157</v>
      </c>
      <c r="B785" s="115">
        <v>323.60000000000002</v>
      </c>
      <c r="C785" s="115">
        <v>318.95</v>
      </c>
      <c r="D785" s="115">
        <v>317.39999999999998</v>
      </c>
      <c r="E785" s="115">
        <v>323.60000000000002</v>
      </c>
      <c r="F785" s="115">
        <v>318.95</v>
      </c>
      <c r="G785">
        <v>2072</v>
      </c>
      <c r="H785" s="115"/>
      <c r="I785" s="115"/>
      <c r="L785" s="169">
        <v>43157</v>
      </c>
      <c r="M785" s="115">
        <v>319.75</v>
      </c>
      <c r="N785" s="115">
        <v>328</v>
      </c>
      <c r="O785" s="115">
        <v>315.8</v>
      </c>
      <c r="P785" s="115">
        <v>326.05</v>
      </c>
      <c r="Q785" s="115">
        <v>319.75</v>
      </c>
      <c r="R785">
        <v>23880</v>
      </c>
    </row>
    <row r="786" spans="1:18" x14ac:dyDescent="0.25">
      <c r="A786" s="169">
        <v>43158</v>
      </c>
      <c r="B786" s="115">
        <v>327.14999999999998</v>
      </c>
      <c r="C786" s="115">
        <v>318.5</v>
      </c>
      <c r="D786" s="115">
        <v>315</v>
      </c>
      <c r="E786" s="115">
        <v>315</v>
      </c>
      <c r="F786" s="115">
        <v>318.5</v>
      </c>
      <c r="G786">
        <v>700</v>
      </c>
      <c r="H786" s="115"/>
      <c r="I786" s="115"/>
      <c r="L786" s="169">
        <v>43158</v>
      </c>
      <c r="M786" s="115">
        <v>320.64999999999998</v>
      </c>
      <c r="N786" s="115">
        <v>326.2</v>
      </c>
      <c r="O786" s="115">
        <v>314.45</v>
      </c>
      <c r="P786" s="115">
        <v>321.14999999999998</v>
      </c>
      <c r="Q786" s="115">
        <v>320.64999999999998</v>
      </c>
      <c r="R786">
        <v>7222</v>
      </c>
    </row>
    <row r="787" spans="1:18" x14ac:dyDescent="0.25">
      <c r="A787" s="169">
        <v>43159</v>
      </c>
      <c r="B787" s="115">
        <v>318</v>
      </c>
      <c r="C787" s="115">
        <v>312.8</v>
      </c>
      <c r="D787" s="115">
        <v>312</v>
      </c>
      <c r="E787" s="115">
        <v>318</v>
      </c>
      <c r="F787" s="115">
        <v>312.8</v>
      </c>
      <c r="G787">
        <v>945</v>
      </c>
      <c r="H787" s="115"/>
      <c r="I787" s="115"/>
      <c r="L787" s="169">
        <v>43159</v>
      </c>
      <c r="M787" s="115">
        <v>313.8</v>
      </c>
      <c r="N787" s="115">
        <v>320.60000000000002</v>
      </c>
      <c r="O787" s="115">
        <v>312</v>
      </c>
      <c r="P787" s="115">
        <v>320.60000000000002</v>
      </c>
      <c r="Q787" s="115">
        <v>313.8</v>
      </c>
      <c r="R787">
        <v>77035</v>
      </c>
    </row>
    <row r="788" spans="1:18" x14ac:dyDescent="0.25">
      <c r="A788" s="169">
        <v>43160</v>
      </c>
      <c r="B788" s="115">
        <v>315.60000000000002</v>
      </c>
      <c r="C788" s="115">
        <v>312.7</v>
      </c>
      <c r="D788" s="115">
        <v>311</v>
      </c>
      <c r="E788" s="115">
        <v>314</v>
      </c>
      <c r="F788" s="115">
        <v>312.7</v>
      </c>
      <c r="G788">
        <v>1257</v>
      </c>
      <c r="H788" s="115"/>
      <c r="I788" s="115"/>
      <c r="L788" s="169">
        <v>43160</v>
      </c>
      <c r="M788" s="115">
        <v>313.35000000000002</v>
      </c>
      <c r="N788" s="115">
        <v>317.60000000000002</v>
      </c>
      <c r="O788" s="115">
        <v>310</v>
      </c>
      <c r="P788" s="115">
        <v>310</v>
      </c>
      <c r="Q788" s="115">
        <v>313.35000000000002</v>
      </c>
      <c r="R788">
        <v>41133</v>
      </c>
    </row>
    <row r="789" spans="1:18" x14ac:dyDescent="0.25">
      <c r="A789" s="169">
        <v>43164</v>
      </c>
      <c r="B789" s="115">
        <v>311.85000000000002</v>
      </c>
      <c r="C789" s="115">
        <v>307.5</v>
      </c>
      <c r="D789" s="115">
        <v>306</v>
      </c>
      <c r="E789" s="115">
        <v>308.75</v>
      </c>
      <c r="F789" s="115">
        <v>307.5</v>
      </c>
      <c r="G789">
        <v>666</v>
      </c>
      <c r="H789" s="115"/>
      <c r="I789" s="115"/>
      <c r="L789" s="169">
        <v>43164</v>
      </c>
      <c r="M789" s="115">
        <v>310.05</v>
      </c>
      <c r="N789" s="115">
        <v>312.75</v>
      </c>
      <c r="O789" s="115">
        <v>307</v>
      </c>
      <c r="P789" s="115">
        <v>312</v>
      </c>
      <c r="Q789" s="115">
        <v>310.05</v>
      </c>
      <c r="R789">
        <v>14953</v>
      </c>
    </row>
    <row r="790" spans="1:18" x14ac:dyDescent="0.25">
      <c r="A790" s="169">
        <v>43165</v>
      </c>
      <c r="B790" s="115">
        <v>313.45</v>
      </c>
      <c r="C790" s="115">
        <v>308.39999999999998</v>
      </c>
      <c r="D790" s="115">
        <v>306.39999999999998</v>
      </c>
      <c r="E790" s="115">
        <v>311.10000000000002</v>
      </c>
      <c r="F790" s="115">
        <v>308.39999999999998</v>
      </c>
      <c r="G790">
        <v>1124</v>
      </c>
      <c r="H790" s="115"/>
      <c r="I790" s="115"/>
      <c r="L790" s="169">
        <v>43165</v>
      </c>
      <c r="M790" s="115">
        <v>310.05</v>
      </c>
      <c r="N790" s="115">
        <v>312.3</v>
      </c>
      <c r="O790" s="115">
        <v>309</v>
      </c>
      <c r="P790" s="115">
        <v>311.3</v>
      </c>
      <c r="Q790" s="115">
        <v>310.05</v>
      </c>
      <c r="R790">
        <v>30193</v>
      </c>
    </row>
    <row r="791" spans="1:18" x14ac:dyDescent="0.25">
      <c r="A791" s="169">
        <v>43166</v>
      </c>
      <c r="B791" s="115">
        <v>308.10000000000002</v>
      </c>
      <c r="C791" s="115">
        <v>304.14999999999998</v>
      </c>
      <c r="D791" s="115">
        <v>303.5</v>
      </c>
      <c r="E791" s="115">
        <v>306</v>
      </c>
      <c r="F791" s="115">
        <v>304.14999999999998</v>
      </c>
      <c r="G791">
        <v>639</v>
      </c>
      <c r="H791" s="115"/>
      <c r="I791" s="115"/>
      <c r="L791" s="169">
        <v>43166</v>
      </c>
      <c r="M791" s="115">
        <v>305.14999999999998</v>
      </c>
      <c r="N791" s="115">
        <v>313.14999999999998</v>
      </c>
      <c r="O791" s="115">
        <v>304</v>
      </c>
      <c r="P791" s="115">
        <v>313.14999999999998</v>
      </c>
      <c r="Q791" s="115">
        <v>305.14999999999998</v>
      </c>
      <c r="R791">
        <v>12684</v>
      </c>
    </row>
    <row r="792" spans="1:18" x14ac:dyDescent="0.25">
      <c r="A792" s="169">
        <v>43167</v>
      </c>
      <c r="B792" s="115">
        <v>308.5</v>
      </c>
      <c r="C792" s="115">
        <v>307.10000000000002</v>
      </c>
      <c r="D792" s="115">
        <v>299.89999999999998</v>
      </c>
      <c r="E792" s="115">
        <v>307.3</v>
      </c>
      <c r="F792" s="115">
        <v>307.10000000000002</v>
      </c>
      <c r="G792">
        <v>1304</v>
      </c>
      <c r="H792" s="115"/>
      <c r="I792" s="115"/>
      <c r="L792" s="169">
        <v>43167</v>
      </c>
      <c r="M792" s="115">
        <v>304.14999999999998</v>
      </c>
      <c r="N792" s="115">
        <v>308.39999999999998</v>
      </c>
      <c r="O792" s="115">
        <v>300</v>
      </c>
      <c r="P792" s="115">
        <v>306.2</v>
      </c>
      <c r="Q792" s="115">
        <v>304.14999999999998</v>
      </c>
      <c r="R792">
        <v>3819</v>
      </c>
    </row>
    <row r="793" spans="1:18" x14ac:dyDescent="0.25">
      <c r="A793" s="169">
        <v>43168</v>
      </c>
      <c r="B793" s="115">
        <v>309.2</v>
      </c>
      <c r="C793" s="115">
        <v>303.89999999999998</v>
      </c>
      <c r="D793" s="115">
        <v>303</v>
      </c>
      <c r="E793" s="115">
        <v>304.2</v>
      </c>
      <c r="F793" s="115">
        <v>303.89999999999998</v>
      </c>
      <c r="G793">
        <v>2037</v>
      </c>
      <c r="H793" s="115"/>
      <c r="I793" s="115"/>
      <c r="L793" s="169">
        <v>43168</v>
      </c>
      <c r="M793" s="115">
        <v>305.14999999999998</v>
      </c>
      <c r="N793" s="115">
        <v>312</v>
      </c>
      <c r="O793" s="115">
        <v>298.55</v>
      </c>
      <c r="P793" s="115">
        <v>303.64999999999998</v>
      </c>
      <c r="Q793" s="115">
        <v>305.14999999999998</v>
      </c>
      <c r="R793">
        <v>12942</v>
      </c>
    </row>
    <row r="794" spans="1:18" x14ac:dyDescent="0.25">
      <c r="A794" s="169">
        <v>43171</v>
      </c>
      <c r="B794" s="115">
        <v>308</v>
      </c>
      <c r="C794" s="115">
        <v>307</v>
      </c>
      <c r="D794" s="115">
        <v>303.3</v>
      </c>
      <c r="E794" s="115">
        <v>303.3</v>
      </c>
      <c r="F794" s="115">
        <v>307</v>
      </c>
      <c r="G794">
        <v>6098</v>
      </c>
      <c r="H794" s="115"/>
      <c r="I794" s="115"/>
      <c r="L794" s="169">
        <v>43171</v>
      </c>
      <c r="M794" s="115">
        <v>307.05</v>
      </c>
      <c r="N794" s="115">
        <v>308.8</v>
      </c>
      <c r="O794" s="115">
        <v>303.55</v>
      </c>
      <c r="P794" s="115">
        <v>308.14999999999998</v>
      </c>
      <c r="Q794" s="115">
        <v>307.05</v>
      </c>
      <c r="R794">
        <v>7042</v>
      </c>
    </row>
    <row r="795" spans="1:18" x14ac:dyDescent="0.25">
      <c r="A795" s="169">
        <v>43172</v>
      </c>
      <c r="B795" s="115">
        <v>309.60000000000002</v>
      </c>
      <c r="C795" s="115">
        <v>297.55</v>
      </c>
      <c r="D795" s="115">
        <v>294.39999999999998</v>
      </c>
      <c r="E795" s="115">
        <v>309.60000000000002</v>
      </c>
      <c r="F795" s="115">
        <v>297.55</v>
      </c>
      <c r="G795">
        <v>1572</v>
      </c>
      <c r="H795" s="115"/>
      <c r="I795" s="115"/>
      <c r="L795" s="169">
        <v>43172</v>
      </c>
      <c r="M795" s="115">
        <v>298.64999999999998</v>
      </c>
      <c r="N795" s="115">
        <v>310.05</v>
      </c>
      <c r="O795" s="115">
        <v>294.2</v>
      </c>
      <c r="P795" s="115">
        <v>310.05</v>
      </c>
      <c r="Q795" s="115">
        <v>298.64999999999998</v>
      </c>
      <c r="R795">
        <v>48950</v>
      </c>
    </row>
    <row r="796" spans="1:18" x14ac:dyDescent="0.25">
      <c r="A796" s="169">
        <v>43173</v>
      </c>
      <c r="B796" s="115">
        <v>304.2</v>
      </c>
      <c r="C796" s="115">
        <v>300.39999999999998</v>
      </c>
      <c r="D796" s="115">
        <v>297</v>
      </c>
      <c r="E796" s="115">
        <v>300.05</v>
      </c>
      <c r="F796" s="115">
        <v>300.39999999999998</v>
      </c>
      <c r="G796">
        <v>1559</v>
      </c>
      <c r="H796" s="115"/>
      <c r="I796" s="115"/>
      <c r="L796" s="169">
        <v>43173</v>
      </c>
      <c r="M796" s="115">
        <v>300</v>
      </c>
      <c r="N796" s="115">
        <v>301.55</v>
      </c>
      <c r="O796" s="115">
        <v>297.35000000000002</v>
      </c>
      <c r="P796" s="115">
        <v>301.55</v>
      </c>
      <c r="Q796" s="115">
        <v>300</v>
      </c>
      <c r="R796">
        <v>4807</v>
      </c>
    </row>
    <row r="797" spans="1:18" x14ac:dyDescent="0.25">
      <c r="A797" s="169">
        <v>43174</v>
      </c>
      <c r="B797" s="115">
        <v>307.95</v>
      </c>
      <c r="C797" s="115">
        <v>307.25</v>
      </c>
      <c r="D797" s="115">
        <v>298.8</v>
      </c>
      <c r="E797" s="115">
        <v>303.8</v>
      </c>
      <c r="F797" s="115">
        <v>307.25</v>
      </c>
      <c r="G797">
        <v>1747</v>
      </c>
      <c r="H797" s="115"/>
      <c r="I797" s="115"/>
      <c r="L797" s="169">
        <v>43174</v>
      </c>
      <c r="M797" s="115">
        <v>306.39999999999998</v>
      </c>
      <c r="N797" s="115">
        <v>308.89999999999998</v>
      </c>
      <c r="O797" s="115">
        <v>297.14999999999998</v>
      </c>
      <c r="P797" s="115">
        <v>302.95</v>
      </c>
      <c r="Q797" s="115">
        <v>306.39999999999998</v>
      </c>
      <c r="R797">
        <v>13728</v>
      </c>
    </row>
    <row r="798" spans="1:18" x14ac:dyDescent="0.25">
      <c r="A798" s="169">
        <v>43175</v>
      </c>
      <c r="B798" s="115">
        <v>312.89999999999998</v>
      </c>
      <c r="C798" s="115">
        <v>309.95</v>
      </c>
      <c r="D798" s="115">
        <v>305</v>
      </c>
      <c r="E798" s="115">
        <v>308</v>
      </c>
      <c r="F798" s="115">
        <v>309.95</v>
      </c>
      <c r="G798">
        <v>4763</v>
      </c>
      <c r="H798" s="115"/>
      <c r="I798" s="115"/>
      <c r="L798" s="169">
        <v>43175</v>
      </c>
      <c r="M798" s="115">
        <v>310.45</v>
      </c>
      <c r="N798" s="115">
        <v>312</v>
      </c>
      <c r="O798" s="115">
        <v>304.75</v>
      </c>
      <c r="P798" s="115">
        <v>308.85000000000002</v>
      </c>
      <c r="Q798" s="115">
        <v>310.45</v>
      </c>
      <c r="R798">
        <v>12303</v>
      </c>
    </row>
    <row r="799" spans="1:18" x14ac:dyDescent="0.25">
      <c r="A799" s="169">
        <v>43178</v>
      </c>
      <c r="B799" s="115">
        <v>307.89999999999998</v>
      </c>
      <c r="C799" s="115">
        <v>305.39999999999998</v>
      </c>
      <c r="D799" s="115">
        <v>296</v>
      </c>
      <c r="E799" s="115">
        <v>307.14999999999998</v>
      </c>
      <c r="F799" s="115">
        <v>305.39999999999998</v>
      </c>
      <c r="G799">
        <v>2548</v>
      </c>
      <c r="H799" s="115"/>
      <c r="I799" s="115"/>
      <c r="L799" s="169">
        <v>43178</v>
      </c>
      <c r="M799" s="115">
        <v>300.85000000000002</v>
      </c>
      <c r="N799" s="115">
        <v>313.55</v>
      </c>
      <c r="O799" s="115">
        <v>296.14999999999998</v>
      </c>
      <c r="P799" s="115">
        <v>313.55</v>
      </c>
      <c r="Q799" s="115">
        <v>300.85000000000002</v>
      </c>
      <c r="R799">
        <v>11869</v>
      </c>
    </row>
    <row r="800" spans="1:18" x14ac:dyDescent="0.25">
      <c r="A800" s="169">
        <v>43179</v>
      </c>
      <c r="B800" s="115">
        <v>305.95</v>
      </c>
      <c r="C800" s="115">
        <v>305.35000000000002</v>
      </c>
      <c r="D800" s="115">
        <v>299</v>
      </c>
      <c r="E800" s="115">
        <v>301.89999999999998</v>
      </c>
      <c r="F800" s="115">
        <v>305.35000000000002</v>
      </c>
      <c r="G800">
        <v>445</v>
      </c>
      <c r="H800" s="115"/>
      <c r="I800" s="115"/>
      <c r="L800" s="169">
        <v>43179</v>
      </c>
      <c r="M800" s="115">
        <v>305.10000000000002</v>
      </c>
      <c r="N800" s="115">
        <v>307.39999999999998</v>
      </c>
      <c r="O800" s="115">
        <v>296.10000000000002</v>
      </c>
      <c r="P800" s="115">
        <v>301.5</v>
      </c>
      <c r="Q800" s="115">
        <v>305.10000000000002</v>
      </c>
      <c r="R800">
        <v>14752</v>
      </c>
    </row>
    <row r="801" spans="1:18" x14ac:dyDescent="0.25">
      <c r="A801" s="169">
        <v>43180</v>
      </c>
      <c r="B801" s="115">
        <v>312.05</v>
      </c>
      <c r="C801" s="115">
        <v>304</v>
      </c>
      <c r="D801" s="115">
        <v>303</v>
      </c>
      <c r="E801" s="115">
        <v>310</v>
      </c>
      <c r="F801" s="115">
        <v>304</v>
      </c>
      <c r="G801">
        <v>3556</v>
      </c>
      <c r="H801" s="115"/>
      <c r="I801" s="115"/>
      <c r="L801" s="169">
        <v>43180</v>
      </c>
      <c r="M801" s="115">
        <v>305.5</v>
      </c>
      <c r="N801" s="115">
        <v>315</v>
      </c>
      <c r="O801" s="115">
        <v>304</v>
      </c>
      <c r="P801" s="115">
        <v>306</v>
      </c>
      <c r="Q801" s="115">
        <v>305.5</v>
      </c>
      <c r="R801">
        <v>23163</v>
      </c>
    </row>
    <row r="802" spans="1:18" x14ac:dyDescent="0.25">
      <c r="A802" s="169">
        <v>43181</v>
      </c>
      <c r="B802" s="115">
        <v>312.10000000000002</v>
      </c>
      <c r="C802" s="115">
        <v>311.64999999999998</v>
      </c>
      <c r="D802" s="115">
        <v>302.64999999999998</v>
      </c>
      <c r="E802" s="115">
        <v>302.64999999999998</v>
      </c>
      <c r="F802" s="115">
        <v>311.64999999999998</v>
      </c>
      <c r="G802">
        <v>1056</v>
      </c>
      <c r="H802" s="115"/>
      <c r="I802" s="115"/>
      <c r="L802" s="169">
        <v>43181</v>
      </c>
      <c r="M802" s="115">
        <v>310.89999999999998</v>
      </c>
      <c r="N802" s="115">
        <v>312.45</v>
      </c>
      <c r="O802" s="115">
        <v>302</v>
      </c>
      <c r="P802" s="115">
        <v>302.85000000000002</v>
      </c>
      <c r="Q802" s="115">
        <v>310.89999999999998</v>
      </c>
      <c r="R802">
        <v>8637</v>
      </c>
    </row>
    <row r="803" spans="1:18" x14ac:dyDescent="0.25">
      <c r="A803" s="169">
        <v>43182</v>
      </c>
      <c r="B803" s="115">
        <v>305.95</v>
      </c>
      <c r="C803" s="115">
        <v>304.14999999999998</v>
      </c>
      <c r="D803" s="115">
        <v>296</v>
      </c>
      <c r="E803" s="115">
        <v>300.39999999999998</v>
      </c>
      <c r="F803" s="115">
        <v>304.14999999999998</v>
      </c>
      <c r="G803">
        <v>1118</v>
      </c>
      <c r="H803" s="115"/>
      <c r="I803" s="115"/>
      <c r="L803" s="169">
        <v>43182</v>
      </c>
      <c r="M803" s="115">
        <v>306.85000000000002</v>
      </c>
      <c r="N803" s="115">
        <v>313.85000000000002</v>
      </c>
      <c r="O803" s="115">
        <v>295.55</v>
      </c>
      <c r="P803" s="115">
        <v>313.85000000000002</v>
      </c>
      <c r="Q803" s="115">
        <v>306.85000000000002</v>
      </c>
      <c r="R803">
        <v>20970</v>
      </c>
    </row>
    <row r="804" spans="1:18" x14ac:dyDescent="0.25">
      <c r="A804" s="169">
        <v>43185</v>
      </c>
      <c r="B804" s="115">
        <v>317.10000000000002</v>
      </c>
      <c r="C804" s="115">
        <v>308.64999999999998</v>
      </c>
      <c r="D804" s="115">
        <v>301.35000000000002</v>
      </c>
      <c r="E804" s="115">
        <v>304.75</v>
      </c>
      <c r="F804" s="115">
        <v>308.64999999999998</v>
      </c>
      <c r="G804">
        <v>3770</v>
      </c>
      <c r="H804" s="115"/>
      <c r="I804" s="115"/>
      <c r="L804" s="169">
        <v>43185</v>
      </c>
      <c r="M804" s="115">
        <v>309.85000000000002</v>
      </c>
      <c r="N804" s="115">
        <v>311</v>
      </c>
      <c r="O804" s="115">
        <v>303</v>
      </c>
      <c r="P804" s="115">
        <v>308.75</v>
      </c>
      <c r="Q804" s="115">
        <v>309.85000000000002</v>
      </c>
      <c r="R804">
        <v>8947</v>
      </c>
    </row>
    <row r="805" spans="1:18" x14ac:dyDescent="0.25">
      <c r="A805" s="169">
        <v>43186</v>
      </c>
      <c r="B805" s="115">
        <v>318.89999999999998</v>
      </c>
      <c r="C805" s="115">
        <v>318</v>
      </c>
      <c r="D805" s="115">
        <v>316</v>
      </c>
      <c r="E805" s="115">
        <v>317</v>
      </c>
      <c r="F805" s="115">
        <v>318</v>
      </c>
      <c r="G805">
        <v>4057</v>
      </c>
      <c r="H805" s="115"/>
      <c r="I805" s="115"/>
      <c r="L805" s="169">
        <v>43186</v>
      </c>
      <c r="M805" s="115">
        <v>317.85000000000002</v>
      </c>
      <c r="N805" s="115">
        <v>320</v>
      </c>
      <c r="O805" s="115">
        <v>311.10000000000002</v>
      </c>
      <c r="P805" s="115">
        <v>318</v>
      </c>
      <c r="Q805" s="115">
        <v>317.85000000000002</v>
      </c>
      <c r="R805">
        <v>13565</v>
      </c>
    </row>
    <row r="806" spans="1:18" x14ac:dyDescent="0.25">
      <c r="A806" s="169">
        <v>43187</v>
      </c>
      <c r="B806" s="115">
        <v>324.89999999999998</v>
      </c>
      <c r="C806" s="115">
        <v>320.10000000000002</v>
      </c>
      <c r="D806" s="115">
        <v>318</v>
      </c>
      <c r="E806" s="115">
        <v>318.5</v>
      </c>
      <c r="F806" s="115">
        <v>320.10000000000002</v>
      </c>
      <c r="G806">
        <v>8980</v>
      </c>
      <c r="H806" s="115"/>
      <c r="I806" s="115"/>
      <c r="L806" s="169">
        <v>43187</v>
      </c>
      <c r="M806" s="115">
        <v>321.3</v>
      </c>
      <c r="N806" s="115">
        <v>325</v>
      </c>
      <c r="O806" s="115">
        <v>311.55</v>
      </c>
      <c r="P806" s="115">
        <v>317.2</v>
      </c>
      <c r="Q806" s="115">
        <v>321.3</v>
      </c>
      <c r="R806">
        <v>22533</v>
      </c>
    </row>
    <row r="807" spans="1:18" x14ac:dyDescent="0.25">
      <c r="A807" s="169">
        <v>43192</v>
      </c>
      <c r="B807" s="115">
        <v>339.35</v>
      </c>
      <c r="C807" s="115">
        <v>335.95</v>
      </c>
      <c r="D807" s="115">
        <v>318.60000000000002</v>
      </c>
      <c r="E807" s="115">
        <v>325.10000000000002</v>
      </c>
      <c r="F807" s="115">
        <v>335.95</v>
      </c>
      <c r="G807">
        <v>3777</v>
      </c>
      <c r="H807" s="115"/>
      <c r="I807" s="115"/>
      <c r="L807" s="169">
        <v>43192</v>
      </c>
      <c r="M807" s="115">
        <v>338.05</v>
      </c>
      <c r="N807" s="115">
        <v>340.9</v>
      </c>
      <c r="O807" s="115">
        <v>321.35000000000002</v>
      </c>
      <c r="P807" s="115">
        <v>324.45</v>
      </c>
      <c r="Q807" s="115">
        <v>338.05</v>
      </c>
      <c r="R807">
        <v>16036</v>
      </c>
    </row>
    <row r="808" spans="1:18" x14ac:dyDescent="0.25">
      <c r="A808" s="169">
        <v>43193</v>
      </c>
      <c r="B808" s="115">
        <v>337.55</v>
      </c>
      <c r="C808" s="115">
        <v>332.4</v>
      </c>
      <c r="D808" s="115">
        <v>331</v>
      </c>
      <c r="E808" s="115">
        <v>332.9</v>
      </c>
      <c r="F808" s="115">
        <v>332.4</v>
      </c>
      <c r="G808">
        <v>2649</v>
      </c>
      <c r="H808" s="115"/>
      <c r="I808" s="115"/>
      <c r="L808" s="169">
        <v>43193</v>
      </c>
      <c r="M808" s="115">
        <v>335</v>
      </c>
      <c r="N808" s="115">
        <v>340</v>
      </c>
      <c r="O808" s="115">
        <v>330</v>
      </c>
      <c r="P808" s="115">
        <v>340</v>
      </c>
      <c r="Q808" s="115">
        <v>335</v>
      </c>
      <c r="R808">
        <v>13353</v>
      </c>
    </row>
    <row r="809" spans="1:18" x14ac:dyDescent="0.25">
      <c r="A809" s="169">
        <v>43194</v>
      </c>
      <c r="B809" s="115">
        <v>343.8</v>
      </c>
      <c r="C809" s="115">
        <v>337.15</v>
      </c>
      <c r="D809" s="115">
        <v>334.65</v>
      </c>
      <c r="E809" s="115">
        <v>337</v>
      </c>
      <c r="F809" s="115">
        <v>337.15</v>
      </c>
      <c r="G809">
        <v>1314</v>
      </c>
      <c r="H809" s="115"/>
      <c r="I809" s="115"/>
      <c r="L809" s="169">
        <v>43194</v>
      </c>
      <c r="M809" s="115">
        <v>339.85</v>
      </c>
      <c r="N809" s="115">
        <v>357.5</v>
      </c>
      <c r="O809" s="115">
        <v>335.05</v>
      </c>
      <c r="P809" s="115">
        <v>338.35</v>
      </c>
      <c r="Q809" s="115">
        <v>339.85</v>
      </c>
      <c r="R809">
        <v>22157</v>
      </c>
    </row>
    <row r="810" spans="1:18" x14ac:dyDescent="0.25">
      <c r="A810" s="169">
        <v>43195</v>
      </c>
      <c r="B810" s="115">
        <v>343.5</v>
      </c>
      <c r="C810" s="115">
        <v>335.3</v>
      </c>
      <c r="D810" s="115">
        <v>335.1</v>
      </c>
      <c r="E810" s="115">
        <v>343.5</v>
      </c>
      <c r="F810" s="115">
        <v>335.3</v>
      </c>
      <c r="G810">
        <v>328</v>
      </c>
      <c r="H810" s="115"/>
      <c r="I810" s="115"/>
      <c r="L810" s="169">
        <v>43195</v>
      </c>
      <c r="M810" s="115">
        <v>339.15</v>
      </c>
      <c r="N810" s="115">
        <v>344.15</v>
      </c>
      <c r="O810" s="115">
        <v>337.1</v>
      </c>
      <c r="P810" s="115">
        <v>341.7</v>
      </c>
      <c r="Q810" s="115">
        <v>339.15</v>
      </c>
      <c r="R810">
        <v>10060</v>
      </c>
    </row>
    <row r="811" spans="1:18" x14ac:dyDescent="0.25">
      <c r="A811" s="169">
        <v>43196</v>
      </c>
      <c r="B811" s="115">
        <v>348.5</v>
      </c>
      <c r="C811" s="115">
        <v>345.7</v>
      </c>
      <c r="D811" s="115">
        <v>339</v>
      </c>
      <c r="E811" s="115">
        <v>343.5</v>
      </c>
      <c r="F811" s="115">
        <v>345.7</v>
      </c>
      <c r="G811">
        <v>2974</v>
      </c>
      <c r="H811" s="115"/>
      <c r="I811" s="115"/>
      <c r="L811" s="169">
        <v>43196</v>
      </c>
      <c r="M811" s="115">
        <v>347</v>
      </c>
      <c r="N811" s="115">
        <v>349</v>
      </c>
      <c r="O811" s="115">
        <v>336.05</v>
      </c>
      <c r="P811" s="115">
        <v>336.05</v>
      </c>
      <c r="Q811" s="115">
        <v>347</v>
      </c>
      <c r="R811">
        <v>15300</v>
      </c>
    </row>
    <row r="812" spans="1:18" x14ac:dyDescent="0.25">
      <c r="A812" s="169">
        <v>43199</v>
      </c>
      <c r="B812" s="115">
        <v>345.95</v>
      </c>
      <c r="C812" s="115">
        <v>345.05</v>
      </c>
      <c r="D812" s="115">
        <v>345</v>
      </c>
      <c r="E812" s="115">
        <v>345.3</v>
      </c>
      <c r="F812" s="115">
        <v>345.05</v>
      </c>
      <c r="G812">
        <v>1146</v>
      </c>
      <c r="H812" s="115"/>
      <c r="I812" s="115"/>
      <c r="L812" s="169">
        <v>43199</v>
      </c>
      <c r="M812" s="115">
        <v>343.8</v>
      </c>
      <c r="N812" s="115">
        <v>350</v>
      </c>
      <c r="O812" s="115">
        <v>342</v>
      </c>
      <c r="P812" s="115">
        <v>350</v>
      </c>
      <c r="Q812" s="115">
        <v>343.8</v>
      </c>
      <c r="R812">
        <v>6928</v>
      </c>
    </row>
    <row r="813" spans="1:18" x14ac:dyDescent="0.25">
      <c r="A813" s="169">
        <v>43200</v>
      </c>
      <c r="B813" s="115">
        <v>358</v>
      </c>
      <c r="C813" s="115">
        <v>356.6</v>
      </c>
      <c r="D813" s="115">
        <v>344.05</v>
      </c>
      <c r="E813" s="115">
        <v>348.25</v>
      </c>
      <c r="F813" s="115">
        <v>356.6</v>
      </c>
      <c r="G813">
        <v>6594</v>
      </c>
      <c r="H813" s="115"/>
      <c r="I813" s="115"/>
      <c r="L813" s="169">
        <v>43200</v>
      </c>
      <c r="M813" s="115">
        <v>356.65</v>
      </c>
      <c r="N813" s="115">
        <v>358.6</v>
      </c>
      <c r="O813" s="115">
        <v>341.1</v>
      </c>
      <c r="P813" s="115">
        <v>341.1</v>
      </c>
      <c r="Q813" s="115">
        <v>356.65</v>
      </c>
      <c r="R813">
        <v>18069</v>
      </c>
    </row>
    <row r="814" spans="1:18" x14ac:dyDescent="0.25">
      <c r="A814" s="169">
        <v>43201</v>
      </c>
      <c r="B814" s="115">
        <v>358</v>
      </c>
      <c r="C814" s="115">
        <v>355.25</v>
      </c>
      <c r="D814" s="115">
        <v>351</v>
      </c>
      <c r="E814" s="115">
        <v>357.6</v>
      </c>
      <c r="F814" s="115">
        <v>355.25</v>
      </c>
      <c r="G814">
        <v>1466</v>
      </c>
      <c r="H814" s="115"/>
      <c r="I814" s="115"/>
      <c r="L814" s="169">
        <v>43201</v>
      </c>
      <c r="M814" s="115">
        <v>356</v>
      </c>
      <c r="N814" s="115">
        <v>359</v>
      </c>
      <c r="O814" s="115">
        <v>349.1</v>
      </c>
      <c r="P814" s="115">
        <v>359</v>
      </c>
      <c r="Q814" s="115">
        <v>356</v>
      </c>
      <c r="R814">
        <v>16837</v>
      </c>
    </row>
    <row r="815" spans="1:18" x14ac:dyDescent="0.25">
      <c r="A815" s="169">
        <v>43202</v>
      </c>
      <c r="B815" s="115">
        <v>361.5</v>
      </c>
      <c r="C815" s="115">
        <v>355.05</v>
      </c>
      <c r="D815" s="115">
        <v>345</v>
      </c>
      <c r="E815" s="115">
        <v>345</v>
      </c>
      <c r="F815" s="115">
        <v>355.05</v>
      </c>
      <c r="G815">
        <v>5817</v>
      </c>
      <c r="H815" s="115"/>
      <c r="I815" s="115"/>
      <c r="L815" s="169">
        <v>43202</v>
      </c>
      <c r="M815" s="115">
        <v>356.6</v>
      </c>
      <c r="N815" s="115">
        <v>363</v>
      </c>
      <c r="O815" s="115">
        <v>349</v>
      </c>
      <c r="P815" s="115">
        <v>354</v>
      </c>
      <c r="Q815" s="115">
        <v>356.6</v>
      </c>
      <c r="R815">
        <v>19583</v>
      </c>
    </row>
    <row r="816" spans="1:18" x14ac:dyDescent="0.25">
      <c r="A816" s="169">
        <v>43203</v>
      </c>
      <c r="B816" s="115">
        <v>359</v>
      </c>
      <c r="C816" s="115">
        <v>355.1</v>
      </c>
      <c r="D816" s="115">
        <v>353.05</v>
      </c>
      <c r="E816" s="115">
        <v>355.3</v>
      </c>
      <c r="F816" s="115">
        <v>355.1</v>
      </c>
      <c r="G816">
        <v>1552</v>
      </c>
      <c r="H816" s="115"/>
      <c r="I816" s="115"/>
      <c r="L816" s="169">
        <v>43203</v>
      </c>
      <c r="M816" s="115">
        <v>356.75</v>
      </c>
      <c r="N816" s="115">
        <v>358.75</v>
      </c>
      <c r="O816" s="115">
        <v>351</v>
      </c>
      <c r="P816" s="115">
        <v>358</v>
      </c>
      <c r="Q816" s="115">
        <v>356.75</v>
      </c>
      <c r="R816">
        <v>9454</v>
      </c>
    </row>
    <row r="817" spans="1:18" x14ac:dyDescent="0.25">
      <c r="A817" s="169">
        <v>43206</v>
      </c>
      <c r="B817" s="115">
        <v>356.15</v>
      </c>
      <c r="C817" s="115">
        <v>356</v>
      </c>
      <c r="D817" s="115">
        <v>356</v>
      </c>
      <c r="E817" s="115">
        <v>356.05</v>
      </c>
      <c r="F817" s="115">
        <v>356</v>
      </c>
      <c r="G817">
        <v>1072</v>
      </c>
      <c r="H817" s="115"/>
      <c r="I817" s="115"/>
      <c r="L817" s="169">
        <v>43206</v>
      </c>
      <c r="M817" s="115">
        <v>356</v>
      </c>
      <c r="N817" s="115">
        <v>356.95</v>
      </c>
      <c r="O817" s="115">
        <v>352.55</v>
      </c>
      <c r="P817" s="115">
        <v>354</v>
      </c>
      <c r="Q817" s="115">
        <v>356</v>
      </c>
      <c r="R817">
        <v>7496</v>
      </c>
    </row>
    <row r="818" spans="1:18" x14ac:dyDescent="0.25">
      <c r="A818" s="169">
        <v>43207</v>
      </c>
      <c r="B818" s="115">
        <v>357.15</v>
      </c>
      <c r="C818" s="115">
        <v>349.5</v>
      </c>
      <c r="D818" s="115">
        <v>347.2</v>
      </c>
      <c r="E818" s="115">
        <v>356.7</v>
      </c>
      <c r="F818" s="115">
        <v>349.5</v>
      </c>
      <c r="G818">
        <v>1222</v>
      </c>
      <c r="H818" s="115"/>
      <c r="I818" s="115"/>
      <c r="L818" s="169">
        <v>43207</v>
      </c>
      <c r="M818" s="115">
        <v>353.55</v>
      </c>
      <c r="N818" s="115">
        <v>357</v>
      </c>
      <c r="O818" s="115">
        <v>349</v>
      </c>
      <c r="P818" s="115">
        <v>356</v>
      </c>
      <c r="Q818" s="115">
        <v>353.55</v>
      </c>
      <c r="R818">
        <v>35684</v>
      </c>
    </row>
    <row r="819" spans="1:18" x14ac:dyDescent="0.25">
      <c r="A819" s="169">
        <v>43208</v>
      </c>
      <c r="B819" s="115">
        <v>359.5</v>
      </c>
      <c r="C819" s="115">
        <v>357.6</v>
      </c>
      <c r="D819" s="115">
        <v>350.85</v>
      </c>
      <c r="E819" s="115">
        <v>355.35</v>
      </c>
      <c r="F819" s="115">
        <v>357.6</v>
      </c>
      <c r="G819">
        <v>6173</v>
      </c>
      <c r="H819" s="115"/>
      <c r="I819" s="115"/>
      <c r="L819" s="169">
        <v>43208</v>
      </c>
      <c r="M819" s="115">
        <v>358.75</v>
      </c>
      <c r="N819" s="115">
        <v>362</v>
      </c>
      <c r="O819" s="115">
        <v>353</v>
      </c>
      <c r="P819" s="115">
        <v>354</v>
      </c>
      <c r="Q819" s="115">
        <v>358.75</v>
      </c>
      <c r="R819">
        <v>29177</v>
      </c>
    </row>
    <row r="820" spans="1:18" x14ac:dyDescent="0.25">
      <c r="A820" s="169">
        <v>43209</v>
      </c>
      <c r="B820" s="115">
        <v>361</v>
      </c>
      <c r="C820" s="115">
        <v>355.55</v>
      </c>
      <c r="D820" s="115">
        <v>350</v>
      </c>
      <c r="E820" s="115">
        <v>350</v>
      </c>
      <c r="F820" s="115">
        <v>355.55</v>
      </c>
      <c r="G820">
        <v>1843</v>
      </c>
      <c r="H820" s="115"/>
      <c r="I820" s="115"/>
      <c r="L820" s="169">
        <v>43209</v>
      </c>
      <c r="M820" s="115">
        <v>357.25</v>
      </c>
      <c r="N820" s="115">
        <v>361.75</v>
      </c>
      <c r="O820" s="115">
        <v>351.35</v>
      </c>
      <c r="P820" s="115">
        <v>359.05</v>
      </c>
      <c r="Q820" s="115">
        <v>357.25</v>
      </c>
      <c r="R820">
        <v>11412</v>
      </c>
    </row>
    <row r="821" spans="1:18" x14ac:dyDescent="0.25">
      <c r="A821" s="169">
        <v>43210</v>
      </c>
      <c r="B821" s="115">
        <v>360</v>
      </c>
      <c r="C821" s="115">
        <v>355.05</v>
      </c>
      <c r="D821" s="115">
        <v>351</v>
      </c>
      <c r="E821" s="115">
        <v>351.3</v>
      </c>
      <c r="F821" s="115">
        <v>355.05</v>
      </c>
      <c r="G821">
        <v>1725</v>
      </c>
      <c r="H821" s="115"/>
      <c r="I821" s="115"/>
      <c r="L821" s="169">
        <v>43210</v>
      </c>
      <c r="M821" s="115">
        <v>358.45</v>
      </c>
      <c r="N821" s="115">
        <v>362</v>
      </c>
      <c r="O821" s="115">
        <v>349.15</v>
      </c>
      <c r="P821" s="115">
        <v>352.05</v>
      </c>
      <c r="Q821" s="115">
        <v>358.45</v>
      </c>
      <c r="R821">
        <v>11410</v>
      </c>
    </row>
    <row r="822" spans="1:18" x14ac:dyDescent="0.25">
      <c r="A822" s="169">
        <v>43213</v>
      </c>
      <c r="B822" s="115">
        <v>360.35</v>
      </c>
      <c r="C822" s="115">
        <v>355.55</v>
      </c>
      <c r="D822" s="115">
        <v>353.05</v>
      </c>
      <c r="E822" s="115">
        <v>359</v>
      </c>
      <c r="F822" s="115">
        <v>355.55</v>
      </c>
      <c r="G822">
        <v>344</v>
      </c>
      <c r="H822" s="115"/>
      <c r="I822" s="115"/>
      <c r="L822" s="169">
        <v>43213</v>
      </c>
      <c r="M822" s="115">
        <v>357.55</v>
      </c>
      <c r="N822" s="115">
        <v>360.8</v>
      </c>
      <c r="O822" s="115">
        <v>353.2</v>
      </c>
      <c r="P822" s="115">
        <v>359</v>
      </c>
      <c r="Q822" s="115">
        <v>357.55</v>
      </c>
      <c r="R822">
        <v>5379</v>
      </c>
    </row>
    <row r="823" spans="1:18" x14ac:dyDescent="0.25">
      <c r="A823" s="169">
        <v>43214</v>
      </c>
      <c r="B823" s="115">
        <v>360.95</v>
      </c>
      <c r="C823" s="115">
        <v>357.6</v>
      </c>
      <c r="D823" s="115">
        <v>354</v>
      </c>
      <c r="E823" s="115">
        <v>359.8</v>
      </c>
      <c r="F823" s="115">
        <v>357.6</v>
      </c>
      <c r="G823">
        <v>1156</v>
      </c>
      <c r="H823" s="115"/>
      <c r="I823" s="115"/>
      <c r="L823" s="169">
        <v>43214</v>
      </c>
      <c r="M823" s="115">
        <v>357.05</v>
      </c>
      <c r="N823" s="115">
        <v>361</v>
      </c>
      <c r="O823" s="115">
        <v>353.75</v>
      </c>
      <c r="P823" s="115">
        <v>355.95</v>
      </c>
      <c r="Q823" s="115">
        <v>357.05</v>
      </c>
      <c r="R823">
        <v>6047</v>
      </c>
    </row>
    <row r="824" spans="1:18" x14ac:dyDescent="0.25">
      <c r="A824" s="169">
        <v>43215</v>
      </c>
      <c r="B824" s="115">
        <v>357</v>
      </c>
      <c r="C824" s="115">
        <v>355</v>
      </c>
      <c r="D824" s="115">
        <v>352.8</v>
      </c>
      <c r="E824" s="115">
        <v>352.8</v>
      </c>
      <c r="F824" s="115">
        <v>355</v>
      </c>
      <c r="G824">
        <v>5582</v>
      </c>
      <c r="H824" s="115"/>
      <c r="I824" s="115"/>
      <c r="L824" s="169">
        <v>43215</v>
      </c>
      <c r="M824" s="115">
        <v>355.2</v>
      </c>
      <c r="N824" s="115">
        <v>359.9</v>
      </c>
      <c r="O824" s="115">
        <v>351.25</v>
      </c>
      <c r="P824" s="115">
        <v>356.35</v>
      </c>
      <c r="Q824" s="115">
        <v>355.2</v>
      </c>
      <c r="R824">
        <v>18947</v>
      </c>
    </row>
    <row r="825" spans="1:18" x14ac:dyDescent="0.25">
      <c r="A825" s="169">
        <v>43216</v>
      </c>
      <c r="B825" s="115">
        <v>357.9</v>
      </c>
      <c r="C825" s="115">
        <v>355.25</v>
      </c>
      <c r="D825" s="115">
        <v>353</v>
      </c>
      <c r="E825" s="115">
        <v>357.9</v>
      </c>
      <c r="F825" s="115">
        <v>355.25</v>
      </c>
      <c r="G825">
        <v>1342</v>
      </c>
      <c r="H825" s="115"/>
      <c r="I825" s="115"/>
      <c r="L825" s="169">
        <v>43216</v>
      </c>
      <c r="M825" s="115">
        <v>355</v>
      </c>
      <c r="N825" s="115">
        <v>358.8</v>
      </c>
      <c r="O825" s="115">
        <v>351.35</v>
      </c>
      <c r="P825" s="115">
        <v>356.5</v>
      </c>
      <c r="Q825" s="115">
        <v>355</v>
      </c>
      <c r="R825">
        <v>4673</v>
      </c>
    </row>
    <row r="826" spans="1:18" x14ac:dyDescent="0.25">
      <c r="A826" s="169">
        <v>43217</v>
      </c>
      <c r="B826" s="115">
        <v>358.25</v>
      </c>
      <c r="C826" s="115">
        <v>355</v>
      </c>
      <c r="D826" s="115">
        <v>355</v>
      </c>
      <c r="E826" s="115">
        <v>355.3</v>
      </c>
      <c r="F826" s="115">
        <v>355</v>
      </c>
      <c r="G826">
        <v>3390</v>
      </c>
      <c r="H826" s="115"/>
      <c r="I826" s="115"/>
      <c r="L826" s="169">
        <v>43217</v>
      </c>
      <c r="M826" s="115">
        <v>355.05</v>
      </c>
      <c r="N826" s="115">
        <v>358.3</v>
      </c>
      <c r="O826" s="115">
        <v>353.05</v>
      </c>
      <c r="P826" s="115">
        <v>358.3</v>
      </c>
      <c r="Q826" s="115">
        <v>355.05</v>
      </c>
      <c r="R826">
        <v>5622</v>
      </c>
    </row>
    <row r="827" spans="1:18" x14ac:dyDescent="0.25">
      <c r="A827" s="169">
        <v>43220</v>
      </c>
      <c r="B827" s="115">
        <v>357</v>
      </c>
      <c r="C827" s="115">
        <v>357</v>
      </c>
      <c r="D827" s="115">
        <v>355</v>
      </c>
      <c r="E827" s="115">
        <v>356.8</v>
      </c>
      <c r="F827" s="115">
        <v>357</v>
      </c>
      <c r="G827">
        <v>202</v>
      </c>
      <c r="H827" s="115"/>
      <c r="I827" s="115"/>
      <c r="L827" s="169">
        <v>43220</v>
      </c>
      <c r="M827" s="115">
        <v>357</v>
      </c>
      <c r="N827" s="115">
        <v>358.1</v>
      </c>
      <c r="O827" s="115">
        <v>353.6</v>
      </c>
      <c r="P827" s="115">
        <v>355.8</v>
      </c>
      <c r="Q827" s="115">
        <v>357</v>
      </c>
      <c r="R827">
        <v>8687</v>
      </c>
    </row>
    <row r="828" spans="1:18" x14ac:dyDescent="0.25">
      <c r="A828" s="169">
        <v>43222</v>
      </c>
      <c r="B828" s="115">
        <v>363.85</v>
      </c>
      <c r="C828" s="115">
        <v>361.3</v>
      </c>
      <c r="D828" s="115">
        <v>360.75</v>
      </c>
      <c r="E828" s="115">
        <v>363</v>
      </c>
      <c r="F828" s="115">
        <v>361.3</v>
      </c>
      <c r="G828">
        <v>1705</v>
      </c>
      <c r="H828" s="115"/>
      <c r="I828" s="115"/>
      <c r="L828" s="169">
        <v>43222</v>
      </c>
      <c r="M828" s="115">
        <v>361.55</v>
      </c>
      <c r="N828" s="115">
        <v>365.4</v>
      </c>
      <c r="O828" s="115">
        <v>356.7</v>
      </c>
      <c r="P828" s="115">
        <v>357</v>
      </c>
      <c r="Q828" s="115">
        <v>361.55</v>
      </c>
      <c r="R828">
        <v>19761</v>
      </c>
    </row>
    <row r="829" spans="1:18" x14ac:dyDescent="0.25">
      <c r="A829" s="169">
        <v>43223</v>
      </c>
      <c r="B829" s="115">
        <v>363.8</v>
      </c>
      <c r="C829" s="115">
        <v>355.25</v>
      </c>
      <c r="D829" s="115">
        <v>350</v>
      </c>
      <c r="E829" s="115">
        <v>363.8</v>
      </c>
      <c r="F829" s="115">
        <v>355.25</v>
      </c>
      <c r="G829">
        <v>2648</v>
      </c>
      <c r="H829" s="115"/>
      <c r="I829" s="115"/>
      <c r="L829" s="169">
        <v>43223</v>
      </c>
      <c r="M829" s="115">
        <v>359.15</v>
      </c>
      <c r="N829" s="115">
        <v>363.9</v>
      </c>
      <c r="O829" s="115">
        <v>352.15</v>
      </c>
      <c r="P829" s="115">
        <v>362.85</v>
      </c>
      <c r="Q829" s="115">
        <v>359.15</v>
      </c>
      <c r="R829">
        <v>9438</v>
      </c>
    </row>
    <row r="830" spans="1:18" x14ac:dyDescent="0.25">
      <c r="A830" s="169">
        <v>43224</v>
      </c>
      <c r="B830" s="115">
        <v>357.8</v>
      </c>
      <c r="C830" s="115">
        <v>355</v>
      </c>
      <c r="D830" s="115">
        <v>352</v>
      </c>
      <c r="E830" s="115">
        <v>357.1</v>
      </c>
      <c r="F830" s="115">
        <v>355</v>
      </c>
      <c r="G830">
        <v>1127</v>
      </c>
      <c r="H830" s="115"/>
      <c r="I830" s="115"/>
      <c r="L830" s="169">
        <v>43224</v>
      </c>
      <c r="M830" s="115">
        <v>358.9</v>
      </c>
      <c r="N830" s="115">
        <v>365</v>
      </c>
      <c r="O830" s="115">
        <v>351.45</v>
      </c>
      <c r="P830" s="115">
        <v>359.2</v>
      </c>
      <c r="Q830" s="115">
        <v>358.9</v>
      </c>
      <c r="R830">
        <v>6680</v>
      </c>
    </row>
    <row r="831" spans="1:18" x14ac:dyDescent="0.25">
      <c r="A831" s="169">
        <v>43227</v>
      </c>
      <c r="B831" s="115">
        <v>363.25</v>
      </c>
      <c r="C831" s="115">
        <v>358.75</v>
      </c>
      <c r="D831" s="115">
        <v>355.4</v>
      </c>
      <c r="E831" s="115">
        <v>360.85</v>
      </c>
      <c r="F831" s="115">
        <v>358.75</v>
      </c>
      <c r="G831">
        <v>699</v>
      </c>
      <c r="H831" s="115"/>
      <c r="I831" s="115"/>
      <c r="L831" s="169">
        <v>43227</v>
      </c>
      <c r="M831" s="115">
        <v>360.15</v>
      </c>
      <c r="N831" s="115">
        <v>365.9</v>
      </c>
      <c r="O831" s="115">
        <v>356.75</v>
      </c>
      <c r="P831" s="115">
        <v>359.85</v>
      </c>
      <c r="Q831" s="115">
        <v>360.15</v>
      </c>
      <c r="R831">
        <v>11100</v>
      </c>
    </row>
    <row r="832" spans="1:18" x14ac:dyDescent="0.25">
      <c r="A832" s="169">
        <v>43228</v>
      </c>
      <c r="B832" s="115">
        <v>360</v>
      </c>
      <c r="C832" s="115">
        <v>353.05</v>
      </c>
      <c r="D832" s="115">
        <v>348.4</v>
      </c>
      <c r="E832" s="115">
        <v>358.55</v>
      </c>
      <c r="F832" s="115">
        <v>353.05</v>
      </c>
      <c r="G832">
        <v>10022</v>
      </c>
      <c r="H832" s="115"/>
      <c r="I832" s="115"/>
      <c r="L832" s="169">
        <v>43228</v>
      </c>
      <c r="M832" s="115">
        <v>355.3</v>
      </c>
      <c r="N832" s="115">
        <v>364.75</v>
      </c>
      <c r="O832" s="115">
        <v>348.1</v>
      </c>
      <c r="P832" s="115">
        <v>360.2</v>
      </c>
      <c r="Q832" s="115">
        <v>355.3</v>
      </c>
      <c r="R832">
        <v>26594</v>
      </c>
    </row>
    <row r="833" spans="1:18" x14ac:dyDescent="0.25">
      <c r="A833" s="169">
        <v>43229</v>
      </c>
      <c r="B833" s="115">
        <v>347.15</v>
      </c>
      <c r="C833" s="115">
        <v>338.05</v>
      </c>
      <c r="D833" s="115">
        <v>334.3</v>
      </c>
      <c r="E833" s="115">
        <v>347.15</v>
      </c>
      <c r="F833" s="115">
        <v>338.05</v>
      </c>
      <c r="G833">
        <v>7052</v>
      </c>
      <c r="H833" s="115"/>
      <c r="I833" s="115"/>
      <c r="L833" s="169">
        <v>43229</v>
      </c>
      <c r="M833" s="115">
        <v>339.85</v>
      </c>
      <c r="N833" s="115">
        <v>354</v>
      </c>
      <c r="O833" s="115">
        <v>335</v>
      </c>
      <c r="P833" s="115">
        <v>354</v>
      </c>
      <c r="Q833" s="115">
        <v>339.85</v>
      </c>
      <c r="R833">
        <v>29273</v>
      </c>
    </row>
    <row r="834" spans="1:18" x14ac:dyDescent="0.25">
      <c r="A834" s="169">
        <v>43230</v>
      </c>
      <c r="B834" s="115">
        <v>338.95</v>
      </c>
      <c r="C834" s="115">
        <v>332.05</v>
      </c>
      <c r="D834" s="115">
        <v>331.25</v>
      </c>
      <c r="E834" s="115">
        <v>338</v>
      </c>
      <c r="F834" s="115">
        <v>332.05</v>
      </c>
      <c r="G834">
        <v>5122</v>
      </c>
      <c r="H834" s="115"/>
      <c r="I834" s="115"/>
      <c r="L834" s="169">
        <v>43230</v>
      </c>
      <c r="M834" s="115">
        <v>334.05</v>
      </c>
      <c r="N834" s="115">
        <v>340.7</v>
      </c>
      <c r="O834" s="115">
        <v>331.25</v>
      </c>
      <c r="P834" s="115">
        <v>340.4</v>
      </c>
      <c r="Q834" s="115">
        <v>334.05</v>
      </c>
      <c r="R834">
        <v>17471</v>
      </c>
    </row>
    <row r="835" spans="1:18" x14ac:dyDescent="0.25">
      <c r="A835" s="169">
        <v>43231</v>
      </c>
      <c r="B835" s="115">
        <v>334.8</v>
      </c>
      <c r="C835" s="115">
        <v>332.6</v>
      </c>
      <c r="D835" s="115">
        <v>325.10000000000002</v>
      </c>
      <c r="E835" s="115">
        <v>330.25</v>
      </c>
      <c r="F835" s="115">
        <v>332.6</v>
      </c>
      <c r="G835">
        <v>1405</v>
      </c>
      <c r="H835" s="115"/>
      <c r="I835" s="115"/>
      <c r="L835" s="169">
        <v>43231</v>
      </c>
      <c r="M835" s="115">
        <v>328.35</v>
      </c>
      <c r="N835" s="115">
        <v>336.75</v>
      </c>
      <c r="O835" s="115">
        <v>324</v>
      </c>
      <c r="P835" s="115">
        <v>333.55</v>
      </c>
      <c r="Q835" s="115">
        <v>328.35</v>
      </c>
      <c r="R835">
        <v>14963</v>
      </c>
    </row>
    <row r="836" spans="1:18" x14ac:dyDescent="0.25">
      <c r="A836" s="169">
        <v>43234</v>
      </c>
      <c r="B836" s="115">
        <v>328</v>
      </c>
      <c r="C836" s="115">
        <v>325.3</v>
      </c>
      <c r="D836" s="115">
        <v>323</v>
      </c>
      <c r="E836" s="115">
        <v>326.25</v>
      </c>
      <c r="F836" s="115">
        <v>325.3</v>
      </c>
      <c r="G836">
        <v>7758</v>
      </c>
      <c r="H836" s="115"/>
      <c r="I836" s="115"/>
      <c r="L836" s="169">
        <v>43234</v>
      </c>
      <c r="M836" s="115">
        <v>325.05</v>
      </c>
      <c r="N836" s="115">
        <v>332.5</v>
      </c>
      <c r="O836" s="115">
        <v>323.10000000000002</v>
      </c>
      <c r="P836" s="115">
        <v>332.5</v>
      </c>
      <c r="Q836" s="115">
        <v>325.05</v>
      </c>
      <c r="R836">
        <v>9850</v>
      </c>
    </row>
    <row r="837" spans="1:18" x14ac:dyDescent="0.25">
      <c r="A837" s="169">
        <v>43235</v>
      </c>
      <c r="B837" s="115">
        <v>328.25</v>
      </c>
      <c r="C837" s="115">
        <v>324.45</v>
      </c>
      <c r="D837" s="115">
        <v>323</v>
      </c>
      <c r="E837" s="115">
        <v>328.25</v>
      </c>
      <c r="F837" s="115">
        <v>324.45</v>
      </c>
      <c r="G837">
        <v>12338</v>
      </c>
      <c r="H837" s="115"/>
      <c r="I837" s="115"/>
      <c r="L837" s="169">
        <v>43235</v>
      </c>
      <c r="M837" s="115">
        <v>323.95</v>
      </c>
      <c r="N837" s="115">
        <v>330</v>
      </c>
      <c r="O837" s="115">
        <v>322.05</v>
      </c>
      <c r="P837" s="115">
        <v>324</v>
      </c>
      <c r="Q837" s="115">
        <v>323.95</v>
      </c>
      <c r="R837">
        <v>21137</v>
      </c>
    </row>
    <row r="838" spans="1:18" x14ac:dyDescent="0.25">
      <c r="A838" s="169">
        <v>43236</v>
      </c>
      <c r="B838" s="115">
        <v>328.8</v>
      </c>
      <c r="C838" s="115">
        <v>324.64999999999998</v>
      </c>
      <c r="D838" s="115">
        <v>316.60000000000002</v>
      </c>
      <c r="E838" s="115">
        <v>321</v>
      </c>
      <c r="F838" s="115">
        <v>324.64999999999998</v>
      </c>
      <c r="G838">
        <v>5008</v>
      </c>
      <c r="H838" s="115"/>
      <c r="I838" s="115"/>
      <c r="L838" s="169">
        <v>43236</v>
      </c>
      <c r="M838" s="115">
        <v>324.85000000000002</v>
      </c>
      <c r="N838" s="115">
        <v>330.9</v>
      </c>
      <c r="O838" s="115">
        <v>319.95</v>
      </c>
      <c r="P838" s="115">
        <v>323.35000000000002</v>
      </c>
      <c r="Q838" s="115">
        <v>324.85000000000002</v>
      </c>
      <c r="R838">
        <v>13578</v>
      </c>
    </row>
    <row r="839" spans="1:18" x14ac:dyDescent="0.25">
      <c r="A839" s="169">
        <v>43237</v>
      </c>
      <c r="B839" s="115">
        <v>326</v>
      </c>
      <c r="C839" s="115">
        <v>325.7</v>
      </c>
      <c r="D839" s="115">
        <v>325</v>
      </c>
      <c r="E839" s="115">
        <v>325.05</v>
      </c>
      <c r="F839" s="115">
        <v>325.7</v>
      </c>
      <c r="G839">
        <v>3542</v>
      </c>
      <c r="H839" s="115"/>
      <c r="I839" s="115"/>
      <c r="L839" s="169">
        <v>43237</v>
      </c>
      <c r="M839" s="115">
        <v>327.95</v>
      </c>
      <c r="N839" s="115">
        <v>329.15</v>
      </c>
      <c r="O839" s="115">
        <v>323.3</v>
      </c>
      <c r="P839" s="115">
        <v>325.45</v>
      </c>
      <c r="Q839" s="115">
        <v>327.95</v>
      </c>
      <c r="R839">
        <v>11646</v>
      </c>
    </row>
    <row r="840" spans="1:18" x14ac:dyDescent="0.25">
      <c r="A840" s="169">
        <v>43238</v>
      </c>
      <c r="B840" s="115">
        <v>326.10000000000002</v>
      </c>
      <c r="C840" s="115">
        <v>321.95</v>
      </c>
      <c r="D840" s="115">
        <v>321.5</v>
      </c>
      <c r="E840" s="115">
        <v>324</v>
      </c>
      <c r="F840" s="115">
        <v>321.95</v>
      </c>
      <c r="G840">
        <v>2155</v>
      </c>
      <c r="H840" s="115"/>
      <c r="I840" s="115"/>
      <c r="L840" s="169">
        <v>43238</v>
      </c>
      <c r="M840" s="115">
        <v>323.5</v>
      </c>
      <c r="N840" s="115">
        <v>327.45</v>
      </c>
      <c r="O840" s="115">
        <v>322</v>
      </c>
      <c r="P840" s="115">
        <v>327.45</v>
      </c>
      <c r="Q840" s="115">
        <v>323.5</v>
      </c>
      <c r="R840">
        <v>15405</v>
      </c>
    </row>
    <row r="841" spans="1:18" x14ac:dyDescent="0.25">
      <c r="A841" s="169">
        <v>43241</v>
      </c>
      <c r="B841" s="115">
        <v>324.8</v>
      </c>
      <c r="C841" s="115">
        <v>319.95</v>
      </c>
      <c r="D841" s="115">
        <v>316.60000000000002</v>
      </c>
      <c r="E841" s="115">
        <v>319.85000000000002</v>
      </c>
      <c r="F841" s="115">
        <v>319.95</v>
      </c>
      <c r="G841">
        <v>996</v>
      </c>
      <c r="H841" s="115"/>
      <c r="I841" s="115"/>
      <c r="L841" s="169">
        <v>43241</v>
      </c>
      <c r="M841" s="115">
        <v>323.60000000000002</v>
      </c>
      <c r="N841" s="115">
        <v>334.9</v>
      </c>
      <c r="O841" s="115">
        <v>319.95</v>
      </c>
      <c r="P841" s="115">
        <v>334.9</v>
      </c>
      <c r="Q841" s="115">
        <v>323.60000000000002</v>
      </c>
      <c r="R841">
        <v>19913</v>
      </c>
    </row>
    <row r="842" spans="1:18" x14ac:dyDescent="0.25">
      <c r="A842" s="169">
        <v>43242</v>
      </c>
      <c r="B842" s="115">
        <v>323.5</v>
      </c>
      <c r="C842" s="115">
        <v>320.75</v>
      </c>
      <c r="D842" s="115">
        <v>320</v>
      </c>
      <c r="E842" s="115">
        <v>321</v>
      </c>
      <c r="F842" s="115">
        <v>320.75</v>
      </c>
      <c r="G842">
        <v>5396</v>
      </c>
      <c r="H842" s="115"/>
      <c r="I842" s="115"/>
      <c r="L842" s="169">
        <v>43242</v>
      </c>
      <c r="M842" s="115">
        <v>320.05</v>
      </c>
      <c r="N842" s="115">
        <v>325.14999999999998</v>
      </c>
      <c r="O842" s="115">
        <v>318.85000000000002</v>
      </c>
      <c r="P842" s="115">
        <v>325.14999999999998</v>
      </c>
      <c r="Q842" s="115">
        <v>320.05</v>
      </c>
      <c r="R842">
        <v>15307</v>
      </c>
    </row>
    <row r="843" spans="1:18" x14ac:dyDescent="0.25">
      <c r="A843" s="169">
        <v>43243</v>
      </c>
      <c r="B843" s="115">
        <v>315.5</v>
      </c>
      <c r="C843" s="115">
        <v>314.85000000000002</v>
      </c>
      <c r="D843" s="115">
        <v>312.95</v>
      </c>
      <c r="E843" s="115">
        <v>315.5</v>
      </c>
      <c r="F843" s="115">
        <v>314.85000000000002</v>
      </c>
      <c r="G843">
        <v>9291</v>
      </c>
      <c r="H843" s="115"/>
      <c r="I843" s="115"/>
      <c r="L843" s="169">
        <v>43243</v>
      </c>
      <c r="M843" s="115">
        <v>314.85000000000002</v>
      </c>
      <c r="N843" s="115">
        <v>319.89999999999998</v>
      </c>
      <c r="O843" s="115">
        <v>313</v>
      </c>
      <c r="P843" s="115">
        <v>319.89999999999998</v>
      </c>
      <c r="Q843" s="115">
        <v>314.85000000000002</v>
      </c>
      <c r="R843">
        <v>24213</v>
      </c>
    </row>
    <row r="844" spans="1:18" x14ac:dyDescent="0.25">
      <c r="A844" s="169">
        <v>43244</v>
      </c>
      <c r="B844" s="115">
        <v>318</v>
      </c>
      <c r="C844" s="115">
        <v>317.89999999999998</v>
      </c>
      <c r="D844" s="115">
        <v>313</v>
      </c>
      <c r="E844" s="115">
        <v>313</v>
      </c>
      <c r="F844" s="115">
        <v>317.89999999999998</v>
      </c>
      <c r="G844">
        <v>346</v>
      </c>
      <c r="H844" s="115"/>
      <c r="I844" s="115"/>
      <c r="L844" s="169">
        <v>43244</v>
      </c>
      <c r="M844" s="115">
        <v>313.60000000000002</v>
      </c>
      <c r="N844" s="115">
        <v>315.89999999999998</v>
      </c>
      <c r="O844" s="115">
        <v>309.25</v>
      </c>
      <c r="P844" s="115">
        <v>313.05</v>
      </c>
      <c r="Q844" s="115">
        <v>313.60000000000002</v>
      </c>
      <c r="R844">
        <v>16981</v>
      </c>
    </row>
    <row r="845" spans="1:18" x14ac:dyDescent="0.25">
      <c r="A845" s="169">
        <v>43245</v>
      </c>
      <c r="B845" s="115">
        <v>317.64999999999998</v>
      </c>
      <c r="C845" s="115">
        <v>312.14999999999998</v>
      </c>
      <c r="D845" s="115">
        <v>310.2</v>
      </c>
      <c r="E845" s="115">
        <v>315.8</v>
      </c>
      <c r="F845" s="115">
        <v>312.14999999999998</v>
      </c>
      <c r="G845">
        <v>1085</v>
      </c>
      <c r="H845" s="115"/>
      <c r="I845" s="115"/>
      <c r="L845" s="169">
        <v>43245</v>
      </c>
      <c r="M845" s="115">
        <v>313.7</v>
      </c>
      <c r="N845" s="115">
        <v>321.85000000000002</v>
      </c>
      <c r="O845" s="115">
        <v>311.3</v>
      </c>
      <c r="P845" s="115">
        <v>321.85000000000002</v>
      </c>
      <c r="Q845" s="115">
        <v>313.7</v>
      </c>
      <c r="R845">
        <v>2691</v>
      </c>
    </row>
    <row r="846" spans="1:18" x14ac:dyDescent="0.25">
      <c r="A846" s="169">
        <v>43248</v>
      </c>
      <c r="B846" s="115">
        <v>323.55</v>
      </c>
      <c r="C846" s="115">
        <v>318.5</v>
      </c>
      <c r="D846" s="115">
        <v>312.35000000000002</v>
      </c>
      <c r="E846" s="115">
        <v>318.45</v>
      </c>
      <c r="F846" s="115">
        <v>318.5</v>
      </c>
      <c r="G846">
        <v>1103</v>
      </c>
      <c r="H846" s="115"/>
      <c r="I846" s="115"/>
      <c r="L846" s="169">
        <v>43248</v>
      </c>
      <c r="M846" s="115">
        <v>318.85000000000002</v>
      </c>
      <c r="N846" s="115">
        <v>325</v>
      </c>
      <c r="O846" s="115">
        <v>314</v>
      </c>
      <c r="P846" s="115">
        <v>315.5</v>
      </c>
      <c r="Q846" s="115">
        <v>318.85000000000002</v>
      </c>
      <c r="R846">
        <v>11977</v>
      </c>
    </row>
    <row r="847" spans="1:18" x14ac:dyDescent="0.25">
      <c r="A847" s="169">
        <v>43249</v>
      </c>
      <c r="B847" s="115">
        <v>319.25</v>
      </c>
      <c r="C847" s="115">
        <v>313.8</v>
      </c>
      <c r="D847" s="115">
        <v>312.25</v>
      </c>
      <c r="E847" s="115">
        <v>319.25</v>
      </c>
      <c r="F847" s="115">
        <v>313.8</v>
      </c>
      <c r="G847">
        <v>2206</v>
      </c>
      <c r="H847" s="115"/>
      <c r="I847" s="115"/>
      <c r="L847" s="169">
        <v>43249</v>
      </c>
      <c r="M847" s="115">
        <v>315.14999999999998</v>
      </c>
      <c r="N847" s="115">
        <v>321.75</v>
      </c>
      <c r="O847" s="115">
        <v>314</v>
      </c>
      <c r="P847" s="115">
        <v>318.95</v>
      </c>
      <c r="Q847" s="115">
        <v>315.14999999999998</v>
      </c>
      <c r="R847">
        <v>9372</v>
      </c>
    </row>
    <row r="848" spans="1:18" x14ac:dyDescent="0.25">
      <c r="A848" s="169">
        <v>43250</v>
      </c>
      <c r="B848" s="115">
        <v>316.5</v>
      </c>
      <c r="C848" s="115">
        <v>310.5</v>
      </c>
      <c r="D848" s="115">
        <v>310.5</v>
      </c>
      <c r="E848" s="115">
        <v>316.5</v>
      </c>
      <c r="F848" s="115">
        <v>310.5</v>
      </c>
      <c r="G848">
        <v>342</v>
      </c>
      <c r="H848" s="115"/>
      <c r="I848" s="115"/>
      <c r="L848" s="169">
        <v>43250</v>
      </c>
      <c r="M848" s="115">
        <v>313.8</v>
      </c>
      <c r="N848" s="115">
        <v>315.75</v>
      </c>
      <c r="O848" s="115">
        <v>312</v>
      </c>
      <c r="P848" s="115">
        <v>315.35000000000002</v>
      </c>
      <c r="Q848" s="115">
        <v>313.8</v>
      </c>
      <c r="R848">
        <v>15861</v>
      </c>
    </row>
    <row r="849" spans="1:18" x14ac:dyDescent="0.25">
      <c r="A849" s="169">
        <v>43251</v>
      </c>
      <c r="B849" s="115">
        <v>318.7</v>
      </c>
      <c r="C849" s="115">
        <v>308.25</v>
      </c>
      <c r="D849" s="115">
        <v>308</v>
      </c>
      <c r="E849" s="115">
        <v>313</v>
      </c>
      <c r="F849" s="115">
        <v>308.25</v>
      </c>
      <c r="G849">
        <v>1585</v>
      </c>
      <c r="H849" s="115"/>
      <c r="I849" s="115"/>
      <c r="L849" s="169">
        <v>43251</v>
      </c>
      <c r="M849" s="115">
        <v>306.64999999999998</v>
      </c>
      <c r="N849" s="115">
        <v>315.05</v>
      </c>
      <c r="O849" s="115">
        <v>305</v>
      </c>
      <c r="P849" s="115">
        <v>315</v>
      </c>
      <c r="Q849" s="115">
        <v>306.64999999999998</v>
      </c>
      <c r="R849">
        <v>4417</v>
      </c>
    </row>
    <row r="850" spans="1:18" x14ac:dyDescent="0.25">
      <c r="A850" s="169">
        <v>43252</v>
      </c>
      <c r="B850" s="115">
        <v>312.05</v>
      </c>
      <c r="C850" s="115">
        <v>305.10000000000002</v>
      </c>
      <c r="D850" s="115">
        <v>301</v>
      </c>
      <c r="E850" s="115">
        <v>305.64999999999998</v>
      </c>
      <c r="F850" s="115">
        <v>305.10000000000002</v>
      </c>
      <c r="G850">
        <v>888</v>
      </c>
      <c r="H850" s="115"/>
      <c r="I850" s="115"/>
      <c r="L850" s="169">
        <v>43252</v>
      </c>
      <c r="M850" s="115">
        <v>307.75</v>
      </c>
      <c r="N850" s="115">
        <v>314</v>
      </c>
      <c r="O850" s="115">
        <v>303.39999999999998</v>
      </c>
      <c r="P850" s="115">
        <v>306.7</v>
      </c>
      <c r="Q850" s="115">
        <v>307.75</v>
      </c>
      <c r="R850">
        <v>4497</v>
      </c>
    </row>
    <row r="851" spans="1:18" x14ac:dyDescent="0.25">
      <c r="A851" s="169">
        <v>43255</v>
      </c>
      <c r="B851" s="115">
        <v>310</v>
      </c>
      <c r="C851" s="115">
        <v>302.60000000000002</v>
      </c>
      <c r="D851" s="115">
        <v>301.05</v>
      </c>
      <c r="E851" s="115">
        <v>309.39999999999998</v>
      </c>
      <c r="F851" s="115">
        <v>302.60000000000002</v>
      </c>
      <c r="G851">
        <v>308</v>
      </c>
      <c r="H851" s="115"/>
      <c r="I851" s="115"/>
      <c r="L851" s="169">
        <v>43255</v>
      </c>
      <c r="M851" s="115">
        <v>304.14999999999998</v>
      </c>
      <c r="N851" s="115">
        <v>310</v>
      </c>
      <c r="O851" s="115">
        <v>303.2</v>
      </c>
      <c r="P851" s="115">
        <v>307.39999999999998</v>
      </c>
      <c r="Q851" s="115">
        <v>304.14999999999998</v>
      </c>
      <c r="R851">
        <v>2726</v>
      </c>
    </row>
    <row r="852" spans="1:18" x14ac:dyDescent="0.25">
      <c r="A852" s="169">
        <v>43256</v>
      </c>
      <c r="B852" s="115">
        <v>302.7</v>
      </c>
      <c r="C852" s="115">
        <v>294.25</v>
      </c>
      <c r="D852" s="115">
        <v>292.2</v>
      </c>
      <c r="E852" s="115">
        <v>300</v>
      </c>
      <c r="F852" s="115">
        <v>294.25</v>
      </c>
      <c r="G852">
        <v>1110</v>
      </c>
      <c r="H852" s="115"/>
      <c r="I852" s="115"/>
      <c r="L852" s="169">
        <v>43256</v>
      </c>
      <c r="M852" s="115">
        <v>294.64999999999998</v>
      </c>
      <c r="N852" s="115">
        <v>309.35000000000002</v>
      </c>
      <c r="O852" s="115">
        <v>294</v>
      </c>
      <c r="P852" s="115">
        <v>295.2</v>
      </c>
      <c r="Q852" s="115">
        <v>294.64999999999998</v>
      </c>
      <c r="R852">
        <v>10086</v>
      </c>
    </row>
    <row r="853" spans="1:18" x14ac:dyDescent="0.25">
      <c r="A853" s="169">
        <v>43257</v>
      </c>
      <c r="B853" s="115">
        <v>308</v>
      </c>
      <c r="C853" s="115">
        <v>302.35000000000002</v>
      </c>
      <c r="D853" s="115">
        <v>292.3</v>
      </c>
      <c r="E853" s="115">
        <v>294.3</v>
      </c>
      <c r="F853" s="115">
        <v>302.35000000000002</v>
      </c>
      <c r="G853">
        <v>114</v>
      </c>
      <c r="H853" s="115"/>
      <c r="I853" s="115"/>
      <c r="L853" s="169">
        <v>43257</v>
      </c>
      <c r="M853" s="115">
        <v>305.2</v>
      </c>
      <c r="N853" s="115">
        <v>307.89999999999998</v>
      </c>
      <c r="O853" s="115">
        <v>291</v>
      </c>
      <c r="P853" s="115">
        <v>293.10000000000002</v>
      </c>
      <c r="Q853" s="115">
        <v>305.2</v>
      </c>
      <c r="R853">
        <v>12156</v>
      </c>
    </row>
    <row r="854" spans="1:18" x14ac:dyDescent="0.25">
      <c r="A854" s="169">
        <v>43258</v>
      </c>
      <c r="B854" s="115">
        <v>311.3</v>
      </c>
      <c r="C854" s="115">
        <v>300</v>
      </c>
      <c r="D854" s="115">
        <v>298.05</v>
      </c>
      <c r="E854" s="115">
        <v>302.85000000000002</v>
      </c>
      <c r="F854" s="115">
        <v>300</v>
      </c>
      <c r="G854">
        <v>964</v>
      </c>
      <c r="H854" s="115"/>
      <c r="I854" s="115"/>
      <c r="L854" s="169">
        <v>43258</v>
      </c>
      <c r="M854" s="115">
        <v>298.35000000000002</v>
      </c>
      <c r="N854" s="115">
        <v>315</v>
      </c>
      <c r="O854" s="115">
        <v>295.25</v>
      </c>
      <c r="P854" s="115">
        <v>305.2</v>
      </c>
      <c r="Q854" s="115">
        <v>298.35000000000002</v>
      </c>
      <c r="R854">
        <v>8240</v>
      </c>
    </row>
    <row r="855" spans="1:18" x14ac:dyDescent="0.25">
      <c r="A855" s="169">
        <v>43259</v>
      </c>
      <c r="B855" s="115">
        <v>300.64999999999998</v>
      </c>
      <c r="C855" s="115">
        <v>290.95</v>
      </c>
      <c r="D855" s="115">
        <v>283.05</v>
      </c>
      <c r="E855" s="115">
        <v>296.25</v>
      </c>
      <c r="F855" s="115">
        <v>290.95</v>
      </c>
      <c r="G855">
        <v>1919</v>
      </c>
      <c r="H855" s="115"/>
      <c r="I855" s="115"/>
      <c r="L855" s="169">
        <v>43259</v>
      </c>
      <c r="M855" s="115">
        <v>290.35000000000002</v>
      </c>
      <c r="N855" s="115">
        <v>303</v>
      </c>
      <c r="O855" s="115">
        <v>283.14999999999998</v>
      </c>
      <c r="P855" s="115">
        <v>300.14999999999998</v>
      </c>
      <c r="Q855" s="115">
        <v>290.35000000000002</v>
      </c>
      <c r="R855">
        <v>34629</v>
      </c>
    </row>
    <row r="856" spans="1:18" x14ac:dyDescent="0.25">
      <c r="A856" s="169">
        <v>43262</v>
      </c>
      <c r="B856" s="115">
        <v>305</v>
      </c>
      <c r="C856" s="115">
        <v>292.85000000000002</v>
      </c>
      <c r="D856" s="115">
        <v>292.2</v>
      </c>
      <c r="E856" s="115">
        <v>293.39999999999998</v>
      </c>
      <c r="F856" s="115">
        <v>292.85000000000002</v>
      </c>
      <c r="G856">
        <v>8052</v>
      </c>
      <c r="H856" s="115"/>
      <c r="I856" s="115"/>
      <c r="L856" s="169">
        <v>43262</v>
      </c>
      <c r="M856" s="115">
        <v>293.7</v>
      </c>
      <c r="N856" s="115">
        <v>302.89999999999998</v>
      </c>
      <c r="O856" s="115">
        <v>289.25</v>
      </c>
      <c r="P856" s="115">
        <v>290.25</v>
      </c>
      <c r="Q856" s="115">
        <v>293.7</v>
      </c>
      <c r="R856">
        <v>6252</v>
      </c>
    </row>
    <row r="857" spans="1:18" x14ac:dyDescent="0.25">
      <c r="A857" s="169">
        <v>43263</v>
      </c>
      <c r="B857" s="115">
        <v>302.95</v>
      </c>
      <c r="C857" s="115">
        <v>299.2</v>
      </c>
      <c r="D857" s="115">
        <v>294.14999999999998</v>
      </c>
      <c r="E857" s="115">
        <v>295</v>
      </c>
      <c r="F857" s="115">
        <v>299.2</v>
      </c>
      <c r="G857">
        <v>601</v>
      </c>
      <c r="H857" s="115"/>
      <c r="I857" s="115"/>
      <c r="L857" s="169">
        <v>43263</v>
      </c>
      <c r="M857" s="115">
        <v>300.5</v>
      </c>
      <c r="N857" s="115">
        <v>303.89999999999998</v>
      </c>
      <c r="O857" s="115">
        <v>293.64999999999998</v>
      </c>
      <c r="P857" s="115">
        <v>294.60000000000002</v>
      </c>
      <c r="Q857" s="115">
        <v>300.5</v>
      </c>
      <c r="R857">
        <v>6047</v>
      </c>
    </row>
    <row r="858" spans="1:18" x14ac:dyDescent="0.25">
      <c r="A858" s="169">
        <v>43264</v>
      </c>
      <c r="B858" s="115">
        <v>300</v>
      </c>
      <c r="C858" s="115">
        <v>292.55</v>
      </c>
      <c r="D858" s="115">
        <v>291</v>
      </c>
      <c r="E858" s="115">
        <v>299.8</v>
      </c>
      <c r="F858" s="115">
        <v>292.55</v>
      </c>
      <c r="G858">
        <v>2145</v>
      </c>
      <c r="H858" s="115"/>
      <c r="I858" s="115"/>
      <c r="L858" s="169">
        <v>43264</v>
      </c>
      <c r="M858" s="115">
        <v>290.39999999999998</v>
      </c>
      <c r="N858" s="115">
        <v>304.89999999999998</v>
      </c>
      <c r="O858" s="115">
        <v>290</v>
      </c>
      <c r="P858" s="115">
        <v>299</v>
      </c>
      <c r="Q858" s="115">
        <v>290.39999999999998</v>
      </c>
      <c r="R858">
        <v>7883</v>
      </c>
    </row>
    <row r="859" spans="1:18" x14ac:dyDescent="0.25">
      <c r="A859" s="169">
        <v>43265</v>
      </c>
      <c r="B859" s="115">
        <v>298.5</v>
      </c>
      <c r="C859" s="115">
        <v>292.14999999999998</v>
      </c>
      <c r="D859" s="115">
        <v>290.60000000000002</v>
      </c>
      <c r="E859" s="115">
        <v>292.60000000000002</v>
      </c>
      <c r="F859" s="115">
        <v>292.14999999999998</v>
      </c>
      <c r="G859">
        <v>1048</v>
      </c>
      <c r="H859" s="115"/>
      <c r="I859" s="115"/>
      <c r="L859" s="169">
        <v>43265</v>
      </c>
      <c r="M859" s="115">
        <v>293.55</v>
      </c>
      <c r="N859" s="115">
        <v>295.75</v>
      </c>
      <c r="O859" s="115">
        <v>290.14999999999998</v>
      </c>
      <c r="P859" s="115">
        <v>290.3</v>
      </c>
      <c r="Q859" s="115">
        <v>293.55</v>
      </c>
      <c r="R859">
        <v>4347</v>
      </c>
    </row>
    <row r="860" spans="1:18" x14ac:dyDescent="0.25">
      <c r="A860" s="169">
        <v>43266</v>
      </c>
      <c r="B860" s="115">
        <v>303</v>
      </c>
      <c r="C860" s="115">
        <v>299.7</v>
      </c>
      <c r="D860" s="115">
        <v>290</v>
      </c>
      <c r="E860" s="115">
        <v>293.89999999999998</v>
      </c>
      <c r="F860" s="115">
        <v>299.7</v>
      </c>
      <c r="G860">
        <v>425</v>
      </c>
      <c r="H860" s="115"/>
      <c r="I860" s="115"/>
      <c r="L860" s="169">
        <v>43266</v>
      </c>
      <c r="M860" s="115">
        <v>291.35000000000002</v>
      </c>
      <c r="N860" s="115">
        <v>297.89999999999998</v>
      </c>
      <c r="O860" s="115">
        <v>288.2</v>
      </c>
      <c r="P860" s="115">
        <v>292.35000000000002</v>
      </c>
      <c r="Q860" s="115">
        <v>291.35000000000002</v>
      </c>
      <c r="R860">
        <v>4757</v>
      </c>
    </row>
    <row r="861" spans="1:18" x14ac:dyDescent="0.25">
      <c r="A861" s="169">
        <v>43269</v>
      </c>
      <c r="B861" s="115">
        <v>292</v>
      </c>
      <c r="C861" s="115">
        <v>287.2</v>
      </c>
      <c r="D861" s="115">
        <v>284.3</v>
      </c>
      <c r="E861" s="115">
        <v>292</v>
      </c>
      <c r="F861" s="115">
        <v>287.2</v>
      </c>
      <c r="G861">
        <v>1648</v>
      </c>
      <c r="H861" s="115"/>
      <c r="I861" s="115"/>
      <c r="L861" s="169">
        <v>43269</v>
      </c>
      <c r="M861" s="115">
        <v>285.75</v>
      </c>
      <c r="N861" s="115">
        <v>295.95</v>
      </c>
      <c r="O861" s="115">
        <v>284.2</v>
      </c>
      <c r="P861" s="115">
        <v>291.45</v>
      </c>
      <c r="Q861" s="115">
        <v>285.75</v>
      </c>
      <c r="R861">
        <v>6978</v>
      </c>
    </row>
    <row r="862" spans="1:18" x14ac:dyDescent="0.25">
      <c r="A862" s="169">
        <v>43270</v>
      </c>
      <c r="B862" s="115">
        <v>295.10000000000002</v>
      </c>
      <c r="C862" s="115">
        <v>281.55</v>
      </c>
      <c r="D862" s="115">
        <v>279.60000000000002</v>
      </c>
      <c r="E862" s="115">
        <v>291.95</v>
      </c>
      <c r="F862" s="115">
        <v>281.55</v>
      </c>
      <c r="G862">
        <v>575</v>
      </c>
      <c r="H862" s="115"/>
      <c r="I862" s="115"/>
      <c r="L862" s="169">
        <v>43270</v>
      </c>
      <c r="M862" s="115">
        <v>286.5</v>
      </c>
      <c r="N862" s="115">
        <v>293.45</v>
      </c>
      <c r="O862" s="115">
        <v>278.10000000000002</v>
      </c>
      <c r="P862" s="115">
        <v>285.7</v>
      </c>
      <c r="Q862" s="115">
        <v>286.5</v>
      </c>
      <c r="R862">
        <v>9366</v>
      </c>
    </row>
    <row r="863" spans="1:18" x14ac:dyDescent="0.25">
      <c r="A863" s="169">
        <v>43271</v>
      </c>
      <c r="B863" s="115">
        <v>292</v>
      </c>
      <c r="C863" s="115">
        <v>282.85000000000002</v>
      </c>
      <c r="D863" s="115">
        <v>278</v>
      </c>
      <c r="E863" s="115">
        <v>285.10000000000002</v>
      </c>
      <c r="F863" s="115">
        <v>282.85000000000002</v>
      </c>
      <c r="G863">
        <v>1536</v>
      </c>
      <c r="H863" s="115"/>
      <c r="I863" s="115"/>
      <c r="L863" s="169">
        <v>43271</v>
      </c>
      <c r="M863" s="115">
        <v>280.3</v>
      </c>
      <c r="N863" s="115">
        <v>292.89999999999998</v>
      </c>
      <c r="O863" s="115">
        <v>274</v>
      </c>
      <c r="P863" s="115">
        <v>286.5</v>
      </c>
      <c r="Q863" s="115">
        <v>280.3</v>
      </c>
      <c r="R863">
        <v>8230</v>
      </c>
    </row>
    <row r="864" spans="1:18" x14ac:dyDescent="0.25">
      <c r="A864" s="169">
        <v>43272</v>
      </c>
      <c r="B864" s="115">
        <v>285</v>
      </c>
      <c r="C864" s="115">
        <v>281.8</v>
      </c>
      <c r="D864" s="115">
        <v>280.10000000000002</v>
      </c>
      <c r="E864" s="115">
        <v>285</v>
      </c>
      <c r="F864" s="115">
        <v>281.8</v>
      </c>
      <c r="G864">
        <v>1099</v>
      </c>
      <c r="H864" s="115"/>
      <c r="I864" s="115"/>
      <c r="L864" s="169">
        <v>43272</v>
      </c>
      <c r="M864" s="115">
        <v>282.35000000000002</v>
      </c>
      <c r="N864" s="115">
        <v>285.8</v>
      </c>
      <c r="O864" s="115">
        <v>275.2</v>
      </c>
      <c r="P864" s="115">
        <v>279.95</v>
      </c>
      <c r="Q864" s="115">
        <v>282.35000000000002</v>
      </c>
      <c r="R864">
        <v>4062</v>
      </c>
    </row>
    <row r="865" spans="1:18" x14ac:dyDescent="0.25">
      <c r="A865" s="169">
        <v>43273</v>
      </c>
      <c r="B865" s="115">
        <v>283</v>
      </c>
      <c r="C865" s="115">
        <v>281.2</v>
      </c>
      <c r="D865" s="115">
        <v>281.2</v>
      </c>
      <c r="E865" s="115">
        <v>283</v>
      </c>
      <c r="F865" s="115">
        <v>281.2</v>
      </c>
      <c r="G865">
        <v>100</v>
      </c>
      <c r="H865" s="115"/>
      <c r="I865" s="115"/>
      <c r="L865" s="169">
        <v>43273</v>
      </c>
      <c r="M865" s="115">
        <v>283</v>
      </c>
      <c r="N865" s="115">
        <v>286</v>
      </c>
      <c r="O865" s="115">
        <v>282</v>
      </c>
      <c r="P865" s="115">
        <v>282.10000000000002</v>
      </c>
      <c r="Q865" s="115">
        <v>283</v>
      </c>
      <c r="R865">
        <v>1677</v>
      </c>
    </row>
    <row r="866" spans="1:18" x14ac:dyDescent="0.25">
      <c r="A866" s="169">
        <v>43276</v>
      </c>
      <c r="B866" s="115">
        <v>281.5</v>
      </c>
      <c r="C866" s="115">
        <v>275.75</v>
      </c>
      <c r="D866" s="115">
        <v>273.75</v>
      </c>
      <c r="E866" s="115">
        <v>280.25</v>
      </c>
      <c r="F866" s="115">
        <v>275.75</v>
      </c>
      <c r="G866">
        <v>1469</v>
      </c>
      <c r="H866" s="115"/>
      <c r="I866" s="115"/>
      <c r="L866" s="169">
        <v>43276</v>
      </c>
      <c r="M866" s="115">
        <v>272.45</v>
      </c>
      <c r="N866" s="115">
        <v>283.45</v>
      </c>
      <c r="O866" s="115">
        <v>271.8</v>
      </c>
      <c r="P866" s="115">
        <v>283</v>
      </c>
      <c r="Q866" s="115">
        <v>272.45</v>
      </c>
      <c r="R866">
        <v>10837</v>
      </c>
    </row>
    <row r="867" spans="1:18" x14ac:dyDescent="0.25">
      <c r="A867" s="169">
        <v>43277</v>
      </c>
      <c r="B867" s="115">
        <v>299.45</v>
      </c>
      <c r="C867" s="115">
        <v>276.2</v>
      </c>
      <c r="D867" s="115">
        <v>268</v>
      </c>
      <c r="E867" s="115">
        <v>270</v>
      </c>
      <c r="F867" s="115">
        <v>276.2</v>
      </c>
      <c r="G867">
        <v>5301</v>
      </c>
      <c r="H867" s="115"/>
      <c r="I867" s="115"/>
      <c r="L867" s="169">
        <v>43277</v>
      </c>
      <c r="M867" s="115">
        <v>276.2</v>
      </c>
      <c r="N867" s="115">
        <v>301</v>
      </c>
      <c r="O867" s="115">
        <v>266.10000000000002</v>
      </c>
      <c r="P867" s="115">
        <v>272.95</v>
      </c>
      <c r="Q867" s="115">
        <v>276.2</v>
      </c>
      <c r="R867">
        <v>37137</v>
      </c>
    </row>
    <row r="868" spans="1:18" x14ac:dyDescent="0.25">
      <c r="A868" s="169">
        <v>43278</v>
      </c>
      <c r="B868" s="115">
        <v>274.89999999999998</v>
      </c>
      <c r="C868" s="115">
        <v>270.14999999999998</v>
      </c>
      <c r="D868" s="115">
        <v>265</v>
      </c>
      <c r="E868" s="115">
        <v>267</v>
      </c>
      <c r="F868" s="115">
        <v>270.14999999999998</v>
      </c>
      <c r="G868">
        <v>354</v>
      </c>
      <c r="H868" s="115"/>
      <c r="I868" s="115"/>
      <c r="L868" s="169">
        <v>43278</v>
      </c>
      <c r="M868" s="115">
        <v>273.8</v>
      </c>
      <c r="N868" s="115">
        <v>281.95</v>
      </c>
      <c r="O868" s="115">
        <v>270.64999999999998</v>
      </c>
      <c r="P868" s="115">
        <v>276.05</v>
      </c>
      <c r="Q868" s="115">
        <v>273.8</v>
      </c>
      <c r="R868">
        <v>5872</v>
      </c>
    </row>
    <row r="869" spans="1:18" x14ac:dyDescent="0.25">
      <c r="A869" s="169">
        <v>43279</v>
      </c>
      <c r="B869" s="115">
        <v>285.35000000000002</v>
      </c>
      <c r="C869" s="115">
        <v>279.95</v>
      </c>
      <c r="D869" s="115">
        <v>272</v>
      </c>
      <c r="E869" s="115">
        <v>272.5</v>
      </c>
      <c r="F869" s="115">
        <v>279.95</v>
      </c>
      <c r="G869">
        <v>2133</v>
      </c>
      <c r="H869" s="115"/>
      <c r="I869" s="115"/>
      <c r="L869" s="169">
        <v>43279</v>
      </c>
      <c r="M869" s="115">
        <v>278.10000000000002</v>
      </c>
      <c r="N869" s="115">
        <v>280</v>
      </c>
      <c r="O869" s="115">
        <v>271.64999999999998</v>
      </c>
      <c r="P869" s="115">
        <v>273.05</v>
      </c>
      <c r="Q869" s="115">
        <v>278.10000000000002</v>
      </c>
      <c r="R869">
        <v>3576</v>
      </c>
    </row>
    <row r="870" spans="1:18" x14ac:dyDescent="0.25">
      <c r="A870" s="169">
        <v>43280</v>
      </c>
      <c r="B870" s="115">
        <v>287.45</v>
      </c>
      <c r="C870" s="115">
        <v>275.05</v>
      </c>
      <c r="D870" s="115">
        <v>275</v>
      </c>
      <c r="E870" s="115">
        <v>281.2</v>
      </c>
      <c r="F870" s="115">
        <v>275.05</v>
      </c>
      <c r="G870">
        <v>795</v>
      </c>
      <c r="H870" s="115"/>
      <c r="I870" s="115"/>
      <c r="L870" s="169">
        <v>43280</v>
      </c>
      <c r="M870" s="115">
        <v>277.45</v>
      </c>
      <c r="N870" s="115">
        <v>286.39999999999998</v>
      </c>
      <c r="O870" s="115">
        <v>273.64999999999998</v>
      </c>
      <c r="P870" s="115">
        <v>278.8</v>
      </c>
      <c r="Q870" s="115">
        <v>277.45</v>
      </c>
      <c r="R870">
        <v>5986</v>
      </c>
    </row>
    <row r="871" spans="1:18" x14ac:dyDescent="0.25">
      <c r="A871" s="169">
        <v>43283</v>
      </c>
      <c r="B871" s="115">
        <v>275</v>
      </c>
      <c r="C871" s="115">
        <v>267.55</v>
      </c>
      <c r="D871" s="115">
        <v>267</v>
      </c>
      <c r="E871" s="115">
        <v>275</v>
      </c>
      <c r="F871" s="115">
        <v>267.55</v>
      </c>
      <c r="G871">
        <v>891</v>
      </c>
      <c r="H871" s="115"/>
      <c r="I871" s="115"/>
      <c r="L871" s="169">
        <v>43283</v>
      </c>
      <c r="M871" s="115">
        <v>270.85000000000002</v>
      </c>
      <c r="N871" s="115">
        <v>279.85000000000002</v>
      </c>
      <c r="O871" s="115">
        <v>269.14999999999998</v>
      </c>
      <c r="P871" s="115">
        <v>277.5</v>
      </c>
      <c r="Q871" s="115">
        <v>270.85000000000002</v>
      </c>
      <c r="R871">
        <v>3251</v>
      </c>
    </row>
    <row r="872" spans="1:18" x14ac:dyDescent="0.25">
      <c r="A872" s="169">
        <v>43284</v>
      </c>
      <c r="B872" s="115">
        <v>274.8</v>
      </c>
      <c r="C872" s="115">
        <v>265.8</v>
      </c>
      <c r="D872" s="115">
        <v>265.10000000000002</v>
      </c>
      <c r="E872" s="115">
        <v>274.8</v>
      </c>
      <c r="F872" s="115">
        <v>265.8</v>
      </c>
      <c r="G872">
        <v>261</v>
      </c>
      <c r="H872" s="115"/>
      <c r="I872" s="115"/>
      <c r="L872" s="169">
        <v>43284</v>
      </c>
      <c r="M872" s="115">
        <v>267.89999999999998</v>
      </c>
      <c r="N872" s="115">
        <v>275.89999999999998</v>
      </c>
      <c r="O872" s="115">
        <v>266.25</v>
      </c>
      <c r="P872" s="115">
        <v>269</v>
      </c>
      <c r="Q872" s="115">
        <v>267.89999999999998</v>
      </c>
      <c r="R872">
        <v>5417</v>
      </c>
    </row>
    <row r="873" spans="1:18" x14ac:dyDescent="0.25">
      <c r="A873" s="169">
        <v>43285</v>
      </c>
      <c r="B873" s="115">
        <v>273.5</v>
      </c>
      <c r="C873" s="115">
        <v>272.8</v>
      </c>
      <c r="D873" s="115">
        <v>272.5</v>
      </c>
      <c r="E873" s="115">
        <v>272.8</v>
      </c>
      <c r="F873" s="115">
        <v>272.8</v>
      </c>
      <c r="G873">
        <v>102</v>
      </c>
      <c r="H873" s="115"/>
      <c r="I873" s="115"/>
      <c r="L873" s="169">
        <v>43285</v>
      </c>
      <c r="M873" s="115">
        <v>271.75</v>
      </c>
      <c r="N873" s="115">
        <v>271.8</v>
      </c>
      <c r="O873" s="115">
        <v>266.35000000000002</v>
      </c>
      <c r="P873" s="115">
        <v>269.95</v>
      </c>
      <c r="Q873" s="115">
        <v>271.75</v>
      </c>
      <c r="R873">
        <v>2769</v>
      </c>
    </row>
    <row r="874" spans="1:18" x14ac:dyDescent="0.25">
      <c r="A874" s="169">
        <v>43286</v>
      </c>
      <c r="B874" s="115">
        <v>272.95</v>
      </c>
      <c r="C874" s="115">
        <v>272.95</v>
      </c>
      <c r="D874" s="115">
        <v>271.95</v>
      </c>
      <c r="E874" s="115">
        <v>271.95</v>
      </c>
      <c r="F874" s="115">
        <v>272.95</v>
      </c>
      <c r="G874">
        <v>10</v>
      </c>
      <c r="H874" s="115"/>
      <c r="I874" s="115"/>
      <c r="L874" s="169">
        <v>43286</v>
      </c>
      <c r="M874" s="115">
        <v>270.64999999999998</v>
      </c>
      <c r="N874" s="115">
        <v>274.45</v>
      </c>
      <c r="O874" s="115">
        <v>268.10000000000002</v>
      </c>
      <c r="P874" s="115">
        <v>271.25</v>
      </c>
      <c r="Q874" s="115">
        <v>270.64999999999998</v>
      </c>
      <c r="R874">
        <v>3234</v>
      </c>
    </row>
    <row r="875" spans="1:18" x14ac:dyDescent="0.25">
      <c r="A875" s="169">
        <v>43287</v>
      </c>
      <c r="B875" s="115">
        <v>273</v>
      </c>
      <c r="C875" s="115">
        <v>270</v>
      </c>
      <c r="D875" s="115">
        <v>269</v>
      </c>
      <c r="E875" s="115">
        <v>271.95</v>
      </c>
      <c r="F875" s="115">
        <v>270</v>
      </c>
      <c r="G875">
        <v>410</v>
      </c>
      <c r="H875" s="115"/>
      <c r="I875" s="115"/>
      <c r="L875" s="169">
        <v>43287</v>
      </c>
      <c r="M875" s="115">
        <v>270.10000000000002</v>
      </c>
      <c r="N875" s="115">
        <v>277.8</v>
      </c>
      <c r="O875" s="115">
        <v>267.45</v>
      </c>
      <c r="P875" s="115">
        <v>270.64999999999998</v>
      </c>
      <c r="Q875" s="115">
        <v>270.10000000000002</v>
      </c>
      <c r="R875">
        <v>2987</v>
      </c>
    </row>
    <row r="876" spans="1:18" x14ac:dyDescent="0.25">
      <c r="A876" s="169">
        <v>43290</v>
      </c>
      <c r="B876" s="115">
        <v>278.3</v>
      </c>
      <c r="C876" s="115">
        <v>273</v>
      </c>
      <c r="D876" s="115">
        <v>268.8</v>
      </c>
      <c r="E876" s="115">
        <v>268.89999999999998</v>
      </c>
      <c r="F876" s="115">
        <v>273</v>
      </c>
      <c r="G876">
        <v>600</v>
      </c>
      <c r="H876" s="115"/>
      <c r="I876" s="115"/>
      <c r="L876" s="169">
        <v>43290</v>
      </c>
      <c r="M876" s="115">
        <v>271.2</v>
      </c>
      <c r="N876" s="115">
        <v>275</v>
      </c>
      <c r="O876" s="115">
        <v>268.14999999999998</v>
      </c>
      <c r="P876" s="115">
        <v>270.05</v>
      </c>
      <c r="Q876" s="115">
        <v>271.2</v>
      </c>
      <c r="R876">
        <v>3616</v>
      </c>
    </row>
    <row r="877" spans="1:18" x14ac:dyDescent="0.25">
      <c r="A877" s="169">
        <v>43291</v>
      </c>
      <c r="B877" s="115">
        <v>283.95</v>
      </c>
      <c r="C877" s="115">
        <v>274.85000000000002</v>
      </c>
      <c r="D877" s="115">
        <v>271.10000000000002</v>
      </c>
      <c r="E877" s="115">
        <v>272.45</v>
      </c>
      <c r="F877" s="115">
        <v>274.85000000000002</v>
      </c>
      <c r="G877">
        <v>1990</v>
      </c>
      <c r="H877" s="115"/>
      <c r="I877" s="115"/>
      <c r="L877" s="169">
        <v>43291</v>
      </c>
      <c r="M877" s="115">
        <v>276.2</v>
      </c>
      <c r="N877" s="115">
        <v>284.95</v>
      </c>
      <c r="O877" s="115">
        <v>269</v>
      </c>
      <c r="P877" s="115">
        <v>270.05</v>
      </c>
      <c r="Q877" s="115">
        <v>276.2</v>
      </c>
      <c r="R877">
        <v>10870</v>
      </c>
    </row>
    <row r="878" spans="1:18" x14ac:dyDescent="0.25">
      <c r="A878" s="169">
        <v>43292</v>
      </c>
      <c r="B878" s="115">
        <v>280</v>
      </c>
      <c r="C878" s="115">
        <v>269.5</v>
      </c>
      <c r="D878" s="115">
        <v>268.25</v>
      </c>
      <c r="E878" s="115">
        <v>277</v>
      </c>
      <c r="F878" s="115">
        <v>269.5</v>
      </c>
      <c r="G878">
        <v>739</v>
      </c>
      <c r="H878" s="115"/>
      <c r="I878" s="115"/>
      <c r="L878" s="169">
        <v>43292</v>
      </c>
      <c r="M878" s="115">
        <v>271.55</v>
      </c>
      <c r="N878" s="115">
        <v>283</v>
      </c>
      <c r="O878" s="115">
        <v>271.05</v>
      </c>
      <c r="P878" s="115">
        <v>275.05</v>
      </c>
      <c r="Q878" s="115">
        <v>271.55</v>
      </c>
      <c r="R878">
        <v>3821</v>
      </c>
    </row>
    <row r="879" spans="1:18" x14ac:dyDescent="0.25">
      <c r="A879" s="169">
        <v>43293</v>
      </c>
      <c r="B879" s="115">
        <v>275</v>
      </c>
      <c r="C879" s="115">
        <v>268.35000000000002</v>
      </c>
      <c r="D879" s="115">
        <v>266</v>
      </c>
      <c r="E879" s="115">
        <v>274.14999999999998</v>
      </c>
      <c r="F879" s="115">
        <v>268.35000000000002</v>
      </c>
      <c r="G879">
        <v>681</v>
      </c>
      <c r="H879" s="115"/>
      <c r="I879" s="115"/>
      <c r="L879" s="169">
        <v>43293</v>
      </c>
      <c r="M879" s="115">
        <v>269.7</v>
      </c>
      <c r="N879" s="115">
        <v>274.95</v>
      </c>
      <c r="O879" s="115">
        <v>267</v>
      </c>
      <c r="P879" s="115">
        <v>269.25</v>
      </c>
      <c r="Q879" s="115">
        <v>269.7</v>
      </c>
      <c r="R879">
        <v>11119</v>
      </c>
    </row>
    <row r="880" spans="1:18" x14ac:dyDescent="0.25">
      <c r="A880" s="169">
        <v>43294</v>
      </c>
      <c r="B880" s="115">
        <v>272.75</v>
      </c>
      <c r="C880" s="115">
        <v>266.35000000000002</v>
      </c>
      <c r="D880" s="115">
        <v>266</v>
      </c>
      <c r="E880" s="115">
        <v>272.75</v>
      </c>
      <c r="F880" s="115">
        <v>266.35000000000002</v>
      </c>
      <c r="G880">
        <v>40</v>
      </c>
      <c r="H880" s="115"/>
      <c r="I880" s="115"/>
      <c r="L880" s="169">
        <v>43294</v>
      </c>
      <c r="M880" s="115">
        <v>265.75</v>
      </c>
      <c r="N880" s="115">
        <v>270</v>
      </c>
      <c r="O880" s="115">
        <v>264</v>
      </c>
      <c r="P880" s="115">
        <v>268.5</v>
      </c>
      <c r="Q880" s="115">
        <v>265.75</v>
      </c>
      <c r="R880">
        <v>5917</v>
      </c>
    </row>
    <row r="881" spans="1:18" x14ac:dyDescent="0.25">
      <c r="A881" s="169">
        <v>43297</v>
      </c>
      <c r="B881" s="115">
        <v>265</v>
      </c>
      <c r="C881" s="115">
        <v>260.39999999999998</v>
      </c>
      <c r="D881" s="115">
        <v>259.95</v>
      </c>
      <c r="E881" s="115">
        <v>265</v>
      </c>
      <c r="F881" s="115">
        <v>260.39999999999998</v>
      </c>
      <c r="G881">
        <v>1717</v>
      </c>
      <c r="H881" s="115"/>
      <c r="I881" s="115"/>
      <c r="L881" s="169">
        <v>43297</v>
      </c>
      <c r="M881" s="115">
        <v>260.7</v>
      </c>
      <c r="N881" s="115">
        <v>270</v>
      </c>
      <c r="O881" s="115">
        <v>254.05</v>
      </c>
      <c r="P881" s="115">
        <v>265.10000000000002</v>
      </c>
      <c r="Q881" s="115">
        <v>260.7</v>
      </c>
      <c r="R881">
        <v>9531</v>
      </c>
    </row>
    <row r="882" spans="1:18" x14ac:dyDescent="0.25">
      <c r="A882" s="169">
        <v>43298</v>
      </c>
      <c r="B882" s="115">
        <v>266</v>
      </c>
      <c r="C882" s="115">
        <v>262.55</v>
      </c>
      <c r="D882" s="115">
        <v>258</v>
      </c>
      <c r="E882" s="115">
        <v>260.55</v>
      </c>
      <c r="F882" s="115">
        <v>262.55</v>
      </c>
      <c r="G882">
        <v>890</v>
      </c>
      <c r="H882" s="115"/>
      <c r="I882" s="115"/>
      <c r="L882" s="169">
        <v>43298</v>
      </c>
      <c r="M882" s="115">
        <v>259</v>
      </c>
      <c r="N882" s="115">
        <v>268</v>
      </c>
      <c r="O882" s="115">
        <v>256.2</v>
      </c>
      <c r="P882" s="115">
        <v>256.2</v>
      </c>
      <c r="Q882" s="115">
        <v>259</v>
      </c>
      <c r="R882">
        <v>3928</v>
      </c>
    </row>
    <row r="883" spans="1:18" x14ac:dyDescent="0.25">
      <c r="A883" s="169">
        <v>43299</v>
      </c>
      <c r="B883" s="115">
        <v>262.5</v>
      </c>
      <c r="C883" s="115">
        <v>251.6</v>
      </c>
      <c r="D883" s="115">
        <v>248.85</v>
      </c>
      <c r="E883" s="115">
        <v>261.7</v>
      </c>
      <c r="F883" s="115">
        <v>251.6</v>
      </c>
      <c r="G883">
        <v>4415</v>
      </c>
      <c r="H883" s="115"/>
      <c r="I883" s="115"/>
      <c r="L883" s="169">
        <v>43299</v>
      </c>
      <c r="M883" s="115">
        <v>255.45</v>
      </c>
      <c r="N883" s="115">
        <v>268</v>
      </c>
      <c r="O883" s="115">
        <v>251.55</v>
      </c>
      <c r="P883" s="115">
        <v>258.5</v>
      </c>
      <c r="Q883" s="115">
        <v>255.45</v>
      </c>
      <c r="R883">
        <v>8034</v>
      </c>
    </row>
    <row r="884" spans="1:18" x14ac:dyDescent="0.25">
      <c r="A884" s="169">
        <v>43300</v>
      </c>
      <c r="B884" s="115">
        <v>258</v>
      </c>
      <c r="C884" s="115">
        <v>248.2</v>
      </c>
      <c r="D884" s="115">
        <v>246</v>
      </c>
      <c r="E884" s="115">
        <v>258</v>
      </c>
      <c r="F884" s="115">
        <v>248.2</v>
      </c>
      <c r="G884">
        <v>1393</v>
      </c>
      <c r="H884" s="115"/>
      <c r="I884" s="115"/>
      <c r="L884" s="169">
        <v>43300</v>
      </c>
      <c r="M884" s="115">
        <v>251.85</v>
      </c>
      <c r="N884" s="115">
        <v>257.89999999999998</v>
      </c>
      <c r="O884" s="115">
        <v>248.15</v>
      </c>
      <c r="P884" s="115">
        <v>253.25</v>
      </c>
      <c r="Q884" s="115">
        <v>251.85</v>
      </c>
      <c r="R884">
        <v>6048</v>
      </c>
    </row>
    <row r="885" spans="1:18" x14ac:dyDescent="0.25">
      <c r="A885" s="169">
        <v>43301</v>
      </c>
      <c r="B885" s="115">
        <v>256.64999999999998</v>
      </c>
      <c r="C885" s="115">
        <v>256.60000000000002</v>
      </c>
      <c r="D885" s="115">
        <v>250</v>
      </c>
      <c r="E885" s="115">
        <v>250</v>
      </c>
      <c r="F885" s="115">
        <v>256.60000000000002</v>
      </c>
      <c r="G885">
        <v>140</v>
      </c>
      <c r="H885" s="115"/>
      <c r="I885" s="115"/>
      <c r="L885" s="169">
        <v>43301</v>
      </c>
      <c r="M885" s="115">
        <v>253.55</v>
      </c>
      <c r="N885" s="115">
        <v>254.3</v>
      </c>
      <c r="O885" s="115">
        <v>247.7</v>
      </c>
      <c r="P885" s="115">
        <v>251</v>
      </c>
      <c r="Q885" s="115">
        <v>253.55</v>
      </c>
      <c r="R885">
        <v>2012</v>
      </c>
    </row>
    <row r="886" spans="1:18" x14ac:dyDescent="0.25">
      <c r="A886" s="169">
        <v>43304</v>
      </c>
      <c r="B886" s="115">
        <v>258</v>
      </c>
      <c r="C886" s="115">
        <v>256.60000000000002</v>
      </c>
      <c r="D886" s="115">
        <v>249</v>
      </c>
      <c r="E886" s="115">
        <v>249.1</v>
      </c>
      <c r="F886" s="115">
        <v>256.60000000000002</v>
      </c>
      <c r="G886">
        <v>142</v>
      </c>
      <c r="H886" s="115"/>
      <c r="I886" s="115"/>
      <c r="L886" s="169">
        <v>43304</v>
      </c>
      <c r="M886" s="115">
        <v>259.64999999999998</v>
      </c>
      <c r="N886" s="115">
        <v>263.85000000000002</v>
      </c>
      <c r="O886" s="115">
        <v>249.95</v>
      </c>
      <c r="P886" s="115">
        <v>249.95</v>
      </c>
      <c r="Q886" s="115">
        <v>259.64999999999998</v>
      </c>
      <c r="R886">
        <v>1936</v>
      </c>
    </row>
    <row r="887" spans="1:18" x14ac:dyDescent="0.25">
      <c r="A887" s="169">
        <v>43305</v>
      </c>
      <c r="B887" s="115">
        <v>268.05</v>
      </c>
      <c r="C887" s="115">
        <v>262.5</v>
      </c>
      <c r="D887" s="115">
        <v>261.7</v>
      </c>
      <c r="E887" s="115">
        <v>266</v>
      </c>
      <c r="F887" s="115">
        <v>262.5</v>
      </c>
      <c r="G887">
        <v>467</v>
      </c>
      <c r="H887" s="115"/>
      <c r="I887" s="115"/>
      <c r="L887" s="169">
        <v>43305</v>
      </c>
      <c r="M887" s="115">
        <v>264.3</v>
      </c>
      <c r="N887" s="115">
        <v>270</v>
      </c>
      <c r="O887" s="115">
        <v>260.5</v>
      </c>
      <c r="P887" s="115">
        <v>260.75</v>
      </c>
      <c r="Q887" s="115">
        <v>264.3</v>
      </c>
      <c r="R887">
        <v>3367</v>
      </c>
    </row>
    <row r="888" spans="1:18" x14ac:dyDescent="0.25">
      <c r="A888" s="169">
        <v>43306</v>
      </c>
      <c r="B888" s="115">
        <v>273</v>
      </c>
      <c r="C888" s="115">
        <v>271.55</v>
      </c>
      <c r="D888" s="115">
        <v>266</v>
      </c>
      <c r="E888" s="115">
        <v>268.60000000000002</v>
      </c>
      <c r="F888" s="115">
        <v>271.55</v>
      </c>
      <c r="G888">
        <v>792</v>
      </c>
      <c r="H888" s="115"/>
      <c r="I888" s="115"/>
      <c r="L888" s="169">
        <v>43306</v>
      </c>
      <c r="M888" s="115">
        <v>274.5</v>
      </c>
      <c r="N888" s="115">
        <v>276.05</v>
      </c>
      <c r="O888" s="115">
        <v>265.39999999999998</v>
      </c>
      <c r="P888" s="115">
        <v>266.10000000000002</v>
      </c>
      <c r="Q888" s="115">
        <v>274.5</v>
      </c>
      <c r="R888">
        <v>7527</v>
      </c>
    </row>
    <row r="889" spans="1:18" x14ac:dyDescent="0.25">
      <c r="A889" s="169">
        <v>43307</v>
      </c>
      <c r="B889" s="115">
        <v>286.39999999999998</v>
      </c>
      <c r="C889" s="115">
        <v>280.64999999999998</v>
      </c>
      <c r="D889" s="115">
        <v>274.5</v>
      </c>
      <c r="E889" s="115">
        <v>282</v>
      </c>
      <c r="F889" s="115">
        <v>280.64999999999998</v>
      </c>
      <c r="G889">
        <v>623</v>
      </c>
      <c r="H889" s="115"/>
      <c r="I889" s="115"/>
      <c r="L889" s="169">
        <v>43307</v>
      </c>
      <c r="M889" s="115">
        <v>280.45</v>
      </c>
      <c r="N889" s="115">
        <v>285</v>
      </c>
      <c r="O889" s="115">
        <v>271.05</v>
      </c>
      <c r="P889" s="115">
        <v>277.14999999999998</v>
      </c>
      <c r="Q889" s="115">
        <v>280.45</v>
      </c>
      <c r="R889">
        <v>6971</v>
      </c>
    </row>
    <row r="890" spans="1:18" x14ac:dyDescent="0.25">
      <c r="A890" s="169">
        <v>43308</v>
      </c>
      <c r="B890" s="115">
        <v>285.85000000000002</v>
      </c>
      <c r="C890" s="115">
        <v>277.95</v>
      </c>
      <c r="D890" s="115">
        <v>273</v>
      </c>
      <c r="E890" s="115">
        <v>275.05</v>
      </c>
      <c r="F890" s="115">
        <v>277.95</v>
      </c>
      <c r="G890">
        <v>228</v>
      </c>
      <c r="H890" s="115"/>
      <c r="I890" s="115"/>
      <c r="L890" s="169">
        <v>43308</v>
      </c>
      <c r="M890" s="115">
        <v>284.14999999999998</v>
      </c>
      <c r="N890" s="115">
        <v>285.05</v>
      </c>
      <c r="O890" s="115">
        <v>271.35000000000002</v>
      </c>
      <c r="P890" s="115">
        <v>280</v>
      </c>
      <c r="Q890" s="115">
        <v>284.14999999999998</v>
      </c>
      <c r="R890">
        <v>8323</v>
      </c>
    </row>
    <row r="891" spans="1:18" x14ac:dyDescent="0.25">
      <c r="A891" s="169">
        <v>43311</v>
      </c>
      <c r="B891" s="115">
        <v>298.10000000000002</v>
      </c>
      <c r="C891" s="115">
        <v>292.5</v>
      </c>
      <c r="D891" s="115">
        <v>286</v>
      </c>
      <c r="E891" s="115">
        <v>286</v>
      </c>
      <c r="F891" s="115">
        <v>292.5</v>
      </c>
      <c r="G891">
        <v>4445</v>
      </c>
      <c r="H891" s="115"/>
      <c r="I891" s="115"/>
      <c r="L891" s="169">
        <v>43311</v>
      </c>
      <c r="M891" s="115">
        <v>290.89999999999998</v>
      </c>
      <c r="N891" s="115">
        <v>298</v>
      </c>
      <c r="O891" s="115">
        <v>281.05</v>
      </c>
      <c r="P891" s="115">
        <v>284.7</v>
      </c>
      <c r="Q891" s="115">
        <v>290.89999999999998</v>
      </c>
      <c r="R891">
        <v>24792</v>
      </c>
    </row>
    <row r="892" spans="1:18" x14ac:dyDescent="0.25">
      <c r="A892" s="169">
        <v>43312</v>
      </c>
      <c r="B892" s="115">
        <v>291</v>
      </c>
      <c r="C892" s="115">
        <v>274.7</v>
      </c>
      <c r="D892" s="115">
        <v>272.3</v>
      </c>
      <c r="E892" s="115">
        <v>291</v>
      </c>
      <c r="F892" s="115">
        <v>274.7</v>
      </c>
      <c r="G892">
        <v>2046</v>
      </c>
      <c r="H892" s="115"/>
      <c r="I892" s="115"/>
      <c r="L892" s="169">
        <v>43312</v>
      </c>
      <c r="M892" s="115">
        <v>274.25</v>
      </c>
      <c r="N892" s="115">
        <v>294.05</v>
      </c>
      <c r="O892" s="115">
        <v>271.3</v>
      </c>
      <c r="P892" s="115">
        <v>293.95</v>
      </c>
      <c r="Q892" s="115">
        <v>274.25</v>
      </c>
      <c r="R892">
        <v>19118</v>
      </c>
    </row>
    <row r="893" spans="1:18" x14ac:dyDescent="0.25">
      <c r="A893" s="169">
        <v>43313</v>
      </c>
      <c r="B893" s="115">
        <v>296.55</v>
      </c>
      <c r="C893" s="115">
        <v>285.5</v>
      </c>
      <c r="D893" s="115">
        <v>280.25</v>
      </c>
      <c r="E893" s="115">
        <v>290</v>
      </c>
      <c r="F893" s="115">
        <v>285.5</v>
      </c>
      <c r="G893">
        <v>6385</v>
      </c>
      <c r="H893" s="115"/>
      <c r="I893" s="115"/>
      <c r="L893" s="169">
        <v>43313</v>
      </c>
      <c r="M893" s="115">
        <v>284.14999999999998</v>
      </c>
      <c r="N893" s="115">
        <v>296.5</v>
      </c>
      <c r="O893" s="115">
        <v>281</v>
      </c>
      <c r="P893" s="115">
        <v>285</v>
      </c>
      <c r="Q893" s="115">
        <v>284.14999999999998</v>
      </c>
      <c r="R893">
        <v>43725</v>
      </c>
    </row>
    <row r="894" spans="1:18" x14ac:dyDescent="0.25">
      <c r="A894" s="169">
        <v>43314</v>
      </c>
      <c r="B894" s="115">
        <v>292.8</v>
      </c>
      <c r="C894" s="115">
        <v>285.35000000000002</v>
      </c>
      <c r="D894" s="115">
        <v>280</v>
      </c>
      <c r="E894" s="115">
        <v>280</v>
      </c>
      <c r="F894" s="115">
        <v>285.35000000000002</v>
      </c>
      <c r="G894">
        <v>2428</v>
      </c>
      <c r="H894" s="115"/>
      <c r="I894" s="115"/>
      <c r="L894" s="169">
        <v>43314</v>
      </c>
      <c r="M894" s="115">
        <v>283.95</v>
      </c>
      <c r="N894" s="115">
        <v>291</v>
      </c>
      <c r="O894" s="115">
        <v>276.35000000000002</v>
      </c>
      <c r="P894" s="115">
        <v>284.14999999999998</v>
      </c>
      <c r="Q894" s="115">
        <v>283.95</v>
      </c>
      <c r="R894">
        <v>15128</v>
      </c>
    </row>
    <row r="895" spans="1:18" x14ac:dyDescent="0.25">
      <c r="A895" s="169">
        <v>43315</v>
      </c>
      <c r="B895" s="115">
        <v>285.45</v>
      </c>
      <c r="C895" s="115">
        <v>279.95</v>
      </c>
      <c r="D895" s="115">
        <v>279.85000000000002</v>
      </c>
      <c r="E895" s="115">
        <v>284.2</v>
      </c>
      <c r="F895" s="115">
        <v>279.95</v>
      </c>
      <c r="G895">
        <v>2083</v>
      </c>
      <c r="H895" s="115"/>
      <c r="I895" s="115"/>
      <c r="L895" s="169">
        <v>43315</v>
      </c>
      <c r="M895" s="115">
        <v>280.39999999999998</v>
      </c>
      <c r="N895" s="115">
        <v>287.89999999999998</v>
      </c>
      <c r="O895" s="115">
        <v>279</v>
      </c>
      <c r="P895" s="115">
        <v>287.89999999999998</v>
      </c>
      <c r="Q895" s="115">
        <v>280.39999999999998</v>
      </c>
      <c r="R895">
        <v>9644</v>
      </c>
    </row>
    <row r="896" spans="1:18" x14ac:dyDescent="0.25">
      <c r="A896" s="169">
        <v>43318</v>
      </c>
      <c r="B896" s="115">
        <v>290.89999999999998</v>
      </c>
      <c r="C896" s="115">
        <v>279.2</v>
      </c>
      <c r="D896" s="115">
        <v>274</v>
      </c>
      <c r="E896" s="115">
        <v>284</v>
      </c>
      <c r="F896" s="115">
        <v>279.2</v>
      </c>
      <c r="G896">
        <v>3454</v>
      </c>
      <c r="H896" s="115"/>
      <c r="I896" s="115"/>
      <c r="L896" s="169">
        <v>43318</v>
      </c>
      <c r="M896" s="115">
        <v>278.39999999999998</v>
      </c>
      <c r="N896" s="115">
        <v>289.95</v>
      </c>
      <c r="O896" s="115">
        <v>276.3</v>
      </c>
      <c r="P896" s="115">
        <v>284.39999999999998</v>
      </c>
      <c r="Q896" s="115">
        <v>278.39999999999998</v>
      </c>
      <c r="R896">
        <v>19837</v>
      </c>
    </row>
    <row r="897" spans="1:18" x14ac:dyDescent="0.25">
      <c r="A897" s="169">
        <v>43319</v>
      </c>
      <c r="B897" s="115">
        <v>283</v>
      </c>
      <c r="C897" s="115">
        <v>280.55</v>
      </c>
      <c r="D897" s="115">
        <v>276.3</v>
      </c>
      <c r="E897" s="115">
        <v>281</v>
      </c>
      <c r="F897" s="115">
        <v>280.55</v>
      </c>
      <c r="G897">
        <v>1177</v>
      </c>
      <c r="H897" s="115"/>
      <c r="I897" s="115"/>
      <c r="L897" s="169">
        <v>43319</v>
      </c>
      <c r="M897" s="115">
        <v>280</v>
      </c>
      <c r="N897" s="115">
        <v>285</v>
      </c>
      <c r="O897" s="115">
        <v>275.05</v>
      </c>
      <c r="P897" s="115">
        <v>279</v>
      </c>
      <c r="Q897" s="115">
        <v>280</v>
      </c>
      <c r="R897">
        <v>13732</v>
      </c>
    </row>
    <row r="898" spans="1:18" x14ac:dyDescent="0.25">
      <c r="A898" s="169">
        <v>43320</v>
      </c>
      <c r="B898" s="115">
        <v>284.10000000000002</v>
      </c>
      <c r="C898" s="115">
        <v>272.25</v>
      </c>
      <c r="D898" s="115">
        <v>267.5</v>
      </c>
      <c r="E898" s="115">
        <v>280.55</v>
      </c>
      <c r="F898" s="115">
        <v>272.25</v>
      </c>
      <c r="G898">
        <v>9142</v>
      </c>
      <c r="H898" s="115"/>
      <c r="I898" s="115"/>
      <c r="L898" s="169">
        <v>43320</v>
      </c>
      <c r="M898" s="115">
        <v>273.64999999999998</v>
      </c>
      <c r="N898" s="115">
        <v>284</v>
      </c>
      <c r="O898" s="115">
        <v>272.25</v>
      </c>
      <c r="P898" s="115">
        <v>280.3</v>
      </c>
      <c r="Q898" s="115">
        <v>273.64999999999998</v>
      </c>
      <c r="R898">
        <v>19078</v>
      </c>
    </row>
    <row r="899" spans="1:18" x14ac:dyDescent="0.25">
      <c r="A899" s="169">
        <v>43321</v>
      </c>
      <c r="B899" s="115">
        <v>282.8</v>
      </c>
      <c r="C899" s="115">
        <v>282.05</v>
      </c>
      <c r="D899" s="115">
        <v>277</v>
      </c>
      <c r="E899" s="115">
        <v>277</v>
      </c>
      <c r="F899" s="115">
        <v>282.05</v>
      </c>
      <c r="G899">
        <v>696</v>
      </c>
      <c r="H899" s="115"/>
      <c r="I899" s="115"/>
      <c r="L899" s="169">
        <v>43321</v>
      </c>
      <c r="M899" s="115">
        <v>279.95</v>
      </c>
      <c r="N899" s="115">
        <v>283.85000000000002</v>
      </c>
      <c r="O899" s="115">
        <v>272</v>
      </c>
      <c r="P899" s="115">
        <v>273.8</v>
      </c>
      <c r="Q899" s="115">
        <v>279.95</v>
      </c>
      <c r="R899">
        <v>17976</v>
      </c>
    </row>
    <row r="900" spans="1:18" x14ac:dyDescent="0.25">
      <c r="A900" s="169">
        <v>43322</v>
      </c>
      <c r="B900" s="115">
        <v>280.95</v>
      </c>
      <c r="C900" s="115">
        <v>276.5</v>
      </c>
      <c r="D900" s="115">
        <v>273.10000000000002</v>
      </c>
      <c r="E900" s="115">
        <v>280</v>
      </c>
      <c r="F900" s="115">
        <v>276.5</v>
      </c>
      <c r="G900">
        <v>2212</v>
      </c>
      <c r="H900" s="115"/>
      <c r="I900" s="115"/>
      <c r="L900" s="169">
        <v>43322</v>
      </c>
      <c r="M900" s="115">
        <v>276.45</v>
      </c>
      <c r="N900" s="115">
        <v>281</v>
      </c>
      <c r="O900" s="115">
        <v>275.7</v>
      </c>
      <c r="P900" s="115">
        <v>280.05</v>
      </c>
      <c r="Q900" s="115">
        <v>276.45</v>
      </c>
      <c r="R900">
        <v>9953</v>
      </c>
    </row>
    <row r="901" spans="1:18" x14ac:dyDescent="0.25">
      <c r="A901" s="169">
        <v>43325</v>
      </c>
      <c r="B901" s="115">
        <v>280.85000000000002</v>
      </c>
      <c r="C901" s="115">
        <v>279.5</v>
      </c>
      <c r="D901" s="115">
        <v>273</v>
      </c>
      <c r="E901" s="115">
        <v>273</v>
      </c>
      <c r="F901" s="115">
        <v>279.5</v>
      </c>
      <c r="G901">
        <v>1879</v>
      </c>
      <c r="H901" s="115"/>
      <c r="I901" s="115"/>
      <c r="L901" s="169">
        <v>43325</v>
      </c>
      <c r="M901" s="115">
        <v>278.95</v>
      </c>
      <c r="N901" s="115">
        <v>281</v>
      </c>
      <c r="O901" s="115">
        <v>272.60000000000002</v>
      </c>
      <c r="P901" s="115">
        <v>276.10000000000002</v>
      </c>
      <c r="Q901" s="115">
        <v>278.95</v>
      </c>
      <c r="R901">
        <v>39237</v>
      </c>
    </row>
    <row r="902" spans="1:18" x14ac:dyDescent="0.25">
      <c r="A902" s="169">
        <v>43326</v>
      </c>
      <c r="B902" s="115">
        <v>277.25</v>
      </c>
      <c r="C902" s="115">
        <v>267.25</v>
      </c>
      <c r="D902" s="115">
        <v>266</v>
      </c>
      <c r="E902" s="115">
        <v>277.25</v>
      </c>
      <c r="F902" s="115">
        <v>267.25</v>
      </c>
      <c r="G902">
        <v>2077</v>
      </c>
      <c r="H902" s="115"/>
      <c r="I902" s="115"/>
      <c r="L902" s="169">
        <v>43326</v>
      </c>
      <c r="M902" s="115">
        <v>267.75</v>
      </c>
      <c r="N902" s="115">
        <v>279.89999999999998</v>
      </c>
      <c r="O902" s="115">
        <v>266.05</v>
      </c>
      <c r="P902" s="115">
        <v>277.55</v>
      </c>
      <c r="Q902" s="115">
        <v>267.75</v>
      </c>
      <c r="R902">
        <v>11259</v>
      </c>
    </row>
    <row r="903" spans="1:18" x14ac:dyDescent="0.25">
      <c r="A903" s="169">
        <v>43328</v>
      </c>
      <c r="B903" s="115">
        <v>275</v>
      </c>
      <c r="C903" s="115">
        <v>271.7</v>
      </c>
      <c r="D903" s="115">
        <v>266.5</v>
      </c>
      <c r="E903" s="115">
        <v>268</v>
      </c>
      <c r="F903" s="115">
        <v>271.7</v>
      </c>
      <c r="G903">
        <v>4296</v>
      </c>
      <c r="H903" s="115"/>
      <c r="I903" s="115"/>
      <c r="L903" s="169">
        <v>43328</v>
      </c>
      <c r="M903" s="115">
        <v>272.10000000000002</v>
      </c>
      <c r="N903" s="115">
        <v>275.45</v>
      </c>
      <c r="O903" s="115">
        <v>266.7</v>
      </c>
      <c r="P903" s="115">
        <v>269.60000000000002</v>
      </c>
      <c r="Q903" s="115">
        <v>272.10000000000002</v>
      </c>
      <c r="R903">
        <v>21901</v>
      </c>
    </row>
    <row r="904" spans="1:18" x14ac:dyDescent="0.25">
      <c r="A904" s="169">
        <v>43329</v>
      </c>
      <c r="B904" s="115">
        <v>275.3</v>
      </c>
      <c r="C904" s="115">
        <v>269.60000000000002</v>
      </c>
      <c r="D904" s="115">
        <v>266.8</v>
      </c>
      <c r="E904" s="115">
        <v>275.3</v>
      </c>
      <c r="F904" s="115">
        <v>269.60000000000002</v>
      </c>
      <c r="G904">
        <v>464</v>
      </c>
      <c r="H904" s="115"/>
      <c r="I904" s="115"/>
      <c r="L904" s="169">
        <v>43329</v>
      </c>
      <c r="M904" s="115">
        <v>271.25</v>
      </c>
      <c r="N904" s="115">
        <v>274.10000000000002</v>
      </c>
      <c r="O904" s="115">
        <v>268.2</v>
      </c>
      <c r="P904" s="115">
        <v>272.95</v>
      </c>
      <c r="Q904" s="115">
        <v>271.25</v>
      </c>
      <c r="R904">
        <v>15327</v>
      </c>
    </row>
    <row r="905" spans="1:18" x14ac:dyDescent="0.25">
      <c r="A905" s="169">
        <v>43332</v>
      </c>
      <c r="B905" s="115">
        <v>272</v>
      </c>
      <c r="C905" s="115">
        <v>266.85000000000002</v>
      </c>
      <c r="D905" s="115">
        <v>264.55</v>
      </c>
      <c r="E905" s="115">
        <v>272</v>
      </c>
      <c r="F905" s="115">
        <v>266.85000000000002</v>
      </c>
      <c r="G905">
        <v>1361</v>
      </c>
      <c r="H905" s="115"/>
      <c r="I905" s="115"/>
      <c r="L905" s="169">
        <v>43332</v>
      </c>
      <c r="M905" s="115">
        <v>268.75</v>
      </c>
      <c r="N905" s="115">
        <v>273.05</v>
      </c>
      <c r="O905" s="115">
        <v>262.89999999999998</v>
      </c>
      <c r="P905" s="115">
        <v>272.10000000000002</v>
      </c>
      <c r="Q905" s="115">
        <v>268.75</v>
      </c>
      <c r="R905">
        <v>16996</v>
      </c>
    </row>
    <row r="906" spans="1:18" x14ac:dyDescent="0.25">
      <c r="A906" s="169">
        <v>43333</v>
      </c>
      <c r="B906" s="115">
        <v>295</v>
      </c>
      <c r="C906" s="115">
        <v>275.75</v>
      </c>
      <c r="D906" s="115">
        <v>266.5</v>
      </c>
      <c r="E906" s="115">
        <v>269.64999999999998</v>
      </c>
      <c r="F906" s="115">
        <v>275.75</v>
      </c>
      <c r="G906">
        <v>22671</v>
      </c>
      <c r="H906" s="115"/>
      <c r="I906" s="115"/>
      <c r="L906" s="169">
        <v>43333</v>
      </c>
      <c r="M906" s="115">
        <v>274.05</v>
      </c>
      <c r="N906" s="115">
        <v>293</v>
      </c>
      <c r="O906" s="115">
        <v>266</v>
      </c>
      <c r="P906" s="115">
        <v>268.45</v>
      </c>
      <c r="Q906" s="115">
        <v>274.05</v>
      </c>
      <c r="R906">
        <v>119218</v>
      </c>
    </row>
    <row r="907" spans="1:18" x14ac:dyDescent="0.25">
      <c r="A907" s="169">
        <v>43335</v>
      </c>
      <c r="B907" s="115">
        <v>274.89999999999998</v>
      </c>
      <c r="C907" s="115">
        <v>269.64999999999998</v>
      </c>
      <c r="D907" s="115">
        <v>268.25</v>
      </c>
      <c r="E907" s="115">
        <v>274.10000000000002</v>
      </c>
      <c r="F907" s="115">
        <v>269.64999999999998</v>
      </c>
      <c r="G907">
        <v>3151</v>
      </c>
      <c r="H907" s="115"/>
      <c r="I907" s="115"/>
      <c r="L907" s="169">
        <v>43335</v>
      </c>
      <c r="M907" s="115">
        <v>269.64999999999998</v>
      </c>
      <c r="N907" s="115">
        <v>275.7</v>
      </c>
      <c r="O907" s="115">
        <v>268</v>
      </c>
      <c r="P907" s="115">
        <v>274.10000000000002</v>
      </c>
      <c r="Q907" s="115">
        <v>269.64999999999998</v>
      </c>
      <c r="R907">
        <v>22805</v>
      </c>
    </row>
    <row r="908" spans="1:18" x14ac:dyDescent="0.25">
      <c r="A908" s="169">
        <v>43336</v>
      </c>
      <c r="B908" s="115">
        <v>272.95</v>
      </c>
      <c r="C908" s="115">
        <v>266.8</v>
      </c>
      <c r="D908" s="115">
        <v>265.14999999999998</v>
      </c>
      <c r="E908" s="115">
        <v>265.14999999999998</v>
      </c>
      <c r="F908" s="115">
        <v>266.8</v>
      </c>
      <c r="G908">
        <v>923</v>
      </c>
      <c r="H908" s="115"/>
      <c r="I908" s="115"/>
      <c r="L908" s="169">
        <v>43336</v>
      </c>
      <c r="M908" s="115">
        <v>267.64999999999998</v>
      </c>
      <c r="N908" s="115">
        <v>272.2</v>
      </c>
      <c r="O908" s="115">
        <v>267.10000000000002</v>
      </c>
      <c r="P908" s="115">
        <v>268.14999999999998</v>
      </c>
      <c r="Q908" s="115">
        <v>267.64999999999998</v>
      </c>
      <c r="R908">
        <v>14349</v>
      </c>
    </row>
    <row r="909" spans="1:18" x14ac:dyDescent="0.25">
      <c r="A909" s="169">
        <v>43339</v>
      </c>
      <c r="B909" s="115">
        <v>271.45</v>
      </c>
      <c r="C909" s="115">
        <v>269</v>
      </c>
      <c r="D909" s="115">
        <v>267.7</v>
      </c>
      <c r="E909" s="115">
        <v>270.05</v>
      </c>
      <c r="F909" s="115">
        <v>269</v>
      </c>
      <c r="G909">
        <v>773</v>
      </c>
      <c r="H909" s="115"/>
      <c r="I909" s="115"/>
      <c r="L909" s="169">
        <v>43339</v>
      </c>
      <c r="M909" s="115">
        <v>268.75</v>
      </c>
      <c r="N909" s="115">
        <v>273</v>
      </c>
      <c r="O909" s="115">
        <v>267.05</v>
      </c>
      <c r="P909" s="115">
        <v>270.5</v>
      </c>
      <c r="Q909" s="115">
        <v>268.75</v>
      </c>
      <c r="R909">
        <v>18849</v>
      </c>
    </row>
    <row r="910" spans="1:18" x14ac:dyDescent="0.25">
      <c r="A910" s="169">
        <v>43340</v>
      </c>
      <c r="B910" s="115">
        <v>272.7</v>
      </c>
      <c r="C910" s="115">
        <v>271</v>
      </c>
      <c r="D910" s="115">
        <v>268</v>
      </c>
      <c r="E910" s="115">
        <v>269.3</v>
      </c>
      <c r="F910" s="115">
        <v>271</v>
      </c>
      <c r="G910">
        <v>3338</v>
      </c>
      <c r="H910" s="115"/>
      <c r="I910" s="115"/>
      <c r="L910" s="169">
        <v>43340</v>
      </c>
      <c r="M910" s="115">
        <v>269.95</v>
      </c>
      <c r="N910" s="115">
        <v>273.14999999999998</v>
      </c>
      <c r="O910" s="115">
        <v>268.05</v>
      </c>
      <c r="P910" s="115">
        <v>270.7</v>
      </c>
      <c r="Q910" s="115">
        <v>269.95</v>
      </c>
      <c r="R910">
        <v>20444</v>
      </c>
    </row>
    <row r="911" spans="1:18" x14ac:dyDescent="0.25">
      <c r="A911" s="169">
        <v>43341</v>
      </c>
      <c r="B911" s="115">
        <v>274.45</v>
      </c>
      <c r="C911" s="115">
        <v>269.2</v>
      </c>
      <c r="D911" s="115">
        <v>265.14999999999998</v>
      </c>
      <c r="E911" s="115">
        <v>271</v>
      </c>
      <c r="F911" s="115">
        <v>269.2</v>
      </c>
      <c r="G911">
        <v>4388</v>
      </c>
      <c r="H911" s="115"/>
      <c r="I911" s="115"/>
      <c r="L911" s="169">
        <v>43341</v>
      </c>
      <c r="M911" s="115">
        <v>268.25</v>
      </c>
      <c r="N911" s="115">
        <v>271.5</v>
      </c>
      <c r="O911" s="115">
        <v>265</v>
      </c>
      <c r="P911" s="115">
        <v>268.10000000000002</v>
      </c>
      <c r="Q911" s="115">
        <v>268.25</v>
      </c>
      <c r="R911">
        <v>14087</v>
      </c>
    </row>
    <row r="912" spans="1:18" x14ac:dyDescent="0.25">
      <c r="A912" s="169">
        <v>43342</v>
      </c>
      <c r="B912" s="115">
        <v>268.95</v>
      </c>
      <c r="C912" s="115">
        <v>266.25</v>
      </c>
      <c r="D912" s="115">
        <v>265.25</v>
      </c>
      <c r="E912" s="115">
        <v>268.95</v>
      </c>
      <c r="F912" s="115">
        <v>266.25</v>
      </c>
      <c r="G912">
        <v>1439</v>
      </c>
      <c r="H912" s="115"/>
      <c r="I912" s="115"/>
      <c r="L912" s="169">
        <v>43342</v>
      </c>
      <c r="M912" s="115">
        <v>267.95</v>
      </c>
      <c r="N912" s="115">
        <v>269</v>
      </c>
      <c r="O912" s="115">
        <v>265</v>
      </c>
      <c r="P912" s="115">
        <v>267.25</v>
      </c>
      <c r="Q912" s="115">
        <v>267.95</v>
      </c>
      <c r="R912">
        <v>16656</v>
      </c>
    </row>
    <row r="913" spans="1:18" x14ac:dyDescent="0.25">
      <c r="A913" s="169">
        <v>43343</v>
      </c>
      <c r="B913" s="115">
        <v>269</v>
      </c>
      <c r="C913" s="115">
        <v>267.39999999999998</v>
      </c>
      <c r="D913" s="115">
        <v>266.3</v>
      </c>
      <c r="E913" s="115">
        <v>267.35000000000002</v>
      </c>
      <c r="F913" s="115">
        <v>267.39999999999998</v>
      </c>
      <c r="G913">
        <v>348</v>
      </c>
      <c r="H913" s="115"/>
      <c r="I913" s="115"/>
      <c r="L913" s="169">
        <v>43343</v>
      </c>
      <c r="M913" s="115">
        <v>269.64999999999998</v>
      </c>
      <c r="N913" s="115">
        <v>270</v>
      </c>
      <c r="O913" s="115">
        <v>265.25</v>
      </c>
      <c r="P913" s="115">
        <v>265.25</v>
      </c>
      <c r="Q913" s="115">
        <v>269.64999999999998</v>
      </c>
      <c r="R913">
        <v>19710</v>
      </c>
    </row>
    <row r="914" spans="1:18" x14ac:dyDescent="0.25">
      <c r="A914" s="169">
        <v>43346</v>
      </c>
      <c r="B914" s="115">
        <v>271.8</v>
      </c>
      <c r="C914" s="115">
        <v>266.8</v>
      </c>
      <c r="D914" s="115">
        <v>266</v>
      </c>
      <c r="E914" s="115">
        <v>267.05</v>
      </c>
      <c r="F914" s="115">
        <v>266.8</v>
      </c>
      <c r="G914">
        <v>1356</v>
      </c>
      <c r="H914" s="115"/>
      <c r="I914" s="115"/>
      <c r="L914" s="169">
        <v>43346</v>
      </c>
      <c r="M914" s="115">
        <v>266.10000000000002</v>
      </c>
      <c r="N914" s="115">
        <v>272.5</v>
      </c>
      <c r="O914" s="115">
        <v>266</v>
      </c>
      <c r="P914" s="115">
        <v>270.95</v>
      </c>
      <c r="Q914" s="115">
        <v>266.10000000000002</v>
      </c>
      <c r="R914">
        <v>8973</v>
      </c>
    </row>
    <row r="915" spans="1:18" x14ac:dyDescent="0.25">
      <c r="A915" s="169">
        <v>43347</v>
      </c>
      <c r="B915" s="115">
        <v>269.95</v>
      </c>
      <c r="C915" s="115">
        <v>264.85000000000002</v>
      </c>
      <c r="D915" s="115">
        <v>263.05</v>
      </c>
      <c r="E915" s="115">
        <v>269.95</v>
      </c>
      <c r="F915" s="115">
        <v>264.85000000000002</v>
      </c>
      <c r="G915">
        <v>1453</v>
      </c>
      <c r="H915" s="115"/>
      <c r="I915" s="115"/>
      <c r="L915" s="169">
        <v>43347</v>
      </c>
      <c r="M915" s="115">
        <v>264.60000000000002</v>
      </c>
      <c r="N915" s="115">
        <v>268</v>
      </c>
      <c r="O915" s="115">
        <v>263.35000000000002</v>
      </c>
      <c r="P915" s="115">
        <v>263.35000000000002</v>
      </c>
      <c r="Q915" s="115">
        <v>264.60000000000002</v>
      </c>
      <c r="R915">
        <v>8009</v>
      </c>
    </row>
    <row r="916" spans="1:18" x14ac:dyDescent="0.25">
      <c r="A916" s="169">
        <v>43348</v>
      </c>
      <c r="B916" s="115">
        <v>267.95</v>
      </c>
      <c r="C916" s="115">
        <v>266.14999999999998</v>
      </c>
      <c r="D916" s="115">
        <v>261.10000000000002</v>
      </c>
      <c r="E916" s="115">
        <v>263.05</v>
      </c>
      <c r="F916" s="115">
        <v>266.14999999999998</v>
      </c>
      <c r="G916">
        <v>919</v>
      </c>
      <c r="H916" s="115"/>
      <c r="I916" s="115"/>
      <c r="L916" s="169">
        <v>43348</v>
      </c>
      <c r="M916" s="115">
        <v>267.45</v>
      </c>
      <c r="N916" s="115">
        <v>268</v>
      </c>
      <c r="O916" s="115">
        <v>261.14999999999998</v>
      </c>
      <c r="P916" s="115">
        <v>263.85000000000002</v>
      </c>
      <c r="Q916" s="115">
        <v>267.45</v>
      </c>
      <c r="R916">
        <v>9994</v>
      </c>
    </row>
    <row r="917" spans="1:18" x14ac:dyDescent="0.25">
      <c r="A917" s="169">
        <v>43349</v>
      </c>
      <c r="B917" s="115">
        <v>274.2</v>
      </c>
      <c r="C917" s="115">
        <v>271.10000000000002</v>
      </c>
      <c r="D917" s="115">
        <v>266</v>
      </c>
      <c r="E917" s="115">
        <v>269.25</v>
      </c>
      <c r="F917" s="115">
        <v>271.10000000000002</v>
      </c>
      <c r="G917">
        <v>2065</v>
      </c>
      <c r="H917" s="115"/>
      <c r="I917" s="115"/>
      <c r="L917" s="169">
        <v>43349</v>
      </c>
      <c r="M917" s="115">
        <v>269.14999999999998</v>
      </c>
      <c r="N917" s="115">
        <v>276.45</v>
      </c>
      <c r="O917" s="115">
        <v>263.75</v>
      </c>
      <c r="P917" s="115">
        <v>266.5</v>
      </c>
      <c r="Q917" s="115">
        <v>269.14999999999998</v>
      </c>
      <c r="R917">
        <v>24033</v>
      </c>
    </row>
    <row r="918" spans="1:18" x14ac:dyDescent="0.25">
      <c r="A918" s="169">
        <v>43350</v>
      </c>
      <c r="B918" s="115">
        <v>295</v>
      </c>
      <c r="C918" s="115">
        <v>280.8</v>
      </c>
      <c r="D918" s="115">
        <v>268.14999999999998</v>
      </c>
      <c r="E918" s="115">
        <v>269.10000000000002</v>
      </c>
      <c r="F918" s="115">
        <v>280.8</v>
      </c>
      <c r="G918">
        <v>44592</v>
      </c>
      <c r="H918" s="115"/>
      <c r="I918" s="115"/>
      <c r="L918" s="169">
        <v>43350</v>
      </c>
      <c r="M918" s="115">
        <v>279.60000000000002</v>
      </c>
      <c r="N918" s="115">
        <v>297</v>
      </c>
      <c r="O918" s="115">
        <v>266.8</v>
      </c>
      <c r="P918" s="115">
        <v>269.05</v>
      </c>
      <c r="Q918" s="115">
        <v>279.60000000000002</v>
      </c>
      <c r="R918">
        <v>225638</v>
      </c>
    </row>
    <row r="919" spans="1:18" x14ac:dyDescent="0.25">
      <c r="A919" s="169">
        <v>43353</v>
      </c>
      <c r="B919" s="115">
        <v>282.89999999999998</v>
      </c>
      <c r="C919" s="115">
        <v>275.64999999999998</v>
      </c>
      <c r="D919" s="115">
        <v>273.89999999999998</v>
      </c>
      <c r="E919" s="115">
        <v>279.85000000000002</v>
      </c>
      <c r="F919" s="115">
        <v>275.64999999999998</v>
      </c>
      <c r="G919">
        <v>2732</v>
      </c>
      <c r="H919" s="115"/>
      <c r="I919" s="115"/>
      <c r="L919" s="169">
        <v>43353</v>
      </c>
      <c r="M919" s="115">
        <v>277</v>
      </c>
      <c r="N919" s="115">
        <v>286</v>
      </c>
      <c r="O919" s="115">
        <v>274.3</v>
      </c>
      <c r="P919" s="115">
        <v>279.05</v>
      </c>
      <c r="Q919" s="115">
        <v>277</v>
      </c>
      <c r="R919">
        <v>19450</v>
      </c>
    </row>
    <row r="920" spans="1:18" x14ac:dyDescent="0.25">
      <c r="A920" s="169">
        <v>43354</v>
      </c>
      <c r="B920" s="115">
        <v>282</v>
      </c>
      <c r="C920" s="115">
        <v>265.5</v>
      </c>
      <c r="D920" s="115">
        <v>256</v>
      </c>
      <c r="E920" s="115">
        <v>277</v>
      </c>
      <c r="F920" s="115">
        <v>265.5</v>
      </c>
      <c r="G920">
        <v>9973</v>
      </c>
      <c r="H920" s="115"/>
      <c r="I920" s="115"/>
      <c r="L920" s="169">
        <v>43354</v>
      </c>
      <c r="M920" s="115">
        <v>268.05</v>
      </c>
      <c r="N920" s="115">
        <v>282</v>
      </c>
      <c r="O920" s="115">
        <v>266.60000000000002</v>
      </c>
      <c r="P920" s="115">
        <v>275.3</v>
      </c>
      <c r="Q920" s="115">
        <v>268.05</v>
      </c>
      <c r="R920">
        <v>31694</v>
      </c>
    </row>
    <row r="921" spans="1:18" x14ac:dyDescent="0.25">
      <c r="A921" s="169">
        <v>43355</v>
      </c>
      <c r="B921" s="115">
        <v>275</v>
      </c>
      <c r="C921" s="115">
        <v>274</v>
      </c>
      <c r="D921" s="115">
        <v>265</v>
      </c>
      <c r="E921" s="115">
        <v>271.85000000000002</v>
      </c>
      <c r="F921" s="115">
        <v>274</v>
      </c>
      <c r="G921">
        <v>2502</v>
      </c>
      <c r="H921" s="115"/>
      <c r="I921" s="115"/>
      <c r="L921" s="169">
        <v>43355</v>
      </c>
      <c r="M921" s="115">
        <v>271.3</v>
      </c>
      <c r="N921" s="115">
        <v>273.8</v>
      </c>
      <c r="O921" s="115">
        <v>265.25</v>
      </c>
      <c r="P921" s="115">
        <v>268.05</v>
      </c>
      <c r="Q921" s="115">
        <v>271.3</v>
      </c>
      <c r="R921">
        <v>11866</v>
      </c>
    </row>
    <row r="922" spans="1:18" x14ac:dyDescent="0.25">
      <c r="A922" s="169">
        <v>43357</v>
      </c>
      <c r="B922" s="115">
        <v>274.5</v>
      </c>
      <c r="C922" s="115">
        <v>274.5</v>
      </c>
      <c r="D922" s="115">
        <v>269.5</v>
      </c>
      <c r="E922" s="115">
        <v>272</v>
      </c>
      <c r="F922" s="115">
        <v>274.5</v>
      </c>
      <c r="G922">
        <v>943</v>
      </c>
      <c r="H922" s="115"/>
      <c r="I922" s="115"/>
      <c r="L922" s="169">
        <v>43357</v>
      </c>
      <c r="M922" s="115">
        <v>273.39999999999998</v>
      </c>
      <c r="N922" s="115">
        <v>275.35000000000002</v>
      </c>
      <c r="O922" s="115">
        <v>269.10000000000002</v>
      </c>
      <c r="P922" s="115">
        <v>271</v>
      </c>
      <c r="Q922" s="115">
        <v>273.39999999999998</v>
      </c>
      <c r="R922">
        <v>33431</v>
      </c>
    </row>
    <row r="923" spans="1:18" x14ac:dyDescent="0.25">
      <c r="A923" s="169">
        <v>43360</v>
      </c>
      <c r="B923" s="115">
        <v>273.45</v>
      </c>
      <c r="C923" s="115">
        <v>273.10000000000002</v>
      </c>
      <c r="D923" s="115">
        <v>269</v>
      </c>
      <c r="E923" s="115">
        <v>271.95</v>
      </c>
      <c r="F923" s="115">
        <v>273.10000000000002</v>
      </c>
      <c r="G923">
        <v>718</v>
      </c>
      <c r="H923" s="115"/>
      <c r="I923" s="115"/>
      <c r="L923" s="169">
        <v>43360</v>
      </c>
      <c r="M923" s="115">
        <v>272.95</v>
      </c>
      <c r="N923" s="115">
        <v>274.8</v>
      </c>
      <c r="O923" s="115">
        <v>265.64999999999998</v>
      </c>
      <c r="P923" s="115">
        <v>271.45</v>
      </c>
      <c r="Q923" s="115">
        <v>272.95</v>
      </c>
      <c r="R923">
        <v>10204</v>
      </c>
    </row>
    <row r="924" spans="1:18" x14ac:dyDescent="0.25">
      <c r="A924" s="169">
        <v>43361</v>
      </c>
      <c r="B924" s="115">
        <v>271</v>
      </c>
      <c r="C924" s="115">
        <v>266.85000000000002</v>
      </c>
      <c r="D924" s="115">
        <v>266.55</v>
      </c>
      <c r="E924" s="115">
        <v>271</v>
      </c>
      <c r="F924" s="115">
        <v>266.85000000000002</v>
      </c>
      <c r="G924">
        <v>1260</v>
      </c>
      <c r="H924" s="115"/>
      <c r="I924" s="115"/>
      <c r="L924" s="169">
        <v>43361</v>
      </c>
      <c r="M924" s="115">
        <v>267.2</v>
      </c>
      <c r="N924" s="115">
        <v>272.85000000000002</v>
      </c>
      <c r="O924" s="115">
        <v>267</v>
      </c>
      <c r="P924" s="115">
        <v>271.10000000000002</v>
      </c>
      <c r="Q924" s="115">
        <v>267.2</v>
      </c>
      <c r="R924">
        <v>9597</v>
      </c>
    </row>
    <row r="925" spans="1:18" x14ac:dyDescent="0.25">
      <c r="A925" s="169">
        <v>43362</v>
      </c>
      <c r="B925" s="115">
        <v>278</v>
      </c>
      <c r="C925" s="115">
        <v>267.45</v>
      </c>
      <c r="D925" s="115">
        <v>266.10000000000002</v>
      </c>
      <c r="E925" s="115">
        <v>266.45</v>
      </c>
      <c r="F925" s="115">
        <v>267.45</v>
      </c>
      <c r="G925">
        <v>10055</v>
      </c>
      <c r="H925" s="115"/>
      <c r="I925" s="115"/>
      <c r="L925" s="169">
        <v>43362</v>
      </c>
      <c r="M925" s="115">
        <v>266.3</v>
      </c>
      <c r="N925" s="115">
        <v>280</v>
      </c>
      <c r="O925" s="115">
        <v>265.05</v>
      </c>
      <c r="P925" s="115">
        <v>267.39999999999998</v>
      </c>
      <c r="Q925" s="115">
        <v>266.3</v>
      </c>
      <c r="R925">
        <v>33307</v>
      </c>
    </row>
    <row r="926" spans="1:18" x14ac:dyDescent="0.25">
      <c r="A926" s="169">
        <v>43364</v>
      </c>
      <c r="B926" s="115">
        <v>267.05</v>
      </c>
      <c r="C926" s="115">
        <v>265.89999999999998</v>
      </c>
      <c r="D926" s="115">
        <v>255</v>
      </c>
      <c r="E926" s="115">
        <v>267.05</v>
      </c>
      <c r="F926" s="115">
        <v>265.89999999999998</v>
      </c>
      <c r="G926">
        <v>2591</v>
      </c>
      <c r="H926" s="115"/>
      <c r="I926" s="115"/>
      <c r="L926" s="169">
        <v>43364</v>
      </c>
      <c r="M926" s="115">
        <v>260.35000000000002</v>
      </c>
      <c r="N926" s="115">
        <v>270.8</v>
      </c>
      <c r="O926" s="115">
        <v>250.1</v>
      </c>
      <c r="P926" s="115">
        <v>267.35000000000002</v>
      </c>
      <c r="Q926" s="115">
        <v>260.35000000000002</v>
      </c>
      <c r="R926">
        <v>22153</v>
      </c>
    </row>
    <row r="927" spans="1:18" x14ac:dyDescent="0.25">
      <c r="A927" s="169">
        <v>43367</v>
      </c>
      <c r="B927" s="115">
        <v>260</v>
      </c>
      <c r="C927" s="115">
        <v>250.15</v>
      </c>
      <c r="D927" s="115">
        <v>250</v>
      </c>
      <c r="E927" s="115">
        <v>256</v>
      </c>
      <c r="F927" s="115">
        <v>250.15</v>
      </c>
      <c r="G927">
        <v>36897</v>
      </c>
      <c r="H927" s="115"/>
      <c r="I927" s="115"/>
      <c r="L927" s="169">
        <v>43367</v>
      </c>
      <c r="M927" s="115">
        <v>250.3</v>
      </c>
      <c r="N927" s="115">
        <v>261.05</v>
      </c>
      <c r="O927" s="115">
        <v>250</v>
      </c>
      <c r="P927" s="115">
        <v>261</v>
      </c>
      <c r="Q927" s="115">
        <v>250.3</v>
      </c>
      <c r="R927">
        <v>17369</v>
      </c>
    </row>
    <row r="928" spans="1:18" x14ac:dyDescent="0.25">
      <c r="A928" s="169">
        <v>43368</v>
      </c>
      <c r="B928" s="115">
        <v>259.2</v>
      </c>
      <c r="C928" s="115">
        <v>252.45</v>
      </c>
      <c r="D928" s="115">
        <v>250.1</v>
      </c>
      <c r="E928" s="115">
        <v>252</v>
      </c>
      <c r="F928" s="115">
        <v>252.45</v>
      </c>
      <c r="G928">
        <v>1650</v>
      </c>
      <c r="H928" s="115"/>
      <c r="I928" s="115"/>
      <c r="L928" s="169">
        <v>43368</v>
      </c>
      <c r="M928" s="115">
        <v>255.1</v>
      </c>
      <c r="N928" s="115">
        <v>264.2</v>
      </c>
      <c r="O928" s="115">
        <v>250</v>
      </c>
      <c r="P928" s="115">
        <v>252</v>
      </c>
      <c r="Q928" s="115">
        <v>255.1</v>
      </c>
      <c r="R928">
        <v>7703</v>
      </c>
    </row>
    <row r="929" spans="1:18" x14ac:dyDescent="0.25">
      <c r="A929" s="169">
        <v>43369</v>
      </c>
      <c r="B929" s="115">
        <v>257.7</v>
      </c>
      <c r="C929" s="115">
        <v>252.4</v>
      </c>
      <c r="D929" s="115">
        <v>251.4</v>
      </c>
      <c r="E929" s="115">
        <v>257.64999999999998</v>
      </c>
      <c r="F929" s="115">
        <v>252.4</v>
      </c>
      <c r="G929">
        <v>1744</v>
      </c>
      <c r="H929" s="115"/>
      <c r="I929" s="115"/>
      <c r="L929" s="169">
        <v>43369</v>
      </c>
      <c r="M929" s="115">
        <v>252.7</v>
      </c>
      <c r="N929" s="115">
        <v>257.89999999999998</v>
      </c>
      <c r="O929" s="115">
        <v>251.55</v>
      </c>
      <c r="P929" s="115">
        <v>252.2</v>
      </c>
      <c r="Q929" s="115">
        <v>252.7</v>
      </c>
      <c r="R929">
        <v>6050</v>
      </c>
    </row>
    <row r="930" spans="1:18" x14ac:dyDescent="0.25">
      <c r="A930" s="169">
        <v>43370</v>
      </c>
      <c r="B930" s="115">
        <v>254</v>
      </c>
      <c r="C930" s="115">
        <v>250.4</v>
      </c>
      <c r="D930" s="115">
        <v>249</v>
      </c>
      <c r="E930" s="115">
        <v>254</v>
      </c>
      <c r="F930" s="115">
        <v>250.4</v>
      </c>
      <c r="G930">
        <v>1093</v>
      </c>
      <c r="H930" s="115"/>
      <c r="I930" s="115"/>
      <c r="L930" s="169">
        <v>43370</v>
      </c>
      <c r="M930" s="115">
        <v>247.8</v>
      </c>
      <c r="N930" s="115">
        <v>254</v>
      </c>
      <c r="O930" s="115">
        <v>244</v>
      </c>
      <c r="P930" s="115">
        <v>250.4</v>
      </c>
      <c r="Q930" s="115">
        <v>247.8</v>
      </c>
      <c r="R930">
        <v>18993</v>
      </c>
    </row>
    <row r="931" spans="1:18" x14ac:dyDescent="0.25">
      <c r="A931" s="169">
        <v>43371</v>
      </c>
      <c r="B931" s="115">
        <v>259.7</v>
      </c>
      <c r="C931" s="115">
        <v>237</v>
      </c>
      <c r="D931" s="115">
        <v>233.5</v>
      </c>
      <c r="E931" s="115">
        <v>248</v>
      </c>
      <c r="F931" s="115">
        <v>237</v>
      </c>
      <c r="G931">
        <v>1904</v>
      </c>
      <c r="H931" s="115"/>
      <c r="I931" s="115"/>
      <c r="L931" s="169">
        <v>43371</v>
      </c>
      <c r="M931" s="115">
        <v>236.95</v>
      </c>
      <c r="N931" s="115">
        <v>258.5</v>
      </c>
      <c r="O931" s="115">
        <v>234.05</v>
      </c>
      <c r="P931" s="115">
        <v>248.8</v>
      </c>
      <c r="Q931" s="115">
        <v>236.95</v>
      </c>
      <c r="R931">
        <v>10863</v>
      </c>
    </row>
    <row r="932" spans="1:18" x14ac:dyDescent="0.25">
      <c r="A932" s="169">
        <v>43374</v>
      </c>
      <c r="B932" s="115">
        <v>237.45</v>
      </c>
      <c r="C932" s="115">
        <v>224.55</v>
      </c>
      <c r="D932" s="115">
        <v>223.5</v>
      </c>
      <c r="E932" s="115">
        <v>237.45</v>
      </c>
      <c r="F932" s="115">
        <v>224.55</v>
      </c>
      <c r="G932">
        <v>17335</v>
      </c>
      <c r="H932" s="115"/>
      <c r="I932" s="115"/>
      <c r="L932" s="169">
        <v>43374</v>
      </c>
      <c r="M932" s="115">
        <v>227.65</v>
      </c>
      <c r="N932" s="115">
        <v>242</v>
      </c>
      <c r="O932" s="115">
        <v>223.6</v>
      </c>
      <c r="P932" s="115">
        <v>240.45</v>
      </c>
      <c r="Q932" s="115">
        <v>227.65</v>
      </c>
      <c r="R932">
        <v>84323</v>
      </c>
    </row>
    <row r="933" spans="1:18" x14ac:dyDescent="0.25">
      <c r="A933" s="169">
        <v>43376</v>
      </c>
      <c r="B933" s="115">
        <v>228</v>
      </c>
      <c r="C933" s="115">
        <v>220.3</v>
      </c>
      <c r="D933" s="115">
        <v>218</v>
      </c>
      <c r="E933" s="115">
        <v>228</v>
      </c>
      <c r="F933" s="115">
        <v>220.3</v>
      </c>
      <c r="G933">
        <v>4549</v>
      </c>
      <c r="H933" s="115"/>
      <c r="I933" s="115"/>
      <c r="L933" s="169">
        <v>43376</v>
      </c>
      <c r="M933" s="115">
        <v>219.65</v>
      </c>
      <c r="N933" s="115">
        <v>229</v>
      </c>
      <c r="O933" s="115">
        <v>217</v>
      </c>
      <c r="P933" s="115">
        <v>229</v>
      </c>
      <c r="Q933" s="115">
        <v>219.65</v>
      </c>
      <c r="R933">
        <v>23520</v>
      </c>
    </row>
    <row r="934" spans="1:18" x14ac:dyDescent="0.25">
      <c r="A934" s="169">
        <v>43377</v>
      </c>
      <c r="B934" s="115">
        <v>218.8</v>
      </c>
      <c r="C934" s="115">
        <v>209.1</v>
      </c>
      <c r="D934" s="115">
        <v>208.1</v>
      </c>
      <c r="E934" s="115">
        <v>216.05</v>
      </c>
      <c r="F934" s="115">
        <v>209.1</v>
      </c>
      <c r="G934">
        <v>5855</v>
      </c>
      <c r="H934" s="115"/>
      <c r="I934" s="115"/>
      <c r="L934" s="169">
        <v>43377</v>
      </c>
      <c r="M934" s="115">
        <v>209.7</v>
      </c>
      <c r="N934" s="115">
        <v>218.35</v>
      </c>
      <c r="O934" s="115">
        <v>208</v>
      </c>
      <c r="P934" s="115">
        <v>216.45</v>
      </c>
      <c r="Q934" s="115">
        <v>209.7</v>
      </c>
      <c r="R934">
        <v>61824</v>
      </c>
    </row>
    <row r="935" spans="1:18" x14ac:dyDescent="0.25">
      <c r="A935" s="169">
        <v>43378</v>
      </c>
      <c r="B935" s="115">
        <v>212.8</v>
      </c>
      <c r="C935" s="115">
        <v>202.75</v>
      </c>
      <c r="D935" s="115">
        <v>197.05</v>
      </c>
      <c r="E935" s="115">
        <v>206</v>
      </c>
      <c r="F935" s="115">
        <v>202.75</v>
      </c>
      <c r="G935">
        <v>5524</v>
      </c>
      <c r="H935" s="115"/>
      <c r="I935" s="115"/>
      <c r="L935" s="169">
        <v>43378</v>
      </c>
      <c r="M935" s="115">
        <v>202</v>
      </c>
      <c r="N935" s="115">
        <v>214</v>
      </c>
      <c r="O935" s="115">
        <v>198.1</v>
      </c>
      <c r="P935" s="115">
        <v>207.2</v>
      </c>
      <c r="Q935" s="115">
        <v>202</v>
      </c>
      <c r="R935">
        <v>25396</v>
      </c>
    </row>
    <row r="936" spans="1:18" x14ac:dyDescent="0.25">
      <c r="A936" s="169">
        <v>43381</v>
      </c>
      <c r="B936" s="115">
        <v>206.75</v>
      </c>
      <c r="C936" s="115">
        <v>192.75</v>
      </c>
      <c r="D936" s="115">
        <v>186</v>
      </c>
      <c r="E936" s="115">
        <v>203</v>
      </c>
      <c r="F936" s="115">
        <v>192.75</v>
      </c>
      <c r="G936">
        <v>7199</v>
      </c>
      <c r="H936" s="115"/>
      <c r="I936" s="115"/>
      <c r="L936" s="169">
        <v>43381</v>
      </c>
      <c r="M936" s="115">
        <v>190.75</v>
      </c>
      <c r="N936" s="115">
        <v>205.9</v>
      </c>
      <c r="O936" s="115">
        <v>187</v>
      </c>
      <c r="P936" s="115">
        <v>202</v>
      </c>
      <c r="Q936" s="115">
        <v>190.75</v>
      </c>
      <c r="R936">
        <v>52007</v>
      </c>
    </row>
    <row r="937" spans="1:18" x14ac:dyDescent="0.25">
      <c r="A937" s="169">
        <v>43382</v>
      </c>
      <c r="B937" s="115">
        <v>202.15</v>
      </c>
      <c r="C937" s="115">
        <v>197.05</v>
      </c>
      <c r="D937" s="115">
        <v>189.7</v>
      </c>
      <c r="E937" s="115">
        <v>193.35</v>
      </c>
      <c r="F937" s="115">
        <v>197.05</v>
      </c>
      <c r="G937">
        <v>2427</v>
      </c>
      <c r="H937" s="115"/>
      <c r="I937" s="115"/>
      <c r="L937" s="169">
        <v>43382</v>
      </c>
      <c r="M937" s="115">
        <v>198.2</v>
      </c>
      <c r="N937" s="115">
        <v>202.9</v>
      </c>
      <c r="O937" s="115">
        <v>185</v>
      </c>
      <c r="P937" s="115">
        <v>192.8</v>
      </c>
      <c r="Q937" s="115">
        <v>198.2</v>
      </c>
      <c r="R937">
        <v>24503</v>
      </c>
    </row>
    <row r="938" spans="1:18" x14ac:dyDescent="0.25">
      <c r="A938" s="169">
        <v>43383</v>
      </c>
      <c r="B938" s="115">
        <v>218</v>
      </c>
      <c r="C938" s="115">
        <v>213.5</v>
      </c>
      <c r="D938" s="115">
        <v>199.25</v>
      </c>
      <c r="E938" s="115">
        <v>200.25</v>
      </c>
      <c r="F938" s="115">
        <v>213.5</v>
      </c>
      <c r="G938">
        <v>3843</v>
      </c>
      <c r="H938" s="115"/>
      <c r="I938" s="115"/>
      <c r="L938" s="169">
        <v>43383</v>
      </c>
      <c r="M938" s="115">
        <v>212.15</v>
      </c>
      <c r="N938" s="115">
        <v>220</v>
      </c>
      <c r="O938" s="115">
        <v>195.25</v>
      </c>
      <c r="P938" s="115">
        <v>195.25</v>
      </c>
      <c r="Q938" s="115">
        <v>212.15</v>
      </c>
      <c r="R938">
        <v>25360</v>
      </c>
    </row>
    <row r="939" spans="1:18" x14ac:dyDescent="0.25">
      <c r="A939" s="169">
        <v>43384</v>
      </c>
      <c r="B939" s="115">
        <v>218</v>
      </c>
      <c r="C939" s="115">
        <v>205.85</v>
      </c>
      <c r="D939" s="115">
        <v>203.35</v>
      </c>
      <c r="E939" s="115">
        <v>215</v>
      </c>
      <c r="F939" s="115">
        <v>205.85</v>
      </c>
      <c r="G939">
        <v>8918</v>
      </c>
      <c r="H939" s="115"/>
      <c r="I939" s="115"/>
      <c r="L939" s="169">
        <v>43384</v>
      </c>
      <c r="M939" s="115">
        <v>204</v>
      </c>
      <c r="N939" s="115">
        <v>220</v>
      </c>
      <c r="O939" s="115">
        <v>200</v>
      </c>
      <c r="P939" s="115">
        <v>205</v>
      </c>
      <c r="Q939" s="115">
        <v>204</v>
      </c>
      <c r="R939">
        <v>96630</v>
      </c>
    </row>
    <row r="940" spans="1:18" x14ac:dyDescent="0.25">
      <c r="A940" s="169">
        <v>43385</v>
      </c>
      <c r="B940" s="115">
        <v>216.05</v>
      </c>
      <c r="C940" s="115">
        <v>215.25</v>
      </c>
      <c r="D940" s="115">
        <v>198.05</v>
      </c>
      <c r="E940" s="115">
        <v>198.05</v>
      </c>
      <c r="F940" s="115">
        <v>215.25</v>
      </c>
      <c r="G940">
        <v>4854</v>
      </c>
      <c r="H940" s="115"/>
      <c r="I940" s="115"/>
      <c r="L940" s="169">
        <v>43385</v>
      </c>
      <c r="M940" s="115">
        <v>213.75</v>
      </c>
      <c r="N940" s="115">
        <v>215</v>
      </c>
      <c r="O940" s="115">
        <v>207</v>
      </c>
      <c r="P940" s="115">
        <v>207.05</v>
      </c>
      <c r="Q940" s="115">
        <v>213.75</v>
      </c>
      <c r="R940">
        <v>7409</v>
      </c>
    </row>
    <row r="941" spans="1:18" x14ac:dyDescent="0.25">
      <c r="A941" s="169">
        <v>43388</v>
      </c>
      <c r="B941" s="115">
        <v>220</v>
      </c>
      <c r="C941" s="115">
        <v>217.45</v>
      </c>
      <c r="D941" s="115">
        <v>216.2</v>
      </c>
      <c r="E941" s="115">
        <v>216.95</v>
      </c>
      <c r="F941" s="115">
        <v>217.45</v>
      </c>
      <c r="G941">
        <v>915</v>
      </c>
      <c r="H941" s="115"/>
      <c r="I941" s="115"/>
      <c r="L941" s="169">
        <v>43388</v>
      </c>
      <c r="M941" s="115">
        <v>217.35</v>
      </c>
      <c r="N941" s="115">
        <v>222</v>
      </c>
      <c r="O941" s="115">
        <v>213.05</v>
      </c>
      <c r="P941" s="115">
        <v>216.95</v>
      </c>
      <c r="Q941" s="115">
        <v>217.35</v>
      </c>
      <c r="R941">
        <v>8516</v>
      </c>
    </row>
    <row r="942" spans="1:18" x14ac:dyDescent="0.25">
      <c r="A942" s="169">
        <v>43389</v>
      </c>
      <c r="B942" s="115">
        <v>227.3</v>
      </c>
      <c r="C942" s="115">
        <v>223.85</v>
      </c>
      <c r="D942" s="115">
        <v>218.75</v>
      </c>
      <c r="E942" s="115">
        <v>218.75</v>
      </c>
      <c r="F942" s="115">
        <v>223.85</v>
      </c>
      <c r="G942">
        <v>1485</v>
      </c>
      <c r="H942" s="115"/>
      <c r="I942" s="115"/>
      <c r="L942" s="169">
        <v>43389</v>
      </c>
      <c r="M942" s="115">
        <v>221.7</v>
      </c>
      <c r="N942" s="115">
        <v>222.1</v>
      </c>
      <c r="O942" s="115">
        <v>217</v>
      </c>
      <c r="P942" s="115">
        <v>217.05</v>
      </c>
      <c r="Q942" s="115">
        <v>221.7</v>
      </c>
      <c r="R942">
        <v>12381</v>
      </c>
    </row>
    <row r="943" spans="1:18" x14ac:dyDescent="0.25">
      <c r="A943" s="169">
        <v>43390</v>
      </c>
      <c r="B943" s="115">
        <v>220</v>
      </c>
      <c r="C943" s="115">
        <v>216</v>
      </c>
      <c r="D943" s="115">
        <v>216</v>
      </c>
      <c r="E943" s="115">
        <v>220</v>
      </c>
      <c r="F943" s="115">
        <v>216</v>
      </c>
      <c r="G943">
        <v>1105</v>
      </c>
      <c r="H943" s="115"/>
      <c r="I943" s="115"/>
      <c r="L943" s="169">
        <v>43390</v>
      </c>
      <c r="M943" s="115">
        <v>215.25</v>
      </c>
      <c r="N943" s="115">
        <v>223.4</v>
      </c>
      <c r="O943" s="115">
        <v>215</v>
      </c>
      <c r="P943" s="115">
        <v>221.95</v>
      </c>
      <c r="Q943" s="115">
        <v>215.25</v>
      </c>
      <c r="R943">
        <v>4717</v>
      </c>
    </row>
    <row r="944" spans="1:18" x14ac:dyDescent="0.25">
      <c r="A944" s="169">
        <v>43392</v>
      </c>
      <c r="B944" s="115">
        <v>222.9</v>
      </c>
      <c r="C944" s="115">
        <v>219</v>
      </c>
      <c r="D944" s="115">
        <v>206.3</v>
      </c>
      <c r="E944" s="115">
        <v>217</v>
      </c>
      <c r="F944" s="115">
        <v>219</v>
      </c>
      <c r="G944">
        <v>2236</v>
      </c>
      <c r="H944" s="115"/>
      <c r="I944" s="115"/>
      <c r="L944" s="169">
        <v>43392</v>
      </c>
      <c r="M944" s="115">
        <v>218.6</v>
      </c>
      <c r="N944" s="115">
        <v>224</v>
      </c>
      <c r="O944" s="115">
        <v>211.8</v>
      </c>
      <c r="P944" s="115">
        <v>212.05</v>
      </c>
      <c r="Q944" s="115">
        <v>218.6</v>
      </c>
      <c r="R944">
        <v>10200</v>
      </c>
    </row>
    <row r="945" spans="1:18" x14ac:dyDescent="0.25">
      <c r="A945" s="169">
        <v>43395</v>
      </c>
      <c r="B945" s="115">
        <v>218</v>
      </c>
      <c r="C945" s="115">
        <v>212.65</v>
      </c>
      <c r="D945" s="115">
        <v>210.5</v>
      </c>
      <c r="E945" s="115">
        <v>216.15</v>
      </c>
      <c r="F945" s="115">
        <v>212.65</v>
      </c>
      <c r="G945">
        <v>789</v>
      </c>
      <c r="H945" s="115"/>
      <c r="I945" s="115"/>
      <c r="L945" s="169">
        <v>43395</v>
      </c>
      <c r="M945" s="115">
        <v>214.8</v>
      </c>
      <c r="N945" s="115">
        <v>223.05</v>
      </c>
      <c r="O945" s="115">
        <v>212</v>
      </c>
      <c r="P945" s="115">
        <v>222.55</v>
      </c>
      <c r="Q945" s="115">
        <v>214.8</v>
      </c>
      <c r="R945">
        <v>4657</v>
      </c>
    </row>
    <row r="946" spans="1:18" x14ac:dyDescent="0.25">
      <c r="A946" s="169">
        <v>43396</v>
      </c>
      <c r="B946" s="115">
        <v>212.75</v>
      </c>
      <c r="C946" s="115">
        <v>206.95</v>
      </c>
      <c r="D946" s="115">
        <v>203</v>
      </c>
      <c r="E946" s="115">
        <v>212.75</v>
      </c>
      <c r="F946" s="115">
        <v>206.95</v>
      </c>
      <c r="G946">
        <v>1360</v>
      </c>
      <c r="H946" s="115"/>
      <c r="I946" s="115"/>
      <c r="L946" s="169">
        <v>43396</v>
      </c>
      <c r="M946" s="115">
        <v>208</v>
      </c>
      <c r="N946" s="115">
        <v>213.75</v>
      </c>
      <c r="O946" s="115">
        <v>202</v>
      </c>
      <c r="P946" s="115">
        <v>213.4</v>
      </c>
      <c r="Q946" s="115">
        <v>208</v>
      </c>
      <c r="R946">
        <v>15817</v>
      </c>
    </row>
    <row r="947" spans="1:18" x14ac:dyDescent="0.25">
      <c r="A947" s="169">
        <v>43397</v>
      </c>
      <c r="B947" s="115">
        <v>215.65</v>
      </c>
      <c r="C947" s="115">
        <v>213.95</v>
      </c>
      <c r="D947" s="115">
        <v>211</v>
      </c>
      <c r="E947" s="115">
        <v>212.35</v>
      </c>
      <c r="F947" s="115">
        <v>213.95</v>
      </c>
      <c r="G947">
        <v>587</v>
      </c>
      <c r="H947" s="115"/>
      <c r="I947" s="115"/>
      <c r="L947" s="169">
        <v>43397</v>
      </c>
      <c r="M947" s="115">
        <v>214.35</v>
      </c>
      <c r="N947" s="115">
        <v>214.65</v>
      </c>
      <c r="O947" s="115">
        <v>209.1</v>
      </c>
      <c r="P947" s="115">
        <v>209.1</v>
      </c>
      <c r="Q947" s="115">
        <v>214.35</v>
      </c>
      <c r="R947">
        <v>3293</v>
      </c>
    </row>
    <row r="948" spans="1:18" x14ac:dyDescent="0.25">
      <c r="A948" s="169">
        <v>43398</v>
      </c>
      <c r="B948" s="115">
        <v>223</v>
      </c>
      <c r="C948" s="115">
        <v>203.15</v>
      </c>
      <c r="D948" s="115">
        <v>198.05</v>
      </c>
      <c r="E948" s="115">
        <v>223</v>
      </c>
      <c r="F948" s="115">
        <v>203.15</v>
      </c>
      <c r="G948">
        <v>2818</v>
      </c>
      <c r="H948" s="115"/>
      <c r="I948" s="115"/>
      <c r="L948" s="169">
        <v>43398</v>
      </c>
      <c r="M948" s="115">
        <v>200.65</v>
      </c>
      <c r="N948" s="115">
        <v>217.05</v>
      </c>
      <c r="O948" s="115">
        <v>198</v>
      </c>
      <c r="P948" s="115">
        <v>213.05</v>
      </c>
      <c r="Q948" s="115">
        <v>200.65</v>
      </c>
      <c r="R948">
        <v>22415</v>
      </c>
    </row>
    <row r="949" spans="1:18" x14ac:dyDescent="0.25">
      <c r="A949" s="169">
        <v>43399</v>
      </c>
      <c r="B949" s="115">
        <v>201.7</v>
      </c>
      <c r="C949" s="115">
        <v>199.25</v>
      </c>
      <c r="D949" s="115">
        <v>197</v>
      </c>
      <c r="E949" s="115">
        <v>198</v>
      </c>
      <c r="F949" s="115">
        <v>199.25</v>
      </c>
      <c r="G949">
        <v>2564</v>
      </c>
      <c r="H949" s="115"/>
      <c r="I949" s="115"/>
      <c r="L949" s="169">
        <v>43399</v>
      </c>
      <c r="M949" s="115">
        <v>199.35</v>
      </c>
      <c r="N949" s="115">
        <v>202.8</v>
      </c>
      <c r="O949" s="115">
        <v>194</v>
      </c>
      <c r="P949" s="115">
        <v>201</v>
      </c>
      <c r="Q949" s="115">
        <v>199.35</v>
      </c>
      <c r="R949">
        <v>11589</v>
      </c>
    </row>
    <row r="950" spans="1:18" x14ac:dyDescent="0.25">
      <c r="A950" s="169">
        <v>43402</v>
      </c>
      <c r="B950" s="115">
        <v>209</v>
      </c>
      <c r="C950" s="115">
        <v>201.55</v>
      </c>
      <c r="D950" s="115">
        <v>197</v>
      </c>
      <c r="E950" s="115">
        <v>197</v>
      </c>
      <c r="F950" s="115">
        <v>201.55</v>
      </c>
      <c r="G950">
        <v>1020</v>
      </c>
      <c r="H950" s="115"/>
      <c r="I950" s="115"/>
      <c r="L950" s="169">
        <v>43402</v>
      </c>
      <c r="M950" s="115">
        <v>200.4</v>
      </c>
      <c r="N950" s="115">
        <v>209.95</v>
      </c>
      <c r="O950" s="115">
        <v>197.55</v>
      </c>
      <c r="P950" s="115">
        <v>199</v>
      </c>
      <c r="Q950" s="115">
        <v>200.4</v>
      </c>
      <c r="R950">
        <v>19498</v>
      </c>
    </row>
    <row r="951" spans="1:18" x14ac:dyDescent="0.25">
      <c r="A951" s="169">
        <v>43403</v>
      </c>
      <c r="B951" s="115">
        <v>210.2</v>
      </c>
      <c r="C951" s="115">
        <v>204.55</v>
      </c>
      <c r="D951" s="115">
        <v>202</v>
      </c>
      <c r="E951" s="115">
        <v>204.85</v>
      </c>
      <c r="F951" s="115">
        <v>204.55</v>
      </c>
      <c r="G951">
        <v>2002</v>
      </c>
      <c r="H951" s="115"/>
      <c r="I951" s="115"/>
      <c r="L951" s="169">
        <v>43403</v>
      </c>
      <c r="M951" s="115">
        <v>208.15</v>
      </c>
      <c r="N951" s="115">
        <v>211.25</v>
      </c>
      <c r="O951" s="115">
        <v>201.45</v>
      </c>
      <c r="P951" s="115">
        <v>201.45</v>
      </c>
      <c r="Q951" s="115">
        <v>208.15</v>
      </c>
      <c r="R951">
        <v>9128</v>
      </c>
    </row>
    <row r="952" spans="1:18" x14ac:dyDescent="0.25">
      <c r="A952" s="169">
        <v>43404</v>
      </c>
      <c r="B952" s="115">
        <v>214.5</v>
      </c>
      <c r="C952" s="115">
        <v>212.55</v>
      </c>
      <c r="D952" s="115">
        <v>208</v>
      </c>
      <c r="E952" s="115">
        <v>210</v>
      </c>
      <c r="F952" s="115">
        <v>212.55</v>
      </c>
      <c r="G952">
        <v>2098</v>
      </c>
      <c r="H952" s="115"/>
      <c r="I952" s="115"/>
      <c r="L952" s="169">
        <v>43404</v>
      </c>
      <c r="M952" s="115">
        <v>213.45</v>
      </c>
      <c r="N952" s="115">
        <v>215.6</v>
      </c>
      <c r="O952" s="115">
        <v>207.8</v>
      </c>
      <c r="P952" s="115">
        <v>208.5</v>
      </c>
      <c r="Q952" s="115">
        <v>213.45</v>
      </c>
      <c r="R952">
        <v>5219</v>
      </c>
    </row>
    <row r="953" spans="1:18" x14ac:dyDescent="0.25">
      <c r="A953" s="169">
        <v>43405</v>
      </c>
      <c r="B953" s="115">
        <v>218</v>
      </c>
      <c r="C953" s="115">
        <v>215.4</v>
      </c>
      <c r="D953" s="115">
        <v>213.1</v>
      </c>
      <c r="E953" s="115">
        <v>215</v>
      </c>
      <c r="F953" s="115">
        <v>215.4</v>
      </c>
      <c r="G953">
        <v>6204</v>
      </c>
      <c r="H953" s="115"/>
      <c r="I953" s="115"/>
      <c r="L953" s="169">
        <v>43405</v>
      </c>
      <c r="M953" s="115">
        <v>214.6</v>
      </c>
      <c r="N953" s="115">
        <v>219.4</v>
      </c>
      <c r="O953" s="115">
        <v>211.7</v>
      </c>
      <c r="P953" s="115">
        <v>215</v>
      </c>
      <c r="Q953" s="115">
        <v>214.6</v>
      </c>
      <c r="R953">
        <v>23724</v>
      </c>
    </row>
    <row r="954" spans="1:18" x14ac:dyDescent="0.25">
      <c r="A954" s="169">
        <v>43406</v>
      </c>
      <c r="B954" s="115">
        <v>214.6</v>
      </c>
      <c r="C954" s="115">
        <v>209.65</v>
      </c>
      <c r="D954" s="115">
        <v>205</v>
      </c>
      <c r="E954" s="115">
        <v>205</v>
      </c>
      <c r="F954" s="115">
        <v>209.65</v>
      </c>
      <c r="G954">
        <v>4483</v>
      </c>
      <c r="H954" s="115"/>
      <c r="I954" s="115"/>
      <c r="L954" s="169">
        <v>43406</v>
      </c>
      <c r="M954" s="115">
        <v>208.6</v>
      </c>
      <c r="N954" s="115">
        <v>214.2</v>
      </c>
      <c r="O954" s="115">
        <v>206.4</v>
      </c>
      <c r="P954" s="115">
        <v>208.05</v>
      </c>
      <c r="Q954" s="115">
        <v>208.6</v>
      </c>
      <c r="R954">
        <v>39730</v>
      </c>
    </row>
    <row r="955" spans="1:18" x14ac:dyDescent="0.25">
      <c r="A955" s="169">
        <v>43409</v>
      </c>
      <c r="B955" s="115">
        <v>211.25</v>
      </c>
      <c r="C955" s="115">
        <v>204.55</v>
      </c>
      <c r="D955" s="115">
        <v>203.95</v>
      </c>
      <c r="E955" s="115">
        <v>208.2</v>
      </c>
      <c r="F955" s="115">
        <v>204.55</v>
      </c>
      <c r="G955">
        <v>3013</v>
      </c>
      <c r="H955" s="115"/>
      <c r="I955" s="115"/>
      <c r="L955" s="169">
        <v>43409</v>
      </c>
      <c r="M955" s="115">
        <v>204.95</v>
      </c>
      <c r="N955" s="115">
        <v>214</v>
      </c>
      <c r="O955" s="115">
        <v>203</v>
      </c>
      <c r="P955" s="115">
        <v>209</v>
      </c>
      <c r="Q955" s="115">
        <v>204.95</v>
      </c>
      <c r="R955">
        <v>12653</v>
      </c>
    </row>
    <row r="956" spans="1:18" x14ac:dyDescent="0.25">
      <c r="A956" s="169">
        <v>43410</v>
      </c>
      <c r="B956" s="115">
        <v>208</v>
      </c>
      <c r="C956" s="115">
        <v>202.7</v>
      </c>
      <c r="D956" s="115">
        <v>200.1</v>
      </c>
      <c r="E956" s="115">
        <v>206</v>
      </c>
      <c r="F956" s="115">
        <v>202.7</v>
      </c>
      <c r="G956">
        <v>730</v>
      </c>
      <c r="H956" s="115"/>
      <c r="I956" s="115"/>
      <c r="L956" s="169">
        <v>43410</v>
      </c>
      <c r="M956" s="115">
        <v>203.25</v>
      </c>
      <c r="N956" s="115">
        <v>210.45</v>
      </c>
      <c r="O956" s="115">
        <v>201.1</v>
      </c>
      <c r="P956" s="115">
        <v>207.95</v>
      </c>
      <c r="Q956" s="115">
        <v>203.25</v>
      </c>
      <c r="R956">
        <v>16735</v>
      </c>
    </row>
    <row r="957" spans="1:18" x14ac:dyDescent="0.25">
      <c r="A957" s="169">
        <v>43411</v>
      </c>
      <c r="B957" s="115">
        <v>213.9</v>
      </c>
      <c r="C957" s="115">
        <v>206.1</v>
      </c>
      <c r="D957" s="115">
        <v>204.5</v>
      </c>
      <c r="E957" s="115">
        <v>207.1</v>
      </c>
      <c r="F957" s="115">
        <v>206.1</v>
      </c>
      <c r="G957">
        <v>2571</v>
      </c>
      <c r="H957" s="115"/>
      <c r="I957" s="115"/>
      <c r="L957" s="169">
        <v>43411</v>
      </c>
      <c r="M957" s="115">
        <v>205.05</v>
      </c>
      <c r="N957" s="115">
        <v>209</v>
      </c>
      <c r="O957" s="115">
        <v>204</v>
      </c>
      <c r="P957" s="115">
        <v>207.95</v>
      </c>
      <c r="Q957" s="115">
        <v>205.05</v>
      </c>
      <c r="R957">
        <v>10180</v>
      </c>
    </row>
    <row r="958" spans="1:18" x14ac:dyDescent="0.25">
      <c r="A958" s="169">
        <v>43413</v>
      </c>
      <c r="B958" s="115">
        <v>211.75</v>
      </c>
      <c r="C958" s="115">
        <v>211.4</v>
      </c>
      <c r="D958" s="115">
        <v>206.05</v>
      </c>
      <c r="E958" s="115">
        <v>207.95</v>
      </c>
      <c r="F958" s="115">
        <v>211.4</v>
      </c>
      <c r="G958">
        <v>944</v>
      </c>
      <c r="H958" s="115"/>
      <c r="I958" s="115"/>
      <c r="L958" s="169">
        <v>43413</v>
      </c>
      <c r="M958" s="115">
        <v>209.2</v>
      </c>
      <c r="N958" s="115">
        <v>212.3</v>
      </c>
      <c r="O958" s="115">
        <v>205.95</v>
      </c>
      <c r="P958" s="115">
        <v>207.2</v>
      </c>
      <c r="Q958" s="115">
        <v>209.2</v>
      </c>
      <c r="R958">
        <v>10339</v>
      </c>
    </row>
    <row r="959" spans="1:18" x14ac:dyDescent="0.25">
      <c r="A959" s="169">
        <v>43416</v>
      </c>
      <c r="B959" s="115">
        <v>215.35</v>
      </c>
      <c r="C959" s="115">
        <v>207.45</v>
      </c>
      <c r="D959" s="115">
        <v>207.1</v>
      </c>
      <c r="E959" s="115">
        <v>215.35</v>
      </c>
      <c r="F959" s="115">
        <v>207.45</v>
      </c>
      <c r="G959">
        <v>916</v>
      </c>
      <c r="H959" s="115"/>
      <c r="I959" s="115"/>
      <c r="L959" s="169">
        <v>43416</v>
      </c>
      <c r="M959" s="115">
        <v>207.45</v>
      </c>
      <c r="N959" s="115">
        <v>212.5</v>
      </c>
      <c r="O959" s="115">
        <v>207</v>
      </c>
      <c r="P959" s="115">
        <v>209.2</v>
      </c>
      <c r="Q959" s="115">
        <v>207.45</v>
      </c>
      <c r="R959">
        <v>7455</v>
      </c>
    </row>
    <row r="960" spans="1:18" x14ac:dyDescent="0.25">
      <c r="A960" s="169">
        <v>43417</v>
      </c>
      <c r="B960" s="115">
        <v>211.25</v>
      </c>
      <c r="C960" s="115">
        <v>206.85</v>
      </c>
      <c r="D960" s="115">
        <v>203</v>
      </c>
      <c r="E960" s="115">
        <v>209</v>
      </c>
      <c r="F960" s="115">
        <v>206.85</v>
      </c>
      <c r="G960">
        <v>321</v>
      </c>
      <c r="H960" s="115"/>
      <c r="I960" s="115"/>
      <c r="L960" s="169">
        <v>43417</v>
      </c>
      <c r="M960" s="115">
        <v>205.1</v>
      </c>
      <c r="N960" s="115">
        <v>210.25</v>
      </c>
      <c r="O960" s="115">
        <v>203</v>
      </c>
      <c r="P960" s="115">
        <v>207.1</v>
      </c>
      <c r="Q960" s="115">
        <v>205.1</v>
      </c>
      <c r="R960">
        <v>8592</v>
      </c>
    </row>
    <row r="961" spans="1:18" x14ac:dyDescent="0.25">
      <c r="A961" s="169">
        <v>43418</v>
      </c>
      <c r="B961" s="115">
        <v>211.8</v>
      </c>
      <c r="C961" s="115">
        <v>207.25</v>
      </c>
      <c r="D961" s="115">
        <v>206</v>
      </c>
      <c r="E961" s="115">
        <v>208.05</v>
      </c>
      <c r="F961" s="115">
        <v>207.25</v>
      </c>
      <c r="G961">
        <v>2364</v>
      </c>
      <c r="H961" s="115"/>
      <c r="I961" s="115"/>
      <c r="L961" s="169">
        <v>43418</v>
      </c>
      <c r="M961" s="115">
        <v>208.9</v>
      </c>
      <c r="N961" s="115">
        <v>213.4</v>
      </c>
      <c r="O961" s="115">
        <v>205.7</v>
      </c>
      <c r="P961" s="115">
        <v>205.7</v>
      </c>
      <c r="Q961" s="115">
        <v>208.9</v>
      </c>
      <c r="R961">
        <v>12294</v>
      </c>
    </row>
    <row r="962" spans="1:18" x14ac:dyDescent="0.25">
      <c r="A962" s="169">
        <v>43419</v>
      </c>
      <c r="B962" s="115">
        <v>214</v>
      </c>
      <c r="C962" s="115">
        <v>207.9</v>
      </c>
      <c r="D962" s="115">
        <v>207.25</v>
      </c>
      <c r="E962" s="115">
        <v>210.4</v>
      </c>
      <c r="F962" s="115">
        <v>207.9</v>
      </c>
      <c r="G962">
        <v>525</v>
      </c>
      <c r="H962" s="115"/>
      <c r="I962" s="115"/>
      <c r="L962" s="169">
        <v>43419</v>
      </c>
      <c r="M962" s="115">
        <v>205.25</v>
      </c>
      <c r="N962" s="115">
        <v>210.7</v>
      </c>
      <c r="O962" s="115">
        <v>204</v>
      </c>
      <c r="P962" s="115">
        <v>209</v>
      </c>
      <c r="Q962" s="115">
        <v>205.25</v>
      </c>
      <c r="R962">
        <v>6851</v>
      </c>
    </row>
    <row r="963" spans="1:18" x14ac:dyDescent="0.25">
      <c r="A963" s="169">
        <v>43420</v>
      </c>
      <c r="B963" s="115">
        <v>209</v>
      </c>
      <c r="C963" s="115">
        <v>206.7</v>
      </c>
      <c r="D963" s="115">
        <v>205</v>
      </c>
      <c r="E963" s="115">
        <v>205</v>
      </c>
      <c r="F963" s="115">
        <v>206.7</v>
      </c>
      <c r="G963">
        <v>1895</v>
      </c>
      <c r="H963" s="115"/>
      <c r="I963" s="115"/>
      <c r="L963" s="169">
        <v>43420</v>
      </c>
      <c r="M963" s="115">
        <v>208.9</v>
      </c>
      <c r="N963" s="115">
        <v>209.65</v>
      </c>
      <c r="O963" s="115">
        <v>205.5</v>
      </c>
      <c r="P963" s="115">
        <v>206.35</v>
      </c>
      <c r="Q963" s="115">
        <v>208.9</v>
      </c>
      <c r="R963">
        <v>8584</v>
      </c>
    </row>
    <row r="964" spans="1:18" x14ac:dyDescent="0.25">
      <c r="A964" s="169">
        <v>43423</v>
      </c>
      <c r="B964" s="115">
        <v>210.8</v>
      </c>
      <c r="C964" s="115">
        <v>207.45</v>
      </c>
      <c r="D964" s="115">
        <v>205</v>
      </c>
      <c r="E964" s="115">
        <v>209.05</v>
      </c>
      <c r="F964" s="115">
        <v>207.45</v>
      </c>
      <c r="G964">
        <v>446</v>
      </c>
      <c r="H964" s="115"/>
      <c r="I964" s="115"/>
      <c r="L964" s="169">
        <v>43423</v>
      </c>
      <c r="M964" s="115">
        <v>206.1</v>
      </c>
      <c r="N964" s="115">
        <v>214.9</v>
      </c>
      <c r="O964" s="115">
        <v>205.1</v>
      </c>
      <c r="P964" s="115">
        <v>214.9</v>
      </c>
      <c r="Q964" s="115">
        <v>206.1</v>
      </c>
      <c r="R964">
        <v>4481</v>
      </c>
    </row>
    <row r="965" spans="1:18" x14ac:dyDescent="0.25">
      <c r="A965" s="169">
        <v>43424</v>
      </c>
      <c r="B965" s="115">
        <v>209</v>
      </c>
      <c r="C965" s="115">
        <v>205.95</v>
      </c>
      <c r="D965" s="115">
        <v>203</v>
      </c>
      <c r="E965" s="115">
        <v>205</v>
      </c>
      <c r="F965" s="115">
        <v>205.95</v>
      </c>
      <c r="G965">
        <v>2557</v>
      </c>
      <c r="H965" s="115"/>
      <c r="I965" s="115"/>
      <c r="L965" s="169">
        <v>43424</v>
      </c>
      <c r="M965" s="115">
        <v>205.9</v>
      </c>
      <c r="N965" s="115">
        <v>209</v>
      </c>
      <c r="O965" s="115">
        <v>203</v>
      </c>
      <c r="P965" s="115">
        <v>204.55</v>
      </c>
      <c r="Q965" s="115">
        <v>205.9</v>
      </c>
      <c r="R965">
        <v>7163</v>
      </c>
    </row>
    <row r="966" spans="1:18" x14ac:dyDescent="0.25">
      <c r="A966" s="169">
        <v>43425</v>
      </c>
      <c r="B966" s="115">
        <v>208</v>
      </c>
      <c r="C966" s="115">
        <v>207.75</v>
      </c>
      <c r="D966" s="115">
        <v>203.15</v>
      </c>
      <c r="E966" s="115">
        <v>204</v>
      </c>
      <c r="F966" s="115">
        <v>207.75</v>
      </c>
      <c r="G966">
        <v>613</v>
      </c>
      <c r="H966" s="115"/>
      <c r="I966" s="115"/>
      <c r="L966" s="169">
        <v>43425</v>
      </c>
      <c r="M966" s="115">
        <v>206.25</v>
      </c>
      <c r="N966" s="115">
        <v>209.9</v>
      </c>
      <c r="O966" s="115">
        <v>203.45</v>
      </c>
      <c r="P966" s="115">
        <v>204.5</v>
      </c>
      <c r="Q966" s="115">
        <v>206.25</v>
      </c>
      <c r="R966">
        <v>6068</v>
      </c>
    </row>
    <row r="967" spans="1:18" x14ac:dyDescent="0.25">
      <c r="A967" s="169">
        <v>43426</v>
      </c>
      <c r="B967" s="115">
        <v>237</v>
      </c>
      <c r="C967" s="115">
        <v>220.85</v>
      </c>
      <c r="D967" s="115">
        <v>192</v>
      </c>
      <c r="E967" s="115">
        <v>200</v>
      </c>
      <c r="F967" s="115">
        <v>220.85</v>
      </c>
      <c r="G967">
        <v>106686</v>
      </c>
      <c r="H967" s="115"/>
      <c r="I967" s="115"/>
      <c r="L967" s="169">
        <v>43426</v>
      </c>
      <c r="M967" s="115">
        <v>222.8</v>
      </c>
      <c r="N967" s="115">
        <v>238.4</v>
      </c>
      <c r="O967" s="115">
        <v>190.3</v>
      </c>
      <c r="P967" s="115">
        <v>199.85</v>
      </c>
      <c r="Q967" s="115">
        <v>222.8</v>
      </c>
      <c r="R967">
        <v>659919</v>
      </c>
    </row>
    <row r="968" spans="1:18" x14ac:dyDescent="0.25">
      <c r="A968" s="169">
        <v>43430</v>
      </c>
      <c r="B968" s="115">
        <v>228.6</v>
      </c>
      <c r="C968" s="115">
        <v>216.1</v>
      </c>
      <c r="D968" s="115">
        <v>212.05</v>
      </c>
      <c r="E968" s="115">
        <v>224</v>
      </c>
      <c r="F968" s="115">
        <v>216.1</v>
      </c>
      <c r="G968">
        <v>6957</v>
      </c>
      <c r="H968" s="115"/>
      <c r="I968" s="115"/>
      <c r="L968" s="169">
        <v>43430</v>
      </c>
      <c r="M968" s="115">
        <v>217.05</v>
      </c>
      <c r="N968" s="115">
        <v>229.8</v>
      </c>
      <c r="O968" s="115">
        <v>214.55</v>
      </c>
      <c r="P968" s="115">
        <v>223</v>
      </c>
      <c r="Q968" s="115">
        <v>217.05</v>
      </c>
      <c r="R968">
        <v>44943</v>
      </c>
    </row>
    <row r="969" spans="1:18" x14ac:dyDescent="0.25">
      <c r="A969" s="169">
        <v>43431</v>
      </c>
      <c r="B969" s="115">
        <v>217</v>
      </c>
      <c r="C969" s="115">
        <v>212.65</v>
      </c>
      <c r="D969" s="115">
        <v>210.05</v>
      </c>
      <c r="E969" s="115">
        <v>217</v>
      </c>
      <c r="F969" s="115">
        <v>212.65</v>
      </c>
      <c r="G969">
        <v>795</v>
      </c>
      <c r="H969" s="115"/>
      <c r="I969" s="115"/>
      <c r="L969" s="169">
        <v>43431</v>
      </c>
      <c r="M969" s="115">
        <v>212.4</v>
      </c>
      <c r="N969" s="115">
        <v>217.7</v>
      </c>
      <c r="O969" s="115">
        <v>210.5</v>
      </c>
      <c r="P969" s="115">
        <v>214</v>
      </c>
      <c r="Q969" s="115">
        <v>212.4</v>
      </c>
      <c r="R969">
        <v>17365</v>
      </c>
    </row>
    <row r="970" spans="1:18" x14ac:dyDescent="0.25">
      <c r="A970" s="169">
        <v>43432</v>
      </c>
      <c r="B970" s="115">
        <v>221</v>
      </c>
      <c r="C970" s="115">
        <v>204.5</v>
      </c>
      <c r="D970" s="115">
        <v>203</v>
      </c>
      <c r="E970" s="115">
        <v>216.25</v>
      </c>
      <c r="F970" s="115">
        <v>204.5</v>
      </c>
      <c r="G970">
        <v>5141</v>
      </c>
      <c r="H970" s="115"/>
      <c r="I970" s="115"/>
      <c r="L970" s="169">
        <v>43432</v>
      </c>
      <c r="M970" s="115">
        <v>203.35</v>
      </c>
      <c r="N970" s="115">
        <v>219.9</v>
      </c>
      <c r="O970" s="115">
        <v>201</v>
      </c>
      <c r="P970" s="115">
        <v>214.05</v>
      </c>
      <c r="Q970" s="115">
        <v>203.35</v>
      </c>
      <c r="R970">
        <v>31101</v>
      </c>
    </row>
    <row r="971" spans="1:18" x14ac:dyDescent="0.25">
      <c r="A971" s="169">
        <v>43433</v>
      </c>
      <c r="B971" s="115">
        <v>211.9</v>
      </c>
      <c r="C971" s="115">
        <v>204.7</v>
      </c>
      <c r="D971" s="115">
        <v>200</v>
      </c>
      <c r="E971" s="115">
        <v>202.65</v>
      </c>
      <c r="F971" s="115">
        <v>204.7</v>
      </c>
      <c r="G971">
        <v>2949</v>
      </c>
      <c r="H971" s="115"/>
      <c r="I971" s="115"/>
      <c r="L971" s="169">
        <v>43433</v>
      </c>
      <c r="M971" s="115">
        <v>202.45</v>
      </c>
      <c r="N971" s="115">
        <v>208</v>
      </c>
      <c r="O971" s="115">
        <v>199.1</v>
      </c>
      <c r="P971" s="115">
        <v>202.05</v>
      </c>
      <c r="Q971" s="115">
        <v>202.45</v>
      </c>
      <c r="R971">
        <v>25869</v>
      </c>
    </row>
    <row r="972" spans="1:18" x14ac:dyDescent="0.25">
      <c r="A972" s="169">
        <v>43434</v>
      </c>
      <c r="B972" s="115">
        <v>212.5</v>
      </c>
      <c r="C972" s="115">
        <v>208</v>
      </c>
      <c r="D972" s="115">
        <v>203</v>
      </c>
      <c r="E972" s="115">
        <v>203.8</v>
      </c>
      <c r="F972" s="115">
        <v>208</v>
      </c>
      <c r="G972">
        <v>2667</v>
      </c>
      <c r="H972" s="115"/>
      <c r="I972" s="115"/>
      <c r="L972" s="169">
        <v>43434</v>
      </c>
      <c r="M972" s="115">
        <v>207.05</v>
      </c>
      <c r="N972" s="115">
        <v>212.25</v>
      </c>
      <c r="O972" s="115">
        <v>201.3</v>
      </c>
      <c r="P972" s="115">
        <v>202.2</v>
      </c>
      <c r="Q972" s="115">
        <v>207.05</v>
      </c>
      <c r="R972">
        <v>15822</v>
      </c>
    </row>
    <row r="973" spans="1:18" x14ac:dyDescent="0.25">
      <c r="A973" s="169">
        <v>43437</v>
      </c>
      <c r="B973" s="115">
        <v>212</v>
      </c>
      <c r="C973" s="115">
        <v>210.3</v>
      </c>
      <c r="D973" s="115">
        <v>203.05</v>
      </c>
      <c r="E973" s="115">
        <v>208.05</v>
      </c>
      <c r="F973" s="115">
        <v>210.3</v>
      </c>
      <c r="G973">
        <v>1399</v>
      </c>
      <c r="H973" s="115"/>
      <c r="I973" s="115"/>
      <c r="L973" s="169">
        <v>43437</v>
      </c>
      <c r="M973" s="115">
        <v>211.1</v>
      </c>
      <c r="N973" s="115">
        <v>212.95</v>
      </c>
      <c r="O973" s="115">
        <v>202.6</v>
      </c>
      <c r="P973" s="115">
        <v>208.9</v>
      </c>
      <c r="Q973" s="115">
        <v>211.1</v>
      </c>
      <c r="R973">
        <v>8432</v>
      </c>
    </row>
    <row r="974" spans="1:18" x14ac:dyDescent="0.25">
      <c r="A974" s="169">
        <v>43438</v>
      </c>
      <c r="B974" s="115">
        <v>212</v>
      </c>
      <c r="C974" s="115">
        <v>209.75</v>
      </c>
      <c r="D974" s="115">
        <v>205.5</v>
      </c>
      <c r="E974" s="115">
        <v>212</v>
      </c>
      <c r="F974" s="115">
        <v>209.75</v>
      </c>
      <c r="G974">
        <v>1096</v>
      </c>
      <c r="H974" s="115"/>
      <c r="I974" s="115"/>
      <c r="L974" s="169">
        <v>43438</v>
      </c>
      <c r="M974" s="115">
        <v>207.25</v>
      </c>
      <c r="N974" s="115">
        <v>212.95</v>
      </c>
      <c r="O974" s="115">
        <v>204</v>
      </c>
      <c r="P974" s="115">
        <v>209.75</v>
      </c>
      <c r="Q974" s="115">
        <v>207.25</v>
      </c>
      <c r="R974">
        <v>10538</v>
      </c>
    </row>
    <row r="975" spans="1:18" x14ac:dyDescent="0.25">
      <c r="A975" s="169">
        <v>43439</v>
      </c>
      <c r="B975" s="115">
        <v>213</v>
      </c>
      <c r="C975" s="115">
        <v>211</v>
      </c>
      <c r="D975" s="115">
        <v>204.25</v>
      </c>
      <c r="E975" s="115">
        <v>210</v>
      </c>
      <c r="F975" s="115">
        <v>211</v>
      </c>
      <c r="G975">
        <v>3578</v>
      </c>
      <c r="H975" s="115"/>
      <c r="I975" s="115"/>
      <c r="L975" s="169">
        <v>43439</v>
      </c>
      <c r="M975" s="115">
        <v>209.4</v>
      </c>
      <c r="N975" s="115">
        <v>212</v>
      </c>
      <c r="O975" s="115">
        <v>204</v>
      </c>
      <c r="P975" s="115">
        <v>210.9</v>
      </c>
      <c r="Q975" s="115">
        <v>209.4</v>
      </c>
      <c r="R975">
        <v>20052</v>
      </c>
    </row>
    <row r="976" spans="1:18" x14ac:dyDescent="0.25">
      <c r="A976" s="169">
        <v>43440</v>
      </c>
      <c r="B976" s="115">
        <v>207.8</v>
      </c>
      <c r="C976" s="115">
        <v>202.7</v>
      </c>
      <c r="D976" s="115">
        <v>201.3</v>
      </c>
      <c r="E976" s="115">
        <v>207.8</v>
      </c>
      <c r="F976" s="115">
        <v>202.7</v>
      </c>
      <c r="G976">
        <v>406</v>
      </c>
      <c r="H976" s="115"/>
      <c r="I976" s="115"/>
      <c r="L976" s="169">
        <v>43440</v>
      </c>
      <c r="M976" s="115">
        <v>201.85</v>
      </c>
      <c r="N976" s="115">
        <v>208</v>
      </c>
      <c r="O976" s="115">
        <v>201</v>
      </c>
      <c r="P976" s="115">
        <v>208</v>
      </c>
      <c r="Q976" s="115">
        <v>201.85</v>
      </c>
      <c r="R976">
        <v>10875</v>
      </c>
    </row>
    <row r="977" spans="1:18" x14ac:dyDescent="0.25">
      <c r="A977" s="169">
        <v>43441</v>
      </c>
      <c r="B977" s="115">
        <v>205</v>
      </c>
      <c r="C977" s="115">
        <v>198.5</v>
      </c>
      <c r="D977" s="115">
        <v>198</v>
      </c>
      <c r="E977" s="115">
        <v>203</v>
      </c>
      <c r="F977" s="115">
        <v>198.5</v>
      </c>
      <c r="G977">
        <v>2828</v>
      </c>
      <c r="H977" s="115"/>
      <c r="I977" s="115"/>
      <c r="L977" s="169">
        <v>43441</v>
      </c>
      <c r="M977" s="115">
        <v>198.7</v>
      </c>
      <c r="N977" s="115">
        <v>205.65</v>
      </c>
      <c r="O977" s="115">
        <v>197.5</v>
      </c>
      <c r="P977" s="115">
        <v>202</v>
      </c>
      <c r="Q977" s="115">
        <v>198.7</v>
      </c>
      <c r="R977">
        <v>22188</v>
      </c>
    </row>
    <row r="978" spans="1:18" x14ac:dyDescent="0.25">
      <c r="A978" s="169">
        <v>43444</v>
      </c>
      <c r="B978" s="115">
        <v>202.8</v>
      </c>
      <c r="C978" s="115">
        <v>197.35</v>
      </c>
      <c r="D978" s="115">
        <v>196</v>
      </c>
      <c r="E978" s="115">
        <v>196</v>
      </c>
      <c r="F978" s="115">
        <v>197.35</v>
      </c>
      <c r="G978">
        <v>365</v>
      </c>
      <c r="H978" s="115"/>
      <c r="I978" s="115"/>
      <c r="L978" s="169">
        <v>43444</v>
      </c>
      <c r="M978" s="115">
        <v>198.55</v>
      </c>
      <c r="N978" s="115">
        <v>204</v>
      </c>
      <c r="O978" s="115">
        <v>195</v>
      </c>
      <c r="P978" s="115">
        <v>198.5</v>
      </c>
      <c r="Q978" s="115">
        <v>198.55</v>
      </c>
      <c r="R978">
        <v>8364</v>
      </c>
    </row>
    <row r="979" spans="1:18" x14ac:dyDescent="0.25">
      <c r="A979" s="169">
        <v>43445</v>
      </c>
      <c r="B979" s="115">
        <v>201.6</v>
      </c>
      <c r="C979" s="115">
        <v>201.2</v>
      </c>
      <c r="D979" s="115">
        <v>198</v>
      </c>
      <c r="E979" s="115">
        <v>200</v>
      </c>
      <c r="F979" s="115">
        <v>201.2</v>
      </c>
      <c r="G979">
        <v>1108</v>
      </c>
      <c r="H979" s="115"/>
      <c r="I979" s="115"/>
      <c r="L979" s="169">
        <v>43445</v>
      </c>
      <c r="M979" s="115">
        <v>200.55</v>
      </c>
      <c r="N979" s="115">
        <v>203.45</v>
      </c>
      <c r="O979" s="115">
        <v>192.15</v>
      </c>
      <c r="P979" s="115">
        <v>192.15</v>
      </c>
      <c r="Q979" s="115">
        <v>200.55</v>
      </c>
      <c r="R979">
        <v>6305</v>
      </c>
    </row>
    <row r="980" spans="1:18" x14ac:dyDescent="0.25">
      <c r="A980" s="169">
        <v>43446</v>
      </c>
      <c r="B980" s="115">
        <v>205.2</v>
      </c>
      <c r="C980" s="115">
        <v>199.95</v>
      </c>
      <c r="D980" s="115">
        <v>199</v>
      </c>
      <c r="E980" s="115">
        <v>202</v>
      </c>
      <c r="F980" s="115">
        <v>199.95</v>
      </c>
      <c r="G980">
        <v>1722</v>
      </c>
      <c r="H980" s="115"/>
      <c r="I980" s="115"/>
      <c r="L980" s="169">
        <v>43446</v>
      </c>
      <c r="M980" s="115">
        <v>199.8</v>
      </c>
      <c r="N980" s="115">
        <v>205.1</v>
      </c>
      <c r="O980" s="115">
        <v>198.15</v>
      </c>
      <c r="P980" s="115">
        <v>202.95</v>
      </c>
      <c r="Q980" s="115">
        <v>199.8</v>
      </c>
      <c r="R980">
        <v>16242</v>
      </c>
    </row>
    <row r="981" spans="1:18" x14ac:dyDescent="0.25">
      <c r="A981" s="169">
        <v>43447</v>
      </c>
      <c r="B981" s="115">
        <v>202</v>
      </c>
      <c r="C981" s="115">
        <v>194.4</v>
      </c>
      <c r="D981" s="115">
        <v>193.75</v>
      </c>
      <c r="E981" s="115">
        <v>202</v>
      </c>
      <c r="F981" s="115">
        <v>194.4</v>
      </c>
      <c r="G981">
        <v>3288</v>
      </c>
      <c r="H981" s="115"/>
      <c r="I981" s="115"/>
      <c r="L981" s="169">
        <v>43447</v>
      </c>
      <c r="M981" s="115">
        <v>195.65</v>
      </c>
      <c r="N981" s="115">
        <v>204.05</v>
      </c>
      <c r="O981" s="115">
        <v>193.75</v>
      </c>
      <c r="P981" s="115">
        <v>201.15</v>
      </c>
      <c r="Q981" s="115">
        <v>195.65</v>
      </c>
      <c r="R981">
        <v>35631</v>
      </c>
    </row>
    <row r="982" spans="1:18" x14ac:dyDescent="0.25">
      <c r="A982" s="169">
        <v>43448</v>
      </c>
      <c r="B982" s="115">
        <v>201.75</v>
      </c>
      <c r="C982" s="115">
        <v>196.5</v>
      </c>
      <c r="D982" s="115">
        <v>195</v>
      </c>
      <c r="E982" s="115">
        <v>198.85</v>
      </c>
      <c r="F982" s="115">
        <v>196.5</v>
      </c>
      <c r="G982">
        <v>2668</v>
      </c>
      <c r="H982" s="115"/>
      <c r="I982" s="115"/>
      <c r="L982" s="169">
        <v>43448</v>
      </c>
      <c r="M982" s="115">
        <v>196.15</v>
      </c>
      <c r="N982" s="115">
        <v>201.8</v>
      </c>
      <c r="O982" s="115">
        <v>195</v>
      </c>
      <c r="P982" s="115">
        <v>196.6</v>
      </c>
      <c r="Q982" s="115">
        <v>196.15</v>
      </c>
      <c r="R982">
        <v>12068</v>
      </c>
    </row>
    <row r="983" spans="1:18" x14ac:dyDescent="0.25">
      <c r="A983" s="169">
        <v>43451</v>
      </c>
      <c r="B983" s="115">
        <v>200.5</v>
      </c>
      <c r="C983" s="115">
        <v>199.65</v>
      </c>
      <c r="D983" s="115">
        <v>195</v>
      </c>
      <c r="E983" s="115">
        <v>199</v>
      </c>
      <c r="F983" s="115">
        <v>199.65</v>
      </c>
      <c r="G983">
        <v>2213</v>
      </c>
      <c r="H983" s="115"/>
      <c r="I983" s="115"/>
      <c r="L983" s="169">
        <v>43451</v>
      </c>
      <c r="M983" s="115">
        <v>200.55</v>
      </c>
      <c r="N983" s="115">
        <v>201.3</v>
      </c>
      <c r="O983" s="115">
        <v>194.2</v>
      </c>
      <c r="P983" s="115">
        <v>198.1</v>
      </c>
      <c r="Q983" s="115">
        <v>200.55</v>
      </c>
      <c r="R983">
        <v>29472</v>
      </c>
    </row>
    <row r="984" spans="1:18" x14ac:dyDescent="0.25">
      <c r="A984" s="169">
        <v>43452</v>
      </c>
      <c r="B984" s="115">
        <v>202</v>
      </c>
      <c r="C984" s="115">
        <v>201.45</v>
      </c>
      <c r="D984" s="115">
        <v>199.05</v>
      </c>
      <c r="E984" s="115">
        <v>202</v>
      </c>
      <c r="F984" s="115">
        <v>201.45</v>
      </c>
      <c r="G984">
        <v>639</v>
      </c>
      <c r="H984" s="115"/>
      <c r="I984" s="115"/>
      <c r="L984" s="169">
        <v>43452</v>
      </c>
      <c r="M984" s="115">
        <v>199.95</v>
      </c>
      <c r="N984" s="115">
        <v>202.45</v>
      </c>
      <c r="O984" s="115">
        <v>197.85</v>
      </c>
      <c r="P984" s="115">
        <v>199.65</v>
      </c>
      <c r="Q984" s="115">
        <v>199.95</v>
      </c>
      <c r="R984">
        <v>13561</v>
      </c>
    </row>
    <row r="985" spans="1:18" x14ac:dyDescent="0.25">
      <c r="A985" s="169">
        <v>43453</v>
      </c>
      <c r="B985" s="115">
        <v>201.9</v>
      </c>
      <c r="C985" s="115">
        <v>200.5</v>
      </c>
      <c r="D985" s="115">
        <v>199.15</v>
      </c>
      <c r="E985" s="115">
        <v>201.65</v>
      </c>
      <c r="F985" s="115">
        <v>200.5</v>
      </c>
      <c r="G985">
        <v>2955</v>
      </c>
      <c r="H985" s="115"/>
      <c r="I985" s="115"/>
      <c r="L985" s="169">
        <v>43453</v>
      </c>
      <c r="M985" s="115">
        <v>200.15</v>
      </c>
      <c r="N985" s="115">
        <v>202.5</v>
      </c>
      <c r="O985" s="115">
        <v>199.15</v>
      </c>
      <c r="P985" s="115">
        <v>199.15</v>
      </c>
      <c r="Q985" s="115">
        <v>200.15</v>
      </c>
      <c r="R985">
        <v>53102</v>
      </c>
    </row>
    <row r="986" spans="1:18" x14ac:dyDescent="0.25">
      <c r="A986" s="169">
        <v>43454</v>
      </c>
      <c r="B986" s="115">
        <v>200.9</v>
      </c>
      <c r="C986" s="115">
        <v>198.1</v>
      </c>
      <c r="D986" s="115">
        <v>197.5</v>
      </c>
      <c r="E986" s="115">
        <v>198.05</v>
      </c>
      <c r="F986" s="115">
        <v>198.1</v>
      </c>
      <c r="G986">
        <v>1471</v>
      </c>
      <c r="H986" s="115"/>
      <c r="I986" s="115"/>
      <c r="L986" s="169">
        <v>43454</v>
      </c>
      <c r="M986" s="115">
        <v>197.35</v>
      </c>
      <c r="N986" s="115">
        <v>200.6</v>
      </c>
      <c r="O986" s="115">
        <v>196.9</v>
      </c>
      <c r="P986" s="115">
        <v>199.9</v>
      </c>
      <c r="Q986" s="115">
        <v>197.35</v>
      </c>
      <c r="R986">
        <v>16216</v>
      </c>
    </row>
    <row r="987" spans="1:18" x14ac:dyDescent="0.25">
      <c r="A987" s="169">
        <v>43455</v>
      </c>
      <c r="B987" s="115">
        <v>198.55</v>
      </c>
      <c r="C987" s="115">
        <v>198.5</v>
      </c>
      <c r="D987" s="115">
        <v>196.75</v>
      </c>
      <c r="E987" s="115">
        <v>197.7</v>
      </c>
      <c r="F987" s="115">
        <v>198.5</v>
      </c>
      <c r="G987">
        <v>441</v>
      </c>
      <c r="H987" s="115"/>
      <c r="I987" s="115"/>
      <c r="L987" s="169">
        <v>43455</v>
      </c>
      <c r="M987" s="115">
        <v>197.6</v>
      </c>
      <c r="N987" s="115">
        <v>200.05</v>
      </c>
      <c r="O987" s="115">
        <v>196.9</v>
      </c>
      <c r="P987" s="115">
        <v>197.45</v>
      </c>
      <c r="Q987" s="115">
        <v>197.6</v>
      </c>
      <c r="R987">
        <v>10928</v>
      </c>
    </row>
    <row r="988" spans="1:18" x14ac:dyDescent="0.25">
      <c r="A988" s="169">
        <v>43458</v>
      </c>
      <c r="B988" s="115">
        <v>198</v>
      </c>
      <c r="C988" s="115">
        <v>194.7</v>
      </c>
      <c r="D988" s="115">
        <v>194.5</v>
      </c>
      <c r="E988" s="115">
        <v>198</v>
      </c>
      <c r="F988" s="115">
        <v>194.7</v>
      </c>
      <c r="G988">
        <v>678</v>
      </c>
      <c r="H988" s="115"/>
      <c r="I988" s="115"/>
      <c r="L988" s="169">
        <v>43458</v>
      </c>
      <c r="M988" s="115">
        <v>195.1</v>
      </c>
      <c r="N988" s="115">
        <v>199.75</v>
      </c>
      <c r="O988" s="115">
        <v>193.35</v>
      </c>
      <c r="P988" s="115">
        <v>198.7</v>
      </c>
      <c r="Q988" s="115">
        <v>195.1</v>
      </c>
      <c r="R988">
        <v>33536</v>
      </c>
    </row>
    <row r="989" spans="1:18" x14ac:dyDescent="0.25">
      <c r="A989" s="169">
        <v>43460</v>
      </c>
      <c r="B989" s="115">
        <v>195.6</v>
      </c>
      <c r="C989" s="115">
        <v>193.95</v>
      </c>
      <c r="D989" s="115">
        <v>192.05</v>
      </c>
      <c r="E989" s="115">
        <v>195.6</v>
      </c>
      <c r="F989" s="115">
        <v>193.95</v>
      </c>
      <c r="G989">
        <v>1586</v>
      </c>
      <c r="H989" s="115"/>
      <c r="I989" s="115"/>
      <c r="L989" s="169">
        <v>43460</v>
      </c>
      <c r="M989" s="115">
        <v>194.45</v>
      </c>
      <c r="N989" s="115">
        <v>198.85</v>
      </c>
      <c r="O989" s="115">
        <v>193.55</v>
      </c>
      <c r="P989" s="115">
        <v>198.85</v>
      </c>
      <c r="Q989" s="115">
        <v>194.45</v>
      </c>
      <c r="R989">
        <v>10653</v>
      </c>
    </row>
    <row r="990" spans="1:18" x14ac:dyDescent="0.25">
      <c r="A990" s="169">
        <v>43462</v>
      </c>
      <c r="B990" s="115">
        <v>196</v>
      </c>
      <c r="C990" s="115">
        <v>193.95</v>
      </c>
      <c r="D990" s="115">
        <v>193.5</v>
      </c>
      <c r="E990" s="115">
        <v>195.45</v>
      </c>
      <c r="F990" s="115">
        <v>193.95</v>
      </c>
      <c r="G990">
        <v>2676</v>
      </c>
      <c r="H990" s="115"/>
      <c r="I990" s="115"/>
      <c r="L990" s="169">
        <v>43461</v>
      </c>
      <c r="M990" s="115">
        <v>195.8</v>
      </c>
      <c r="N990" s="115">
        <v>199</v>
      </c>
      <c r="O990" s="115">
        <v>194</v>
      </c>
      <c r="P990" s="115">
        <v>199</v>
      </c>
      <c r="Q990" s="115">
        <v>195.8</v>
      </c>
      <c r="R990">
        <v>8792</v>
      </c>
    </row>
    <row r="991" spans="1:18" x14ac:dyDescent="0.25">
      <c r="A991" s="169">
        <v>43465</v>
      </c>
      <c r="B991" s="115">
        <v>196.95</v>
      </c>
      <c r="C991" s="115">
        <v>194</v>
      </c>
      <c r="D991" s="115">
        <v>194</v>
      </c>
      <c r="E991" s="115">
        <v>196.95</v>
      </c>
      <c r="F991" s="115">
        <v>194</v>
      </c>
      <c r="G991">
        <v>366</v>
      </c>
      <c r="H991" s="115"/>
      <c r="I991" s="115"/>
      <c r="L991" s="169">
        <v>43462</v>
      </c>
      <c r="M991" s="115">
        <v>194.15</v>
      </c>
      <c r="N991" s="115">
        <v>196.6</v>
      </c>
      <c r="O991" s="115">
        <v>193.15</v>
      </c>
      <c r="P991" s="115">
        <v>194.45</v>
      </c>
      <c r="Q991" s="115">
        <v>194.15</v>
      </c>
      <c r="R991">
        <v>34490</v>
      </c>
    </row>
    <row r="992" spans="1:18" x14ac:dyDescent="0.25">
      <c r="A992" s="169">
        <v>43466</v>
      </c>
      <c r="B992" s="115">
        <v>196</v>
      </c>
      <c r="C992" s="115">
        <v>194.45</v>
      </c>
      <c r="D992" s="115">
        <v>194</v>
      </c>
      <c r="E992" s="115">
        <v>194.05</v>
      </c>
      <c r="F992" s="115">
        <v>194.45</v>
      </c>
      <c r="G992">
        <v>1132</v>
      </c>
      <c r="H992" s="115"/>
      <c r="I992" s="115"/>
      <c r="L992" s="169">
        <v>43465</v>
      </c>
      <c r="M992" s="115">
        <v>194.85</v>
      </c>
      <c r="N992" s="115">
        <v>196.2</v>
      </c>
      <c r="O992" s="115">
        <v>193.1</v>
      </c>
      <c r="P992" s="115">
        <v>194</v>
      </c>
      <c r="Q992" s="115">
        <v>194.85</v>
      </c>
      <c r="R992">
        <v>10843</v>
      </c>
    </row>
    <row r="993" spans="1:18" x14ac:dyDescent="0.25">
      <c r="A993" s="169">
        <v>43467</v>
      </c>
      <c r="B993" s="115">
        <v>195.05</v>
      </c>
      <c r="C993" s="115">
        <v>192.85</v>
      </c>
      <c r="D993" s="115">
        <v>192</v>
      </c>
      <c r="E993" s="115">
        <v>195.05</v>
      </c>
      <c r="F993" s="115">
        <v>192.85</v>
      </c>
      <c r="G993">
        <v>416</v>
      </c>
      <c r="H993" s="115"/>
      <c r="I993" s="115"/>
      <c r="L993" s="169">
        <v>43466</v>
      </c>
      <c r="M993" s="115">
        <v>194.2</v>
      </c>
      <c r="N993" s="115">
        <v>195.9</v>
      </c>
      <c r="O993" s="115">
        <v>193.55</v>
      </c>
      <c r="P993" s="115">
        <v>195.7</v>
      </c>
      <c r="Q993" s="115">
        <v>194.2</v>
      </c>
      <c r="R993">
        <v>13563</v>
      </c>
    </row>
    <row r="994" spans="1:18" x14ac:dyDescent="0.25">
      <c r="A994" s="169">
        <v>43468</v>
      </c>
      <c r="B994" s="115">
        <v>192.3</v>
      </c>
      <c r="C994" s="115">
        <v>189.55</v>
      </c>
      <c r="D994" s="115">
        <v>188</v>
      </c>
      <c r="E994" s="115">
        <v>192.3</v>
      </c>
      <c r="F994" s="115">
        <v>189.55</v>
      </c>
      <c r="G994">
        <v>2670</v>
      </c>
      <c r="H994" s="115"/>
      <c r="I994" s="115"/>
      <c r="L994" s="169">
        <v>43467</v>
      </c>
      <c r="M994" s="115">
        <v>193.15</v>
      </c>
      <c r="N994" s="115">
        <v>194.9</v>
      </c>
      <c r="O994" s="115">
        <v>191.7</v>
      </c>
      <c r="P994" s="115">
        <v>194.25</v>
      </c>
      <c r="Q994" s="115">
        <v>193.15</v>
      </c>
      <c r="R994">
        <v>8933</v>
      </c>
    </row>
    <row r="995" spans="1:18" x14ac:dyDescent="0.25">
      <c r="A995" s="169">
        <v>43469</v>
      </c>
      <c r="B995" s="115">
        <v>190.3</v>
      </c>
      <c r="C995" s="115">
        <v>188.3</v>
      </c>
      <c r="D995" s="115">
        <v>187.3</v>
      </c>
      <c r="E995" s="115">
        <v>189</v>
      </c>
      <c r="F995" s="115">
        <v>188.3</v>
      </c>
      <c r="G995">
        <v>711</v>
      </c>
      <c r="H995" s="115"/>
      <c r="I995" s="115"/>
      <c r="L995" s="169">
        <v>43468</v>
      </c>
      <c r="M995" s="115">
        <v>190.9</v>
      </c>
      <c r="N995" s="115">
        <v>195.15</v>
      </c>
      <c r="O995" s="115">
        <v>188</v>
      </c>
      <c r="P995" s="115">
        <v>192.95</v>
      </c>
      <c r="Q995" s="115">
        <v>190.9</v>
      </c>
      <c r="R995">
        <v>19847</v>
      </c>
    </row>
    <row r="996" spans="1:18" x14ac:dyDescent="0.25">
      <c r="A996" s="169">
        <v>43472</v>
      </c>
      <c r="B996" s="115">
        <v>191.25</v>
      </c>
      <c r="C996" s="115">
        <v>190</v>
      </c>
      <c r="D996" s="115">
        <v>188</v>
      </c>
      <c r="E996" s="115">
        <v>188.25</v>
      </c>
      <c r="F996" s="115">
        <v>190</v>
      </c>
      <c r="G996">
        <v>596</v>
      </c>
      <c r="H996" s="115"/>
      <c r="I996" s="115"/>
      <c r="L996" s="169">
        <v>43469</v>
      </c>
      <c r="M996" s="115">
        <v>188.3</v>
      </c>
      <c r="N996" s="115">
        <v>192.7</v>
      </c>
      <c r="O996" s="115">
        <v>187.3</v>
      </c>
      <c r="P996" s="115">
        <v>191.1</v>
      </c>
      <c r="Q996" s="115">
        <v>188.3</v>
      </c>
      <c r="R996">
        <v>21249</v>
      </c>
    </row>
    <row r="997" spans="1:18" x14ac:dyDescent="0.25">
      <c r="A997" s="169">
        <v>43473</v>
      </c>
      <c r="B997" s="115">
        <v>191</v>
      </c>
      <c r="C997" s="115">
        <v>187.95</v>
      </c>
      <c r="D997" s="115">
        <v>184</v>
      </c>
      <c r="E997" s="115">
        <v>189.5</v>
      </c>
      <c r="F997" s="115">
        <v>187.95</v>
      </c>
      <c r="G997">
        <v>2907</v>
      </c>
      <c r="H997" s="115"/>
      <c r="I997" s="115"/>
      <c r="L997" s="169">
        <v>43472</v>
      </c>
      <c r="M997" s="115">
        <v>189.1</v>
      </c>
      <c r="N997" s="115">
        <v>191.9</v>
      </c>
      <c r="O997" s="115">
        <v>186.35</v>
      </c>
      <c r="P997" s="115">
        <v>191.05</v>
      </c>
      <c r="Q997" s="115">
        <v>189.1</v>
      </c>
      <c r="R997">
        <v>29436</v>
      </c>
    </row>
    <row r="998" spans="1:18" x14ac:dyDescent="0.25">
      <c r="A998" s="169">
        <v>43474</v>
      </c>
      <c r="B998" s="115">
        <v>187.95</v>
      </c>
      <c r="C998" s="115">
        <v>187.15</v>
      </c>
      <c r="D998" s="115">
        <v>186</v>
      </c>
      <c r="E998" s="115">
        <v>186.2</v>
      </c>
      <c r="F998" s="115">
        <v>187.15</v>
      </c>
      <c r="G998">
        <v>1017</v>
      </c>
      <c r="H998" s="115"/>
      <c r="I998" s="115"/>
      <c r="L998" s="169">
        <v>43473</v>
      </c>
      <c r="M998" s="115">
        <v>186.65</v>
      </c>
      <c r="N998" s="115">
        <v>189.95</v>
      </c>
      <c r="O998" s="115">
        <v>181.65</v>
      </c>
      <c r="P998" s="115">
        <v>189.15</v>
      </c>
      <c r="Q998" s="115">
        <v>186.65</v>
      </c>
      <c r="R998">
        <v>86274</v>
      </c>
    </row>
    <row r="999" spans="1:18" x14ac:dyDescent="0.25">
      <c r="A999" s="169">
        <v>43475</v>
      </c>
      <c r="B999" s="115">
        <v>187.35</v>
      </c>
      <c r="C999" s="115">
        <v>186.1</v>
      </c>
      <c r="D999" s="115">
        <v>185</v>
      </c>
      <c r="E999" s="115">
        <v>187.1</v>
      </c>
      <c r="F999" s="115">
        <v>186.1</v>
      </c>
      <c r="G999">
        <v>1755</v>
      </c>
      <c r="H999" s="115"/>
      <c r="I999" s="115"/>
      <c r="L999" s="169">
        <v>43474</v>
      </c>
      <c r="M999" s="115">
        <v>186</v>
      </c>
      <c r="N999" s="115">
        <v>188.05</v>
      </c>
      <c r="O999" s="115">
        <v>184.5</v>
      </c>
      <c r="P999" s="115">
        <v>187.75</v>
      </c>
      <c r="Q999" s="115">
        <v>186</v>
      </c>
      <c r="R999">
        <v>39248</v>
      </c>
    </row>
    <row r="1000" spans="1:18" x14ac:dyDescent="0.25">
      <c r="A1000" s="169">
        <v>43476</v>
      </c>
      <c r="B1000" s="115">
        <v>187</v>
      </c>
      <c r="C1000" s="115">
        <v>186.95</v>
      </c>
      <c r="D1000" s="115">
        <v>185.15</v>
      </c>
      <c r="E1000" s="115">
        <v>186.45</v>
      </c>
      <c r="F1000" s="115">
        <v>186.95</v>
      </c>
      <c r="G1000">
        <v>736</v>
      </c>
      <c r="H1000" s="115"/>
      <c r="I1000" s="115"/>
      <c r="L1000" s="169">
        <v>43475</v>
      </c>
      <c r="M1000" s="115">
        <v>184.85</v>
      </c>
      <c r="N1000" s="115">
        <v>187.15</v>
      </c>
      <c r="O1000" s="115">
        <v>184.6</v>
      </c>
      <c r="P1000" s="115">
        <v>186.45</v>
      </c>
      <c r="Q1000" s="115">
        <v>184.85</v>
      </c>
      <c r="R1000">
        <v>28832</v>
      </c>
    </row>
    <row r="1001" spans="1:18" x14ac:dyDescent="0.25">
      <c r="A1001" s="169">
        <v>43479</v>
      </c>
      <c r="B1001" s="115">
        <v>186.4</v>
      </c>
      <c r="C1001" s="115">
        <v>184.9</v>
      </c>
      <c r="D1001" s="115">
        <v>184.25</v>
      </c>
      <c r="E1001" s="115">
        <v>185.5</v>
      </c>
      <c r="F1001" s="115">
        <v>184.9</v>
      </c>
      <c r="G1001">
        <v>322</v>
      </c>
      <c r="H1001" s="115"/>
      <c r="I1001" s="115"/>
      <c r="L1001" s="169">
        <v>43476</v>
      </c>
      <c r="M1001" s="115">
        <v>185</v>
      </c>
      <c r="N1001" s="115">
        <v>186.95</v>
      </c>
      <c r="O1001" s="115">
        <v>184.5</v>
      </c>
      <c r="P1001" s="115">
        <v>184.9</v>
      </c>
      <c r="Q1001" s="115">
        <v>185</v>
      </c>
      <c r="R1001">
        <v>7864</v>
      </c>
    </row>
    <row r="1002" spans="1:18" x14ac:dyDescent="0.25">
      <c r="A1002" s="169">
        <v>43480</v>
      </c>
      <c r="B1002" s="115">
        <v>187</v>
      </c>
      <c r="C1002" s="115">
        <v>187</v>
      </c>
      <c r="D1002" s="115">
        <v>183.1</v>
      </c>
      <c r="E1002" s="115">
        <v>184.3</v>
      </c>
      <c r="F1002" s="115">
        <v>187</v>
      </c>
      <c r="G1002">
        <v>534</v>
      </c>
      <c r="H1002" s="115"/>
      <c r="I1002" s="115"/>
      <c r="L1002" s="169">
        <v>43479</v>
      </c>
      <c r="M1002" s="115">
        <v>185</v>
      </c>
      <c r="N1002" s="115">
        <v>190.95</v>
      </c>
      <c r="O1002" s="115">
        <v>183.55</v>
      </c>
      <c r="P1002" s="115">
        <v>190.95</v>
      </c>
      <c r="Q1002" s="115">
        <v>185</v>
      </c>
      <c r="R1002">
        <v>19431</v>
      </c>
    </row>
    <row r="1003" spans="1:18" x14ac:dyDescent="0.25">
      <c r="A1003" s="169">
        <v>43481</v>
      </c>
      <c r="B1003" s="115">
        <v>187.8</v>
      </c>
      <c r="C1003" s="115">
        <v>183.05</v>
      </c>
      <c r="D1003" s="115">
        <v>181.8</v>
      </c>
      <c r="E1003" s="115">
        <v>187.8</v>
      </c>
      <c r="F1003" s="115">
        <v>183.05</v>
      </c>
      <c r="G1003">
        <v>2149</v>
      </c>
      <c r="H1003" s="115"/>
      <c r="I1003" s="115"/>
      <c r="L1003" s="169">
        <v>43480</v>
      </c>
      <c r="M1003" s="115">
        <v>186.3</v>
      </c>
      <c r="N1003" s="115">
        <v>186.95</v>
      </c>
      <c r="O1003" s="115">
        <v>182.8</v>
      </c>
      <c r="P1003" s="115">
        <v>184.15</v>
      </c>
      <c r="Q1003" s="115">
        <v>186.3</v>
      </c>
      <c r="R1003">
        <v>11744</v>
      </c>
    </row>
    <row r="1004" spans="1:18" x14ac:dyDescent="0.25">
      <c r="A1004" s="169">
        <v>43482</v>
      </c>
      <c r="B1004" s="115">
        <v>186</v>
      </c>
      <c r="C1004" s="115">
        <v>186</v>
      </c>
      <c r="D1004" s="115">
        <v>183.3</v>
      </c>
      <c r="E1004" s="115">
        <v>183.3</v>
      </c>
      <c r="F1004" s="115">
        <v>186</v>
      </c>
      <c r="G1004">
        <v>7357</v>
      </c>
      <c r="H1004" s="115"/>
      <c r="I1004" s="115"/>
      <c r="L1004" s="169">
        <v>43481</v>
      </c>
      <c r="M1004" s="115">
        <v>184.2</v>
      </c>
      <c r="N1004" s="115">
        <v>186.75</v>
      </c>
      <c r="O1004" s="115">
        <v>183</v>
      </c>
      <c r="P1004" s="115">
        <v>185.55</v>
      </c>
      <c r="Q1004" s="115">
        <v>184.2</v>
      </c>
      <c r="R1004">
        <v>11426</v>
      </c>
    </row>
    <row r="1005" spans="1:18" x14ac:dyDescent="0.25">
      <c r="A1005" s="169">
        <v>43483</v>
      </c>
      <c r="B1005" s="115">
        <v>183.7</v>
      </c>
      <c r="C1005" s="115">
        <v>181.15</v>
      </c>
      <c r="D1005" s="115">
        <v>179</v>
      </c>
      <c r="E1005" s="115">
        <v>183.7</v>
      </c>
      <c r="F1005" s="115">
        <v>181.15</v>
      </c>
      <c r="G1005">
        <v>8461</v>
      </c>
      <c r="H1005" s="115"/>
      <c r="I1005" s="115"/>
      <c r="L1005" s="169">
        <v>43482</v>
      </c>
      <c r="M1005" s="115">
        <v>184.05</v>
      </c>
      <c r="N1005" s="115">
        <v>185.5</v>
      </c>
      <c r="O1005" s="115">
        <v>183.2</v>
      </c>
      <c r="P1005" s="115">
        <v>184.25</v>
      </c>
      <c r="Q1005" s="115">
        <v>184.05</v>
      </c>
      <c r="R1005">
        <v>10634</v>
      </c>
    </row>
    <row r="1006" spans="1:18" x14ac:dyDescent="0.25">
      <c r="A1006" s="169">
        <v>43486</v>
      </c>
      <c r="B1006" s="115">
        <v>181.8</v>
      </c>
      <c r="C1006" s="115">
        <v>178</v>
      </c>
      <c r="D1006" s="115">
        <v>175.8</v>
      </c>
      <c r="E1006" s="115">
        <v>181.05</v>
      </c>
      <c r="F1006" s="115">
        <v>178</v>
      </c>
      <c r="G1006">
        <v>2967</v>
      </c>
      <c r="H1006" s="115"/>
      <c r="I1006" s="115"/>
      <c r="L1006" s="169">
        <v>43483</v>
      </c>
      <c r="M1006" s="115">
        <v>181.55</v>
      </c>
      <c r="N1006" s="115">
        <v>183.9</v>
      </c>
      <c r="O1006" s="115">
        <v>180</v>
      </c>
      <c r="P1006" s="115">
        <v>183.65</v>
      </c>
      <c r="Q1006" s="115">
        <v>181.55</v>
      </c>
      <c r="R1006">
        <v>19454</v>
      </c>
    </row>
    <row r="1007" spans="1:18" x14ac:dyDescent="0.25">
      <c r="A1007" s="169">
        <v>43487</v>
      </c>
      <c r="B1007" s="115">
        <v>183</v>
      </c>
      <c r="C1007" s="115">
        <v>177.4</v>
      </c>
      <c r="D1007" s="115">
        <v>175</v>
      </c>
      <c r="E1007" s="115">
        <v>175.55</v>
      </c>
      <c r="F1007" s="115">
        <v>177.4</v>
      </c>
      <c r="G1007">
        <v>2690</v>
      </c>
      <c r="H1007" s="115"/>
      <c r="I1007" s="115"/>
      <c r="L1007" s="169">
        <v>43486</v>
      </c>
      <c r="M1007" s="115">
        <v>177.5</v>
      </c>
      <c r="N1007" s="115">
        <v>182.7</v>
      </c>
      <c r="O1007" s="115">
        <v>175</v>
      </c>
      <c r="P1007" s="115">
        <v>181.9</v>
      </c>
      <c r="Q1007" s="115">
        <v>177.5</v>
      </c>
      <c r="R1007">
        <v>24734</v>
      </c>
    </row>
    <row r="1008" spans="1:18" x14ac:dyDescent="0.25">
      <c r="A1008" s="169">
        <v>43488</v>
      </c>
      <c r="B1008" s="115">
        <v>177.65</v>
      </c>
      <c r="C1008" s="115">
        <v>176.55</v>
      </c>
      <c r="D1008" s="115">
        <v>176</v>
      </c>
      <c r="E1008" s="115">
        <v>177.45</v>
      </c>
      <c r="F1008" s="115">
        <v>176.55</v>
      </c>
      <c r="G1008">
        <v>420</v>
      </c>
      <c r="H1008" s="115"/>
      <c r="I1008" s="115"/>
      <c r="L1008" s="169">
        <v>43487</v>
      </c>
      <c r="M1008" s="115">
        <v>176.05</v>
      </c>
      <c r="N1008" s="115">
        <v>180.85</v>
      </c>
      <c r="O1008" s="115">
        <v>175.3</v>
      </c>
      <c r="P1008" s="115">
        <v>178.5</v>
      </c>
      <c r="Q1008" s="115">
        <v>176.05</v>
      </c>
      <c r="R1008">
        <v>7394</v>
      </c>
    </row>
    <row r="1009" spans="1:18" x14ac:dyDescent="0.25">
      <c r="A1009" s="169">
        <v>43489</v>
      </c>
      <c r="B1009" s="115">
        <v>177.6</v>
      </c>
      <c r="C1009" s="115">
        <v>175.2</v>
      </c>
      <c r="D1009" s="115">
        <v>174.45</v>
      </c>
      <c r="E1009" s="115">
        <v>176.5</v>
      </c>
      <c r="F1009" s="115">
        <v>175.2</v>
      </c>
      <c r="G1009">
        <v>1388</v>
      </c>
      <c r="H1009" s="115"/>
      <c r="I1009" s="115"/>
      <c r="L1009" s="169">
        <v>43488</v>
      </c>
      <c r="M1009" s="115">
        <v>177.15</v>
      </c>
      <c r="N1009" s="115">
        <v>178.75</v>
      </c>
      <c r="O1009" s="115">
        <v>175</v>
      </c>
      <c r="P1009" s="115">
        <v>177.4</v>
      </c>
      <c r="Q1009" s="115">
        <v>177.15</v>
      </c>
      <c r="R1009">
        <v>6601</v>
      </c>
    </row>
    <row r="1010" spans="1:18" x14ac:dyDescent="0.25">
      <c r="A1010" s="169">
        <v>43490</v>
      </c>
      <c r="B1010" s="115">
        <v>179.05</v>
      </c>
      <c r="C1010" s="115">
        <v>175.1</v>
      </c>
      <c r="D1010" s="115">
        <v>172</v>
      </c>
      <c r="E1010" s="115">
        <v>173</v>
      </c>
      <c r="F1010" s="115">
        <v>175.1</v>
      </c>
      <c r="G1010">
        <v>1325</v>
      </c>
      <c r="H1010" s="115"/>
      <c r="I1010" s="115"/>
      <c r="L1010" s="169">
        <v>43489</v>
      </c>
      <c r="M1010" s="115">
        <v>174.5</v>
      </c>
      <c r="N1010" s="115">
        <v>179.5</v>
      </c>
      <c r="O1010" s="115">
        <v>172.5</v>
      </c>
      <c r="P1010" s="115">
        <v>177.9</v>
      </c>
      <c r="Q1010" s="115">
        <v>174.5</v>
      </c>
      <c r="R1010">
        <v>8597</v>
      </c>
    </row>
    <row r="1011" spans="1:18" x14ac:dyDescent="0.25">
      <c r="A1011" s="169">
        <v>43493</v>
      </c>
      <c r="B1011" s="115">
        <v>177.2</v>
      </c>
      <c r="C1011" s="115">
        <v>175.3</v>
      </c>
      <c r="D1011" s="115">
        <v>170.8</v>
      </c>
      <c r="E1011" s="115">
        <v>171</v>
      </c>
      <c r="F1011" s="115">
        <v>175.3</v>
      </c>
      <c r="G1011">
        <v>811</v>
      </c>
      <c r="H1011" s="115"/>
      <c r="I1011" s="115"/>
      <c r="L1011" s="169">
        <v>43490</v>
      </c>
      <c r="M1011" s="115">
        <v>172.5</v>
      </c>
      <c r="N1011" s="115">
        <v>176.45</v>
      </c>
      <c r="O1011" s="115">
        <v>172</v>
      </c>
      <c r="P1011" s="115">
        <v>176.45</v>
      </c>
      <c r="Q1011" s="115">
        <v>172.5</v>
      </c>
      <c r="R1011">
        <v>6723</v>
      </c>
    </row>
    <row r="1012" spans="1:18" x14ac:dyDescent="0.25">
      <c r="A1012" s="169">
        <v>43494</v>
      </c>
      <c r="B1012" s="115">
        <v>184.4</v>
      </c>
      <c r="C1012" s="115">
        <v>180.7</v>
      </c>
      <c r="D1012" s="115">
        <v>173</v>
      </c>
      <c r="E1012" s="115">
        <v>173</v>
      </c>
      <c r="F1012" s="115">
        <v>180.7</v>
      </c>
      <c r="G1012">
        <v>847</v>
      </c>
      <c r="H1012" s="115"/>
      <c r="I1012" s="115"/>
      <c r="L1012" s="169">
        <v>43493</v>
      </c>
      <c r="M1012" s="115">
        <v>171.25</v>
      </c>
      <c r="N1012" s="115">
        <v>174.2</v>
      </c>
      <c r="O1012" s="115">
        <v>169.95</v>
      </c>
      <c r="P1012" s="115">
        <v>173.3</v>
      </c>
      <c r="Q1012" s="115">
        <v>171.25</v>
      </c>
      <c r="R1012">
        <v>14915</v>
      </c>
    </row>
    <row r="1013" spans="1:18" x14ac:dyDescent="0.25">
      <c r="A1013" s="169">
        <v>43495</v>
      </c>
      <c r="B1013" s="115">
        <v>177.35</v>
      </c>
      <c r="C1013" s="115">
        <v>169.3</v>
      </c>
      <c r="D1013" s="115">
        <v>169</v>
      </c>
      <c r="E1013" s="115">
        <v>177.35</v>
      </c>
      <c r="F1013" s="115">
        <v>169.3</v>
      </c>
      <c r="G1013">
        <v>3558</v>
      </c>
      <c r="H1013" s="115"/>
      <c r="I1013" s="115"/>
      <c r="L1013" s="169">
        <v>43494</v>
      </c>
      <c r="M1013" s="115">
        <v>180.25</v>
      </c>
      <c r="N1013" s="115">
        <v>184.9</v>
      </c>
      <c r="O1013" s="115">
        <v>170.35</v>
      </c>
      <c r="P1013" s="115">
        <v>170.8</v>
      </c>
      <c r="Q1013" s="115">
        <v>180.25</v>
      </c>
      <c r="R1013">
        <v>7761</v>
      </c>
    </row>
    <row r="1014" spans="1:18" x14ac:dyDescent="0.25">
      <c r="A1014" s="169">
        <v>43496</v>
      </c>
      <c r="B1014" s="115">
        <v>178.7</v>
      </c>
      <c r="C1014" s="115">
        <v>172.9</v>
      </c>
      <c r="D1014" s="115">
        <v>168.1</v>
      </c>
      <c r="E1014" s="115">
        <v>170</v>
      </c>
      <c r="F1014" s="115">
        <v>172.9</v>
      </c>
      <c r="G1014">
        <v>4200</v>
      </c>
      <c r="H1014" s="115"/>
      <c r="I1014" s="115"/>
      <c r="L1014" s="169">
        <v>43495</v>
      </c>
      <c r="M1014" s="115">
        <v>169.4</v>
      </c>
      <c r="N1014" s="115">
        <v>181.9</v>
      </c>
      <c r="O1014" s="115">
        <v>168</v>
      </c>
      <c r="P1014" s="115">
        <v>181.9</v>
      </c>
      <c r="Q1014" s="115">
        <v>169.4</v>
      </c>
      <c r="R1014">
        <v>205010</v>
      </c>
    </row>
    <row r="1015" spans="1:18" x14ac:dyDescent="0.25">
      <c r="A1015" s="169">
        <v>43497</v>
      </c>
      <c r="B1015" s="115">
        <v>177.9</v>
      </c>
      <c r="C1015" s="115">
        <v>171.9</v>
      </c>
      <c r="D1015" s="115">
        <v>171.2</v>
      </c>
      <c r="E1015" s="115">
        <v>177.9</v>
      </c>
      <c r="F1015" s="115">
        <v>171.9</v>
      </c>
      <c r="G1015">
        <v>1496</v>
      </c>
      <c r="H1015" s="115"/>
      <c r="I1015" s="115"/>
      <c r="L1015" s="169">
        <v>43496</v>
      </c>
      <c r="M1015" s="115">
        <v>171.65</v>
      </c>
      <c r="N1015" s="115">
        <v>173.95</v>
      </c>
      <c r="O1015" s="115">
        <v>166.15</v>
      </c>
      <c r="P1015" s="115">
        <v>170.05</v>
      </c>
      <c r="Q1015" s="115">
        <v>171.65</v>
      </c>
      <c r="R1015">
        <v>22058</v>
      </c>
    </row>
    <row r="1016" spans="1:18" x14ac:dyDescent="0.25">
      <c r="A1016" s="169">
        <v>43500</v>
      </c>
      <c r="B1016" s="115">
        <v>175.1</v>
      </c>
      <c r="C1016" s="115">
        <v>166.1</v>
      </c>
      <c r="D1016" s="115">
        <v>165.55</v>
      </c>
      <c r="E1016" s="115">
        <v>175</v>
      </c>
      <c r="F1016" s="115">
        <v>166.1</v>
      </c>
      <c r="G1016">
        <v>2321</v>
      </c>
      <c r="H1016" s="115"/>
      <c r="I1016" s="115"/>
      <c r="L1016" s="169">
        <v>43497</v>
      </c>
      <c r="M1016" s="115">
        <v>172</v>
      </c>
      <c r="N1016" s="115">
        <v>176.95</v>
      </c>
      <c r="O1016" s="115">
        <v>170.1</v>
      </c>
      <c r="P1016" s="115">
        <v>173.95</v>
      </c>
      <c r="Q1016" s="115">
        <v>172</v>
      </c>
      <c r="R1016">
        <v>8971</v>
      </c>
    </row>
    <row r="1017" spans="1:18" x14ac:dyDescent="0.25">
      <c r="A1017" s="169">
        <v>43501</v>
      </c>
      <c r="B1017" s="115">
        <v>177.9</v>
      </c>
      <c r="C1017" s="115">
        <v>172.6</v>
      </c>
      <c r="D1017" s="115">
        <v>167.5</v>
      </c>
      <c r="E1017" s="115">
        <v>167.5</v>
      </c>
      <c r="F1017" s="115">
        <v>172.6</v>
      </c>
      <c r="G1017">
        <v>525</v>
      </c>
      <c r="H1017" s="115"/>
      <c r="I1017" s="115"/>
      <c r="L1017" s="169">
        <v>43500</v>
      </c>
      <c r="M1017" s="115">
        <v>166.15</v>
      </c>
      <c r="N1017" s="115">
        <v>175</v>
      </c>
      <c r="O1017" s="115">
        <v>164.35</v>
      </c>
      <c r="P1017" s="115">
        <v>175</v>
      </c>
      <c r="Q1017" s="115">
        <v>166.15</v>
      </c>
      <c r="R1017">
        <v>16555</v>
      </c>
    </row>
    <row r="1018" spans="1:18" x14ac:dyDescent="0.25">
      <c r="A1018" s="169">
        <v>43502</v>
      </c>
      <c r="B1018" s="115">
        <v>172.55</v>
      </c>
      <c r="C1018" s="115">
        <v>165.6</v>
      </c>
      <c r="D1018" s="115">
        <v>165</v>
      </c>
      <c r="E1018" s="115">
        <v>172.55</v>
      </c>
      <c r="F1018" s="115">
        <v>165.6</v>
      </c>
      <c r="G1018">
        <v>3656</v>
      </c>
      <c r="H1018" s="115"/>
      <c r="I1018" s="115"/>
      <c r="L1018" s="169">
        <v>43501</v>
      </c>
      <c r="M1018" s="115">
        <v>174.25</v>
      </c>
      <c r="N1018" s="115">
        <v>176.5</v>
      </c>
      <c r="O1018" s="115">
        <v>165.5</v>
      </c>
      <c r="P1018" s="115">
        <v>166.05</v>
      </c>
      <c r="Q1018" s="115">
        <v>174.25</v>
      </c>
      <c r="R1018">
        <v>9285</v>
      </c>
    </row>
    <row r="1019" spans="1:18" x14ac:dyDescent="0.25">
      <c r="A1019" s="169">
        <v>43503</v>
      </c>
      <c r="B1019" s="115">
        <v>170.5</v>
      </c>
      <c r="C1019" s="115">
        <v>165</v>
      </c>
      <c r="D1019" s="115">
        <v>164.8</v>
      </c>
      <c r="E1019" s="115">
        <v>170.5</v>
      </c>
      <c r="F1019" s="115">
        <v>165</v>
      </c>
      <c r="G1019">
        <v>1047</v>
      </c>
      <c r="H1019" s="115"/>
      <c r="I1019" s="115"/>
      <c r="L1019" s="169">
        <v>43502</v>
      </c>
      <c r="M1019" s="115">
        <v>166.6</v>
      </c>
      <c r="N1019" s="115">
        <v>177</v>
      </c>
      <c r="O1019" s="115">
        <v>165.55</v>
      </c>
      <c r="P1019" s="115">
        <v>176.85</v>
      </c>
      <c r="Q1019" s="115">
        <v>166.6</v>
      </c>
      <c r="R1019">
        <v>23537</v>
      </c>
    </row>
    <row r="1020" spans="1:18" x14ac:dyDescent="0.25">
      <c r="A1020" s="169">
        <v>43504</v>
      </c>
      <c r="B1020" s="115">
        <v>165</v>
      </c>
      <c r="C1020" s="115">
        <v>164.35</v>
      </c>
      <c r="D1020" s="115">
        <v>162.5</v>
      </c>
      <c r="E1020" s="115">
        <v>165</v>
      </c>
      <c r="F1020" s="115">
        <v>164.35</v>
      </c>
      <c r="G1020">
        <v>545</v>
      </c>
      <c r="H1020" s="115"/>
      <c r="I1020" s="115"/>
      <c r="L1020" s="169">
        <v>43503</v>
      </c>
      <c r="M1020" s="115">
        <v>164.4</v>
      </c>
      <c r="N1020" s="115">
        <v>169.7</v>
      </c>
      <c r="O1020" s="115">
        <v>163.19999999999999</v>
      </c>
      <c r="P1020" s="115">
        <v>169.05</v>
      </c>
      <c r="Q1020" s="115">
        <v>164.4</v>
      </c>
      <c r="R1020">
        <v>12994</v>
      </c>
    </row>
    <row r="1021" spans="1:18" x14ac:dyDescent="0.25">
      <c r="A1021" s="169">
        <v>43507</v>
      </c>
      <c r="B1021" s="115">
        <v>162.55000000000001</v>
      </c>
      <c r="C1021" s="115">
        <v>160</v>
      </c>
      <c r="D1021" s="115">
        <v>157.6</v>
      </c>
      <c r="E1021" s="115">
        <v>161.75</v>
      </c>
      <c r="F1021" s="115">
        <v>160</v>
      </c>
      <c r="G1021">
        <v>3912</v>
      </c>
      <c r="H1021" s="115"/>
      <c r="I1021" s="115"/>
      <c r="L1021" s="169">
        <v>43504</v>
      </c>
      <c r="M1021" s="115">
        <v>163.05000000000001</v>
      </c>
      <c r="N1021" s="115">
        <v>165.7</v>
      </c>
      <c r="O1021" s="115">
        <v>160.9</v>
      </c>
      <c r="P1021" s="115">
        <v>164.25</v>
      </c>
      <c r="Q1021" s="115">
        <v>163.05000000000001</v>
      </c>
      <c r="R1021">
        <v>25156</v>
      </c>
    </row>
    <row r="1022" spans="1:18" x14ac:dyDescent="0.25">
      <c r="A1022" s="169">
        <v>43508</v>
      </c>
      <c r="B1022" s="115">
        <v>161</v>
      </c>
      <c r="C1022" s="115">
        <v>157.19999999999999</v>
      </c>
      <c r="D1022" s="115">
        <v>156.5</v>
      </c>
      <c r="E1022" s="115">
        <v>158</v>
      </c>
      <c r="F1022" s="115">
        <v>157.19999999999999</v>
      </c>
      <c r="G1022">
        <v>3107</v>
      </c>
      <c r="H1022" s="115"/>
      <c r="I1022" s="115"/>
      <c r="L1022" s="169">
        <v>43507</v>
      </c>
      <c r="M1022" s="115">
        <v>158.9</v>
      </c>
      <c r="N1022" s="115">
        <v>162.55000000000001</v>
      </c>
      <c r="O1022" s="115">
        <v>156.5</v>
      </c>
      <c r="P1022" s="115">
        <v>162.55000000000001</v>
      </c>
      <c r="Q1022" s="115">
        <v>158.9</v>
      </c>
      <c r="R1022">
        <v>18880</v>
      </c>
    </row>
    <row r="1023" spans="1:18" x14ac:dyDescent="0.25">
      <c r="A1023" s="169">
        <v>43509</v>
      </c>
      <c r="B1023" s="115">
        <v>162.80000000000001</v>
      </c>
      <c r="C1023" s="115">
        <v>159.44999999999999</v>
      </c>
      <c r="D1023" s="115">
        <v>156.1</v>
      </c>
      <c r="E1023" s="115">
        <v>159.19999999999999</v>
      </c>
      <c r="F1023" s="115">
        <v>159.44999999999999</v>
      </c>
      <c r="G1023">
        <v>323</v>
      </c>
      <c r="H1023" s="115"/>
      <c r="I1023" s="115"/>
      <c r="L1023" s="169">
        <v>43508</v>
      </c>
      <c r="M1023" s="115">
        <v>156.4</v>
      </c>
      <c r="N1023" s="115">
        <v>162.4</v>
      </c>
      <c r="O1023" s="115">
        <v>155.80000000000001</v>
      </c>
      <c r="P1023" s="115">
        <v>159.1</v>
      </c>
      <c r="Q1023" s="115">
        <v>156.4</v>
      </c>
      <c r="R1023">
        <v>14724</v>
      </c>
    </row>
    <row r="1024" spans="1:18" x14ac:dyDescent="0.25">
      <c r="A1024" s="169">
        <v>43510</v>
      </c>
      <c r="B1024" s="115">
        <v>161</v>
      </c>
      <c r="C1024" s="115">
        <v>157.94999999999999</v>
      </c>
      <c r="D1024" s="115">
        <v>155.85</v>
      </c>
      <c r="E1024" s="115">
        <v>160.19999999999999</v>
      </c>
      <c r="F1024" s="115">
        <v>157.94999999999999</v>
      </c>
      <c r="G1024">
        <v>3743</v>
      </c>
      <c r="H1024" s="115"/>
      <c r="I1024" s="115"/>
      <c r="L1024" s="169">
        <v>43509</v>
      </c>
      <c r="M1024" s="115">
        <v>157.69999999999999</v>
      </c>
      <c r="N1024" s="115">
        <v>159.69999999999999</v>
      </c>
      <c r="O1024" s="115">
        <v>156</v>
      </c>
      <c r="P1024" s="115">
        <v>156.94999999999999</v>
      </c>
      <c r="Q1024" s="115">
        <v>157.69999999999999</v>
      </c>
      <c r="R1024">
        <v>9939</v>
      </c>
    </row>
    <row r="1025" spans="1:18" x14ac:dyDescent="0.25">
      <c r="A1025" s="169">
        <v>43511</v>
      </c>
      <c r="B1025" s="115">
        <v>160.94999999999999</v>
      </c>
      <c r="C1025" s="115">
        <v>157.9</v>
      </c>
      <c r="D1025" s="115">
        <v>155</v>
      </c>
      <c r="E1025" s="115">
        <v>156.65</v>
      </c>
      <c r="F1025" s="115">
        <v>157.9</v>
      </c>
      <c r="G1025">
        <v>963</v>
      </c>
      <c r="H1025" s="115"/>
      <c r="I1025" s="115"/>
      <c r="L1025" s="169">
        <v>43510</v>
      </c>
      <c r="M1025" s="115">
        <v>158.25</v>
      </c>
      <c r="N1025" s="115">
        <v>161</v>
      </c>
      <c r="O1025" s="115">
        <v>155</v>
      </c>
      <c r="P1025" s="115">
        <v>158</v>
      </c>
      <c r="Q1025" s="115">
        <v>158.25</v>
      </c>
      <c r="R1025">
        <v>12501</v>
      </c>
    </row>
    <row r="1026" spans="1:18" x14ac:dyDescent="0.25">
      <c r="A1026" s="169">
        <v>43514</v>
      </c>
      <c r="B1026" s="115">
        <v>169</v>
      </c>
      <c r="C1026" s="115">
        <v>162.1</v>
      </c>
      <c r="D1026" s="115">
        <v>155.5</v>
      </c>
      <c r="E1026" s="115">
        <v>169</v>
      </c>
      <c r="F1026" s="115">
        <v>162.1</v>
      </c>
      <c r="G1026">
        <v>1250</v>
      </c>
      <c r="H1026" s="115"/>
      <c r="I1026" s="115"/>
      <c r="L1026" s="169">
        <v>43511</v>
      </c>
      <c r="M1026" s="115">
        <v>156.85</v>
      </c>
      <c r="N1026" s="115">
        <v>159.85</v>
      </c>
      <c r="O1026" s="115">
        <v>155.25</v>
      </c>
      <c r="P1026" s="115">
        <v>157.05000000000001</v>
      </c>
      <c r="Q1026" s="115">
        <v>156.85</v>
      </c>
      <c r="R1026">
        <v>4522</v>
      </c>
    </row>
    <row r="1027" spans="1:18" x14ac:dyDescent="0.25">
      <c r="A1027" s="169">
        <v>43515</v>
      </c>
      <c r="B1027" s="115">
        <v>175</v>
      </c>
      <c r="C1027" s="115">
        <v>173.2</v>
      </c>
      <c r="D1027" s="115">
        <v>165</v>
      </c>
      <c r="E1027" s="115">
        <v>168</v>
      </c>
      <c r="F1027" s="115">
        <v>173.2</v>
      </c>
      <c r="G1027">
        <v>7398</v>
      </c>
      <c r="H1027" s="115"/>
      <c r="I1027" s="115"/>
      <c r="L1027" s="169">
        <v>43514</v>
      </c>
      <c r="M1027" s="115">
        <v>162.55000000000001</v>
      </c>
      <c r="N1027" s="115">
        <v>165.3</v>
      </c>
      <c r="O1027" s="115">
        <v>156.30000000000001</v>
      </c>
      <c r="P1027" s="115">
        <v>156.30000000000001</v>
      </c>
      <c r="Q1027" s="115">
        <v>162.55000000000001</v>
      </c>
      <c r="R1027">
        <v>23503</v>
      </c>
    </row>
    <row r="1028" spans="1:18" x14ac:dyDescent="0.25">
      <c r="A1028" s="169">
        <v>43516</v>
      </c>
      <c r="B1028" s="115">
        <v>180</v>
      </c>
      <c r="C1028" s="115">
        <v>165.9</v>
      </c>
      <c r="D1028" s="115">
        <v>164.75</v>
      </c>
      <c r="E1028" s="115">
        <v>180</v>
      </c>
      <c r="F1028" s="115">
        <v>165.9</v>
      </c>
      <c r="G1028">
        <v>2377</v>
      </c>
      <c r="H1028" s="115"/>
      <c r="I1028" s="115"/>
      <c r="L1028" s="169">
        <v>43515</v>
      </c>
      <c r="M1028" s="115">
        <v>172.75</v>
      </c>
      <c r="N1028" s="115">
        <v>175.9</v>
      </c>
      <c r="O1028" s="115">
        <v>164.4</v>
      </c>
      <c r="P1028" s="115">
        <v>164.4</v>
      </c>
      <c r="Q1028" s="115">
        <v>172.75</v>
      </c>
      <c r="R1028">
        <v>64127</v>
      </c>
    </row>
    <row r="1029" spans="1:18" x14ac:dyDescent="0.25">
      <c r="A1029" s="169">
        <v>43517</v>
      </c>
      <c r="B1029" s="115">
        <v>180.9</v>
      </c>
      <c r="C1029" s="115">
        <v>178.9</v>
      </c>
      <c r="D1029" s="115">
        <v>169.6</v>
      </c>
      <c r="E1029" s="115">
        <v>173</v>
      </c>
      <c r="F1029" s="115">
        <v>178.9</v>
      </c>
      <c r="G1029">
        <v>6188</v>
      </c>
      <c r="H1029" s="115"/>
      <c r="I1029" s="115"/>
      <c r="L1029" s="169">
        <v>43516</v>
      </c>
      <c r="M1029" s="115">
        <v>165.8</v>
      </c>
      <c r="N1029" s="115">
        <v>174.8</v>
      </c>
      <c r="O1029" s="115">
        <v>163.25</v>
      </c>
      <c r="P1029" s="115">
        <v>171.85</v>
      </c>
      <c r="Q1029" s="115">
        <v>165.8</v>
      </c>
      <c r="R1029">
        <v>29196</v>
      </c>
    </row>
    <row r="1030" spans="1:18" x14ac:dyDescent="0.25">
      <c r="A1030" s="169">
        <v>43518</v>
      </c>
      <c r="B1030" s="115">
        <v>189.9</v>
      </c>
      <c r="C1030" s="115">
        <v>187.65</v>
      </c>
      <c r="D1030" s="115">
        <v>178</v>
      </c>
      <c r="E1030" s="115">
        <v>178</v>
      </c>
      <c r="F1030" s="115">
        <v>187.65</v>
      </c>
      <c r="G1030">
        <v>1545</v>
      </c>
      <c r="H1030" s="115"/>
      <c r="I1030" s="115"/>
      <c r="L1030" s="169">
        <v>43517</v>
      </c>
      <c r="M1030" s="115">
        <v>179.95</v>
      </c>
      <c r="N1030" s="115">
        <v>181.8</v>
      </c>
      <c r="O1030" s="115">
        <v>166.15</v>
      </c>
      <c r="P1030" s="115">
        <v>167.95</v>
      </c>
      <c r="Q1030" s="115">
        <v>179.95</v>
      </c>
      <c r="R1030">
        <v>52731</v>
      </c>
    </row>
    <row r="1031" spans="1:18" x14ac:dyDescent="0.25">
      <c r="A1031" s="169">
        <v>43521</v>
      </c>
      <c r="B1031" s="115">
        <v>193.2</v>
      </c>
      <c r="C1031" s="115">
        <v>193.05</v>
      </c>
      <c r="D1031" s="115">
        <v>186.2</v>
      </c>
      <c r="E1031" s="115">
        <v>189.9</v>
      </c>
      <c r="F1031" s="115">
        <v>193.05</v>
      </c>
      <c r="G1031">
        <v>1832</v>
      </c>
      <c r="H1031" s="115"/>
      <c r="I1031" s="115"/>
      <c r="L1031" s="169">
        <v>43518</v>
      </c>
      <c r="M1031" s="115">
        <v>188.2</v>
      </c>
      <c r="N1031" s="115">
        <v>189.9</v>
      </c>
      <c r="O1031" s="115">
        <v>177.05</v>
      </c>
      <c r="P1031" s="115">
        <v>178</v>
      </c>
      <c r="Q1031" s="115">
        <v>188.2</v>
      </c>
      <c r="R1031">
        <v>24749</v>
      </c>
    </row>
    <row r="1032" spans="1:18" x14ac:dyDescent="0.25">
      <c r="A1032" s="169">
        <v>43522</v>
      </c>
      <c r="B1032" s="115">
        <v>194.7</v>
      </c>
      <c r="C1032" s="115">
        <v>189.15</v>
      </c>
      <c r="D1032" s="115">
        <v>181.45</v>
      </c>
      <c r="E1032" s="115">
        <v>194.35</v>
      </c>
      <c r="F1032" s="115">
        <v>189.15</v>
      </c>
      <c r="G1032">
        <v>4601</v>
      </c>
      <c r="H1032" s="115"/>
      <c r="I1032" s="115"/>
      <c r="L1032" s="169">
        <v>43521</v>
      </c>
      <c r="M1032" s="115">
        <v>193.5</v>
      </c>
      <c r="N1032" s="115">
        <v>196</v>
      </c>
      <c r="O1032" s="115">
        <v>188</v>
      </c>
      <c r="P1032" s="115">
        <v>191</v>
      </c>
      <c r="Q1032" s="115">
        <v>193.5</v>
      </c>
      <c r="R1032">
        <v>52615</v>
      </c>
    </row>
    <row r="1033" spans="1:18" x14ac:dyDescent="0.25">
      <c r="A1033" s="169">
        <v>43523</v>
      </c>
      <c r="B1033" s="115">
        <v>195.4</v>
      </c>
      <c r="C1033" s="115">
        <v>190.35</v>
      </c>
      <c r="D1033" s="115">
        <v>187.9</v>
      </c>
      <c r="E1033" s="115">
        <v>187.9</v>
      </c>
      <c r="F1033" s="115">
        <v>190.35</v>
      </c>
      <c r="G1033">
        <v>1884</v>
      </c>
      <c r="H1033" s="115"/>
      <c r="I1033" s="115"/>
      <c r="L1033" s="169">
        <v>43522</v>
      </c>
      <c r="M1033" s="115">
        <v>189.45</v>
      </c>
      <c r="N1033" s="115">
        <v>194.4</v>
      </c>
      <c r="O1033" s="115">
        <v>180.35</v>
      </c>
      <c r="P1033" s="115">
        <v>192</v>
      </c>
      <c r="Q1033" s="115">
        <v>189.45</v>
      </c>
      <c r="R1033">
        <v>15653</v>
      </c>
    </row>
    <row r="1034" spans="1:18" x14ac:dyDescent="0.25">
      <c r="A1034" s="169">
        <v>43524</v>
      </c>
      <c r="B1034" s="115">
        <v>193.85</v>
      </c>
      <c r="C1034" s="115">
        <v>191.85</v>
      </c>
      <c r="D1034" s="115">
        <v>191.2</v>
      </c>
      <c r="E1034" s="115">
        <v>191.35</v>
      </c>
      <c r="F1034" s="115">
        <v>191.85</v>
      </c>
      <c r="G1034">
        <v>102</v>
      </c>
      <c r="H1034" s="115"/>
      <c r="I1034" s="115"/>
      <c r="L1034" s="169">
        <v>43523</v>
      </c>
      <c r="M1034" s="115">
        <v>192</v>
      </c>
      <c r="N1034" s="115">
        <v>195.4</v>
      </c>
      <c r="O1034" s="115">
        <v>187.25</v>
      </c>
      <c r="P1034" s="115">
        <v>188.3</v>
      </c>
      <c r="Q1034" s="115">
        <v>192</v>
      </c>
      <c r="R1034">
        <v>19084</v>
      </c>
    </row>
    <row r="1035" spans="1:18" x14ac:dyDescent="0.25">
      <c r="A1035" s="169">
        <v>43525</v>
      </c>
      <c r="B1035" s="115">
        <v>201</v>
      </c>
      <c r="C1035" s="115">
        <v>194.05</v>
      </c>
      <c r="D1035" s="115">
        <v>190</v>
      </c>
      <c r="E1035" s="115">
        <v>194.7</v>
      </c>
      <c r="F1035" s="115">
        <v>194.05</v>
      </c>
      <c r="G1035">
        <v>2355</v>
      </c>
      <c r="H1035" s="115"/>
      <c r="I1035" s="115"/>
      <c r="L1035" s="169">
        <v>43524</v>
      </c>
      <c r="M1035" s="115">
        <v>191.45</v>
      </c>
      <c r="N1035" s="115">
        <v>193.2</v>
      </c>
      <c r="O1035" s="115">
        <v>190.3</v>
      </c>
      <c r="P1035" s="115">
        <v>191.15</v>
      </c>
      <c r="Q1035" s="115">
        <v>191.45</v>
      </c>
      <c r="R1035">
        <v>8680</v>
      </c>
    </row>
    <row r="1036" spans="1:18" x14ac:dyDescent="0.25">
      <c r="A1036" s="169">
        <v>43529</v>
      </c>
      <c r="B1036" s="115">
        <v>198</v>
      </c>
      <c r="C1036" s="115">
        <v>193.05</v>
      </c>
      <c r="D1036" s="115">
        <v>192</v>
      </c>
      <c r="E1036" s="115">
        <v>198</v>
      </c>
      <c r="F1036" s="115">
        <v>193.05</v>
      </c>
      <c r="G1036">
        <v>1527</v>
      </c>
      <c r="H1036" s="115"/>
      <c r="I1036" s="115"/>
      <c r="L1036" s="169">
        <v>43525</v>
      </c>
      <c r="M1036" s="115">
        <v>192.9</v>
      </c>
      <c r="N1036" s="115">
        <v>199.9</v>
      </c>
      <c r="O1036" s="115">
        <v>187</v>
      </c>
      <c r="P1036" s="115">
        <v>191.45</v>
      </c>
      <c r="Q1036" s="115">
        <v>192.9</v>
      </c>
      <c r="R1036">
        <v>52111</v>
      </c>
    </row>
    <row r="1037" spans="1:18" x14ac:dyDescent="0.25">
      <c r="A1037" s="169">
        <v>43530</v>
      </c>
      <c r="B1037" s="115">
        <v>214</v>
      </c>
      <c r="C1037" s="115">
        <v>199.95</v>
      </c>
      <c r="D1037" s="115">
        <v>196.5</v>
      </c>
      <c r="E1037" s="115">
        <v>196.5</v>
      </c>
      <c r="F1037" s="115">
        <v>199.95</v>
      </c>
      <c r="G1037">
        <v>5542</v>
      </c>
      <c r="H1037" s="115"/>
      <c r="I1037" s="115"/>
      <c r="L1037" s="169">
        <v>43529</v>
      </c>
      <c r="M1037" s="115">
        <v>194.95</v>
      </c>
      <c r="N1037" s="115">
        <v>197.85</v>
      </c>
      <c r="O1037" s="115">
        <v>190.15</v>
      </c>
      <c r="P1037" s="115">
        <v>197.8</v>
      </c>
      <c r="Q1037" s="115">
        <v>194.95</v>
      </c>
      <c r="R1037">
        <v>21376</v>
      </c>
    </row>
    <row r="1038" spans="1:18" x14ac:dyDescent="0.25">
      <c r="A1038" s="169">
        <v>43531</v>
      </c>
      <c r="B1038" s="115">
        <v>199</v>
      </c>
      <c r="C1038" s="115">
        <v>196.25</v>
      </c>
      <c r="D1038" s="115">
        <v>196.2</v>
      </c>
      <c r="E1038" s="115">
        <v>199</v>
      </c>
      <c r="F1038" s="115">
        <v>196.25</v>
      </c>
      <c r="G1038">
        <v>1333</v>
      </c>
      <c r="H1038" s="115"/>
      <c r="I1038" s="115"/>
      <c r="L1038" s="169">
        <v>43530</v>
      </c>
      <c r="M1038" s="115">
        <v>199.6</v>
      </c>
      <c r="N1038" s="115">
        <v>215.05</v>
      </c>
      <c r="O1038" s="115">
        <v>196</v>
      </c>
      <c r="P1038" s="115">
        <v>196</v>
      </c>
      <c r="Q1038" s="115">
        <v>199.6</v>
      </c>
      <c r="R1038">
        <v>116404</v>
      </c>
    </row>
    <row r="1039" spans="1:18" x14ac:dyDescent="0.25">
      <c r="A1039" s="169">
        <v>43532</v>
      </c>
      <c r="B1039" s="115">
        <v>205</v>
      </c>
      <c r="C1039" s="115">
        <v>200.6</v>
      </c>
      <c r="D1039" s="115">
        <v>196.6</v>
      </c>
      <c r="E1039" s="115">
        <v>196.6</v>
      </c>
      <c r="F1039" s="115">
        <v>200.6</v>
      </c>
      <c r="G1039">
        <v>2086</v>
      </c>
      <c r="H1039" s="115"/>
      <c r="I1039" s="115"/>
      <c r="L1039" s="169">
        <v>43531</v>
      </c>
      <c r="M1039" s="115">
        <v>198.65</v>
      </c>
      <c r="N1039" s="115">
        <v>202.15</v>
      </c>
      <c r="O1039" s="115">
        <v>196.7</v>
      </c>
      <c r="P1039" s="115">
        <v>201.5</v>
      </c>
      <c r="Q1039" s="115">
        <v>198.65</v>
      </c>
      <c r="R1039">
        <v>14081</v>
      </c>
    </row>
    <row r="1040" spans="1:18" x14ac:dyDescent="0.25">
      <c r="A1040" s="169">
        <v>43535</v>
      </c>
      <c r="B1040" s="115">
        <v>202.5</v>
      </c>
      <c r="C1040" s="115">
        <v>201.7</v>
      </c>
      <c r="D1040" s="115">
        <v>195.6</v>
      </c>
      <c r="E1040" s="115">
        <v>199.6</v>
      </c>
      <c r="F1040" s="115">
        <v>201.7</v>
      </c>
      <c r="G1040">
        <v>2207</v>
      </c>
      <c r="H1040" s="115"/>
      <c r="I1040" s="115"/>
      <c r="L1040" s="169">
        <v>43532</v>
      </c>
      <c r="M1040" s="115">
        <v>200.15</v>
      </c>
      <c r="N1040" s="115">
        <v>205.15</v>
      </c>
      <c r="O1040" s="115">
        <v>197.75</v>
      </c>
      <c r="P1040" s="115">
        <v>198.75</v>
      </c>
      <c r="Q1040" s="115">
        <v>200.15</v>
      </c>
      <c r="R1040">
        <v>30985</v>
      </c>
    </row>
    <row r="1041" spans="1:18" x14ac:dyDescent="0.25">
      <c r="A1041" s="169">
        <v>43536</v>
      </c>
      <c r="B1041" s="115">
        <v>206.85</v>
      </c>
      <c r="C1041" s="115">
        <v>205.8</v>
      </c>
      <c r="D1041" s="115">
        <v>202.1</v>
      </c>
      <c r="E1041" s="115">
        <v>202.85</v>
      </c>
      <c r="F1041" s="115">
        <v>205.8</v>
      </c>
      <c r="G1041">
        <v>2114</v>
      </c>
      <c r="H1041" s="115"/>
      <c r="I1041" s="115"/>
      <c r="L1041" s="169">
        <v>43535</v>
      </c>
      <c r="M1041" s="115">
        <v>201.8</v>
      </c>
      <c r="N1041" s="115">
        <v>203</v>
      </c>
      <c r="O1041" s="115">
        <v>199.05</v>
      </c>
      <c r="P1041" s="115">
        <v>199.05</v>
      </c>
      <c r="Q1041" s="115">
        <v>201.8</v>
      </c>
      <c r="R1041">
        <v>17146</v>
      </c>
    </row>
    <row r="1042" spans="1:18" x14ac:dyDescent="0.25">
      <c r="A1042" s="169">
        <v>43537</v>
      </c>
      <c r="B1042" s="115">
        <v>203.1</v>
      </c>
      <c r="C1042" s="115">
        <v>203</v>
      </c>
      <c r="D1042" s="115">
        <v>201.9</v>
      </c>
      <c r="E1042" s="115">
        <v>203.1</v>
      </c>
      <c r="F1042" s="115">
        <v>203</v>
      </c>
      <c r="G1042">
        <v>743</v>
      </c>
      <c r="H1042" s="115"/>
      <c r="I1042" s="115"/>
      <c r="L1042" s="169">
        <v>43536</v>
      </c>
      <c r="M1042" s="115">
        <v>204.55</v>
      </c>
      <c r="N1042" s="115">
        <v>207</v>
      </c>
      <c r="O1042" s="115">
        <v>201.8</v>
      </c>
      <c r="P1042" s="115">
        <v>201.85</v>
      </c>
      <c r="Q1042" s="115">
        <v>204.55</v>
      </c>
      <c r="R1042">
        <v>31488</v>
      </c>
    </row>
    <row r="1043" spans="1:18" x14ac:dyDescent="0.25">
      <c r="A1043" s="169">
        <v>43538</v>
      </c>
      <c r="B1043" s="115">
        <v>205</v>
      </c>
      <c r="C1043" s="115">
        <v>203.75</v>
      </c>
      <c r="D1043" s="115">
        <v>199.45</v>
      </c>
      <c r="E1043" s="115">
        <v>203.45</v>
      </c>
      <c r="F1043" s="115">
        <v>203.75</v>
      </c>
      <c r="G1043">
        <v>1276</v>
      </c>
      <c r="H1043" s="115"/>
      <c r="I1043" s="115"/>
      <c r="L1043" s="169">
        <v>43537</v>
      </c>
      <c r="M1043" s="115">
        <v>202.25</v>
      </c>
      <c r="N1043" s="115">
        <v>205.15</v>
      </c>
      <c r="O1043" s="115">
        <v>201.75</v>
      </c>
      <c r="P1043" s="115">
        <v>203.6</v>
      </c>
      <c r="Q1043" s="115">
        <v>202.25</v>
      </c>
      <c r="R1043">
        <v>7658</v>
      </c>
    </row>
    <row r="1044" spans="1:18" x14ac:dyDescent="0.25">
      <c r="A1044" s="169">
        <v>43539</v>
      </c>
      <c r="B1044" s="115">
        <v>205.6</v>
      </c>
      <c r="C1044" s="115">
        <v>200.1</v>
      </c>
      <c r="D1044" s="115">
        <v>196.55</v>
      </c>
      <c r="E1044" s="115">
        <v>203.25</v>
      </c>
      <c r="F1044" s="115">
        <v>200.1</v>
      </c>
      <c r="G1044">
        <v>1146</v>
      </c>
      <c r="H1044" s="115"/>
      <c r="I1044" s="115"/>
      <c r="L1044" s="169">
        <v>43538</v>
      </c>
      <c r="M1044" s="115">
        <v>204.45</v>
      </c>
      <c r="N1044" s="115">
        <v>205.5</v>
      </c>
      <c r="O1044" s="115">
        <v>199.2</v>
      </c>
      <c r="P1044" s="115">
        <v>201.7</v>
      </c>
      <c r="Q1044" s="115">
        <v>204.45</v>
      </c>
      <c r="R1044">
        <v>31867</v>
      </c>
    </row>
    <row r="1045" spans="1:18" x14ac:dyDescent="0.25">
      <c r="A1045" s="169">
        <v>43542</v>
      </c>
      <c r="B1045" s="115">
        <v>204.05</v>
      </c>
      <c r="C1045" s="115">
        <v>202.25</v>
      </c>
      <c r="D1045" s="115">
        <v>199.5</v>
      </c>
      <c r="E1045" s="115">
        <v>201</v>
      </c>
      <c r="F1045" s="115">
        <v>202.25</v>
      </c>
      <c r="G1045">
        <v>242</v>
      </c>
      <c r="H1045" s="115"/>
      <c r="I1045" s="115"/>
      <c r="L1045" s="169">
        <v>43539</v>
      </c>
      <c r="M1045" s="115">
        <v>200.5</v>
      </c>
      <c r="N1045" s="115">
        <v>206.35</v>
      </c>
      <c r="O1045" s="115">
        <v>199</v>
      </c>
      <c r="P1045" s="115">
        <v>204.5</v>
      </c>
      <c r="Q1045" s="115">
        <v>200.5</v>
      </c>
      <c r="R1045">
        <v>6489</v>
      </c>
    </row>
    <row r="1046" spans="1:18" x14ac:dyDescent="0.25">
      <c r="A1046" s="169">
        <v>43543</v>
      </c>
      <c r="B1046" s="115">
        <v>202</v>
      </c>
      <c r="C1046" s="115">
        <v>194.85</v>
      </c>
      <c r="D1046" s="115">
        <v>194.7</v>
      </c>
      <c r="E1046" s="115">
        <v>202</v>
      </c>
      <c r="F1046" s="115">
        <v>194.85</v>
      </c>
      <c r="G1046">
        <v>3390</v>
      </c>
      <c r="H1046" s="115"/>
      <c r="I1046" s="115"/>
      <c r="L1046" s="169">
        <v>43542</v>
      </c>
      <c r="M1046" s="115">
        <v>200.9</v>
      </c>
      <c r="N1046" s="115">
        <v>203.5</v>
      </c>
      <c r="O1046" s="115">
        <v>199</v>
      </c>
      <c r="P1046" s="115">
        <v>202.95</v>
      </c>
      <c r="Q1046" s="115">
        <v>200.9</v>
      </c>
      <c r="R1046">
        <v>17876</v>
      </c>
    </row>
    <row r="1047" spans="1:18" x14ac:dyDescent="0.25">
      <c r="A1047" s="169">
        <v>43544</v>
      </c>
      <c r="B1047" s="115">
        <v>198.55</v>
      </c>
      <c r="C1047" s="115">
        <v>198.35</v>
      </c>
      <c r="D1047" s="115">
        <v>193.8</v>
      </c>
      <c r="E1047" s="115">
        <v>197.05</v>
      </c>
      <c r="F1047" s="115">
        <v>198.35</v>
      </c>
      <c r="G1047">
        <v>1292</v>
      </c>
      <c r="H1047" s="115"/>
      <c r="I1047" s="115"/>
      <c r="L1047" s="169">
        <v>43543</v>
      </c>
      <c r="M1047" s="115">
        <v>195.05</v>
      </c>
      <c r="N1047" s="115">
        <v>201.1</v>
      </c>
      <c r="O1047" s="115">
        <v>193.6</v>
      </c>
      <c r="P1047" s="115">
        <v>200.85</v>
      </c>
      <c r="Q1047" s="115">
        <v>195.05</v>
      </c>
      <c r="R1047">
        <v>22146</v>
      </c>
    </row>
    <row r="1048" spans="1:18" x14ac:dyDescent="0.25">
      <c r="A1048" s="169">
        <v>43546</v>
      </c>
      <c r="B1048" s="115">
        <v>205</v>
      </c>
      <c r="C1048" s="115">
        <v>199.7</v>
      </c>
      <c r="D1048" s="115">
        <v>198</v>
      </c>
      <c r="E1048" s="115">
        <v>198</v>
      </c>
      <c r="F1048" s="115">
        <v>199.7</v>
      </c>
      <c r="G1048">
        <v>2869</v>
      </c>
      <c r="H1048" s="115"/>
      <c r="I1048" s="115"/>
      <c r="L1048" s="169">
        <v>43544</v>
      </c>
      <c r="M1048" s="115">
        <v>196.7</v>
      </c>
      <c r="N1048" s="115">
        <v>198.4</v>
      </c>
      <c r="O1048" s="115">
        <v>192.9</v>
      </c>
      <c r="P1048" s="115">
        <v>194.8</v>
      </c>
      <c r="Q1048" s="115">
        <v>196.7</v>
      </c>
      <c r="R1048">
        <v>12660</v>
      </c>
    </row>
    <row r="1049" spans="1:18" x14ac:dyDescent="0.25">
      <c r="A1049" s="169">
        <v>43549</v>
      </c>
      <c r="B1049" s="115">
        <v>201.55</v>
      </c>
      <c r="C1049" s="115">
        <v>200.05</v>
      </c>
      <c r="D1049" s="115">
        <v>196.35</v>
      </c>
      <c r="E1049" s="115">
        <v>199.1</v>
      </c>
      <c r="F1049" s="115">
        <v>200.05</v>
      </c>
      <c r="G1049">
        <v>129</v>
      </c>
      <c r="H1049" s="115"/>
      <c r="I1049" s="115"/>
      <c r="L1049" s="169">
        <v>43546</v>
      </c>
      <c r="M1049" s="115">
        <v>200</v>
      </c>
      <c r="N1049" s="115">
        <v>217.7</v>
      </c>
      <c r="O1049" s="115">
        <v>198.5</v>
      </c>
      <c r="P1049" s="115">
        <v>217.7</v>
      </c>
      <c r="Q1049" s="115">
        <v>200</v>
      </c>
      <c r="R1049">
        <v>101264</v>
      </c>
    </row>
    <row r="1050" spans="1:18" x14ac:dyDescent="0.25">
      <c r="A1050" s="169">
        <v>43550</v>
      </c>
      <c r="B1050" s="115">
        <v>199.3</v>
      </c>
      <c r="C1050" s="115">
        <v>195.3</v>
      </c>
      <c r="D1050" s="115">
        <v>194.5</v>
      </c>
      <c r="E1050" s="115">
        <v>198.05</v>
      </c>
      <c r="F1050" s="115">
        <v>195.3</v>
      </c>
      <c r="G1050">
        <v>1685</v>
      </c>
      <c r="H1050" s="115"/>
      <c r="I1050" s="115"/>
      <c r="L1050" s="169">
        <v>43549</v>
      </c>
      <c r="M1050" s="115">
        <v>199.6</v>
      </c>
      <c r="N1050" s="115">
        <v>201.85</v>
      </c>
      <c r="O1050" s="115">
        <v>196</v>
      </c>
      <c r="P1050" s="115">
        <v>197.2</v>
      </c>
      <c r="Q1050" s="115">
        <v>199.6</v>
      </c>
      <c r="R1050">
        <v>23592</v>
      </c>
    </row>
    <row r="1051" spans="1:18" x14ac:dyDescent="0.25">
      <c r="A1051" s="169">
        <v>43551</v>
      </c>
      <c r="B1051" s="115">
        <v>197.9</v>
      </c>
      <c r="C1051" s="115">
        <v>197.9</v>
      </c>
      <c r="D1051" s="115">
        <v>193</v>
      </c>
      <c r="E1051" s="115">
        <v>194</v>
      </c>
      <c r="F1051" s="115">
        <v>197.9</v>
      </c>
      <c r="G1051">
        <v>559</v>
      </c>
      <c r="H1051" s="115"/>
      <c r="I1051" s="115"/>
      <c r="L1051" s="169">
        <v>43550</v>
      </c>
      <c r="M1051" s="115">
        <v>195.6</v>
      </c>
      <c r="N1051" s="115">
        <v>200.65</v>
      </c>
      <c r="O1051" s="115">
        <v>194.15</v>
      </c>
      <c r="P1051" s="115">
        <v>199.6</v>
      </c>
      <c r="Q1051" s="115">
        <v>195.6</v>
      </c>
      <c r="R1051">
        <v>17588</v>
      </c>
    </row>
    <row r="1052" spans="1:18" x14ac:dyDescent="0.25">
      <c r="A1052" s="169">
        <v>43552</v>
      </c>
      <c r="B1052" s="115">
        <v>198.15</v>
      </c>
      <c r="C1052" s="115">
        <v>195</v>
      </c>
      <c r="D1052" s="115">
        <v>194.55</v>
      </c>
      <c r="E1052" s="115">
        <v>196.75</v>
      </c>
      <c r="F1052" s="115">
        <v>195</v>
      </c>
      <c r="G1052">
        <v>1793</v>
      </c>
      <c r="H1052" s="115"/>
      <c r="I1052" s="115"/>
      <c r="L1052" s="169">
        <v>43551</v>
      </c>
      <c r="M1052" s="115">
        <v>194.7</v>
      </c>
      <c r="N1052" s="115">
        <v>198.5</v>
      </c>
      <c r="O1052" s="115">
        <v>191.8</v>
      </c>
      <c r="P1052" s="115">
        <v>198.5</v>
      </c>
      <c r="Q1052" s="115">
        <v>194.7</v>
      </c>
      <c r="R1052">
        <v>27948</v>
      </c>
    </row>
    <row r="1053" spans="1:18" x14ac:dyDescent="0.25">
      <c r="A1053" s="169">
        <v>43553</v>
      </c>
      <c r="B1053" s="115">
        <v>196.95</v>
      </c>
      <c r="C1053" s="115">
        <v>196.75</v>
      </c>
      <c r="D1053" s="115">
        <v>193.15</v>
      </c>
      <c r="E1053" s="115">
        <v>194.6</v>
      </c>
      <c r="F1053" s="115">
        <v>196.75</v>
      </c>
      <c r="G1053">
        <v>5013</v>
      </c>
      <c r="H1053" s="115"/>
      <c r="I1053" s="115"/>
      <c r="L1053" s="169">
        <v>43552</v>
      </c>
      <c r="M1053" s="115">
        <v>196.4</v>
      </c>
      <c r="N1053" s="115">
        <v>198.8</v>
      </c>
      <c r="O1053" s="115">
        <v>192.95</v>
      </c>
      <c r="P1053" s="115">
        <v>197.6</v>
      </c>
      <c r="Q1053" s="115">
        <v>196.4</v>
      </c>
      <c r="R1053">
        <v>42336</v>
      </c>
    </row>
    <row r="1054" spans="1:18" x14ac:dyDescent="0.25">
      <c r="A1054" s="169">
        <v>43556</v>
      </c>
      <c r="B1054" s="115">
        <v>204.9</v>
      </c>
      <c r="C1054" s="115">
        <v>200.1</v>
      </c>
      <c r="D1054" s="115">
        <v>198.2</v>
      </c>
      <c r="E1054" s="115">
        <v>201</v>
      </c>
      <c r="F1054" s="115">
        <v>200.1</v>
      </c>
      <c r="G1054">
        <v>4066</v>
      </c>
      <c r="H1054" s="115"/>
      <c r="I1054" s="115"/>
      <c r="L1054" s="169">
        <v>43553</v>
      </c>
      <c r="M1054" s="115">
        <v>195.25</v>
      </c>
      <c r="N1054" s="115">
        <v>198.05</v>
      </c>
      <c r="O1054" s="115">
        <v>193</v>
      </c>
      <c r="P1054" s="115">
        <v>196.5</v>
      </c>
      <c r="Q1054" s="115">
        <v>195.25</v>
      </c>
      <c r="R1054">
        <v>18339</v>
      </c>
    </row>
    <row r="1055" spans="1:18" x14ac:dyDescent="0.25">
      <c r="A1055" s="169">
        <v>43557</v>
      </c>
      <c r="B1055" s="115">
        <v>205</v>
      </c>
      <c r="C1055" s="115">
        <v>204.7</v>
      </c>
      <c r="D1055" s="115">
        <v>196.1</v>
      </c>
      <c r="E1055" s="115">
        <v>198.65</v>
      </c>
      <c r="F1055" s="115">
        <v>204.7</v>
      </c>
      <c r="G1055">
        <v>1708</v>
      </c>
      <c r="H1055" s="115"/>
      <c r="I1055" s="115"/>
      <c r="L1055" s="169">
        <v>43556</v>
      </c>
      <c r="M1055" s="115">
        <v>199.95</v>
      </c>
      <c r="N1055" s="115">
        <v>203.95</v>
      </c>
      <c r="O1055" s="115">
        <v>197.5</v>
      </c>
      <c r="P1055" s="115">
        <v>198.2</v>
      </c>
      <c r="Q1055" s="115">
        <v>199.95</v>
      </c>
      <c r="R1055">
        <v>25632</v>
      </c>
    </row>
    <row r="1056" spans="1:18" x14ac:dyDescent="0.25">
      <c r="A1056" s="169">
        <v>43558</v>
      </c>
      <c r="B1056" s="115">
        <v>207.6</v>
      </c>
      <c r="C1056" s="115">
        <v>204.45</v>
      </c>
      <c r="D1056" s="115">
        <v>201</v>
      </c>
      <c r="E1056" s="115">
        <v>207.6</v>
      </c>
      <c r="F1056" s="115">
        <v>204.45</v>
      </c>
      <c r="G1056">
        <v>199</v>
      </c>
      <c r="H1056" s="115"/>
      <c r="I1056" s="115"/>
      <c r="L1056" s="169">
        <v>43557</v>
      </c>
      <c r="M1056" s="115">
        <v>204.75</v>
      </c>
      <c r="N1056" s="115">
        <v>206</v>
      </c>
      <c r="O1056" s="115">
        <v>196.7</v>
      </c>
      <c r="P1056" s="115">
        <v>202</v>
      </c>
      <c r="Q1056" s="115">
        <v>204.75</v>
      </c>
      <c r="R1056">
        <v>18736</v>
      </c>
    </row>
    <row r="1057" spans="1:18" x14ac:dyDescent="0.25">
      <c r="A1057" s="169">
        <v>43559</v>
      </c>
      <c r="B1057" s="115">
        <v>204</v>
      </c>
      <c r="C1057" s="115">
        <v>203.65</v>
      </c>
      <c r="D1057" s="115">
        <v>201.05</v>
      </c>
      <c r="E1057" s="115">
        <v>203.9</v>
      </c>
      <c r="F1057" s="115">
        <v>203.65</v>
      </c>
      <c r="G1057">
        <v>268</v>
      </c>
      <c r="H1057" s="115"/>
      <c r="I1057" s="115"/>
      <c r="L1057" s="169">
        <v>43558</v>
      </c>
      <c r="M1057" s="115">
        <v>201.3</v>
      </c>
      <c r="N1057" s="115">
        <v>207.8</v>
      </c>
      <c r="O1057" s="115">
        <v>200</v>
      </c>
      <c r="P1057" s="115">
        <v>206</v>
      </c>
      <c r="Q1057" s="115">
        <v>201.3</v>
      </c>
      <c r="R1057">
        <v>16099</v>
      </c>
    </row>
    <row r="1058" spans="1:18" x14ac:dyDescent="0.25">
      <c r="A1058" s="169">
        <v>43560</v>
      </c>
      <c r="B1058" s="115">
        <v>206</v>
      </c>
      <c r="C1058" s="115">
        <v>205.3</v>
      </c>
      <c r="D1058" s="115">
        <v>203</v>
      </c>
      <c r="E1058" s="115">
        <v>205</v>
      </c>
      <c r="F1058" s="115">
        <v>205.3</v>
      </c>
      <c r="G1058">
        <v>1000</v>
      </c>
      <c r="H1058" s="115"/>
      <c r="I1058" s="115"/>
      <c r="L1058" s="169">
        <v>43559</v>
      </c>
      <c r="M1058" s="115">
        <v>204.25</v>
      </c>
      <c r="N1058" s="115">
        <v>205.9</v>
      </c>
      <c r="O1058" s="115">
        <v>201.05</v>
      </c>
      <c r="P1058" s="115">
        <v>202.75</v>
      </c>
      <c r="Q1058" s="115">
        <v>204.25</v>
      </c>
      <c r="R1058">
        <v>17862</v>
      </c>
    </row>
    <row r="1059" spans="1:18" x14ac:dyDescent="0.25">
      <c r="A1059" s="169">
        <v>43563</v>
      </c>
      <c r="B1059" s="115">
        <v>214</v>
      </c>
      <c r="C1059" s="115">
        <v>209.25</v>
      </c>
      <c r="D1059" s="115">
        <v>206</v>
      </c>
      <c r="E1059" s="115">
        <v>206</v>
      </c>
      <c r="F1059" s="115">
        <v>209.25</v>
      </c>
      <c r="G1059">
        <v>1025</v>
      </c>
      <c r="H1059" s="115"/>
      <c r="I1059" s="115"/>
      <c r="L1059" s="169">
        <v>43560</v>
      </c>
      <c r="M1059" s="115">
        <v>205.85</v>
      </c>
      <c r="N1059" s="115">
        <v>206.95</v>
      </c>
      <c r="O1059" s="115">
        <v>202.85</v>
      </c>
      <c r="P1059" s="115">
        <v>204</v>
      </c>
      <c r="Q1059" s="115">
        <v>205.85</v>
      </c>
      <c r="R1059">
        <v>13794</v>
      </c>
    </row>
    <row r="1060" spans="1:18" x14ac:dyDescent="0.25">
      <c r="A1060" s="169">
        <v>43564</v>
      </c>
      <c r="B1060" s="115">
        <v>213</v>
      </c>
      <c r="C1060" s="115">
        <v>210.35</v>
      </c>
      <c r="D1060" s="115">
        <v>207.5</v>
      </c>
      <c r="E1060" s="115">
        <v>209.25</v>
      </c>
      <c r="F1060" s="115">
        <v>210.35</v>
      </c>
      <c r="G1060">
        <v>1803</v>
      </c>
      <c r="H1060" s="115"/>
      <c r="I1060" s="115"/>
      <c r="L1060" s="169">
        <v>43563</v>
      </c>
      <c r="M1060" s="115">
        <v>209.35</v>
      </c>
      <c r="N1060" s="115">
        <v>210.7</v>
      </c>
      <c r="O1060" s="115">
        <v>206.95</v>
      </c>
      <c r="P1060" s="115">
        <v>207.3</v>
      </c>
      <c r="Q1060" s="115">
        <v>209.35</v>
      </c>
      <c r="R1060">
        <v>26437</v>
      </c>
    </row>
    <row r="1061" spans="1:18" x14ac:dyDescent="0.25">
      <c r="A1061" s="169">
        <v>43565</v>
      </c>
      <c r="B1061" s="115">
        <v>216</v>
      </c>
      <c r="C1061" s="115">
        <v>214.75</v>
      </c>
      <c r="D1061" s="115">
        <v>209</v>
      </c>
      <c r="E1061" s="115">
        <v>209</v>
      </c>
      <c r="F1061" s="115">
        <v>214.75</v>
      </c>
      <c r="G1061">
        <v>2747</v>
      </c>
      <c r="H1061" s="115"/>
      <c r="I1061" s="115"/>
      <c r="L1061" s="169">
        <v>43564</v>
      </c>
      <c r="M1061" s="115">
        <v>210.2</v>
      </c>
      <c r="N1061" s="115">
        <v>214.55</v>
      </c>
      <c r="O1061" s="115">
        <v>208.15</v>
      </c>
      <c r="P1061" s="115">
        <v>209.35</v>
      </c>
      <c r="Q1061" s="115">
        <v>210.2</v>
      </c>
      <c r="R1061">
        <v>35232</v>
      </c>
    </row>
    <row r="1062" spans="1:18" x14ac:dyDescent="0.25">
      <c r="A1062" s="169">
        <v>43566</v>
      </c>
      <c r="B1062" s="115">
        <v>218.85</v>
      </c>
      <c r="C1062" s="115">
        <v>213.45</v>
      </c>
      <c r="D1062" s="115">
        <v>211</v>
      </c>
      <c r="E1062" s="115">
        <v>217.5</v>
      </c>
      <c r="F1062" s="115">
        <v>213.45</v>
      </c>
      <c r="G1062">
        <v>2253</v>
      </c>
      <c r="H1062" s="115"/>
      <c r="I1062" s="115"/>
      <c r="L1062" s="169">
        <v>43565</v>
      </c>
      <c r="M1062" s="115">
        <v>215.15</v>
      </c>
      <c r="N1062" s="115">
        <v>216.45</v>
      </c>
      <c r="O1062" s="115">
        <v>208.55</v>
      </c>
      <c r="P1062" s="115">
        <v>211</v>
      </c>
      <c r="Q1062" s="115">
        <v>215.15</v>
      </c>
      <c r="R1062">
        <v>17146</v>
      </c>
    </row>
    <row r="1063" spans="1:18" x14ac:dyDescent="0.25">
      <c r="A1063" s="169">
        <v>43567</v>
      </c>
      <c r="B1063" s="115">
        <v>213</v>
      </c>
      <c r="C1063" s="115">
        <v>211.95</v>
      </c>
      <c r="D1063" s="115">
        <v>205</v>
      </c>
      <c r="E1063" s="115">
        <v>212.9</v>
      </c>
      <c r="F1063" s="115">
        <v>211.95</v>
      </c>
      <c r="G1063">
        <v>879</v>
      </c>
      <c r="H1063" s="115"/>
      <c r="I1063" s="115"/>
      <c r="L1063" s="169">
        <v>43566</v>
      </c>
      <c r="M1063" s="115">
        <v>210.85</v>
      </c>
      <c r="N1063" s="115">
        <v>218</v>
      </c>
      <c r="O1063" s="115">
        <v>210</v>
      </c>
      <c r="P1063" s="115">
        <v>216</v>
      </c>
      <c r="Q1063" s="115">
        <v>210.85</v>
      </c>
      <c r="R1063">
        <v>24943</v>
      </c>
    </row>
    <row r="1064" spans="1:18" x14ac:dyDescent="0.25">
      <c r="A1064" s="169">
        <v>43570</v>
      </c>
      <c r="B1064" s="115">
        <v>217.6</v>
      </c>
      <c r="C1064" s="115">
        <v>216.05</v>
      </c>
      <c r="D1064" s="115">
        <v>210.3</v>
      </c>
      <c r="E1064" s="115">
        <v>210.35</v>
      </c>
      <c r="F1064" s="115">
        <v>216.05</v>
      </c>
      <c r="G1064">
        <v>1051</v>
      </c>
      <c r="H1064" s="115"/>
      <c r="I1064" s="115"/>
      <c r="L1064" s="169">
        <v>43567</v>
      </c>
      <c r="M1064" s="115">
        <v>210.5</v>
      </c>
      <c r="N1064" s="115">
        <v>212</v>
      </c>
      <c r="O1064" s="115">
        <v>208.05</v>
      </c>
      <c r="P1064" s="115">
        <v>212</v>
      </c>
      <c r="Q1064" s="115">
        <v>210.5</v>
      </c>
      <c r="R1064">
        <v>9054</v>
      </c>
    </row>
    <row r="1065" spans="1:18" x14ac:dyDescent="0.25">
      <c r="A1065" s="169">
        <v>43571</v>
      </c>
      <c r="B1065" s="115">
        <v>219.8</v>
      </c>
      <c r="C1065" s="115">
        <v>217.75</v>
      </c>
      <c r="D1065" s="115">
        <v>210</v>
      </c>
      <c r="E1065" s="115">
        <v>213.05</v>
      </c>
      <c r="F1065" s="115">
        <v>217.75</v>
      </c>
      <c r="G1065">
        <v>4265</v>
      </c>
      <c r="H1065" s="115"/>
      <c r="I1065" s="115"/>
      <c r="L1065" s="169">
        <v>43570</v>
      </c>
      <c r="M1065" s="115">
        <v>215</v>
      </c>
      <c r="N1065" s="115">
        <v>216</v>
      </c>
      <c r="O1065" s="115">
        <v>210.05</v>
      </c>
      <c r="P1065" s="115">
        <v>210.5</v>
      </c>
      <c r="Q1065" s="115">
        <v>215</v>
      </c>
      <c r="R1065">
        <v>9702</v>
      </c>
    </row>
    <row r="1066" spans="1:18" x14ac:dyDescent="0.25">
      <c r="A1066" s="169">
        <v>43573</v>
      </c>
      <c r="B1066" s="115">
        <v>224</v>
      </c>
      <c r="C1066" s="115">
        <v>222.35</v>
      </c>
      <c r="D1066" s="115">
        <v>215.75</v>
      </c>
      <c r="E1066" s="115">
        <v>220</v>
      </c>
      <c r="F1066" s="115">
        <v>222.35</v>
      </c>
      <c r="G1066">
        <v>4384</v>
      </c>
      <c r="H1066" s="115"/>
      <c r="I1066" s="115"/>
      <c r="L1066" s="169">
        <v>43571</v>
      </c>
      <c r="M1066" s="115">
        <v>218.6</v>
      </c>
      <c r="N1066" s="115">
        <v>219</v>
      </c>
      <c r="O1066" s="115">
        <v>211.05</v>
      </c>
      <c r="P1066" s="115">
        <v>216</v>
      </c>
      <c r="Q1066" s="115">
        <v>218.6</v>
      </c>
      <c r="R1066">
        <v>19063</v>
      </c>
    </row>
    <row r="1067" spans="1:18" x14ac:dyDescent="0.25">
      <c r="A1067" s="169">
        <v>43577</v>
      </c>
      <c r="B1067" s="115">
        <v>228.9</v>
      </c>
      <c r="C1067" s="115">
        <v>225.5</v>
      </c>
      <c r="D1067" s="115">
        <v>221.95</v>
      </c>
      <c r="E1067" s="115">
        <v>221.95</v>
      </c>
      <c r="F1067" s="115">
        <v>225.5</v>
      </c>
      <c r="G1067">
        <v>5956</v>
      </c>
      <c r="H1067" s="115"/>
      <c r="I1067" s="115"/>
      <c r="L1067" s="169">
        <v>43573</v>
      </c>
      <c r="M1067" s="115">
        <v>223.05</v>
      </c>
      <c r="N1067" s="115">
        <v>224.9</v>
      </c>
      <c r="O1067" s="115">
        <v>214.9</v>
      </c>
      <c r="P1067" s="115">
        <v>218.05</v>
      </c>
      <c r="Q1067" s="115">
        <v>223.05</v>
      </c>
      <c r="R1067">
        <v>48009</v>
      </c>
    </row>
    <row r="1068" spans="1:18" x14ac:dyDescent="0.25">
      <c r="A1068" s="169">
        <v>43578</v>
      </c>
      <c r="B1068" s="115">
        <v>230.6</v>
      </c>
      <c r="C1068" s="115">
        <v>228.5</v>
      </c>
      <c r="D1068" s="115">
        <v>224.25</v>
      </c>
      <c r="E1068" s="115">
        <v>224.25</v>
      </c>
      <c r="F1068" s="115">
        <v>228.5</v>
      </c>
      <c r="G1068">
        <v>1888</v>
      </c>
      <c r="H1068" s="115"/>
      <c r="I1068" s="115"/>
      <c r="L1068" s="169">
        <v>43577</v>
      </c>
      <c r="M1068" s="115">
        <v>225.8</v>
      </c>
      <c r="N1068" s="115">
        <v>229.4</v>
      </c>
      <c r="O1068" s="115">
        <v>219</v>
      </c>
      <c r="P1068" s="115">
        <v>222</v>
      </c>
      <c r="Q1068" s="115">
        <v>225.8</v>
      </c>
      <c r="R1068">
        <v>53887</v>
      </c>
    </row>
    <row r="1069" spans="1:18" x14ac:dyDescent="0.25">
      <c r="A1069" s="169">
        <v>43579</v>
      </c>
      <c r="B1069" s="115">
        <v>228.95</v>
      </c>
      <c r="C1069" s="115">
        <v>222.9</v>
      </c>
      <c r="D1069" s="115">
        <v>219.9</v>
      </c>
      <c r="E1069" s="115">
        <v>222.15</v>
      </c>
      <c r="F1069" s="115">
        <v>222.9</v>
      </c>
      <c r="G1069">
        <v>2867</v>
      </c>
      <c r="H1069" s="115"/>
      <c r="I1069" s="115"/>
      <c r="L1069" s="169">
        <v>43578</v>
      </c>
      <c r="M1069" s="115">
        <v>227.85</v>
      </c>
      <c r="N1069" s="115">
        <v>229.9</v>
      </c>
      <c r="O1069" s="115">
        <v>225.9</v>
      </c>
      <c r="P1069" s="115">
        <v>229.2</v>
      </c>
      <c r="Q1069" s="115">
        <v>227.85</v>
      </c>
      <c r="R1069">
        <v>18382</v>
      </c>
    </row>
    <row r="1070" spans="1:18" x14ac:dyDescent="0.25">
      <c r="A1070" s="169">
        <v>43580</v>
      </c>
      <c r="B1070" s="115">
        <v>232.95</v>
      </c>
      <c r="C1070" s="115">
        <v>227.2</v>
      </c>
      <c r="D1070" s="115">
        <v>214</v>
      </c>
      <c r="E1070" s="115">
        <v>226</v>
      </c>
      <c r="F1070" s="115">
        <v>227.2</v>
      </c>
      <c r="G1070">
        <v>4738</v>
      </c>
      <c r="H1070" s="115"/>
      <c r="I1070" s="115"/>
      <c r="L1070" s="169">
        <v>43579</v>
      </c>
      <c r="M1070" s="115">
        <v>222.3</v>
      </c>
      <c r="N1070" s="115">
        <v>225.75</v>
      </c>
      <c r="O1070" s="115">
        <v>219.5</v>
      </c>
      <c r="P1070" s="115">
        <v>224.4</v>
      </c>
      <c r="Q1070" s="115">
        <v>222.3</v>
      </c>
      <c r="R1070">
        <v>28568</v>
      </c>
    </row>
    <row r="1071" spans="1:18" x14ac:dyDescent="0.25">
      <c r="A1071" s="169">
        <v>43581</v>
      </c>
      <c r="B1071" s="115">
        <v>230</v>
      </c>
      <c r="C1071" s="115">
        <v>223.3</v>
      </c>
      <c r="D1071" s="115">
        <v>221.05</v>
      </c>
      <c r="E1071" s="115">
        <v>230</v>
      </c>
      <c r="F1071" s="115">
        <v>223.3</v>
      </c>
      <c r="G1071">
        <v>1058</v>
      </c>
      <c r="H1071" s="115"/>
      <c r="I1071" s="115"/>
      <c r="L1071" s="169">
        <v>43580</v>
      </c>
      <c r="M1071" s="115">
        <v>223.85</v>
      </c>
      <c r="N1071" s="115">
        <v>233</v>
      </c>
      <c r="O1071" s="115">
        <v>215.35</v>
      </c>
      <c r="P1071" s="115">
        <v>222.25</v>
      </c>
      <c r="Q1071" s="115">
        <v>223.85</v>
      </c>
      <c r="R1071">
        <v>81797</v>
      </c>
    </row>
    <row r="1072" spans="1:18" x14ac:dyDescent="0.25">
      <c r="A1072" s="169">
        <v>43585</v>
      </c>
      <c r="B1072" s="115">
        <v>224</v>
      </c>
      <c r="C1072" s="115">
        <v>223</v>
      </c>
      <c r="D1072" s="115">
        <v>219.25</v>
      </c>
      <c r="E1072" s="115">
        <v>223.95</v>
      </c>
      <c r="F1072" s="115">
        <v>223</v>
      </c>
      <c r="G1072">
        <v>767</v>
      </c>
      <c r="H1072" s="115"/>
      <c r="I1072" s="115"/>
      <c r="L1072" s="169">
        <v>43581</v>
      </c>
      <c r="M1072" s="115">
        <v>224.85</v>
      </c>
      <c r="N1072" s="115">
        <v>227.95</v>
      </c>
      <c r="O1072" s="115">
        <v>222.2</v>
      </c>
      <c r="P1072" s="115">
        <v>224.55</v>
      </c>
      <c r="Q1072" s="115">
        <v>224.85</v>
      </c>
      <c r="R1072">
        <v>17661</v>
      </c>
    </row>
    <row r="1073" spans="1:18" x14ac:dyDescent="0.25">
      <c r="A1073" s="169">
        <v>43587</v>
      </c>
      <c r="B1073" s="115">
        <v>227</v>
      </c>
      <c r="C1073" s="115">
        <v>225.9</v>
      </c>
      <c r="D1073" s="115">
        <v>224</v>
      </c>
      <c r="E1073" s="115">
        <v>224</v>
      </c>
      <c r="F1073" s="115">
        <v>225.9</v>
      </c>
      <c r="G1073">
        <v>104</v>
      </c>
      <c r="H1073" s="115"/>
      <c r="I1073" s="115"/>
      <c r="L1073" s="169">
        <v>43585</v>
      </c>
      <c r="M1073" s="115">
        <v>224.9</v>
      </c>
      <c r="N1073" s="115">
        <v>226.95</v>
      </c>
      <c r="O1073" s="115">
        <v>218</v>
      </c>
      <c r="P1073" s="115">
        <v>224</v>
      </c>
      <c r="Q1073" s="115">
        <v>224.9</v>
      </c>
      <c r="R1073">
        <v>24745</v>
      </c>
    </row>
    <row r="1074" spans="1:18" x14ac:dyDescent="0.25">
      <c r="A1074" s="169">
        <v>43588</v>
      </c>
      <c r="B1074" s="115">
        <v>229</v>
      </c>
      <c r="C1074" s="115">
        <v>228</v>
      </c>
      <c r="D1074" s="115">
        <v>226</v>
      </c>
      <c r="E1074" s="115">
        <v>226</v>
      </c>
      <c r="F1074" s="115">
        <v>228</v>
      </c>
      <c r="G1074">
        <v>282</v>
      </c>
      <c r="H1074" s="115"/>
      <c r="I1074" s="115"/>
      <c r="L1074" s="169">
        <v>43587</v>
      </c>
      <c r="M1074" s="115">
        <v>225.15</v>
      </c>
      <c r="N1074" s="115">
        <v>226.45</v>
      </c>
      <c r="O1074" s="115">
        <v>221.5</v>
      </c>
      <c r="P1074" s="115">
        <v>223</v>
      </c>
      <c r="Q1074" s="115">
        <v>225.15</v>
      </c>
      <c r="R1074">
        <v>31193</v>
      </c>
    </row>
    <row r="1075" spans="1:18" x14ac:dyDescent="0.25">
      <c r="A1075" s="169">
        <v>43591</v>
      </c>
      <c r="B1075" s="115">
        <v>228.7</v>
      </c>
      <c r="C1075" s="115">
        <v>228.7</v>
      </c>
      <c r="D1075" s="115">
        <v>225.5</v>
      </c>
      <c r="E1075" s="115">
        <v>226</v>
      </c>
      <c r="F1075" s="115">
        <v>228.7</v>
      </c>
      <c r="G1075">
        <v>24</v>
      </c>
      <c r="H1075" s="115"/>
      <c r="I1075" s="115"/>
      <c r="L1075" s="169">
        <v>43588</v>
      </c>
      <c r="M1075" s="115">
        <v>228.1</v>
      </c>
      <c r="N1075" s="115">
        <v>230.9</v>
      </c>
      <c r="O1075" s="115">
        <v>224.75</v>
      </c>
      <c r="P1075" s="115">
        <v>226.45</v>
      </c>
      <c r="Q1075" s="115">
        <v>228.1</v>
      </c>
      <c r="R1075">
        <v>48915</v>
      </c>
    </row>
    <row r="1076" spans="1:18" x14ac:dyDescent="0.25">
      <c r="A1076" s="169">
        <v>43592</v>
      </c>
      <c r="B1076" s="115">
        <v>229</v>
      </c>
      <c r="C1076" s="115">
        <v>226</v>
      </c>
      <c r="D1076" s="115">
        <v>225.05</v>
      </c>
      <c r="E1076" s="115">
        <v>229</v>
      </c>
      <c r="F1076" s="115">
        <v>226</v>
      </c>
      <c r="G1076">
        <v>234</v>
      </c>
      <c r="H1076" s="115"/>
      <c r="I1076" s="115"/>
      <c r="L1076" s="169">
        <v>43591</v>
      </c>
      <c r="M1076" s="115">
        <v>227.4</v>
      </c>
      <c r="N1076" s="115">
        <v>230</v>
      </c>
      <c r="O1076" s="115">
        <v>225.25</v>
      </c>
      <c r="P1076" s="115">
        <v>229</v>
      </c>
      <c r="Q1076" s="115">
        <v>227.4</v>
      </c>
      <c r="R1076">
        <v>12093</v>
      </c>
    </row>
    <row r="1077" spans="1:18" x14ac:dyDescent="0.25">
      <c r="A1077" s="169">
        <v>43593</v>
      </c>
      <c r="B1077" s="115">
        <v>224</v>
      </c>
      <c r="C1077" s="115">
        <v>222</v>
      </c>
      <c r="D1077" s="115">
        <v>220.6</v>
      </c>
      <c r="E1077" s="115">
        <v>224</v>
      </c>
      <c r="F1077" s="115">
        <v>222</v>
      </c>
      <c r="G1077">
        <v>926</v>
      </c>
      <c r="H1077" s="115"/>
      <c r="I1077" s="115"/>
      <c r="L1077" s="169">
        <v>43592</v>
      </c>
      <c r="M1077" s="115">
        <v>227.15</v>
      </c>
      <c r="N1077" s="115">
        <v>230.5</v>
      </c>
      <c r="O1077" s="115">
        <v>225.35</v>
      </c>
      <c r="P1077" s="115">
        <v>230.5</v>
      </c>
      <c r="Q1077" s="115">
        <v>227.15</v>
      </c>
      <c r="R1077">
        <v>14809</v>
      </c>
    </row>
    <row r="1078" spans="1:18" x14ac:dyDescent="0.25">
      <c r="A1078" s="169">
        <v>43594</v>
      </c>
      <c r="B1078" s="115">
        <v>241.9</v>
      </c>
      <c r="C1078" s="115">
        <v>235.9</v>
      </c>
      <c r="D1078" s="115">
        <v>217.6</v>
      </c>
      <c r="E1078" s="115">
        <v>220.1</v>
      </c>
      <c r="F1078" s="115">
        <v>235.9</v>
      </c>
      <c r="G1078">
        <v>11846</v>
      </c>
      <c r="H1078" s="115"/>
      <c r="I1078" s="115"/>
      <c r="L1078" s="169">
        <v>43593</v>
      </c>
      <c r="M1078" s="115">
        <v>222.8</v>
      </c>
      <c r="N1078" s="115">
        <v>227.85</v>
      </c>
      <c r="O1078" s="115">
        <v>221.2</v>
      </c>
      <c r="P1078" s="115">
        <v>226</v>
      </c>
      <c r="Q1078" s="115">
        <v>222.8</v>
      </c>
      <c r="R1078">
        <v>33897</v>
      </c>
    </row>
    <row r="1079" spans="1:18" x14ac:dyDescent="0.25">
      <c r="A1079" s="169">
        <v>43595</v>
      </c>
      <c r="B1079" s="115">
        <v>250</v>
      </c>
      <c r="C1079" s="115">
        <v>243.15</v>
      </c>
      <c r="D1079" s="115">
        <v>240</v>
      </c>
      <c r="E1079" s="115">
        <v>244</v>
      </c>
      <c r="F1079" s="115">
        <v>243.15</v>
      </c>
      <c r="G1079">
        <v>15338</v>
      </c>
      <c r="H1079" s="115"/>
      <c r="I1079" s="115"/>
      <c r="L1079" s="169">
        <v>43594</v>
      </c>
      <c r="M1079" s="115">
        <v>236.05</v>
      </c>
      <c r="N1079" s="115">
        <v>240</v>
      </c>
      <c r="O1079" s="115">
        <v>215.25</v>
      </c>
      <c r="P1079" s="115">
        <v>220.5</v>
      </c>
      <c r="Q1079" s="115">
        <v>236.05</v>
      </c>
      <c r="R1079">
        <v>139687</v>
      </c>
    </row>
    <row r="1080" spans="1:18" x14ac:dyDescent="0.25">
      <c r="A1080" s="169">
        <v>43598</v>
      </c>
      <c r="B1080" s="115">
        <v>245.55</v>
      </c>
      <c r="C1080" s="115">
        <v>239.05</v>
      </c>
      <c r="D1080" s="115">
        <v>237.1</v>
      </c>
      <c r="E1080" s="115">
        <v>237.2</v>
      </c>
      <c r="F1080" s="115">
        <v>239.05</v>
      </c>
      <c r="G1080">
        <v>10862</v>
      </c>
      <c r="H1080" s="115"/>
      <c r="I1080" s="115"/>
      <c r="L1080" s="169">
        <v>43595</v>
      </c>
      <c r="M1080" s="115">
        <v>243.75</v>
      </c>
      <c r="N1080" s="115">
        <v>249.7</v>
      </c>
      <c r="O1080" s="115">
        <v>240.1</v>
      </c>
      <c r="P1080" s="115">
        <v>244.4</v>
      </c>
      <c r="Q1080" s="115">
        <v>243.75</v>
      </c>
      <c r="R1080">
        <v>180712</v>
      </c>
    </row>
    <row r="1081" spans="1:18" x14ac:dyDescent="0.25">
      <c r="A1081" s="169">
        <v>43599</v>
      </c>
      <c r="B1081" s="115">
        <v>244.95</v>
      </c>
      <c r="C1081" s="115">
        <v>243.45</v>
      </c>
      <c r="D1081" s="115">
        <v>234.7</v>
      </c>
      <c r="E1081" s="115">
        <v>234.7</v>
      </c>
      <c r="F1081" s="115">
        <v>243.45</v>
      </c>
      <c r="G1081">
        <v>4787</v>
      </c>
      <c r="H1081" s="115"/>
      <c r="I1081" s="115"/>
      <c r="L1081" s="169">
        <v>43598</v>
      </c>
      <c r="M1081" s="115">
        <v>239.5</v>
      </c>
      <c r="N1081" s="115">
        <v>244.9</v>
      </c>
      <c r="O1081" s="115">
        <v>237.3</v>
      </c>
      <c r="P1081" s="115">
        <v>243</v>
      </c>
      <c r="Q1081" s="115">
        <v>239.5</v>
      </c>
      <c r="R1081">
        <v>36694</v>
      </c>
    </row>
    <row r="1082" spans="1:18" x14ac:dyDescent="0.25">
      <c r="A1082" s="169">
        <v>43600</v>
      </c>
      <c r="B1082" s="115">
        <v>273.8</v>
      </c>
      <c r="C1082" s="115">
        <v>253.35</v>
      </c>
      <c r="D1082" s="115">
        <v>248</v>
      </c>
      <c r="E1082" s="115">
        <v>248</v>
      </c>
      <c r="F1082" s="115">
        <v>253.35</v>
      </c>
      <c r="G1082">
        <v>30770</v>
      </c>
      <c r="H1082" s="115"/>
      <c r="I1082" s="115"/>
      <c r="L1082" s="169">
        <v>43599</v>
      </c>
      <c r="M1082" s="115">
        <v>241.95</v>
      </c>
      <c r="N1082" s="115">
        <v>244.5</v>
      </c>
      <c r="O1082" s="115">
        <v>231.35</v>
      </c>
      <c r="P1082" s="115">
        <v>236</v>
      </c>
      <c r="Q1082" s="115">
        <v>241.95</v>
      </c>
      <c r="R1082">
        <v>27926</v>
      </c>
    </row>
    <row r="1083" spans="1:18" x14ac:dyDescent="0.25">
      <c r="A1083" s="169">
        <v>43601</v>
      </c>
      <c r="B1083" s="115">
        <v>264.60000000000002</v>
      </c>
      <c r="C1083" s="115">
        <v>257.7</v>
      </c>
      <c r="D1083" s="115">
        <v>247.05</v>
      </c>
      <c r="E1083" s="115">
        <v>247.05</v>
      </c>
      <c r="F1083" s="115">
        <v>257.7</v>
      </c>
      <c r="G1083">
        <v>6150</v>
      </c>
      <c r="H1083" s="115"/>
      <c r="I1083" s="115"/>
      <c r="L1083" s="169">
        <v>43600</v>
      </c>
      <c r="M1083" s="115">
        <v>254.35</v>
      </c>
      <c r="N1083" s="115">
        <v>272.95</v>
      </c>
      <c r="O1083" s="115">
        <v>241.95</v>
      </c>
      <c r="P1083" s="115">
        <v>241.95</v>
      </c>
      <c r="Q1083" s="115">
        <v>254.35</v>
      </c>
      <c r="R1083">
        <v>264919</v>
      </c>
    </row>
    <row r="1084" spans="1:18" x14ac:dyDescent="0.25">
      <c r="A1084" s="169">
        <v>43602</v>
      </c>
      <c r="B1084" s="115">
        <v>260</v>
      </c>
      <c r="C1084" s="115">
        <v>250.05</v>
      </c>
      <c r="D1084" s="115">
        <v>248.5</v>
      </c>
      <c r="E1084" s="115">
        <v>259.8</v>
      </c>
      <c r="F1084" s="115">
        <v>250.05</v>
      </c>
      <c r="G1084">
        <v>3740</v>
      </c>
      <c r="H1084" s="115"/>
      <c r="I1084" s="115"/>
      <c r="L1084" s="169">
        <v>43601</v>
      </c>
      <c r="M1084" s="115">
        <v>258.35000000000002</v>
      </c>
      <c r="N1084" s="115">
        <v>264.45</v>
      </c>
      <c r="O1084" s="115">
        <v>246.5</v>
      </c>
      <c r="P1084" s="115">
        <v>249.75</v>
      </c>
      <c r="Q1084" s="115">
        <v>258.35000000000002</v>
      </c>
      <c r="R1084">
        <v>49431</v>
      </c>
    </row>
    <row r="1085" spans="1:18" x14ac:dyDescent="0.25">
      <c r="A1085" s="169">
        <v>43605</v>
      </c>
      <c r="B1085" s="115">
        <v>269.45</v>
      </c>
      <c r="C1085" s="115">
        <v>262.89999999999998</v>
      </c>
      <c r="D1085" s="115">
        <v>251.05</v>
      </c>
      <c r="E1085" s="115">
        <v>251.05</v>
      </c>
      <c r="F1085" s="115">
        <v>262.89999999999998</v>
      </c>
      <c r="G1085">
        <v>5447</v>
      </c>
      <c r="H1085" s="115"/>
      <c r="I1085" s="115"/>
      <c r="L1085" s="169">
        <v>43602</v>
      </c>
      <c r="M1085" s="115">
        <v>249.55</v>
      </c>
      <c r="N1085" s="115">
        <v>261</v>
      </c>
      <c r="O1085" s="115">
        <v>248</v>
      </c>
      <c r="P1085" s="115">
        <v>255.2</v>
      </c>
      <c r="Q1085" s="115">
        <v>249.55</v>
      </c>
      <c r="R1085">
        <v>21280</v>
      </c>
    </row>
    <row r="1086" spans="1:18" x14ac:dyDescent="0.25">
      <c r="A1086" s="169">
        <v>43606</v>
      </c>
      <c r="B1086" s="115">
        <v>269.8</v>
      </c>
      <c r="C1086" s="115">
        <v>259.10000000000002</v>
      </c>
      <c r="D1086" s="115">
        <v>258.5</v>
      </c>
      <c r="E1086" s="115">
        <v>269.8</v>
      </c>
      <c r="F1086" s="115">
        <v>259.10000000000002</v>
      </c>
      <c r="G1086">
        <v>3524</v>
      </c>
      <c r="H1086" s="115"/>
      <c r="I1086" s="115"/>
      <c r="L1086" s="169">
        <v>43605</v>
      </c>
      <c r="M1086" s="115">
        <v>263.45</v>
      </c>
      <c r="N1086" s="115">
        <v>269.2</v>
      </c>
      <c r="O1086" s="115">
        <v>254.7</v>
      </c>
      <c r="P1086" s="115">
        <v>254.7</v>
      </c>
      <c r="Q1086" s="115">
        <v>263.45</v>
      </c>
      <c r="R1086">
        <v>55594</v>
      </c>
    </row>
    <row r="1087" spans="1:18" x14ac:dyDescent="0.25">
      <c r="A1087" s="169">
        <v>43607</v>
      </c>
      <c r="B1087" s="115">
        <v>261.39999999999998</v>
      </c>
      <c r="C1087" s="115">
        <v>260</v>
      </c>
      <c r="D1087" s="115">
        <v>257.10000000000002</v>
      </c>
      <c r="E1087" s="115">
        <v>259.5</v>
      </c>
      <c r="F1087" s="115">
        <v>260</v>
      </c>
      <c r="G1087">
        <v>1798</v>
      </c>
      <c r="H1087" s="115"/>
      <c r="I1087" s="115"/>
      <c r="L1087" s="169">
        <v>43606</v>
      </c>
      <c r="M1087" s="115">
        <v>260.05</v>
      </c>
      <c r="N1087" s="115">
        <v>268.75</v>
      </c>
      <c r="O1087" s="115">
        <v>256.5</v>
      </c>
      <c r="P1087" s="115">
        <v>268</v>
      </c>
      <c r="Q1087" s="115">
        <v>260.05</v>
      </c>
      <c r="R1087">
        <v>27862</v>
      </c>
    </row>
    <row r="1088" spans="1:18" x14ac:dyDescent="0.25">
      <c r="A1088" s="169">
        <v>43608</v>
      </c>
      <c r="B1088" s="115">
        <v>265</v>
      </c>
      <c r="C1088" s="115">
        <v>257.05</v>
      </c>
      <c r="D1088" s="115">
        <v>255.05</v>
      </c>
      <c r="E1088" s="115">
        <v>259.14999999999998</v>
      </c>
      <c r="F1088" s="115">
        <v>257.05</v>
      </c>
      <c r="G1088">
        <v>4685</v>
      </c>
      <c r="H1088" s="115"/>
      <c r="I1088" s="115"/>
      <c r="L1088" s="169">
        <v>43607</v>
      </c>
      <c r="M1088" s="115">
        <v>260.10000000000002</v>
      </c>
      <c r="N1088" s="115">
        <v>262.5</v>
      </c>
      <c r="O1088" s="115">
        <v>255.8</v>
      </c>
      <c r="P1088" s="115">
        <v>258</v>
      </c>
      <c r="Q1088" s="115">
        <v>260.10000000000002</v>
      </c>
      <c r="R1088">
        <v>16040</v>
      </c>
    </row>
    <row r="1089" spans="1:18" x14ac:dyDescent="0.25">
      <c r="A1089" s="169">
        <v>43609</v>
      </c>
      <c r="B1089" s="115">
        <v>268</v>
      </c>
      <c r="C1089" s="115">
        <v>263.7</v>
      </c>
      <c r="D1089" s="115">
        <v>260</v>
      </c>
      <c r="E1089" s="115">
        <v>268</v>
      </c>
      <c r="F1089" s="115">
        <v>263.7</v>
      </c>
      <c r="G1089">
        <v>2613</v>
      </c>
      <c r="H1089" s="115"/>
      <c r="I1089" s="115"/>
      <c r="L1089" s="169">
        <v>43608</v>
      </c>
      <c r="M1089" s="115">
        <v>255.95</v>
      </c>
      <c r="N1089" s="115">
        <v>268</v>
      </c>
      <c r="O1089" s="115">
        <v>254.2</v>
      </c>
      <c r="P1089" s="115">
        <v>268</v>
      </c>
      <c r="Q1089" s="115">
        <v>255.95</v>
      </c>
      <c r="R1089">
        <v>19880</v>
      </c>
    </row>
    <row r="1090" spans="1:18" x14ac:dyDescent="0.25">
      <c r="A1090" s="169">
        <v>43612</v>
      </c>
      <c r="B1090" s="115">
        <v>265</v>
      </c>
      <c r="C1090" s="115">
        <v>257.85000000000002</v>
      </c>
      <c r="D1090" s="115">
        <v>257</v>
      </c>
      <c r="E1090" s="115">
        <v>264.95</v>
      </c>
      <c r="F1090" s="115">
        <v>257.85000000000002</v>
      </c>
      <c r="G1090">
        <v>8722</v>
      </c>
      <c r="H1090" s="115"/>
      <c r="I1090" s="115"/>
      <c r="L1090" s="169">
        <v>43609</v>
      </c>
      <c r="M1090" s="115">
        <v>263.39999999999998</v>
      </c>
      <c r="N1090" s="115">
        <v>265</v>
      </c>
      <c r="O1090" s="115">
        <v>258.5</v>
      </c>
      <c r="P1090" s="115">
        <v>259</v>
      </c>
      <c r="Q1090" s="115">
        <v>263.39999999999998</v>
      </c>
      <c r="R1090">
        <v>17762</v>
      </c>
    </row>
    <row r="1091" spans="1:18" x14ac:dyDescent="0.25">
      <c r="A1091" s="169">
        <v>43613</v>
      </c>
      <c r="B1091" s="115">
        <v>267</v>
      </c>
      <c r="C1091" s="115">
        <v>263.14999999999998</v>
      </c>
      <c r="D1091" s="115">
        <v>259.10000000000002</v>
      </c>
      <c r="E1091" s="115">
        <v>267</v>
      </c>
      <c r="F1091" s="115">
        <v>263.14999999999998</v>
      </c>
      <c r="G1091">
        <v>2670</v>
      </c>
      <c r="H1091" s="115"/>
      <c r="I1091" s="115"/>
      <c r="L1091" s="169">
        <v>43612</v>
      </c>
      <c r="M1091" s="115">
        <v>257.89999999999998</v>
      </c>
      <c r="N1091" s="115">
        <v>264.95</v>
      </c>
      <c r="O1091" s="115">
        <v>257</v>
      </c>
      <c r="P1091" s="115">
        <v>264.95</v>
      </c>
      <c r="Q1091" s="115">
        <v>257.89999999999998</v>
      </c>
      <c r="R1091">
        <v>27475</v>
      </c>
    </row>
    <row r="1092" spans="1:18" x14ac:dyDescent="0.25">
      <c r="A1092" s="169">
        <v>43614</v>
      </c>
      <c r="B1092" s="115">
        <v>268.39999999999998</v>
      </c>
      <c r="C1092" s="115">
        <v>261.8</v>
      </c>
      <c r="D1092" s="115">
        <v>259.5</v>
      </c>
      <c r="E1092" s="115">
        <v>268.39999999999998</v>
      </c>
      <c r="F1092" s="115">
        <v>261.8</v>
      </c>
      <c r="G1092">
        <v>865</v>
      </c>
      <c r="H1092" s="115"/>
      <c r="I1092" s="115"/>
      <c r="L1092" s="169">
        <v>43613</v>
      </c>
      <c r="M1092" s="115">
        <v>263.75</v>
      </c>
      <c r="N1092" s="115">
        <v>264.89999999999998</v>
      </c>
      <c r="O1092" s="115">
        <v>258.39999999999998</v>
      </c>
      <c r="P1092" s="115">
        <v>260.7</v>
      </c>
      <c r="Q1092" s="115">
        <v>263.75</v>
      </c>
      <c r="R1092">
        <v>22799</v>
      </c>
    </row>
    <row r="1093" spans="1:18" x14ac:dyDescent="0.25">
      <c r="A1093" s="169">
        <v>43615</v>
      </c>
      <c r="B1093" s="115">
        <v>268</v>
      </c>
      <c r="C1093" s="115">
        <v>260.2</v>
      </c>
      <c r="D1093" s="115">
        <v>258.60000000000002</v>
      </c>
      <c r="E1093" s="115">
        <v>268</v>
      </c>
      <c r="F1093" s="115">
        <v>260.2</v>
      </c>
      <c r="G1093">
        <v>4389</v>
      </c>
      <c r="H1093" s="115"/>
      <c r="I1093" s="115"/>
      <c r="L1093" s="169">
        <v>43614</v>
      </c>
      <c r="M1093" s="115">
        <v>264.14999999999998</v>
      </c>
      <c r="N1093" s="115">
        <v>269</v>
      </c>
      <c r="O1093" s="115">
        <v>260</v>
      </c>
      <c r="P1093" s="115">
        <v>269</v>
      </c>
      <c r="Q1093" s="115">
        <v>264.14999999999998</v>
      </c>
      <c r="R1093">
        <v>14402</v>
      </c>
    </row>
    <row r="1094" spans="1:18" x14ac:dyDescent="0.25">
      <c r="A1094" s="169">
        <v>43616</v>
      </c>
      <c r="B1094" s="115">
        <v>262</v>
      </c>
      <c r="C1094" s="115">
        <v>259.45</v>
      </c>
      <c r="D1094" s="115">
        <v>254.55</v>
      </c>
      <c r="E1094" s="115">
        <v>261.64999999999998</v>
      </c>
      <c r="F1094" s="115">
        <v>259.45</v>
      </c>
      <c r="G1094">
        <v>5958</v>
      </c>
      <c r="H1094" s="115"/>
      <c r="I1094" s="115"/>
      <c r="L1094" s="169">
        <v>43615</v>
      </c>
      <c r="M1094" s="115">
        <v>259.14999999999998</v>
      </c>
      <c r="N1094" s="115">
        <v>269</v>
      </c>
      <c r="O1094" s="115">
        <v>257.5</v>
      </c>
      <c r="P1094" s="115">
        <v>269</v>
      </c>
      <c r="Q1094" s="115">
        <v>259.14999999999998</v>
      </c>
      <c r="R1094">
        <v>14597</v>
      </c>
    </row>
    <row r="1095" spans="1:18" x14ac:dyDescent="0.25">
      <c r="A1095" s="169">
        <v>43619</v>
      </c>
      <c r="B1095" s="115">
        <v>261.2</v>
      </c>
      <c r="C1095" s="115">
        <v>260.45</v>
      </c>
      <c r="D1095" s="115">
        <v>258</v>
      </c>
      <c r="E1095" s="115">
        <v>260</v>
      </c>
      <c r="F1095" s="115">
        <v>260.45</v>
      </c>
      <c r="G1095">
        <v>3316</v>
      </c>
      <c r="H1095" s="115"/>
      <c r="I1095" s="115"/>
      <c r="L1095" s="169">
        <v>43616</v>
      </c>
      <c r="M1095" s="115">
        <v>259.64999999999998</v>
      </c>
      <c r="N1095" s="115">
        <v>264.5</v>
      </c>
      <c r="O1095" s="115">
        <v>254</v>
      </c>
      <c r="P1095" s="115">
        <v>260</v>
      </c>
      <c r="Q1095" s="115">
        <v>259.64999999999998</v>
      </c>
      <c r="R1095">
        <v>13019</v>
      </c>
    </row>
    <row r="1096" spans="1:18" x14ac:dyDescent="0.25">
      <c r="A1096" s="169">
        <v>43620</v>
      </c>
      <c r="B1096" s="115">
        <v>259.25</v>
      </c>
      <c r="C1096" s="115">
        <v>258.5</v>
      </c>
      <c r="D1096" s="115">
        <v>258.10000000000002</v>
      </c>
      <c r="E1096" s="115">
        <v>258.10000000000002</v>
      </c>
      <c r="F1096" s="115">
        <v>258.5</v>
      </c>
      <c r="G1096">
        <v>220</v>
      </c>
      <c r="H1096" s="115"/>
      <c r="I1096" s="115"/>
      <c r="L1096" s="169">
        <v>43619</v>
      </c>
      <c r="M1096" s="115">
        <v>259.39999999999998</v>
      </c>
      <c r="N1096" s="115">
        <v>264</v>
      </c>
      <c r="O1096" s="115">
        <v>256.75</v>
      </c>
      <c r="P1096" s="115">
        <v>257</v>
      </c>
      <c r="Q1096" s="115">
        <v>259.39999999999998</v>
      </c>
      <c r="R1096">
        <v>11077</v>
      </c>
    </row>
    <row r="1097" spans="1:18" x14ac:dyDescent="0.25">
      <c r="A1097" s="169">
        <v>43622</v>
      </c>
      <c r="B1097" s="115">
        <v>262</v>
      </c>
      <c r="C1097" s="115">
        <v>253.3</v>
      </c>
      <c r="D1097" s="115">
        <v>250</v>
      </c>
      <c r="E1097" s="115">
        <v>258.5</v>
      </c>
      <c r="F1097" s="115">
        <v>253.3</v>
      </c>
      <c r="G1097">
        <v>3603</v>
      </c>
      <c r="H1097" s="115"/>
      <c r="I1097" s="115"/>
      <c r="L1097" s="169">
        <v>43620</v>
      </c>
      <c r="M1097" s="115">
        <v>259.55</v>
      </c>
      <c r="N1097" s="115">
        <v>260.35000000000002</v>
      </c>
      <c r="O1097" s="115">
        <v>257.5</v>
      </c>
      <c r="P1097" s="115">
        <v>260</v>
      </c>
      <c r="Q1097" s="115">
        <v>259.55</v>
      </c>
      <c r="R1097">
        <v>5183</v>
      </c>
    </row>
    <row r="1098" spans="1:18" x14ac:dyDescent="0.25">
      <c r="A1098" s="169">
        <v>43623</v>
      </c>
      <c r="B1098" s="115">
        <v>258</v>
      </c>
      <c r="C1098" s="115">
        <v>256.85000000000002</v>
      </c>
      <c r="D1098" s="115">
        <v>255.9</v>
      </c>
      <c r="E1098" s="115">
        <v>255.9</v>
      </c>
      <c r="F1098" s="115">
        <v>256.85000000000002</v>
      </c>
      <c r="G1098">
        <v>248</v>
      </c>
      <c r="H1098" s="115"/>
      <c r="I1098" s="115"/>
      <c r="L1098" s="169">
        <v>43622</v>
      </c>
      <c r="M1098" s="115">
        <v>253.35</v>
      </c>
      <c r="N1098" s="115">
        <v>260.95</v>
      </c>
      <c r="O1098" s="115">
        <v>251.2</v>
      </c>
      <c r="P1098" s="115">
        <v>260.95</v>
      </c>
      <c r="Q1098" s="115">
        <v>253.35</v>
      </c>
      <c r="R1098">
        <v>10807</v>
      </c>
    </row>
    <row r="1099" spans="1:18" x14ac:dyDescent="0.25">
      <c r="A1099" s="169">
        <v>43626</v>
      </c>
      <c r="B1099" s="115">
        <v>262.95</v>
      </c>
      <c r="C1099" s="115">
        <v>259.25</v>
      </c>
      <c r="D1099" s="115">
        <v>258</v>
      </c>
      <c r="E1099" s="115">
        <v>258</v>
      </c>
      <c r="F1099" s="115">
        <v>259.25</v>
      </c>
      <c r="G1099">
        <v>1651</v>
      </c>
      <c r="H1099" s="115"/>
      <c r="I1099" s="115"/>
      <c r="L1099" s="169">
        <v>43623</v>
      </c>
      <c r="M1099" s="115">
        <v>257.10000000000002</v>
      </c>
      <c r="N1099" s="115">
        <v>258.95</v>
      </c>
      <c r="O1099" s="115">
        <v>251.5</v>
      </c>
      <c r="P1099" s="115">
        <v>258.95</v>
      </c>
      <c r="Q1099" s="115">
        <v>257.10000000000002</v>
      </c>
      <c r="R1099">
        <v>8558</v>
      </c>
    </row>
    <row r="1100" spans="1:18" x14ac:dyDescent="0.25">
      <c r="A1100" s="169">
        <v>43627</v>
      </c>
      <c r="B1100" s="115">
        <v>274</v>
      </c>
      <c r="C1100" s="115">
        <v>272.55</v>
      </c>
      <c r="D1100" s="115">
        <v>260</v>
      </c>
      <c r="E1100" s="115">
        <v>260</v>
      </c>
      <c r="F1100" s="115">
        <v>272.55</v>
      </c>
      <c r="G1100">
        <v>4533</v>
      </c>
      <c r="H1100" s="115"/>
      <c r="I1100" s="115"/>
      <c r="L1100" s="169">
        <v>43626</v>
      </c>
      <c r="M1100" s="115">
        <v>260.3</v>
      </c>
      <c r="N1100" s="115">
        <v>269.39999999999998</v>
      </c>
      <c r="O1100" s="115">
        <v>259.05</v>
      </c>
      <c r="P1100" s="115">
        <v>259.85000000000002</v>
      </c>
      <c r="Q1100" s="115">
        <v>260.3</v>
      </c>
      <c r="R1100">
        <v>15349</v>
      </c>
    </row>
    <row r="1101" spans="1:18" x14ac:dyDescent="0.25">
      <c r="A1101" s="169">
        <v>43628</v>
      </c>
      <c r="B1101" s="115">
        <v>289.8</v>
      </c>
      <c r="C1101" s="115">
        <v>279.64999999999998</v>
      </c>
      <c r="D1101" s="115">
        <v>271</v>
      </c>
      <c r="E1101" s="115">
        <v>271</v>
      </c>
      <c r="F1101" s="115">
        <v>279.64999999999998</v>
      </c>
      <c r="G1101">
        <v>6108</v>
      </c>
      <c r="H1101" s="115"/>
      <c r="I1101" s="115"/>
      <c r="L1101" s="169">
        <v>43627</v>
      </c>
      <c r="M1101" s="115">
        <v>274</v>
      </c>
      <c r="N1101" s="115">
        <v>275.75</v>
      </c>
      <c r="O1101" s="115">
        <v>256.95</v>
      </c>
      <c r="P1101" s="115">
        <v>260.3</v>
      </c>
      <c r="Q1101" s="115">
        <v>274</v>
      </c>
      <c r="R1101">
        <v>44916</v>
      </c>
    </row>
    <row r="1102" spans="1:18" x14ac:dyDescent="0.25">
      <c r="A1102" s="169">
        <v>43629</v>
      </c>
      <c r="B1102" s="115">
        <v>284.3</v>
      </c>
      <c r="C1102" s="115">
        <v>283.85000000000002</v>
      </c>
      <c r="D1102" s="115">
        <v>277.05</v>
      </c>
      <c r="E1102" s="115">
        <v>279.7</v>
      </c>
      <c r="F1102" s="115">
        <v>283.85000000000002</v>
      </c>
      <c r="G1102">
        <v>2581</v>
      </c>
      <c r="H1102" s="115"/>
      <c r="I1102" s="115"/>
      <c r="L1102" s="169">
        <v>43628</v>
      </c>
      <c r="M1102" s="115">
        <v>281.55</v>
      </c>
      <c r="N1102" s="115">
        <v>282.7</v>
      </c>
      <c r="O1102" s="115">
        <v>276</v>
      </c>
      <c r="P1102" s="115">
        <v>278</v>
      </c>
      <c r="Q1102" s="115">
        <v>281.55</v>
      </c>
      <c r="R1102">
        <v>59241</v>
      </c>
    </row>
    <row r="1103" spans="1:18" x14ac:dyDescent="0.25">
      <c r="A1103" s="169">
        <v>43630</v>
      </c>
      <c r="B1103" s="115">
        <v>282.95</v>
      </c>
      <c r="C1103" s="115">
        <v>280</v>
      </c>
      <c r="D1103" s="115">
        <v>276.55</v>
      </c>
      <c r="E1103" s="115">
        <v>277</v>
      </c>
      <c r="F1103" s="115">
        <v>280</v>
      </c>
      <c r="G1103">
        <v>828</v>
      </c>
      <c r="H1103" s="115"/>
      <c r="I1103" s="115"/>
      <c r="L1103" s="169">
        <v>43629</v>
      </c>
      <c r="M1103" s="115">
        <v>284.05</v>
      </c>
      <c r="N1103" s="115">
        <v>284.8</v>
      </c>
      <c r="O1103" s="115">
        <v>277.25</v>
      </c>
      <c r="P1103" s="115">
        <v>282</v>
      </c>
      <c r="Q1103" s="115">
        <v>284.05</v>
      </c>
      <c r="R1103">
        <v>32212</v>
      </c>
    </row>
    <row r="1104" spans="1:18" x14ac:dyDescent="0.25">
      <c r="A1104" s="169">
        <v>43633</v>
      </c>
      <c r="B1104" s="115">
        <v>280</v>
      </c>
      <c r="C1104" s="115">
        <v>276.5</v>
      </c>
      <c r="D1104" s="115">
        <v>267.7</v>
      </c>
      <c r="E1104" s="115">
        <v>278.5</v>
      </c>
      <c r="F1104" s="115">
        <v>276.5</v>
      </c>
      <c r="G1104">
        <v>1788</v>
      </c>
      <c r="H1104" s="115"/>
      <c r="I1104" s="115"/>
      <c r="L1104" s="169">
        <v>43630</v>
      </c>
      <c r="M1104" s="115">
        <v>281.60000000000002</v>
      </c>
      <c r="N1104" s="115">
        <v>283.95</v>
      </c>
      <c r="O1104" s="115">
        <v>276.85000000000002</v>
      </c>
      <c r="P1104" s="115">
        <v>283.95</v>
      </c>
      <c r="Q1104" s="115">
        <v>281.60000000000002</v>
      </c>
      <c r="R1104">
        <v>13315</v>
      </c>
    </row>
    <row r="1105" spans="1:18" x14ac:dyDescent="0.25">
      <c r="A1105" s="169">
        <v>43634</v>
      </c>
      <c r="B1105" s="115">
        <v>273</v>
      </c>
      <c r="C1105" s="115">
        <v>266.8</v>
      </c>
      <c r="D1105" s="115">
        <v>266.8</v>
      </c>
      <c r="E1105" s="115">
        <v>273</v>
      </c>
      <c r="F1105" s="115">
        <v>266.8</v>
      </c>
      <c r="G1105">
        <v>2212</v>
      </c>
      <c r="H1105" s="115"/>
      <c r="I1105" s="115"/>
      <c r="L1105" s="169">
        <v>43633</v>
      </c>
      <c r="M1105" s="115">
        <v>276.05</v>
      </c>
      <c r="N1105" s="115">
        <v>281.64999999999998</v>
      </c>
      <c r="O1105" s="115">
        <v>267.05</v>
      </c>
      <c r="P1105" s="115">
        <v>281.60000000000002</v>
      </c>
      <c r="Q1105" s="115">
        <v>276.05</v>
      </c>
      <c r="R1105">
        <v>28615</v>
      </c>
    </row>
    <row r="1106" spans="1:18" x14ac:dyDescent="0.25">
      <c r="A1106" s="169">
        <v>43635</v>
      </c>
      <c r="B1106" s="115">
        <v>263.75</v>
      </c>
      <c r="C1106" s="115">
        <v>252.15</v>
      </c>
      <c r="D1106" s="115">
        <v>251.6</v>
      </c>
      <c r="E1106" s="115">
        <v>263.75</v>
      </c>
      <c r="F1106" s="115">
        <v>252.15</v>
      </c>
      <c r="G1106">
        <v>2358</v>
      </c>
      <c r="H1106" s="115"/>
      <c r="I1106" s="115"/>
      <c r="L1106" s="169">
        <v>43634</v>
      </c>
      <c r="M1106" s="115">
        <v>266.2</v>
      </c>
      <c r="N1106" s="115">
        <v>274.45</v>
      </c>
      <c r="O1106" s="115">
        <v>264.60000000000002</v>
      </c>
      <c r="P1106" s="115">
        <v>274</v>
      </c>
      <c r="Q1106" s="115">
        <v>266.2</v>
      </c>
      <c r="R1106">
        <v>24689</v>
      </c>
    </row>
    <row r="1107" spans="1:18" x14ac:dyDescent="0.25">
      <c r="A1107" s="169">
        <v>43636</v>
      </c>
      <c r="B1107" s="115">
        <v>260.10000000000002</v>
      </c>
      <c r="C1107" s="115">
        <v>254.75</v>
      </c>
      <c r="D1107" s="115">
        <v>250</v>
      </c>
      <c r="E1107" s="115">
        <v>251.05</v>
      </c>
      <c r="F1107" s="115">
        <v>254.75</v>
      </c>
      <c r="G1107">
        <v>4750</v>
      </c>
      <c r="H1107" s="115"/>
      <c r="I1107" s="115"/>
      <c r="L1107" s="169">
        <v>43635</v>
      </c>
      <c r="M1107" s="115">
        <v>252.6</v>
      </c>
      <c r="N1107" s="115">
        <v>268.85000000000002</v>
      </c>
      <c r="O1107" s="115">
        <v>250.15</v>
      </c>
      <c r="P1107" s="115">
        <v>266.10000000000002</v>
      </c>
      <c r="Q1107" s="115">
        <v>252.6</v>
      </c>
      <c r="R1107">
        <v>43818</v>
      </c>
    </row>
    <row r="1108" spans="1:18" x14ac:dyDescent="0.25">
      <c r="A1108" s="169">
        <v>43637</v>
      </c>
      <c r="B1108" s="115">
        <v>262</v>
      </c>
      <c r="C1108" s="115">
        <v>258.64999999999998</v>
      </c>
      <c r="D1108" s="115">
        <v>258</v>
      </c>
      <c r="E1108" s="115">
        <v>260</v>
      </c>
      <c r="F1108" s="115">
        <v>258.64999999999998</v>
      </c>
      <c r="G1108">
        <v>631</v>
      </c>
      <c r="H1108" s="115"/>
      <c r="I1108" s="115"/>
      <c r="L1108" s="169">
        <v>43636</v>
      </c>
      <c r="M1108" s="115">
        <v>254.45</v>
      </c>
      <c r="N1108" s="115">
        <v>261</v>
      </c>
      <c r="O1108" s="115">
        <v>250</v>
      </c>
      <c r="P1108" s="115">
        <v>250</v>
      </c>
      <c r="Q1108" s="115">
        <v>254.45</v>
      </c>
      <c r="R1108">
        <v>16502</v>
      </c>
    </row>
    <row r="1109" spans="1:18" x14ac:dyDescent="0.25">
      <c r="A1109" s="169">
        <v>43640</v>
      </c>
      <c r="B1109" s="115">
        <v>260</v>
      </c>
      <c r="C1109" s="115">
        <v>257.2</v>
      </c>
      <c r="D1109" s="115">
        <v>256.55</v>
      </c>
      <c r="E1109" s="115">
        <v>257</v>
      </c>
      <c r="F1109" s="115">
        <v>257.2</v>
      </c>
      <c r="G1109">
        <v>636</v>
      </c>
      <c r="H1109" s="115"/>
      <c r="I1109" s="115"/>
      <c r="L1109" s="169">
        <v>43637</v>
      </c>
      <c r="M1109" s="115">
        <v>258.55</v>
      </c>
      <c r="N1109" s="115">
        <v>262.05</v>
      </c>
      <c r="O1109" s="115">
        <v>254.1</v>
      </c>
      <c r="P1109" s="115">
        <v>259</v>
      </c>
      <c r="Q1109" s="115">
        <v>258.55</v>
      </c>
      <c r="R1109">
        <v>9167</v>
      </c>
    </row>
    <row r="1110" spans="1:18" x14ac:dyDescent="0.25">
      <c r="A1110" s="169">
        <v>43641</v>
      </c>
      <c r="B1110" s="115">
        <v>256</v>
      </c>
      <c r="C1110" s="115">
        <v>254.2</v>
      </c>
      <c r="D1110" s="115">
        <v>253.3</v>
      </c>
      <c r="E1110" s="115">
        <v>256</v>
      </c>
      <c r="F1110" s="115">
        <v>254.2</v>
      </c>
      <c r="G1110">
        <v>2009</v>
      </c>
      <c r="H1110" s="115"/>
      <c r="I1110" s="115"/>
      <c r="L1110" s="169">
        <v>43640</v>
      </c>
      <c r="M1110" s="115">
        <v>257.39999999999998</v>
      </c>
      <c r="N1110" s="115">
        <v>262.10000000000002</v>
      </c>
      <c r="O1110" s="115">
        <v>254.1</v>
      </c>
      <c r="P1110" s="115">
        <v>257</v>
      </c>
      <c r="Q1110" s="115">
        <v>257.39999999999998</v>
      </c>
      <c r="R1110">
        <v>10109</v>
      </c>
    </row>
    <row r="1111" spans="1:18" x14ac:dyDescent="0.25">
      <c r="A1111" s="169">
        <v>43642</v>
      </c>
      <c r="B1111" s="115">
        <v>258.85000000000002</v>
      </c>
      <c r="C1111" s="115">
        <v>258.85000000000002</v>
      </c>
      <c r="D1111" s="115">
        <v>253</v>
      </c>
      <c r="E1111" s="115">
        <v>255</v>
      </c>
      <c r="F1111" s="115">
        <v>258.85000000000002</v>
      </c>
      <c r="G1111">
        <v>443</v>
      </c>
      <c r="H1111" s="115"/>
      <c r="I1111" s="115"/>
      <c r="L1111" s="169">
        <v>43641</v>
      </c>
      <c r="M1111" s="115">
        <v>254.75</v>
      </c>
      <c r="N1111" s="115">
        <v>256.89999999999998</v>
      </c>
      <c r="O1111" s="115">
        <v>252.55</v>
      </c>
      <c r="P1111" s="115">
        <v>256</v>
      </c>
      <c r="Q1111" s="115">
        <v>254.75</v>
      </c>
      <c r="R1111">
        <v>7924</v>
      </c>
    </row>
    <row r="1112" spans="1:18" x14ac:dyDescent="0.25">
      <c r="A1112" s="169">
        <v>43643</v>
      </c>
      <c r="B1112" s="115">
        <v>257.95</v>
      </c>
      <c r="C1112" s="115">
        <v>255.8</v>
      </c>
      <c r="D1112" s="115">
        <v>251.05</v>
      </c>
      <c r="E1112" s="115">
        <v>254</v>
      </c>
      <c r="F1112" s="115">
        <v>255.8</v>
      </c>
      <c r="G1112">
        <v>5215</v>
      </c>
      <c r="H1112" s="115"/>
      <c r="I1112" s="115"/>
      <c r="L1112" s="169">
        <v>43642</v>
      </c>
      <c r="M1112" s="115">
        <v>255.4</v>
      </c>
      <c r="N1112" s="115">
        <v>260</v>
      </c>
      <c r="O1112" s="115">
        <v>251.4</v>
      </c>
      <c r="P1112" s="115">
        <v>252</v>
      </c>
      <c r="Q1112" s="115">
        <v>255.4</v>
      </c>
      <c r="R1112">
        <v>5584</v>
      </c>
    </row>
    <row r="1113" spans="1:18" x14ac:dyDescent="0.25">
      <c r="A1113" s="169">
        <v>43644</v>
      </c>
      <c r="B1113" s="115">
        <v>258.75</v>
      </c>
      <c r="C1113" s="115">
        <v>258.75</v>
      </c>
      <c r="D1113" s="115">
        <v>255</v>
      </c>
      <c r="E1113" s="115">
        <v>256</v>
      </c>
      <c r="F1113" s="115">
        <v>258.75</v>
      </c>
      <c r="G1113">
        <v>65</v>
      </c>
      <c r="H1113" s="115"/>
      <c r="I1113" s="115"/>
      <c r="L1113" s="169">
        <v>43643</v>
      </c>
      <c r="M1113" s="115">
        <v>256.7</v>
      </c>
      <c r="N1113" s="115">
        <v>259</v>
      </c>
      <c r="O1113" s="115">
        <v>251.2</v>
      </c>
      <c r="P1113" s="115">
        <v>252.15</v>
      </c>
      <c r="Q1113" s="115">
        <v>256.7</v>
      </c>
      <c r="R1113">
        <v>22342</v>
      </c>
    </row>
    <row r="1114" spans="1:18" x14ac:dyDescent="0.25">
      <c r="A1114" s="169">
        <v>43647</v>
      </c>
      <c r="B1114" s="115">
        <v>258</v>
      </c>
      <c r="C1114" s="115">
        <v>255.05</v>
      </c>
      <c r="D1114" s="115">
        <v>251.65</v>
      </c>
      <c r="E1114" s="115">
        <v>255.8</v>
      </c>
      <c r="F1114" s="115">
        <v>255.05</v>
      </c>
      <c r="G1114">
        <v>453</v>
      </c>
      <c r="H1114" s="115"/>
      <c r="I1114" s="115"/>
      <c r="L1114" s="169">
        <v>43644</v>
      </c>
      <c r="M1114" s="115">
        <v>258.35000000000002</v>
      </c>
      <c r="N1114" s="115">
        <v>259.7</v>
      </c>
      <c r="O1114" s="115">
        <v>253.1</v>
      </c>
      <c r="P1114" s="115">
        <v>254</v>
      </c>
      <c r="Q1114" s="115">
        <v>258.35000000000002</v>
      </c>
      <c r="R1114">
        <v>5473</v>
      </c>
    </row>
    <row r="1115" spans="1:18" x14ac:dyDescent="0.25">
      <c r="A1115" s="169">
        <v>43648</v>
      </c>
      <c r="B1115" s="115">
        <v>257</v>
      </c>
      <c r="C1115" s="115">
        <v>256.60000000000002</v>
      </c>
      <c r="D1115" s="115">
        <v>253.5</v>
      </c>
      <c r="E1115" s="115">
        <v>255.35</v>
      </c>
      <c r="F1115" s="115">
        <v>256.60000000000002</v>
      </c>
      <c r="G1115">
        <v>783</v>
      </c>
      <c r="H1115" s="115"/>
      <c r="I1115" s="115"/>
      <c r="L1115" s="169">
        <v>43647</v>
      </c>
      <c r="M1115" s="115">
        <v>258.05</v>
      </c>
      <c r="N1115" s="115">
        <v>260</v>
      </c>
      <c r="O1115" s="115">
        <v>252.45</v>
      </c>
      <c r="P1115" s="115">
        <v>260</v>
      </c>
      <c r="Q1115" s="115">
        <v>258.05</v>
      </c>
      <c r="R1115">
        <v>15163</v>
      </c>
    </row>
    <row r="1116" spans="1:18" x14ac:dyDescent="0.25">
      <c r="A1116" s="169">
        <v>43649</v>
      </c>
      <c r="B1116" s="115">
        <v>258</v>
      </c>
      <c r="C1116" s="115">
        <v>258</v>
      </c>
      <c r="D1116" s="115">
        <v>254</v>
      </c>
      <c r="E1116" s="115">
        <v>255.15</v>
      </c>
      <c r="F1116" s="115">
        <v>258</v>
      </c>
      <c r="G1116">
        <v>1695</v>
      </c>
      <c r="H1116" s="115"/>
      <c r="I1116" s="115"/>
      <c r="L1116" s="169">
        <v>43648</v>
      </c>
      <c r="M1116" s="115">
        <v>254.25</v>
      </c>
      <c r="N1116" s="115">
        <v>257.05</v>
      </c>
      <c r="O1116" s="115">
        <v>252.45</v>
      </c>
      <c r="P1116" s="115">
        <v>256.85000000000002</v>
      </c>
      <c r="Q1116" s="115">
        <v>254.25</v>
      </c>
      <c r="R1116">
        <v>6807</v>
      </c>
    </row>
    <row r="1117" spans="1:18" x14ac:dyDescent="0.25">
      <c r="A1117" s="169">
        <v>43650</v>
      </c>
      <c r="B1117" s="115">
        <v>261</v>
      </c>
      <c r="C1117" s="115">
        <v>257.85000000000002</v>
      </c>
      <c r="D1117" s="115">
        <v>255</v>
      </c>
      <c r="E1117" s="115">
        <v>260.5</v>
      </c>
      <c r="F1117" s="115">
        <v>257.85000000000002</v>
      </c>
      <c r="G1117">
        <v>4081</v>
      </c>
      <c r="H1117" s="115"/>
      <c r="I1117" s="115"/>
      <c r="L1117" s="169">
        <v>43649</v>
      </c>
      <c r="M1117" s="115">
        <v>258.8</v>
      </c>
      <c r="N1117" s="115">
        <v>261</v>
      </c>
      <c r="O1117" s="115">
        <v>253.5</v>
      </c>
      <c r="P1117" s="115">
        <v>254.1</v>
      </c>
      <c r="Q1117" s="115">
        <v>258.8</v>
      </c>
      <c r="R1117">
        <v>9681</v>
      </c>
    </row>
    <row r="1118" spans="1:18" x14ac:dyDescent="0.25">
      <c r="A1118" s="169">
        <v>43651</v>
      </c>
      <c r="B1118" s="115">
        <v>259</v>
      </c>
      <c r="C1118" s="115">
        <v>252.05</v>
      </c>
      <c r="D1118" s="115">
        <v>243.85</v>
      </c>
      <c r="E1118" s="115">
        <v>258</v>
      </c>
      <c r="F1118" s="115">
        <v>252.05</v>
      </c>
      <c r="G1118">
        <v>16092</v>
      </c>
      <c r="H1118" s="115"/>
      <c r="I1118" s="115"/>
      <c r="L1118" s="169">
        <v>43650</v>
      </c>
      <c r="M1118" s="115">
        <v>258.2</v>
      </c>
      <c r="N1118" s="115">
        <v>261.85000000000002</v>
      </c>
      <c r="O1118" s="115">
        <v>254.5</v>
      </c>
      <c r="P1118" s="115">
        <v>261</v>
      </c>
      <c r="Q1118" s="115">
        <v>258.2</v>
      </c>
      <c r="R1118">
        <v>8235</v>
      </c>
    </row>
    <row r="1119" spans="1:18" x14ac:dyDescent="0.25">
      <c r="A1119" s="169">
        <v>43654</v>
      </c>
      <c r="B1119" s="115">
        <v>253.05</v>
      </c>
      <c r="C1119" s="115">
        <v>251.75</v>
      </c>
      <c r="D1119" s="115">
        <v>249</v>
      </c>
      <c r="E1119" s="115">
        <v>249.95</v>
      </c>
      <c r="F1119" s="115">
        <v>251.75</v>
      </c>
      <c r="G1119">
        <v>2626</v>
      </c>
      <c r="H1119" s="115"/>
      <c r="I1119" s="115"/>
      <c r="L1119" s="169">
        <v>43651</v>
      </c>
      <c r="M1119" s="115">
        <v>251.1</v>
      </c>
      <c r="N1119" s="115">
        <v>259.60000000000002</v>
      </c>
      <c r="O1119" s="115">
        <v>243.75</v>
      </c>
      <c r="P1119" s="115">
        <v>255.55</v>
      </c>
      <c r="Q1119" s="115">
        <v>251.1</v>
      </c>
      <c r="R1119">
        <v>25493</v>
      </c>
    </row>
    <row r="1120" spans="1:18" x14ac:dyDescent="0.25">
      <c r="A1120" s="169">
        <v>43655</v>
      </c>
      <c r="B1120" s="115">
        <v>256.35000000000002</v>
      </c>
      <c r="C1120" s="115">
        <v>256</v>
      </c>
      <c r="D1120" s="115">
        <v>252.85</v>
      </c>
      <c r="E1120" s="115">
        <v>254</v>
      </c>
      <c r="F1120" s="115">
        <v>256</v>
      </c>
      <c r="G1120">
        <v>858</v>
      </c>
      <c r="H1120" s="115"/>
      <c r="I1120" s="115"/>
      <c r="L1120" s="169">
        <v>43654</v>
      </c>
      <c r="M1120" s="115">
        <v>251.2</v>
      </c>
      <c r="N1120" s="115">
        <v>253.25</v>
      </c>
      <c r="O1120" s="115">
        <v>246.45</v>
      </c>
      <c r="P1120" s="115">
        <v>249.4</v>
      </c>
      <c r="Q1120" s="115">
        <v>251.2</v>
      </c>
      <c r="R1120">
        <v>9695</v>
      </c>
    </row>
    <row r="1121" spans="1:18" x14ac:dyDescent="0.25">
      <c r="A1121" s="169">
        <v>43656</v>
      </c>
      <c r="B1121" s="115">
        <v>258</v>
      </c>
      <c r="C1121" s="115">
        <v>256.14999999999998</v>
      </c>
      <c r="D1121" s="115">
        <v>255</v>
      </c>
      <c r="E1121" s="115">
        <v>257</v>
      </c>
      <c r="F1121" s="115">
        <v>256.14999999999998</v>
      </c>
      <c r="G1121">
        <v>2448</v>
      </c>
      <c r="H1121" s="115"/>
      <c r="I1121" s="115"/>
      <c r="L1121" s="169">
        <v>43655</v>
      </c>
      <c r="M1121" s="115">
        <v>255.3</v>
      </c>
      <c r="N1121" s="115">
        <v>257.14999999999998</v>
      </c>
      <c r="O1121" s="115">
        <v>249.25</v>
      </c>
      <c r="P1121" s="115">
        <v>249.25</v>
      </c>
      <c r="Q1121" s="115">
        <v>255.3</v>
      </c>
      <c r="R1121">
        <v>16356</v>
      </c>
    </row>
    <row r="1122" spans="1:18" x14ac:dyDescent="0.25">
      <c r="A1122" s="169">
        <v>43657</v>
      </c>
      <c r="B1122" s="115">
        <v>268</v>
      </c>
      <c r="C1122" s="115">
        <v>265.05</v>
      </c>
      <c r="D1122" s="115">
        <v>256.95</v>
      </c>
      <c r="E1122" s="115">
        <v>259</v>
      </c>
      <c r="F1122" s="115">
        <v>265.05</v>
      </c>
      <c r="G1122">
        <v>1359</v>
      </c>
      <c r="H1122" s="115"/>
      <c r="I1122" s="115"/>
      <c r="L1122" s="169">
        <v>43656</v>
      </c>
      <c r="M1122" s="115">
        <v>256.05</v>
      </c>
      <c r="N1122" s="115">
        <v>258.5</v>
      </c>
      <c r="O1122" s="115">
        <v>252.85</v>
      </c>
      <c r="P1122" s="115">
        <v>252.85</v>
      </c>
      <c r="Q1122" s="115">
        <v>256.05</v>
      </c>
      <c r="R1122">
        <v>9547</v>
      </c>
    </row>
    <row r="1123" spans="1:18" x14ac:dyDescent="0.25">
      <c r="A1123" s="169">
        <v>43658</v>
      </c>
      <c r="B1123" s="115">
        <v>271</v>
      </c>
      <c r="C1123" s="115">
        <v>270.35000000000002</v>
      </c>
      <c r="D1123" s="115">
        <v>264.8</v>
      </c>
      <c r="E1123" s="115">
        <v>264.8</v>
      </c>
      <c r="F1123" s="115">
        <v>270.35000000000002</v>
      </c>
      <c r="G1123">
        <v>2504</v>
      </c>
      <c r="H1123" s="115"/>
      <c r="I1123" s="115"/>
      <c r="L1123" s="169">
        <v>43657</v>
      </c>
      <c r="M1123" s="115">
        <v>266</v>
      </c>
      <c r="N1123" s="115">
        <v>268.5</v>
      </c>
      <c r="O1123" s="115">
        <v>254.05</v>
      </c>
      <c r="P1123" s="115">
        <v>254.05</v>
      </c>
      <c r="Q1123" s="115">
        <v>266</v>
      </c>
      <c r="R1123">
        <v>19011</v>
      </c>
    </row>
    <row r="1124" spans="1:18" x14ac:dyDescent="0.25">
      <c r="A1124" s="169">
        <v>43661</v>
      </c>
      <c r="B1124" s="115">
        <v>270.5</v>
      </c>
      <c r="C1124" s="115">
        <v>258.05</v>
      </c>
      <c r="D1124" s="115">
        <v>257</v>
      </c>
      <c r="E1124" s="115">
        <v>270.35000000000002</v>
      </c>
      <c r="F1124" s="115">
        <v>258.05</v>
      </c>
      <c r="G1124">
        <v>5138</v>
      </c>
      <c r="H1124" s="115"/>
      <c r="I1124" s="115"/>
      <c r="L1124" s="169">
        <v>43658</v>
      </c>
      <c r="M1124" s="115">
        <v>269.7</v>
      </c>
      <c r="N1124" s="115">
        <v>271.95</v>
      </c>
      <c r="O1124" s="115">
        <v>264.05</v>
      </c>
      <c r="P1124" s="115">
        <v>266</v>
      </c>
      <c r="Q1124" s="115">
        <v>269.7</v>
      </c>
      <c r="R1124">
        <v>16790</v>
      </c>
    </row>
    <row r="1125" spans="1:18" x14ac:dyDescent="0.25">
      <c r="A1125" s="169">
        <v>43662</v>
      </c>
      <c r="B1125" s="115">
        <v>259</v>
      </c>
      <c r="C1125" s="115">
        <v>258.5</v>
      </c>
      <c r="D1125" s="115">
        <v>255.55</v>
      </c>
      <c r="E1125" s="115">
        <v>257.8</v>
      </c>
      <c r="F1125" s="115">
        <v>258.5</v>
      </c>
      <c r="G1125">
        <v>2010</v>
      </c>
      <c r="H1125" s="115"/>
      <c r="I1125" s="115"/>
      <c r="L1125" s="169">
        <v>43661</v>
      </c>
      <c r="M1125" s="115">
        <v>257.55</v>
      </c>
      <c r="N1125" s="115">
        <v>271.89999999999998</v>
      </c>
      <c r="O1125" s="115">
        <v>256</v>
      </c>
      <c r="P1125" s="115">
        <v>270</v>
      </c>
      <c r="Q1125" s="115">
        <v>257.55</v>
      </c>
      <c r="R1125">
        <v>24662</v>
      </c>
    </row>
    <row r="1126" spans="1:18" x14ac:dyDescent="0.25">
      <c r="A1126" s="169">
        <v>43663</v>
      </c>
      <c r="B1126" s="115">
        <v>259</v>
      </c>
      <c r="C1126" s="115">
        <v>258</v>
      </c>
      <c r="D1126" s="115">
        <v>257.10000000000002</v>
      </c>
      <c r="E1126" s="115">
        <v>258.25</v>
      </c>
      <c r="F1126" s="115">
        <v>258</v>
      </c>
      <c r="G1126">
        <v>1493</v>
      </c>
      <c r="H1126" s="115"/>
      <c r="I1126" s="115"/>
      <c r="L1126" s="169">
        <v>43662</v>
      </c>
      <c r="M1126" s="115">
        <v>258.3</v>
      </c>
      <c r="N1126" s="115">
        <v>259.64999999999998</v>
      </c>
      <c r="O1126" s="115">
        <v>255.1</v>
      </c>
      <c r="P1126" s="115">
        <v>255.1</v>
      </c>
      <c r="Q1126" s="115">
        <v>258.3</v>
      </c>
      <c r="R1126">
        <v>10605</v>
      </c>
    </row>
    <row r="1127" spans="1:18" x14ac:dyDescent="0.25">
      <c r="A1127" s="169">
        <v>43664</v>
      </c>
      <c r="B1127" s="115">
        <v>256.5</v>
      </c>
      <c r="C1127" s="115">
        <v>255.5</v>
      </c>
      <c r="D1127" s="115">
        <v>254</v>
      </c>
      <c r="E1127" s="115">
        <v>254</v>
      </c>
      <c r="F1127" s="115">
        <v>255.5</v>
      </c>
      <c r="G1127">
        <v>779</v>
      </c>
      <c r="H1127" s="115"/>
      <c r="I1127" s="115"/>
      <c r="L1127" s="169">
        <v>43663</v>
      </c>
      <c r="M1127" s="115">
        <v>258.14999999999998</v>
      </c>
      <c r="N1127" s="115">
        <v>259.85000000000002</v>
      </c>
      <c r="O1127" s="115">
        <v>256.25</v>
      </c>
      <c r="P1127" s="115">
        <v>256.25</v>
      </c>
      <c r="Q1127" s="115">
        <v>258.14999999999998</v>
      </c>
      <c r="R1127">
        <v>5590</v>
      </c>
    </row>
    <row r="1128" spans="1:18" x14ac:dyDescent="0.25">
      <c r="A1128" s="169">
        <v>43665</v>
      </c>
      <c r="B1128" s="115">
        <v>256</v>
      </c>
      <c r="C1128" s="115">
        <v>247.45</v>
      </c>
      <c r="D1128" s="115">
        <v>247</v>
      </c>
      <c r="E1128" s="115">
        <v>256</v>
      </c>
      <c r="F1128" s="115">
        <v>247.45</v>
      </c>
      <c r="G1128">
        <v>3310</v>
      </c>
      <c r="H1128" s="115"/>
      <c r="I1128" s="115"/>
      <c r="L1128" s="169">
        <v>43664</v>
      </c>
      <c r="M1128" s="115">
        <v>255.6</v>
      </c>
      <c r="N1128" s="115">
        <v>260</v>
      </c>
      <c r="O1128" s="115">
        <v>252.75</v>
      </c>
      <c r="P1128" s="115">
        <v>260</v>
      </c>
      <c r="Q1128" s="115">
        <v>255.6</v>
      </c>
      <c r="R1128">
        <v>12836</v>
      </c>
    </row>
    <row r="1129" spans="1:18" x14ac:dyDescent="0.25">
      <c r="A1129" s="169">
        <v>43668</v>
      </c>
      <c r="B1129" s="115">
        <v>245.5</v>
      </c>
      <c r="C1129" s="115">
        <v>237.95</v>
      </c>
      <c r="D1129" s="115">
        <v>236</v>
      </c>
      <c r="E1129" s="115">
        <v>243</v>
      </c>
      <c r="F1129" s="115">
        <v>237.95</v>
      </c>
      <c r="G1129">
        <v>3058</v>
      </c>
      <c r="H1129" s="115"/>
      <c r="I1129" s="115"/>
      <c r="L1129" s="169">
        <v>43665</v>
      </c>
      <c r="M1129" s="115">
        <v>248.55</v>
      </c>
      <c r="N1129" s="115">
        <v>259</v>
      </c>
      <c r="O1129" s="115">
        <v>247</v>
      </c>
      <c r="P1129" s="115">
        <v>255.1</v>
      </c>
      <c r="Q1129" s="115">
        <v>248.55</v>
      </c>
      <c r="R1129">
        <v>16139</v>
      </c>
    </row>
    <row r="1130" spans="1:18" x14ac:dyDescent="0.25">
      <c r="A1130" s="169">
        <v>43669</v>
      </c>
      <c r="B1130" s="115">
        <v>241</v>
      </c>
      <c r="C1130" s="115">
        <v>237.85</v>
      </c>
      <c r="D1130" s="115">
        <v>230.8</v>
      </c>
      <c r="E1130" s="115">
        <v>236</v>
      </c>
      <c r="F1130" s="115">
        <v>237.85</v>
      </c>
      <c r="G1130">
        <v>1043</v>
      </c>
      <c r="H1130" s="115"/>
      <c r="I1130" s="115"/>
      <c r="L1130" s="169">
        <v>43668</v>
      </c>
      <c r="M1130" s="115">
        <v>237.65</v>
      </c>
      <c r="N1130" s="115">
        <v>246.5</v>
      </c>
      <c r="O1130" s="115">
        <v>235.5</v>
      </c>
      <c r="P1130" s="115">
        <v>245.15</v>
      </c>
      <c r="Q1130" s="115">
        <v>237.65</v>
      </c>
      <c r="R1130">
        <v>33715</v>
      </c>
    </row>
    <row r="1131" spans="1:18" x14ac:dyDescent="0.25">
      <c r="A1131" s="169">
        <v>43670</v>
      </c>
      <c r="B1131" s="115">
        <v>233.5</v>
      </c>
      <c r="C1131" s="115">
        <v>228.65</v>
      </c>
      <c r="D1131" s="115">
        <v>227</v>
      </c>
      <c r="E1131" s="115">
        <v>233.5</v>
      </c>
      <c r="F1131" s="115">
        <v>228.65</v>
      </c>
      <c r="G1131">
        <v>3273</v>
      </c>
      <c r="H1131" s="115"/>
      <c r="I1131" s="115"/>
      <c r="L1131" s="169">
        <v>43669</v>
      </c>
      <c r="M1131" s="115">
        <v>235</v>
      </c>
      <c r="N1131" s="115">
        <v>238.85</v>
      </c>
      <c r="O1131" s="115">
        <v>229.5</v>
      </c>
      <c r="P1131" s="115">
        <v>237.9</v>
      </c>
      <c r="Q1131" s="115">
        <v>235</v>
      </c>
      <c r="R1131">
        <v>33705</v>
      </c>
    </row>
    <row r="1132" spans="1:18" x14ac:dyDescent="0.25">
      <c r="A1132" s="169">
        <v>43671</v>
      </c>
      <c r="B1132" s="115">
        <v>245.2</v>
      </c>
      <c r="C1132" s="115">
        <v>230.5</v>
      </c>
      <c r="D1132" s="115">
        <v>228.8</v>
      </c>
      <c r="E1132" s="115">
        <v>235.85</v>
      </c>
      <c r="F1132" s="115">
        <v>230.5</v>
      </c>
      <c r="G1132">
        <v>934</v>
      </c>
      <c r="H1132" s="115"/>
      <c r="I1132" s="115"/>
      <c r="L1132" s="169">
        <v>43670</v>
      </c>
      <c r="M1132" s="115">
        <v>228.15</v>
      </c>
      <c r="N1132" s="115">
        <v>235.9</v>
      </c>
      <c r="O1132" s="115">
        <v>226</v>
      </c>
      <c r="P1132" s="115">
        <v>232</v>
      </c>
      <c r="Q1132" s="115">
        <v>228.15</v>
      </c>
      <c r="R1132">
        <v>28222</v>
      </c>
    </row>
    <row r="1133" spans="1:18" x14ac:dyDescent="0.25">
      <c r="A1133" s="169">
        <v>43672</v>
      </c>
      <c r="B1133" s="115">
        <v>237.4</v>
      </c>
      <c r="C1133" s="115">
        <v>235.75</v>
      </c>
      <c r="D1133" s="115">
        <v>227</v>
      </c>
      <c r="E1133" s="115">
        <v>228.8</v>
      </c>
      <c r="F1133" s="115">
        <v>235.75</v>
      </c>
      <c r="G1133">
        <v>536</v>
      </c>
      <c r="H1133" s="115"/>
      <c r="I1133" s="115"/>
      <c r="L1133" s="169">
        <v>43671</v>
      </c>
      <c r="M1133" s="115">
        <v>232.2</v>
      </c>
      <c r="N1133" s="115">
        <v>244.9</v>
      </c>
      <c r="O1133" s="115">
        <v>227</v>
      </c>
      <c r="P1133" s="115">
        <v>227</v>
      </c>
      <c r="Q1133" s="115">
        <v>232.2</v>
      </c>
      <c r="R1133">
        <v>36907</v>
      </c>
    </row>
    <row r="1134" spans="1:18" x14ac:dyDescent="0.25">
      <c r="A1134" s="169">
        <v>43675</v>
      </c>
      <c r="B1134" s="115">
        <v>237.65</v>
      </c>
      <c r="C1134" s="115">
        <v>230</v>
      </c>
      <c r="D1134" s="115">
        <v>228.15</v>
      </c>
      <c r="E1134" s="115">
        <v>237.65</v>
      </c>
      <c r="F1134" s="115">
        <v>230</v>
      </c>
      <c r="G1134">
        <v>190</v>
      </c>
      <c r="H1134" s="115"/>
      <c r="I1134" s="115"/>
      <c r="L1134" s="169">
        <v>43672</v>
      </c>
      <c r="M1134" s="115">
        <v>236.75</v>
      </c>
      <c r="N1134" s="115">
        <v>238.65</v>
      </c>
      <c r="O1134" s="115">
        <v>227</v>
      </c>
      <c r="P1134" s="115">
        <v>227.6</v>
      </c>
      <c r="Q1134" s="115">
        <v>236.75</v>
      </c>
      <c r="R1134">
        <v>20288</v>
      </c>
    </row>
    <row r="1135" spans="1:18" x14ac:dyDescent="0.25">
      <c r="A1135" s="169">
        <v>43676</v>
      </c>
      <c r="B1135" s="115">
        <v>234.9</v>
      </c>
      <c r="C1135" s="115">
        <v>226.1</v>
      </c>
      <c r="D1135" s="115">
        <v>226</v>
      </c>
      <c r="E1135" s="115">
        <v>227.75</v>
      </c>
      <c r="F1135" s="115">
        <v>226.1</v>
      </c>
      <c r="G1135">
        <v>3623</v>
      </c>
      <c r="H1135" s="115"/>
      <c r="I1135" s="115"/>
      <c r="L1135" s="169">
        <v>43675</v>
      </c>
      <c r="M1135" s="115">
        <v>229.1</v>
      </c>
      <c r="N1135" s="115">
        <v>236</v>
      </c>
      <c r="O1135" s="115">
        <v>228</v>
      </c>
      <c r="P1135" s="115">
        <v>232.65</v>
      </c>
      <c r="Q1135" s="115">
        <v>229.1</v>
      </c>
      <c r="R1135">
        <v>6466</v>
      </c>
    </row>
    <row r="1136" spans="1:18" x14ac:dyDescent="0.25">
      <c r="A1136" s="169">
        <v>43677</v>
      </c>
      <c r="B1136" s="115">
        <v>229</v>
      </c>
      <c r="C1136" s="115">
        <v>226.15</v>
      </c>
      <c r="D1136" s="115">
        <v>224</v>
      </c>
      <c r="E1136" s="115">
        <v>225</v>
      </c>
      <c r="F1136" s="115">
        <v>226.15</v>
      </c>
      <c r="G1136">
        <v>1566</v>
      </c>
      <c r="H1136" s="115"/>
      <c r="I1136" s="115"/>
      <c r="L1136" s="169">
        <v>43676</v>
      </c>
      <c r="M1136" s="115">
        <v>225.55</v>
      </c>
      <c r="N1136" s="115">
        <v>234.8</v>
      </c>
      <c r="O1136" s="115">
        <v>225</v>
      </c>
      <c r="P1136" s="115">
        <v>227</v>
      </c>
      <c r="Q1136" s="115">
        <v>225.55</v>
      </c>
      <c r="R1136">
        <v>35716</v>
      </c>
    </row>
    <row r="1137" spans="1:18" x14ac:dyDescent="0.25">
      <c r="A1137" s="169">
        <v>43678</v>
      </c>
      <c r="B1137" s="115">
        <v>226.65</v>
      </c>
      <c r="C1137" s="115">
        <v>222</v>
      </c>
      <c r="D1137" s="115">
        <v>222</v>
      </c>
      <c r="E1137" s="115">
        <v>226.6</v>
      </c>
      <c r="F1137" s="115">
        <v>222</v>
      </c>
      <c r="G1137">
        <v>2228</v>
      </c>
      <c r="H1137" s="115"/>
      <c r="I1137" s="115"/>
      <c r="L1137" s="169">
        <v>43677</v>
      </c>
      <c r="M1137" s="115">
        <v>224.85</v>
      </c>
      <c r="N1137" s="115">
        <v>230.35</v>
      </c>
      <c r="O1137" s="115">
        <v>222.1</v>
      </c>
      <c r="P1137" s="115">
        <v>225.05</v>
      </c>
      <c r="Q1137" s="115">
        <v>224.85</v>
      </c>
      <c r="R1137">
        <v>13056</v>
      </c>
    </row>
    <row r="1138" spans="1:18" x14ac:dyDescent="0.25">
      <c r="A1138" s="169">
        <v>43679</v>
      </c>
      <c r="B1138" s="115">
        <v>225.25</v>
      </c>
      <c r="C1138" s="115">
        <v>221.65</v>
      </c>
      <c r="D1138" s="115">
        <v>218.6</v>
      </c>
      <c r="E1138" s="115">
        <v>218.6</v>
      </c>
      <c r="F1138" s="115">
        <v>221.65</v>
      </c>
      <c r="G1138">
        <v>1323</v>
      </c>
      <c r="H1138" s="115"/>
      <c r="I1138" s="115"/>
      <c r="L1138" s="169">
        <v>43678</v>
      </c>
      <c r="M1138" s="115">
        <v>221.75</v>
      </c>
      <c r="N1138" s="115">
        <v>225.75</v>
      </c>
      <c r="O1138" s="115">
        <v>220.1</v>
      </c>
      <c r="P1138" s="115">
        <v>223.1</v>
      </c>
      <c r="Q1138" s="115">
        <v>221.75</v>
      </c>
      <c r="R1138">
        <v>9764</v>
      </c>
    </row>
    <row r="1139" spans="1:18" x14ac:dyDescent="0.25">
      <c r="A1139" s="169">
        <v>43682</v>
      </c>
      <c r="B1139" s="115">
        <v>220.9</v>
      </c>
      <c r="C1139" s="115">
        <v>220.35</v>
      </c>
      <c r="D1139" s="115">
        <v>217.05</v>
      </c>
      <c r="E1139" s="115">
        <v>219.35</v>
      </c>
      <c r="F1139" s="115">
        <v>220.35</v>
      </c>
      <c r="G1139">
        <v>602</v>
      </c>
      <c r="H1139" s="115"/>
      <c r="I1139" s="115"/>
      <c r="L1139" s="169">
        <v>43679</v>
      </c>
      <c r="M1139" s="115">
        <v>221.6</v>
      </c>
      <c r="N1139" s="115">
        <v>227.9</v>
      </c>
      <c r="O1139" s="115">
        <v>218.5</v>
      </c>
      <c r="P1139" s="115">
        <v>220</v>
      </c>
      <c r="Q1139" s="115">
        <v>221.6</v>
      </c>
      <c r="R1139">
        <v>21495</v>
      </c>
    </row>
    <row r="1140" spans="1:18" x14ac:dyDescent="0.25">
      <c r="A1140" s="169">
        <v>43683</v>
      </c>
      <c r="B1140" s="115">
        <v>220.2</v>
      </c>
      <c r="C1140" s="115">
        <v>217.85</v>
      </c>
      <c r="D1140" s="115">
        <v>217</v>
      </c>
      <c r="E1140" s="115">
        <v>220.2</v>
      </c>
      <c r="F1140" s="115">
        <v>217.85</v>
      </c>
      <c r="G1140">
        <v>431</v>
      </c>
      <c r="H1140" s="115"/>
      <c r="I1140" s="115"/>
      <c r="L1140" s="169">
        <v>43682</v>
      </c>
      <c r="M1140" s="115">
        <v>219.7</v>
      </c>
      <c r="N1140" s="115">
        <v>222</v>
      </c>
      <c r="O1140" s="115">
        <v>213</v>
      </c>
      <c r="P1140" s="115">
        <v>213</v>
      </c>
      <c r="Q1140" s="115">
        <v>219.7</v>
      </c>
      <c r="R1140">
        <v>10381</v>
      </c>
    </row>
    <row r="1141" spans="1:18" x14ac:dyDescent="0.25">
      <c r="A1141" s="169">
        <v>43684</v>
      </c>
      <c r="B1141" s="115">
        <v>220.8</v>
      </c>
      <c r="C1141" s="115">
        <v>217</v>
      </c>
      <c r="D1141" s="115">
        <v>216.95</v>
      </c>
      <c r="E1141" s="115">
        <v>216.95</v>
      </c>
      <c r="F1141" s="115">
        <v>217</v>
      </c>
      <c r="G1141">
        <v>869</v>
      </c>
      <c r="H1141" s="115"/>
      <c r="I1141" s="115"/>
      <c r="L1141" s="169">
        <v>43683</v>
      </c>
      <c r="M1141" s="115">
        <v>216.35</v>
      </c>
      <c r="N1141" s="115">
        <v>223.45</v>
      </c>
      <c r="O1141" s="115">
        <v>215.1</v>
      </c>
      <c r="P1141" s="115">
        <v>217.65</v>
      </c>
      <c r="Q1141" s="115">
        <v>216.35</v>
      </c>
      <c r="R1141">
        <v>14761</v>
      </c>
    </row>
    <row r="1142" spans="1:18" x14ac:dyDescent="0.25">
      <c r="A1142" s="169">
        <v>43685</v>
      </c>
      <c r="B1142" s="115">
        <v>228.55</v>
      </c>
      <c r="C1142" s="115">
        <v>225.15</v>
      </c>
      <c r="D1142" s="115">
        <v>220.5</v>
      </c>
      <c r="E1142" s="115">
        <v>220.5</v>
      </c>
      <c r="F1142" s="115">
        <v>225.15</v>
      </c>
      <c r="G1142">
        <v>305</v>
      </c>
      <c r="H1142" s="115"/>
      <c r="I1142" s="115"/>
      <c r="L1142" s="169">
        <v>43684</v>
      </c>
      <c r="M1142" s="115">
        <v>216.85</v>
      </c>
      <c r="N1142" s="115">
        <v>221</v>
      </c>
      <c r="O1142" s="115">
        <v>215.95</v>
      </c>
      <c r="P1142" s="115">
        <v>217.9</v>
      </c>
      <c r="Q1142" s="115">
        <v>216.85</v>
      </c>
      <c r="R1142">
        <v>10384</v>
      </c>
    </row>
    <row r="1143" spans="1:18" x14ac:dyDescent="0.25">
      <c r="A1143" s="169">
        <v>43686</v>
      </c>
      <c r="B1143" s="115">
        <v>245</v>
      </c>
      <c r="C1143" s="115">
        <v>243.15</v>
      </c>
      <c r="D1143" s="115">
        <v>232.75</v>
      </c>
      <c r="E1143" s="115">
        <v>236.2</v>
      </c>
      <c r="F1143" s="115">
        <v>243.15</v>
      </c>
      <c r="G1143">
        <v>3373</v>
      </c>
      <c r="H1143" s="115"/>
      <c r="I1143" s="115"/>
      <c r="L1143" s="169">
        <v>43685</v>
      </c>
      <c r="M1143" s="115">
        <v>226.9</v>
      </c>
      <c r="N1143" s="115">
        <v>228.5</v>
      </c>
      <c r="O1143" s="115">
        <v>217.05</v>
      </c>
      <c r="P1143" s="115">
        <v>217.05</v>
      </c>
      <c r="Q1143" s="115">
        <v>226.9</v>
      </c>
      <c r="R1143">
        <v>10923</v>
      </c>
    </row>
    <row r="1144" spans="1:18" x14ac:dyDescent="0.25">
      <c r="A1144" s="169">
        <v>43690</v>
      </c>
      <c r="B1144" s="115">
        <v>243</v>
      </c>
      <c r="C1144" s="115">
        <v>230.65</v>
      </c>
      <c r="D1144" s="115">
        <v>229</v>
      </c>
      <c r="E1144" s="115">
        <v>243</v>
      </c>
      <c r="F1144" s="115">
        <v>230.65</v>
      </c>
      <c r="G1144">
        <v>763</v>
      </c>
      <c r="H1144" s="115"/>
      <c r="I1144" s="115"/>
      <c r="L1144" s="169">
        <v>43686</v>
      </c>
      <c r="M1144" s="115">
        <v>243</v>
      </c>
      <c r="N1144" s="115">
        <v>247.45</v>
      </c>
      <c r="O1144" s="115">
        <v>230</v>
      </c>
      <c r="P1144" s="115">
        <v>230</v>
      </c>
      <c r="Q1144" s="115">
        <v>243</v>
      </c>
      <c r="R1144">
        <v>53300</v>
      </c>
    </row>
    <row r="1145" spans="1:18" x14ac:dyDescent="0.25">
      <c r="A1145" s="169">
        <v>43691</v>
      </c>
      <c r="B1145" s="115">
        <v>235.8</v>
      </c>
      <c r="C1145" s="115">
        <v>222.75</v>
      </c>
      <c r="D1145" s="115">
        <v>221.05</v>
      </c>
      <c r="E1145" s="115">
        <v>234.5</v>
      </c>
      <c r="F1145" s="115">
        <v>222.75</v>
      </c>
      <c r="G1145">
        <v>1708</v>
      </c>
      <c r="H1145" s="115"/>
      <c r="I1145" s="115"/>
      <c r="L1145" s="169">
        <v>43690</v>
      </c>
      <c r="M1145" s="115">
        <v>230.1</v>
      </c>
      <c r="N1145" s="115">
        <v>245</v>
      </c>
      <c r="O1145" s="115">
        <v>228.1</v>
      </c>
      <c r="P1145" s="115">
        <v>245</v>
      </c>
      <c r="Q1145" s="115">
        <v>230.1</v>
      </c>
      <c r="R1145">
        <v>24068</v>
      </c>
    </row>
    <row r="1146" spans="1:18" x14ac:dyDescent="0.25">
      <c r="A1146" s="169">
        <v>43693</v>
      </c>
      <c r="B1146" s="115">
        <v>225.7</v>
      </c>
      <c r="C1146" s="115">
        <v>225.65</v>
      </c>
      <c r="D1146" s="115">
        <v>218.8</v>
      </c>
      <c r="E1146" s="115">
        <v>219.75</v>
      </c>
      <c r="F1146" s="115">
        <v>225.65</v>
      </c>
      <c r="G1146">
        <v>488</v>
      </c>
      <c r="H1146" s="115"/>
      <c r="I1146" s="115"/>
      <c r="L1146" s="169">
        <v>43691</v>
      </c>
      <c r="M1146" s="115">
        <v>223.65</v>
      </c>
      <c r="N1146" s="115">
        <v>240</v>
      </c>
      <c r="O1146" s="115">
        <v>220.05</v>
      </c>
      <c r="P1146" s="115">
        <v>240</v>
      </c>
      <c r="Q1146" s="115">
        <v>223.65</v>
      </c>
      <c r="R1146">
        <v>40247</v>
      </c>
    </row>
    <row r="1147" spans="1:18" x14ac:dyDescent="0.25">
      <c r="A1147" s="169">
        <v>43696</v>
      </c>
      <c r="B1147" s="115">
        <v>230.1</v>
      </c>
      <c r="C1147" s="115">
        <v>229.7</v>
      </c>
      <c r="D1147" s="115">
        <v>227.75</v>
      </c>
      <c r="E1147" s="115">
        <v>229.7</v>
      </c>
      <c r="F1147" s="115">
        <v>229.7</v>
      </c>
      <c r="G1147">
        <v>410</v>
      </c>
      <c r="H1147" s="115"/>
      <c r="I1147" s="115"/>
      <c r="L1147" s="169">
        <v>43693</v>
      </c>
      <c r="M1147" s="115">
        <v>225.05</v>
      </c>
      <c r="N1147" s="115">
        <v>226.2</v>
      </c>
      <c r="O1147" s="115">
        <v>217.6</v>
      </c>
      <c r="P1147" s="115">
        <v>223.45</v>
      </c>
      <c r="Q1147" s="115">
        <v>225.05</v>
      </c>
      <c r="R1147">
        <v>29813</v>
      </c>
    </row>
    <row r="1148" spans="1:18" x14ac:dyDescent="0.25">
      <c r="A1148" s="169">
        <v>43697</v>
      </c>
      <c r="B1148" s="115">
        <v>230.8</v>
      </c>
      <c r="C1148" s="115">
        <v>225.9</v>
      </c>
      <c r="D1148" s="115">
        <v>225</v>
      </c>
      <c r="E1148" s="115">
        <v>229.35</v>
      </c>
      <c r="F1148" s="115">
        <v>225.9</v>
      </c>
      <c r="G1148">
        <v>10671</v>
      </c>
      <c r="H1148" s="115"/>
      <c r="I1148" s="115"/>
      <c r="L1148" s="169">
        <v>43696</v>
      </c>
      <c r="M1148" s="115">
        <v>229.6</v>
      </c>
      <c r="N1148" s="115">
        <v>230.9</v>
      </c>
      <c r="O1148" s="115">
        <v>226.25</v>
      </c>
      <c r="P1148" s="115">
        <v>228.9</v>
      </c>
      <c r="Q1148" s="115">
        <v>229.6</v>
      </c>
      <c r="R1148">
        <v>28521</v>
      </c>
    </row>
    <row r="1149" spans="1:18" x14ac:dyDescent="0.25">
      <c r="A1149" s="169">
        <v>43698</v>
      </c>
      <c r="B1149" s="115">
        <v>228.55</v>
      </c>
      <c r="C1149" s="115">
        <v>225.05</v>
      </c>
      <c r="D1149" s="115">
        <v>225</v>
      </c>
      <c r="E1149" s="115">
        <v>228.55</v>
      </c>
      <c r="F1149" s="115">
        <v>225.05</v>
      </c>
      <c r="G1149">
        <v>281</v>
      </c>
      <c r="H1149" s="115"/>
      <c r="I1149" s="115"/>
      <c r="L1149" s="169">
        <v>43697</v>
      </c>
      <c r="M1149" s="115">
        <v>228</v>
      </c>
      <c r="N1149" s="115">
        <v>231.55</v>
      </c>
      <c r="O1149" s="115">
        <v>226.1</v>
      </c>
      <c r="P1149" s="115">
        <v>227.3</v>
      </c>
      <c r="Q1149" s="115">
        <v>228</v>
      </c>
      <c r="R1149">
        <v>8996</v>
      </c>
    </row>
    <row r="1150" spans="1:18" x14ac:dyDescent="0.25">
      <c r="A1150" s="169">
        <v>43699</v>
      </c>
      <c r="B1150" s="115">
        <v>226.95</v>
      </c>
      <c r="C1150" s="115">
        <v>223.2</v>
      </c>
      <c r="D1150" s="115">
        <v>219</v>
      </c>
      <c r="E1150" s="115">
        <v>224.05</v>
      </c>
      <c r="F1150" s="115">
        <v>223.2</v>
      </c>
      <c r="G1150">
        <v>2139</v>
      </c>
      <c r="H1150" s="115"/>
      <c r="I1150" s="115"/>
      <c r="L1150" s="169">
        <v>43698</v>
      </c>
      <c r="M1150" s="115">
        <v>225.5</v>
      </c>
      <c r="N1150" s="115">
        <v>229.9</v>
      </c>
      <c r="O1150" s="115">
        <v>223.1</v>
      </c>
      <c r="P1150" s="115">
        <v>227</v>
      </c>
      <c r="Q1150" s="115">
        <v>225.5</v>
      </c>
      <c r="R1150">
        <v>5859</v>
      </c>
    </row>
    <row r="1151" spans="1:18" x14ac:dyDescent="0.25">
      <c r="A1151" s="169">
        <v>43700</v>
      </c>
      <c r="B1151" s="115">
        <v>226</v>
      </c>
      <c r="C1151" s="115">
        <v>219.6</v>
      </c>
      <c r="D1151" s="115">
        <v>217.05</v>
      </c>
      <c r="E1151" s="115">
        <v>225.95</v>
      </c>
      <c r="F1151" s="115">
        <v>219.6</v>
      </c>
      <c r="G1151">
        <v>1144</v>
      </c>
      <c r="H1151" s="115"/>
      <c r="I1151" s="115"/>
      <c r="L1151" s="169">
        <v>43699</v>
      </c>
      <c r="M1151" s="115">
        <v>222.9</v>
      </c>
      <c r="N1151" s="115">
        <v>227.3</v>
      </c>
      <c r="O1151" s="115">
        <v>220.45</v>
      </c>
      <c r="P1151" s="115">
        <v>224.65</v>
      </c>
      <c r="Q1151" s="115">
        <v>222.9</v>
      </c>
      <c r="R1151">
        <v>8673</v>
      </c>
    </row>
    <row r="1152" spans="1:18" x14ac:dyDescent="0.25">
      <c r="A1152" s="169">
        <v>43703</v>
      </c>
      <c r="B1152" s="115">
        <v>226.85</v>
      </c>
      <c r="C1152" s="115">
        <v>221.65</v>
      </c>
      <c r="D1152" s="115">
        <v>218.75</v>
      </c>
      <c r="E1152" s="115">
        <v>220.5</v>
      </c>
      <c r="F1152" s="115">
        <v>221.65</v>
      </c>
      <c r="G1152">
        <v>2058</v>
      </c>
      <c r="H1152" s="115"/>
      <c r="I1152" s="115"/>
      <c r="L1152" s="169">
        <v>43700</v>
      </c>
      <c r="M1152" s="115">
        <v>220.75</v>
      </c>
      <c r="N1152" s="115">
        <v>225.25</v>
      </c>
      <c r="O1152" s="115">
        <v>217.5</v>
      </c>
      <c r="P1152" s="115">
        <v>222.05</v>
      </c>
      <c r="Q1152" s="115">
        <v>220.75</v>
      </c>
      <c r="R1152">
        <v>15780</v>
      </c>
    </row>
    <row r="1153" spans="1:18" x14ac:dyDescent="0.25">
      <c r="A1153" s="169">
        <v>43704</v>
      </c>
      <c r="B1153" s="115">
        <v>225</v>
      </c>
      <c r="C1153" s="115">
        <v>222.35</v>
      </c>
      <c r="D1153" s="115">
        <v>219.05</v>
      </c>
      <c r="E1153" s="115">
        <v>223.5</v>
      </c>
      <c r="F1153" s="115">
        <v>222.35</v>
      </c>
      <c r="G1153">
        <v>881</v>
      </c>
      <c r="H1153" s="115"/>
      <c r="I1153" s="115"/>
      <c r="L1153" s="169">
        <v>43703</v>
      </c>
      <c r="M1153" s="115">
        <v>221.05</v>
      </c>
      <c r="N1153" s="115">
        <v>227</v>
      </c>
      <c r="O1153" s="115">
        <v>218.45</v>
      </c>
      <c r="P1153" s="115">
        <v>220.2</v>
      </c>
      <c r="Q1153" s="115">
        <v>221.05</v>
      </c>
      <c r="R1153">
        <v>30837</v>
      </c>
    </row>
    <row r="1154" spans="1:18" x14ac:dyDescent="0.25">
      <c r="A1154" s="169">
        <v>43705</v>
      </c>
      <c r="B1154" s="115">
        <v>224.65</v>
      </c>
      <c r="C1154" s="115">
        <v>224.2</v>
      </c>
      <c r="D1154" s="115">
        <v>220.5</v>
      </c>
      <c r="E1154" s="115">
        <v>223.45</v>
      </c>
      <c r="F1154" s="115">
        <v>224.2</v>
      </c>
      <c r="G1154">
        <v>304</v>
      </c>
      <c r="H1154" s="115"/>
      <c r="I1154" s="115"/>
      <c r="L1154" s="169">
        <v>43704</v>
      </c>
      <c r="M1154" s="115">
        <v>223.5</v>
      </c>
      <c r="N1154" s="115">
        <v>233.3</v>
      </c>
      <c r="O1154" s="115">
        <v>219</v>
      </c>
      <c r="P1154" s="115">
        <v>221.95</v>
      </c>
      <c r="Q1154" s="115">
        <v>223.5</v>
      </c>
      <c r="R1154">
        <v>17280</v>
      </c>
    </row>
    <row r="1155" spans="1:18" x14ac:dyDescent="0.25">
      <c r="A1155" s="169">
        <v>43706</v>
      </c>
      <c r="B1155" s="115">
        <v>221.4</v>
      </c>
      <c r="C1155" s="115">
        <v>220.1</v>
      </c>
      <c r="D1155" s="115">
        <v>220</v>
      </c>
      <c r="E1155" s="115">
        <v>220.5</v>
      </c>
      <c r="F1155" s="115">
        <v>220.1</v>
      </c>
      <c r="G1155">
        <v>571</v>
      </c>
      <c r="H1155" s="115"/>
      <c r="I1155" s="115"/>
      <c r="L1155" s="169">
        <v>43705</v>
      </c>
      <c r="M1155" s="115">
        <v>222</v>
      </c>
      <c r="N1155" s="115">
        <v>225.7</v>
      </c>
      <c r="O1155" s="115">
        <v>220</v>
      </c>
      <c r="P1155" s="115">
        <v>221.45</v>
      </c>
      <c r="Q1155" s="115">
        <v>222</v>
      </c>
      <c r="R1155">
        <v>4978</v>
      </c>
    </row>
    <row r="1156" spans="1:18" x14ac:dyDescent="0.25">
      <c r="A1156" s="169">
        <v>43707</v>
      </c>
      <c r="B1156" s="115">
        <v>220</v>
      </c>
      <c r="C1156" s="115">
        <v>211</v>
      </c>
      <c r="D1156" s="115">
        <v>209.6</v>
      </c>
      <c r="E1156" s="115">
        <v>220</v>
      </c>
      <c r="F1156" s="115">
        <v>211</v>
      </c>
      <c r="G1156">
        <v>5896</v>
      </c>
      <c r="H1156" s="115"/>
      <c r="I1156" s="115"/>
      <c r="L1156" s="169">
        <v>43706</v>
      </c>
      <c r="M1156" s="115">
        <v>220.65</v>
      </c>
      <c r="N1156" s="115">
        <v>223.95</v>
      </c>
      <c r="O1156" s="115">
        <v>220</v>
      </c>
      <c r="P1156" s="115">
        <v>220.5</v>
      </c>
      <c r="Q1156" s="115">
        <v>220.65</v>
      </c>
      <c r="R1156">
        <v>3297</v>
      </c>
    </row>
    <row r="1157" spans="1:18" x14ac:dyDescent="0.25">
      <c r="A1157" s="169">
        <v>43711</v>
      </c>
      <c r="B1157" s="115">
        <v>208.95</v>
      </c>
      <c r="C1157" s="115">
        <v>202.65</v>
      </c>
      <c r="D1157" s="115">
        <v>201.05</v>
      </c>
      <c r="E1157" s="115">
        <v>206.55</v>
      </c>
      <c r="F1157" s="115">
        <v>202.65</v>
      </c>
      <c r="G1157">
        <v>3091</v>
      </c>
      <c r="H1157" s="115"/>
      <c r="I1157" s="115"/>
      <c r="L1157" s="169">
        <v>43707</v>
      </c>
      <c r="M1157" s="115">
        <v>210.45</v>
      </c>
      <c r="N1157" s="115">
        <v>224.3</v>
      </c>
      <c r="O1157" s="115">
        <v>209.55</v>
      </c>
      <c r="P1157" s="115">
        <v>222.3</v>
      </c>
      <c r="Q1157" s="115">
        <v>210.45</v>
      </c>
      <c r="R1157">
        <v>68105</v>
      </c>
    </row>
    <row r="1158" spans="1:18" x14ac:dyDescent="0.25">
      <c r="A1158" s="169">
        <v>43712</v>
      </c>
      <c r="B1158" s="115">
        <v>212</v>
      </c>
      <c r="C1158" s="115">
        <v>208.6</v>
      </c>
      <c r="D1158" s="115">
        <v>201.5</v>
      </c>
      <c r="E1158" s="115">
        <v>201.5</v>
      </c>
      <c r="F1158" s="115">
        <v>208.6</v>
      </c>
      <c r="G1158">
        <v>2113</v>
      </c>
      <c r="H1158" s="115"/>
      <c r="I1158" s="115"/>
      <c r="L1158" s="169">
        <v>43711</v>
      </c>
      <c r="M1158" s="115">
        <v>202.2</v>
      </c>
      <c r="N1158" s="115">
        <v>212.4</v>
      </c>
      <c r="O1158" s="115">
        <v>201.35</v>
      </c>
      <c r="P1158" s="115">
        <v>212.4</v>
      </c>
      <c r="Q1158" s="115">
        <v>202.2</v>
      </c>
      <c r="R1158">
        <v>42831</v>
      </c>
    </row>
    <row r="1159" spans="1:18" x14ac:dyDescent="0.25">
      <c r="A1159" s="169">
        <v>43713</v>
      </c>
      <c r="B1159" s="115">
        <v>216</v>
      </c>
      <c r="C1159" s="115">
        <v>208.5</v>
      </c>
      <c r="D1159" s="115">
        <v>205.75</v>
      </c>
      <c r="E1159" s="115">
        <v>213.2</v>
      </c>
      <c r="F1159" s="115">
        <v>208.5</v>
      </c>
      <c r="G1159">
        <v>1187</v>
      </c>
      <c r="H1159" s="115"/>
      <c r="I1159" s="115"/>
      <c r="L1159" s="169">
        <v>43712</v>
      </c>
      <c r="M1159" s="115">
        <v>209.65</v>
      </c>
      <c r="N1159" s="115">
        <v>211.6</v>
      </c>
      <c r="O1159" s="115">
        <v>200.6</v>
      </c>
      <c r="P1159" s="115">
        <v>200.65</v>
      </c>
      <c r="Q1159" s="115">
        <v>209.65</v>
      </c>
      <c r="R1159">
        <v>11909</v>
      </c>
    </row>
    <row r="1160" spans="1:18" x14ac:dyDescent="0.25">
      <c r="A1160" s="169">
        <v>43714</v>
      </c>
      <c r="B1160" s="115">
        <v>216</v>
      </c>
      <c r="C1160" s="115">
        <v>213.85</v>
      </c>
      <c r="D1160" s="115">
        <v>211.7</v>
      </c>
      <c r="E1160" s="115">
        <v>216</v>
      </c>
      <c r="F1160" s="115">
        <v>213.85</v>
      </c>
      <c r="G1160">
        <v>1599</v>
      </c>
      <c r="H1160" s="115"/>
      <c r="I1160" s="115"/>
      <c r="L1160" s="169">
        <v>43713</v>
      </c>
      <c r="M1160" s="115">
        <v>208</v>
      </c>
      <c r="N1160" s="115">
        <v>216.55</v>
      </c>
      <c r="O1160" s="115">
        <v>205.1</v>
      </c>
      <c r="P1160" s="115">
        <v>212.4</v>
      </c>
      <c r="Q1160" s="115">
        <v>208</v>
      </c>
      <c r="R1160">
        <v>9903</v>
      </c>
    </row>
    <row r="1161" spans="1:18" x14ac:dyDescent="0.25">
      <c r="A1161" s="169">
        <v>43717</v>
      </c>
      <c r="B1161" s="115">
        <v>220.05</v>
      </c>
      <c r="C1161" s="115">
        <v>219.85</v>
      </c>
      <c r="D1161" s="115">
        <v>213.25</v>
      </c>
      <c r="E1161" s="115">
        <v>213.25</v>
      </c>
      <c r="F1161" s="115">
        <v>219.85</v>
      </c>
      <c r="G1161">
        <v>1906</v>
      </c>
      <c r="H1161" s="115"/>
      <c r="I1161" s="115"/>
      <c r="L1161" s="169">
        <v>43714</v>
      </c>
      <c r="M1161" s="115">
        <v>214.65</v>
      </c>
      <c r="N1161" s="115">
        <v>218.95</v>
      </c>
      <c r="O1161" s="115">
        <v>211.45</v>
      </c>
      <c r="P1161" s="115">
        <v>217.4</v>
      </c>
      <c r="Q1161" s="115">
        <v>214.65</v>
      </c>
      <c r="R1161">
        <v>31748</v>
      </c>
    </row>
    <row r="1162" spans="1:18" x14ac:dyDescent="0.25">
      <c r="A1162" s="169">
        <v>43719</v>
      </c>
      <c r="B1162" s="115">
        <v>237.1</v>
      </c>
      <c r="C1162" s="115">
        <v>229.65</v>
      </c>
      <c r="D1162" s="115">
        <v>226</v>
      </c>
      <c r="E1162" s="115">
        <v>229</v>
      </c>
      <c r="F1162" s="115">
        <v>229.65</v>
      </c>
      <c r="G1162">
        <v>10746</v>
      </c>
      <c r="H1162" s="115"/>
      <c r="I1162" s="115"/>
      <c r="L1162" s="169">
        <v>43717</v>
      </c>
      <c r="M1162" s="115">
        <v>219.1</v>
      </c>
      <c r="N1162" s="115">
        <v>219.8</v>
      </c>
      <c r="O1162" s="115">
        <v>212.75</v>
      </c>
      <c r="P1162" s="115">
        <v>219</v>
      </c>
      <c r="Q1162" s="115">
        <v>219.1</v>
      </c>
      <c r="R1162">
        <v>8864</v>
      </c>
    </row>
    <row r="1163" spans="1:18" x14ac:dyDescent="0.25">
      <c r="A1163" s="169">
        <v>43720</v>
      </c>
      <c r="B1163" s="115">
        <v>234</v>
      </c>
      <c r="C1163" s="115">
        <v>224.9</v>
      </c>
      <c r="D1163" s="115">
        <v>224</v>
      </c>
      <c r="E1163" s="115">
        <v>232</v>
      </c>
      <c r="F1163" s="115">
        <v>224.9</v>
      </c>
      <c r="G1163">
        <v>3084</v>
      </c>
      <c r="H1163" s="115"/>
      <c r="I1163" s="115"/>
      <c r="L1163" s="169">
        <v>43719</v>
      </c>
      <c r="M1163" s="115">
        <v>229.8</v>
      </c>
      <c r="N1163" s="115">
        <v>237</v>
      </c>
      <c r="O1163" s="115">
        <v>225</v>
      </c>
      <c r="P1163" s="115">
        <v>225.5</v>
      </c>
      <c r="Q1163" s="115">
        <v>229.8</v>
      </c>
      <c r="R1163">
        <v>139282</v>
      </c>
    </row>
    <row r="1164" spans="1:18" x14ac:dyDescent="0.25">
      <c r="A1164" s="169">
        <v>43721</v>
      </c>
      <c r="B1164" s="115">
        <v>225</v>
      </c>
      <c r="C1164" s="115">
        <v>224.65</v>
      </c>
      <c r="D1164" s="115">
        <v>222.1</v>
      </c>
      <c r="E1164" s="115">
        <v>225</v>
      </c>
      <c r="F1164" s="115">
        <v>224.65</v>
      </c>
      <c r="G1164">
        <v>1044</v>
      </c>
      <c r="H1164" s="115"/>
      <c r="I1164" s="115"/>
      <c r="L1164" s="169">
        <v>43720</v>
      </c>
      <c r="M1164" s="115">
        <v>225.95</v>
      </c>
      <c r="N1164" s="115">
        <v>234.9</v>
      </c>
      <c r="O1164" s="115">
        <v>224.7</v>
      </c>
      <c r="P1164" s="115">
        <v>231</v>
      </c>
      <c r="Q1164" s="115">
        <v>225.95</v>
      </c>
      <c r="R1164">
        <v>37544</v>
      </c>
    </row>
    <row r="1165" spans="1:18" x14ac:dyDescent="0.25">
      <c r="A1165" s="169">
        <v>43724</v>
      </c>
      <c r="B1165" s="115">
        <v>226.2</v>
      </c>
      <c r="C1165" s="115">
        <v>223.25</v>
      </c>
      <c r="D1165" s="115">
        <v>223</v>
      </c>
      <c r="E1165" s="115">
        <v>224</v>
      </c>
      <c r="F1165" s="115">
        <v>223.25</v>
      </c>
      <c r="G1165">
        <v>1448</v>
      </c>
      <c r="H1165" s="115"/>
      <c r="I1165" s="115"/>
      <c r="L1165" s="169">
        <v>43721</v>
      </c>
      <c r="M1165" s="115">
        <v>224.15</v>
      </c>
      <c r="N1165" s="115">
        <v>226.4</v>
      </c>
      <c r="O1165" s="115">
        <v>222.05</v>
      </c>
      <c r="P1165" s="115">
        <v>226</v>
      </c>
      <c r="Q1165" s="115">
        <v>224.15</v>
      </c>
      <c r="R1165">
        <v>17740</v>
      </c>
    </row>
    <row r="1166" spans="1:18" x14ac:dyDescent="0.25">
      <c r="A1166" s="169">
        <v>43725</v>
      </c>
      <c r="B1166" s="115">
        <v>230</v>
      </c>
      <c r="C1166" s="115">
        <v>226</v>
      </c>
      <c r="D1166" s="115">
        <v>225.25</v>
      </c>
      <c r="E1166" s="115">
        <v>225.25</v>
      </c>
      <c r="F1166" s="115">
        <v>226</v>
      </c>
      <c r="G1166">
        <v>1101</v>
      </c>
      <c r="H1166" s="115"/>
      <c r="I1166" s="115"/>
      <c r="L1166" s="169">
        <v>43724</v>
      </c>
      <c r="M1166" s="115">
        <v>224.35</v>
      </c>
      <c r="N1166" s="115">
        <v>226.15</v>
      </c>
      <c r="O1166" s="115">
        <v>223.05</v>
      </c>
      <c r="P1166" s="115">
        <v>225.9</v>
      </c>
      <c r="Q1166" s="115">
        <v>224.35</v>
      </c>
      <c r="R1166">
        <v>12013</v>
      </c>
    </row>
    <row r="1167" spans="1:18" x14ac:dyDescent="0.25">
      <c r="A1167" s="169">
        <v>43726</v>
      </c>
      <c r="B1167" s="115">
        <v>232.5</v>
      </c>
      <c r="C1167" s="115">
        <v>230.1</v>
      </c>
      <c r="D1167" s="115">
        <v>227</v>
      </c>
      <c r="E1167" s="115">
        <v>227</v>
      </c>
      <c r="F1167" s="115">
        <v>230.1</v>
      </c>
      <c r="G1167">
        <v>581</v>
      </c>
      <c r="H1167" s="115"/>
      <c r="I1167" s="115"/>
      <c r="L1167" s="169">
        <v>43725</v>
      </c>
      <c r="M1167" s="115">
        <v>226.05</v>
      </c>
      <c r="N1167" s="115">
        <v>231</v>
      </c>
      <c r="O1167" s="115">
        <v>224.25</v>
      </c>
      <c r="P1167" s="115">
        <v>225</v>
      </c>
      <c r="Q1167" s="115">
        <v>226.05</v>
      </c>
      <c r="R1167">
        <v>26816</v>
      </c>
    </row>
    <row r="1168" spans="1:18" x14ac:dyDescent="0.25">
      <c r="A1168" s="169">
        <v>43727</v>
      </c>
      <c r="B1168" s="115">
        <v>236.3</v>
      </c>
      <c r="C1168" s="115">
        <v>227.55</v>
      </c>
      <c r="D1168" s="115">
        <v>226.25</v>
      </c>
      <c r="E1168" s="115">
        <v>230.1</v>
      </c>
      <c r="F1168" s="115">
        <v>227.55</v>
      </c>
      <c r="G1168">
        <v>2043</v>
      </c>
      <c r="H1168" s="115"/>
      <c r="I1168" s="115"/>
      <c r="L1168" s="169">
        <v>43726</v>
      </c>
      <c r="M1168" s="115">
        <v>229.45</v>
      </c>
      <c r="N1168" s="115">
        <v>232.6</v>
      </c>
      <c r="O1168" s="115">
        <v>226</v>
      </c>
      <c r="P1168" s="115">
        <v>227.5</v>
      </c>
      <c r="Q1168" s="115">
        <v>229.45</v>
      </c>
      <c r="R1168">
        <v>20741</v>
      </c>
    </row>
    <row r="1169" spans="1:18" x14ac:dyDescent="0.25">
      <c r="A1169" s="169">
        <v>43728</v>
      </c>
      <c r="B1169" s="115">
        <v>235.35</v>
      </c>
      <c r="C1169" s="115">
        <v>231.7</v>
      </c>
      <c r="D1169" s="115">
        <v>226.45</v>
      </c>
      <c r="E1169" s="115">
        <v>226.45</v>
      </c>
      <c r="F1169" s="115">
        <v>231.7</v>
      </c>
      <c r="G1169">
        <v>1866</v>
      </c>
      <c r="H1169" s="115"/>
      <c r="I1169" s="115"/>
      <c r="L1169" s="169">
        <v>43727</v>
      </c>
      <c r="M1169" s="115">
        <v>227.8</v>
      </c>
      <c r="N1169" s="115">
        <v>237.8</v>
      </c>
      <c r="O1169" s="115">
        <v>225.1</v>
      </c>
      <c r="P1169" s="115">
        <v>231.7</v>
      </c>
      <c r="Q1169" s="115">
        <v>227.8</v>
      </c>
      <c r="R1169">
        <v>39207</v>
      </c>
    </row>
    <row r="1170" spans="1:18" x14ac:dyDescent="0.25">
      <c r="A1170" s="169">
        <v>43731</v>
      </c>
      <c r="B1170" s="115">
        <v>254.3</v>
      </c>
      <c r="C1170" s="115">
        <v>250.05</v>
      </c>
      <c r="D1170" s="115">
        <v>235</v>
      </c>
      <c r="E1170" s="115">
        <v>243.25</v>
      </c>
      <c r="F1170" s="115">
        <v>250.05</v>
      </c>
      <c r="G1170">
        <v>4545</v>
      </c>
      <c r="H1170" s="115"/>
      <c r="I1170" s="115"/>
      <c r="L1170" s="169">
        <v>43728</v>
      </c>
      <c r="M1170" s="115">
        <v>233.65</v>
      </c>
      <c r="N1170" s="115">
        <v>236.05</v>
      </c>
      <c r="O1170" s="115">
        <v>226.1</v>
      </c>
      <c r="P1170" s="115">
        <v>226.95</v>
      </c>
      <c r="Q1170" s="115">
        <v>233.65</v>
      </c>
      <c r="R1170">
        <v>25195</v>
      </c>
    </row>
    <row r="1171" spans="1:18" x14ac:dyDescent="0.25">
      <c r="A1171" s="169">
        <v>43732</v>
      </c>
      <c r="B1171" s="115">
        <v>249.3</v>
      </c>
      <c r="C1171" s="115">
        <v>241.65</v>
      </c>
      <c r="D1171" s="115">
        <v>238.55</v>
      </c>
      <c r="E1171" s="115">
        <v>245</v>
      </c>
      <c r="F1171" s="115">
        <v>241.65</v>
      </c>
      <c r="G1171">
        <v>2603</v>
      </c>
      <c r="H1171" s="115"/>
      <c r="I1171" s="115"/>
      <c r="L1171" s="169">
        <v>43731</v>
      </c>
      <c r="M1171" s="115">
        <v>249.55</v>
      </c>
      <c r="N1171" s="115">
        <v>255</v>
      </c>
      <c r="O1171" s="115">
        <v>233.65</v>
      </c>
      <c r="P1171" s="115">
        <v>248.4</v>
      </c>
      <c r="Q1171" s="115">
        <v>249.55</v>
      </c>
      <c r="R1171">
        <v>80196</v>
      </c>
    </row>
    <row r="1172" spans="1:18" x14ac:dyDescent="0.25">
      <c r="A1172" s="169">
        <v>43733</v>
      </c>
      <c r="B1172" s="115">
        <v>245</v>
      </c>
      <c r="C1172" s="115">
        <v>239.15</v>
      </c>
      <c r="D1172" s="115">
        <v>235</v>
      </c>
      <c r="E1172" s="115">
        <v>241.35</v>
      </c>
      <c r="F1172" s="115">
        <v>239.15</v>
      </c>
      <c r="G1172">
        <v>1330</v>
      </c>
      <c r="H1172" s="115"/>
      <c r="I1172" s="115"/>
      <c r="L1172" s="169">
        <v>43732</v>
      </c>
      <c r="M1172" s="115">
        <v>241.95</v>
      </c>
      <c r="N1172" s="115">
        <v>250</v>
      </c>
      <c r="O1172" s="115">
        <v>236.35</v>
      </c>
      <c r="P1172" s="115">
        <v>249.55</v>
      </c>
      <c r="Q1172" s="115">
        <v>241.95</v>
      </c>
      <c r="R1172">
        <v>34717</v>
      </c>
    </row>
    <row r="1173" spans="1:18" x14ac:dyDescent="0.25">
      <c r="A1173" s="169">
        <v>43734</v>
      </c>
      <c r="B1173" s="115">
        <v>255</v>
      </c>
      <c r="C1173" s="115">
        <v>244.8</v>
      </c>
      <c r="D1173" s="115">
        <v>243</v>
      </c>
      <c r="E1173" s="115">
        <v>244.65</v>
      </c>
      <c r="F1173" s="115">
        <v>244.8</v>
      </c>
      <c r="G1173">
        <v>13545</v>
      </c>
      <c r="H1173" s="115"/>
      <c r="I1173" s="115"/>
      <c r="L1173" s="169">
        <v>43733</v>
      </c>
      <c r="M1173" s="115">
        <v>239.1</v>
      </c>
      <c r="N1173" s="115">
        <v>247.7</v>
      </c>
      <c r="O1173" s="115">
        <v>234.45</v>
      </c>
      <c r="P1173" s="115">
        <v>242.15</v>
      </c>
      <c r="Q1173" s="115">
        <v>239.1</v>
      </c>
      <c r="R1173">
        <v>12371</v>
      </c>
    </row>
    <row r="1174" spans="1:18" x14ac:dyDescent="0.25">
      <c r="A1174" s="169">
        <v>43735</v>
      </c>
      <c r="B1174" s="115">
        <v>249.4</v>
      </c>
      <c r="C1174" s="115">
        <v>242</v>
      </c>
      <c r="D1174" s="115">
        <v>241.95</v>
      </c>
      <c r="E1174" s="115">
        <v>249.4</v>
      </c>
      <c r="F1174" s="115">
        <v>242</v>
      </c>
      <c r="G1174">
        <v>1859</v>
      </c>
      <c r="H1174" s="115"/>
      <c r="I1174" s="115"/>
      <c r="L1174" s="169">
        <v>43734</v>
      </c>
      <c r="M1174" s="115">
        <v>245.4</v>
      </c>
      <c r="N1174" s="115">
        <v>255.7</v>
      </c>
      <c r="O1174" s="115">
        <v>243.25</v>
      </c>
      <c r="P1174" s="115">
        <v>245.3</v>
      </c>
      <c r="Q1174" s="115">
        <v>245.4</v>
      </c>
      <c r="R1174">
        <v>156305</v>
      </c>
    </row>
    <row r="1175" spans="1:18" x14ac:dyDescent="0.25">
      <c r="A1175" s="169">
        <v>43738</v>
      </c>
      <c r="B1175" s="115">
        <v>249</v>
      </c>
      <c r="C1175" s="115">
        <v>244.1</v>
      </c>
      <c r="D1175" s="115">
        <v>236.35</v>
      </c>
      <c r="E1175" s="115">
        <v>248.95</v>
      </c>
      <c r="F1175" s="115">
        <v>244.1</v>
      </c>
      <c r="G1175">
        <v>3333</v>
      </c>
      <c r="H1175" s="115"/>
      <c r="I1175" s="115"/>
      <c r="L1175" s="169">
        <v>43735</v>
      </c>
      <c r="M1175" s="115">
        <v>243.65</v>
      </c>
      <c r="N1175" s="115">
        <v>251</v>
      </c>
      <c r="O1175" s="115">
        <v>240.35</v>
      </c>
      <c r="P1175" s="115">
        <v>250</v>
      </c>
      <c r="Q1175" s="115">
        <v>243.65</v>
      </c>
      <c r="R1175">
        <v>17861</v>
      </c>
    </row>
    <row r="1176" spans="1:18" x14ac:dyDescent="0.25">
      <c r="A1176" s="169">
        <v>43739</v>
      </c>
      <c r="B1176" s="115">
        <v>249.85</v>
      </c>
      <c r="C1176" s="115">
        <v>229</v>
      </c>
      <c r="D1176" s="115">
        <v>225</v>
      </c>
      <c r="E1176" s="115">
        <v>249.85</v>
      </c>
      <c r="F1176" s="115">
        <v>229</v>
      </c>
      <c r="G1176">
        <v>3735</v>
      </c>
      <c r="H1176" s="115"/>
      <c r="I1176" s="115"/>
      <c r="L1176" s="169">
        <v>43738</v>
      </c>
      <c r="M1176" s="115">
        <v>244.15</v>
      </c>
      <c r="N1176" s="115">
        <v>250</v>
      </c>
      <c r="O1176" s="115">
        <v>236.85</v>
      </c>
      <c r="P1176" s="115">
        <v>245.9</v>
      </c>
      <c r="Q1176" s="115">
        <v>244.15</v>
      </c>
      <c r="R1176">
        <v>42506</v>
      </c>
    </row>
    <row r="1177" spans="1:18" x14ac:dyDescent="0.25">
      <c r="A1177" s="169">
        <v>43741</v>
      </c>
      <c r="B1177" s="115">
        <v>238.7</v>
      </c>
      <c r="C1177" s="115">
        <v>236.65</v>
      </c>
      <c r="D1177" s="115">
        <v>222.45</v>
      </c>
      <c r="E1177" s="115">
        <v>226.05</v>
      </c>
      <c r="F1177" s="115">
        <v>236.65</v>
      </c>
      <c r="G1177">
        <v>4082</v>
      </c>
      <c r="H1177" s="115"/>
      <c r="I1177" s="115"/>
      <c r="L1177" s="169">
        <v>43739</v>
      </c>
      <c r="M1177" s="115">
        <v>228.75</v>
      </c>
      <c r="N1177" s="115">
        <v>244.8</v>
      </c>
      <c r="O1177" s="115">
        <v>225.55</v>
      </c>
      <c r="P1177" s="115">
        <v>244.1</v>
      </c>
      <c r="Q1177" s="115">
        <v>228.75</v>
      </c>
      <c r="R1177">
        <v>57280</v>
      </c>
    </row>
    <row r="1178" spans="1:18" x14ac:dyDescent="0.25">
      <c r="A1178" s="169">
        <v>43742</v>
      </c>
      <c r="B1178" s="115">
        <v>239.75</v>
      </c>
      <c r="C1178" s="115">
        <v>229.2</v>
      </c>
      <c r="D1178" s="115">
        <v>228.8</v>
      </c>
      <c r="E1178" s="115">
        <v>236</v>
      </c>
      <c r="F1178" s="115">
        <v>229.2</v>
      </c>
      <c r="G1178">
        <v>463</v>
      </c>
      <c r="H1178" s="115"/>
      <c r="I1178" s="115"/>
      <c r="L1178" s="169">
        <v>43741</v>
      </c>
      <c r="M1178" s="115">
        <v>236.45</v>
      </c>
      <c r="N1178" s="115">
        <v>238</v>
      </c>
      <c r="O1178" s="115">
        <v>221</v>
      </c>
      <c r="P1178" s="115">
        <v>221.35</v>
      </c>
      <c r="Q1178" s="115">
        <v>236.45</v>
      </c>
      <c r="R1178">
        <v>36068</v>
      </c>
    </row>
    <row r="1179" spans="1:18" x14ac:dyDescent="0.25">
      <c r="A1179" s="169">
        <v>43745</v>
      </c>
      <c r="B1179" s="115">
        <v>234</v>
      </c>
      <c r="C1179" s="115">
        <v>227.75</v>
      </c>
      <c r="D1179" s="115">
        <v>225.6</v>
      </c>
      <c r="E1179" s="115">
        <v>229</v>
      </c>
      <c r="F1179" s="115">
        <v>227.75</v>
      </c>
      <c r="G1179">
        <v>2409</v>
      </c>
      <c r="H1179" s="115"/>
      <c r="I1179" s="115"/>
      <c r="L1179" s="169">
        <v>43742</v>
      </c>
      <c r="M1179" s="115">
        <v>229.75</v>
      </c>
      <c r="N1179" s="115">
        <v>236.45</v>
      </c>
      <c r="O1179" s="115">
        <v>229.05</v>
      </c>
      <c r="P1179" s="115">
        <v>236</v>
      </c>
      <c r="Q1179" s="115">
        <v>229.75</v>
      </c>
      <c r="R1179">
        <v>28068</v>
      </c>
    </row>
    <row r="1180" spans="1:18" x14ac:dyDescent="0.25">
      <c r="A1180" s="169">
        <v>43747</v>
      </c>
      <c r="B1180" s="115">
        <v>236.5</v>
      </c>
      <c r="C1180" s="115">
        <v>231.25</v>
      </c>
      <c r="D1180" s="115">
        <v>224.6</v>
      </c>
      <c r="E1180" s="115">
        <v>230</v>
      </c>
      <c r="F1180" s="115">
        <v>231.25</v>
      </c>
      <c r="G1180">
        <v>702</v>
      </c>
      <c r="H1180" s="115"/>
      <c r="I1180" s="115"/>
      <c r="L1180" s="169">
        <v>43745</v>
      </c>
      <c r="M1180" s="115">
        <v>227.5</v>
      </c>
      <c r="N1180" s="115">
        <v>235</v>
      </c>
      <c r="O1180" s="115">
        <v>225.25</v>
      </c>
      <c r="P1180" s="115">
        <v>232.6</v>
      </c>
      <c r="Q1180" s="115">
        <v>227.5</v>
      </c>
      <c r="R1180">
        <v>17935</v>
      </c>
    </row>
    <row r="1181" spans="1:18" x14ac:dyDescent="0.25">
      <c r="A1181" s="169">
        <v>43748</v>
      </c>
      <c r="B1181" s="115">
        <v>234.1</v>
      </c>
      <c r="C1181" s="115">
        <v>229.8</v>
      </c>
      <c r="D1181" s="115">
        <v>228</v>
      </c>
      <c r="E1181" s="115">
        <v>228</v>
      </c>
      <c r="F1181" s="115">
        <v>229.8</v>
      </c>
      <c r="G1181">
        <v>1123</v>
      </c>
      <c r="H1181" s="115"/>
      <c r="I1181" s="115"/>
      <c r="L1181" s="169">
        <v>43747</v>
      </c>
      <c r="M1181" s="115">
        <v>229.85</v>
      </c>
      <c r="N1181" s="115">
        <v>231.7</v>
      </c>
      <c r="O1181" s="115">
        <v>222.3</v>
      </c>
      <c r="P1181" s="115">
        <v>230</v>
      </c>
      <c r="Q1181" s="115">
        <v>229.85</v>
      </c>
      <c r="R1181">
        <v>13873</v>
      </c>
    </row>
    <row r="1182" spans="1:18" x14ac:dyDescent="0.25">
      <c r="A1182" s="169">
        <v>43749</v>
      </c>
      <c r="B1182" s="115">
        <v>232.45</v>
      </c>
      <c r="C1182" s="115">
        <v>227</v>
      </c>
      <c r="D1182" s="115">
        <v>226</v>
      </c>
      <c r="E1182" s="115">
        <v>232.45</v>
      </c>
      <c r="F1182" s="115">
        <v>227</v>
      </c>
      <c r="G1182">
        <v>3146</v>
      </c>
      <c r="H1182" s="115"/>
      <c r="I1182" s="115"/>
      <c r="L1182" s="169">
        <v>43748</v>
      </c>
      <c r="M1182" s="115">
        <v>230.25</v>
      </c>
      <c r="N1182" s="115">
        <v>233.05</v>
      </c>
      <c r="O1182" s="115">
        <v>227.7</v>
      </c>
      <c r="P1182" s="115">
        <v>228.55</v>
      </c>
      <c r="Q1182" s="115">
        <v>230.25</v>
      </c>
      <c r="R1182">
        <v>7849</v>
      </c>
    </row>
    <row r="1183" spans="1:18" x14ac:dyDescent="0.25">
      <c r="A1183" s="169">
        <v>43752</v>
      </c>
      <c r="B1183" s="115">
        <v>234</v>
      </c>
      <c r="C1183" s="115">
        <v>229.55</v>
      </c>
      <c r="D1183" s="115">
        <v>227</v>
      </c>
      <c r="E1183" s="115">
        <v>227.05</v>
      </c>
      <c r="F1183" s="115">
        <v>229.55</v>
      </c>
      <c r="G1183">
        <v>1363</v>
      </c>
      <c r="H1183" s="115"/>
      <c r="I1183" s="115"/>
      <c r="L1183" s="169">
        <v>43749</v>
      </c>
      <c r="M1183" s="115">
        <v>226.9</v>
      </c>
      <c r="N1183" s="115">
        <v>234</v>
      </c>
      <c r="O1183" s="115">
        <v>225</v>
      </c>
      <c r="P1183" s="115">
        <v>231.85</v>
      </c>
      <c r="Q1183" s="115">
        <v>226.9</v>
      </c>
      <c r="R1183">
        <v>13705</v>
      </c>
    </row>
    <row r="1184" spans="1:18" x14ac:dyDescent="0.25">
      <c r="A1184" s="169">
        <v>43753</v>
      </c>
      <c r="B1184" s="115">
        <v>238.5</v>
      </c>
      <c r="C1184" s="115">
        <v>236.75</v>
      </c>
      <c r="D1184" s="115">
        <v>231.55</v>
      </c>
      <c r="E1184" s="115">
        <v>232.8</v>
      </c>
      <c r="F1184" s="115">
        <v>236.75</v>
      </c>
      <c r="G1184">
        <v>4428</v>
      </c>
      <c r="H1184" s="115"/>
      <c r="I1184" s="115"/>
      <c r="L1184" s="169">
        <v>43752</v>
      </c>
      <c r="M1184" s="115">
        <v>230</v>
      </c>
      <c r="N1184" s="115">
        <v>233</v>
      </c>
      <c r="O1184" s="115">
        <v>227.25</v>
      </c>
      <c r="P1184" s="115">
        <v>228.85</v>
      </c>
      <c r="Q1184" s="115">
        <v>230</v>
      </c>
      <c r="R1184">
        <v>7027</v>
      </c>
    </row>
    <row r="1185" spans="1:18" x14ac:dyDescent="0.25">
      <c r="A1185" s="169">
        <v>43754</v>
      </c>
      <c r="B1185" s="115">
        <v>239.95</v>
      </c>
      <c r="C1185" s="115">
        <v>237.5</v>
      </c>
      <c r="D1185" s="115">
        <v>234.1</v>
      </c>
      <c r="E1185" s="115">
        <v>238</v>
      </c>
      <c r="F1185" s="115">
        <v>237.5</v>
      </c>
      <c r="G1185">
        <v>258</v>
      </c>
      <c r="H1185" s="115"/>
      <c r="I1185" s="115"/>
      <c r="L1185" s="169">
        <v>43753</v>
      </c>
      <c r="M1185" s="115">
        <v>236.45</v>
      </c>
      <c r="N1185" s="115">
        <v>237.7</v>
      </c>
      <c r="O1185" s="115">
        <v>230.95</v>
      </c>
      <c r="P1185" s="115">
        <v>230.95</v>
      </c>
      <c r="Q1185" s="115">
        <v>236.45</v>
      </c>
      <c r="R1185">
        <v>10732</v>
      </c>
    </row>
    <row r="1186" spans="1:18" x14ac:dyDescent="0.25">
      <c r="A1186" s="169">
        <v>43755</v>
      </c>
      <c r="B1186" s="115">
        <v>242.4</v>
      </c>
      <c r="C1186" s="115">
        <v>241.3</v>
      </c>
      <c r="D1186" s="115">
        <v>237</v>
      </c>
      <c r="E1186" s="115">
        <v>237</v>
      </c>
      <c r="F1186" s="115">
        <v>241.3</v>
      </c>
      <c r="G1186">
        <v>678</v>
      </c>
      <c r="H1186" s="115"/>
      <c r="I1186" s="115"/>
      <c r="L1186" s="169">
        <v>43754</v>
      </c>
      <c r="M1186" s="115">
        <v>236.1</v>
      </c>
      <c r="N1186" s="115">
        <v>240</v>
      </c>
      <c r="O1186" s="115">
        <v>234</v>
      </c>
      <c r="P1186" s="115">
        <v>239.7</v>
      </c>
      <c r="Q1186" s="115">
        <v>236.1</v>
      </c>
      <c r="R1186">
        <v>24860</v>
      </c>
    </row>
    <row r="1187" spans="1:18" x14ac:dyDescent="0.25">
      <c r="A1187" s="169">
        <v>43756</v>
      </c>
      <c r="B1187" s="115">
        <v>246.95</v>
      </c>
      <c r="C1187" s="115">
        <v>244.2</v>
      </c>
      <c r="D1187" s="115">
        <v>239</v>
      </c>
      <c r="E1187" s="115">
        <v>242.2</v>
      </c>
      <c r="F1187" s="115">
        <v>244.2</v>
      </c>
      <c r="G1187">
        <v>2657</v>
      </c>
      <c r="H1187" s="115"/>
      <c r="I1187" s="115"/>
      <c r="L1187" s="169">
        <v>43755</v>
      </c>
      <c r="M1187" s="115">
        <v>241.45</v>
      </c>
      <c r="N1187" s="115">
        <v>242.75</v>
      </c>
      <c r="O1187" s="115">
        <v>236.1</v>
      </c>
      <c r="P1187" s="115">
        <v>238.15</v>
      </c>
      <c r="Q1187" s="115">
        <v>241.45</v>
      </c>
      <c r="R1187">
        <v>26330</v>
      </c>
    </row>
    <row r="1188" spans="1:18" x14ac:dyDescent="0.25">
      <c r="A1188" s="169">
        <v>43760</v>
      </c>
      <c r="B1188" s="115">
        <v>249.95</v>
      </c>
      <c r="C1188" s="115">
        <v>247.2</v>
      </c>
      <c r="D1188" s="115">
        <v>245</v>
      </c>
      <c r="E1188" s="115">
        <v>249.95</v>
      </c>
      <c r="F1188" s="115">
        <v>247.2</v>
      </c>
      <c r="G1188">
        <v>3142</v>
      </c>
      <c r="H1188" s="115"/>
      <c r="I1188" s="115"/>
      <c r="L1188" s="169">
        <v>43756</v>
      </c>
      <c r="M1188" s="115">
        <v>245.25</v>
      </c>
      <c r="N1188" s="115">
        <v>247</v>
      </c>
      <c r="O1188" s="115">
        <v>242</v>
      </c>
      <c r="P1188" s="115">
        <v>242.8</v>
      </c>
      <c r="Q1188" s="115">
        <v>245.25</v>
      </c>
      <c r="R1188">
        <v>44023</v>
      </c>
    </row>
    <row r="1189" spans="1:18" x14ac:dyDescent="0.25">
      <c r="A1189" s="169">
        <v>43761</v>
      </c>
      <c r="B1189" s="115">
        <v>248</v>
      </c>
      <c r="C1189" s="115">
        <v>245.05</v>
      </c>
      <c r="D1189" s="115">
        <v>240.05</v>
      </c>
      <c r="E1189" s="115">
        <v>245.25</v>
      </c>
      <c r="F1189" s="115">
        <v>245.05</v>
      </c>
      <c r="G1189">
        <v>545</v>
      </c>
      <c r="H1189" s="115"/>
      <c r="I1189" s="115"/>
      <c r="L1189" s="169">
        <v>43760</v>
      </c>
      <c r="M1189" s="115">
        <v>247.5</v>
      </c>
      <c r="N1189" s="115">
        <v>249.85</v>
      </c>
      <c r="O1189" s="115">
        <v>244.2</v>
      </c>
      <c r="P1189" s="115">
        <v>249.85</v>
      </c>
      <c r="Q1189" s="115">
        <v>247.5</v>
      </c>
      <c r="R1189">
        <v>33131</v>
      </c>
    </row>
    <row r="1190" spans="1:18" x14ac:dyDescent="0.25">
      <c r="A1190" s="169">
        <v>43762</v>
      </c>
      <c r="B1190" s="115">
        <v>250.4</v>
      </c>
      <c r="C1190" s="115">
        <v>249.6</v>
      </c>
      <c r="D1190" s="115">
        <v>243.6</v>
      </c>
      <c r="E1190" s="115">
        <v>245.1</v>
      </c>
      <c r="F1190" s="115">
        <v>249.6</v>
      </c>
      <c r="G1190">
        <v>934</v>
      </c>
      <c r="H1190" s="115"/>
      <c r="I1190" s="115"/>
      <c r="L1190" s="169">
        <v>43761</v>
      </c>
      <c r="M1190" s="115">
        <v>243.4</v>
      </c>
      <c r="N1190" s="115">
        <v>247.5</v>
      </c>
      <c r="O1190" s="115">
        <v>240.15</v>
      </c>
      <c r="P1190" s="115">
        <v>247.5</v>
      </c>
      <c r="Q1190" s="115">
        <v>243.4</v>
      </c>
      <c r="R1190">
        <v>19922</v>
      </c>
    </row>
    <row r="1191" spans="1:18" x14ac:dyDescent="0.25">
      <c r="A1191" s="169">
        <v>43763</v>
      </c>
      <c r="B1191" s="115">
        <v>253</v>
      </c>
      <c r="C1191" s="115">
        <v>249.45</v>
      </c>
      <c r="D1191" s="115">
        <v>242.15</v>
      </c>
      <c r="E1191" s="115">
        <v>248</v>
      </c>
      <c r="F1191" s="115">
        <v>249.45</v>
      </c>
      <c r="G1191">
        <v>16016</v>
      </c>
      <c r="H1191" s="115"/>
      <c r="I1191" s="115"/>
      <c r="L1191" s="169">
        <v>43762</v>
      </c>
      <c r="M1191" s="115">
        <v>249.05</v>
      </c>
      <c r="N1191" s="115">
        <v>250</v>
      </c>
      <c r="O1191" s="115">
        <v>243.35</v>
      </c>
      <c r="P1191" s="115">
        <v>247.95</v>
      </c>
      <c r="Q1191" s="115">
        <v>249.05</v>
      </c>
      <c r="R1191">
        <v>33740</v>
      </c>
    </row>
    <row r="1192" spans="1:18" x14ac:dyDescent="0.25">
      <c r="A1192" s="169">
        <v>43765</v>
      </c>
      <c r="B1192" s="115">
        <v>260.5</v>
      </c>
      <c r="C1192" s="115">
        <v>257.8</v>
      </c>
      <c r="D1192" s="115">
        <v>254</v>
      </c>
      <c r="E1192" s="115">
        <v>254</v>
      </c>
      <c r="F1192" s="115">
        <v>257.8</v>
      </c>
      <c r="G1192">
        <v>4843</v>
      </c>
      <c r="H1192" s="115"/>
      <c r="I1192" s="115"/>
      <c r="L1192" s="169">
        <v>43763</v>
      </c>
      <c r="M1192" s="115">
        <v>249.75</v>
      </c>
      <c r="N1192" s="115">
        <v>254</v>
      </c>
      <c r="O1192" s="115">
        <v>241.5</v>
      </c>
      <c r="P1192" s="115">
        <v>249.5</v>
      </c>
      <c r="Q1192" s="115">
        <v>249.75</v>
      </c>
      <c r="R1192">
        <v>226118</v>
      </c>
    </row>
    <row r="1193" spans="1:18" x14ac:dyDescent="0.25">
      <c r="A1193" s="169">
        <v>43767</v>
      </c>
      <c r="B1193" s="115">
        <v>264</v>
      </c>
      <c r="C1193" s="115">
        <v>260.2</v>
      </c>
      <c r="D1193" s="115">
        <v>258</v>
      </c>
      <c r="E1193" s="115">
        <v>260.35000000000002</v>
      </c>
      <c r="F1193" s="115">
        <v>260.2</v>
      </c>
      <c r="G1193">
        <v>2050</v>
      </c>
      <c r="H1193" s="115"/>
      <c r="I1193" s="115"/>
      <c r="L1193" s="169">
        <v>43765</v>
      </c>
      <c r="M1193" s="115">
        <v>257.8</v>
      </c>
      <c r="N1193" s="115">
        <v>260.5</v>
      </c>
      <c r="O1193" s="115">
        <v>255.4</v>
      </c>
      <c r="P1193" s="115">
        <v>256.10000000000002</v>
      </c>
      <c r="Q1193" s="115">
        <v>257.8</v>
      </c>
      <c r="R1193">
        <v>33564</v>
      </c>
    </row>
    <row r="1194" spans="1:18" x14ac:dyDescent="0.25">
      <c r="A1194" s="169">
        <v>43768</v>
      </c>
      <c r="B1194" s="115">
        <v>260.2</v>
      </c>
      <c r="C1194" s="115">
        <v>256.75</v>
      </c>
      <c r="D1194" s="115">
        <v>255.5</v>
      </c>
      <c r="E1194" s="115">
        <v>260.2</v>
      </c>
      <c r="F1194" s="115">
        <v>256.75</v>
      </c>
      <c r="G1194">
        <v>5993</v>
      </c>
      <c r="H1194" s="115"/>
      <c r="I1194" s="115"/>
      <c r="L1194" s="169">
        <v>43767</v>
      </c>
      <c r="M1194" s="115">
        <v>261.75</v>
      </c>
      <c r="N1194" s="115">
        <v>268.7</v>
      </c>
      <c r="O1194" s="115">
        <v>258.14999999999998</v>
      </c>
      <c r="P1194" s="115">
        <v>268.7</v>
      </c>
      <c r="Q1194" s="115">
        <v>261.75</v>
      </c>
      <c r="R1194">
        <v>38960</v>
      </c>
    </row>
    <row r="1195" spans="1:18" x14ac:dyDescent="0.25">
      <c r="A1195" s="169">
        <v>43769</v>
      </c>
      <c r="B1195" s="115">
        <v>261.60000000000002</v>
      </c>
      <c r="C1195" s="115">
        <v>255.05</v>
      </c>
      <c r="D1195" s="115">
        <v>249</v>
      </c>
      <c r="E1195" s="115">
        <v>256.89999999999998</v>
      </c>
      <c r="F1195" s="115">
        <v>255.05</v>
      </c>
      <c r="G1195">
        <v>2762</v>
      </c>
      <c r="H1195" s="115"/>
      <c r="I1195" s="115"/>
      <c r="L1195" s="169">
        <v>43768</v>
      </c>
      <c r="M1195" s="115">
        <v>255.9</v>
      </c>
      <c r="N1195" s="115">
        <v>266.2</v>
      </c>
      <c r="O1195" s="115">
        <v>255.05</v>
      </c>
      <c r="P1195" s="115">
        <v>264.8</v>
      </c>
      <c r="Q1195" s="115">
        <v>255.9</v>
      </c>
      <c r="R1195">
        <v>25549</v>
      </c>
    </row>
    <row r="1196" spans="1:18" x14ac:dyDescent="0.25">
      <c r="A1196" s="169">
        <v>43770</v>
      </c>
      <c r="B1196" s="115">
        <v>255.8</v>
      </c>
      <c r="C1196" s="115">
        <v>251.6</v>
      </c>
      <c r="D1196" s="115">
        <v>247.85</v>
      </c>
      <c r="E1196" s="115">
        <v>254</v>
      </c>
      <c r="F1196" s="115">
        <v>251.6</v>
      </c>
      <c r="G1196">
        <v>2389</v>
      </c>
      <c r="H1196" s="115"/>
      <c r="I1196" s="115"/>
      <c r="L1196" s="169">
        <v>43769</v>
      </c>
      <c r="M1196" s="115">
        <v>255.15</v>
      </c>
      <c r="N1196" s="115">
        <v>260.75</v>
      </c>
      <c r="O1196" s="115">
        <v>254.3</v>
      </c>
      <c r="P1196" s="115">
        <v>257.5</v>
      </c>
      <c r="Q1196" s="115">
        <v>255.15</v>
      </c>
      <c r="R1196">
        <v>47114</v>
      </c>
    </row>
    <row r="1197" spans="1:18" x14ac:dyDescent="0.25">
      <c r="A1197" s="169">
        <v>43773</v>
      </c>
      <c r="B1197" s="115">
        <v>252.7</v>
      </c>
      <c r="C1197" s="115">
        <v>247.35</v>
      </c>
      <c r="D1197" s="115">
        <v>245.5</v>
      </c>
      <c r="E1197" s="115">
        <v>252.7</v>
      </c>
      <c r="F1197" s="115">
        <v>247.35</v>
      </c>
      <c r="G1197">
        <v>1550</v>
      </c>
      <c r="H1197" s="115"/>
      <c r="I1197" s="115"/>
      <c r="L1197" s="169">
        <v>43770</v>
      </c>
      <c r="M1197" s="115">
        <v>251.25</v>
      </c>
      <c r="N1197" s="115">
        <v>258.10000000000002</v>
      </c>
      <c r="O1197" s="115">
        <v>247.5</v>
      </c>
      <c r="P1197" s="115">
        <v>257.95</v>
      </c>
      <c r="Q1197" s="115">
        <v>251.25</v>
      </c>
      <c r="R1197">
        <v>22566</v>
      </c>
    </row>
    <row r="1198" spans="1:18" x14ac:dyDescent="0.25">
      <c r="A1198" s="169">
        <v>43774</v>
      </c>
      <c r="B1198" s="115">
        <v>249.5</v>
      </c>
      <c r="C1198" s="115">
        <v>245</v>
      </c>
      <c r="D1198" s="115">
        <v>244.25</v>
      </c>
      <c r="E1198" s="115">
        <v>247.4</v>
      </c>
      <c r="F1198" s="115">
        <v>245</v>
      </c>
      <c r="G1198">
        <v>267</v>
      </c>
      <c r="H1198" s="115"/>
      <c r="I1198" s="115"/>
      <c r="L1198" s="169">
        <v>43773</v>
      </c>
      <c r="M1198" s="115">
        <v>246.95</v>
      </c>
      <c r="N1198" s="115">
        <v>254.75</v>
      </c>
      <c r="O1198" s="115">
        <v>245</v>
      </c>
      <c r="P1198" s="115">
        <v>251.25</v>
      </c>
      <c r="Q1198" s="115">
        <v>246.95</v>
      </c>
      <c r="R1198">
        <v>22839</v>
      </c>
    </row>
    <row r="1199" spans="1:18" x14ac:dyDescent="0.25">
      <c r="A1199" s="169">
        <v>43775</v>
      </c>
      <c r="B1199" s="115">
        <v>250</v>
      </c>
      <c r="C1199" s="115">
        <v>249.8</v>
      </c>
      <c r="D1199" s="115">
        <v>247</v>
      </c>
      <c r="E1199" s="115">
        <v>247.15</v>
      </c>
      <c r="F1199" s="115">
        <v>249.8</v>
      </c>
      <c r="G1199">
        <v>543</v>
      </c>
      <c r="H1199" s="115"/>
      <c r="I1199" s="115"/>
      <c r="L1199" s="169">
        <v>43774</v>
      </c>
      <c r="M1199" s="115">
        <v>245.5</v>
      </c>
      <c r="N1199" s="115">
        <v>250</v>
      </c>
      <c r="O1199" s="115">
        <v>245</v>
      </c>
      <c r="P1199" s="115">
        <v>246.95</v>
      </c>
      <c r="Q1199" s="115">
        <v>245.5</v>
      </c>
      <c r="R1199">
        <v>12935</v>
      </c>
    </row>
    <row r="1200" spans="1:18" x14ac:dyDescent="0.25">
      <c r="A1200" s="169">
        <v>43776</v>
      </c>
      <c r="B1200" s="115">
        <v>250.9</v>
      </c>
      <c r="C1200" s="115">
        <v>246.2</v>
      </c>
      <c r="D1200" s="115">
        <v>246.2</v>
      </c>
      <c r="E1200" s="115">
        <v>250.9</v>
      </c>
      <c r="F1200" s="115">
        <v>246.2</v>
      </c>
      <c r="G1200">
        <v>555</v>
      </c>
      <c r="H1200" s="115"/>
      <c r="I1200" s="115"/>
      <c r="L1200" s="169">
        <v>43775</v>
      </c>
      <c r="M1200" s="115">
        <v>249.25</v>
      </c>
      <c r="N1200" s="115">
        <v>250.05</v>
      </c>
      <c r="O1200" s="115">
        <v>245.1</v>
      </c>
      <c r="P1200" s="115">
        <v>245.1</v>
      </c>
      <c r="Q1200" s="115">
        <v>249.25</v>
      </c>
      <c r="R1200">
        <v>9098</v>
      </c>
    </row>
    <row r="1201" spans="1:18" x14ac:dyDescent="0.25">
      <c r="A1201" s="169">
        <v>43777</v>
      </c>
      <c r="B1201" s="115">
        <v>254.95</v>
      </c>
      <c r="C1201" s="115">
        <v>250</v>
      </c>
      <c r="D1201" s="115">
        <v>250</v>
      </c>
      <c r="E1201" s="115">
        <v>251</v>
      </c>
      <c r="F1201" s="115">
        <v>250</v>
      </c>
      <c r="G1201">
        <v>570</v>
      </c>
      <c r="H1201" s="115"/>
      <c r="I1201" s="115"/>
      <c r="L1201" s="169">
        <v>43776</v>
      </c>
      <c r="M1201" s="115">
        <v>247.15</v>
      </c>
      <c r="N1201" s="115">
        <v>254.6</v>
      </c>
      <c r="O1201" s="115">
        <v>246.5</v>
      </c>
      <c r="P1201" s="115">
        <v>254.6</v>
      </c>
      <c r="Q1201" s="115">
        <v>247.15</v>
      </c>
      <c r="R1201">
        <v>11801</v>
      </c>
    </row>
    <row r="1202" spans="1:18" x14ac:dyDescent="0.25">
      <c r="A1202" s="169">
        <v>43780</v>
      </c>
      <c r="B1202" s="115">
        <v>251.1</v>
      </c>
      <c r="C1202" s="115">
        <v>248.4</v>
      </c>
      <c r="D1202" s="115">
        <v>248.4</v>
      </c>
      <c r="E1202" s="115">
        <v>250</v>
      </c>
      <c r="F1202" s="115">
        <v>248.4</v>
      </c>
      <c r="G1202">
        <v>355</v>
      </c>
      <c r="H1202" s="115"/>
      <c r="I1202" s="115"/>
      <c r="L1202" s="169">
        <v>43777</v>
      </c>
      <c r="M1202" s="115">
        <v>251.9</v>
      </c>
      <c r="N1202" s="115">
        <v>255.05</v>
      </c>
      <c r="O1202" s="115">
        <v>247</v>
      </c>
      <c r="P1202" s="115">
        <v>248.95</v>
      </c>
      <c r="Q1202" s="115">
        <v>251.9</v>
      </c>
      <c r="R1202">
        <v>19167</v>
      </c>
    </row>
    <row r="1203" spans="1:18" x14ac:dyDescent="0.25">
      <c r="A1203" s="169">
        <v>43782</v>
      </c>
      <c r="B1203" s="115">
        <v>252.95</v>
      </c>
      <c r="C1203" s="115">
        <v>248.1</v>
      </c>
      <c r="D1203" s="115">
        <v>246</v>
      </c>
      <c r="E1203" s="115">
        <v>252.95</v>
      </c>
      <c r="F1203" s="115">
        <v>248.1</v>
      </c>
      <c r="G1203">
        <v>426</v>
      </c>
      <c r="H1203" s="115"/>
      <c r="I1203" s="115"/>
      <c r="L1203" s="169">
        <v>43780</v>
      </c>
      <c r="M1203" s="115">
        <v>248.55</v>
      </c>
      <c r="N1203" s="115">
        <v>254.9</v>
      </c>
      <c r="O1203" s="115">
        <v>248</v>
      </c>
      <c r="P1203" s="115">
        <v>254.9</v>
      </c>
      <c r="Q1203" s="115">
        <v>248.55</v>
      </c>
      <c r="R1203">
        <v>8925</v>
      </c>
    </row>
    <row r="1204" spans="1:18" x14ac:dyDescent="0.25">
      <c r="A1204" s="169">
        <v>43783</v>
      </c>
      <c r="B1204" s="115">
        <v>263</v>
      </c>
      <c r="C1204" s="115">
        <v>248.35</v>
      </c>
      <c r="D1204" s="115">
        <v>235</v>
      </c>
      <c r="E1204" s="115">
        <v>241</v>
      </c>
      <c r="F1204" s="115">
        <v>248.35</v>
      </c>
      <c r="G1204">
        <v>901</v>
      </c>
      <c r="H1204" s="115"/>
      <c r="I1204" s="115"/>
      <c r="L1204" s="169">
        <v>43782</v>
      </c>
      <c r="M1204" s="115">
        <v>248.25</v>
      </c>
      <c r="N1204" s="115">
        <v>250.45</v>
      </c>
      <c r="O1204" s="115">
        <v>247.7</v>
      </c>
      <c r="P1204" s="115">
        <v>248.55</v>
      </c>
      <c r="Q1204" s="115">
        <v>248.25</v>
      </c>
      <c r="R1204">
        <v>13203</v>
      </c>
    </row>
    <row r="1205" spans="1:18" x14ac:dyDescent="0.25">
      <c r="A1205" s="169">
        <v>43784</v>
      </c>
      <c r="B1205" s="115">
        <v>250.7</v>
      </c>
      <c r="C1205" s="115">
        <v>250</v>
      </c>
      <c r="D1205" s="115">
        <v>247.85</v>
      </c>
      <c r="E1205" s="115">
        <v>249.25</v>
      </c>
      <c r="F1205" s="115">
        <v>250</v>
      </c>
      <c r="G1205">
        <v>961</v>
      </c>
      <c r="H1205" s="115"/>
      <c r="I1205" s="115"/>
      <c r="L1205" s="169">
        <v>43783</v>
      </c>
      <c r="M1205" s="115">
        <v>248.45</v>
      </c>
      <c r="N1205" s="115">
        <v>249.85</v>
      </c>
      <c r="O1205" s="115">
        <v>247.25</v>
      </c>
      <c r="P1205" s="115">
        <v>248.95</v>
      </c>
      <c r="Q1205" s="115">
        <v>248.45</v>
      </c>
      <c r="R1205">
        <v>10648</v>
      </c>
    </row>
    <row r="1206" spans="1:18" x14ac:dyDescent="0.25">
      <c r="A1206" s="169">
        <v>43787</v>
      </c>
      <c r="B1206" s="115">
        <v>247.6</v>
      </c>
      <c r="C1206" s="115">
        <v>243.5</v>
      </c>
      <c r="D1206" s="115">
        <v>243.5</v>
      </c>
      <c r="E1206" s="115">
        <v>247</v>
      </c>
      <c r="F1206" s="115">
        <v>243.5</v>
      </c>
      <c r="G1206">
        <v>837</v>
      </c>
      <c r="H1206" s="115"/>
      <c r="I1206" s="115"/>
      <c r="L1206" s="169">
        <v>43784</v>
      </c>
      <c r="M1206" s="115">
        <v>248.05</v>
      </c>
      <c r="N1206" s="115">
        <v>252</v>
      </c>
      <c r="O1206" s="115">
        <v>247.1</v>
      </c>
      <c r="P1206" s="115">
        <v>252</v>
      </c>
      <c r="Q1206" s="115">
        <v>248.05</v>
      </c>
      <c r="R1206">
        <v>15797</v>
      </c>
    </row>
    <row r="1207" spans="1:18" x14ac:dyDescent="0.25">
      <c r="A1207" s="169">
        <v>43788</v>
      </c>
      <c r="B1207" s="115">
        <v>247.5</v>
      </c>
      <c r="C1207" s="115">
        <v>236.3</v>
      </c>
      <c r="D1207" s="115">
        <v>235.3</v>
      </c>
      <c r="E1207" s="115">
        <v>247.5</v>
      </c>
      <c r="F1207" s="115">
        <v>236.3</v>
      </c>
      <c r="G1207">
        <v>2601</v>
      </c>
      <c r="H1207" s="115"/>
      <c r="I1207" s="115"/>
      <c r="L1207" s="169">
        <v>43787</v>
      </c>
      <c r="M1207" s="115">
        <v>243.9</v>
      </c>
      <c r="N1207" s="115">
        <v>249.45</v>
      </c>
      <c r="O1207" s="115">
        <v>242.8</v>
      </c>
      <c r="P1207" s="115">
        <v>248.35</v>
      </c>
      <c r="Q1207" s="115">
        <v>243.9</v>
      </c>
      <c r="R1207">
        <v>31140</v>
      </c>
    </row>
    <row r="1208" spans="1:18" x14ac:dyDescent="0.25">
      <c r="A1208" s="169">
        <v>43789</v>
      </c>
      <c r="B1208" s="115">
        <v>236.35</v>
      </c>
      <c r="C1208" s="115">
        <v>233.6</v>
      </c>
      <c r="D1208" s="115">
        <v>232.3</v>
      </c>
      <c r="E1208" s="115">
        <v>236.3</v>
      </c>
      <c r="F1208" s="115">
        <v>233.6</v>
      </c>
      <c r="G1208">
        <v>3452</v>
      </c>
      <c r="H1208" s="115"/>
      <c r="I1208" s="115"/>
      <c r="L1208" s="169">
        <v>43788</v>
      </c>
      <c r="M1208" s="115">
        <v>235.65</v>
      </c>
      <c r="N1208" s="115">
        <v>247.9</v>
      </c>
      <c r="O1208" s="115">
        <v>235.1</v>
      </c>
      <c r="P1208" s="115">
        <v>247.9</v>
      </c>
      <c r="Q1208" s="115">
        <v>235.65</v>
      </c>
      <c r="R1208">
        <v>26715</v>
      </c>
    </row>
    <row r="1209" spans="1:18" x14ac:dyDescent="0.25">
      <c r="A1209" s="169">
        <v>43790</v>
      </c>
      <c r="B1209" s="115">
        <v>239</v>
      </c>
      <c r="C1209" s="115">
        <v>237.25</v>
      </c>
      <c r="D1209" s="115">
        <v>231.05</v>
      </c>
      <c r="E1209" s="115">
        <v>233.55</v>
      </c>
      <c r="F1209" s="115">
        <v>237.25</v>
      </c>
      <c r="G1209">
        <v>386</v>
      </c>
      <c r="H1209" s="115"/>
      <c r="I1209" s="115"/>
      <c r="L1209" s="169">
        <v>43789</v>
      </c>
      <c r="M1209" s="115">
        <v>233.5</v>
      </c>
      <c r="N1209" s="115">
        <v>236.25</v>
      </c>
      <c r="O1209" s="115">
        <v>231.75</v>
      </c>
      <c r="P1209" s="115">
        <v>236.25</v>
      </c>
      <c r="Q1209" s="115">
        <v>233.5</v>
      </c>
      <c r="R1209">
        <v>15112</v>
      </c>
    </row>
    <row r="1210" spans="1:18" x14ac:dyDescent="0.25">
      <c r="A1210" s="169">
        <v>43791</v>
      </c>
      <c r="B1210" s="115">
        <v>241.85</v>
      </c>
      <c r="C1210" s="115">
        <v>241.75</v>
      </c>
      <c r="D1210" s="115">
        <v>233.05</v>
      </c>
      <c r="E1210" s="115">
        <v>233.05</v>
      </c>
      <c r="F1210" s="115">
        <v>241.75</v>
      </c>
      <c r="G1210">
        <v>927</v>
      </c>
      <c r="H1210" s="115"/>
      <c r="I1210" s="115"/>
      <c r="L1210" s="169">
        <v>43790</v>
      </c>
      <c r="M1210" s="115">
        <v>236</v>
      </c>
      <c r="N1210" s="115">
        <v>238.1</v>
      </c>
      <c r="O1210" s="115">
        <v>228.95</v>
      </c>
      <c r="P1210" s="115">
        <v>233</v>
      </c>
      <c r="Q1210" s="115">
        <v>236</v>
      </c>
      <c r="R1210">
        <v>10403</v>
      </c>
    </row>
    <row r="1211" spans="1:18" x14ac:dyDescent="0.25">
      <c r="A1211" s="169">
        <v>43794</v>
      </c>
      <c r="B1211" s="115">
        <v>244.2</v>
      </c>
      <c r="C1211" s="115">
        <v>243.2</v>
      </c>
      <c r="D1211" s="115">
        <v>242</v>
      </c>
      <c r="E1211" s="115">
        <v>244</v>
      </c>
      <c r="F1211" s="115">
        <v>243.2</v>
      </c>
      <c r="G1211">
        <v>765</v>
      </c>
      <c r="H1211" s="115"/>
      <c r="I1211" s="115"/>
      <c r="L1211" s="169">
        <v>43791</v>
      </c>
      <c r="M1211" s="115">
        <v>241.15</v>
      </c>
      <c r="N1211" s="115">
        <v>242.05</v>
      </c>
      <c r="O1211" s="115">
        <v>234.8</v>
      </c>
      <c r="P1211" s="115">
        <v>238</v>
      </c>
      <c r="Q1211" s="115">
        <v>241.15</v>
      </c>
      <c r="R1211">
        <v>9788</v>
      </c>
    </row>
    <row r="1212" spans="1:18" x14ac:dyDescent="0.25">
      <c r="A1212" s="169">
        <v>43795</v>
      </c>
      <c r="B1212" s="115">
        <v>254</v>
      </c>
      <c r="C1212" s="115">
        <v>251.65</v>
      </c>
      <c r="D1212" s="115">
        <v>249.75</v>
      </c>
      <c r="E1212" s="115">
        <v>250.1</v>
      </c>
      <c r="F1212" s="115">
        <v>251.65</v>
      </c>
      <c r="G1212">
        <v>4588</v>
      </c>
      <c r="H1212" s="115"/>
      <c r="I1212" s="115"/>
      <c r="L1212" s="169">
        <v>43794</v>
      </c>
      <c r="M1212" s="115">
        <v>245.7</v>
      </c>
      <c r="N1212" s="115">
        <v>248</v>
      </c>
      <c r="O1212" s="115">
        <v>241.65</v>
      </c>
      <c r="P1212" s="115">
        <v>241.65</v>
      </c>
      <c r="Q1212" s="115">
        <v>245.7</v>
      </c>
      <c r="R1212">
        <v>14447</v>
      </c>
    </row>
    <row r="1213" spans="1:18" x14ac:dyDescent="0.25">
      <c r="A1213" s="169">
        <v>43796</v>
      </c>
      <c r="B1213" s="115">
        <v>251</v>
      </c>
      <c r="C1213" s="115">
        <v>250.9</v>
      </c>
      <c r="D1213" s="115">
        <v>246.25</v>
      </c>
      <c r="E1213" s="115">
        <v>248.75</v>
      </c>
      <c r="F1213" s="115">
        <v>250.9</v>
      </c>
      <c r="G1213">
        <v>2459</v>
      </c>
      <c r="H1213" s="115"/>
      <c r="I1213" s="115"/>
      <c r="L1213" s="169">
        <v>43795</v>
      </c>
      <c r="M1213" s="115">
        <v>251.85</v>
      </c>
      <c r="N1213" s="115">
        <v>254.75</v>
      </c>
      <c r="O1213" s="115">
        <v>246</v>
      </c>
      <c r="P1213" s="115">
        <v>246</v>
      </c>
      <c r="Q1213" s="115">
        <v>251.85</v>
      </c>
      <c r="R1213">
        <v>26942</v>
      </c>
    </row>
    <row r="1214" spans="1:18" x14ac:dyDescent="0.25">
      <c r="A1214" s="169">
        <v>43797</v>
      </c>
      <c r="B1214" s="115">
        <v>251.8</v>
      </c>
      <c r="C1214" s="115">
        <v>245.25</v>
      </c>
      <c r="D1214" s="115">
        <v>242.3</v>
      </c>
      <c r="E1214" s="115">
        <v>245.2</v>
      </c>
      <c r="F1214" s="115">
        <v>245.25</v>
      </c>
      <c r="G1214">
        <v>301</v>
      </c>
      <c r="H1214" s="115"/>
      <c r="I1214" s="115"/>
      <c r="L1214" s="169">
        <v>43796</v>
      </c>
      <c r="M1214" s="115">
        <v>249.65</v>
      </c>
      <c r="N1214" s="115">
        <v>252.7</v>
      </c>
      <c r="O1214" s="115">
        <v>246.2</v>
      </c>
      <c r="P1214" s="115">
        <v>252.7</v>
      </c>
      <c r="Q1214" s="115">
        <v>249.65</v>
      </c>
      <c r="R1214">
        <v>12989</v>
      </c>
    </row>
    <row r="1215" spans="1:18" x14ac:dyDescent="0.25">
      <c r="A1215" s="169">
        <v>43798</v>
      </c>
      <c r="B1215" s="115">
        <v>246.5</v>
      </c>
      <c r="C1215" s="115">
        <v>246.5</v>
      </c>
      <c r="D1215" s="115">
        <v>244.25</v>
      </c>
      <c r="E1215" s="115">
        <v>244.6</v>
      </c>
      <c r="F1215" s="115">
        <v>246.5</v>
      </c>
      <c r="G1215">
        <v>192</v>
      </c>
      <c r="H1215" s="115"/>
      <c r="I1215" s="115"/>
      <c r="L1215" s="169">
        <v>43797</v>
      </c>
      <c r="M1215" s="115">
        <v>243.95</v>
      </c>
      <c r="N1215" s="115">
        <v>250</v>
      </c>
      <c r="O1215" s="115">
        <v>243</v>
      </c>
      <c r="P1215" s="115">
        <v>247.35</v>
      </c>
      <c r="Q1215" s="115">
        <v>243.95</v>
      </c>
      <c r="R1215">
        <v>12707</v>
      </c>
    </row>
    <row r="1216" spans="1:18" x14ac:dyDescent="0.25">
      <c r="A1216" s="169">
        <v>43801</v>
      </c>
      <c r="B1216" s="115">
        <v>252.9</v>
      </c>
      <c r="C1216" s="115">
        <v>246.7</v>
      </c>
      <c r="D1216" s="115">
        <v>246.7</v>
      </c>
      <c r="E1216" s="115">
        <v>252.9</v>
      </c>
      <c r="F1216" s="115">
        <v>246.7</v>
      </c>
      <c r="G1216">
        <v>2332</v>
      </c>
      <c r="H1216" s="115"/>
      <c r="I1216" s="115"/>
      <c r="L1216" s="169">
        <v>43798</v>
      </c>
      <c r="M1216" s="115">
        <v>247.5</v>
      </c>
      <c r="N1216" s="115">
        <v>248.9</v>
      </c>
      <c r="O1216" s="115">
        <v>243</v>
      </c>
      <c r="P1216" s="115">
        <v>243</v>
      </c>
      <c r="Q1216" s="115">
        <v>247.5</v>
      </c>
      <c r="R1216">
        <v>5972</v>
      </c>
    </row>
    <row r="1217" spans="1:18" x14ac:dyDescent="0.25">
      <c r="A1217" s="169">
        <v>43802</v>
      </c>
      <c r="B1217" s="115">
        <v>248.6</v>
      </c>
      <c r="C1217" s="115">
        <v>247.95</v>
      </c>
      <c r="D1217" s="115">
        <v>247</v>
      </c>
      <c r="E1217" s="115">
        <v>247.25</v>
      </c>
      <c r="F1217" s="115">
        <v>247.95</v>
      </c>
      <c r="G1217">
        <v>112</v>
      </c>
      <c r="H1217" s="115"/>
      <c r="I1217" s="115"/>
      <c r="L1217" s="169">
        <v>43801</v>
      </c>
      <c r="M1217" s="115">
        <v>248.3</v>
      </c>
      <c r="N1217" s="115">
        <v>255.9</v>
      </c>
      <c r="O1217" s="115">
        <v>247</v>
      </c>
      <c r="P1217" s="115">
        <v>255</v>
      </c>
      <c r="Q1217" s="115">
        <v>248.3</v>
      </c>
      <c r="R1217">
        <v>14196</v>
      </c>
    </row>
    <row r="1218" spans="1:18" x14ac:dyDescent="0.25">
      <c r="A1218" s="169">
        <v>43803</v>
      </c>
      <c r="B1218" s="115">
        <v>250.45</v>
      </c>
      <c r="C1218" s="115">
        <v>248.8</v>
      </c>
      <c r="D1218" s="115">
        <v>247.75</v>
      </c>
      <c r="E1218" s="115">
        <v>248.4</v>
      </c>
      <c r="F1218" s="115">
        <v>248.8</v>
      </c>
      <c r="G1218">
        <v>705</v>
      </c>
      <c r="H1218" s="115"/>
      <c r="I1218" s="115"/>
      <c r="L1218" s="169">
        <v>43802</v>
      </c>
      <c r="M1218" s="115">
        <v>248.6</v>
      </c>
      <c r="N1218" s="115">
        <v>249.95</v>
      </c>
      <c r="O1218" s="115">
        <v>243.55</v>
      </c>
      <c r="P1218" s="115">
        <v>247</v>
      </c>
      <c r="Q1218" s="115">
        <v>248.6</v>
      </c>
      <c r="R1218">
        <v>8964</v>
      </c>
    </row>
    <row r="1219" spans="1:18" x14ac:dyDescent="0.25">
      <c r="A1219" s="169">
        <v>43804</v>
      </c>
      <c r="B1219" s="115">
        <v>251.5</v>
      </c>
      <c r="C1219" s="115">
        <v>250.05</v>
      </c>
      <c r="D1219" s="115">
        <v>248.3</v>
      </c>
      <c r="E1219" s="115">
        <v>248.75</v>
      </c>
      <c r="F1219" s="115">
        <v>250.05</v>
      </c>
      <c r="G1219">
        <v>674</v>
      </c>
      <c r="H1219" s="115"/>
      <c r="I1219" s="115"/>
      <c r="L1219" s="169">
        <v>43803</v>
      </c>
      <c r="M1219" s="115">
        <v>249.35</v>
      </c>
      <c r="N1219" s="115">
        <v>250.6</v>
      </c>
      <c r="O1219" s="115">
        <v>246.5</v>
      </c>
      <c r="P1219" s="115">
        <v>248.75</v>
      </c>
      <c r="Q1219" s="115">
        <v>249.35</v>
      </c>
      <c r="R1219">
        <v>12927</v>
      </c>
    </row>
    <row r="1220" spans="1:18" x14ac:dyDescent="0.25">
      <c r="A1220" s="169">
        <v>43805</v>
      </c>
      <c r="B1220" s="115">
        <v>253</v>
      </c>
      <c r="C1220" s="115">
        <v>251.8</v>
      </c>
      <c r="D1220" s="115">
        <v>248.1</v>
      </c>
      <c r="E1220" s="115">
        <v>249</v>
      </c>
      <c r="F1220" s="115">
        <v>251.8</v>
      </c>
      <c r="G1220">
        <v>1141</v>
      </c>
      <c r="H1220" s="115"/>
      <c r="I1220" s="115"/>
      <c r="L1220" s="169">
        <v>43804</v>
      </c>
      <c r="M1220" s="115">
        <v>250.5</v>
      </c>
      <c r="N1220" s="115">
        <v>252.3</v>
      </c>
      <c r="O1220" s="115">
        <v>246.85</v>
      </c>
      <c r="P1220" s="115">
        <v>249.35</v>
      </c>
      <c r="Q1220" s="115">
        <v>250.5</v>
      </c>
      <c r="R1220">
        <v>34786</v>
      </c>
    </row>
    <row r="1221" spans="1:18" x14ac:dyDescent="0.25">
      <c r="A1221" s="169">
        <v>43808</v>
      </c>
      <c r="B1221" s="115">
        <v>256.8</v>
      </c>
      <c r="C1221" s="115">
        <v>254.8</v>
      </c>
      <c r="D1221" s="115">
        <v>251.8</v>
      </c>
      <c r="E1221" s="115">
        <v>251.8</v>
      </c>
      <c r="F1221" s="115">
        <v>254.8</v>
      </c>
      <c r="G1221">
        <v>838</v>
      </c>
      <c r="H1221" s="115"/>
      <c r="I1221" s="115"/>
      <c r="L1221" s="169">
        <v>43805</v>
      </c>
      <c r="M1221" s="115">
        <v>251.55</v>
      </c>
      <c r="N1221" s="115">
        <v>252.9</v>
      </c>
      <c r="O1221" s="115">
        <v>248</v>
      </c>
      <c r="P1221" s="115">
        <v>250.05</v>
      </c>
      <c r="Q1221" s="115">
        <v>251.55</v>
      </c>
      <c r="R1221">
        <v>13015</v>
      </c>
    </row>
    <row r="1222" spans="1:18" x14ac:dyDescent="0.25">
      <c r="A1222" s="169">
        <v>43809</v>
      </c>
      <c r="B1222" s="115">
        <v>256.5</v>
      </c>
      <c r="C1222" s="115">
        <v>249.05</v>
      </c>
      <c r="D1222" s="115">
        <v>248.2</v>
      </c>
      <c r="E1222" s="115">
        <v>253.75</v>
      </c>
      <c r="F1222" s="115">
        <v>249.05</v>
      </c>
      <c r="G1222">
        <v>1401</v>
      </c>
      <c r="H1222" s="115"/>
      <c r="I1222" s="115"/>
      <c r="L1222" s="169">
        <v>43808</v>
      </c>
      <c r="M1222" s="115">
        <v>256.35000000000002</v>
      </c>
      <c r="N1222" s="115">
        <v>258.89999999999998</v>
      </c>
      <c r="O1222" s="115">
        <v>251.75</v>
      </c>
      <c r="P1222" s="115">
        <v>258.8</v>
      </c>
      <c r="Q1222" s="115">
        <v>256.35000000000002</v>
      </c>
      <c r="R1222">
        <v>16030</v>
      </c>
    </row>
    <row r="1223" spans="1:18" x14ac:dyDescent="0.25">
      <c r="A1223" s="169">
        <v>43810</v>
      </c>
      <c r="B1223" s="115">
        <v>250.2</v>
      </c>
      <c r="C1223" s="115">
        <v>248.05</v>
      </c>
      <c r="D1223" s="115">
        <v>248.05</v>
      </c>
      <c r="E1223" s="115">
        <v>248.25</v>
      </c>
      <c r="F1223" s="115">
        <v>248.05</v>
      </c>
      <c r="G1223">
        <v>107</v>
      </c>
      <c r="H1223" s="115"/>
      <c r="I1223" s="115"/>
      <c r="L1223" s="169">
        <v>43809</v>
      </c>
      <c r="M1223" s="115">
        <v>250.7</v>
      </c>
      <c r="N1223" s="115">
        <v>257</v>
      </c>
      <c r="O1223" s="115">
        <v>248.5</v>
      </c>
      <c r="P1223" s="115">
        <v>255.05</v>
      </c>
      <c r="Q1223" s="115">
        <v>250.7</v>
      </c>
      <c r="R1223">
        <v>52119</v>
      </c>
    </row>
    <row r="1224" spans="1:18" x14ac:dyDescent="0.25">
      <c r="A1224" s="169">
        <v>43811</v>
      </c>
      <c r="B1224" s="115">
        <v>254.9</v>
      </c>
      <c r="C1224" s="115">
        <v>248.5</v>
      </c>
      <c r="D1224" s="115">
        <v>248.5</v>
      </c>
      <c r="E1224" s="115">
        <v>254.9</v>
      </c>
      <c r="F1224" s="115">
        <v>248.5</v>
      </c>
      <c r="G1224">
        <v>35</v>
      </c>
      <c r="H1224" s="115"/>
      <c r="I1224" s="115"/>
      <c r="L1224" s="169">
        <v>43810</v>
      </c>
      <c r="M1224" s="115">
        <v>248.1</v>
      </c>
      <c r="N1224" s="115">
        <v>256.89999999999998</v>
      </c>
      <c r="O1224" s="115">
        <v>248</v>
      </c>
      <c r="P1224" s="115">
        <v>256.89999999999998</v>
      </c>
      <c r="Q1224" s="115">
        <v>248.1</v>
      </c>
      <c r="R1224">
        <v>6650</v>
      </c>
    </row>
    <row r="1225" spans="1:18" x14ac:dyDescent="0.25">
      <c r="A1225" s="169">
        <v>43812</v>
      </c>
      <c r="B1225" s="115">
        <v>250.55</v>
      </c>
      <c r="C1225" s="115">
        <v>250.55</v>
      </c>
      <c r="D1225" s="115">
        <v>250.5</v>
      </c>
      <c r="E1225" s="115">
        <v>250.5</v>
      </c>
      <c r="F1225" s="115">
        <v>250.55</v>
      </c>
      <c r="G1225">
        <v>526</v>
      </c>
      <c r="H1225" s="115"/>
      <c r="I1225" s="115"/>
      <c r="L1225" s="169">
        <v>43811</v>
      </c>
      <c r="M1225" s="115">
        <v>251.4</v>
      </c>
      <c r="N1225" s="115">
        <v>253.6</v>
      </c>
      <c r="O1225" s="115">
        <v>248</v>
      </c>
      <c r="P1225" s="115">
        <v>249.9</v>
      </c>
      <c r="Q1225" s="115">
        <v>251.4</v>
      </c>
      <c r="R1225">
        <v>9689</v>
      </c>
    </row>
    <row r="1226" spans="1:18" x14ac:dyDescent="0.25">
      <c r="A1226" s="169">
        <v>43815</v>
      </c>
      <c r="B1226" s="115">
        <v>253.9</v>
      </c>
      <c r="C1226" s="115">
        <v>253.65</v>
      </c>
      <c r="D1226" s="115">
        <v>248.75</v>
      </c>
      <c r="E1226" s="115">
        <v>249.75</v>
      </c>
      <c r="F1226" s="115">
        <v>253.65</v>
      </c>
      <c r="G1226">
        <v>1076</v>
      </c>
      <c r="H1226" s="115"/>
      <c r="I1226" s="115"/>
      <c r="L1226" s="169">
        <v>43812</v>
      </c>
      <c r="M1226" s="115">
        <v>250.25</v>
      </c>
      <c r="N1226" s="115">
        <v>258.60000000000002</v>
      </c>
      <c r="O1226" s="115">
        <v>249.2</v>
      </c>
      <c r="P1226" s="115">
        <v>258.60000000000002</v>
      </c>
      <c r="Q1226" s="115">
        <v>250.25</v>
      </c>
      <c r="R1226">
        <v>8891</v>
      </c>
    </row>
    <row r="1227" spans="1:18" x14ac:dyDescent="0.25">
      <c r="A1227" s="169">
        <v>43816</v>
      </c>
      <c r="B1227" s="115">
        <v>275</v>
      </c>
      <c r="C1227" s="115">
        <v>264.89999999999998</v>
      </c>
      <c r="D1227" s="115">
        <v>255.3</v>
      </c>
      <c r="E1227" s="115">
        <v>255.3</v>
      </c>
      <c r="F1227" s="115">
        <v>264.89999999999998</v>
      </c>
      <c r="G1227">
        <v>14560</v>
      </c>
      <c r="H1227" s="115"/>
      <c r="I1227" s="115"/>
      <c r="L1227" s="169">
        <v>43815</v>
      </c>
      <c r="M1227" s="115">
        <v>252.05</v>
      </c>
      <c r="N1227" s="115">
        <v>254.1</v>
      </c>
      <c r="O1227" s="115">
        <v>248.35</v>
      </c>
      <c r="P1227" s="115">
        <v>252.1</v>
      </c>
      <c r="Q1227" s="115">
        <v>252.05</v>
      </c>
      <c r="R1227">
        <v>10841</v>
      </c>
    </row>
    <row r="1228" spans="1:18" x14ac:dyDescent="0.25">
      <c r="A1228" s="169">
        <v>43817</v>
      </c>
      <c r="B1228" s="115">
        <v>265.10000000000002</v>
      </c>
      <c r="C1228" s="115">
        <v>257.5</v>
      </c>
      <c r="D1228" s="115">
        <v>256</v>
      </c>
      <c r="E1228" s="115">
        <v>265.10000000000002</v>
      </c>
      <c r="F1228" s="115">
        <v>257.5</v>
      </c>
      <c r="G1228">
        <v>920</v>
      </c>
      <c r="H1228" s="115"/>
      <c r="I1228" s="115"/>
      <c r="L1228" s="169">
        <v>43816</v>
      </c>
      <c r="M1228" s="115">
        <v>266</v>
      </c>
      <c r="N1228" s="115">
        <v>275.8</v>
      </c>
      <c r="O1228" s="115">
        <v>257.2</v>
      </c>
      <c r="P1228" s="115">
        <v>257.3</v>
      </c>
      <c r="Q1228" s="115">
        <v>266</v>
      </c>
      <c r="R1228">
        <v>269129</v>
      </c>
    </row>
    <row r="1229" spans="1:18" x14ac:dyDescent="0.25">
      <c r="A1229" s="169">
        <v>43818</v>
      </c>
      <c r="B1229" s="115">
        <v>256.8</v>
      </c>
      <c r="C1229" s="115">
        <v>251.25</v>
      </c>
      <c r="D1229" s="115">
        <v>249.15</v>
      </c>
      <c r="E1229" s="115">
        <v>256.8</v>
      </c>
      <c r="F1229" s="115">
        <v>251.25</v>
      </c>
      <c r="G1229">
        <v>1329</v>
      </c>
      <c r="H1229" s="115"/>
      <c r="I1229" s="115"/>
      <c r="L1229" s="169">
        <v>43817</v>
      </c>
      <c r="M1229" s="115">
        <v>257.60000000000002</v>
      </c>
      <c r="N1229" s="115">
        <v>269</v>
      </c>
      <c r="O1229" s="115">
        <v>255.7</v>
      </c>
      <c r="P1229" s="115">
        <v>266</v>
      </c>
      <c r="Q1229" s="115">
        <v>257.60000000000002</v>
      </c>
      <c r="R1229">
        <v>25682</v>
      </c>
    </row>
    <row r="1230" spans="1:18" x14ac:dyDescent="0.25">
      <c r="A1230" s="169">
        <v>43819</v>
      </c>
      <c r="B1230" s="115">
        <v>252.7</v>
      </c>
      <c r="C1230" s="115">
        <v>249.9</v>
      </c>
      <c r="D1230" s="115">
        <v>248.05</v>
      </c>
      <c r="E1230" s="115">
        <v>251</v>
      </c>
      <c r="F1230" s="115">
        <v>249.9</v>
      </c>
      <c r="G1230">
        <v>723</v>
      </c>
      <c r="H1230" s="115"/>
      <c r="I1230" s="115"/>
      <c r="L1230" s="169">
        <v>43818</v>
      </c>
      <c r="M1230" s="115">
        <v>250.45</v>
      </c>
      <c r="N1230" s="115">
        <v>260</v>
      </c>
      <c r="O1230" s="115">
        <v>249</v>
      </c>
      <c r="P1230" s="115">
        <v>259</v>
      </c>
      <c r="Q1230" s="115">
        <v>250.45</v>
      </c>
      <c r="R1230">
        <v>31688</v>
      </c>
    </row>
    <row r="1231" spans="1:18" x14ac:dyDescent="0.25">
      <c r="A1231" s="169">
        <v>43822</v>
      </c>
      <c r="B1231" s="115">
        <v>249.8</v>
      </c>
      <c r="C1231" s="115">
        <v>247.95</v>
      </c>
      <c r="D1231" s="115">
        <v>246.05</v>
      </c>
      <c r="E1231" s="115">
        <v>248</v>
      </c>
      <c r="F1231" s="115">
        <v>247.95</v>
      </c>
      <c r="G1231">
        <v>271</v>
      </c>
      <c r="H1231" s="115"/>
      <c r="I1231" s="115"/>
      <c r="L1231" s="169">
        <v>43819</v>
      </c>
      <c r="M1231" s="115">
        <v>250.35</v>
      </c>
      <c r="N1231" s="115">
        <v>252.6</v>
      </c>
      <c r="O1231" s="115">
        <v>248</v>
      </c>
      <c r="P1231" s="115">
        <v>249.45</v>
      </c>
      <c r="Q1231" s="115">
        <v>250.35</v>
      </c>
      <c r="R1231">
        <v>14383</v>
      </c>
    </row>
    <row r="1232" spans="1:18" x14ac:dyDescent="0.25">
      <c r="A1232" s="169">
        <v>43823</v>
      </c>
      <c r="B1232" s="115">
        <v>247.75</v>
      </c>
      <c r="C1232" s="115">
        <v>245.3</v>
      </c>
      <c r="D1232" s="115">
        <v>244.9</v>
      </c>
      <c r="E1232" s="115">
        <v>247.75</v>
      </c>
      <c r="F1232" s="115">
        <v>245.3</v>
      </c>
      <c r="G1232">
        <v>1110</v>
      </c>
      <c r="H1232" s="115"/>
      <c r="I1232" s="115"/>
      <c r="L1232" s="169">
        <v>43822</v>
      </c>
      <c r="M1232" s="115">
        <v>248.55</v>
      </c>
      <c r="N1232" s="115">
        <v>252.8</v>
      </c>
      <c r="O1232" s="115">
        <v>246.1</v>
      </c>
      <c r="P1232" s="115">
        <v>252.8</v>
      </c>
      <c r="Q1232" s="115">
        <v>248.55</v>
      </c>
      <c r="R1232">
        <v>12986</v>
      </c>
    </row>
    <row r="1233" spans="1:18" x14ac:dyDescent="0.25">
      <c r="A1233" s="169">
        <v>43825</v>
      </c>
      <c r="B1233" s="115">
        <v>248.25</v>
      </c>
      <c r="C1233" s="115">
        <v>244.2</v>
      </c>
      <c r="D1233" s="115">
        <v>244</v>
      </c>
      <c r="E1233" s="115">
        <v>248.25</v>
      </c>
      <c r="F1233" s="115">
        <v>244.2</v>
      </c>
      <c r="G1233">
        <v>392</v>
      </c>
      <c r="H1233" s="115"/>
      <c r="I1233" s="115"/>
      <c r="L1233" s="169">
        <v>43823</v>
      </c>
      <c r="M1233" s="115">
        <v>244.55</v>
      </c>
      <c r="N1233" s="115">
        <v>249.9</v>
      </c>
      <c r="O1233" s="115">
        <v>244.2</v>
      </c>
      <c r="P1233" s="115">
        <v>247.8</v>
      </c>
      <c r="Q1233" s="115">
        <v>244.55</v>
      </c>
      <c r="R1233">
        <v>12513</v>
      </c>
    </row>
    <row r="1234" spans="1:18" x14ac:dyDescent="0.25">
      <c r="A1234" s="169">
        <v>43826</v>
      </c>
      <c r="B1234" s="115">
        <v>249</v>
      </c>
      <c r="C1234" s="115">
        <v>248.9</v>
      </c>
      <c r="D1234" s="115">
        <v>243.8</v>
      </c>
      <c r="E1234" s="115">
        <v>243.8</v>
      </c>
      <c r="F1234" s="115">
        <v>248.9</v>
      </c>
      <c r="G1234">
        <v>302</v>
      </c>
      <c r="H1234" s="115"/>
      <c r="I1234" s="115"/>
      <c r="L1234" s="169">
        <v>43825</v>
      </c>
      <c r="M1234" s="115">
        <v>245.3</v>
      </c>
      <c r="N1234" s="115">
        <v>249</v>
      </c>
      <c r="O1234" s="115">
        <v>243.55</v>
      </c>
      <c r="P1234" s="115">
        <v>247.6</v>
      </c>
      <c r="Q1234" s="115">
        <v>245.3</v>
      </c>
      <c r="R1234">
        <v>15334</v>
      </c>
    </row>
    <row r="1235" spans="1:18" x14ac:dyDescent="0.25">
      <c r="A1235" s="169">
        <v>43829</v>
      </c>
      <c r="B1235" s="115">
        <v>251.8</v>
      </c>
      <c r="C1235" s="115">
        <v>246.1</v>
      </c>
      <c r="D1235" s="115">
        <v>244.05</v>
      </c>
      <c r="E1235" s="115">
        <v>248.35</v>
      </c>
      <c r="F1235" s="115">
        <v>246.1</v>
      </c>
      <c r="G1235">
        <v>1912</v>
      </c>
      <c r="H1235" s="115"/>
      <c r="I1235" s="115"/>
      <c r="L1235" s="169">
        <v>43826</v>
      </c>
      <c r="M1235" s="115">
        <v>248.2</v>
      </c>
      <c r="N1235" s="115">
        <v>251</v>
      </c>
      <c r="O1235" s="115">
        <v>241.2</v>
      </c>
      <c r="P1235" s="115">
        <v>245.3</v>
      </c>
      <c r="Q1235" s="115">
        <v>248.2</v>
      </c>
      <c r="R1235">
        <v>15964</v>
      </c>
    </row>
    <row r="1236" spans="1:18" x14ac:dyDescent="0.25">
      <c r="A1236" s="169">
        <v>43830</v>
      </c>
      <c r="B1236" s="115">
        <v>248.2</v>
      </c>
      <c r="C1236" s="115">
        <v>246.3</v>
      </c>
      <c r="D1236" s="115">
        <v>246.2</v>
      </c>
      <c r="E1236" s="115">
        <v>246.2</v>
      </c>
      <c r="F1236" s="115">
        <v>246.3</v>
      </c>
      <c r="G1236">
        <v>31</v>
      </c>
      <c r="H1236" s="115"/>
      <c r="I1236" s="115"/>
      <c r="L1236" s="169">
        <v>43829</v>
      </c>
      <c r="M1236" s="115">
        <v>245.6</v>
      </c>
      <c r="N1236" s="115">
        <v>251</v>
      </c>
      <c r="O1236" s="115">
        <v>244.15</v>
      </c>
      <c r="P1236" s="115">
        <v>246</v>
      </c>
      <c r="Q1236" s="115">
        <v>245.6</v>
      </c>
      <c r="R1236">
        <v>18857</v>
      </c>
    </row>
    <row r="1237" spans="1:18" x14ac:dyDescent="0.25">
      <c r="A1237" s="169">
        <v>43831</v>
      </c>
      <c r="B1237" s="115">
        <v>249.05</v>
      </c>
      <c r="C1237" s="115">
        <v>245.95</v>
      </c>
      <c r="D1237" s="115">
        <v>245</v>
      </c>
      <c r="E1237" s="115">
        <v>249.05</v>
      </c>
      <c r="F1237" s="115">
        <v>245.95</v>
      </c>
      <c r="G1237">
        <v>1042</v>
      </c>
      <c r="H1237" s="115"/>
      <c r="I1237" s="115"/>
      <c r="L1237" s="169">
        <v>43830</v>
      </c>
      <c r="M1237" s="115">
        <v>246.95</v>
      </c>
      <c r="N1237" s="115">
        <v>249.7</v>
      </c>
      <c r="O1237" s="115">
        <v>244</v>
      </c>
      <c r="P1237" s="115">
        <v>245.6</v>
      </c>
      <c r="Q1237" s="115">
        <v>246.95</v>
      </c>
      <c r="R1237">
        <v>29129</v>
      </c>
    </row>
    <row r="1238" spans="1:18" x14ac:dyDescent="0.25">
      <c r="A1238" s="169">
        <v>43832</v>
      </c>
      <c r="B1238" s="115">
        <v>258</v>
      </c>
      <c r="C1238" s="115">
        <v>256.95</v>
      </c>
      <c r="D1238" s="115">
        <v>250</v>
      </c>
      <c r="E1238" s="115">
        <v>254</v>
      </c>
      <c r="F1238" s="115">
        <v>256.95</v>
      </c>
      <c r="G1238">
        <v>717</v>
      </c>
      <c r="H1238" s="115"/>
      <c r="I1238" s="115"/>
      <c r="L1238" s="169">
        <v>43831</v>
      </c>
      <c r="M1238" s="115">
        <v>246.25</v>
      </c>
      <c r="N1238" s="115">
        <v>248.85</v>
      </c>
      <c r="O1238" s="115">
        <v>245</v>
      </c>
      <c r="P1238" s="115">
        <v>247.35</v>
      </c>
      <c r="Q1238" s="115">
        <v>246.25</v>
      </c>
      <c r="R1238">
        <v>13264</v>
      </c>
    </row>
    <row r="1239" spans="1:18" x14ac:dyDescent="0.25">
      <c r="A1239" s="169">
        <v>43833</v>
      </c>
      <c r="B1239" s="115">
        <v>259</v>
      </c>
      <c r="C1239" s="115">
        <v>258.7</v>
      </c>
      <c r="D1239" s="115">
        <v>253.1</v>
      </c>
      <c r="E1239" s="115">
        <v>256.8</v>
      </c>
      <c r="F1239" s="115">
        <v>258.7</v>
      </c>
      <c r="G1239">
        <v>1342</v>
      </c>
      <c r="H1239" s="115"/>
      <c r="I1239" s="115"/>
      <c r="L1239" s="169">
        <v>43832</v>
      </c>
      <c r="M1239" s="115">
        <v>256.7</v>
      </c>
      <c r="N1239" s="115">
        <v>259.39999999999998</v>
      </c>
      <c r="O1239" s="115">
        <v>246.6</v>
      </c>
      <c r="P1239" s="115">
        <v>249.5</v>
      </c>
      <c r="Q1239" s="115">
        <v>256.7</v>
      </c>
      <c r="R1239">
        <v>28462</v>
      </c>
    </row>
    <row r="1240" spans="1:18" x14ac:dyDescent="0.25">
      <c r="A1240" s="169">
        <v>43836</v>
      </c>
      <c r="B1240" s="115">
        <v>259.10000000000002</v>
      </c>
      <c r="C1240" s="115">
        <v>255</v>
      </c>
      <c r="D1240" s="115">
        <v>248.7</v>
      </c>
      <c r="E1240" s="115">
        <v>251.45</v>
      </c>
      <c r="F1240" s="115">
        <v>255</v>
      </c>
      <c r="G1240">
        <v>7744</v>
      </c>
      <c r="H1240" s="115"/>
      <c r="I1240" s="115"/>
      <c r="L1240" s="169">
        <v>43833</v>
      </c>
      <c r="M1240" s="115">
        <v>257.8</v>
      </c>
      <c r="N1240" s="115">
        <v>259.8</v>
      </c>
      <c r="O1240" s="115">
        <v>252.5</v>
      </c>
      <c r="P1240" s="115">
        <v>253</v>
      </c>
      <c r="Q1240" s="115">
        <v>257.8</v>
      </c>
      <c r="R1240">
        <v>18492</v>
      </c>
    </row>
    <row r="1241" spans="1:18" x14ac:dyDescent="0.25">
      <c r="A1241" s="169">
        <v>43837</v>
      </c>
      <c r="B1241" s="115">
        <v>255.6</v>
      </c>
      <c r="C1241" s="115">
        <v>250.1</v>
      </c>
      <c r="D1241" s="115">
        <v>249.7</v>
      </c>
      <c r="E1241" s="115">
        <v>255.6</v>
      </c>
      <c r="F1241" s="115">
        <v>250.1</v>
      </c>
      <c r="G1241">
        <v>205</v>
      </c>
      <c r="H1241" s="115"/>
      <c r="I1241" s="115"/>
      <c r="L1241" s="169">
        <v>43836</v>
      </c>
      <c r="M1241" s="115">
        <v>254.65</v>
      </c>
      <c r="N1241" s="115">
        <v>258.7</v>
      </c>
      <c r="O1241" s="115">
        <v>248.9</v>
      </c>
      <c r="P1241" s="115">
        <v>258</v>
      </c>
      <c r="Q1241" s="115">
        <v>254.65</v>
      </c>
      <c r="R1241">
        <v>20676</v>
      </c>
    </row>
    <row r="1242" spans="1:18" x14ac:dyDescent="0.25">
      <c r="A1242" s="169">
        <v>43838</v>
      </c>
      <c r="B1242" s="115">
        <v>250.35</v>
      </c>
      <c r="C1242" s="115">
        <v>250.35</v>
      </c>
      <c r="D1242" s="115">
        <v>247.4</v>
      </c>
      <c r="E1242" s="115">
        <v>247.4</v>
      </c>
      <c r="F1242" s="115">
        <v>250.35</v>
      </c>
      <c r="G1242">
        <v>179</v>
      </c>
      <c r="H1242" s="115"/>
      <c r="I1242" s="115"/>
      <c r="L1242" s="169">
        <v>43837</v>
      </c>
      <c r="M1242" s="115">
        <v>249.8</v>
      </c>
      <c r="N1242" s="115">
        <v>259</v>
      </c>
      <c r="O1242" s="115">
        <v>248.15</v>
      </c>
      <c r="P1242" s="115">
        <v>255.95</v>
      </c>
      <c r="Q1242" s="115">
        <v>249.8</v>
      </c>
      <c r="R1242">
        <v>9768</v>
      </c>
    </row>
    <row r="1243" spans="1:18" x14ac:dyDescent="0.25">
      <c r="A1243" s="169">
        <v>43839</v>
      </c>
      <c r="B1243" s="115">
        <v>253.35</v>
      </c>
      <c r="C1243" s="115">
        <v>253</v>
      </c>
      <c r="D1243" s="115">
        <v>253</v>
      </c>
      <c r="E1243" s="115">
        <v>253.35</v>
      </c>
      <c r="F1243" s="115">
        <v>253</v>
      </c>
      <c r="G1243">
        <v>53</v>
      </c>
      <c r="H1243" s="115"/>
      <c r="I1243" s="115"/>
      <c r="L1243" s="169">
        <v>43838</v>
      </c>
      <c r="M1243" s="115">
        <v>249</v>
      </c>
      <c r="N1243" s="115">
        <v>249.8</v>
      </c>
      <c r="O1243" s="115">
        <v>246</v>
      </c>
      <c r="P1243" s="115">
        <v>249.05</v>
      </c>
      <c r="Q1243" s="115">
        <v>249</v>
      </c>
      <c r="R1243">
        <v>7315</v>
      </c>
    </row>
    <row r="1244" spans="1:18" x14ac:dyDescent="0.25">
      <c r="A1244" s="169">
        <v>43840</v>
      </c>
      <c r="B1244" s="115">
        <v>271.60000000000002</v>
      </c>
      <c r="C1244" s="115">
        <v>257.45</v>
      </c>
      <c r="D1244" s="115">
        <v>256.2</v>
      </c>
      <c r="E1244" s="115">
        <v>257</v>
      </c>
      <c r="F1244" s="115">
        <v>257.45</v>
      </c>
      <c r="G1244">
        <v>5214</v>
      </c>
      <c r="H1244" s="115"/>
      <c r="I1244" s="115"/>
      <c r="L1244" s="169">
        <v>43839</v>
      </c>
      <c r="M1244" s="115">
        <v>251.85</v>
      </c>
      <c r="N1244" s="115">
        <v>254</v>
      </c>
      <c r="O1244" s="115">
        <v>250.4</v>
      </c>
      <c r="P1244" s="115">
        <v>250.65</v>
      </c>
      <c r="Q1244" s="115">
        <v>251.85</v>
      </c>
      <c r="R1244">
        <v>9158</v>
      </c>
    </row>
    <row r="1245" spans="1:18" x14ac:dyDescent="0.25">
      <c r="A1245" s="169">
        <v>43843</v>
      </c>
      <c r="B1245" s="115">
        <v>260.14999999999998</v>
      </c>
      <c r="C1245" s="115">
        <v>258.7</v>
      </c>
      <c r="D1245" s="115">
        <v>256.05</v>
      </c>
      <c r="E1245" s="115">
        <v>259</v>
      </c>
      <c r="F1245" s="115">
        <v>258.7</v>
      </c>
      <c r="G1245">
        <v>2291</v>
      </c>
      <c r="H1245" s="115"/>
      <c r="I1245" s="115"/>
      <c r="L1245" s="169">
        <v>43840</v>
      </c>
      <c r="M1245" s="115">
        <v>257.45</v>
      </c>
      <c r="N1245" s="115">
        <v>271.89999999999998</v>
      </c>
      <c r="O1245" s="115">
        <v>256</v>
      </c>
      <c r="P1245" s="115">
        <v>256.3</v>
      </c>
      <c r="Q1245" s="115">
        <v>257.45</v>
      </c>
      <c r="R1245">
        <v>183487</v>
      </c>
    </row>
    <row r="1246" spans="1:18" x14ac:dyDescent="0.25">
      <c r="A1246" s="169">
        <v>43844</v>
      </c>
      <c r="B1246" s="115">
        <v>270</v>
      </c>
      <c r="C1246" s="115">
        <v>267.45</v>
      </c>
      <c r="D1246" s="115">
        <v>255</v>
      </c>
      <c r="E1246" s="115">
        <v>259.2</v>
      </c>
      <c r="F1246" s="115">
        <v>267.45</v>
      </c>
      <c r="G1246">
        <v>3377</v>
      </c>
      <c r="H1246" s="115"/>
      <c r="I1246" s="115"/>
      <c r="L1246" s="169">
        <v>43843</v>
      </c>
      <c r="M1246" s="115">
        <v>257.64999999999998</v>
      </c>
      <c r="N1246" s="115">
        <v>259.5</v>
      </c>
      <c r="O1246" s="115">
        <v>255.6</v>
      </c>
      <c r="P1246" s="115">
        <v>258.2</v>
      </c>
      <c r="Q1246" s="115">
        <v>257.64999999999998</v>
      </c>
      <c r="R1246">
        <v>17266</v>
      </c>
    </row>
    <row r="1247" spans="1:18" x14ac:dyDescent="0.25">
      <c r="A1247" s="169">
        <v>43845</v>
      </c>
      <c r="B1247" s="115">
        <v>263.7</v>
      </c>
      <c r="C1247" s="115">
        <v>263.60000000000002</v>
      </c>
      <c r="D1247" s="115">
        <v>261.95</v>
      </c>
      <c r="E1247" s="115">
        <v>263</v>
      </c>
      <c r="F1247" s="115">
        <v>263.60000000000002</v>
      </c>
      <c r="G1247">
        <v>999</v>
      </c>
      <c r="H1247" s="115"/>
      <c r="I1247" s="115"/>
      <c r="L1247" s="169">
        <v>43844</v>
      </c>
      <c r="M1247" s="115">
        <v>267.10000000000002</v>
      </c>
      <c r="N1247" s="115">
        <v>269.8</v>
      </c>
      <c r="O1247" s="115">
        <v>254</v>
      </c>
      <c r="P1247" s="115">
        <v>255.65</v>
      </c>
      <c r="Q1247" s="115">
        <v>267.10000000000002</v>
      </c>
      <c r="R1247">
        <v>120342</v>
      </c>
    </row>
    <row r="1248" spans="1:18" x14ac:dyDescent="0.25">
      <c r="A1248" s="169">
        <v>43846</v>
      </c>
      <c r="B1248" s="115">
        <v>271</v>
      </c>
      <c r="C1248" s="115">
        <v>267</v>
      </c>
      <c r="D1248" s="115">
        <v>263.10000000000002</v>
      </c>
      <c r="E1248" s="115">
        <v>271</v>
      </c>
      <c r="F1248" s="115">
        <v>267</v>
      </c>
      <c r="G1248">
        <v>857</v>
      </c>
      <c r="H1248" s="115"/>
      <c r="I1248" s="115"/>
      <c r="L1248" s="169">
        <v>43845</v>
      </c>
      <c r="M1248" s="115">
        <v>263</v>
      </c>
      <c r="N1248" s="115">
        <v>267.10000000000002</v>
      </c>
      <c r="O1248" s="115">
        <v>260.10000000000002</v>
      </c>
      <c r="P1248" s="115">
        <v>267.10000000000002</v>
      </c>
      <c r="Q1248" s="115">
        <v>263</v>
      </c>
      <c r="R1248">
        <v>26484</v>
      </c>
    </row>
    <row r="1249" spans="1:18" x14ac:dyDescent="0.25">
      <c r="A1249" s="169">
        <v>43847</v>
      </c>
      <c r="B1249" s="115">
        <v>272.85000000000002</v>
      </c>
      <c r="C1249" s="115">
        <v>265.14999999999998</v>
      </c>
      <c r="D1249" s="115">
        <v>264.35000000000002</v>
      </c>
      <c r="E1249" s="115">
        <v>270.8</v>
      </c>
      <c r="F1249" s="115">
        <v>265.14999999999998</v>
      </c>
      <c r="G1249">
        <v>1242</v>
      </c>
      <c r="H1249" s="115"/>
      <c r="I1249" s="115"/>
      <c r="L1249" s="169">
        <v>43846</v>
      </c>
      <c r="M1249" s="115">
        <v>266.2</v>
      </c>
      <c r="N1249" s="115">
        <v>268</v>
      </c>
      <c r="O1249" s="115">
        <v>263</v>
      </c>
      <c r="P1249" s="115">
        <v>266.89999999999998</v>
      </c>
      <c r="Q1249" s="115">
        <v>266.2</v>
      </c>
      <c r="R1249">
        <v>18759</v>
      </c>
    </row>
    <row r="1250" spans="1:18" x14ac:dyDescent="0.25">
      <c r="A1250" s="169">
        <v>43850</v>
      </c>
      <c r="B1250" s="115">
        <v>265</v>
      </c>
      <c r="C1250" s="115">
        <v>260.10000000000002</v>
      </c>
      <c r="D1250" s="115">
        <v>258.55</v>
      </c>
      <c r="E1250" s="115">
        <v>265</v>
      </c>
      <c r="F1250" s="115">
        <v>260.10000000000002</v>
      </c>
      <c r="G1250">
        <v>1874</v>
      </c>
      <c r="H1250" s="115"/>
      <c r="I1250" s="115"/>
      <c r="L1250" s="169">
        <v>43847</v>
      </c>
      <c r="M1250" s="115">
        <v>266</v>
      </c>
      <c r="N1250" s="115">
        <v>272</v>
      </c>
      <c r="O1250" s="115">
        <v>265.10000000000002</v>
      </c>
      <c r="P1250" s="115">
        <v>270</v>
      </c>
      <c r="Q1250" s="115">
        <v>266</v>
      </c>
      <c r="R1250">
        <v>36655</v>
      </c>
    </row>
    <row r="1251" spans="1:18" x14ac:dyDescent="0.25">
      <c r="A1251" s="169">
        <v>43851</v>
      </c>
      <c r="B1251" s="115">
        <v>263</v>
      </c>
      <c r="C1251" s="115">
        <v>258.5</v>
      </c>
      <c r="D1251" s="115">
        <v>257.85000000000002</v>
      </c>
      <c r="E1251" s="115">
        <v>261</v>
      </c>
      <c r="F1251" s="115">
        <v>258.5</v>
      </c>
      <c r="G1251">
        <v>1614</v>
      </c>
      <c r="H1251" s="115"/>
      <c r="I1251" s="115"/>
      <c r="L1251" s="169">
        <v>43850</v>
      </c>
      <c r="M1251" s="115">
        <v>260.39999999999998</v>
      </c>
      <c r="N1251" s="115">
        <v>269.39999999999998</v>
      </c>
      <c r="O1251" s="115">
        <v>258.55</v>
      </c>
      <c r="P1251" s="115">
        <v>269.39999999999998</v>
      </c>
      <c r="Q1251" s="115">
        <v>260.39999999999998</v>
      </c>
      <c r="R1251">
        <v>17986</v>
      </c>
    </row>
    <row r="1252" spans="1:18" x14ac:dyDescent="0.25">
      <c r="A1252" s="169">
        <v>43852</v>
      </c>
      <c r="B1252" s="115">
        <v>259.25</v>
      </c>
      <c r="C1252" s="115">
        <v>255.5</v>
      </c>
      <c r="D1252" s="115">
        <v>255.4</v>
      </c>
      <c r="E1252" s="115">
        <v>259.25</v>
      </c>
      <c r="F1252" s="115">
        <v>255.5</v>
      </c>
      <c r="G1252">
        <v>3032</v>
      </c>
      <c r="H1252" s="115"/>
      <c r="I1252" s="115"/>
      <c r="L1252" s="169">
        <v>43851</v>
      </c>
      <c r="M1252" s="115">
        <v>258.5</v>
      </c>
      <c r="N1252" s="115">
        <v>262.05</v>
      </c>
      <c r="O1252" s="115">
        <v>257.5</v>
      </c>
      <c r="P1252" s="115">
        <v>260.89999999999998</v>
      </c>
      <c r="Q1252" s="115">
        <v>258.5</v>
      </c>
      <c r="R1252">
        <v>14422</v>
      </c>
    </row>
    <row r="1253" spans="1:18" x14ac:dyDescent="0.25">
      <c r="A1253" s="169">
        <v>43853</v>
      </c>
      <c r="B1253" s="115">
        <v>258.05</v>
      </c>
      <c r="C1253" s="115">
        <v>256.64999999999998</v>
      </c>
      <c r="D1253" s="115">
        <v>255.75</v>
      </c>
      <c r="E1253" s="115">
        <v>257.5</v>
      </c>
      <c r="F1253" s="115">
        <v>256.64999999999998</v>
      </c>
      <c r="G1253">
        <v>573</v>
      </c>
      <c r="H1253" s="115"/>
      <c r="I1253" s="115"/>
      <c r="L1253" s="169">
        <v>43852</v>
      </c>
      <c r="M1253" s="115">
        <v>256.3</v>
      </c>
      <c r="N1253" s="115">
        <v>263.89999999999998</v>
      </c>
      <c r="O1253" s="115">
        <v>255.35</v>
      </c>
      <c r="P1253" s="115">
        <v>258.35000000000002</v>
      </c>
      <c r="Q1253" s="115">
        <v>256.3</v>
      </c>
      <c r="R1253">
        <v>23906</v>
      </c>
    </row>
    <row r="1254" spans="1:18" x14ac:dyDescent="0.25">
      <c r="A1254" s="169">
        <v>43854</v>
      </c>
      <c r="B1254" s="115">
        <v>259.7</v>
      </c>
      <c r="C1254" s="115">
        <v>259.3</v>
      </c>
      <c r="D1254" s="115">
        <v>255.5</v>
      </c>
      <c r="E1254" s="115">
        <v>259.14999999999998</v>
      </c>
      <c r="F1254" s="115">
        <v>259.3</v>
      </c>
      <c r="G1254">
        <v>397</v>
      </c>
      <c r="H1254" s="115"/>
      <c r="I1254" s="115"/>
      <c r="L1254" s="169">
        <v>43853</v>
      </c>
      <c r="M1254" s="115">
        <v>257</v>
      </c>
      <c r="N1254" s="115">
        <v>261.05</v>
      </c>
      <c r="O1254" s="115">
        <v>255.1</v>
      </c>
      <c r="P1254" s="115">
        <v>259.75</v>
      </c>
      <c r="Q1254" s="115">
        <v>257</v>
      </c>
      <c r="R1254">
        <v>11043</v>
      </c>
    </row>
    <row r="1255" spans="1:18" x14ac:dyDescent="0.25">
      <c r="A1255" s="169">
        <v>43857</v>
      </c>
      <c r="B1255" s="115">
        <v>259.39999999999998</v>
      </c>
      <c r="C1255" s="115">
        <v>255.55</v>
      </c>
      <c r="D1255" s="115">
        <v>255.05</v>
      </c>
      <c r="E1255" s="115">
        <v>258.60000000000002</v>
      </c>
      <c r="F1255" s="115">
        <v>255.55</v>
      </c>
      <c r="G1255">
        <v>419</v>
      </c>
      <c r="H1255" s="115"/>
      <c r="I1255" s="115"/>
      <c r="L1255" s="169">
        <v>43854</v>
      </c>
      <c r="M1255" s="115">
        <v>258.95</v>
      </c>
      <c r="N1255" s="115">
        <v>260.95</v>
      </c>
      <c r="O1255" s="115">
        <v>254.7</v>
      </c>
      <c r="P1255" s="115">
        <v>258.8</v>
      </c>
      <c r="Q1255" s="115">
        <v>258.95</v>
      </c>
      <c r="R1255">
        <v>7767</v>
      </c>
    </row>
    <row r="1256" spans="1:18" x14ac:dyDescent="0.25">
      <c r="A1256" s="169">
        <v>43858</v>
      </c>
      <c r="B1256" s="115">
        <v>256.14999999999998</v>
      </c>
      <c r="C1256" s="115">
        <v>249.05</v>
      </c>
      <c r="D1256" s="115">
        <v>247.25</v>
      </c>
      <c r="E1256" s="115">
        <v>256.14999999999998</v>
      </c>
      <c r="F1256" s="115">
        <v>249.05</v>
      </c>
      <c r="G1256">
        <v>704</v>
      </c>
      <c r="H1256" s="115"/>
      <c r="I1256" s="115"/>
      <c r="L1256" s="169">
        <v>43857</v>
      </c>
      <c r="M1256" s="115">
        <v>256.25</v>
      </c>
      <c r="N1256" s="115">
        <v>261.95</v>
      </c>
      <c r="O1256" s="115">
        <v>256</v>
      </c>
      <c r="P1256" s="115">
        <v>259.3</v>
      </c>
      <c r="Q1256" s="115">
        <v>256.25</v>
      </c>
      <c r="R1256">
        <v>10024</v>
      </c>
    </row>
    <row r="1257" spans="1:18" x14ac:dyDescent="0.25">
      <c r="A1257" s="169">
        <v>43859</v>
      </c>
      <c r="B1257" s="115">
        <v>255.8</v>
      </c>
      <c r="C1257" s="115">
        <v>251.5</v>
      </c>
      <c r="D1257" s="115">
        <v>249</v>
      </c>
      <c r="E1257" s="115">
        <v>250.8</v>
      </c>
      <c r="F1257" s="115">
        <v>251.5</v>
      </c>
      <c r="G1257">
        <v>3696</v>
      </c>
      <c r="H1257" s="115"/>
      <c r="I1257" s="115"/>
      <c r="L1257" s="169">
        <v>43858</v>
      </c>
      <c r="M1257" s="115">
        <v>248.75</v>
      </c>
      <c r="N1257" s="115">
        <v>257.89999999999998</v>
      </c>
      <c r="O1257" s="115">
        <v>246.35</v>
      </c>
      <c r="P1257" s="115">
        <v>256.3</v>
      </c>
      <c r="Q1257" s="115">
        <v>248.75</v>
      </c>
      <c r="R1257">
        <v>27675</v>
      </c>
    </row>
    <row r="1258" spans="1:18" x14ac:dyDescent="0.25">
      <c r="A1258" s="169">
        <v>43860</v>
      </c>
      <c r="B1258" s="115">
        <v>249</v>
      </c>
      <c r="C1258" s="115">
        <v>246.95</v>
      </c>
      <c r="D1258" s="115">
        <v>246.15</v>
      </c>
      <c r="E1258" s="115">
        <v>249</v>
      </c>
      <c r="F1258" s="115">
        <v>246.95</v>
      </c>
      <c r="G1258">
        <v>114</v>
      </c>
      <c r="H1258" s="115"/>
      <c r="I1258" s="115"/>
      <c r="L1258" s="169">
        <v>43859</v>
      </c>
      <c r="M1258" s="115">
        <v>250.85</v>
      </c>
      <c r="N1258" s="115">
        <v>256</v>
      </c>
      <c r="O1258" s="115">
        <v>249</v>
      </c>
      <c r="P1258" s="115">
        <v>251.95</v>
      </c>
      <c r="Q1258" s="115">
        <v>250.85</v>
      </c>
      <c r="R1258">
        <v>14342</v>
      </c>
    </row>
    <row r="1259" spans="1:18" x14ac:dyDescent="0.25">
      <c r="A1259" s="169">
        <v>43861</v>
      </c>
      <c r="B1259" s="115">
        <v>269</v>
      </c>
      <c r="C1259" s="115">
        <v>249.95</v>
      </c>
      <c r="D1259" s="115">
        <v>249</v>
      </c>
      <c r="E1259" s="115">
        <v>251.8</v>
      </c>
      <c r="F1259" s="115">
        <v>249.95</v>
      </c>
      <c r="G1259">
        <v>354</v>
      </c>
      <c r="H1259" s="115"/>
      <c r="I1259" s="115"/>
      <c r="L1259" s="169">
        <v>43860</v>
      </c>
      <c r="M1259" s="115">
        <v>247.2</v>
      </c>
      <c r="N1259" s="115">
        <v>253.4</v>
      </c>
      <c r="O1259" s="115">
        <v>246.1</v>
      </c>
      <c r="P1259" s="115">
        <v>253.4</v>
      </c>
      <c r="Q1259" s="115">
        <v>247.2</v>
      </c>
      <c r="R1259">
        <v>6479</v>
      </c>
    </row>
    <row r="1260" spans="1:18" x14ac:dyDescent="0.25">
      <c r="A1260" s="169">
        <v>43862</v>
      </c>
      <c r="B1260" s="115">
        <v>256.89999999999998</v>
      </c>
      <c r="C1260" s="115">
        <v>247.95</v>
      </c>
      <c r="D1260" s="115">
        <v>247.65</v>
      </c>
      <c r="E1260" s="115">
        <v>252.75</v>
      </c>
      <c r="F1260" s="115">
        <v>247.95</v>
      </c>
      <c r="G1260">
        <v>1252</v>
      </c>
      <c r="H1260" s="115"/>
      <c r="I1260" s="115"/>
      <c r="L1260" s="169">
        <v>43861</v>
      </c>
      <c r="M1260" s="115">
        <v>250.8</v>
      </c>
      <c r="N1260" s="115">
        <v>252.75</v>
      </c>
      <c r="O1260" s="115">
        <v>247.65</v>
      </c>
      <c r="P1260" s="115">
        <v>247.65</v>
      </c>
      <c r="Q1260" s="115">
        <v>250.8</v>
      </c>
      <c r="R1260">
        <v>8535</v>
      </c>
    </row>
    <row r="1261" spans="1:18" x14ac:dyDescent="0.25">
      <c r="A1261" s="169">
        <v>43864</v>
      </c>
      <c r="B1261" s="115">
        <v>249.45</v>
      </c>
      <c r="C1261" s="115">
        <v>247.35</v>
      </c>
      <c r="D1261" s="115">
        <v>247.15</v>
      </c>
      <c r="E1261" s="115">
        <v>247.95</v>
      </c>
      <c r="F1261" s="115">
        <v>247.35</v>
      </c>
      <c r="G1261">
        <v>586</v>
      </c>
      <c r="H1261" s="115"/>
      <c r="I1261" s="115"/>
      <c r="L1261" s="169">
        <v>43862</v>
      </c>
      <c r="M1261" s="115">
        <v>249.6</v>
      </c>
      <c r="N1261" s="115">
        <v>256.8</v>
      </c>
      <c r="O1261" s="115">
        <v>248.4</v>
      </c>
      <c r="P1261" s="115">
        <v>250</v>
      </c>
      <c r="Q1261" s="115">
        <v>249.6</v>
      </c>
      <c r="R1261">
        <v>11220</v>
      </c>
    </row>
    <row r="1262" spans="1:18" x14ac:dyDescent="0.25">
      <c r="A1262" s="169">
        <v>43865</v>
      </c>
      <c r="B1262" s="115">
        <v>254.7</v>
      </c>
      <c r="C1262" s="115">
        <v>246</v>
      </c>
      <c r="D1262" s="115">
        <v>245.35</v>
      </c>
      <c r="E1262" s="115">
        <v>248.75</v>
      </c>
      <c r="F1262" s="115">
        <v>246</v>
      </c>
      <c r="G1262">
        <v>2671</v>
      </c>
      <c r="H1262" s="115"/>
      <c r="I1262" s="115"/>
      <c r="L1262" s="169">
        <v>43864</v>
      </c>
      <c r="M1262" s="115">
        <v>246.85</v>
      </c>
      <c r="N1262" s="115">
        <v>254.4</v>
      </c>
      <c r="O1262" s="115">
        <v>246</v>
      </c>
      <c r="P1262" s="115">
        <v>249</v>
      </c>
      <c r="Q1262" s="115">
        <v>246.85</v>
      </c>
      <c r="R1262">
        <v>10773</v>
      </c>
    </row>
    <row r="1263" spans="1:18" x14ac:dyDescent="0.25">
      <c r="A1263" s="169">
        <v>43866</v>
      </c>
      <c r="B1263" s="115">
        <v>247.05</v>
      </c>
      <c r="C1263" s="115">
        <v>245.5</v>
      </c>
      <c r="D1263" s="115">
        <v>245.5</v>
      </c>
      <c r="E1263" s="115">
        <v>247</v>
      </c>
      <c r="F1263" s="115">
        <v>245.5</v>
      </c>
      <c r="G1263">
        <v>546</v>
      </c>
      <c r="H1263" s="115"/>
      <c r="I1263" s="115"/>
      <c r="L1263" s="169">
        <v>43865</v>
      </c>
      <c r="M1263" s="115">
        <v>245.5</v>
      </c>
      <c r="N1263" s="115">
        <v>255.95</v>
      </c>
      <c r="O1263" s="115">
        <v>244.8</v>
      </c>
      <c r="P1263" s="115">
        <v>249.3</v>
      </c>
      <c r="Q1263" s="115">
        <v>245.5</v>
      </c>
      <c r="R1263">
        <v>54558</v>
      </c>
    </row>
    <row r="1264" spans="1:18" x14ac:dyDescent="0.25">
      <c r="A1264" s="169">
        <v>43867</v>
      </c>
      <c r="B1264" s="115">
        <v>248.55</v>
      </c>
      <c r="C1264" s="115">
        <v>246.2</v>
      </c>
      <c r="D1264" s="115">
        <v>246.15</v>
      </c>
      <c r="E1264" s="115">
        <v>248.55</v>
      </c>
      <c r="F1264" s="115">
        <v>246.2</v>
      </c>
      <c r="G1264">
        <v>354</v>
      </c>
      <c r="H1264" s="115"/>
      <c r="I1264" s="115"/>
      <c r="L1264" s="169">
        <v>43866</v>
      </c>
      <c r="M1264" s="115">
        <v>245.55</v>
      </c>
      <c r="N1264" s="115">
        <v>249.7</v>
      </c>
      <c r="O1264" s="115">
        <v>244.95</v>
      </c>
      <c r="P1264" s="115">
        <v>249.7</v>
      </c>
      <c r="Q1264" s="115">
        <v>245.55</v>
      </c>
      <c r="R1264">
        <v>15102</v>
      </c>
    </row>
    <row r="1265" spans="1:18" x14ac:dyDescent="0.25">
      <c r="A1265" s="169">
        <v>43868</v>
      </c>
      <c r="B1265" s="115">
        <v>249.9</v>
      </c>
      <c r="C1265" s="115">
        <v>248.3</v>
      </c>
      <c r="D1265" s="115">
        <v>246</v>
      </c>
      <c r="E1265" s="115">
        <v>248.8</v>
      </c>
      <c r="F1265" s="115">
        <v>248.3</v>
      </c>
      <c r="G1265">
        <v>938</v>
      </c>
      <c r="H1265" s="115"/>
      <c r="I1265" s="115"/>
      <c r="L1265" s="169">
        <v>43867</v>
      </c>
      <c r="M1265" s="115">
        <v>245.8</v>
      </c>
      <c r="N1265" s="115">
        <v>249</v>
      </c>
      <c r="O1265" s="115">
        <v>245.1</v>
      </c>
      <c r="P1265" s="115">
        <v>246.05</v>
      </c>
      <c r="Q1265" s="115">
        <v>245.8</v>
      </c>
      <c r="R1265">
        <v>12623</v>
      </c>
    </row>
    <row r="1266" spans="1:18" x14ac:dyDescent="0.25">
      <c r="A1266" s="169">
        <v>43871</v>
      </c>
      <c r="B1266" s="115">
        <v>258</v>
      </c>
      <c r="C1266" s="115">
        <v>248</v>
      </c>
      <c r="D1266" s="115">
        <v>248</v>
      </c>
      <c r="E1266" s="115">
        <v>249.25</v>
      </c>
      <c r="F1266" s="115">
        <v>248</v>
      </c>
      <c r="G1266">
        <v>1274</v>
      </c>
      <c r="H1266" s="115"/>
      <c r="I1266" s="115"/>
      <c r="L1266" s="169">
        <v>43868</v>
      </c>
      <c r="M1266" s="115">
        <v>248.65</v>
      </c>
      <c r="N1266" s="115">
        <v>250.9</v>
      </c>
      <c r="O1266" s="115">
        <v>245.1</v>
      </c>
      <c r="P1266" s="115">
        <v>247.85</v>
      </c>
      <c r="Q1266" s="115">
        <v>248.65</v>
      </c>
      <c r="R1266">
        <v>6388</v>
      </c>
    </row>
    <row r="1267" spans="1:18" x14ac:dyDescent="0.25">
      <c r="A1267" s="169">
        <v>43872</v>
      </c>
      <c r="B1267" s="115">
        <v>253</v>
      </c>
      <c r="C1267" s="115">
        <v>249.05</v>
      </c>
      <c r="D1267" s="115">
        <v>248</v>
      </c>
      <c r="E1267" s="115">
        <v>249.3</v>
      </c>
      <c r="F1267" s="115">
        <v>249.05</v>
      </c>
      <c r="G1267">
        <v>4329</v>
      </c>
      <c r="H1267" s="115"/>
      <c r="I1267" s="115"/>
      <c r="L1267" s="169">
        <v>43871</v>
      </c>
      <c r="M1267" s="115">
        <v>250</v>
      </c>
      <c r="N1267" s="115">
        <v>258.39999999999998</v>
      </c>
      <c r="O1267" s="115">
        <v>248.5</v>
      </c>
      <c r="P1267" s="115">
        <v>252.25</v>
      </c>
      <c r="Q1267" s="115">
        <v>250</v>
      </c>
      <c r="R1267">
        <v>42360</v>
      </c>
    </row>
    <row r="1268" spans="1:18" x14ac:dyDescent="0.25">
      <c r="A1268" s="169">
        <v>43873</v>
      </c>
      <c r="B1268" s="115">
        <v>249</v>
      </c>
      <c r="C1268" s="115">
        <v>246.55</v>
      </c>
      <c r="D1268" s="115">
        <v>246</v>
      </c>
      <c r="E1268" s="115">
        <v>248</v>
      </c>
      <c r="F1268" s="115">
        <v>246.55</v>
      </c>
      <c r="G1268">
        <v>2146</v>
      </c>
      <c r="H1268" s="115"/>
      <c r="I1268" s="115"/>
      <c r="L1268" s="169">
        <v>43872</v>
      </c>
      <c r="M1268" s="115">
        <v>249.1</v>
      </c>
      <c r="N1268" s="115">
        <v>255.5</v>
      </c>
      <c r="O1268" s="115">
        <v>248</v>
      </c>
      <c r="P1268" s="115">
        <v>250.3</v>
      </c>
      <c r="Q1268" s="115">
        <v>249.1</v>
      </c>
      <c r="R1268">
        <v>45566</v>
      </c>
    </row>
    <row r="1269" spans="1:18" x14ac:dyDescent="0.25">
      <c r="A1269" s="169">
        <v>43874</v>
      </c>
      <c r="B1269" s="115">
        <v>253.65</v>
      </c>
      <c r="C1269" s="115">
        <v>249.3</v>
      </c>
      <c r="D1269" s="115">
        <v>245.25</v>
      </c>
      <c r="E1269" s="115">
        <v>245.25</v>
      </c>
      <c r="F1269" s="115">
        <v>249.3</v>
      </c>
      <c r="G1269">
        <v>728</v>
      </c>
      <c r="H1269" s="115"/>
      <c r="I1269" s="115"/>
      <c r="L1269" s="169">
        <v>43873</v>
      </c>
      <c r="M1269" s="115">
        <v>245.9</v>
      </c>
      <c r="N1269" s="115">
        <v>250</v>
      </c>
      <c r="O1269" s="115">
        <v>245.1</v>
      </c>
      <c r="P1269" s="115">
        <v>248.9</v>
      </c>
      <c r="Q1269" s="115">
        <v>245.9</v>
      </c>
      <c r="R1269">
        <v>21400</v>
      </c>
    </row>
    <row r="1270" spans="1:18" x14ac:dyDescent="0.25">
      <c r="A1270" s="169">
        <v>43875</v>
      </c>
      <c r="B1270" s="115">
        <v>248.5</v>
      </c>
      <c r="C1270" s="115">
        <v>248.45</v>
      </c>
      <c r="D1270" s="115">
        <v>246</v>
      </c>
      <c r="E1270" s="115">
        <v>246.85</v>
      </c>
      <c r="F1270" s="115">
        <v>248.45</v>
      </c>
      <c r="G1270">
        <v>1320</v>
      </c>
      <c r="H1270" s="115"/>
      <c r="I1270" s="115"/>
      <c r="L1270" s="169">
        <v>43874</v>
      </c>
      <c r="M1270" s="115">
        <v>249.2</v>
      </c>
      <c r="N1270" s="115">
        <v>253.3</v>
      </c>
      <c r="O1270" s="115">
        <v>244.8</v>
      </c>
      <c r="P1270" s="115">
        <v>245.9</v>
      </c>
      <c r="Q1270" s="115">
        <v>249.2</v>
      </c>
      <c r="R1270">
        <v>27911</v>
      </c>
    </row>
    <row r="1271" spans="1:18" x14ac:dyDescent="0.25">
      <c r="A1271" s="169">
        <v>43878</v>
      </c>
      <c r="B1271" s="115">
        <v>251.05</v>
      </c>
      <c r="C1271" s="115">
        <v>250.05</v>
      </c>
      <c r="D1271" s="115">
        <v>248.1</v>
      </c>
      <c r="E1271" s="115">
        <v>251.05</v>
      </c>
      <c r="F1271" s="115">
        <v>250.05</v>
      </c>
      <c r="G1271">
        <v>363</v>
      </c>
      <c r="H1271" s="115"/>
      <c r="I1271" s="115"/>
      <c r="L1271" s="169">
        <v>43875</v>
      </c>
      <c r="M1271" s="115">
        <v>248.3</v>
      </c>
      <c r="N1271" s="115">
        <v>252</v>
      </c>
      <c r="O1271" s="115">
        <v>245.3</v>
      </c>
      <c r="P1271" s="115">
        <v>252</v>
      </c>
      <c r="Q1271" s="115">
        <v>248.3</v>
      </c>
      <c r="R1271">
        <v>30737</v>
      </c>
    </row>
    <row r="1272" spans="1:18" x14ac:dyDescent="0.25">
      <c r="A1272" s="169">
        <v>43879</v>
      </c>
      <c r="B1272" s="115">
        <v>288.8</v>
      </c>
      <c r="C1272" s="115">
        <v>275.89999999999998</v>
      </c>
      <c r="D1272" s="115">
        <v>265.89999999999998</v>
      </c>
      <c r="E1272" s="115">
        <v>268</v>
      </c>
      <c r="F1272" s="115">
        <v>275.89999999999998</v>
      </c>
      <c r="G1272">
        <v>76541</v>
      </c>
      <c r="H1272" s="115"/>
      <c r="I1272" s="115"/>
      <c r="L1272" s="169">
        <v>43878</v>
      </c>
      <c r="M1272" s="115">
        <v>249.6</v>
      </c>
      <c r="N1272" s="115">
        <v>254.4</v>
      </c>
      <c r="O1272" s="115">
        <v>247.15</v>
      </c>
      <c r="P1272" s="115">
        <v>248</v>
      </c>
      <c r="Q1272" s="115">
        <v>249.6</v>
      </c>
      <c r="R1272">
        <v>48146</v>
      </c>
    </row>
    <row r="1273" spans="1:18" x14ac:dyDescent="0.25">
      <c r="A1273" s="169">
        <v>43880</v>
      </c>
      <c r="B1273" s="115">
        <v>303</v>
      </c>
      <c r="C1273" s="115">
        <v>293.25</v>
      </c>
      <c r="D1273" s="115">
        <v>278.10000000000002</v>
      </c>
      <c r="E1273" s="115">
        <v>280</v>
      </c>
      <c r="F1273" s="115">
        <v>293.25</v>
      </c>
      <c r="G1273">
        <v>47561</v>
      </c>
      <c r="H1273" s="115"/>
      <c r="I1273" s="115"/>
      <c r="L1273" s="169">
        <v>43879</v>
      </c>
      <c r="M1273" s="115">
        <v>276.2</v>
      </c>
      <c r="N1273" s="115">
        <v>287.8</v>
      </c>
      <c r="O1273" s="115">
        <v>265.89999999999998</v>
      </c>
      <c r="P1273" s="115">
        <v>274</v>
      </c>
      <c r="Q1273" s="115">
        <v>276.2</v>
      </c>
      <c r="R1273">
        <v>1171551</v>
      </c>
    </row>
    <row r="1274" spans="1:18" x14ac:dyDescent="0.25">
      <c r="A1274" s="169">
        <v>43881</v>
      </c>
      <c r="B1274" s="115">
        <v>298.14999999999998</v>
      </c>
      <c r="C1274" s="115">
        <v>287.2</v>
      </c>
      <c r="D1274" s="115">
        <v>285.35000000000002</v>
      </c>
      <c r="E1274" s="115">
        <v>292.2</v>
      </c>
      <c r="F1274" s="115">
        <v>287.2</v>
      </c>
      <c r="G1274">
        <v>12001</v>
      </c>
      <c r="H1274" s="115"/>
      <c r="I1274" s="115"/>
      <c r="L1274" s="169">
        <v>43880</v>
      </c>
      <c r="M1274" s="115">
        <v>294.2</v>
      </c>
      <c r="N1274" s="115">
        <v>305</v>
      </c>
      <c r="O1274" s="115">
        <v>277.05</v>
      </c>
      <c r="P1274" s="115">
        <v>281</v>
      </c>
      <c r="Q1274" s="115">
        <v>294.2</v>
      </c>
      <c r="R1274">
        <v>847004</v>
      </c>
    </row>
    <row r="1275" spans="1:18" x14ac:dyDescent="0.25">
      <c r="A1275" s="169">
        <v>43885</v>
      </c>
      <c r="B1275" s="115">
        <v>295</v>
      </c>
      <c r="C1275" s="115">
        <v>285.39999999999998</v>
      </c>
      <c r="D1275" s="115">
        <v>280</v>
      </c>
      <c r="E1275" s="115">
        <v>280</v>
      </c>
      <c r="F1275" s="115">
        <v>285.39999999999998</v>
      </c>
      <c r="G1275">
        <v>10441</v>
      </c>
      <c r="H1275" s="115"/>
      <c r="I1275" s="115"/>
      <c r="L1275" s="169">
        <v>43881</v>
      </c>
      <c r="M1275" s="115">
        <v>287.5</v>
      </c>
      <c r="N1275" s="115">
        <v>297.75</v>
      </c>
      <c r="O1275" s="115">
        <v>285.39999999999998</v>
      </c>
      <c r="P1275" s="115">
        <v>296.5</v>
      </c>
      <c r="Q1275" s="115">
        <v>287.5</v>
      </c>
      <c r="R1275">
        <v>168405</v>
      </c>
    </row>
    <row r="1276" spans="1:18" x14ac:dyDescent="0.25">
      <c r="A1276" s="169">
        <v>43886</v>
      </c>
      <c r="B1276" s="115">
        <v>292.3</v>
      </c>
      <c r="C1276" s="115">
        <v>281.95</v>
      </c>
      <c r="D1276" s="115">
        <v>274.85000000000002</v>
      </c>
      <c r="E1276" s="115">
        <v>286</v>
      </c>
      <c r="F1276" s="115">
        <v>281.95</v>
      </c>
      <c r="G1276">
        <v>2723</v>
      </c>
      <c r="H1276" s="115"/>
      <c r="I1276" s="115"/>
      <c r="L1276" s="169">
        <v>43885</v>
      </c>
      <c r="M1276" s="115">
        <v>285.05</v>
      </c>
      <c r="N1276" s="115">
        <v>295.60000000000002</v>
      </c>
      <c r="O1276" s="115">
        <v>277</v>
      </c>
      <c r="P1276" s="115">
        <v>284.39999999999998</v>
      </c>
      <c r="Q1276" s="115">
        <v>285.05</v>
      </c>
      <c r="R1276">
        <v>166978</v>
      </c>
    </row>
    <row r="1277" spans="1:18" x14ac:dyDescent="0.25">
      <c r="A1277" s="169">
        <v>43887</v>
      </c>
      <c r="B1277" s="115">
        <v>284.45</v>
      </c>
      <c r="C1277" s="115">
        <v>278.95</v>
      </c>
      <c r="D1277" s="115">
        <v>268.95</v>
      </c>
      <c r="E1277" s="115">
        <v>282</v>
      </c>
      <c r="F1277" s="115">
        <v>278.95</v>
      </c>
      <c r="G1277">
        <v>11145</v>
      </c>
      <c r="H1277" s="115"/>
      <c r="I1277" s="115"/>
      <c r="L1277" s="169">
        <v>43886</v>
      </c>
      <c r="M1277" s="115">
        <v>281.39999999999998</v>
      </c>
      <c r="N1277" s="115">
        <v>292.89999999999998</v>
      </c>
      <c r="O1277" s="115">
        <v>273.2</v>
      </c>
      <c r="P1277" s="115">
        <v>289</v>
      </c>
      <c r="Q1277" s="115">
        <v>281.39999999999998</v>
      </c>
      <c r="R1277">
        <v>97639</v>
      </c>
    </row>
    <row r="1278" spans="1:18" x14ac:dyDescent="0.25">
      <c r="A1278" s="169">
        <v>43888</v>
      </c>
      <c r="B1278" s="115">
        <v>281.7</v>
      </c>
      <c r="C1278" s="115">
        <v>280.3</v>
      </c>
      <c r="D1278" s="115">
        <v>274</v>
      </c>
      <c r="E1278" s="115">
        <v>277.10000000000002</v>
      </c>
      <c r="F1278" s="115">
        <v>280.3</v>
      </c>
      <c r="G1278">
        <v>3761</v>
      </c>
      <c r="H1278" s="115"/>
      <c r="I1278" s="115"/>
      <c r="L1278" s="169">
        <v>43887</v>
      </c>
      <c r="M1278" s="115">
        <v>278.89999999999998</v>
      </c>
      <c r="N1278" s="115">
        <v>286</v>
      </c>
      <c r="O1278" s="115">
        <v>264</v>
      </c>
      <c r="P1278" s="115">
        <v>282.8</v>
      </c>
      <c r="Q1278" s="115">
        <v>278.89999999999998</v>
      </c>
      <c r="R1278">
        <v>70385</v>
      </c>
    </row>
    <row r="1279" spans="1:18" x14ac:dyDescent="0.25">
      <c r="A1279" s="169">
        <v>43889</v>
      </c>
      <c r="B1279" s="115">
        <v>273.60000000000002</v>
      </c>
      <c r="C1279" s="115">
        <v>263</v>
      </c>
      <c r="D1279" s="115">
        <v>261.05</v>
      </c>
      <c r="E1279" s="115">
        <v>271.05</v>
      </c>
      <c r="F1279" s="115">
        <v>263</v>
      </c>
      <c r="G1279">
        <v>4459</v>
      </c>
      <c r="H1279" s="115"/>
      <c r="I1279" s="115"/>
      <c r="L1279" s="169">
        <v>43888</v>
      </c>
      <c r="M1279" s="115">
        <v>279.05</v>
      </c>
      <c r="N1279" s="115">
        <v>280.05</v>
      </c>
      <c r="O1279" s="115">
        <v>272.35000000000002</v>
      </c>
      <c r="P1279" s="115">
        <v>280</v>
      </c>
      <c r="Q1279" s="115">
        <v>279.05</v>
      </c>
      <c r="R1279">
        <v>65170</v>
      </c>
    </row>
    <row r="1280" spans="1:18" x14ac:dyDescent="0.25">
      <c r="A1280" s="169">
        <v>43892</v>
      </c>
      <c r="B1280" s="115">
        <v>277.45</v>
      </c>
      <c r="C1280" s="115">
        <v>260.3</v>
      </c>
      <c r="D1280" s="115">
        <v>256.05</v>
      </c>
      <c r="E1280" s="115">
        <v>276.89999999999998</v>
      </c>
      <c r="F1280" s="115">
        <v>260.3</v>
      </c>
      <c r="G1280">
        <v>10657</v>
      </c>
      <c r="H1280" s="115"/>
      <c r="I1280" s="115"/>
      <c r="L1280" s="169">
        <v>43889</v>
      </c>
      <c r="M1280" s="115">
        <v>264.5</v>
      </c>
      <c r="N1280" s="115">
        <v>273.55</v>
      </c>
      <c r="O1280" s="115">
        <v>260.95</v>
      </c>
      <c r="P1280" s="115">
        <v>270</v>
      </c>
      <c r="Q1280" s="115">
        <v>264.5</v>
      </c>
      <c r="R1280">
        <v>112327</v>
      </c>
    </row>
    <row r="1281" spans="1:18" x14ac:dyDescent="0.25">
      <c r="A1281" s="169">
        <v>43893</v>
      </c>
      <c r="B1281" s="115">
        <v>264.7</v>
      </c>
      <c r="C1281" s="115">
        <v>260</v>
      </c>
      <c r="D1281" s="115">
        <v>257</v>
      </c>
      <c r="E1281" s="115">
        <v>263.7</v>
      </c>
      <c r="F1281" s="115">
        <v>260</v>
      </c>
      <c r="G1281">
        <v>1743</v>
      </c>
      <c r="H1281" s="115"/>
      <c r="I1281" s="115"/>
      <c r="L1281" s="169">
        <v>43892</v>
      </c>
      <c r="M1281" s="115">
        <v>259.85000000000002</v>
      </c>
      <c r="N1281" s="115">
        <v>278</v>
      </c>
      <c r="O1281" s="115">
        <v>256.05</v>
      </c>
      <c r="P1281" s="115">
        <v>276</v>
      </c>
      <c r="Q1281" s="115">
        <v>259.85000000000002</v>
      </c>
      <c r="R1281">
        <v>77433</v>
      </c>
    </row>
    <row r="1282" spans="1:18" x14ac:dyDescent="0.25">
      <c r="A1282" s="169">
        <v>43894</v>
      </c>
      <c r="B1282" s="115">
        <v>260.10000000000002</v>
      </c>
      <c r="C1282" s="115">
        <v>255.25</v>
      </c>
      <c r="D1282" s="115">
        <v>252</v>
      </c>
      <c r="E1282" s="115">
        <v>258.75</v>
      </c>
      <c r="F1282" s="115">
        <v>255.25</v>
      </c>
      <c r="G1282">
        <v>4673</v>
      </c>
      <c r="H1282" s="115"/>
      <c r="I1282" s="115"/>
      <c r="L1282" s="169">
        <v>43893</v>
      </c>
      <c r="M1282" s="115">
        <v>261</v>
      </c>
      <c r="N1282" s="115">
        <v>265</v>
      </c>
      <c r="O1282" s="115">
        <v>256.85000000000002</v>
      </c>
      <c r="P1282" s="115">
        <v>264.8</v>
      </c>
      <c r="Q1282" s="115">
        <v>261</v>
      </c>
      <c r="R1282">
        <v>25992</v>
      </c>
    </row>
    <row r="1283" spans="1:18" x14ac:dyDescent="0.25">
      <c r="A1283" s="169">
        <v>43895</v>
      </c>
      <c r="B1283" s="115">
        <v>269</v>
      </c>
      <c r="C1283" s="115">
        <v>264.35000000000002</v>
      </c>
      <c r="D1283" s="115">
        <v>258.25</v>
      </c>
      <c r="E1283" s="115">
        <v>262</v>
      </c>
      <c r="F1283" s="115">
        <v>264.35000000000002</v>
      </c>
      <c r="G1283">
        <v>948</v>
      </c>
      <c r="H1283" s="115"/>
      <c r="I1283" s="115"/>
      <c r="L1283" s="169">
        <v>43894</v>
      </c>
      <c r="M1283" s="115">
        <v>254.6</v>
      </c>
      <c r="N1283" s="115">
        <v>263.89999999999998</v>
      </c>
      <c r="O1283" s="115">
        <v>253.1</v>
      </c>
      <c r="P1283" s="115">
        <v>263.89999999999998</v>
      </c>
      <c r="Q1283" s="115">
        <v>254.6</v>
      </c>
      <c r="R1283">
        <v>64636</v>
      </c>
    </row>
    <row r="1284" spans="1:18" x14ac:dyDescent="0.25">
      <c r="A1284" s="169">
        <v>43896</v>
      </c>
      <c r="B1284" s="115">
        <v>272.14999999999998</v>
      </c>
      <c r="C1284" s="115">
        <v>261.55</v>
      </c>
      <c r="D1284" s="115">
        <v>252</v>
      </c>
      <c r="E1284" s="115">
        <v>258.25</v>
      </c>
      <c r="F1284" s="115">
        <v>261.55</v>
      </c>
      <c r="G1284">
        <v>3612</v>
      </c>
      <c r="H1284" s="115"/>
      <c r="I1284" s="115"/>
      <c r="L1284" s="169">
        <v>43895</v>
      </c>
      <c r="M1284" s="115">
        <v>265.55</v>
      </c>
      <c r="N1284" s="115">
        <v>269</v>
      </c>
      <c r="O1284" s="115">
        <v>256.14999999999998</v>
      </c>
      <c r="P1284" s="115">
        <v>257.89999999999998</v>
      </c>
      <c r="Q1284" s="115">
        <v>265.55</v>
      </c>
      <c r="R1284">
        <v>51345</v>
      </c>
    </row>
    <row r="1285" spans="1:18" x14ac:dyDescent="0.25">
      <c r="A1285" s="169">
        <v>43899</v>
      </c>
      <c r="B1285" s="115">
        <v>258.25</v>
      </c>
      <c r="C1285" s="115">
        <v>252.25</v>
      </c>
      <c r="D1285" s="115">
        <v>251.1</v>
      </c>
      <c r="E1285" s="115">
        <v>255.15</v>
      </c>
      <c r="F1285" s="115">
        <v>252.25</v>
      </c>
      <c r="G1285">
        <v>2596</v>
      </c>
      <c r="H1285" s="115"/>
      <c r="I1285" s="115"/>
      <c r="L1285" s="169">
        <v>43896</v>
      </c>
      <c r="M1285" s="115">
        <v>261.35000000000002</v>
      </c>
      <c r="N1285" s="115">
        <v>272</v>
      </c>
      <c r="O1285" s="115">
        <v>251.45</v>
      </c>
      <c r="P1285" s="115">
        <v>255.25</v>
      </c>
      <c r="Q1285" s="115">
        <v>261.35000000000002</v>
      </c>
      <c r="R1285">
        <v>64765</v>
      </c>
    </row>
    <row r="1286" spans="1:18" x14ac:dyDescent="0.25">
      <c r="A1286" s="169">
        <v>43901</v>
      </c>
      <c r="B1286" s="115">
        <v>260</v>
      </c>
      <c r="C1286" s="115">
        <v>257.89999999999998</v>
      </c>
      <c r="D1286" s="115">
        <v>254.4</v>
      </c>
      <c r="E1286" s="115">
        <v>254.4</v>
      </c>
      <c r="F1286" s="115">
        <v>257.89999999999998</v>
      </c>
      <c r="G1286">
        <v>2090</v>
      </c>
      <c r="H1286" s="115"/>
      <c r="I1286" s="115"/>
      <c r="L1286" s="169">
        <v>43899</v>
      </c>
      <c r="M1286" s="115">
        <v>251.7</v>
      </c>
      <c r="N1286" s="115">
        <v>258.60000000000002</v>
      </c>
      <c r="O1286" s="115">
        <v>250</v>
      </c>
      <c r="P1286" s="115">
        <v>254</v>
      </c>
      <c r="Q1286" s="115">
        <v>251.7</v>
      </c>
      <c r="R1286">
        <v>48881</v>
      </c>
    </row>
    <row r="1287" spans="1:18" x14ac:dyDescent="0.25">
      <c r="A1287" s="169">
        <v>43902</v>
      </c>
      <c r="B1287" s="115">
        <v>251.05</v>
      </c>
      <c r="C1287" s="115">
        <v>241.6</v>
      </c>
      <c r="D1287" s="115">
        <v>238.1</v>
      </c>
      <c r="E1287" s="115">
        <v>251.05</v>
      </c>
      <c r="F1287" s="115">
        <v>241.6</v>
      </c>
      <c r="G1287">
        <v>7195</v>
      </c>
      <c r="H1287" s="115"/>
      <c r="I1287" s="115"/>
      <c r="L1287" s="169">
        <v>43901</v>
      </c>
      <c r="M1287" s="115">
        <v>257.45</v>
      </c>
      <c r="N1287" s="115">
        <v>260.25</v>
      </c>
      <c r="O1287" s="115">
        <v>248.1</v>
      </c>
      <c r="P1287" s="115">
        <v>251.7</v>
      </c>
      <c r="Q1287" s="115">
        <v>257.45</v>
      </c>
      <c r="R1287">
        <v>30258</v>
      </c>
    </row>
    <row r="1288" spans="1:18" x14ac:dyDescent="0.25">
      <c r="A1288" s="169">
        <v>43903</v>
      </c>
      <c r="B1288" s="115">
        <v>248.55</v>
      </c>
      <c r="C1288" s="115">
        <v>230.7</v>
      </c>
      <c r="D1288" s="115">
        <v>195.1</v>
      </c>
      <c r="E1288" s="115">
        <v>232.75</v>
      </c>
      <c r="F1288" s="115">
        <v>230.7</v>
      </c>
      <c r="G1288">
        <v>5564</v>
      </c>
      <c r="H1288" s="115"/>
      <c r="I1288" s="115"/>
      <c r="L1288" s="169">
        <v>43902</v>
      </c>
      <c r="M1288" s="115">
        <v>241.3</v>
      </c>
      <c r="N1288" s="115">
        <v>251.1</v>
      </c>
      <c r="O1288" s="115">
        <v>237.5</v>
      </c>
      <c r="P1288" s="115">
        <v>251.1</v>
      </c>
      <c r="Q1288" s="115">
        <v>241.3</v>
      </c>
      <c r="R1288">
        <v>61728</v>
      </c>
    </row>
    <row r="1289" spans="1:18" x14ac:dyDescent="0.25">
      <c r="A1289" s="169">
        <v>43906</v>
      </c>
      <c r="B1289" s="115">
        <v>249.15</v>
      </c>
      <c r="C1289" s="115">
        <v>231.9</v>
      </c>
      <c r="D1289" s="115">
        <v>226.1</v>
      </c>
      <c r="E1289" s="115">
        <v>231.55</v>
      </c>
      <c r="F1289" s="115">
        <v>231.9</v>
      </c>
      <c r="G1289">
        <v>5421</v>
      </c>
      <c r="H1289" s="115"/>
      <c r="I1289" s="115"/>
      <c r="L1289" s="169">
        <v>43903</v>
      </c>
      <c r="M1289" s="115">
        <v>233.9</v>
      </c>
      <c r="N1289" s="115">
        <v>251.05</v>
      </c>
      <c r="O1289" s="115">
        <v>200</v>
      </c>
      <c r="P1289" s="115">
        <v>207.25</v>
      </c>
      <c r="Q1289" s="115">
        <v>233.9</v>
      </c>
      <c r="R1289">
        <v>128709</v>
      </c>
    </row>
    <row r="1290" spans="1:18" x14ac:dyDescent="0.25">
      <c r="A1290" s="169">
        <v>43907</v>
      </c>
      <c r="B1290" s="115">
        <v>232.3</v>
      </c>
      <c r="C1290" s="115">
        <v>226.05</v>
      </c>
      <c r="D1290" s="115">
        <v>222</v>
      </c>
      <c r="E1290" s="115">
        <v>230.1</v>
      </c>
      <c r="F1290" s="115">
        <v>226.05</v>
      </c>
      <c r="G1290">
        <v>3189</v>
      </c>
      <c r="H1290" s="115"/>
      <c r="I1290" s="115"/>
      <c r="L1290" s="169">
        <v>43906</v>
      </c>
      <c r="M1290" s="115">
        <v>231.45</v>
      </c>
      <c r="N1290" s="115">
        <v>249</v>
      </c>
      <c r="O1290" s="115">
        <v>224.5</v>
      </c>
      <c r="P1290" s="115">
        <v>224.5</v>
      </c>
      <c r="Q1290" s="115">
        <v>231.45</v>
      </c>
      <c r="R1290">
        <v>94579</v>
      </c>
    </row>
    <row r="1291" spans="1:18" x14ac:dyDescent="0.25">
      <c r="A1291" s="169">
        <v>43908</v>
      </c>
      <c r="B1291" s="115">
        <v>223.9</v>
      </c>
      <c r="C1291" s="115">
        <v>211.2</v>
      </c>
      <c r="D1291" s="115">
        <v>209.25</v>
      </c>
      <c r="E1291" s="115">
        <v>223.9</v>
      </c>
      <c r="F1291" s="115">
        <v>211.2</v>
      </c>
      <c r="G1291">
        <v>2782</v>
      </c>
      <c r="H1291" s="115"/>
      <c r="I1291" s="115"/>
      <c r="L1291" s="169">
        <v>43907</v>
      </c>
      <c r="M1291" s="115">
        <v>224.75</v>
      </c>
      <c r="N1291" s="115">
        <v>234.8</v>
      </c>
      <c r="O1291" s="115">
        <v>220.1</v>
      </c>
      <c r="P1291" s="115">
        <v>232.1</v>
      </c>
      <c r="Q1291" s="115">
        <v>224.75</v>
      </c>
      <c r="R1291">
        <v>41514</v>
      </c>
    </row>
    <row r="1292" spans="1:18" x14ac:dyDescent="0.25">
      <c r="A1292" s="169">
        <v>43909</v>
      </c>
      <c r="B1292" s="115">
        <v>209</v>
      </c>
      <c r="C1292" s="115">
        <v>196</v>
      </c>
      <c r="D1292" s="115">
        <v>191.05</v>
      </c>
      <c r="E1292" s="115">
        <v>198</v>
      </c>
      <c r="F1292" s="115">
        <v>196</v>
      </c>
      <c r="G1292">
        <v>7157</v>
      </c>
      <c r="H1292" s="115"/>
      <c r="I1292" s="115"/>
      <c r="L1292" s="169">
        <v>43908</v>
      </c>
      <c r="M1292" s="115">
        <v>214.15</v>
      </c>
      <c r="N1292" s="115">
        <v>235</v>
      </c>
      <c r="O1292" s="115">
        <v>207.05</v>
      </c>
      <c r="P1292" s="115">
        <v>224</v>
      </c>
      <c r="Q1292" s="115">
        <v>214.15</v>
      </c>
      <c r="R1292">
        <v>24016</v>
      </c>
    </row>
    <row r="1293" spans="1:18" x14ac:dyDescent="0.25">
      <c r="A1293" s="169">
        <v>43910</v>
      </c>
      <c r="B1293" s="115">
        <v>215.8</v>
      </c>
      <c r="C1293" s="115">
        <v>202.3</v>
      </c>
      <c r="D1293" s="115">
        <v>196</v>
      </c>
      <c r="E1293" s="115">
        <v>204.5</v>
      </c>
      <c r="F1293" s="115">
        <v>202.3</v>
      </c>
      <c r="G1293">
        <v>2421</v>
      </c>
      <c r="H1293" s="115"/>
      <c r="I1293" s="115"/>
      <c r="L1293" s="169">
        <v>43909</v>
      </c>
      <c r="M1293" s="115">
        <v>196</v>
      </c>
      <c r="N1293" s="115">
        <v>209.95</v>
      </c>
      <c r="O1293" s="115">
        <v>190.5</v>
      </c>
      <c r="P1293" s="115">
        <v>205</v>
      </c>
      <c r="Q1293" s="115">
        <v>196</v>
      </c>
      <c r="R1293">
        <v>50803</v>
      </c>
    </row>
    <row r="1294" spans="1:18" x14ac:dyDescent="0.25">
      <c r="A1294" s="169">
        <v>43913</v>
      </c>
      <c r="B1294" s="115">
        <v>220</v>
      </c>
      <c r="C1294" s="115">
        <v>169.55</v>
      </c>
      <c r="D1294" s="115">
        <v>166</v>
      </c>
      <c r="E1294" s="115">
        <v>202.3</v>
      </c>
      <c r="F1294" s="115">
        <v>169.55</v>
      </c>
      <c r="G1294">
        <v>5537</v>
      </c>
      <c r="H1294" s="115"/>
      <c r="I1294" s="115"/>
      <c r="L1294" s="169">
        <v>43910</v>
      </c>
      <c r="M1294" s="115">
        <v>202.35</v>
      </c>
      <c r="N1294" s="115">
        <v>215.1</v>
      </c>
      <c r="O1294" s="115">
        <v>195.9</v>
      </c>
      <c r="P1294" s="115">
        <v>200.15</v>
      </c>
      <c r="Q1294" s="115">
        <v>202.35</v>
      </c>
      <c r="R1294">
        <v>75655</v>
      </c>
    </row>
    <row r="1295" spans="1:18" x14ac:dyDescent="0.25">
      <c r="A1295" s="169">
        <v>43914</v>
      </c>
      <c r="B1295" s="115">
        <v>188.5</v>
      </c>
      <c r="C1295" s="115">
        <v>180.15</v>
      </c>
      <c r="D1295" s="115">
        <v>165</v>
      </c>
      <c r="E1295" s="115">
        <v>171.95</v>
      </c>
      <c r="F1295" s="115">
        <v>180.15</v>
      </c>
      <c r="G1295">
        <v>3530</v>
      </c>
      <c r="H1295" s="115"/>
      <c r="I1295" s="115"/>
      <c r="L1295" s="169">
        <v>43913</v>
      </c>
      <c r="M1295" s="115">
        <v>171.45</v>
      </c>
      <c r="N1295" s="115">
        <v>191</v>
      </c>
      <c r="O1295" s="115">
        <v>161.9</v>
      </c>
      <c r="P1295" s="115">
        <v>191</v>
      </c>
      <c r="Q1295" s="115">
        <v>171.45</v>
      </c>
      <c r="R1295">
        <v>70539</v>
      </c>
    </row>
    <row r="1296" spans="1:18" x14ac:dyDescent="0.25">
      <c r="A1296" s="169">
        <v>43915</v>
      </c>
      <c r="B1296" s="115">
        <v>198.2</v>
      </c>
      <c r="C1296" s="115">
        <v>195</v>
      </c>
      <c r="D1296" s="115">
        <v>178.2</v>
      </c>
      <c r="E1296" s="115">
        <v>178.2</v>
      </c>
      <c r="F1296" s="115">
        <v>195</v>
      </c>
      <c r="G1296">
        <v>2562</v>
      </c>
      <c r="H1296" s="115"/>
      <c r="I1296" s="115"/>
      <c r="L1296" s="169">
        <v>43914</v>
      </c>
      <c r="M1296" s="115">
        <v>181.35</v>
      </c>
      <c r="N1296" s="115">
        <v>189</v>
      </c>
      <c r="O1296" s="115">
        <v>166.1</v>
      </c>
      <c r="P1296" s="115">
        <v>180</v>
      </c>
      <c r="Q1296" s="115">
        <v>181.35</v>
      </c>
      <c r="R1296">
        <v>42744</v>
      </c>
    </row>
    <row r="1297" spans="1:18" x14ac:dyDescent="0.25">
      <c r="A1297" s="169">
        <v>43916</v>
      </c>
      <c r="B1297" s="115">
        <v>212.4</v>
      </c>
      <c r="C1297" s="115">
        <v>198.25</v>
      </c>
      <c r="D1297" s="115">
        <v>196.35</v>
      </c>
      <c r="E1297" s="115">
        <v>196.75</v>
      </c>
      <c r="F1297" s="115">
        <v>198.25</v>
      </c>
      <c r="G1297">
        <v>3206</v>
      </c>
      <c r="H1297" s="115"/>
      <c r="I1297" s="115"/>
      <c r="L1297" s="169">
        <v>43915</v>
      </c>
      <c r="M1297" s="115">
        <v>195.6</v>
      </c>
      <c r="N1297" s="115">
        <v>199</v>
      </c>
      <c r="O1297" s="115">
        <v>178</v>
      </c>
      <c r="P1297" s="115">
        <v>180.95</v>
      </c>
      <c r="Q1297" s="115">
        <v>195.6</v>
      </c>
      <c r="R1297">
        <v>31865</v>
      </c>
    </row>
    <row r="1298" spans="1:18" x14ac:dyDescent="0.25">
      <c r="A1298" s="169">
        <v>43917</v>
      </c>
      <c r="B1298" s="115">
        <v>205.15</v>
      </c>
      <c r="C1298" s="115">
        <v>200.85</v>
      </c>
      <c r="D1298" s="115">
        <v>192.1</v>
      </c>
      <c r="E1298" s="115">
        <v>205.15</v>
      </c>
      <c r="F1298" s="115">
        <v>200.85</v>
      </c>
      <c r="G1298">
        <v>838</v>
      </c>
      <c r="H1298" s="115"/>
      <c r="I1298" s="115"/>
      <c r="L1298" s="169">
        <v>43916</v>
      </c>
      <c r="M1298" s="115">
        <v>198.05</v>
      </c>
      <c r="N1298" s="115">
        <v>212</v>
      </c>
      <c r="O1298" s="115">
        <v>191.9</v>
      </c>
      <c r="P1298" s="115">
        <v>195.6</v>
      </c>
      <c r="Q1298" s="115">
        <v>198.05</v>
      </c>
      <c r="R1298">
        <v>48085</v>
      </c>
    </row>
    <row r="1299" spans="1:18" x14ac:dyDescent="0.25">
      <c r="A1299" s="169">
        <v>43920</v>
      </c>
      <c r="B1299" s="115">
        <v>201.35</v>
      </c>
      <c r="C1299" s="115">
        <v>196.8</v>
      </c>
      <c r="D1299" s="115">
        <v>192.05</v>
      </c>
      <c r="E1299" s="115">
        <v>196.1</v>
      </c>
      <c r="F1299" s="115">
        <v>196.8</v>
      </c>
      <c r="G1299">
        <v>448</v>
      </c>
      <c r="H1299" s="115"/>
      <c r="I1299" s="115"/>
      <c r="L1299" s="169">
        <v>43917</v>
      </c>
      <c r="M1299" s="115">
        <v>198.1</v>
      </c>
      <c r="N1299" s="115">
        <v>207.5</v>
      </c>
      <c r="O1299" s="115">
        <v>192</v>
      </c>
      <c r="P1299" s="115">
        <v>205.15</v>
      </c>
      <c r="Q1299" s="115">
        <v>198.1</v>
      </c>
      <c r="R1299">
        <v>127892</v>
      </c>
    </row>
    <row r="1300" spans="1:18" x14ac:dyDescent="0.25">
      <c r="A1300" s="169">
        <v>43921</v>
      </c>
      <c r="B1300" s="115">
        <v>203.25</v>
      </c>
      <c r="C1300" s="115">
        <v>195.75</v>
      </c>
      <c r="D1300" s="115">
        <v>192</v>
      </c>
      <c r="E1300" s="115">
        <v>203.25</v>
      </c>
      <c r="F1300" s="115">
        <v>195.75</v>
      </c>
      <c r="G1300">
        <v>3845</v>
      </c>
      <c r="H1300" s="115"/>
      <c r="I1300" s="115"/>
      <c r="L1300" s="169">
        <v>43920</v>
      </c>
      <c r="M1300" s="115">
        <v>194.35</v>
      </c>
      <c r="N1300" s="115">
        <v>204</v>
      </c>
      <c r="O1300" s="115">
        <v>192.05</v>
      </c>
      <c r="P1300" s="115">
        <v>204</v>
      </c>
      <c r="Q1300" s="115">
        <v>194.35</v>
      </c>
      <c r="R1300">
        <v>7583</v>
      </c>
    </row>
    <row r="1301" spans="1:18" x14ac:dyDescent="0.25">
      <c r="A1301" s="169">
        <v>43922</v>
      </c>
      <c r="B1301" s="115">
        <v>200.95</v>
      </c>
      <c r="C1301" s="115">
        <v>196.75</v>
      </c>
      <c r="D1301" s="115">
        <v>196</v>
      </c>
      <c r="E1301" s="115">
        <v>200</v>
      </c>
      <c r="F1301" s="115">
        <v>196.75</v>
      </c>
      <c r="G1301">
        <v>598</v>
      </c>
      <c r="H1301" s="115"/>
      <c r="I1301" s="115"/>
      <c r="L1301" s="169">
        <v>43921</v>
      </c>
      <c r="M1301" s="115">
        <v>195.6</v>
      </c>
      <c r="N1301" s="115">
        <v>204</v>
      </c>
      <c r="O1301" s="115">
        <v>187.7</v>
      </c>
      <c r="P1301" s="115">
        <v>204</v>
      </c>
      <c r="Q1301" s="115">
        <v>195.6</v>
      </c>
      <c r="R1301">
        <v>25373</v>
      </c>
    </row>
    <row r="1302" spans="1:18" x14ac:dyDescent="0.25">
      <c r="A1302" s="169">
        <v>43924</v>
      </c>
      <c r="B1302" s="115">
        <v>201</v>
      </c>
      <c r="C1302" s="115">
        <v>198.65</v>
      </c>
      <c r="D1302" s="115">
        <v>195.3</v>
      </c>
      <c r="E1302" s="115">
        <v>196.95</v>
      </c>
      <c r="F1302" s="115">
        <v>198.65</v>
      </c>
      <c r="G1302">
        <v>512</v>
      </c>
      <c r="H1302" s="115"/>
      <c r="I1302" s="115"/>
      <c r="L1302" s="169">
        <v>43922</v>
      </c>
      <c r="M1302" s="115">
        <v>197.55</v>
      </c>
      <c r="N1302" s="115">
        <v>201</v>
      </c>
      <c r="O1302" s="115">
        <v>194.55</v>
      </c>
      <c r="P1302" s="115">
        <v>201</v>
      </c>
      <c r="Q1302" s="115">
        <v>197.55</v>
      </c>
      <c r="R1302">
        <v>5323</v>
      </c>
    </row>
    <row r="1303" spans="1:18" x14ac:dyDescent="0.25">
      <c r="A1303" s="169">
        <v>43928</v>
      </c>
      <c r="B1303" s="115">
        <v>210.2</v>
      </c>
      <c r="C1303" s="115">
        <v>202.75</v>
      </c>
      <c r="D1303" s="115">
        <v>200.15</v>
      </c>
      <c r="E1303" s="115">
        <v>200.15</v>
      </c>
      <c r="F1303" s="115">
        <v>202.75</v>
      </c>
      <c r="G1303">
        <v>15871</v>
      </c>
      <c r="H1303" s="115"/>
      <c r="I1303" s="115"/>
      <c r="L1303" s="169">
        <v>43924</v>
      </c>
      <c r="M1303" s="115">
        <v>196.95</v>
      </c>
      <c r="N1303" s="115">
        <v>200.65</v>
      </c>
      <c r="O1303" s="115">
        <v>195.85</v>
      </c>
      <c r="P1303" s="115">
        <v>198.05</v>
      </c>
      <c r="Q1303" s="115">
        <v>196.95</v>
      </c>
      <c r="R1303">
        <v>18925</v>
      </c>
    </row>
    <row r="1304" spans="1:18" x14ac:dyDescent="0.25">
      <c r="A1304" s="169">
        <v>43929</v>
      </c>
      <c r="B1304" s="115">
        <v>209.9</v>
      </c>
      <c r="C1304" s="115">
        <v>203.1</v>
      </c>
      <c r="D1304" s="115">
        <v>202</v>
      </c>
      <c r="E1304" s="115">
        <v>209.05</v>
      </c>
      <c r="F1304" s="115">
        <v>203.1</v>
      </c>
      <c r="G1304">
        <v>17181</v>
      </c>
      <c r="H1304" s="115"/>
      <c r="I1304" s="115"/>
      <c r="L1304" s="169">
        <v>43928</v>
      </c>
      <c r="M1304" s="115">
        <v>202.4</v>
      </c>
      <c r="N1304" s="115">
        <v>210</v>
      </c>
      <c r="O1304" s="115">
        <v>199</v>
      </c>
      <c r="P1304" s="115">
        <v>201</v>
      </c>
      <c r="Q1304" s="115">
        <v>202.4</v>
      </c>
      <c r="R1304">
        <v>93148</v>
      </c>
    </row>
    <row r="1305" spans="1:18" x14ac:dyDescent="0.25">
      <c r="A1305" s="169">
        <v>43930</v>
      </c>
      <c r="B1305" s="115">
        <v>221</v>
      </c>
      <c r="C1305" s="115">
        <v>207.55</v>
      </c>
      <c r="D1305" s="115">
        <v>206</v>
      </c>
      <c r="E1305" s="115">
        <v>207</v>
      </c>
      <c r="F1305" s="115">
        <v>207.55</v>
      </c>
      <c r="G1305">
        <v>29111</v>
      </c>
      <c r="H1305" s="115"/>
      <c r="I1305" s="115"/>
      <c r="L1305" s="169">
        <v>43929</v>
      </c>
      <c r="M1305" s="115">
        <v>203.85</v>
      </c>
      <c r="N1305" s="115">
        <v>213.5</v>
      </c>
      <c r="O1305" s="115">
        <v>202.55</v>
      </c>
      <c r="P1305" s="115">
        <v>213.5</v>
      </c>
      <c r="Q1305" s="115">
        <v>203.85</v>
      </c>
      <c r="R1305">
        <v>103453</v>
      </c>
    </row>
    <row r="1306" spans="1:18" x14ac:dyDescent="0.25">
      <c r="A1306" s="169">
        <v>43934</v>
      </c>
      <c r="B1306" s="115">
        <v>214.5</v>
      </c>
      <c r="C1306" s="115">
        <v>213.15</v>
      </c>
      <c r="D1306" s="115">
        <v>201.3</v>
      </c>
      <c r="E1306" s="115">
        <v>206</v>
      </c>
      <c r="F1306" s="115">
        <v>213.15</v>
      </c>
      <c r="G1306">
        <v>7237</v>
      </c>
      <c r="H1306" s="115"/>
      <c r="I1306" s="115"/>
      <c r="L1306" s="169">
        <v>43930</v>
      </c>
      <c r="M1306" s="115">
        <v>207.55</v>
      </c>
      <c r="N1306" s="115">
        <v>223</v>
      </c>
      <c r="O1306" s="115">
        <v>203.2</v>
      </c>
      <c r="P1306" s="115">
        <v>206</v>
      </c>
      <c r="Q1306" s="115">
        <v>207.55</v>
      </c>
      <c r="R1306">
        <v>306085</v>
      </c>
    </row>
    <row r="1307" spans="1:18" x14ac:dyDescent="0.25">
      <c r="A1307" s="169">
        <v>43936</v>
      </c>
      <c r="B1307" s="115">
        <v>215</v>
      </c>
      <c r="C1307" s="115">
        <v>207.05</v>
      </c>
      <c r="D1307" s="115">
        <v>207</v>
      </c>
      <c r="E1307" s="115">
        <v>214</v>
      </c>
      <c r="F1307" s="115">
        <v>207.05</v>
      </c>
      <c r="G1307">
        <v>2485</v>
      </c>
      <c r="H1307" s="115"/>
      <c r="I1307" s="115"/>
      <c r="L1307" s="169">
        <v>43934</v>
      </c>
      <c r="M1307" s="115">
        <v>213.25</v>
      </c>
      <c r="N1307" s="115">
        <v>214.5</v>
      </c>
      <c r="O1307" s="115">
        <v>202.85</v>
      </c>
      <c r="P1307" s="115">
        <v>211.7</v>
      </c>
      <c r="Q1307" s="115">
        <v>213.25</v>
      </c>
      <c r="R1307">
        <v>122055</v>
      </c>
    </row>
    <row r="1308" spans="1:18" x14ac:dyDescent="0.25">
      <c r="A1308" s="169">
        <v>43937</v>
      </c>
      <c r="B1308" s="115">
        <v>213.35</v>
      </c>
      <c r="C1308" s="115">
        <v>211.3</v>
      </c>
      <c r="D1308" s="115">
        <v>207</v>
      </c>
      <c r="E1308" s="115">
        <v>207</v>
      </c>
      <c r="F1308" s="115">
        <v>211.3</v>
      </c>
      <c r="G1308">
        <v>2443</v>
      </c>
      <c r="H1308" s="115"/>
      <c r="I1308" s="115"/>
      <c r="L1308" s="169">
        <v>43936</v>
      </c>
      <c r="M1308" s="115">
        <v>207.2</v>
      </c>
      <c r="N1308" s="115">
        <v>215.5</v>
      </c>
      <c r="O1308" s="115">
        <v>207</v>
      </c>
      <c r="P1308" s="115">
        <v>214.25</v>
      </c>
      <c r="Q1308" s="115">
        <v>207.2</v>
      </c>
      <c r="R1308">
        <v>81096</v>
      </c>
    </row>
    <row r="1309" spans="1:18" x14ac:dyDescent="0.25">
      <c r="A1309" s="169">
        <v>43938</v>
      </c>
      <c r="B1309" s="115">
        <v>214.45</v>
      </c>
      <c r="C1309" s="115">
        <v>213.4</v>
      </c>
      <c r="D1309" s="115">
        <v>210.2</v>
      </c>
      <c r="E1309" s="115">
        <v>214</v>
      </c>
      <c r="F1309" s="115">
        <v>213.4</v>
      </c>
      <c r="G1309">
        <v>2471</v>
      </c>
      <c r="H1309" s="115"/>
      <c r="I1309" s="115"/>
      <c r="L1309" s="169">
        <v>43937</v>
      </c>
      <c r="M1309" s="115">
        <v>210.45</v>
      </c>
      <c r="N1309" s="115">
        <v>213.5</v>
      </c>
      <c r="O1309" s="115">
        <v>206.3</v>
      </c>
      <c r="P1309" s="115">
        <v>207.25</v>
      </c>
      <c r="Q1309" s="115">
        <v>210.45</v>
      </c>
      <c r="R1309">
        <v>39135</v>
      </c>
    </row>
    <row r="1310" spans="1:18" x14ac:dyDescent="0.25">
      <c r="A1310" s="169">
        <v>43941</v>
      </c>
      <c r="B1310" s="115">
        <v>235</v>
      </c>
      <c r="C1310" s="115">
        <v>224.25</v>
      </c>
      <c r="D1310" s="115">
        <v>210.3</v>
      </c>
      <c r="E1310" s="115">
        <v>215</v>
      </c>
      <c r="F1310" s="115">
        <v>224.25</v>
      </c>
      <c r="G1310">
        <v>8869</v>
      </c>
      <c r="H1310" s="115"/>
      <c r="I1310" s="115"/>
      <c r="L1310" s="169">
        <v>43938</v>
      </c>
      <c r="M1310" s="115">
        <v>212.6</v>
      </c>
      <c r="N1310" s="115">
        <v>215.05</v>
      </c>
      <c r="O1310" s="115">
        <v>210.7</v>
      </c>
      <c r="P1310" s="115">
        <v>215.05</v>
      </c>
      <c r="Q1310" s="115">
        <v>212.6</v>
      </c>
      <c r="R1310">
        <v>49343</v>
      </c>
    </row>
    <row r="1311" spans="1:18" x14ac:dyDescent="0.25">
      <c r="A1311" s="169">
        <v>43942</v>
      </c>
      <c r="B1311" s="115">
        <v>222</v>
      </c>
      <c r="C1311" s="115">
        <v>208.95</v>
      </c>
      <c r="D1311" s="115">
        <v>207</v>
      </c>
      <c r="E1311" s="115">
        <v>222</v>
      </c>
      <c r="F1311" s="115">
        <v>208.95</v>
      </c>
      <c r="G1311">
        <v>8005</v>
      </c>
      <c r="H1311" s="115"/>
      <c r="I1311" s="115"/>
      <c r="L1311" s="169">
        <v>43941</v>
      </c>
      <c r="M1311" s="115">
        <v>225.55</v>
      </c>
      <c r="N1311" s="115">
        <v>235</v>
      </c>
      <c r="O1311" s="115">
        <v>209.85</v>
      </c>
      <c r="P1311" s="115">
        <v>214.9</v>
      </c>
      <c r="Q1311" s="115">
        <v>225.55</v>
      </c>
      <c r="R1311">
        <v>265271</v>
      </c>
    </row>
    <row r="1312" spans="1:18" x14ac:dyDescent="0.25">
      <c r="A1312" s="169">
        <v>43943</v>
      </c>
      <c r="B1312" s="115">
        <v>214</v>
      </c>
      <c r="C1312" s="115">
        <v>211.35</v>
      </c>
      <c r="D1312" s="115">
        <v>205.65</v>
      </c>
      <c r="E1312" s="115">
        <v>208</v>
      </c>
      <c r="F1312" s="115">
        <v>211.35</v>
      </c>
      <c r="G1312">
        <v>3508</v>
      </c>
      <c r="H1312" s="115"/>
      <c r="I1312" s="115"/>
      <c r="L1312" s="169">
        <v>43942</v>
      </c>
      <c r="M1312" s="115">
        <v>208.7</v>
      </c>
      <c r="N1312" s="115">
        <v>221.1</v>
      </c>
      <c r="O1312" s="115">
        <v>206.35</v>
      </c>
      <c r="P1312" s="115">
        <v>221.1</v>
      </c>
      <c r="Q1312" s="115">
        <v>208.7</v>
      </c>
      <c r="R1312">
        <v>106601</v>
      </c>
    </row>
    <row r="1313" spans="1:18" x14ac:dyDescent="0.25">
      <c r="A1313" s="169">
        <v>43944</v>
      </c>
      <c r="B1313" s="115">
        <v>214.1</v>
      </c>
      <c r="C1313" s="115">
        <v>209.45</v>
      </c>
      <c r="D1313" s="115">
        <v>209.15</v>
      </c>
      <c r="E1313" s="115">
        <v>214.05</v>
      </c>
      <c r="F1313" s="115">
        <v>209.45</v>
      </c>
      <c r="G1313">
        <v>1063</v>
      </c>
      <c r="H1313" s="115"/>
      <c r="I1313" s="115"/>
      <c r="L1313" s="169">
        <v>43943</v>
      </c>
      <c r="M1313" s="115">
        <v>210.7</v>
      </c>
      <c r="N1313" s="115">
        <v>214</v>
      </c>
      <c r="O1313" s="115">
        <v>205.4</v>
      </c>
      <c r="P1313" s="115">
        <v>208.7</v>
      </c>
      <c r="Q1313" s="115">
        <v>210.7</v>
      </c>
      <c r="R1313">
        <v>35535</v>
      </c>
    </row>
    <row r="1314" spans="1:18" x14ac:dyDescent="0.25">
      <c r="A1314" s="169">
        <v>43945</v>
      </c>
      <c r="B1314" s="115">
        <v>208.5</v>
      </c>
      <c r="C1314" s="115">
        <v>207.3</v>
      </c>
      <c r="D1314" s="115">
        <v>205.25</v>
      </c>
      <c r="E1314" s="115">
        <v>207.75</v>
      </c>
      <c r="F1314" s="115">
        <v>207.3</v>
      </c>
      <c r="G1314">
        <v>1036</v>
      </c>
      <c r="H1314" s="115"/>
      <c r="I1314" s="115"/>
      <c r="L1314" s="169">
        <v>43944</v>
      </c>
      <c r="M1314" s="115">
        <v>209.05</v>
      </c>
      <c r="N1314" s="115">
        <v>214</v>
      </c>
      <c r="O1314" s="115">
        <v>208</v>
      </c>
      <c r="P1314" s="115">
        <v>210.7</v>
      </c>
      <c r="Q1314" s="115">
        <v>209.05</v>
      </c>
      <c r="R1314">
        <v>244936</v>
      </c>
    </row>
    <row r="1315" spans="1:18" x14ac:dyDescent="0.25">
      <c r="A1315" s="169">
        <v>43948</v>
      </c>
      <c r="B1315" s="115">
        <v>220.1</v>
      </c>
      <c r="C1315" s="115">
        <v>212.4</v>
      </c>
      <c r="D1315" s="115">
        <v>206.3</v>
      </c>
      <c r="E1315" s="115">
        <v>206.5</v>
      </c>
      <c r="F1315" s="115">
        <v>212.4</v>
      </c>
      <c r="G1315">
        <v>3486</v>
      </c>
      <c r="H1315" s="115"/>
      <c r="I1315" s="115"/>
      <c r="L1315" s="169">
        <v>43945</v>
      </c>
      <c r="M1315" s="115">
        <v>206.5</v>
      </c>
      <c r="N1315" s="115">
        <v>209.8</v>
      </c>
      <c r="O1315" s="115">
        <v>205.1</v>
      </c>
      <c r="P1315" s="115">
        <v>209.05</v>
      </c>
      <c r="Q1315" s="115">
        <v>206.5</v>
      </c>
      <c r="R1315">
        <v>22902</v>
      </c>
    </row>
    <row r="1316" spans="1:18" x14ac:dyDescent="0.25">
      <c r="A1316" s="169">
        <v>43949</v>
      </c>
      <c r="B1316" s="115">
        <v>220.05</v>
      </c>
      <c r="C1316" s="115">
        <v>215.15</v>
      </c>
      <c r="D1316" s="115">
        <v>212.75</v>
      </c>
      <c r="E1316" s="115">
        <v>212.75</v>
      </c>
      <c r="F1316" s="115">
        <v>215.15</v>
      </c>
      <c r="G1316">
        <v>3083</v>
      </c>
      <c r="H1316" s="115"/>
      <c r="I1316" s="115"/>
      <c r="L1316" s="169">
        <v>43948</v>
      </c>
      <c r="M1316" s="115">
        <v>212.7</v>
      </c>
      <c r="N1316" s="115">
        <v>219.95</v>
      </c>
      <c r="O1316" s="115">
        <v>205.5</v>
      </c>
      <c r="P1316" s="115">
        <v>205.5</v>
      </c>
      <c r="Q1316" s="115">
        <v>212.7</v>
      </c>
      <c r="R1316">
        <v>56826</v>
      </c>
    </row>
    <row r="1317" spans="1:18" x14ac:dyDescent="0.25">
      <c r="A1317" s="169">
        <v>43950</v>
      </c>
      <c r="B1317" s="115">
        <v>221</v>
      </c>
      <c r="C1317" s="115">
        <v>212.35</v>
      </c>
      <c r="D1317" s="115">
        <v>212</v>
      </c>
      <c r="E1317" s="115">
        <v>219.9</v>
      </c>
      <c r="F1317" s="115">
        <v>212.35</v>
      </c>
      <c r="G1317">
        <v>6797</v>
      </c>
      <c r="H1317" s="115"/>
      <c r="I1317" s="115"/>
      <c r="L1317" s="169">
        <v>43949</v>
      </c>
      <c r="M1317" s="115">
        <v>214.9</v>
      </c>
      <c r="N1317" s="115">
        <v>221</v>
      </c>
      <c r="O1317" s="115">
        <v>211.8</v>
      </c>
      <c r="P1317" s="115">
        <v>214</v>
      </c>
      <c r="Q1317" s="115">
        <v>214.9</v>
      </c>
      <c r="R1317">
        <v>162733</v>
      </c>
    </row>
    <row r="1318" spans="1:18" x14ac:dyDescent="0.25">
      <c r="A1318" s="169">
        <v>43951</v>
      </c>
      <c r="B1318" s="115">
        <v>213.4</v>
      </c>
      <c r="C1318" s="115">
        <v>207.5</v>
      </c>
      <c r="D1318" s="115">
        <v>207</v>
      </c>
      <c r="E1318" s="115">
        <v>213.25</v>
      </c>
      <c r="F1318" s="115">
        <v>207.5</v>
      </c>
      <c r="G1318">
        <v>6593</v>
      </c>
      <c r="H1318" s="115"/>
      <c r="I1318" s="115"/>
      <c r="L1318" s="169">
        <v>43950</v>
      </c>
      <c r="M1318" s="115">
        <v>212.7</v>
      </c>
      <c r="N1318" s="115">
        <v>223.8</v>
      </c>
      <c r="O1318" s="115">
        <v>211.8</v>
      </c>
      <c r="P1318" s="115">
        <v>223</v>
      </c>
      <c r="Q1318" s="115">
        <v>212.7</v>
      </c>
      <c r="R1318">
        <v>124579</v>
      </c>
    </row>
    <row r="1319" spans="1:18" x14ac:dyDescent="0.25">
      <c r="A1319" s="169">
        <v>43955</v>
      </c>
      <c r="B1319" s="115">
        <v>205.3</v>
      </c>
      <c r="C1319" s="115">
        <v>200.1</v>
      </c>
      <c r="D1319" s="115">
        <v>199.5</v>
      </c>
      <c r="E1319" s="115">
        <v>205</v>
      </c>
      <c r="F1319" s="115">
        <v>200.1</v>
      </c>
      <c r="G1319">
        <v>3614</v>
      </c>
      <c r="H1319" s="115"/>
      <c r="I1319" s="115"/>
      <c r="L1319" s="169">
        <v>43951</v>
      </c>
      <c r="M1319" s="115">
        <v>208.15</v>
      </c>
      <c r="N1319" s="115">
        <v>215.15</v>
      </c>
      <c r="O1319" s="115">
        <v>206.8</v>
      </c>
      <c r="P1319" s="115">
        <v>215.1</v>
      </c>
      <c r="Q1319" s="115">
        <v>208.15</v>
      </c>
      <c r="R1319">
        <v>113643</v>
      </c>
    </row>
    <row r="1320" spans="1:18" x14ac:dyDescent="0.25">
      <c r="A1320" s="169">
        <v>43956</v>
      </c>
      <c r="B1320" s="115">
        <v>205.65</v>
      </c>
      <c r="C1320" s="115">
        <v>199.7</v>
      </c>
      <c r="D1320" s="115">
        <v>198.75</v>
      </c>
      <c r="E1320" s="115">
        <v>205</v>
      </c>
      <c r="F1320" s="115">
        <v>199.7</v>
      </c>
      <c r="G1320">
        <v>2980</v>
      </c>
      <c r="H1320" s="115"/>
      <c r="I1320" s="115"/>
      <c r="L1320" s="169">
        <v>43955</v>
      </c>
      <c r="M1320" s="115">
        <v>199.7</v>
      </c>
      <c r="N1320" s="115">
        <v>205</v>
      </c>
      <c r="O1320" s="115">
        <v>199</v>
      </c>
      <c r="P1320" s="115">
        <v>205</v>
      </c>
      <c r="Q1320" s="115">
        <v>199.7</v>
      </c>
      <c r="R1320">
        <v>55613</v>
      </c>
    </row>
    <row r="1321" spans="1:18" x14ac:dyDescent="0.25">
      <c r="A1321" s="169">
        <v>43957</v>
      </c>
      <c r="B1321" s="115">
        <v>208</v>
      </c>
      <c r="C1321" s="115">
        <v>204</v>
      </c>
      <c r="D1321" s="115">
        <v>197.7</v>
      </c>
      <c r="E1321" s="115">
        <v>198.85</v>
      </c>
      <c r="F1321" s="115">
        <v>204</v>
      </c>
      <c r="G1321">
        <v>1958</v>
      </c>
      <c r="H1321" s="115"/>
      <c r="I1321" s="115"/>
      <c r="L1321" s="169">
        <v>43956</v>
      </c>
      <c r="M1321" s="115">
        <v>199.8</v>
      </c>
      <c r="N1321" s="115">
        <v>205</v>
      </c>
      <c r="O1321" s="115">
        <v>198.5</v>
      </c>
      <c r="P1321" s="115">
        <v>205</v>
      </c>
      <c r="Q1321" s="115">
        <v>199.8</v>
      </c>
      <c r="R1321">
        <v>37945</v>
      </c>
    </row>
    <row r="1322" spans="1:18" x14ac:dyDescent="0.25">
      <c r="A1322" s="169">
        <v>43958</v>
      </c>
      <c r="B1322" s="115">
        <v>205</v>
      </c>
      <c r="C1322" s="115">
        <v>197.35</v>
      </c>
      <c r="D1322" s="115">
        <v>196.5</v>
      </c>
      <c r="E1322" s="115">
        <v>202.25</v>
      </c>
      <c r="F1322" s="115">
        <v>197.35</v>
      </c>
      <c r="G1322">
        <v>6305</v>
      </c>
      <c r="H1322" s="115"/>
      <c r="I1322" s="115"/>
      <c r="L1322" s="169">
        <v>43957</v>
      </c>
      <c r="M1322" s="115">
        <v>203.8</v>
      </c>
      <c r="N1322" s="115">
        <v>208.5</v>
      </c>
      <c r="O1322" s="115">
        <v>196.25</v>
      </c>
      <c r="P1322" s="115">
        <v>196.25</v>
      </c>
      <c r="Q1322" s="115">
        <v>203.8</v>
      </c>
      <c r="R1322">
        <v>41871</v>
      </c>
    </row>
    <row r="1323" spans="1:18" x14ac:dyDescent="0.25">
      <c r="A1323" s="169">
        <v>43959</v>
      </c>
      <c r="B1323" s="115">
        <v>203.65</v>
      </c>
      <c r="C1323" s="115">
        <v>199.5</v>
      </c>
      <c r="D1323" s="115">
        <v>198.3</v>
      </c>
      <c r="E1323" s="115">
        <v>198.85</v>
      </c>
      <c r="F1323" s="115">
        <v>199.5</v>
      </c>
      <c r="G1323">
        <v>1138</v>
      </c>
      <c r="H1323" s="115"/>
      <c r="I1323" s="115"/>
      <c r="L1323" s="169">
        <v>43958</v>
      </c>
      <c r="M1323" s="115">
        <v>197.25</v>
      </c>
      <c r="N1323" s="115">
        <v>204.05</v>
      </c>
      <c r="O1323" s="115">
        <v>196.5</v>
      </c>
      <c r="P1323" s="115">
        <v>203.95</v>
      </c>
      <c r="Q1323" s="115">
        <v>197.25</v>
      </c>
      <c r="R1323">
        <v>210889</v>
      </c>
    </row>
    <row r="1324" spans="1:18" x14ac:dyDescent="0.25">
      <c r="A1324" s="169">
        <v>43962</v>
      </c>
      <c r="B1324" s="115">
        <v>202.3</v>
      </c>
      <c r="C1324" s="115">
        <v>200.25</v>
      </c>
      <c r="D1324" s="115">
        <v>200</v>
      </c>
      <c r="E1324" s="115">
        <v>202.3</v>
      </c>
      <c r="F1324" s="115">
        <v>200.25</v>
      </c>
      <c r="G1324">
        <v>693</v>
      </c>
      <c r="H1324" s="115"/>
      <c r="I1324" s="115"/>
      <c r="L1324" s="169">
        <v>43959</v>
      </c>
      <c r="M1324" s="115">
        <v>199.3</v>
      </c>
      <c r="N1324" s="115">
        <v>203.95</v>
      </c>
      <c r="O1324" s="115">
        <v>198</v>
      </c>
      <c r="P1324" s="115">
        <v>200</v>
      </c>
      <c r="Q1324" s="115">
        <v>199.3</v>
      </c>
      <c r="R1324">
        <v>52402</v>
      </c>
    </row>
    <row r="1325" spans="1:18" x14ac:dyDescent="0.25">
      <c r="A1325" s="169">
        <v>43963</v>
      </c>
      <c r="B1325" s="115">
        <v>200</v>
      </c>
      <c r="C1325" s="115">
        <v>198.5</v>
      </c>
      <c r="D1325" s="115">
        <v>197</v>
      </c>
      <c r="E1325" s="115">
        <v>200</v>
      </c>
      <c r="F1325" s="115">
        <v>198.5</v>
      </c>
      <c r="G1325">
        <v>1350</v>
      </c>
      <c r="H1325" s="115"/>
      <c r="I1325" s="115"/>
      <c r="L1325" s="169">
        <v>43962</v>
      </c>
      <c r="M1325" s="115">
        <v>200.25</v>
      </c>
      <c r="N1325" s="115">
        <v>203.6</v>
      </c>
      <c r="O1325" s="115">
        <v>199.35</v>
      </c>
      <c r="P1325" s="115">
        <v>200.4</v>
      </c>
      <c r="Q1325" s="115">
        <v>200.25</v>
      </c>
      <c r="R1325">
        <v>15484</v>
      </c>
    </row>
    <row r="1326" spans="1:18" x14ac:dyDescent="0.25">
      <c r="A1326" s="169">
        <v>43964</v>
      </c>
      <c r="B1326" s="115">
        <v>203.9</v>
      </c>
      <c r="C1326" s="115">
        <v>199.7</v>
      </c>
      <c r="D1326" s="115">
        <v>198.5</v>
      </c>
      <c r="E1326" s="115">
        <v>203.9</v>
      </c>
      <c r="F1326" s="115">
        <v>199.7</v>
      </c>
      <c r="G1326">
        <v>722</v>
      </c>
      <c r="H1326" s="115"/>
      <c r="I1326" s="115"/>
      <c r="L1326" s="169">
        <v>43963</v>
      </c>
      <c r="M1326" s="115">
        <v>198.5</v>
      </c>
      <c r="N1326" s="115">
        <v>200.3</v>
      </c>
      <c r="O1326" s="115">
        <v>196.55</v>
      </c>
      <c r="P1326" s="115">
        <v>200.3</v>
      </c>
      <c r="Q1326" s="115">
        <v>198.5</v>
      </c>
      <c r="R1326">
        <v>18904</v>
      </c>
    </row>
    <row r="1327" spans="1:18" x14ac:dyDescent="0.25">
      <c r="A1327" s="169">
        <v>43965</v>
      </c>
      <c r="B1327" s="115">
        <v>201.5</v>
      </c>
      <c r="C1327" s="115">
        <v>197.4</v>
      </c>
      <c r="D1327" s="115">
        <v>197.15</v>
      </c>
      <c r="E1327" s="115">
        <v>200.25</v>
      </c>
      <c r="F1327" s="115">
        <v>197.4</v>
      </c>
      <c r="G1327">
        <v>1296</v>
      </c>
      <c r="H1327" s="115"/>
      <c r="I1327" s="115"/>
      <c r="L1327" s="169">
        <v>43964</v>
      </c>
      <c r="M1327" s="115">
        <v>199.85</v>
      </c>
      <c r="N1327" s="115">
        <v>205.2</v>
      </c>
      <c r="O1327" s="115">
        <v>198.05</v>
      </c>
      <c r="P1327" s="115">
        <v>205.15</v>
      </c>
      <c r="Q1327" s="115">
        <v>199.85</v>
      </c>
      <c r="R1327">
        <v>40317</v>
      </c>
    </row>
    <row r="1328" spans="1:18" x14ac:dyDescent="0.25">
      <c r="A1328" s="169">
        <v>43966</v>
      </c>
      <c r="B1328" s="115">
        <v>199.95</v>
      </c>
      <c r="C1328" s="115">
        <v>199.9</v>
      </c>
      <c r="D1328" s="115">
        <v>198.1</v>
      </c>
      <c r="E1328" s="115">
        <v>198.65</v>
      </c>
      <c r="F1328" s="115">
        <v>199.9</v>
      </c>
      <c r="G1328">
        <v>3570</v>
      </c>
      <c r="H1328" s="115"/>
      <c r="I1328" s="115"/>
      <c r="L1328" s="169">
        <v>43965</v>
      </c>
      <c r="M1328" s="115">
        <v>197.55</v>
      </c>
      <c r="N1328" s="115">
        <v>202</v>
      </c>
      <c r="O1328" s="115">
        <v>196.6</v>
      </c>
      <c r="P1328" s="115">
        <v>199.95</v>
      </c>
      <c r="Q1328" s="115">
        <v>197.55</v>
      </c>
      <c r="R1328">
        <v>17075</v>
      </c>
    </row>
    <row r="1329" spans="1:18" x14ac:dyDescent="0.25">
      <c r="A1329" s="169">
        <v>43969</v>
      </c>
      <c r="B1329" s="115">
        <v>195.05</v>
      </c>
      <c r="C1329" s="115">
        <v>183.55</v>
      </c>
      <c r="D1329" s="115">
        <v>182.5</v>
      </c>
      <c r="E1329" s="115">
        <v>195.05</v>
      </c>
      <c r="F1329" s="115">
        <v>183.55</v>
      </c>
      <c r="G1329">
        <v>10130</v>
      </c>
      <c r="H1329" s="115"/>
      <c r="I1329" s="115"/>
      <c r="L1329" s="169">
        <v>43966</v>
      </c>
      <c r="M1329" s="115">
        <v>199.4</v>
      </c>
      <c r="N1329" s="115">
        <v>200</v>
      </c>
      <c r="O1329" s="115">
        <v>197.35</v>
      </c>
      <c r="P1329" s="115">
        <v>199.8</v>
      </c>
      <c r="Q1329" s="115">
        <v>199.4</v>
      </c>
      <c r="R1329">
        <v>22810</v>
      </c>
    </row>
    <row r="1330" spans="1:18" x14ac:dyDescent="0.25">
      <c r="A1330" s="169">
        <v>43970</v>
      </c>
      <c r="B1330" s="115">
        <v>189.75</v>
      </c>
      <c r="C1330" s="115">
        <v>176.7</v>
      </c>
      <c r="D1330" s="115">
        <v>175.75</v>
      </c>
      <c r="E1330" s="115">
        <v>189.75</v>
      </c>
      <c r="F1330" s="115">
        <v>176.7</v>
      </c>
      <c r="G1330">
        <v>8443</v>
      </c>
      <c r="H1330" s="115"/>
      <c r="I1330" s="115"/>
      <c r="L1330" s="169">
        <v>43969</v>
      </c>
      <c r="M1330" s="115">
        <v>183.25</v>
      </c>
      <c r="N1330" s="115">
        <v>194.6</v>
      </c>
      <c r="O1330" s="115">
        <v>182.05</v>
      </c>
      <c r="P1330" s="115">
        <v>194.45</v>
      </c>
      <c r="Q1330" s="115">
        <v>183.25</v>
      </c>
      <c r="R1330">
        <v>97295</v>
      </c>
    </row>
    <row r="1331" spans="1:18" x14ac:dyDescent="0.25">
      <c r="A1331" s="169">
        <v>43971</v>
      </c>
      <c r="B1331" s="115">
        <v>176.2</v>
      </c>
      <c r="C1331" s="115">
        <v>175.45</v>
      </c>
      <c r="D1331" s="115">
        <v>174.6</v>
      </c>
      <c r="E1331" s="115">
        <v>176.2</v>
      </c>
      <c r="F1331" s="115">
        <v>175.45</v>
      </c>
      <c r="G1331">
        <v>1567</v>
      </c>
      <c r="H1331" s="115"/>
      <c r="I1331" s="115"/>
      <c r="L1331" s="169">
        <v>43970</v>
      </c>
      <c r="M1331" s="115">
        <v>177.1</v>
      </c>
      <c r="N1331" s="115">
        <v>183.7</v>
      </c>
      <c r="O1331" s="115">
        <v>175.7</v>
      </c>
      <c r="P1331" s="115">
        <v>181.95</v>
      </c>
      <c r="Q1331" s="115">
        <v>177.1</v>
      </c>
      <c r="R1331">
        <v>167799</v>
      </c>
    </row>
    <row r="1332" spans="1:18" x14ac:dyDescent="0.25">
      <c r="A1332" s="169">
        <v>43972</v>
      </c>
      <c r="B1332" s="115">
        <v>197</v>
      </c>
      <c r="C1332" s="115">
        <v>190.15</v>
      </c>
      <c r="D1332" s="115">
        <v>179</v>
      </c>
      <c r="E1332" s="115">
        <v>179.9</v>
      </c>
      <c r="F1332" s="115">
        <v>190.15</v>
      </c>
      <c r="G1332">
        <v>8807</v>
      </c>
      <c r="H1332" s="115"/>
      <c r="I1332" s="115"/>
      <c r="L1332" s="169">
        <v>43971</v>
      </c>
      <c r="M1332" s="115">
        <v>175.5</v>
      </c>
      <c r="N1332" s="115">
        <v>177.1</v>
      </c>
      <c r="O1332" s="115">
        <v>174</v>
      </c>
      <c r="P1332" s="115">
        <v>177.1</v>
      </c>
      <c r="Q1332" s="115">
        <v>175.5</v>
      </c>
      <c r="R1332">
        <v>36174</v>
      </c>
    </row>
    <row r="1333" spans="1:18" x14ac:dyDescent="0.25">
      <c r="A1333" s="169">
        <v>43973</v>
      </c>
      <c r="B1333" s="115">
        <v>190</v>
      </c>
      <c r="C1333" s="115">
        <v>185.55</v>
      </c>
      <c r="D1333" s="115">
        <v>183.3</v>
      </c>
      <c r="E1333" s="115">
        <v>190</v>
      </c>
      <c r="F1333" s="115">
        <v>185.55</v>
      </c>
      <c r="G1333">
        <v>872</v>
      </c>
      <c r="H1333" s="115"/>
      <c r="I1333" s="115"/>
      <c r="L1333" s="169">
        <v>43972</v>
      </c>
      <c r="M1333" s="115">
        <v>188.2</v>
      </c>
      <c r="N1333" s="115">
        <v>192.45</v>
      </c>
      <c r="O1333" s="115">
        <v>174</v>
      </c>
      <c r="P1333" s="115">
        <v>177</v>
      </c>
      <c r="Q1333" s="115">
        <v>188.2</v>
      </c>
      <c r="R1333">
        <v>95151</v>
      </c>
    </row>
    <row r="1334" spans="1:18" x14ac:dyDescent="0.25">
      <c r="A1334" s="169">
        <v>43977</v>
      </c>
      <c r="B1334" s="115">
        <v>194.55</v>
      </c>
      <c r="C1334" s="115">
        <v>188.65</v>
      </c>
      <c r="D1334" s="115">
        <v>184.95</v>
      </c>
      <c r="E1334" s="115">
        <v>187.8</v>
      </c>
      <c r="F1334" s="115">
        <v>188.65</v>
      </c>
      <c r="G1334">
        <v>7036</v>
      </c>
      <c r="H1334" s="115"/>
      <c r="I1334" s="115"/>
      <c r="L1334" s="169">
        <v>43973</v>
      </c>
      <c r="M1334" s="115">
        <v>185.45</v>
      </c>
      <c r="N1334" s="115">
        <v>191.1</v>
      </c>
      <c r="O1334" s="115">
        <v>184</v>
      </c>
      <c r="P1334" s="115">
        <v>189.15</v>
      </c>
      <c r="Q1334" s="115">
        <v>185.45</v>
      </c>
      <c r="R1334">
        <v>19982</v>
      </c>
    </row>
    <row r="1335" spans="1:18" x14ac:dyDescent="0.25">
      <c r="A1335" s="169">
        <v>43978</v>
      </c>
      <c r="B1335" s="115">
        <v>192.5</v>
      </c>
      <c r="C1335" s="115">
        <v>188.75</v>
      </c>
      <c r="D1335" s="115">
        <v>187.35</v>
      </c>
      <c r="E1335" s="115">
        <v>190.3</v>
      </c>
      <c r="F1335" s="115">
        <v>188.75</v>
      </c>
      <c r="G1335">
        <v>14617</v>
      </c>
      <c r="H1335" s="115"/>
      <c r="I1335" s="115"/>
      <c r="L1335" s="169">
        <v>43977</v>
      </c>
      <c r="M1335" s="115">
        <v>188.8</v>
      </c>
      <c r="N1335" s="115">
        <v>194.9</v>
      </c>
      <c r="O1335" s="115">
        <v>185.5</v>
      </c>
      <c r="P1335" s="115">
        <v>189</v>
      </c>
      <c r="Q1335" s="115">
        <v>188.8</v>
      </c>
      <c r="R1335">
        <v>34589</v>
      </c>
    </row>
    <row r="1336" spans="1:18" x14ac:dyDescent="0.25">
      <c r="A1336" s="169">
        <v>43979</v>
      </c>
      <c r="B1336" s="115">
        <v>204.2</v>
      </c>
      <c r="C1336" s="115">
        <v>196.95</v>
      </c>
      <c r="D1336" s="115">
        <v>191</v>
      </c>
      <c r="E1336" s="115">
        <v>192.65</v>
      </c>
      <c r="F1336" s="115">
        <v>196.95</v>
      </c>
      <c r="G1336">
        <v>23630</v>
      </c>
      <c r="H1336" s="115"/>
      <c r="I1336" s="115"/>
      <c r="L1336" s="169">
        <v>43978</v>
      </c>
      <c r="M1336" s="115">
        <v>189.85</v>
      </c>
      <c r="N1336" s="115">
        <v>193.95</v>
      </c>
      <c r="O1336" s="115">
        <v>186.45</v>
      </c>
      <c r="P1336" s="115">
        <v>190.3</v>
      </c>
      <c r="Q1336" s="115">
        <v>189.85</v>
      </c>
      <c r="R1336">
        <v>35062</v>
      </c>
    </row>
    <row r="1337" spans="1:18" x14ac:dyDescent="0.25">
      <c r="A1337" s="169">
        <v>43980</v>
      </c>
      <c r="B1337" s="115">
        <v>200</v>
      </c>
      <c r="C1337" s="115">
        <v>199</v>
      </c>
      <c r="D1337" s="115">
        <v>195.9</v>
      </c>
      <c r="E1337" s="115">
        <v>198</v>
      </c>
      <c r="F1337" s="115">
        <v>199</v>
      </c>
      <c r="G1337">
        <v>433</v>
      </c>
      <c r="H1337" s="115"/>
      <c r="I1337" s="115"/>
      <c r="L1337" s="169">
        <v>43979</v>
      </c>
      <c r="M1337" s="115">
        <v>197.15</v>
      </c>
      <c r="N1337" s="115">
        <v>204</v>
      </c>
      <c r="O1337" s="115">
        <v>189.85</v>
      </c>
      <c r="P1337" s="115">
        <v>189.85</v>
      </c>
      <c r="Q1337" s="115">
        <v>197.15</v>
      </c>
      <c r="R1337">
        <v>156773</v>
      </c>
    </row>
    <row r="1338" spans="1:18" x14ac:dyDescent="0.25">
      <c r="A1338" s="169">
        <v>43983</v>
      </c>
      <c r="B1338" s="115">
        <v>204</v>
      </c>
      <c r="C1338" s="115">
        <v>200.1</v>
      </c>
      <c r="D1338" s="115">
        <v>199</v>
      </c>
      <c r="E1338" s="115">
        <v>202.8</v>
      </c>
      <c r="F1338" s="115">
        <v>200.1</v>
      </c>
      <c r="G1338">
        <v>1332</v>
      </c>
      <c r="H1338" s="115"/>
      <c r="I1338" s="115"/>
      <c r="L1338" s="169">
        <v>43980</v>
      </c>
      <c r="M1338" s="115">
        <v>197.9</v>
      </c>
      <c r="N1338" s="115">
        <v>200.2</v>
      </c>
      <c r="O1338" s="115">
        <v>195.95</v>
      </c>
      <c r="P1338" s="115">
        <v>197</v>
      </c>
      <c r="Q1338" s="115">
        <v>197.9</v>
      </c>
      <c r="R1338">
        <v>25008</v>
      </c>
    </row>
    <row r="1339" spans="1:18" x14ac:dyDescent="0.25">
      <c r="A1339" s="169">
        <v>43984</v>
      </c>
      <c r="B1339" s="115">
        <v>202</v>
      </c>
      <c r="C1339" s="115">
        <v>198.4</v>
      </c>
      <c r="D1339" s="115">
        <v>197</v>
      </c>
      <c r="E1339" s="115">
        <v>200.7</v>
      </c>
      <c r="F1339" s="115">
        <v>198.4</v>
      </c>
      <c r="G1339">
        <v>2923</v>
      </c>
      <c r="H1339" s="115"/>
      <c r="I1339" s="115"/>
      <c r="L1339" s="169">
        <v>43983</v>
      </c>
      <c r="M1339" s="115">
        <v>199.95</v>
      </c>
      <c r="N1339" s="115">
        <v>204.95</v>
      </c>
      <c r="O1339" s="115">
        <v>198.5</v>
      </c>
      <c r="P1339" s="115">
        <v>201</v>
      </c>
      <c r="Q1339" s="115">
        <v>199.95</v>
      </c>
      <c r="R1339">
        <v>29001</v>
      </c>
    </row>
    <row r="1340" spans="1:18" x14ac:dyDescent="0.25">
      <c r="A1340" s="169">
        <v>43985</v>
      </c>
      <c r="B1340" s="115">
        <v>211.5</v>
      </c>
      <c r="C1340" s="115">
        <v>205.15</v>
      </c>
      <c r="D1340" s="115">
        <v>202</v>
      </c>
      <c r="E1340" s="115">
        <v>202</v>
      </c>
      <c r="F1340" s="115">
        <v>205.15</v>
      </c>
      <c r="G1340">
        <v>14395</v>
      </c>
      <c r="H1340" s="115"/>
      <c r="I1340" s="115"/>
      <c r="L1340" s="169">
        <v>43984</v>
      </c>
      <c r="M1340" s="115">
        <v>199.45</v>
      </c>
      <c r="N1340" s="115">
        <v>202.4</v>
      </c>
      <c r="O1340" s="115">
        <v>196.35</v>
      </c>
      <c r="P1340" s="115">
        <v>201.9</v>
      </c>
      <c r="Q1340" s="115">
        <v>199.45</v>
      </c>
      <c r="R1340">
        <v>72541</v>
      </c>
    </row>
    <row r="1341" spans="1:18" x14ac:dyDescent="0.25">
      <c r="A1341" s="169">
        <v>43986</v>
      </c>
      <c r="B1341" s="115">
        <v>218</v>
      </c>
      <c r="C1341" s="115">
        <v>211.35</v>
      </c>
      <c r="D1341" s="115">
        <v>205.5</v>
      </c>
      <c r="E1341" s="115">
        <v>205.5</v>
      </c>
      <c r="F1341" s="115">
        <v>211.35</v>
      </c>
      <c r="G1341">
        <v>40878</v>
      </c>
      <c r="H1341" s="115"/>
      <c r="I1341" s="115"/>
      <c r="L1341" s="169">
        <v>43985</v>
      </c>
      <c r="M1341" s="115">
        <v>205.35</v>
      </c>
      <c r="N1341" s="115">
        <v>211.5</v>
      </c>
      <c r="O1341" s="115">
        <v>200.35</v>
      </c>
      <c r="P1341" s="115">
        <v>200.95</v>
      </c>
      <c r="Q1341" s="115">
        <v>205.35</v>
      </c>
      <c r="R1341">
        <v>273085</v>
      </c>
    </row>
    <row r="1342" spans="1:18" x14ac:dyDescent="0.25">
      <c r="A1342" s="169">
        <v>43987</v>
      </c>
      <c r="B1342" s="115">
        <v>214</v>
      </c>
      <c r="C1342" s="115">
        <v>211.2</v>
      </c>
      <c r="D1342" s="115">
        <v>206.9</v>
      </c>
      <c r="E1342" s="115">
        <v>211.35</v>
      </c>
      <c r="F1342" s="115">
        <v>211.2</v>
      </c>
      <c r="G1342">
        <v>5506</v>
      </c>
      <c r="H1342" s="115"/>
      <c r="I1342" s="115"/>
      <c r="L1342" s="169">
        <v>43986</v>
      </c>
      <c r="M1342" s="115">
        <v>211.55</v>
      </c>
      <c r="N1342" s="115">
        <v>217.5</v>
      </c>
      <c r="O1342" s="115">
        <v>208</v>
      </c>
      <c r="P1342" s="115">
        <v>210</v>
      </c>
      <c r="Q1342" s="115">
        <v>211.55</v>
      </c>
      <c r="R1342">
        <v>794166</v>
      </c>
    </row>
    <row r="1343" spans="1:18" x14ac:dyDescent="0.25">
      <c r="A1343" s="169">
        <v>43990</v>
      </c>
      <c r="B1343" s="115">
        <v>220.95</v>
      </c>
      <c r="C1343" s="115">
        <v>214.4</v>
      </c>
      <c r="D1343" s="115">
        <v>207.35</v>
      </c>
      <c r="E1343" s="115">
        <v>220.95</v>
      </c>
      <c r="F1343" s="115">
        <v>214.4</v>
      </c>
      <c r="G1343">
        <v>11330</v>
      </c>
      <c r="H1343" s="115"/>
      <c r="I1343" s="115"/>
      <c r="L1343" s="169">
        <v>43987</v>
      </c>
      <c r="M1343" s="115">
        <v>210.75</v>
      </c>
      <c r="N1343" s="115">
        <v>213.05</v>
      </c>
      <c r="O1343" s="115">
        <v>202.7</v>
      </c>
      <c r="P1343" s="115">
        <v>213</v>
      </c>
      <c r="Q1343" s="115">
        <v>210.75</v>
      </c>
      <c r="R1343">
        <v>136679</v>
      </c>
    </row>
    <row r="1344" spans="1:18" x14ac:dyDescent="0.25">
      <c r="A1344" s="169">
        <v>43991</v>
      </c>
      <c r="B1344" s="115">
        <v>213.4</v>
      </c>
      <c r="C1344" s="115">
        <v>205.7</v>
      </c>
      <c r="D1344" s="115">
        <v>205</v>
      </c>
      <c r="E1344" s="115">
        <v>213.4</v>
      </c>
      <c r="F1344" s="115">
        <v>205.7</v>
      </c>
      <c r="G1344">
        <v>5606</v>
      </c>
      <c r="H1344" s="115"/>
      <c r="I1344" s="115"/>
      <c r="L1344" s="169">
        <v>43990</v>
      </c>
      <c r="M1344" s="115">
        <v>214.2</v>
      </c>
      <c r="N1344" s="115">
        <v>216</v>
      </c>
      <c r="O1344" s="115">
        <v>207</v>
      </c>
      <c r="P1344" s="115">
        <v>211</v>
      </c>
      <c r="Q1344" s="115">
        <v>214.2</v>
      </c>
      <c r="R1344">
        <v>178148</v>
      </c>
    </row>
    <row r="1345" spans="1:18" x14ac:dyDescent="0.25">
      <c r="A1345" s="169">
        <v>43992</v>
      </c>
      <c r="B1345" s="115">
        <v>205.65</v>
      </c>
      <c r="C1345" s="115">
        <v>201.6</v>
      </c>
      <c r="D1345" s="115">
        <v>194.1</v>
      </c>
      <c r="E1345" s="115">
        <v>205.65</v>
      </c>
      <c r="F1345" s="115">
        <v>201.6</v>
      </c>
      <c r="G1345">
        <v>8041</v>
      </c>
      <c r="H1345" s="115"/>
      <c r="I1345" s="115"/>
      <c r="L1345" s="169">
        <v>43991</v>
      </c>
      <c r="M1345" s="115">
        <v>205.6</v>
      </c>
      <c r="N1345" s="115">
        <v>216</v>
      </c>
      <c r="O1345" s="115">
        <v>205</v>
      </c>
      <c r="P1345" s="115">
        <v>214.3</v>
      </c>
      <c r="Q1345" s="115">
        <v>205.6</v>
      </c>
      <c r="R1345">
        <v>130482</v>
      </c>
    </row>
    <row r="1346" spans="1:18" x14ac:dyDescent="0.25">
      <c r="A1346" s="169">
        <v>43993</v>
      </c>
      <c r="B1346" s="115">
        <v>206</v>
      </c>
      <c r="C1346" s="115">
        <v>200.55</v>
      </c>
      <c r="D1346" s="115">
        <v>199.05</v>
      </c>
      <c r="E1346" s="115">
        <v>201.6</v>
      </c>
      <c r="F1346" s="115">
        <v>200.55</v>
      </c>
      <c r="G1346">
        <v>5404</v>
      </c>
      <c r="H1346" s="115"/>
      <c r="I1346" s="115"/>
      <c r="L1346" s="169">
        <v>43992</v>
      </c>
      <c r="M1346" s="115">
        <v>201</v>
      </c>
      <c r="N1346" s="115">
        <v>207</v>
      </c>
      <c r="O1346" s="115">
        <v>199</v>
      </c>
      <c r="P1346" s="115">
        <v>206.05</v>
      </c>
      <c r="Q1346" s="115">
        <v>201</v>
      </c>
      <c r="R1346">
        <v>46327</v>
      </c>
    </row>
    <row r="1347" spans="1:18" x14ac:dyDescent="0.25">
      <c r="A1347" s="169">
        <v>43994</v>
      </c>
      <c r="B1347" s="115">
        <v>199.5</v>
      </c>
      <c r="C1347" s="115">
        <v>198.8</v>
      </c>
      <c r="D1347" s="115">
        <v>194.45</v>
      </c>
      <c r="E1347" s="115">
        <v>195.5</v>
      </c>
      <c r="F1347" s="115">
        <v>198.8</v>
      </c>
      <c r="G1347">
        <v>1757</v>
      </c>
      <c r="H1347" s="115"/>
      <c r="I1347" s="115"/>
      <c r="L1347" s="169">
        <v>43993</v>
      </c>
      <c r="M1347" s="115">
        <v>200.45</v>
      </c>
      <c r="N1347" s="115">
        <v>205.9</v>
      </c>
      <c r="O1347" s="115">
        <v>199</v>
      </c>
      <c r="P1347" s="115">
        <v>200.95</v>
      </c>
      <c r="Q1347" s="115">
        <v>200.45</v>
      </c>
      <c r="R1347">
        <v>47225</v>
      </c>
    </row>
    <row r="1348" spans="1:18" x14ac:dyDescent="0.25">
      <c r="A1348" s="169">
        <v>43997</v>
      </c>
      <c r="B1348" s="115">
        <v>201.35</v>
      </c>
      <c r="C1348" s="115">
        <v>199.05</v>
      </c>
      <c r="D1348" s="115">
        <v>191.8</v>
      </c>
      <c r="E1348" s="115">
        <v>198</v>
      </c>
      <c r="F1348" s="115">
        <v>199.05</v>
      </c>
      <c r="G1348">
        <v>105957</v>
      </c>
      <c r="H1348" s="115"/>
      <c r="I1348" s="115"/>
      <c r="L1348" s="169">
        <v>43994</v>
      </c>
      <c r="M1348" s="115">
        <v>198.5</v>
      </c>
      <c r="N1348" s="115">
        <v>199.9</v>
      </c>
      <c r="O1348" s="115">
        <v>192.2</v>
      </c>
      <c r="P1348" s="115">
        <v>197</v>
      </c>
      <c r="Q1348" s="115">
        <v>198.5</v>
      </c>
      <c r="R1348">
        <v>40846</v>
      </c>
    </row>
    <row r="1349" spans="1:18" x14ac:dyDescent="0.25">
      <c r="A1349" s="169">
        <v>43998</v>
      </c>
      <c r="B1349" s="115">
        <v>205.55</v>
      </c>
      <c r="C1349" s="115">
        <v>196.2</v>
      </c>
      <c r="D1349" s="115">
        <v>189.5</v>
      </c>
      <c r="E1349" s="115">
        <v>201.75</v>
      </c>
      <c r="F1349" s="115">
        <v>196.2</v>
      </c>
      <c r="G1349">
        <v>9904</v>
      </c>
      <c r="H1349" s="115"/>
      <c r="I1349" s="115"/>
      <c r="L1349" s="169">
        <v>43997</v>
      </c>
      <c r="M1349" s="115">
        <v>199.65</v>
      </c>
      <c r="N1349" s="115">
        <v>201.05</v>
      </c>
      <c r="O1349" s="115">
        <v>196.5</v>
      </c>
      <c r="P1349" s="115">
        <v>197.95</v>
      </c>
      <c r="Q1349" s="115">
        <v>199.65</v>
      </c>
      <c r="R1349">
        <v>37132</v>
      </c>
    </row>
    <row r="1350" spans="1:18" x14ac:dyDescent="0.25">
      <c r="A1350" s="169">
        <v>43999</v>
      </c>
      <c r="B1350" s="115">
        <v>201</v>
      </c>
      <c r="C1350" s="115">
        <v>197.7</v>
      </c>
      <c r="D1350" s="115">
        <v>195.85</v>
      </c>
      <c r="E1350" s="115">
        <v>195.85</v>
      </c>
      <c r="F1350" s="115">
        <v>197.7</v>
      </c>
      <c r="G1350">
        <v>2089</v>
      </c>
      <c r="H1350" s="115"/>
      <c r="I1350" s="115"/>
      <c r="L1350" s="169">
        <v>43998</v>
      </c>
      <c r="M1350" s="115">
        <v>195.65</v>
      </c>
      <c r="N1350" s="115">
        <v>206</v>
      </c>
      <c r="O1350" s="115">
        <v>186.1</v>
      </c>
      <c r="P1350" s="115">
        <v>201.25</v>
      </c>
      <c r="Q1350" s="115">
        <v>195.65</v>
      </c>
      <c r="R1350">
        <v>78806</v>
      </c>
    </row>
    <row r="1351" spans="1:18" x14ac:dyDescent="0.25">
      <c r="A1351" s="169">
        <v>44000</v>
      </c>
      <c r="B1351" s="115">
        <v>203.15</v>
      </c>
      <c r="C1351" s="115">
        <v>202.4</v>
      </c>
      <c r="D1351" s="115">
        <v>196.3</v>
      </c>
      <c r="E1351" s="115">
        <v>196.3</v>
      </c>
      <c r="F1351" s="115">
        <v>202.4</v>
      </c>
      <c r="G1351">
        <v>2776</v>
      </c>
      <c r="H1351" s="115"/>
      <c r="I1351" s="115"/>
      <c r="L1351" s="169">
        <v>43999</v>
      </c>
      <c r="M1351" s="115">
        <v>197.95</v>
      </c>
      <c r="N1351" s="115">
        <v>201.3</v>
      </c>
      <c r="O1351" s="115">
        <v>193.8</v>
      </c>
      <c r="P1351" s="115">
        <v>195.65</v>
      </c>
      <c r="Q1351" s="115">
        <v>197.95</v>
      </c>
      <c r="R1351">
        <v>15848</v>
      </c>
    </row>
    <row r="1352" spans="1:18" x14ac:dyDescent="0.25">
      <c r="A1352" s="169">
        <v>44001</v>
      </c>
      <c r="B1352" s="115">
        <v>204.6</v>
      </c>
      <c r="C1352" s="115">
        <v>199.8</v>
      </c>
      <c r="D1352" s="115">
        <v>199</v>
      </c>
      <c r="E1352" s="115">
        <v>202.2</v>
      </c>
      <c r="F1352" s="115">
        <v>199.8</v>
      </c>
      <c r="G1352">
        <v>5365</v>
      </c>
      <c r="H1352" s="115"/>
      <c r="I1352" s="115"/>
      <c r="L1352" s="169">
        <v>44000</v>
      </c>
      <c r="M1352" s="115">
        <v>202.35</v>
      </c>
      <c r="N1352" s="115">
        <v>203</v>
      </c>
      <c r="O1352" s="115">
        <v>195.25</v>
      </c>
      <c r="P1352" s="115">
        <v>197</v>
      </c>
      <c r="Q1352" s="115">
        <v>202.35</v>
      </c>
      <c r="R1352">
        <v>43043</v>
      </c>
    </row>
    <row r="1353" spans="1:18" x14ac:dyDescent="0.25">
      <c r="A1353" s="169">
        <v>44004</v>
      </c>
      <c r="B1353" s="115">
        <v>208.6</v>
      </c>
      <c r="C1353" s="115">
        <v>202.85</v>
      </c>
      <c r="D1353" s="115">
        <v>200</v>
      </c>
      <c r="E1353" s="115">
        <v>201.95</v>
      </c>
      <c r="F1353" s="115">
        <v>202.85</v>
      </c>
      <c r="G1353">
        <v>9682</v>
      </c>
      <c r="H1353" s="115"/>
      <c r="I1353" s="115"/>
      <c r="L1353" s="169">
        <v>44001</v>
      </c>
      <c r="M1353" s="115">
        <v>199.7</v>
      </c>
      <c r="N1353" s="115">
        <v>204.7</v>
      </c>
      <c r="O1353" s="115">
        <v>198.8</v>
      </c>
      <c r="P1353" s="115">
        <v>203.5</v>
      </c>
      <c r="Q1353" s="115">
        <v>199.7</v>
      </c>
      <c r="R1353">
        <v>56538</v>
      </c>
    </row>
    <row r="1354" spans="1:18" x14ac:dyDescent="0.25">
      <c r="A1354" s="169">
        <v>44005</v>
      </c>
      <c r="B1354" s="115">
        <v>205.65</v>
      </c>
      <c r="C1354" s="115">
        <v>201.95</v>
      </c>
      <c r="D1354" s="115">
        <v>201</v>
      </c>
      <c r="E1354" s="115">
        <v>205.5</v>
      </c>
      <c r="F1354" s="115">
        <v>201.95</v>
      </c>
      <c r="G1354">
        <v>4127</v>
      </c>
      <c r="H1354" s="115"/>
      <c r="I1354" s="115"/>
      <c r="L1354" s="169">
        <v>44004</v>
      </c>
      <c r="M1354" s="115">
        <v>202.5</v>
      </c>
      <c r="N1354" s="115">
        <v>208.5</v>
      </c>
      <c r="O1354" s="115">
        <v>198.55</v>
      </c>
      <c r="P1354" s="115">
        <v>200</v>
      </c>
      <c r="Q1354" s="115">
        <v>202.5</v>
      </c>
      <c r="R1354">
        <v>278964</v>
      </c>
    </row>
    <row r="1355" spans="1:18" x14ac:dyDescent="0.25">
      <c r="A1355" s="169">
        <v>44006</v>
      </c>
      <c r="B1355" s="115">
        <v>225</v>
      </c>
      <c r="C1355" s="115">
        <v>207.45</v>
      </c>
      <c r="D1355" s="115">
        <v>200.95</v>
      </c>
      <c r="E1355" s="115">
        <v>207</v>
      </c>
      <c r="F1355" s="115">
        <v>207.45</v>
      </c>
      <c r="G1355">
        <v>33717</v>
      </c>
      <c r="H1355" s="115"/>
      <c r="I1355" s="115"/>
      <c r="L1355" s="169">
        <v>44005</v>
      </c>
      <c r="M1355" s="115">
        <v>202.25</v>
      </c>
      <c r="N1355" s="115">
        <v>207.5</v>
      </c>
      <c r="O1355" s="115">
        <v>200.3</v>
      </c>
      <c r="P1355" s="115">
        <v>202.5</v>
      </c>
      <c r="Q1355" s="115">
        <v>202.25</v>
      </c>
      <c r="R1355">
        <v>54130</v>
      </c>
    </row>
    <row r="1356" spans="1:18" x14ac:dyDescent="0.25">
      <c r="A1356" s="169">
        <v>44007</v>
      </c>
      <c r="B1356" s="115">
        <v>219</v>
      </c>
      <c r="C1356" s="115">
        <v>206.2</v>
      </c>
      <c r="D1356" s="115">
        <v>202.95</v>
      </c>
      <c r="E1356" s="115">
        <v>219</v>
      </c>
      <c r="F1356" s="115">
        <v>206.2</v>
      </c>
      <c r="G1356">
        <v>8759</v>
      </c>
      <c r="H1356" s="115"/>
      <c r="I1356" s="115"/>
      <c r="L1356" s="169">
        <v>44006</v>
      </c>
      <c r="M1356" s="115">
        <v>207.45</v>
      </c>
      <c r="N1356" s="115">
        <v>232.45</v>
      </c>
      <c r="O1356" s="115">
        <v>201</v>
      </c>
      <c r="P1356" s="115">
        <v>202.5</v>
      </c>
      <c r="Q1356" s="115">
        <v>207.45</v>
      </c>
      <c r="R1356">
        <v>583839</v>
      </c>
    </row>
    <row r="1357" spans="1:18" x14ac:dyDescent="0.25">
      <c r="A1357" s="169">
        <v>44008</v>
      </c>
      <c r="B1357" s="115">
        <v>209</v>
      </c>
      <c r="C1357" s="115">
        <v>204.5</v>
      </c>
      <c r="D1357" s="115">
        <v>203.5</v>
      </c>
      <c r="E1357" s="115">
        <v>207.3</v>
      </c>
      <c r="F1357" s="115">
        <v>204.5</v>
      </c>
      <c r="G1357">
        <v>5087</v>
      </c>
      <c r="H1357" s="115"/>
      <c r="I1357" s="115"/>
      <c r="L1357" s="169">
        <v>44007</v>
      </c>
      <c r="M1357" s="115">
        <v>205.7</v>
      </c>
      <c r="N1357" s="115">
        <v>213</v>
      </c>
      <c r="O1357" s="115">
        <v>203.3</v>
      </c>
      <c r="P1357" s="115">
        <v>209.7</v>
      </c>
      <c r="Q1357" s="115">
        <v>205.7</v>
      </c>
      <c r="R1357">
        <v>55605</v>
      </c>
    </row>
    <row r="1358" spans="1:18" x14ac:dyDescent="0.25">
      <c r="A1358" s="169">
        <v>44011</v>
      </c>
      <c r="B1358" s="115">
        <v>215</v>
      </c>
      <c r="C1358" s="115">
        <v>209.4</v>
      </c>
      <c r="D1358" s="115">
        <v>201.8</v>
      </c>
      <c r="E1358" s="115">
        <v>205.05</v>
      </c>
      <c r="F1358" s="115">
        <v>209.4</v>
      </c>
      <c r="G1358">
        <v>27044</v>
      </c>
      <c r="H1358" s="115"/>
      <c r="I1358" s="115"/>
      <c r="L1358" s="169">
        <v>44008</v>
      </c>
      <c r="M1358" s="115">
        <v>204</v>
      </c>
      <c r="N1358" s="115">
        <v>209.75</v>
      </c>
      <c r="O1358" s="115">
        <v>203</v>
      </c>
      <c r="P1358" s="115">
        <v>208.65</v>
      </c>
      <c r="Q1358" s="115">
        <v>204</v>
      </c>
      <c r="R1358">
        <v>65716</v>
      </c>
    </row>
    <row r="1359" spans="1:18" x14ac:dyDescent="0.25">
      <c r="A1359" s="169">
        <v>44012</v>
      </c>
      <c r="B1359" s="115">
        <v>211</v>
      </c>
      <c r="C1359" s="115">
        <v>203.9</v>
      </c>
      <c r="D1359" s="115">
        <v>202.2</v>
      </c>
      <c r="E1359" s="115">
        <v>209.3</v>
      </c>
      <c r="F1359" s="115">
        <v>203.9</v>
      </c>
      <c r="G1359">
        <v>3780</v>
      </c>
      <c r="H1359" s="115"/>
      <c r="I1359" s="115"/>
      <c r="L1359" s="169">
        <v>44011</v>
      </c>
      <c r="M1359" s="115">
        <v>209.35</v>
      </c>
      <c r="N1359" s="115">
        <v>215.4</v>
      </c>
      <c r="O1359" s="115">
        <v>201.9</v>
      </c>
      <c r="P1359" s="115">
        <v>205.5</v>
      </c>
      <c r="Q1359" s="115">
        <v>209.35</v>
      </c>
      <c r="R1359">
        <v>163563</v>
      </c>
    </row>
    <row r="1360" spans="1:18" x14ac:dyDescent="0.25">
      <c r="A1360" s="169">
        <v>44013</v>
      </c>
      <c r="B1360" s="115">
        <v>208.75</v>
      </c>
      <c r="C1360" s="115">
        <v>206.95</v>
      </c>
      <c r="D1360" s="115">
        <v>203.35</v>
      </c>
      <c r="E1360" s="115">
        <v>204</v>
      </c>
      <c r="F1360" s="115">
        <v>206.95</v>
      </c>
      <c r="G1360">
        <v>5087</v>
      </c>
      <c r="H1360" s="115"/>
      <c r="I1360" s="115"/>
      <c r="L1360" s="169">
        <v>44012</v>
      </c>
      <c r="M1360" s="115">
        <v>203.45</v>
      </c>
      <c r="N1360" s="115">
        <v>211.5</v>
      </c>
      <c r="O1360" s="115">
        <v>202.5</v>
      </c>
      <c r="P1360" s="115">
        <v>209.55</v>
      </c>
      <c r="Q1360" s="115">
        <v>203.45</v>
      </c>
      <c r="R1360">
        <v>45234</v>
      </c>
    </row>
    <row r="1361" spans="1:18" x14ac:dyDescent="0.25">
      <c r="A1361" s="169">
        <v>44014</v>
      </c>
      <c r="B1361" s="115">
        <v>208.95</v>
      </c>
      <c r="C1361" s="115">
        <v>208.25</v>
      </c>
      <c r="D1361" s="115">
        <v>204.75</v>
      </c>
      <c r="E1361" s="115">
        <v>206.45</v>
      </c>
      <c r="F1361" s="115">
        <v>208.25</v>
      </c>
      <c r="G1361">
        <v>5084</v>
      </c>
      <c r="H1361" s="115"/>
      <c r="I1361" s="115"/>
      <c r="L1361" s="169">
        <v>44013</v>
      </c>
      <c r="M1361" s="115">
        <v>206.85</v>
      </c>
      <c r="N1361" s="115">
        <v>208.75</v>
      </c>
      <c r="O1361" s="115">
        <v>201</v>
      </c>
      <c r="P1361" s="115">
        <v>201</v>
      </c>
      <c r="Q1361" s="115">
        <v>206.85</v>
      </c>
      <c r="R1361">
        <v>63737</v>
      </c>
    </row>
    <row r="1362" spans="1:18" x14ac:dyDescent="0.25">
      <c r="A1362" s="169">
        <v>44015</v>
      </c>
      <c r="B1362" s="115">
        <v>212</v>
      </c>
      <c r="C1362" s="115">
        <v>211.4</v>
      </c>
      <c r="D1362" s="115">
        <v>205.8</v>
      </c>
      <c r="E1362" s="115">
        <v>208.85</v>
      </c>
      <c r="F1362" s="115">
        <v>211.4</v>
      </c>
      <c r="G1362">
        <v>4885</v>
      </c>
      <c r="H1362" s="115"/>
      <c r="I1362" s="115"/>
      <c r="L1362" s="169">
        <v>44014</v>
      </c>
      <c r="M1362" s="115">
        <v>208.25</v>
      </c>
      <c r="N1362" s="115">
        <v>208.75</v>
      </c>
      <c r="O1362" s="115">
        <v>204.95</v>
      </c>
      <c r="P1362" s="115">
        <v>208.75</v>
      </c>
      <c r="Q1362" s="115">
        <v>208.25</v>
      </c>
      <c r="R1362">
        <v>48404</v>
      </c>
    </row>
    <row r="1363" spans="1:18" x14ac:dyDescent="0.25">
      <c r="A1363" s="169">
        <v>44018</v>
      </c>
      <c r="B1363" s="115">
        <v>214.6</v>
      </c>
      <c r="C1363" s="115">
        <v>208.5</v>
      </c>
      <c r="D1363" s="115">
        <v>205</v>
      </c>
      <c r="E1363" s="115">
        <v>213.8</v>
      </c>
      <c r="F1363" s="115">
        <v>208.5</v>
      </c>
      <c r="G1363">
        <v>6817</v>
      </c>
      <c r="H1363" s="115"/>
      <c r="I1363" s="115"/>
      <c r="L1363" s="169">
        <v>44015</v>
      </c>
      <c r="M1363" s="115">
        <v>211.2</v>
      </c>
      <c r="N1363" s="115">
        <v>212.3</v>
      </c>
      <c r="O1363" s="115">
        <v>205.3</v>
      </c>
      <c r="P1363" s="115">
        <v>208.75</v>
      </c>
      <c r="Q1363" s="115">
        <v>211.2</v>
      </c>
      <c r="R1363">
        <v>83290</v>
      </c>
    </row>
    <row r="1364" spans="1:18" x14ac:dyDescent="0.25">
      <c r="A1364" s="169">
        <v>44019</v>
      </c>
      <c r="B1364" s="115">
        <v>214</v>
      </c>
      <c r="C1364" s="115">
        <v>211.6</v>
      </c>
      <c r="D1364" s="115">
        <v>210.3</v>
      </c>
      <c r="E1364" s="115">
        <v>210.5</v>
      </c>
      <c r="F1364" s="115">
        <v>211.6</v>
      </c>
      <c r="G1364">
        <v>9711</v>
      </c>
      <c r="H1364" s="115"/>
      <c r="I1364" s="115"/>
      <c r="L1364" s="169">
        <v>44018</v>
      </c>
      <c r="M1364" s="115">
        <v>208.4</v>
      </c>
      <c r="N1364" s="115">
        <v>214.4</v>
      </c>
      <c r="O1364" s="115">
        <v>204.35</v>
      </c>
      <c r="P1364" s="115">
        <v>213.7</v>
      </c>
      <c r="Q1364" s="115">
        <v>208.4</v>
      </c>
      <c r="R1364">
        <v>140231</v>
      </c>
    </row>
    <row r="1365" spans="1:18" x14ac:dyDescent="0.25">
      <c r="A1365" s="169">
        <v>44020</v>
      </c>
      <c r="B1365" s="115">
        <v>212.2</v>
      </c>
      <c r="C1365" s="115">
        <v>205.3</v>
      </c>
      <c r="D1365" s="115">
        <v>204.4</v>
      </c>
      <c r="E1365" s="115">
        <v>211.05</v>
      </c>
      <c r="F1365" s="115">
        <v>205.3</v>
      </c>
      <c r="G1365">
        <v>3482</v>
      </c>
      <c r="H1365" s="115"/>
      <c r="I1365" s="115"/>
      <c r="L1365" s="169">
        <v>44019</v>
      </c>
      <c r="M1365" s="115">
        <v>212.05</v>
      </c>
      <c r="N1365" s="115">
        <v>214</v>
      </c>
      <c r="O1365" s="115">
        <v>210</v>
      </c>
      <c r="P1365" s="115">
        <v>214</v>
      </c>
      <c r="Q1365" s="115">
        <v>212.05</v>
      </c>
      <c r="R1365">
        <v>83697</v>
      </c>
    </row>
    <row r="1366" spans="1:18" x14ac:dyDescent="0.25">
      <c r="A1366" s="169">
        <v>44021</v>
      </c>
      <c r="B1366" s="115">
        <v>208.65</v>
      </c>
      <c r="C1366" s="115">
        <v>206.25</v>
      </c>
      <c r="D1366" s="115">
        <v>205.9</v>
      </c>
      <c r="E1366" s="115">
        <v>207</v>
      </c>
      <c r="F1366" s="115">
        <v>206.25</v>
      </c>
      <c r="G1366">
        <v>2585</v>
      </c>
      <c r="H1366" s="115"/>
      <c r="I1366" s="115"/>
      <c r="L1366" s="169">
        <v>44020</v>
      </c>
      <c r="M1366" s="115">
        <v>205.1</v>
      </c>
      <c r="N1366" s="115">
        <v>214.7</v>
      </c>
      <c r="O1366" s="115">
        <v>204.2</v>
      </c>
      <c r="P1366" s="115">
        <v>214.7</v>
      </c>
      <c r="Q1366" s="115">
        <v>205.1</v>
      </c>
      <c r="R1366">
        <v>73721</v>
      </c>
    </row>
    <row r="1367" spans="1:18" x14ac:dyDescent="0.25">
      <c r="A1367" s="169">
        <v>44022</v>
      </c>
      <c r="B1367" s="115">
        <v>207.7</v>
      </c>
      <c r="C1367" s="115">
        <v>204.95</v>
      </c>
      <c r="D1367" s="115">
        <v>204.2</v>
      </c>
      <c r="E1367" s="115">
        <v>206.75</v>
      </c>
      <c r="F1367" s="115">
        <v>204.95</v>
      </c>
      <c r="G1367">
        <v>1745</v>
      </c>
      <c r="H1367" s="115"/>
      <c r="I1367" s="115"/>
      <c r="L1367" s="169">
        <v>44021</v>
      </c>
      <c r="M1367" s="115">
        <v>206.05</v>
      </c>
      <c r="N1367" s="115">
        <v>208.7</v>
      </c>
      <c r="O1367" s="115">
        <v>205.65</v>
      </c>
      <c r="P1367" s="115">
        <v>206</v>
      </c>
      <c r="Q1367" s="115">
        <v>206.05</v>
      </c>
      <c r="R1367">
        <v>59254</v>
      </c>
    </row>
    <row r="1368" spans="1:18" x14ac:dyDescent="0.25">
      <c r="A1368" s="169">
        <v>44025</v>
      </c>
      <c r="B1368" s="115">
        <v>212.95</v>
      </c>
      <c r="C1368" s="115">
        <v>208.3</v>
      </c>
      <c r="D1368" s="115">
        <v>205.6</v>
      </c>
      <c r="E1368" s="115">
        <v>206.65</v>
      </c>
      <c r="F1368" s="115">
        <v>208.3</v>
      </c>
      <c r="G1368">
        <v>3027</v>
      </c>
      <c r="H1368" s="115"/>
      <c r="I1368" s="115"/>
      <c r="L1368" s="169">
        <v>44022</v>
      </c>
      <c r="M1368" s="115">
        <v>204.95</v>
      </c>
      <c r="N1368" s="115">
        <v>207.7</v>
      </c>
      <c r="O1368" s="115">
        <v>204.3</v>
      </c>
      <c r="P1368" s="115">
        <v>206.05</v>
      </c>
      <c r="Q1368" s="115">
        <v>204.95</v>
      </c>
      <c r="R1368">
        <v>21494</v>
      </c>
    </row>
    <row r="1369" spans="1:18" x14ac:dyDescent="0.25">
      <c r="A1369" s="169">
        <v>44026</v>
      </c>
      <c r="B1369" s="115">
        <v>209.4</v>
      </c>
      <c r="C1369" s="115">
        <v>204.3</v>
      </c>
      <c r="D1369" s="115">
        <v>203</v>
      </c>
      <c r="E1369" s="115">
        <v>209.05</v>
      </c>
      <c r="F1369" s="115">
        <v>204.3</v>
      </c>
      <c r="G1369">
        <v>3264</v>
      </c>
      <c r="H1369" s="115"/>
      <c r="I1369" s="115"/>
      <c r="L1369" s="169">
        <v>44025</v>
      </c>
      <c r="M1369" s="115">
        <v>208.1</v>
      </c>
      <c r="N1369" s="115">
        <v>213.8</v>
      </c>
      <c r="O1369" s="115">
        <v>203.75</v>
      </c>
      <c r="P1369" s="115">
        <v>203.75</v>
      </c>
      <c r="Q1369" s="115">
        <v>208.1</v>
      </c>
      <c r="R1369">
        <v>110930</v>
      </c>
    </row>
    <row r="1370" spans="1:18" x14ac:dyDescent="0.25">
      <c r="A1370" s="169">
        <v>44027</v>
      </c>
      <c r="B1370" s="115">
        <v>208.1</v>
      </c>
      <c r="C1370" s="115">
        <v>204.1</v>
      </c>
      <c r="D1370" s="115">
        <v>202.75</v>
      </c>
      <c r="E1370" s="115">
        <v>204.3</v>
      </c>
      <c r="F1370" s="115">
        <v>204.1</v>
      </c>
      <c r="G1370">
        <v>5090</v>
      </c>
      <c r="H1370" s="115"/>
      <c r="I1370" s="115"/>
      <c r="L1370" s="169">
        <v>44026</v>
      </c>
      <c r="M1370" s="115">
        <v>203.9</v>
      </c>
      <c r="N1370" s="115">
        <v>210.2</v>
      </c>
      <c r="O1370" s="115">
        <v>202</v>
      </c>
      <c r="P1370" s="115">
        <v>210</v>
      </c>
      <c r="Q1370" s="115">
        <v>203.9</v>
      </c>
      <c r="R1370">
        <v>43981</v>
      </c>
    </row>
    <row r="1371" spans="1:18" x14ac:dyDescent="0.25">
      <c r="A1371" s="169">
        <v>44028</v>
      </c>
      <c r="B1371" s="115">
        <v>203.8</v>
      </c>
      <c r="C1371" s="115">
        <v>200.9</v>
      </c>
      <c r="D1371" s="115">
        <v>200</v>
      </c>
      <c r="E1371" s="115">
        <v>202.1</v>
      </c>
      <c r="F1371" s="115">
        <v>200.9</v>
      </c>
      <c r="G1371">
        <v>1909</v>
      </c>
      <c r="H1371" s="115"/>
      <c r="I1371" s="115"/>
      <c r="L1371" s="169">
        <v>44027</v>
      </c>
      <c r="M1371" s="115">
        <v>204.3</v>
      </c>
      <c r="N1371" s="115">
        <v>207.9</v>
      </c>
      <c r="O1371" s="115">
        <v>202.2</v>
      </c>
      <c r="P1371" s="115">
        <v>206</v>
      </c>
      <c r="Q1371" s="115">
        <v>204.3</v>
      </c>
      <c r="R1371">
        <v>62986</v>
      </c>
    </row>
    <row r="1372" spans="1:18" x14ac:dyDescent="0.25">
      <c r="A1372" s="169">
        <v>44029</v>
      </c>
      <c r="B1372" s="115">
        <v>218.6</v>
      </c>
      <c r="C1372" s="115">
        <v>213.75</v>
      </c>
      <c r="D1372" s="115">
        <v>206.15</v>
      </c>
      <c r="E1372" s="115">
        <v>206.15</v>
      </c>
      <c r="F1372" s="115">
        <v>213.75</v>
      </c>
      <c r="G1372">
        <v>27775</v>
      </c>
      <c r="H1372" s="115"/>
      <c r="I1372" s="115"/>
      <c r="L1372" s="169">
        <v>44028</v>
      </c>
      <c r="M1372" s="115">
        <v>200.8</v>
      </c>
      <c r="N1372" s="115">
        <v>204.1</v>
      </c>
      <c r="O1372" s="115">
        <v>199</v>
      </c>
      <c r="P1372" s="115">
        <v>204</v>
      </c>
      <c r="Q1372" s="115">
        <v>200.8</v>
      </c>
      <c r="R1372">
        <v>37938</v>
      </c>
    </row>
    <row r="1373" spans="1:18" x14ac:dyDescent="0.25">
      <c r="A1373" s="169">
        <v>44032</v>
      </c>
      <c r="B1373" s="115">
        <v>217</v>
      </c>
      <c r="C1373" s="115">
        <v>215</v>
      </c>
      <c r="D1373" s="115">
        <v>210.7</v>
      </c>
      <c r="E1373" s="115">
        <v>216.65</v>
      </c>
      <c r="F1373" s="115">
        <v>215</v>
      </c>
      <c r="G1373">
        <v>5386</v>
      </c>
      <c r="H1373" s="115"/>
      <c r="I1373" s="115"/>
      <c r="L1373" s="169">
        <v>44029</v>
      </c>
      <c r="M1373" s="115">
        <v>213.85</v>
      </c>
      <c r="N1373" s="115">
        <v>218.75</v>
      </c>
      <c r="O1373" s="115">
        <v>204.95</v>
      </c>
      <c r="P1373" s="115">
        <v>205.05</v>
      </c>
      <c r="Q1373" s="115">
        <v>213.85</v>
      </c>
      <c r="R1373">
        <v>312320</v>
      </c>
    </row>
    <row r="1374" spans="1:18" x14ac:dyDescent="0.25">
      <c r="A1374" s="169">
        <v>44033</v>
      </c>
      <c r="B1374" s="115">
        <v>226</v>
      </c>
      <c r="C1374" s="115">
        <v>218.05</v>
      </c>
      <c r="D1374" s="115">
        <v>215.05</v>
      </c>
      <c r="E1374" s="115">
        <v>217.65</v>
      </c>
      <c r="F1374" s="115">
        <v>218.05</v>
      </c>
      <c r="G1374">
        <v>13034</v>
      </c>
      <c r="H1374" s="115"/>
      <c r="I1374" s="115"/>
      <c r="L1374" s="169">
        <v>44032</v>
      </c>
      <c r="M1374" s="115">
        <v>215</v>
      </c>
      <c r="N1374" s="115">
        <v>217.45</v>
      </c>
      <c r="O1374" s="115">
        <v>210.2</v>
      </c>
      <c r="P1374" s="115">
        <v>216.4</v>
      </c>
      <c r="Q1374" s="115">
        <v>215</v>
      </c>
      <c r="R1374">
        <v>131035</v>
      </c>
    </row>
    <row r="1375" spans="1:18" x14ac:dyDescent="0.25">
      <c r="A1375" s="169">
        <v>44034</v>
      </c>
      <c r="B1375" s="115">
        <v>224.9</v>
      </c>
      <c r="C1375" s="115">
        <v>218.95</v>
      </c>
      <c r="D1375" s="115">
        <v>217</v>
      </c>
      <c r="E1375" s="115">
        <v>224</v>
      </c>
      <c r="F1375" s="115">
        <v>218.95</v>
      </c>
      <c r="G1375">
        <v>2538</v>
      </c>
      <c r="H1375" s="115"/>
      <c r="I1375" s="115"/>
      <c r="L1375" s="169">
        <v>44033</v>
      </c>
      <c r="M1375" s="115">
        <v>218.3</v>
      </c>
      <c r="N1375" s="115">
        <v>225</v>
      </c>
      <c r="O1375" s="115">
        <v>215.05</v>
      </c>
      <c r="P1375" s="115">
        <v>215.05</v>
      </c>
      <c r="Q1375" s="115">
        <v>218.3</v>
      </c>
      <c r="R1375">
        <v>226677</v>
      </c>
    </row>
    <row r="1376" spans="1:18" x14ac:dyDescent="0.25">
      <c r="A1376" s="169">
        <v>44035</v>
      </c>
      <c r="B1376" s="115">
        <v>228.1</v>
      </c>
      <c r="C1376" s="115">
        <v>223.5</v>
      </c>
      <c r="D1376" s="115">
        <v>221</v>
      </c>
      <c r="E1376" s="115">
        <v>221</v>
      </c>
      <c r="F1376" s="115">
        <v>223.5</v>
      </c>
      <c r="G1376">
        <v>11126</v>
      </c>
      <c r="H1376" s="115"/>
      <c r="I1376" s="115"/>
      <c r="L1376" s="169">
        <v>44034</v>
      </c>
      <c r="M1376" s="115">
        <v>219</v>
      </c>
      <c r="N1376" s="115">
        <v>225</v>
      </c>
      <c r="O1376" s="115">
        <v>216.05</v>
      </c>
      <c r="P1376" s="115">
        <v>221</v>
      </c>
      <c r="Q1376" s="115">
        <v>219</v>
      </c>
      <c r="R1376">
        <v>112790</v>
      </c>
    </row>
    <row r="1377" spans="1:18" x14ac:dyDescent="0.25">
      <c r="A1377" s="169">
        <v>44036</v>
      </c>
      <c r="B1377" s="115">
        <v>229.9</v>
      </c>
      <c r="C1377" s="115">
        <v>222.85</v>
      </c>
      <c r="D1377" s="115">
        <v>216.95</v>
      </c>
      <c r="E1377" s="115">
        <v>229.9</v>
      </c>
      <c r="F1377" s="115">
        <v>222.85</v>
      </c>
      <c r="G1377">
        <v>4951</v>
      </c>
      <c r="H1377" s="115"/>
      <c r="I1377" s="115"/>
      <c r="L1377" s="169">
        <v>44035</v>
      </c>
      <c r="M1377" s="115">
        <v>223.5</v>
      </c>
      <c r="N1377" s="115">
        <v>228.5</v>
      </c>
      <c r="O1377" s="115">
        <v>219.6</v>
      </c>
      <c r="P1377" s="115">
        <v>221.8</v>
      </c>
      <c r="Q1377" s="115">
        <v>223.5</v>
      </c>
      <c r="R1377">
        <v>122938</v>
      </c>
    </row>
    <row r="1378" spans="1:18" x14ac:dyDescent="0.25">
      <c r="A1378" s="169">
        <v>44039</v>
      </c>
      <c r="B1378" s="115">
        <v>226.1</v>
      </c>
      <c r="C1378" s="115">
        <v>221.5</v>
      </c>
      <c r="D1378" s="115">
        <v>217.3</v>
      </c>
      <c r="E1378" s="115">
        <v>217.3</v>
      </c>
      <c r="F1378" s="115">
        <v>221.5</v>
      </c>
      <c r="G1378">
        <v>12785</v>
      </c>
      <c r="H1378" s="115"/>
      <c r="I1378" s="115"/>
      <c r="L1378" s="169">
        <v>44036</v>
      </c>
      <c r="M1378" s="115">
        <v>222.1</v>
      </c>
      <c r="N1378" s="115">
        <v>225.25</v>
      </c>
      <c r="O1378" s="115">
        <v>216.9</v>
      </c>
      <c r="P1378" s="115">
        <v>220.05</v>
      </c>
      <c r="Q1378" s="115">
        <v>222.1</v>
      </c>
      <c r="R1378">
        <v>137488</v>
      </c>
    </row>
    <row r="1379" spans="1:18" x14ac:dyDescent="0.25">
      <c r="A1379" s="169">
        <v>44040</v>
      </c>
      <c r="B1379" s="115">
        <v>229.5</v>
      </c>
      <c r="C1379" s="115">
        <v>224.25</v>
      </c>
      <c r="D1379" s="115">
        <v>219.95</v>
      </c>
      <c r="E1379" s="115">
        <v>229</v>
      </c>
      <c r="F1379" s="115">
        <v>224.25</v>
      </c>
      <c r="G1379">
        <v>12283</v>
      </c>
      <c r="H1379" s="115"/>
      <c r="I1379" s="115"/>
      <c r="L1379" s="169">
        <v>44039</v>
      </c>
      <c r="M1379" s="115">
        <v>221.05</v>
      </c>
      <c r="N1379" s="115">
        <v>227.8</v>
      </c>
      <c r="O1379" s="115">
        <v>218.6</v>
      </c>
      <c r="P1379" s="115">
        <v>222.05</v>
      </c>
      <c r="Q1379" s="115">
        <v>221.05</v>
      </c>
      <c r="R1379">
        <v>148518</v>
      </c>
    </row>
    <row r="1380" spans="1:18" x14ac:dyDescent="0.25">
      <c r="A1380" s="169">
        <v>44041</v>
      </c>
      <c r="B1380" s="115">
        <v>229</v>
      </c>
      <c r="C1380" s="115">
        <v>224.6</v>
      </c>
      <c r="D1380" s="115">
        <v>223.1</v>
      </c>
      <c r="E1380" s="115">
        <v>229</v>
      </c>
      <c r="F1380" s="115">
        <v>224.6</v>
      </c>
      <c r="G1380">
        <v>2934</v>
      </c>
      <c r="H1380" s="115"/>
      <c r="I1380" s="115"/>
      <c r="L1380" s="169">
        <v>44040</v>
      </c>
      <c r="M1380" s="115">
        <v>224.65</v>
      </c>
      <c r="N1380" s="115">
        <v>229.3</v>
      </c>
      <c r="O1380" s="115">
        <v>220.3</v>
      </c>
      <c r="P1380" s="115">
        <v>225</v>
      </c>
      <c r="Q1380" s="115">
        <v>224.65</v>
      </c>
      <c r="R1380">
        <v>130956</v>
      </c>
    </row>
    <row r="1381" spans="1:18" x14ac:dyDescent="0.25">
      <c r="A1381" s="169">
        <v>44042</v>
      </c>
      <c r="B1381" s="115">
        <v>245.05</v>
      </c>
      <c r="C1381" s="115">
        <v>241.05</v>
      </c>
      <c r="D1381" s="115">
        <v>223</v>
      </c>
      <c r="E1381" s="115">
        <v>225</v>
      </c>
      <c r="F1381" s="115">
        <v>241.05</v>
      </c>
      <c r="G1381">
        <v>21357</v>
      </c>
      <c r="H1381" s="115"/>
      <c r="I1381" s="115"/>
      <c r="L1381" s="169">
        <v>44041</v>
      </c>
      <c r="M1381" s="115">
        <v>225.1</v>
      </c>
      <c r="N1381" s="115">
        <v>227.35</v>
      </c>
      <c r="O1381" s="115">
        <v>222.4</v>
      </c>
      <c r="P1381" s="115">
        <v>224.9</v>
      </c>
      <c r="Q1381" s="115">
        <v>225.1</v>
      </c>
      <c r="R1381">
        <v>59498</v>
      </c>
    </row>
    <row r="1382" spans="1:18" x14ac:dyDescent="0.25">
      <c r="A1382" s="169">
        <v>44043</v>
      </c>
      <c r="B1382" s="115">
        <v>247.9</v>
      </c>
      <c r="C1382" s="115">
        <v>242.55</v>
      </c>
      <c r="D1382" s="115">
        <v>237.9</v>
      </c>
      <c r="E1382" s="115">
        <v>243</v>
      </c>
      <c r="F1382" s="115">
        <v>242.55</v>
      </c>
      <c r="G1382">
        <v>18354</v>
      </c>
      <c r="H1382" s="115"/>
      <c r="I1382" s="115"/>
      <c r="L1382" s="169">
        <v>44042</v>
      </c>
      <c r="M1382" s="115">
        <v>240.8</v>
      </c>
      <c r="N1382" s="115">
        <v>245</v>
      </c>
      <c r="O1382" s="115">
        <v>223</v>
      </c>
      <c r="P1382" s="115">
        <v>223.15</v>
      </c>
      <c r="Q1382" s="115">
        <v>240.8</v>
      </c>
      <c r="R1382">
        <v>634379</v>
      </c>
    </row>
    <row r="1383" spans="1:18" x14ac:dyDescent="0.25">
      <c r="A1383" s="169">
        <v>44046</v>
      </c>
      <c r="B1383" s="115">
        <v>255.6</v>
      </c>
      <c r="C1383" s="115">
        <v>251.85</v>
      </c>
      <c r="D1383" s="115">
        <v>232.1</v>
      </c>
      <c r="E1383" s="115">
        <v>232.1</v>
      </c>
      <c r="F1383" s="115">
        <v>251.85</v>
      </c>
      <c r="G1383">
        <v>21146</v>
      </c>
      <c r="H1383" s="115"/>
      <c r="I1383" s="115"/>
      <c r="L1383" s="169">
        <v>44043</v>
      </c>
      <c r="M1383" s="115">
        <v>242.25</v>
      </c>
      <c r="N1383" s="115">
        <v>247.9</v>
      </c>
      <c r="O1383" s="115">
        <v>238</v>
      </c>
      <c r="P1383" s="115">
        <v>244</v>
      </c>
      <c r="Q1383" s="115">
        <v>242.25</v>
      </c>
      <c r="R1383">
        <v>161435</v>
      </c>
    </row>
    <row r="1384" spans="1:18" x14ac:dyDescent="0.25">
      <c r="A1384" s="169">
        <v>44047</v>
      </c>
      <c r="B1384" s="115">
        <v>258.95</v>
      </c>
      <c r="C1384" s="115">
        <v>257.2</v>
      </c>
      <c r="D1384" s="115">
        <v>250.95</v>
      </c>
      <c r="E1384" s="115">
        <v>253.85</v>
      </c>
      <c r="F1384" s="115">
        <v>257.2</v>
      </c>
      <c r="G1384">
        <v>12735</v>
      </c>
      <c r="H1384" s="115"/>
      <c r="I1384" s="115"/>
      <c r="L1384" s="169">
        <v>44046</v>
      </c>
      <c r="M1384" s="115">
        <v>251.95</v>
      </c>
      <c r="N1384" s="115">
        <v>255.9</v>
      </c>
      <c r="O1384" s="115">
        <v>239.65</v>
      </c>
      <c r="P1384" s="115">
        <v>244.9</v>
      </c>
      <c r="Q1384" s="115">
        <v>251.95</v>
      </c>
      <c r="R1384">
        <v>357731</v>
      </c>
    </row>
    <row r="1385" spans="1:18" x14ac:dyDescent="0.25">
      <c r="A1385" s="169">
        <v>44048</v>
      </c>
      <c r="B1385" s="115">
        <v>257.75</v>
      </c>
      <c r="C1385" s="115">
        <v>251.65</v>
      </c>
      <c r="D1385" s="115">
        <v>250.25</v>
      </c>
      <c r="E1385" s="115">
        <v>257</v>
      </c>
      <c r="F1385" s="115">
        <v>251.65</v>
      </c>
      <c r="G1385">
        <v>3202</v>
      </c>
      <c r="H1385" s="115"/>
      <c r="I1385" s="115"/>
      <c r="L1385" s="169">
        <v>44047</v>
      </c>
      <c r="M1385" s="115">
        <v>257.5</v>
      </c>
      <c r="N1385" s="115">
        <v>259.39999999999998</v>
      </c>
      <c r="O1385" s="115">
        <v>251.15</v>
      </c>
      <c r="P1385" s="115">
        <v>253.85</v>
      </c>
      <c r="Q1385" s="115">
        <v>257.5</v>
      </c>
      <c r="R1385">
        <v>346873</v>
      </c>
    </row>
    <row r="1386" spans="1:18" x14ac:dyDescent="0.25">
      <c r="A1386" s="169">
        <v>44049</v>
      </c>
      <c r="B1386" s="115">
        <v>251.8</v>
      </c>
      <c r="C1386" s="115">
        <v>243.9</v>
      </c>
      <c r="D1386" s="115">
        <v>241.35</v>
      </c>
      <c r="E1386" s="115">
        <v>250.25</v>
      </c>
      <c r="F1386" s="115">
        <v>243.9</v>
      </c>
      <c r="G1386">
        <v>10191</v>
      </c>
      <c r="H1386" s="115"/>
      <c r="I1386" s="115"/>
      <c r="L1386" s="169">
        <v>44048</v>
      </c>
      <c r="M1386" s="115">
        <v>251</v>
      </c>
      <c r="N1386" s="115">
        <v>259.5</v>
      </c>
      <c r="O1386" s="115">
        <v>249.85</v>
      </c>
      <c r="P1386" s="115">
        <v>259.5</v>
      </c>
      <c r="Q1386" s="115">
        <v>251</v>
      </c>
      <c r="R1386">
        <v>88647</v>
      </c>
    </row>
    <row r="1387" spans="1:18" x14ac:dyDescent="0.25">
      <c r="A1387" s="169">
        <v>44050</v>
      </c>
      <c r="B1387" s="115">
        <v>252.85</v>
      </c>
      <c r="C1387" s="115">
        <v>249.3</v>
      </c>
      <c r="D1387" s="115">
        <v>242.15</v>
      </c>
      <c r="E1387" s="115">
        <v>243</v>
      </c>
      <c r="F1387" s="115">
        <v>249.3</v>
      </c>
      <c r="G1387">
        <v>6012</v>
      </c>
      <c r="H1387" s="115"/>
      <c r="I1387" s="115"/>
      <c r="L1387" s="169">
        <v>44049</v>
      </c>
      <c r="M1387" s="115">
        <v>244.7</v>
      </c>
      <c r="N1387" s="115">
        <v>253</v>
      </c>
      <c r="O1387" s="115">
        <v>241.75</v>
      </c>
      <c r="P1387" s="115">
        <v>253</v>
      </c>
      <c r="Q1387" s="115">
        <v>244.7</v>
      </c>
      <c r="R1387">
        <v>99470</v>
      </c>
    </row>
    <row r="1388" spans="1:18" x14ac:dyDescent="0.25">
      <c r="A1388" s="169">
        <v>44053</v>
      </c>
      <c r="B1388" s="115">
        <v>256</v>
      </c>
      <c r="C1388" s="115">
        <v>251.25</v>
      </c>
      <c r="D1388" s="115">
        <v>250.15</v>
      </c>
      <c r="E1388" s="115">
        <v>254.85</v>
      </c>
      <c r="F1388" s="115">
        <v>251.25</v>
      </c>
      <c r="G1388">
        <v>13828</v>
      </c>
      <c r="H1388" s="115"/>
      <c r="I1388" s="115"/>
      <c r="L1388" s="169">
        <v>44050</v>
      </c>
      <c r="M1388" s="115">
        <v>249.8</v>
      </c>
      <c r="N1388" s="115">
        <v>253.95</v>
      </c>
      <c r="O1388" s="115">
        <v>242</v>
      </c>
      <c r="P1388" s="115">
        <v>242</v>
      </c>
      <c r="Q1388" s="115">
        <v>249.8</v>
      </c>
      <c r="R1388">
        <v>113110</v>
      </c>
    </row>
    <row r="1389" spans="1:18" x14ac:dyDescent="0.25">
      <c r="A1389" s="169">
        <v>44054</v>
      </c>
      <c r="B1389" s="115">
        <v>252.7</v>
      </c>
      <c r="C1389" s="115">
        <v>246.85</v>
      </c>
      <c r="D1389" s="115">
        <v>245.4</v>
      </c>
      <c r="E1389" s="115">
        <v>252.55</v>
      </c>
      <c r="F1389" s="115">
        <v>246.85</v>
      </c>
      <c r="G1389">
        <v>7128</v>
      </c>
      <c r="H1389" s="115"/>
      <c r="I1389" s="115"/>
      <c r="L1389" s="169">
        <v>44053</v>
      </c>
      <c r="M1389" s="115">
        <v>250.35</v>
      </c>
      <c r="N1389" s="115">
        <v>256.3</v>
      </c>
      <c r="O1389" s="115">
        <v>250</v>
      </c>
      <c r="P1389" s="115">
        <v>252.8</v>
      </c>
      <c r="Q1389" s="115">
        <v>250.35</v>
      </c>
      <c r="R1389">
        <v>207537</v>
      </c>
    </row>
    <row r="1390" spans="1:18" x14ac:dyDescent="0.25">
      <c r="A1390" s="169">
        <v>44055</v>
      </c>
      <c r="B1390" s="115">
        <v>259.45</v>
      </c>
      <c r="C1390" s="115">
        <v>252.2</v>
      </c>
      <c r="D1390" s="115">
        <v>249.45</v>
      </c>
      <c r="E1390" s="115">
        <v>249.45</v>
      </c>
      <c r="F1390" s="115">
        <v>252.2</v>
      </c>
      <c r="G1390">
        <v>3319</v>
      </c>
      <c r="H1390" s="115"/>
      <c r="I1390" s="115"/>
      <c r="L1390" s="169">
        <v>44054</v>
      </c>
      <c r="M1390" s="115">
        <v>247.4</v>
      </c>
      <c r="N1390" s="115">
        <v>253.45</v>
      </c>
      <c r="O1390" s="115">
        <v>245.1</v>
      </c>
      <c r="P1390" s="115">
        <v>251.05</v>
      </c>
      <c r="Q1390" s="115">
        <v>247.4</v>
      </c>
      <c r="R1390">
        <v>94213</v>
      </c>
    </row>
    <row r="1391" spans="1:18" x14ac:dyDescent="0.25">
      <c r="A1391" s="169">
        <v>44056</v>
      </c>
      <c r="B1391" s="115">
        <v>255.85</v>
      </c>
      <c r="C1391" s="115">
        <v>254.4</v>
      </c>
      <c r="D1391" s="115">
        <v>251.55</v>
      </c>
      <c r="E1391" s="115">
        <v>255.25</v>
      </c>
      <c r="F1391" s="115">
        <v>254.4</v>
      </c>
      <c r="G1391">
        <v>4748</v>
      </c>
      <c r="H1391" s="115"/>
      <c r="I1391" s="115"/>
      <c r="L1391" s="169">
        <v>44055</v>
      </c>
      <c r="M1391" s="115">
        <v>252.6</v>
      </c>
      <c r="N1391" s="115">
        <v>259.39999999999998</v>
      </c>
      <c r="O1391" s="115">
        <v>245.1</v>
      </c>
      <c r="P1391" s="115">
        <v>245.1</v>
      </c>
      <c r="Q1391" s="115">
        <v>252.6</v>
      </c>
      <c r="R1391">
        <v>82789</v>
      </c>
    </row>
    <row r="1392" spans="1:18" x14ac:dyDescent="0.25">
      <c r="A1392" s="169">
        <v>44057</v>
      </c>
      <c r="B1392" s="115">
        <v>257.05</v>
      </c>
      <c r="C1392" s="115">
        <v>252.95</v>
      </c>
      <c r="D1392" s="115">
        <v>242.4</v>
      </c>
      <c r="E1392" s="115">
        <v>256.25</v>
      </c>
      <c r="F1392" s="115">
        <v>252.95</v>
      </c>
      <c r="G1392">
        <v>8978</v>
      </c>
      <c r="H1392" s="115"/>
      <c r="I1392" s="115"/>
      <c r="L1392" s="169">
        <v>44056</v>
      </c>
      <c r="M1392" s="115">
        <v>255</v>
      </c>
      <c r="N1392" s="115">
        <v>258.25</v>
      </c>
      <c r="O1392" s="115">
        <v>251</v>
      </c>
      <c r="P1392" s="115">
        <v>255</v>
      </c>
      <c r="Q1392" s="115">
        <v>255</v>
      </c>
      <c r="R1392">
        <v>81557</v>
      </c>
    </row>
    <row r="1393" spans="1:18" x14ac:dyDescent="0.25">
      <c r="A1393" s="169">
        <v>44060</v>
      </c>
      <c r="B1393" s="115">
        <v>259.39999999999998</v>
      </c>
      <c r="C1393" s="115">
        <v>249.05</v>
      </c>
      <c r="D1393" s="115">
        <v>247.95</v>
      </c>
      <c r="E1393" s="115">
        <v>257.14999999999998</v>
      </c>
      <c r="F1393" s="115">
        <v>249.05</v>
      </c>
      <c r="G1393">
        <v>13524</v>
      </c>
      <c r="H1393" s="115"/>
      <c r="I1393" s="115"/>
      <c r="L1393" s="169">
        <v>44057</v>
      </c>
      <c r="M1393" s="115">
        <v>252.9</v>
      </c>
      <c r="N1393" s="115">
        <v>257.8</v>
      </c>
      <c r="O1393" s="115">
        <v>242.25</v>
      </c>
      <c r="P1393" s="115">
        <v>255.1</v>
      </c>
      <c r="Q1393" s="115">
        <v>252.9</v>
      </c>
      <c r="R1393">
        <v>123166</v>
      </c>
    </row>
    <row r="1394" spans="1:18" x14ac:dyDescent="0.25">
      <c r="A1394" s="169">
        <v>44061</v>
      </c>
      <c r="B1394" s="115">
        <v>255</v>
      </c>
      <c r="C1394" s="115">
        <v>248.85</v>
      </c>
      <c r="D1394" s="115">
        <v>246.55</v>
      </c>
      <c r="E1394" s="115">
        <v>249.1</v>
      </c>
      <c r="F1394" s="115">
        <v>248.85</v>
      </c>
      <c r="G1394">
        <v>5080</v>
      </c>
      <c r="H1394" s="115"/>
      <c r="I1394" s="115"/>
      <c r="L1394" s="169">
        <v>44060</v>
      </c>
      <c r="M1394" s="115">
        <v>248.9</v>
      </c>
      <c r="N1394" s="115">
        <v>261.10000000000002</v>
      </c>
      <c r="O1394" s="115">
        <v>248</v>
      </c>
      <c r="P1394" s="115">
        <v>259</v>
      </c>
      <c r="Q1394" s="115">
        <v>248.9</v>
      </c>
      <c r="R1394">
        <v>259595</v>
      </c>
    </row>
    <row r="1395" spans="1:18" x14ac:dyDescent="0.25">
      <c r="A1395" s="169">
        <v>44062</v>
      </c>
      <c r="B1395" s="115">
        <v>255</v>
      </c>
      <c r="C1395" s="115">
        <v>247.05</v>
      </c>
      <c r="D1395" s="115">
        <v>245.35</v>
      </c>
      <c r="E1395" s="115">
        <v>250.6</v>
      </c>
      <c r="F1395" s="115">
        <v>247.05</v>
      </c>
      <c r="G1395">
        <v>6538</v>
      </c>
      <c r="H1395" s="115"/>
      <c r="I1395" s="115"/>
      <c r="L1395" s="169">
        <v>44061</v>
      </c>
      <c r="M1395" s="115">
        <v>248.7</v>
      </c>
      <c r="N1395" s="115">
        <v>255.1</v>
      </c>
      <c r="O1395" s="115">
        <v>246</v>
      </c>
      <c r="P1395" s="115">
        <v>248.9</v>
      </c>
      <c r="Q1395" s="115">
        <v>248.7</v>
      </c>
      <c r="R1395">
        <v>151785</v>
      </c>
    </row>
    <row r="1396" spans="1:18" x14ac:dyDescent="0.25">
      <c r="A1396" s="169">
        <v>44063</v>
      </c>
      <c r="B1396" s="115">
        <v>265.75</v>
      </c>
      <c r="C1396" s="115">
        <v>258.3</v>
      </c>
      <c r="D1396" s="115">
        <v>245.35</v>
      </c>
      <c r="E1396" s="115">
        <v>246.6</v>
      </c>
      <c r="F1396" s="115">
        <v>258.3</v>
      </c>
      <c r="G1396">
        <v>15269</v>
      </c>
      <c r="H1396" s="115"/>
      <c r="I1396" s="115"/>
      <c r="L1396" s="169">
        <v>44062</v>
      </c>
      <c r="M1396" s="115">
        <v>246.35</v>
      </c>
      <c r="N1396" s="115">
        <v>255.1</v>
      </c>
      <c r="O1396" s="115">
        <v>245</v>
      </c>
      <c r="P1396" s="115">
        <v>252.5</v>
      </c>
      <c r="Q1396" s="115">
        <v>246.35</v>
      </c>
      <c r="R1396">
        <v>160308</v>
      </c>
    </row>
    <row r="1397" spans="1:18" x14ac:dyDescent="0.25">
      <c r="A1397" s="169">
        <v>44064</v>
      </c>
      <c r="B1397" s="115">
        <v>288.14999999999998</v>
      </c>
      <c r="C1397" s="115">
        <v>283.60000000000002</v>
      </c>
      <c r="D1397" s="115">
        <v>260.89999999999998</v>
      </c>
      <c r="E1397" s="115">
        <v>262.45</v>
      </c>
      <c r="F1397" s="115">
        <v>283.60000000000002</v>
      </c>
      <c r="G1397">
        <v>61999</v>
      </c>
      <c r="H1397" s="115"/>
      <c r="I1397" s="115"/>
      <c r="L1397" s="169">
        <v>44063</v>
      </c>
      <c r="M1397" s="115">
        <v>258.14999999999998</v>
      </c>
      <c r="N1397" s="115">
        <v>266.64999999999998</v>
      </c>
      <c r="O1397" s="115">
        <v>245.3</v>
      </c>
      <c r="P1397" s="115">
        <v>246.8</v>
      </c>
      <c r="Q1397" s="115">
        <v>258.14999999999998</v>
      </c>
      <c r="R1397">
        <v>267919</v>
      </c>
    </row>
    <row r="1398" spans="1:18" x14ac:dyDescent="0.25">
      <c r="A1398" s="169">
        <v>44067</v>
      </c>
      <c r="B1398" s="115">
        <v>336</v>
      </c>
      <c r="C1398" s="115">
        <v>311.45</v>
      </c>
      <c r="D1398" s="115">
        <v>285</v>
      </c>
      <c r="E1398" s="115">
        <v>285</v>
      </c>
      <c r="F1398" s="115">
        <v>311.45</v>
      </c>
      <c r="G1398">
        <v>259173</v>
      </c>
      <c r="H1398" s="115"/>
      <c r="I1398" s="115"/>
      <c r="L1398" s="169">
        <v>44064</v>
      </c>
      <c r="M1398" s="115">
        <v>282.39999999999998</v>
      </c>
      <c r="N1398" s="115">
        <v>288</v>
      </c>
      <c r="O1398" s="115">
        <v>260.35000000000002</v>
      </c>
      <c r="P1398" s="115">
        <v>260.8</v>
      </c>
      <c r="Q1398" s="115">
        <v>282.39999999999998</v>
      </c>
      <c r="R1398">
        <v>776697</v>
      </c>
    </row>
    <row r="1399" spans="1:18" x14ac:dyDescent="0.25">
      <c r="A1399" s="169">
        <v>44068</v>
      </c>
      <c r="B1399" s="115">
        <v>313.5</v>
      </c>
      <c r="C1399" s="115">
        <v>297</v>
      </c>
      <c r="D1399" s="115">
        <v>292.35000000000002</v>
      </c>
      <c r="E1399" s="115">
        <v>311</v>
      </c>
      <c r="F1399" s="115">
        <v>297</v>
      </c>
      <c r="G1399">
        <v>71704</v>
      </c>
      <c r="H1399" s="115"/>
      <c r="I1399" s="115"/>
      <c r="L1399" s="169">
        <v>44067</v>
      </c>
      <c r="M1399" s="115">
        <v>311.3</v>
      </c>
      <c r="N1399" s="115">
        <v>337.6</v>
      </c>
      <c r="O1399" s="115">
        <v>290.89999999999998</v>
      </c>
      <c r="P1399" s="115">
        <v>290.89999999999998</v>
      </c>
      <c r="Q1399" s="115">
        <v>311.3</v>
      </c>
      <c r="R1399">
        <v>4044371</v>
      </c>
    </row>
    <row r="1400" spans="1:18" x14ac:dyDescent="0.25">
      <c r="A1400" s="169">
        <v>44069</v>
      </c>
      <c r="B1400" s="115">
        <v>300.3</v>
      </c>
      <c r="C1400" s="115">
        <v>294.89999999999998</v>
      </c>
      <c r="D1400" s="115">
        <v>291.7</v>
      </c>
      <c r="E1400" s="115">
        <v>298.35000000000002</v>
      </c>
      <c r="F1400" s="115">
        <v>294.89999999999998</v>
      </c>
      <c r="G1400">
        <v>29287</v>
      </c>
      <c r="H1400" s="115"/>
      <c r="I1400" s="115"/>
      <c r="L1400" s="169">
        <v>44068</v>
      </c>
      <c r="M1400" s="115">
        <v>297.05</v>
      </c>
      <c r="N1400" s="115">
        <v>310</v>
      </c>
      <c r="O1400" s="115">
        <v>292</v>
      </c>
      <c r="P1400" s="115">
        <v>309.89999999999998</v>
      </c>
      <c r="Q1400" s="115">
        <v>297.05</v>
      </c>
      <c r="R1400">
        <v>580826</v>
      </c>
    </row>
    <row r="1401" spans="1:18" x14ac:dyDescent="0.25">
      <c r="A1401" s="169">
        <v>44070</v>
      </c>
      <c r="B1401" s="115">
        <v>296.8</v>
      </c>
      <c r="C1401" s="115">
        <v>286.45</v>
      </c>
      <c r="D1401" s="115">
        <v>285</v>
      </c>
      <c r="E1401" s="115">
        <v>296.8</v>
      </c>
      <c r="F1401" s="115">
        <v>286.45</v>
      </c>
      <c r="G1401">
        <v>11168</v>
      </c>
      <c r="H1401" s="115"/>
      <c r="I1401" s="115"/>
      <c r="L1401" s="169">
        <v>44069</v>
      </c>
      <c r="M1401" s="115">
        <v>296.35000000000002</v>
      </c>
      <c r="N1401" s="115">
        <v>302.95</v>
      </c>
      <c r="O1401" s="115">
        <v>291.10000000000002</v>
      </c>
      <c r="P1401" s="115">
        <v>297.05</v>
      </c>
      <c r="Q1401" s="115">
        <v>296.35000000000002</v>
      </c>
      <c r="R1401">
        <v>251804</v>
      </c>
    </row>
    <row r="1402" spans="1:18" x14ac:dyDescent="0.25">
      <c r="A1402" s="169">
        <v>44071</v>
      </c>
      <c r="B1402" s="115">
        <v>292</v>
      </c>
      <c r="C1402" s="115">
        <v>280.39999999999998</v>
      </c>
      <c r="D1402" s="115">
        <v>280</v>
      </c>
      <c r="E1402" s="115">
        <v>290</v>
      </c>
      <c r="F1402" s="115">
        <v>280.39999999999998</v>
      </c>
      <c r="G1402">
        <v>29874</v>
      </c>
      <c r="H1402" s="115"/>
      <c r="I1402" s="115"/>
      <c r="L1402" s="169">
        <v>44070</v>
      </c>
      <c r="M1402" s="115">
        <v>287.05</v>
      </c>
      <c r="N1402" s="115">
        <v>297.35000000000002</v>
      </c>
      <c r="O1402" s="115">
        <v>285</v>
      </c>
      <c r="P1402" s="115">
        <v>296.35000000000002</v>
      </c>
      <c r="Q1402" s="115">
        <v>287.05</v>
      </c>
      <c r="R1402">
        <v>202888</v>
      </c>
    </row>
    <row r="1403" spans="1:18" x14ac:dyDescent="0.25">
      <c r="A1403" s="169">
        <v>44074</v>
      </c>
      <c r="B1403" s="115">
        <v>280</v>
      </c>
      <c r="C1403" s="115">
        <v>259.64999999999998</v>
      </c>
      <c r="D1403" s="115">
        <v>255.35</v>
      </c>
      <c r="E1403" s="115">
        <v>280</v>
      </c>
      <c r="F1403" s="115">
        <v>259.64999999999998</v>
      </c>
      <c r="G1403">
        <v>20954</v>
      </c>
      <c r="H1403" s="115"/>
      <c r="I1403" s="115"/>
      <c r="L1403" s="169">
        <v>44071</v>
      </c>
      <c r="M1403" s="115">
        <v>280.8</v>
      </c>
      <c r="N1403" s="115">
        <v>292</v>
      </c>
      <c r="O1403" s="115">
        <v>280</v>
      </c>
      <c r="P1403" s="115">
        <v>289</v>
      </c>
      <c r="Q1403" s="115">
        <v>280.8</v>
      </c>
      <c r="R1403">
        <v>192409</v>
      </c>
    </row>
    <row r="1404" spans="1:18" x14ac:dyDescent="0.25">
      <c r="A1404" s="169">
        <v>44075</v>
      </c>
      <c r="B1404" s="115">
        <v>277.95</v>
      </c>
      <c r="C1404" s="115">
        <v>255.55</v>
      </c>
      <c r="D1404" s="115">
        <v>252.55</v>
      </c>
      <c r="E1404" s="115">
        <v>277.95</v>
      </c>
      <c r="F1404" s="115">
        <v>255.55</v>
      </c>
      <c r="G1404">
        <v>18580</v>
      </c>
      <c r="H1404" s="115"/>
      <c r="I1404" s="115"/>
      <c r="L1404" s="169">
        <v>44074</v>
      </c>
      <c r="M1404" s="115">
        <v>258.39999999999998</v>
      </c>
      <c r="N1404" s="115">
        <v>284.45</v>
      </c>
      <c r="O1404" s="115">
        <v>255</v>
      </c>
      <c r="P1404" s="115">
        <v>284.39999999999998</v>
      </c>
      <c r="Q1404" s="115">
        <v>258.39999999999998</v>
      </c>
      <c r="R1404">
        <v>284208</v>
      </c>
    </row>
    <row r="1405" spans="1:18" x14ac:dyDescent="0.25">
      <c r="A1405" s="169">
        <v>44076</v>
      </c>
      <c r="B1405" s="115">
        <v>272.25</v>
      </c>
      <c r="C1405" s="115">
        <v>271.10000000000002</v>
      </c>
      <c r="D1405" s="115">
        <v>248.65</v>
      </c>
      <c r="E1405" s="115">
        <v>257.35000000000002</v>
      </c>
      <c r="F1405" s="115">
        <v>271.10000000000002</v>
      </c>
      <c r="G1405">
        <v>16961</v>
      </c>
      <c r="H1405" s="115"/>
      <c r="I1405" s="115"/>
      <c r="L1405" s="169">
        <v>44075</v>
      </c>
      <c r="M1405" s="115">
        <v>255.6</v>
      </c>
      <c r="N1405" s="115">
        <v>279</v>
      </c>
      <c r="O1405" s="115">
        <v>252.75</v>
      </c>
      <c r="P1405" s="115">
        <v>256</v>
      </c>
      <c r="Q1405" s="115">
        <v>255.6</v>
      </c>
      <c r="R1405">
        <v>116838</v>
      </c>
    </row>
    <row r="1406" spans="1:18" x14ac:dyDescent="0.25">
      <c r="A1406" s="169">
        <v>44077</v>
      </c>
      <c r="B1406" s="115">
        <v>276.39999999999998</v>
      </c>
      <c r="C1406" s="115">
        <v>265.7</v>
      </c>
      <c r="D1406" s="115">
        <v>263.7</v>
      </c>
      <c r="E1406" s="115">
        <v>266.7</v>
      </c>
      <c r="F1406" s="115">
        <v>265.7</v>
      </c>
      <c r="G1406">
        <v>9645</v>
      </c>
      <c r="H1406" s="115"/>
      <c r="I1406" s="115"/>
      <c r="L1406" s="169">
        <v>44076</v>
      </c>
      <c r="M1406" s="115">
        <v>270.5</v>
      </c>
      <c r="N1406" s="115">
        <v>272</v>
      </c>
      <c r="O1406" s="115">
        <v>253.3</v>
      </c>
      <c r="P1406" s="115">
        <v>258</v>
      </c>
      <c r="Q1406" s="115">
        <v>270.5</v>
      </c>
      <c r="R1406">
        <v>162117</v>
      </c>
    </row>
    <row r="1407" spans="1:18" x14ac:dyDescent="0.25">
      <c r="A1407" s="169">
        <v>44078</v>
      </c>
      <c r="B1407" s="115">
        <v>264.75</v>
      </c>
      <c r="C1407" s="115">
        <v>261.14999999999998</v>
      </c>
      <c r="D1407" s="115">
        <v>254.5</v>
      </c>
      <c r="E1407" s="115">
        <v>254.5</v>
      </c>
      <c r="F1407" s="115">
        <v>261.14999999999998</v>
      </c>
      <c r="G1407">
        <v>12145</v>
      </c>
      <c r="H1407" s="115"/>
      <c r="I1407" s="115"/>
      <c r="L1407" s="169">
        <v>44077</v>
      </c>
      <c r="M1407" s="115">
        <v>266.5</v>
      </c>
      <c r="N1407" s="115">
        <v>277</v>
      </c>
      <c r="O1407" s="115">
        <v>264</v>
      </c>
      <c r="P1407" s="115">
        <v>268.89999999999998</v>
      </c>
      <c r="Q1407" s="115">
        <v>266.5</v>
      </c>
      <c r="R1407">
        <v>94633</v>
      </c>
    </row>
    <row r="1408" spans="1:18" x14ac:dyDescent="0.25">
      <c r="A1408" s="169">
        <v>44081</v>
      </c>
      <c r="B1408" s="115">
        <v>263.05</v>
      </c>
      <c r="C1408" s="115">
        <v>258.14999999999998</v>
      </c>
      <c r="D1408" s="115">
        <v>254</v>
      </c>
      <c r="E1408" s="115">
        <v>263.05</v>
      </c>
      <c r="F1408" s="115">
        <v>258.14999999999998</v>
      </c>
      <c r="G1408">
        <v>5479</v>
      </c>
      <c r="H1408" s="115"/>
      <c r="I1408" s="115"/>
      <c r="L1408" s="169">
        <v>44078</v>
      </c>
      <c r="M1408" s="115">
        <v>261.39999999999998</v>
      </c>
      <c r="N1408" s="115">
        <v>265</v>
      </c>
      <c r="O1408" s="115">
        <v>256.35000000000002</v>
      </c>
      <c r="P1408" s="115">
        <v>256.35000000000002</v>
      </c>
      <c r="Q1408" s="115">
        <v>261.39999999999998</v>
      </c>
      <c r="R1408">
        <v>82301</v>
      </c>
    </row>
    <row r="1409" spans="1:18" x14ac:dyDescent="0.25">
      <c r="A1409" s="169">
        <v>44082</v>
      </c>
      <c r="B1409" s="115">
        <v>269</v>
      </c>
      <c r="C1409" s="115">
        <v>261.75</v>
      </c>
      <c r="D1409" s="115">
        <v>251.2</v>
      </c>
      <c r="E1409" s="115">
        <v>258.7</v>
      </c>
      <c r="F1409" s="115">
        <v>261.75</v>
      </c>
      <c r="G1409">
        <v>12465</v>
      </c>
      <c r="H1409" s="115"/>
      <c r="I1409" s="115"/>
      <c r="L1409" s="169">
        <v>44081</v>
      </c>
      <c r="M1409" s="115">
        <v>258.10000000000002</v>
      </c>
      <c r="N1409" s="115">
        <v>263</v>
      </c>
      <c r="O1409" s="115">
        <v>256.8</v>
      </c>
      <c r="P1409" s="115">
        <v>262</v>
      </c>
      <c r="Q1409" s="115">
        <v>258.10000000000002</v>
      </c>
      <c r="R1409">
        <v>245507</v>
      </c>
    </row>
    <row r="1410" spans="1:18" x14ac:dyDescent="0.25">
      <c r="A1410" s="169">
        <v>44083</v>
      </c>
      <c r="B1410" s="115">
        <v>274.35000000000002</v>
      </c>
      <c r="C1410" s="115">
        <v>272.7</v>
      </c>
      <c r="D1410" s="115">
        <v>241</v>
      </c>
      <c r="E1410" s="115">
        <v>259.85000000000002</v>
      </c>
      <c r="F1410" s="115">
        <v>272.7</v>
      </c>
      <c r="G1410">
        <v>31234</v>
      </c>
      <c r="H1410" s="115"/>
      <c r="I1410" s="115"/>
      <c r="L1410" s="169">
        <v>44082</v>
      </c>
      <c r="M1410" s="115">
        <v>261.14999999999998</v>
      </c>
      <c r="N1410" s="115">
        <v>269.75</v>
      </c>
      <c r="O1410" s="115">
        <v>256.7</v>
      </c>
      <c r="P1410" s="115">
        <v>258.10000000000002</v>
      </c>
      <c r="Q1410" s="115">
        <v>261.14999999999998</v>
      </c>
      <c r="R1410">
        <v>282632</v>
      </c>
    </row>
    <row r="1411" spans="1:18" x14ac:dyDescent="0.25">
      <c r="A1411" s="169">
        <v>44084</v>
      </c>
      <c r="B1411" s="115">
        <v>281.89999999999998</v>
      </c>
      <c r="C1411" s="115">
        <v>271.7</v>
      </c>
      <c r="D1411" s="115">
        <v>270.60000000000002</v>
      </c>
      <c r="E1411" s="115">
        <v>277.7</v>
      </c>
      <c r="F1411" s="115">
        <v>271.7</v>
      </c>
      <c r="G1411">
        <v>5415</v>
      </c>
      <c r="H1411" s="115"/>
      <c r="I1411" s="115"/>
      <c r="L1411" s="169">
        <v>44083</v>
      </c>
      <c r="M1411" s="115">
        <v>272.7</v>
      </c>
      <c r="N1411" s="115">
        <v>274.7</v>
      </c>
      <c r="O1411" s="115">
        <v>256.60000000000002</v>
      </c>
      <c r="P1411" s="115">
        <v>261.14999999999998</v>
      </c>
      <c r="Q1411" s="115">
        <v>272.7</v>
      </c>
      <c r="R1411">
        <v>327410</v>
      </c>
    </row>
    <row r="1412" spans="1:18" x14ac:dyDescent="0.25">
      <c r="A1412" s="169">
        <v>44085</v>
      </c>
      <c r="B1412" s="115">
        <v>279.2</v>
      </c>
      <c r="C1412" s="115">
        <v>271.3</v>
      </c>
      <c r="D1412" s="115">
        <v>270</v>
      </c>
      <c r="E1412" s="115">
        <v>277</v>
      </c>
      <c r="F1412" s="115">
        <v>271.3</v>
      </c>
      <c r="G1412">
        <v>3492</v>
      </c>
      <c r="H1412" s="115"/>
      <c r="I1412" s="115"/>
      <c r="L1412" s="169">
        <v>44084</v>
      </c>
      <c r="M1412" s="115">
        <v>271.8</v>
      </c>
      <c r="N1412" s="115">
        <v>282</v>
      </c>
      <c r="O1412" s="115">
        <v>270</v>
      </c>
      <c r="P1412" s="115">
        <v>274.75</v>
      </c>
      <c r="Q1412" s="115">
        <v>271.8</v>
      </c>
      <c r="R1412">
        <v>131186</v>
      </c>
    </row>
    <row r="1413" spans="1:18" x14ac:dyDescent="0.25">
      <c r="A1413" s="169">
        <v>44088</v>
      </c>
      <c r="B1413" s="115">
        <v>283.25</v>
      </c>
      <c r="C1413" s="115">
        <v>276.85000000000002</v>
      </c>
      <c r="D1413" s="115">
        <v>276</v>
      </c>
      <c r="E1413" s="115">
        <v>277.3</v>
      </c>
      <c r="F1413" s="115">
        <v>276.85000000000002</v>
      </c>
      <c r="G1413">
        <v>6907</v>
      </c>
      <c r="H1413" s="115"/>
      <c r="I1413" s="115"/>
      <c r="L1413" s="169">
        <v>44085</v>
      </c>
      <c r="M1413" s="115">
        <v>271.39999999999998</v>
      </c>
      <c r="N1413" s="115">
        <v>278.89999999999998</v>
      </c>
      <c r="O1413" s="115">
        <v>269.2</v>
      </c>
      <c r="P1413" s="115">
        <v>272</v>
      </c>
      <c r="Q1413" s="115">
        <v>271.39999999999998</v>
      </c>
      <c r="R1413">
        <v>75869</v>
      </c>
    </row>
    <row r="1414" spans="1:18" x14ac:dyDescent="0.25">
      <c r="A1414" s="169">
        <v>44089</v>
      </c>
      <c r="B1414" s="115">
        <v>288.85000000000002</v>
      </c>
      <c r="C1414" s="115">
        <v>287.8</v>
      </c>
      <c r="D1414" s="115">
        <v>275</v>
      </c>
      <c r="E1414" s="115">
        <v>282.25</v>
      </c>
      <c r="F1414" s="115">
        <v>287.8</v>
      </c>
      <c r="G1414">
        <v>8694</v>
      </c>
      <c r="H1414" s="115"/>
      <c r="I1414" s="115"/>
      <c r="L1414" s="169">
        <v>44088</v>
      </c>
      <c r="M1414" s="115">
        <v>277.7</v>
      </c>
      <c r="N1414" s="115">
        <v>283.7</v>
      </c>
      <c r="O1414" s="115">
        <v>273</v>
      </c>
      <c r="P1414" s="115">
        <v>273</v>
      </c>
      <c r="Q1414" s="115">
        <v>277.7</v>
      </c>
      <c r="R1414">
        <v>138915</v>
      </c>
    </row>
    <row r="1415" spans="1:18" x14ac:dyDescent="0.25">
      <c r="A1415" s="169">
        <v>44090</v>
      </c>
      <c r="B1415" s="115">
        <v>291.5</v>
      </c>
      <c r="C1415" s="115">
        <v>284</v>
      </c>
      <c r="D1415" s="115">
        <v>280.55</v>
      </c>
      <c r="E1415" s="115">
        <v>285</v>
      </c>
      <c r="F1415" s="115">
        <v>284</v>
      </c>
      <c r="G1415">
        <v>13912</v>
      </c>
      <c r="H1415" s="115"/>
      <c r="I1415" s="115"/>
      <c r="L1415" s="169">
        <v>44089</v>
      </c>
      <c r="M1415" s="115">
        <v>287.05</v>
      </c>
      <c r="N1415" s="115">
        <v>288.89999999999998</v>
      </c>
      <c r="O1415" s="115">
        <v>274.55</v>
      </c>
      <c r="P1415" s="115">
        <v>279.7</v>
      </c>
      <c r="Q1415" s="115">
        <v>287.05</v>
      </c>
      <c r="R1415">
        <v>206976</v>
      </c>
    </row>
    <row r="1416" spans="1:18" x14ac:dyDescent="0.25">
      <c r="A1416" s="169">
        <v>44091</v>
      </c>
      <c r="B1416" s="115">
        <v>299.39999999999998</v>
      </c>
      <c r="C1416" s="115">
        <v>281.5</v>
      </c>
      <c r="D1416" s="115">
        <v>279</v>
      </c>
      <c r="E1416" s="115">
        <v>295</v>
      </c>
      <c r="F1416" s="115">
        <v>281.5</v>
      </c>
      <c r="G1416">
        <v>3398</v>
      </c>
      <c r="H1416" s="115"/>
      <c r="I1416" s="115"/>
      <c r="L1416" s="169">
        <v>44090</v>
      </c>
      <c r="M1416" s="115">
        <v>284</v>
      </c>
      <c r="N1416" s="115">
        <v>292</v>
      </c>
      <c r="O1416" s="115">
        <v>280.64999999999998</v>
      </c>
      <c r="P1416" s="115">
        <v>288.5</v>
      </c>
      <c r="Q1416" s="115">
        <v>284</v>
      </c>
      <c r="R1416">
        <v>135600</v>
      </c>
    </row>
    <row r="1417" spans="1:18" x14ac:dyDescent="0.25">
      <c r="A1417" s="169">
        <v>44092</v>
      </c>
      <c r="B1417" s="115">
        <v>293.85000000000002</v>
      </c>
      <c r="C1417" s="115">
        <v>287.2</v>
      </c>
      <c r="D1417" s="115">
        <v>282.14999999999998</v>
      </c>
      <c r="E1417" s="115">
        <v>289</v>
      </c>
      <c r="F1417" s="115">
        <v>287.2</v>
      </c>
      <c r="G1417">
        <v>7825</v>
      </c>
      <c r="H1417" s="115"/>
      <c r="I1417" s="115"/>
      <c r="L1417" s="169">
        <v>44091</v>
      </c>
      <c r="M1417" s="115">
        <v>281.55</v>
      </c>
      <c r="N1417" s="115">
        <v>288</v>
      </c>
      <c r="O1417" s="115">
        <v>279</v>
      </c>
      <c r="P1417" s="115">
        <v>281</v>
      </c>
      <c r="Q1417" s="115">
        <v>281.55</v>
      </c>
      <c r="R1417">
        <v>78884</v>
      </c>
    </row>
    <row r="1418" spans="1:18" x14ac:dyDescent="0.25">
      <c r="A1418" s="169">
        <v>44095</v>
      </c>
      <c r="B1418" s="115">
        <v>292.5</v>
      </c>
      <c r="C1418" s="115">
        <v>272.89999999999998</v>
      </c>
      <c r="D1418" s="115">
        <v>271.7</v>
      </c>
      <c r="E1418" s="115">
        <v>289.2</v>
      </c>
      <c r="F1418" s="115">
        <v>272.89999999999998</v>
      </c>
      <c r="G1418">
        <v>5996</v>
      </c>
      <c r="H1418" s="115"/>
      <c r="I1418" s="115"/>
      <c r="L1418" s="169">
        <v>44092</v>
      </c>
      <c r="M1418" s="115">
        <v>288.64999999999998</v>
      </c>
      <c r="N1418" s="115">
        <v>294</v>
      </c>
      <c r="O1418" s="115">
        <v>280.10000000000002</v>
      </c>
      <c r="P1418" s="115">
        <v>280.10000000000002</v>
      </c>
      <c r="Q1418" s="115">
        <v>288.64999999999998</v>
      </c>
      <c r="R1418">
        <v>209356</v>
      </c>
    </row>
    <row r="1419" spans="1:18" x14ac:dyDescent="0.25">
      <c r="A1419" s="169">
        <v>44096</v>
      </c>
      <c r="B1419" s="115">
        <v>294</v>
      </c>
      <c r="C1419" s="115">
        <v>264.25</v>
      </c>
      <c r="D1419" s="115">
        <v>258</v>
      </c>
      <c r="E1419" s="115">
        <v>294</v>
      </c>
      <c r="F1419" s="115">
        <v>264.25</v>
      </c>
      <c r="G1419">
        <v>12113</v>
      </c>
      <c r="H1419" s="115"/>
      <c r="I1419" s="115"/>
      <c r="L1419" s="169">
        <v>44095</v>
      </c>
      <c r="M1419" s="115">
        <v>273.3</v>
      </c>
      <c r="N1419" s="115">
        <v>292.95</v>
      </c>
      <c r="O1419" s="115">
        <v>271.55</v>
      </c>
      <c r="P1419" s="115">
        <v>288</v>
      </c>
      <c r="Q1419" s="115">
        <v>273.3</v>
      </c>
      <c r="R1419">
        <v>128997</v>
      </c>
    </row>
    <row r="1420" spans="1:18" x14ac:dyDescent="0.25">
      <c r="A1420" s="169">
        <v>44097</v>
      </c>
      <c r="B1420" s="115">
        <v>296.25</v>
      </c>
      <c r="C1420" s="115">
        <v>290.5</v>
      </c>
      <c r="D1420" s="115">
        <v>272.75</v>
      </c>
      <c r="E1420" s="115">
        <v>276</v>
      </c>
      <c r="F1420" s="115">
        <v>290.5</v>
      </c>
      <c r="G1420">
        <v>20662</v>
      </c>
      <c r="H1420" s="115"/>
      <c r="I1420" s="115"/>
      <c r="L1420" s="169">
        <v>44096</v>
      </c>
      <c r="M1420" s="115">
        <v>265.85000000000002</v>
      </c>
      <c r="N1420" s="115">
        <v>273</v>
      </c>
      <c r="O1420" s="115">
        <v>258.2</v>
      </c>
      <c r="P1420" s="115">
        <v>271</v>
      </c>
      <c r="Q1420" s="115">
        <v>265.85000000000002</v>
      </c>
      <c r="R1420">
        <v>102319</v>
      </c>
    </row>
    <row r="1421" spans="1:18" x14ac:dyDescent="0.25">
      <c r="A1421" s="169">
        <v>44098</v>
      </c>
      <c r="B1421" s="115">
        <v>291.75</v>
      </c>
      <c r="C1421" s="115">
        <v>279.25</v>
      </c>
      <c r="D1421" s="115">
        <v>277.25</v>
      </c>
      <c r="E1421" s="115">
        <v>291.75</v>
      </c>
      <c r="F1421" s="115">
        <v>279.25</v>
      </c>
      <c r="G1421">
        <v>7966</v>
      </c>
      <c r="H1421" s="115"/>
      <c r="I1421" s="115"/>
      <c r="L1421" s="169">
        <v>44097</v>
      </c>
      <c r="M1421" s="115">
        <v>291.8</v>
      </c>
      <c r="N1421" s="115">
        <v>296</v>
      </c>
      <c r="O1421" s="115">
        <v>267</v>
      </c>
      <c r="P1421" s="115">
        <v>267</v>
      </c>
      <c r="Q1421" s="115">
        <v>291.8</v>
      </c>
      <c r="R1421">
        <v>747531</v>
      </c>
    </row>
    <row r="1422" spans="1:18" x14ac:dyDescent="0.25">
      <c r="A1422" s="169">
        <v>44099</v>
      </c>
      <c r="B1422" s="115">
        <v>294.45</v>
      </c>
      <c r="C1422" s="115">
        <v>291.95</v>
      </c>
      <c r="D1422" s="115">
        <v>279.85000000000002</v>
      </c>
      <c r="E1422" s="115">
        <v>281.75</v>
      </c>
      <c r="F1422" s="115">
        <v>291.95</v>
      </c>
      <c r="G1422">
        <v>20795</v>
      </c>
      <c r="H1422" s="115"/>
      <c r="I1422" s="115"/>
      <c r="L1422" s="169">
        <v>44098</v>
      </c>
      <c r="M1422" s="115">
        <v>279.2</v>
      </c>
      <c r="N1422" s="115">
        <v>293.7</v>
      </c>
      <c r="O1422" s="115">
        <v>277.25</v>
      </c>
      <c r="P1422" s="115">
        <v>292.89999999999998</v>
      </c>
      <c r="Q1422" s="115">
        <v>279.2</v>
      </c>
      <c r="R1422">
        <v>217036</v>
      </c>
    </row>
    <row r="1423" spans="1:18" x14ac:dyDescent="0.25">
      <c r="A1423" s="169">
        <v>44102</v>
      </c>
      <c r="B1423" s="115">
        <v>299.89999999999998</v>
      </c>
      <c r="C1423" s="115">
        <v>290.85000000000002</v>
      </c>
      <c r="D1423" s="115">
        <v>289.8</v>
      </c>
      <c r="E1423" s="115">
        <v>298</v>
      </c>
      <c r="F1423" s="115">
        <v>290.85000000000002</v>
      </c>
      <c r="G1423">
        <v>14977</v>
      </c>
      <c r="H1423" s="115"/>
      <c r="I1423" s="115"/>
      <c r="L1423" s="169">
        <v>44099</v>
      </c>
      <c r="M1423" s="115">
        <v>291.95</v>
      </c>
      <c r="N1423" s="115">
        <v>294.35000000000002</v>
      </c>
      <c r="O1423" s="115">
        <v>282</v>
      </c>
      <c r="P1423" s="115">
        <v>284.89999999999998</v>
      </c>
      <c r="Q1423" s="115">
        <v>291.95</v>
      </c>
      <c r="R1423">
        <v>136767</v>
      </c>
    </row>
    <row r="1424" spans="1:18" x14ac:dyDescent="0.25">
      <c r="A1424" s="169">
        <v>44103</v>
      </c>
      <c r="B1424" s="115">
        <v>304.5</v>
      </c>
      <c r="C1424" s="115">
        <v>301.89999999999998</v>
      </c>
      <c r="D1424" s="115">
        <v>292.5</v>
      </c>
      <c r="E1424" s="115">
        <v>294.64999999999998</v>
      </c>
      <c r="F1424" s="115">
        <v>301.89999999999998</v>
      </c>
      <c r="G1424">
        <v>8468</v>
      </c>
      <c r="H1424" s="115"/>
      <c r="I1424" s="115"/>
      <c r="L1424" s="169">
        <v>44102</v>
      </c>
      <c r="M1424" s="115">
        <v>291.10000000000002</v>
      </c>
      <c r="N1424" s="115">
        <v>300</v>
      </c>
      <c r="O1424" s="115">
        <v>290</v>
      </c>
      <c r="P1424" s="115">
        <v>295.75</v>
      </c>
      <c r="Q1424" s="115">
        <v>291.10000000000002</v>
      </c>
      <c r="R1424">
        <v>144364</v>
      </c>
    </row>
    <row r="1425" spans="1:18" x14ac:dyDescent="0.25">
      <c r="A1425" s="169">
        <v>44104</v>
      </c>
      <c r="B1425" s="115">
        <v>316.5</v>
      </c>
      <c r="C1425" s="115">
        <v>310.5</v>
      </c>
      <c r="D1425" s="115">
        <v>302</v>
      </c>
      <c r="E1425" s="115">
        <v>302</v>
      </c>
      <c r="F1425" s="115">
        <v>310.5</v>
      </c>
      <c r="G1425">
        <v>29370</v>
      </c>
      <c r="H1425" s="115"/>
      <c r="I1425" s="115"/>
      <c r="L1425" s="169">
        <v>44103</v>
      </c>
      <c r="M1425" s="115">
        <v>301.55</v>
      </c>
      <c r="N1425" s="115">
        <v>304.89999999999998</v>
      </c>
      <c r="O1425" s="115">
        <v>292.10000000000002</v>
      </c>
      <c r="P1425" s="115">
        <v>292.60000000000002</v>
      </c>
      <c r="Q1425" s="115">
        <v>301.55</v>
      </c>
      <c r="R1425">
        <v>253164</v>
      </c>
    </row>
    <row r="1426" spans="1:18" x14ac:dyDescent="0.25">
      <c r="A1426" s="169">
        <v>44105</v>
      </c>
      <c r="B1426" s="115">
        <v>318</v>
      </c>
      <c r="C1426" s="115">
        <v>312</v>
      </c>
      <c r="D1426" s="115">
        <v>301.55</v>
      </c>
      <c r="E1426" s="115">
        <v>315</v>
      </c>
      <c r="F1426" s="115">
        <v>312</v>
      </c>
      <c r="G1426">
        <v>22530</v>
      </c>
      <c r="H1426" s="115"/>
      <c r="I1426" s="115"/>
      <c r="L1426" s="169">
        <v>44104</v>
      </c>
      <c r="M1426" s="115">
        <v>310.5</v>
      </c>
      <c r="N1426" s="115">
        <v>316.64999999999998</v>
      </c>
      <c r="O1426" s="115">
        <v>302.2</v>
      </c>
      <c r="P1426" s="115">
        <v>303</v>
      </c>
      <c r="Q1426" s="115">
        <v>310.5</v>
      </c>
      <c r="R1426">
        <v>434111</v>
      </c>
    </row>
    <row r="1427" spans="1:18" x14ac:dyDescent="0.25">
      <c r="A1427" s="169">
        <v>44109</v>
      </c>
      <c r="B1427" s="115">
        <v>319</v>
      </c>
      <c r="C1427" s="115">
        <v>309.10000000000002</v>
      </c>
      <c r="D1427" s="115">
        <v>306</v>
      </c>
      <c r="E1427" s="115">
        <v>317</v>
      </c>
      <c r="F1427" s="115">
        <v>309.10000000000002</v>
      </c>
      <c r="G1427">
        <v>15636</v>
      </c>
      <c r="H1427" s="115"/>
      <c r="I1427" s="115"/>
      <c r="L1427" s="169">
        <v>44105</v>
      </c>
      <c r="M1427" s="115">
        <v>311.7</v>
      </c>
      <c r="N1427" s="115">
        <v>318</v>
      </c>
      <c r="O1427" s="115">
        <v>301.35000000000002</v>
      </c>
      <c r="P1427" s="115">
        <v>315.39999999999998</v>
      </c>
      <c r="Q1427" s="115">
        <v>311.7</v>
      </c>
      <c r="R1427">
        <v>373346</v>
      </c>
    </row>
    <row r="1428" spans="1:18" x14ac:dyDescent="0.25">
      <c r="A1428" s="169">
        <v>44110</v>
      </c>
      <c r="B1428" s="115">
        <v>314.2</v>
      </c>
      <c r="C1428" s="115">
        <v>312.14999999999998</v>
      </c>
      <c r="D1428" s="115">
        <v>305.8</v>
      </c>
      <c r="E1428" s="115">
        <v>309</v>
      </c>
      <c r="F1428" s="115">
        <v>312.14999999999998</v>
      </c>
      <c r="G1428">
        <v>9097</v>
      </c>
      <c r="H1428" s="115"/>
      <c r="I1428" s="115"/>
      <c r="L1428" s="169">
        <v>44109</v>
      </c>
      <c r="M1428" s="115">
        <v>308.7</v>
      </c>
      <c r="N1428" s="115">
        <v>319</v>
      </c>
      <c r="O1428" s="115">
        <v>306</v>
      </c>
      <c r="P1428" s="115">
        <v>319</v>
      </c>
      <c r="Q1428" s="115">
        <v>308.7</v>
      </c>
      <c r="R1428">
        <v>126611</v>
      </c>
    </row>
    <row r="1429" spans="1:18" x14ac:dyDescent="0.25">
      <c r="A1429" s="169">
        <v>44111</v>
      </c>
      <c r="B1429" s="115">
        <v>317.60000000000002</v>
      </c>
      <c r="C1429" s="115">
        <v>301.14999999999998</v>
      </c>
      <c r="D1429" s="115">
        <v>300.35000000000002</v>
      </c>
      <c r="E1429" s="115">
        <v>317.60000000000002</v>
      </c>
      <c r="F1429" s="115">
        <v>301.14999999999998</v>
      </c>
      <c r="G1429">
        <v>7797</v>
      </c>
      <c r="H1429" s="115"/>
      <c r="I1429" s="115"/>
      <c r="L1429" s="169">
        <v>44110</v>
      </c>
      <c r="M1429" s="115">
        <v>312.60000000000002</v>
      </c>
      <c r="N1429" s="115">
        <v>314.39999999999998</v>
      </c>
      <c r="O1429" s="115">
        <v>306.05</v>
      </c>
      <c r="P1429" s="115">
        <v>310.60000000000002</v>
      </c>
      <c r="Q1429" s="115">
        <v>312.60000000000002</v>
      </c>
      <c r="R1429">
        <v>95718</v>
      </c>
    </row>
    <row r="1430" spans="1:18" x14ac:dyDescent="0.25">
      <c r="A1430" s="169">
        <v>44112</v>
      </c>
      <c r="B1430" s="115">
        <v>303.35000000000002</v>
      </c>
      <c r="C1430" s="115">
        <v>299.2</v>
      </c>
      <c r="D1430" s="115">
        <v>296.05</v>
      </c>
      <c r="E1430" s="115">
        <v>301.3</v>
      </c>
      <c r="F1430" s="115">
        <v>299.2</v>
      </c>
      <c r="G1430">
        <v>7400</v>
      </c>
      <c r="H1430" s="115"/>
      <c r="I1430" s="115"/>
      <c r="L1430" s="169">
        <v>44111</v>
      </c>
      <c r="M1430" s="115">
        <v>300.75</v>
      </c>
      <c r="N1430" s="115">
        <v>313.39999999999998</v>
      </c>
      <c r="O1430" s="115">
        <v>300</v>
      </c>
      <c r="P1430" s="115">
        <v>313.39999999999998</v>
      </c>
      <c r="Q1430" s="115">
        <v>300.75</v>
      </c>
      <c r="R1430">
        <v>106487</v>
      </c>
    </row>
    <row r="1431" spans="1:18" x14ac:dyDescent="0.25">
      <c r="A1431" s="169">
        <v>44113</v>
      </c>
      <c r="B1431" s="115">
        <v>297.75</v>
      </c>
      <c r="C1431" s="115">
        <v>294.35000000000002</v>
      </c>
      <c r="D1431" s="115">
        <v>293</v>
      </c>
      <c r="E1431" s="115">
        <v>296.3</v>
      </c>
      <c r="F1431" s="115">
        <v>294.35000000000002</v>
      </c>
      <c r="G1431">
        <v>2715</v>
      </c>
      <c r="H1431" s="115"/>
      <c r="I1431" s="115"/>
      <c r="L1431" s="169">
        <v>44112</v>
      </c>
      <c r="M1431" s="115">
        <v>298.2</v>
      </c>
      <c r="N1431" s="115">
        <v>302.95</v>
      </c>
      <c r="O1431" s="115">
        <v>296</v>
      </c>
      <c r="P1431" s="115">
        <v>300.14999999999998</v>
      </c>
      <c r="Q1431" s="115">
        <v>298.2</v>
      </c>
      <c r="R1431">
        <v>62543</v>
      </c>
    </row>
    <row r="1432" spans="1:18" x14ac:dyDescent="0.25">
      <c r="A1432" s="169">
        <v>44116</v>
      </c>
      <c r="B1432" s="115">
        <v>307.14999999999998</v>
      </c>
      <c r="C1432" s="115">
        <v>297.25</v>
      </c>
      <c r="D1432" s="115">
        <v>294</v>
      </c>
      <c r="E1432" s="115">
        <v>294</v>
      </c>
      <c r="F1432" s="115">
        <v>297.25</v>
      </c>
      <c r="G1432">
        <v>9695</v>
      </c>
      <c r="H1432" s="115"/>
      <c r="I1432" s="115"/>
      <c r="L1432" s="169">
        <v>44113</v>
      </c>
      <c r="M1432" s="115">
        <v>294.2</v>
      </c>
      <c r="N1432" s="115">
        <v>297.95</v>
      </c>
      <c r="O1432" s="115">
        <v>292</v>
      </c>
      <c r="P1432" s="115">
        <v>297.89999999999998</v>
      </c>
      <c r="Q1432" s="115">
        <v>294.2</v>
      </c>
      <c r="R1432">
        <v>48548</v>
      </c>
    </row>
    <row r="1433" spans="1:18" x14ac:dyDescent="0.25">
      <c r="A1433" s="169">
        <v>44117</v>
      </c>
      <c r="B1433" s="115">
        <v>295.8</v>
      </c>
      <c r="C1433" s="115">
        <v>292.55</v>
      </c>
      <c r="D1433" s="115">
        <v>286</v>
      </c>
      <c r="E1433" s="115">
        <v>294.5</v>
      </c>
      <c r="F1433" s="115">
        <v>292.55</v>
      </c>
      <c r="G1433">
        <v>6321</v>
      </c>
      <c r="H1433" s="115"/>
      <c r="I1433" s="115"/>
      <c r="L1433" s="169">
        <v>44116</v>
      </c>
      <c r="M1433" s="115">
        <v>296.95</v>
      </c>
      <c r="N1433" s="115">
        <v>307.35000000000002</v>
      </c>
      <c r="O1433" s="115">
        <v>294</v>
      </c>
      <c r="P1433" s="115">
        <v>296.89999999999998</v>
      </c>
      <c r="Q1433" s="115">
        <v>296.95</v>
      </c>
      <c r="R1433">
        <v>78949</v>
      </c>
    </row>
    <row r="1434" spans="1:18" x14ac:dyDescent="0.25">
      <c r="A1434" s="169">
        <v>44118</v>
      </c>
      <c r="B1434" s="115">
        <v>297</v>
      </c>
      <c r="C1434" s="115">
        <v>296</v>
      </c>
      <c r="D1434" s="115">
        <v>292.75</v>
      </c>
      <c r="E1434" s="115">
        <v>295</v>
      </c>
      <c r="F1434" s="115">
        <v>296</v>
      </c>
      <c r="G1434">
        <v>1599</v>
      </c>
      <c r="H1434" s="115"/>
      <c r="I1434" s="115"/>
      <c r="L1434" s="169">
        <v>44117</v>
      </c>
      <c r="M1434" s="115">
        <v>292.8</v>
      </c>
      <c r="N1434" s="115">
        <v>296.8</v>
      </c>
      <c r="O1434" s="115">
        <v>291.5</v>
      </c>
      <c r="P1434" s="115">
        <v>296.8</v>
      </c>
      <c r="Q1434" s="115">
        <v>292.8</v>
      </c>
      <c r="R1434">
        <v>52669</v>
      </c>
    </row>
    <row r="1435" spans="1:18" x14ac:dyDescent="0.25">
      <c r="A1435" s="169">
        <v>44119</v>
      </c>
      <c r="B1435" s="115">
        <v>306.5</v>
      </c>
      <c r="C1435" s="115">
        <v>299.05</v>
      </c>
      <c r="D1435" s="115">
        <v>297.60000000000002</v>
      </c>
      <c r="E1435" s="115">
        <v>300.75</v>
      </c>
      <c r="F1435" s="115">
        <v>299.05</v>
      </c>
      <c r="G1435">
        <v>4904</v>
      </c>
      <c r="H1435" s="115"/>
      <c r="I1435" s="115"/>
      <c r="L1435" s="169">
        <v>44118</v>
      </c>
      <c r="M1435" s="115">
        <v>296.35000000000002</v>
      </c>
      <c r="N1435" s="115">
        <v>297.14999999999998</v>
      </c>
      <c r="O1435" s="115">
        <v>292</v>
      </c>
      <c r="P1435" s="115">
        <v>293</v>
      </c>
      <c r="Q1435" s="115">
        <v>296.35000000000002</v>
      </c>
      <c r="R1435">
        <v>31450</v>
      </c>
    </row>
    <row r="1436" spans="1:18" x14ac:dyDescent="0.25">
      <c r="A1436" s="169">
        <v>44120</v>
      </c>
      <c r="B1436" s="115">
        <v>305</v>
      </c>
      <c r="C1436" s="115">
        <v>300.64999999999998</v>
      </c>
      <c r="D1436" s="115">
        <v>293.3</v>
      </c>
      <c r="E1436" s="115">
        <v>305</v>
      </c>
      <c r="F1436" s="115">
        <v>300.64999999999998</v>
      </c>
      <c r="G1436">
        <v>4115</v>
      </c>
      <c r="H1436" s="115"/>
      <c r="I1436" s="115"/>
      <c r="L1436" s="169">
        <v>44119</v>
      </c>
      <c r="M1436" s="115">
        <v>299.3</v>
      </c>
      <c r="N1436" s="115">
        <v>307</v>
      </c>
      <c r="O1436" s="115">
        <v>297.5</v>
      </c>
      <c r="P1436" s="115">
        <v>297.85000000000002</v>
      </c>
      <c r="Q1436" s="115">
        <v>299.3</v>
      </c>
      <c r="R1436">
        <v>165679</v>
      </c>
    </row>
    <row r="1437" spans="1:18" x14ac:dyDescent="0.25">
      <c r="A1437" s="169">
        <v>44123</v>
      </c>
      <c r="B1437" s="115">
        <v>309</v>
      </c>
      <c r="C1437" s="115">
        <v>303.75</v>
      </c>
      <c r="D1437" s="115">
        <v>296.85000000000002</v>
      </c>
      <c r="E1437" s="115">
        <v>303</v>
      </c>
      <c r="F1437" s="115">
        <v>303.75</v>
      </c>
      <c r="G1437">
        <v>1800</v>
      </c>
      <c r="H1437" s="115"/>
      <c r="I1437" s="115"/>
      <c r="L1437" s="169">
        <v>44120</v>
      </c>
      <c r="M1437" s="115">
        <v>301.60000000000002</v>
      </c>
      <c r="N1437" s="115">
        <v>305</v>
      </c>
      <c r="O1437" s="115">
        <v>293</v>
      </c>
      <c r="P1437" s="115">
        <v>302.39999999999998</v>
      </c>
      <c r="Q1437" s="115">
        <v>301.60000000000002</v>
      </c>
      <c r="R1437">
        <v>57537</v>
      </c>
    </row>
    <row r="1438" spans="1:18" x14ac:dyDescent="0.25">
      <c r="A1438" s="169">
        <v>44124</v>
      </c>
      <c r="B1438" s="115">
        <v>305.64999999999998</v>
      </c>
      <c r="C1438" s="115">
        <v>300</v>
      </c>
      <c r="D1438" s="115">
        <v>299.14999999999998</v>
      </c>
      <c r="E1438" s="115">
        <v>301.3</v>
      </c>
      <c r="F1438" s="115">
        <v>300</v>
      </c>
      <c r="G1438">
        <v>4734</v>
      </c>
      <c r="H1438" s="115"/>
      <c r="I1438" s="115"/>
      <c r="L1438" s="169">
        <v>44123</v>
      </c>
      <c r="M1438" s="115">
        <v>303.39999999999998</v>
      </c>
      <c r="N1438" s="115">
        <v>310</v>
      </c>
      <c r="O1438" s="115">
        <v>297.25</v>
      </c>
      <c r="P1438" s="115">
        <v>302.8</v>
      </c>
      <c r="Q1438" s="115">
        <v>303.39999999999998</v>
      </c>
      <c r="R1438">
        <v>66341</v>
      </c>
    </row>
    <row r="1439" spans="1:18" x14ac:dyDescent="0.25">
      <c r="A1439" s="169">
        <v>44125</v>
      </c>
      <c r="B1439" s="115">
        <v>309</v>
      </c>
      <c r="C1439" s="115">
        <v>300.8</v>
      </c>
      <c r="D1439" s="115">
        <v>295.7</v>
      </c>
      <c r="E1439" s="115">
        <v>304.35000000000002</v>
      </c>
      <c r="F1439" s="115">
        <v>300.8</v>
      </c>
      <c r="G1439">
        <v>4635</v>
      </c>
      <c r="H1439" s="115"/>
      <c r="I1439" s="115"/>
      <c r="L1439" s="169">
        <v>44124</v>
      </c>
      <c r="M1439" s="115">
        <v>301.95</v>
      </c>
      <c r="N1439" s="115">
        <v>305.45</v>
      </c>
      <c r="O1439" s="115">
        <v>299</v>
      </c>
      <c r="P1439" s="115">
        <v>303.39999999999998</v>
      </c>
      <c r="Q1439" s="115">
        <v>301.95</v>
      </c>
      <c r="R1439">
        <v>42048</v>
      </c>
    </row>
    <row r="1440" spans="1:18" x14ac:dyDescent="0.25">
      <c r="A1440" s="169">
        <v>44126</v>
      </c>
      <c r="B1440" s="115">
        <v>303.10000000000002</v>
      </c>
      <c r="C1440" s="115">
        <v>298.64999999999998</v>
      </c>
      <c r="D1440" s="115">
        <v>297.85000000000002</v>
      </c>
      <c r="E1440" s="115">
        <v>300.3</v>
      </c>
      <c r="F1440" s="115">
        <v>298.64999999999998</v>
      </c>
      <c r="G1440">
        <v>2834</v>
      </c>
      <c r="H1440" s="115"/>
      <c r="I1440" s="115"/>
      <c r="L1440" s="169">
        <v>44125</v>
      </c>
      <c r="M1440" s="115">
        <v>301</v>
      </c>
      <c r="N1440" s="115">
        <v>309.55</v>
      </c>
      <c r="O1440" s="115">
        <v>295.25</v>
      </c>
      <c r="P1440" s="115">
        <v>303.5</v>
      </c>
      <c r="Q1440" s="115">
        <v>301</v>
      </c>
      <c r="R1440">
        <v>101445</v>
      </c>
    </row>
    <row r="1441" spans="1:18" x14ac:dyDescent="0.25">
      <c r="A1441" s="169">
        <v>44127</v>
      </c>
      <c r="B1441" s="115">
        <v>310.2</v>
      </c>
      <c r="C1441" s="115">
        <v>308.7</v>
      </c>
      <c r="D1441" s="115">
        <v>302.2</v>
      </c>
      <c r="E1441" s="115">
        <v>302.2</v>
      </c>
      <c r="F1441" s="115">
        <v>308.7</v>
      </c>
      <c r="G1441">
        <v>6306</v>
      </c>
      <c r="H1441" s="115"/>
      <c r="I1441" s="115"/>
      <c r="L1441" s="169">
        <v>44126</v>
      </c>
      <c r="M1441" s="115">
        <v>299.35000000000002</v>
      </c>
      <c r="N1441" s="115">
        <v>304.39999999999998</v>
      </c>
      <c r="O1441" s="115">
        <v>296.55</v>
      </c>
      <c r="P1441" s="115">
        <v>302</v>
      </c>
      <c r="Q1441" s="115">
        <v>299.35000000000002</v>
      </c>
      <c r="R1441">
        <v>65783</v>
      </c>
    </row>
    <row r="1442" spans="1:18" x14ac:dyDescent="0.25">
      <c r="A1442" s="169">
        <v>44130</v>
      </c>
      <c r="B1442" s="115">
        <v>315</v>
      </c>
      <c r="C1442" s="115">
        <v>292.14999999999998</v>
      </c>
      <c r="D1442" s="115">
        <v>286.5</v>
      </c>
      <c r="E1442" s="115">
        <v>315</v>
      </c>
      <c r="F1442" s="115">
        <v>292.14999999999998</v>
      </c>
      <c r="G1442">
        <v>16302</v>
      </c>
      <c r="H1442" s="115"/>
      <c r="I1442" s="115"/>
      <c r="L1442" s="169">
        <v>44127</v>
      </c>
      <c r="M1442" s="115">
        <v>308.64999999999998</v>
      </c>
      <c r="N1442" s="115">
        <v>310.95</v>
      </c>
      <c r="O1442" s="115">
        <v>301</v>
      </c>
      <c r="P1442" s="115">
        <v>302</v>
      </c>
      <c r="Q1442" s="115">
        <v>308.64999999999998</v>
      </c>
      <c r="R1442">
        <v>177702</v>
      </c>
    </row>
    <row r="1443" spans="1:18" x14ac:dyDescent="0.25">
      <c r="A1443" s="169">
        <v>44131</v>
      </c>
      <c r="B1443" s="115">
        <v>298.95</v>
      </c>
      <c r="C1443" s="115">
        <v>278.14999999999998</v>
      </c>
      <c r="D1443" s="115">
        <v>277.5</v>
      </c>
      <c r="E1443" s="115">
        <v>298.95</v>
      </c>
      <c r="F1443" s="115">
        <v>278.14999999999998</v>
      </c>
      <c r="G1443">
        <v>13513</v>
      </c>
      <c r="H1443" s="115"/>
      <c r="I1443" s="115"/>
      <c r="L1443" s="169">
        <v>44130</v>
      </c>
      <c r="M1443" s="115">
        <v>291.89999999999998</v>
      </c>
      <c r="N1443" s="115">
        <v>316</v>
      </c>
      <c r="O1443" s="115">
        <v>286.5</v>
      </c>
      <c r="P1443" s="115">
        <v>316</v>
      </c>
      <c r="Q1443" s="115">
        <v>291.89999999999998</v>
      </c>
      <c r="R1443">
        <v>295014</v>
      </c>
    </row>
    <row r="1444" spans="1:18" x14ac:dyDescent="0.25">
      <c r="A1444" s="169">
        <v>44132</v>
      </c>
      <c r="B1444" s="115">
        <v>287.3</v>
      </c>
      <c r="C1444" s="115">
        <v>273.2</v>
      </c>
      <c r="D1444" s="115">
        <v>272.7</v>
      </c>
      <c r="E1444" s="115">
        <v>273.05</v>
      </c>
      <c r="F1444" s="115">
        <v>273.2</v>
      </c>
      <c r="G1444">
        <v>6477</v>
      </c>
      <c r="H1444" s="115"/>
      <c r="I1444" s="115"/>
      <c r="L1444" s="169">
        <v>44131</v>
      </c>
      <c r="M1444" s="115">
        <v>278.45</v>
      </c>
      <c r="N1444" s="115">
        <v>293.7</v>
      </c>
      <c r="O1444" s="115">
        <v>277.05</v>
      </c>
      <c r="P1444" s="115">
        <v>293.39999999999998</v>
      </c>
      <c r="Q1444" s="115">
        <v>278.45</v>
      </c>
      <c r="R1444">
        <v>168802</v>
      </c>
    </row>
    <row r="1445" spans="1:18" x14ac:dyDescent="0.25">
      <c r="A1445" s="169">
        <v>44133</v>
      </c>
      <c r="B1445" s="115">
        <v>280.3</v>
      </c>
      <c r="C1445" s="115">
        <v>270.55</v>
      </c>
      <c r="D1445" s="115">
        <v>269.25</v>
      </c>
      <c r="E1445" s="115">
        <v>276</v>
      </c>
      <c r="F1445" s="115">
        <v>270.55</v>
      </c>
      <c r="G1445">
        <v>4797</v>
      </c>
      <c r="H1445" s="115"/>
      <c r="I1445" s="115"/>
      <c r="L1445" s="169">
        <v>44132</v>
      </c>
      <c r="M1445" s="115">
        <v>273.5</v>
      </c>
      <c r="N1445" s="115">
        <v>288</v>
      </c>
      <c r="O1445" s="115">
        <v>272</v>
      </c>
      <c r="P1445" s="115">
        <v>279.85000000000002</v>
      </c>
      <c r="Q1445" s="115">
        <v>273.5</v>
      </c>
      <c r="R1445">
        <v>148756</v>
      </c>
    </row>
    <row r="1446" spans="1:18" x14ac:dyDescent="0.25">
      <c r="A1446" s="169">
        <v>44134</v>
      </c>
      <c r="B1446" s="115">
        <v>279.89999999999998</v>
      </c>
      <c r="C1446" s="115">
        <v>274.8</v>
      </c>
      <c r="D1446" s="115">
        <v>271.3</v>
      </c>
      <c r="E1446" s="115">
        <v>271.3</v>
      </c>
      <c r="F1446" s="115">
        <v>274.8</v>
      </c>
      <c r="G1446">
        <v>7305</v>
      </c>
      <c r="H1446" s="115"/>
      <c r="I1446" s="115"/>
      <c r="L1446" s="169">
        <v>44133</v>
      </c>
      <c r="M1446" s="115">
        <v>269.85000000000002</v>
      </c>
      <c r="N1446" s="115">
        <v>280.39999999999998</v>
      </c>
      <c r="O1446" s="115">
        <v>268</v>
      </c>
      <c r="P1446" s="115">
        <v>273.5</v>
      </c>
      <c r="Q1446" s="115">
        <v>269.85000000000002</v>
      </c>
      <c r="R1446">
        <v>403200</v>
      </c>
    </row>
    <row r="1447" spans="1:18" x14ac:dyDescent="0.25">
      <c r="A1447" s="169">
        <v>44137</v>
      </c>
      <c r="B1447" s="115">
        <v>281.5</v>
      </c>
      <c r="C1447" s="115">
        <v>280.89999999999998</v>
      </c>
      <c r="D1447" s="115">
        <v>278.25</v>
      </c>
      <c r="E1447" s="115">
        <v>280</v>
      </c>
      <c r="F1447" s="115">
        <v>280.89999999999998</v>
      </c>
      <c r="G1447">
        <v>2126</v>
      </c>
      <c r="H1447" s="115"/>
      <c r="I1447" s="115"/>
      <c r="L1447" s="169">
        <v>44134</v>
      </c>
      <c r="M1447" s="115">
        <v>275.14999999999998</v>
      </c>
      <c r="N1447" s="115">
        <v>284.8</v>
      </c>
      <c r="O1447" s="115">
        <v>270</v>
      </c>
      <c r="P1447" s="115">
        <v>271.2</v>
      </c>
      <c r="Q1447" s="115">
        <v>275.14999999999998</v>
      </c>
      <c r="R1447">
        <v>305253</v>
      </c>
    </row>
    <row r="1448" spans="1:18" x14ac:dyDescent="0.25">
      <c r="A1448" s="169">
        <v>44138</v>
      </c>
      <c r="B1448" s="115">
        <v>283</v>
      </c>
      <c r="C1448" s="115">
        <v>275.75</v>
      </c>
      <c r="D1448" s="115">
        <v>275</v>
      </c>
      <c r="E1448" s="115">
        <v>283</v>
      </c>
      <c r="F1448" s="115">
        <v>275.75</v>
      </c>
      <c r="G1448">
        <v>3919</v>
      </c>
      <c r="H1448" s="115"/>
      <c r="I1448" s="115"/>
      <c r="L1448" s="169">
        <v>44137</v>
      </c>
      <c r="M1448" s="115">
        <v>281</v>
      </c>
      <c r="N1448" s="115">
        <v>282</v>
      </c>
      <c r="O1448" s="115">
        <v>277.95</v>
      </c>
      <c r="P1448" s="115">
        <v>281.55</v>
      </c>
      <c r="Q1448" s="115">
        <v>281</v>
      </c>
      <c r="R1448">
        <v>104948</v>
      </c>
    </row>
    <row r="1449" spans="1:18" x14ac:dyDescent="0.25">
      <c r="A1449" s="169">
        <v>44139</v>
      </c>
      <c r="B1449" s="115">
        <v>283</v>
      </c>
      <c r="C1449" s="115">
        <v>282</v>
      </c>
      <c r="D1449" s="115">
        <v>278.05</v>
      </c>
      <c r="E1449" s="115">
        <v>278.8</v>
      </c>
      <c r="F1449" s="115">
        <v>282</v>
      </c>
      <c r="G1449">
        <v>2226</v>
      </c>
      <c r="H1449" s="115"/>
      <c r="I1449" s="115"/>
      <c r="L1449" s="169">
        <v>44138</v>
      </c>
      <c r="M1449" s="115">
        <v>276.45</v>
      </c>
      <c r="N1449" s="115">
        <v>287.85000000000002</v>
      </c>
      <c r="O1449" s="115">
        <v>275</v>
      </c>
      <c r="P1449" s="115">
        <v>282</v>
      </c>
      <c r="Q1449" s="115">
        <v>276.45</v>
      </c>
      <c r="R1449">
        <v>72000</v>
      </c>
    </row>
    <row r="1450" spans="1:18" x14ac:dyDescent="0.25">
      <c r="A1450" s="169">
        <v>44140</v>
      </c>
      <c r="B1450" s="115">
        <v>284</v>
      </c>
      <c r="C1450" s="115">
        <v>283.14999999999998</v>
      </c>
      <c r="D1450" s="115">
        <v>281.2</v>
      </c>
      <c r="E1450" s="115">
        <v>283.25</v>
      </c>
      <c r="F1450" s="115">
        <v>283.14999999999998</v>
      </c>
      <c r="G1450">
        <v>2768</v>
      </c>
      <c r="H1450" s="115"/>
      <c r="I1450" s="115"/>
      <c r="L1450" s="169">
        <v>44139</v>
      </c>
      <c r="M1450" s="115">
        <v>281.7</v>
      </c>
      <c r="N1450" s="115">
        <v>283.85000000000002</v>
      </c>
      <c r="O1450" s="115">
        <v>277.05</v>
      </c>
      <c r="P1450" s="115">
        <v>278.5</v>
      </c>
      <c r="Q1450" s="115">
        <v>281.7</v>
      </c>
      <c r="R1450">
        <v>115227</v>
      </c>
    </row>
    <row r="1451" spans="1:18" x14ac:dyDescent="0.25">
      <c r="A1451" s="169">
        <v>44141</v>
      </c>
      <c r="B1451" s="115">
        <v>291.95</v>
      </c>
      <c r="C1451" s="115">
        <v>285</v>
      </c>
      <c r="D1451" s="115">
        <v>284.7</v>
      </c>
      <c r="E1451" s="115">
        <v>286.60000000000002</v>
      </c>
      <c r="F1451" s="115">
        <v>285</v>
      </c>
      <c r="G1451">
        <v>2008</v>
      </c>
      <c r="H1451" s="115"/>
      <c r="I1451" s="115"/>
      <c r="L1451" s="169">
        <v>44140</v>
      </c>
      <c r="M1451" s="115">
        <v>283.45</v>
      </c>
      <c r="N1451" s="115">
        <v>284.39999999999998</v>
      </c>
      <c r="O1451" s="115">
        <v>281</v>
      </c>
      <c r="P1451" s="115">
        <v>284</v>
      </c>
      <c r="Q1451" s="115">
        <v>283.45</v>
      </c>
      <c r="R1451">
        <v>29379</v>
      </c>
    </row>
    <row r="1452" spans="1:18" x14ac:dyDescent="0.25">
      <c r="A1452" s="169">
        <v>44144</v>
      </c>
      <c r="B1452" s="115">
        <v>288</v>
      </c>
      <c r="C1452" s="115">
        <v>284.7</v>
      </c>
      <c r="D1452" s="115">
        <v>283.39999999999998</v>
      </c>
      <c r="E1452" s="115">
        <v>284.85000000000002</v>
      </c>
      <c r="F1452" s="115">
        <v>284.7</v>
      </c>
      <c r="G1452">
        <v>2571</v>
      </c>
      <c r="H1452" s="115"/>
      <c r="I1452" s="115"/>
      <c r="L1452" s="169">
        <v>44141</v>
      </c>
      <c r="M1452" s="115">
        <v>285.85000000000002</v>
      </c>
      <c r="N1452" s="115">
        <v>287.10000000000002</v>
      </c>
      <c r="O1452" s="115">
        <v>280.25</v>
      </c>
      <c r="P1452" s="115">
        <v>284.64999999999998</v>
      </c>
      <c r="Q1452" s="115">
        <v>285.85000000000002</v>
      </c>
      <c r="R1452">
        <v>50756</v>
      </c>
    </row>
    <row r="1453" spans="1:18" x14ac:dyDescent="0.25">
      <c r="A1453" s="169">
        <v>44145</v>
      </c>
      <c r="B1453" s="115">
        <v>286.5</v>
      </c>
      <c r="C1453" s="115">
        <v>280.10000000000002</v>
      </c>
      <c r="D1453" s="115">
        <v>277.7</v>
      </c>
      <c r="E1453" s="115">
        <v>286.5</v>
      </c>
      <c r="F1453" s="115">
        <v>280.10000000000002</v>
      </c>
      <c r="G1453">
        <v>6119</v>
      </c>
      <c r="H1453" s="115"/>
      <c r="I1453" s="115"/>
      <c r="L1453" s="169">
        <v>44144</v>
      </c>
      <c r="M1453" s="115">
        <v>284.5</v>
      </c>
      <c r="N1453" s="115">
        <v>287.2</v>
      </c>
      <c r="O1453" s="115">
        <v>283.55</v>
      </c>
      <c r="P1453" s="115">
        <v>287.2</v>
      </c>
      <c r="Q1453" s="115">
        <v>284.5</v>
      </c>
      <c r="R1453">
        <v>49401</v>
      </c>
    </row>
    <row r="1454" spans="1:18" x14ac:dyDescent="0.25">
      <c r="A1454" s="169">
        <v>44146</v>
      </c>
      <c r="B1454" s="115">
        <v>284.05</v>
      </c>
      <c r="C1454" s="115">
        <v>272.39999999999998</v>
      </c>
      <c r="D1454" s="115">
        <v>271</v>
      </c>
      <c r="E1454" s="115">
        <v>282</v>
      </c>
      <c r="F1454" s="115">
        <v>272.39999999999998</v>
      </c>
      <c r="G1454">
        <v>3688</v>
      </c>
      <c r="H1454" s="115"/>
      <c r="I1454" s="115"/>
      <c r="L1454" s="169">
        <v>44145</v>
      </c>
      <c r="M1454" s="115">
        <v>280.14999999999998</v>
      </c>
      <c r="N1454" s="115">
        <v>285.95</v>
      </c>
      <c r="O1454" s="115">
        <v>277</v>
      </c>
      <c r="P1454" s="115">
        <v>285.89999999999998</v>
      </c>
      <c r="Q1454" s="115">
        <v>280.14999999999998</v>
      </c>
      <c r="R1454">
        <v>52207</v>
      </c>
    </row>
    <row r="1455" spans="1:18" x14ac:dyDescent="0.25">
      <c r="A1455" s="169">
        <v>44147</v>
      </c>
      <c r="B1455" s="115">
        <v>286.8</v>
      </c>
      <c r="C1455" s="115">
        <v>285.7</v>
      </c>
      <c r="D1455" s="115">
        <v>272.60000000000002</v>
      </c>
      <c r="E1455" s="115">
        <v>275</v>
      </c>
      <c r="F1455" s="115">
        <v>285.7</v>
      </c>
      <c r="G1455">
        <v>8137</v>
      </c>
      <c r="H1455" s="115"/>
      <c r="I1455" s="115"/>
      <c r="L1455" s="169">
        <v>44146</v>
      </c>
      <c r="M1455" s="115">
        <v>272.10000000000002</v>
      </c>
      <c r="N1455" s="115">
        <v>284.3</v>
      </c>
      <c r="O1455" s="115">
        <v>270.25</v>
      </c>
      <c r="P1455" s="115">
        <v>281.60000000000002</v>
      </c>
      <c r="Q1455" s="115">
        <v>272.10000000000002</v>
      </c>
      <c r="R1455">
        <v>504637</v>
      </c>
    </row>
    <row r="1456" spans="1:18" x14ac:dyDescent="0.25">
      <c r="A1456" s="169">
        <v>44148</v>
      </c>
      <c r="B1456" s="115">
        <v>290.8</v>
      </c>
      <c r="C1456" s="115">
        <v>284.10000000000002</v>
      </c>
      <c r="D1456" s="115">
        <v>281.25</v>
      </c>
      <c r="E1456" s="115">
        <v>285.60000000000002</v>
      </c>
      <c r="F1456" s="115">
        <v>284.10000000000002</v>
      </c>
      <c r="G1456">
        <v>10178</v>
      </c>
      <c r="H1456" s="115"/>
      <c r="I1456" s="115"/>
      <c r="L1456" s="169">
        <v>44147</v>
      </c>
      <c r="M1456" s="115">
        <v>285.5</v>
      </c>
      <c r="N1456" s="115">
        <v>288.05</v>
      </c>
      <c r="O1456" s="115">
        <v>272.89999999999998</v>
      </c>
      <c r="P1456" s="115">
        <v>273.55</v>
      </c>
      <c r="Q1456" s="115">
        <v>285.5</v>
      </c>
      <c r="R1456">
        <v>407226</v>
      </c>
    </row>
    <row r="1457" spans="1:18" x14ac:dyDescent="0.25">
      <c r="A1457" s="169">
        <v>44149</v>
      </c>
      <c r="B1457" s="115">
        <v>289.95</v>
      </c>
      <c r="C1457" s="115">
        <v>285.10000000000002</v>
      </c>
      <c r="D1457" s="115">
        <v>268.14999999999998</v>
      </c>
      <c r="E1457" s="115">
        <v>268.14999999999998</v>
      </c>
      <c r="F1457" s="115">
        <v>285.10000000000002</v>
      </c>
      <c r="G1457">
        <v>2898</v>
      </c>
      <c r="H1457" s="115"/>
      <c r="I1457" s="115"/>
      <c r="L1457" s="169">
        <v>44148</v>
      </c>
      <c r="M1457" s="115">
        <v>283.7</v>
      </c>
      <c r="N1457" s="115">
        <v>290.85000000000002</v>
      </c>
      <c r="O1457" s="115">
        <v>280.5</v>
      </c>
      <c r="P1457" s="115">
        <v>282.75</v>
      </c>
      <c r="Q1457" s="115">
        <v>283.7</v>
      </c>
      <c r="R1457">
        <v>94379</v>
      </c>
    </row>
    <row r="1458" spans="1:18" x14ac:dyDescent="0.25">
      <c r="A1458" s="169">
        <v>44152</v>
      </c>
      <c r="B1458" s="115">
        <v>287</v>
      </c>
      <c r="C1458" s="115">
        <v>285.89999999999998</v>
      </c>
      <c r="D1458" s="115">
        <v>280.2</v>
      </c>
      <c r="E1458" s="115">
        <v>285.10000000000002</v>
      </c>
      <c r="F1458" s="115">
        <v>285.89999999999998</v>
      </c>
      <c r="G1458">
        <v>1612</v>
      </c>
      <c r="H1458" s="115"/>
      <c r="I1458" s="115"/>
      <c r="L1458" s="169">
        <v>44149</v>
      </c>
      <c r="M1458" s="115">
        <v>285.3</v>
      </c>
      <c r="N1458" s="115">
        <v>289.7</v>
      </c>
      <c r="O1458" s="115">
        <v>283.14999999999998</v>
      </c>
      <c r="P1458" s="115">
        <v>285.75</v>
      </c>
      <c r="Q1458" s="115">
        <v>285.3</v>
      </c>
      <c r="R1458">
        <v>15223</v>
      </c>
    </row>
    <row r="1459" spans="1:18" x14ac:dyDescent="0.25">
      <c r="A1459" s="169">
        <v>44153</v>
      </c>
      <c r="B1459" s="115">
        <v>306</v>
      </c>
      <c r="C1459" s="115">
        <v>301.95</v>
      </c>
      <c r="D1459" s="115">
        <v>285.25</v>
      </c>
      <c r="E1459" s="115">
        <v>286.3</v>
      </c>
      <c r="F1459" s="115">
        <v>301.95</v>
      </c>
      <c r="G1459">
        <v>15626</v>
      </c>
      <c r="H1459" s="115"/>
      <c r="I1459" s="115"/>
      <c r="L1459" s="169">
        <v>44152</v>
      </c>
      <c r="M1459" s="115">
        <v>286.10000000000002</v>
      </c>
      <c r="N1459" s="115">
        <v>289</v>
      </c>
      <c r="O1459" s="115">
        <v>280</v>
      </c>
      <c r="P1459" s="115">
        <v>288.8</v>
      </c>
      <c r="Q1459" s="115">
        <v>286.10000000000002</v>
      </c>
      <c r="R1459">
        <v>58090</v>
      </c>
    </row>
    <row r="1460" spans="1:18" x14ac:dyDescent="0.25">
      <c r="A1460" s="169">
        <v>44154</v>
      </c>
      <c r="B1460" s="115">
        <v>304.25</v>
      </c>
      <c r="C1460" s="115">
        <v>295.7</v>
      </c>
      <c r="D1460" s="115">
        <v>293</v>
      </c>
      <c r="E1460" s="115">
        <v>301.75</v>
      </c>
      <c r="F1460" s="115">
        <v>295.7</v>
      </c>
      <c r="G1460">
        <v>18540</v>
      </c>
      <c r="H1460" s="115"/>
      <c r="I1460" s="115"/>
      <c r="L1460" s="169">
        <v>44153</v>
      </c>
      <c r="M1460" s="115">
        <v>301.8</v>
      </c>
      <c r="N1460" s="115">
        <v>306</v>
      </c>
      <c r="O1460" s="115">
        <v>285</v>
      </c>
      <c r="P1460" s="115">
        <v>287.39999999999998</v>
      </c>
      <c r="Q1460" s="115">
        <v>301.8</v>
      </c>
      <c r="R1460">
        <v>389499</v>
      </c>
    </row>
    <row r="1461" spans="1:18" x14ac:dyDescent="0.25">
      <c r="A1461" s="169">
        <v>44155</v>
      </c>
      <c r="B1461" s="115">
        <v>301.8</v>
      </c>
      <c r="C1461" s="115">
        <v>299.75</v>
      </c>
      <c r="D1461" s="115">
        <v>293.55</v>
      </c>
      <c r="E1461" s="115">
        <v>294</v>
      </c>
      <c r="F1461" s="115">
        <v>299.75</v>
      </c>
      <c r="G1461">
        <v>5044</v>
      </c>
      <c r="H1461" s="115"/>
      <c r="I1461" s="115"/>
      <c r="L1461" s="169">
        <v>44154</v>
      </c>
      <c r="M1461" s="115">
        <v>295.85000000000002</v>
      </c>
      <c r="N1461" s="115">
        <v>304.10000000000002</v>
      </c>
      <c r="O1461" s="115">
        <v>293</v>
      </c>
      <c r="P1461" s="115">
        <v>299.10000000000002</v>
      </c>
      <c r="Q1461" s="115">
        <v>295.85000000000002</v>
      </c>
      <c r="R1461">
        <v>113072</v>
      </c>
    </row>
    <row r="1462" spans="1:18" x14ac:dyDescent="0.25">
      <c r="A1462" s="169">
        <v>44158</v>
      </c>
      <c r="B1462" s="115">
        <v>308</v>
      </c>
      <c r="C1462" s="115">
        <v>300.7</v>
      </c>
      <c r="D1462" s="115">
        <v>299.05</v>
      </c>
      <c r="E1462" s="115">
        <v>299.05</v>
      </c>
      <c r="F1462" s="115">
        <v>300.7</v>
      </c>
      <c r="G1462">
        <v>11932</v>
      </c>
      <c r="H1462" s="115"/>
      <c r="I1462" s="115"/>
      <c r="L1462" s="169">
        <v>44155</v>
      </c>
      <c r="M1462" s="115">
        <v>299.55</v>
      </c>
      <c r="N1462" s="115">
        <v>302.10000000000002</v>
      </c>
      <c r="O1462" s="115">
        <v>292.55</v>
      </c>
      <c r="P1462" s="115">
        <v>295.85000000000002</v>
      </c>
      <c r="Q1462" s="115">
        <v>299.55</v>
      </c>
      <c r="R1462">
        <v>115761</v>
      </c>
    </row>
    <row r="1463" spans="1:18" x14ac:dyDescent="0.25">
      <c r="A1463" s="169">
        <v>44159</v>
      </c>
      <c r="B1463" s="115">
        <v>302.14999999999998</v>
      </c>
      <c r="C1463" s="115">
        <v>300.10000000000002</v>
      </c>
      <c r="D1463" s="115">
        <v>295</v>
      </c>
      <c r="E1463" s="115">
        <v>302</v>
      </c>
      <c r="F1463" s="115">
        <v>300.10000000000002</v>
      </c>
      <c r="G1463">
        <v>8265</v>
      </c>
      <c r="H1463" s="115"/>
      <c r="I1463" s="115"/>
      <c r="L1463" s="169">
        <v>44158</v>
      </c>
      <c r="M1463" s="115">
        <v>300.7</v>
      </c>
      <c r="N1463" s="115">
        <v>309.5</v>
      </c>
      <c r="O1463" s="115">
        <v>299</v>
      </c>
      <c r="P1463" s="115">
        <v>300.89999999999998</v>
      </c>
      <c r="Q1463" s="115">
        <v>300.7</v>
      </c>
      <c r="R1463">
        <v>79824</v>
      </c>
    </row>
    <row r="1464" spans="1:18" x14ac:dyDescent="0.25">
      <c r="A1464" s="169">
        <v>44160</v>
      </c>
      <c r="B1464" s="115">
        <v>301.25</v>
      </c>
      <c r="C1464" s="115">
        <v>299.85000000000002</v>
      </c>
      <c r="D1464" s="115">
        <v>294.45</v>
      </c>
      <c r="E1464" s="115">
        <v>298.8</v>
      </c>
      <c r="F1464" s="115">
        <v>299.85000000000002</v>
      </c>
      <c r="G1464">
        <v>7069</v>
      </c>
      <c r="H1464" s="115"/>
      <c r="I1464" s="115"/>
      <c r="L1464" s="169">
        <v>44159</v>
      </c>
      <c r="M1464" s="115">
        <v>300.10000000000002</v>
      </c>
      <c r="N1464" s="115">
        <v>302.10000000000002</v>
      </c>
      <c r="O1464" s="115">
        <v>297.95</v>
      </c>
      <c r="P1464" s="115">
        <v>301</v>
      </c>
      <c r="Q1464" s="115">
        <v>300.10000000000002</v>
      </c>
      <c r="R1464">
        <v>59245</v>
      </c>
    </row>
    <row r="1465" spans="1:18" x14ac:dyDescent="0.25">
      <c r="A1465" s="169">
        <v>44161</v>
      </c>
      <c r="B1465" s="115">
        <v>313</v>
      </c>
      <c r="C1465" s="115">
        <v>308.85000000000002</v>
      </c>
      <c r="D1465" s="115">
        <v>295.25</v>
      </c>
      <c r="E1465" s="115">
        <v>299.7</v>
      </c>
      <c r="F1465" s="115">
        <v>308.85000000000002</v>
      </c>
      <c r="G1465">
        <v>9265</v>
      </c>
      <c r="H1465" s="115"/>
      <c r="I1465" s="115"/>
      <c r="L1465" s="169">
        <v>44160</v>
      </c>
      <c r="M1465" s="115">
        <v>300</v>
      </c>
      <c r="N1465" s="115">
        <v>301.2</v>
      </c>
      <c r="O1465" s="115">
        <v>294.64999999999998</v>
      </c>
      <c r="P1465" s="115">
        <v>298</v>
      </c>
      <c r="Q1465" s="115">
        <v>300</v>
      </c>
      <c r="R1465">
        <v>129668</v>
      </c>
    </row>
    <row r="1466" spans="1:18" x14ac:dyDescent="0.25">
      <c r="A1466" s="169">
        <v>44162</v>
      </c>
      <c r="B1466" s="115">
        <v>311.75</v>
      </c>
      <c r="C1466" s="115">
        <v>308.05</v>
      </c>
      <c r="D1466" s="115">
        <v>287.60000000000002</v>
      </c>
      <c r="E1466" s="115">
        <v>307.3</v>
      </c>
      <c r="F1466" s="115">
        <v>308.05</v>
      </c>
      <c r="G1466">
        <v>9922</v>
      </c>
      <c r="H1466" s="115"/>
      <c r="I1466" s="115"/>
      <c r="L1466" s="169">
        <v>44161</v>
      </c>
      <c r="M1466" s="115">
        <v>308.35000000000002</v>
      </c>
      <c r="N1466" s="115">
        <v>314</v>
      </c>
      <c r="O1466" s="115">
        <v>294</v>
      </c>
      <c r="P1466" s="115">
        <v>297.55</v>
      </c>
      <c r="Q1466" s="115">
        <v>308.35000000000002</v>
      </c>
      <c r="R1466">
        <v>144928</v>
      </c>
    </row>
    <row r="1467" spans="1:18" x14ac:dyDescent="0.25">
      <c r="A1467" s="169">
        <v>44166</v>
      </c>
      <c r="B1467" s="115">
        <v>314.45</v>
      </c>
      <c r="C1467" s="115">
        <v>305.75</v>
      </c>
      <c r="D1467" s="115">
        <v>302.39999999999998</v>
      </c>
      <c r="E1467" s="115">
        <v>306</v>
      </c>
      <c r="F1467" s="115">
        <v>305.75</v>
      </c>
      <c r="G1467">
        <v>3614</v>
      </c>
      <c r="H1467" s="115"/>
      <c r="I1467" s="115"/>
      <c r="L1467" s="169">
        <v>44162</v>
      </c>
      <c r="M1467" s="115">
        <v>309.14999999999998</v>
      </c>
      <c r="N1467" s="115">
        <v>314</v>
      </c>
      <c r="O1467" s="115">
        <v>301</v>
      </c>
      <c r="P1467" s="115">
        <v>308</v>
      </c>
      <c r="Q1467" s="115">
        <v>309.14999999999998</v>
      </c>
      <c r="R1467">
        <v>52498</v>
      </c>
    </row>
    <row r="1468" spans="1:18" x14ac:dyDescent="0.25">
      <c r="A1468" s="169">
        <v>44167</v>
      </c>
      <c r="B1468" s="115">
        <v>313.75</v>
      </c>
      <c r="C1468" s="115">
        <v>311.05</v>
      </c>
      <c r="D1468" s="115">
        <v>308.25</v>
      </c>
      <c r="E1468" s="115">
        <v>309.89999999999998</v>
      </c>
      <c r="F1468" s="115">
        <v>311.05</v>
      </c>
      <c r="G1468">
        <v>2241</v>
      </c>
      <c r="H1468" s="115"/>
      <c r="I1468" s="115"/>
      <c r="L1468" s="169">
        <v>44166</v>
      </c>
      <c r="M1468" s="115">
        <v>305.95</v>
      </c>
      <c r="N1468" s="115">
        <v>315</v>
      </c>
      <c r="O1468" s="115">
        <v>302</v>
      </c>
      <c r="P1468" s="115">
        <v>306</v>
      </c>
      <c r="Q1468" s="115">
        <v>305.95</v>
      </c>
      <c r="R1468">
        <v>136407</v>
      </c>
    </row>
    <row r="1469" spans="1:18" x14ac:dyDescent="0.25">
      <c r="A1469" s="169">
        <v>44168</v>
      </c>
      <c r="B1469" s="115">
        <v>317</v>
      </c>
      <c r="C1469" s="115">
        <v>310.55</v>
      </c>
      <c r="D1469" s="115">
        <v>309.45</v>
      </c>
      <c r="E1469" s="115">
        <v>314.89999999999998</v>
      </c>
      <c r="F1469" s="115">
        <v>310.55</v>
      </c>
      <c r="G1469">
        <v>7921</v>
      </c>
      <c r="H1469" s="115"/>
      <c r="I1469" s="115"/>
      <c r="L1469" s="169">
        <v>44167</v>
      </c>
      <c r="M1469" s="115">
        <v>311.55</v>
      </c>
      <c r="N1469" s="115">
        <v>315</v>
      </c>
      <c r="O1469" s="115">
        <v>306.10000000000002</v>
      </c>
      <c r="P1469" s="115">
        <v>306.10000000000002</v>
      </c>
      <c r="Q1469" s="115">
        <v>311.55</v>
      </c>
      <c r="R1469">
        <v>58775</v>
      </c>
    </row>
    <row r="1470" spans="1:18" x14ac:dyDescent="0.25">
      <c r="A1470" s="169">
        <v>44169</v>
      </c>
      <c r="B1470" s="115">
        <v>316.85000000000002</v>
      </c>
      <c r="C1470" s="115">
        <v>308.85000000000002</v>
      </c>
      <c r="D1470" s="115">
        <v>306.05</v>
      </c>
      <c r="E1470" s="115">
        <v>311.45</v>
      </c>
      <c r="F1470" s="115">
        <v>308.85000000000002</v>
      </c>
      <c r="G1470">
        <v>2234</v>
      </c>
      <c r="H1470" s="115"/>
      <c r="I1470" s="115"/>
      <c r="L1470" s="169">
        <v>44168</v>
      </c>
      <c r="M1470" s="115">
        <v>311.2</v>
      </c>
      <c r="N1470" s="115">
        <v>320</v>
      </c>
      <c r="O1470" s="115">
        <v>308.05</v>
      </c>
      <c r="P1470" s="115">
        <v>312.64999999999998</v>
      </c>
      <c r="Q1470" s="115">
        <v>311.2</v>
      </c>
      <c r="R1470">
        <v>62009</v>
      </c>
    </row>
    <row r="1471" spans="1:18" x14ac:dyDescent="0.25">
      <c r="A1471" s="169">
        <v>44172</v>
      </c>
      <c r="B1471" s="115">
        <v>311</v>
      </c>
      <c r="C1471" s="115">
        <v>303.05</v>
      </c>
      <c r="D1471" s="115">
        <v>300</v>
      </c>
      <c r="E1471" s="115">
        <v>310.10000000000002</v>
      </c>
      <c r="F1471" s="115">
        <v>303.05</v>
      </c>
      <c r="G1471">
        <v>6222</v>
      </c>
      <c r="H1471" s="115"/>
      <c r="I1471" s="115"/>
      <c r="L1471" s="169">
        <v>44169</v>
      </c>
      <c r="M1471" s="115">
        <v>308.60000000000002</v>
      </c>
      <c r="N1471" s="115">
        <v>316.35000000000002</v>
      </c>
      <c r="O1471" s="115">
        <v>306.14999999999998</v>
      </c>
      <c r="P1471" s="115">
        <v>311.2</v>
      </c>
      <c r="Q1471" s="115">
        <v>308.60000000000002</v>
      </c>
      <c r="R1471">
        <v>62257</v>
      </c>
    </row>
    <row r="1472" spans="1:18" x14ac:dyDescent="0.25">
      <c r="A1472" s="169">
        <v>44173</v>
      </c>
      <c r="B1472" s="115">
        <v>313</v>
      </c>
      <c r="C1472" s="115">
        <v>306.05</v>
      </c>
      <c r="D1472" s="115">
        <v>297</v>
      </c>
      <c r="E1472" s="115">
        <v>313</v>
      </c>
      <c r="F1472" s="115">
        <v>306.05</v>
      </c>
      <c r="G1472">
        <v>12880</v>
      </c>
      <c r="H1472" s="115"/>
      <c r="I1472" s="115"/>
      <c r="L1472" s="169">
        <v>44172</v>
      </c>
      <c r="M1472" s="115">
        <v>302.35000000000002</v>
      </c>
      <c r="N1472" s="115">
        <v>312</v>
      </c>
      <c r="O1472" s="115">
        <v>301.3</v>
      </c>
      <c r="P1472" s="115">
        <v>312</v>
      </c>
      <c r="Q1472" s="115">
        <v>302.35000000000002</v>
      </c>
      <c r="R1472">
        <v>80678</v>
      </c>
    </row>
    <row r="1473" spans="1:18" x14ac:dyDescent="0.25">
      <c r="A1473" s="169">
        <v>44174</v>
      </c>
      <c r="B1473" s="115">
        <v>314.2</v>
      </c>
      <c r="C1473" s="115">
        <v>307</v>
      </c>
      <c r="D1473" s="115">
        <v>297.5</v>
      </c>
      <c r="E1473" s="115">
        <v>306.35000000000002</v>
      </c>
      <c r="F1473" s="115">
        <v>307</v>
      </c>
      <c r="G1473">
        <v>5302</v>
      </c>
      <c r="H1473" s="115"/>
      <c r="I1473" s="115"/>
      <c r="L1473" s="169">
        <v>44173</v>
      </c>
      <c r="M1473" s="115">
        <v>307.25</v>
      </c>
      <c r="N1473" s="115">
        <v>309.95</v>
      </c>
      <c r="O1473" s="115">
        <v>301</v>
      </c>
      <c r="P1473" s="115">
        <v>304.89999999999998</v>
      </c>
      <c r="Q1473" s="115">
        <v>307.25</v>
      </c>
      <c r="R1473">
        <v>92777</v>
      </c>
    </row>
    <row r="1474" spans="1:18" x14ac:dyDescent="0.25">
      <c r="A1474" s="169">
        <v>44175</v>
      </c>
      <c r="B1474" s="115">
        <v>307</v>
      </c>
      <c r="C1474" s="115">
        <v>300.45</v>
      </c>
      <c r="D1474" s="115">
        <v>298.35000000000002</v>
      </c>
      <c r="E1474" s="115">
        <v>307</v>
      </c>
      <c r="F1474" s="115">
        <v>300.45</v>
      </c>
      <c r="G1474">
        <v>2360</v>
      </c>
      <c r="H1474" s="115"/>
      <c r="I1474" s="115"/>
      <c r="L1474" s="169">
        <v>44174</v>
      </c>
      <c r="M1474" s="115">
        <v>305.5</v>
      </c>
      <c r="N1474" s="115">
        <v>309.60000000000002</v>
      </c>
      <c r="O1474" s="115">
        <v>304.25</v>
      </c>
      <c r="P1474" s="115">
        <v>309.60000000000002</v>
      </c>
      <c r="Q1474" s="115">
        <v>305.5</v>
      </c>
      <c r="R1474">
        <v>37535</v>
      </c>
    </row>
    <row r="1475" spans="1:18" x14ac:dyDescent="0.25">
      <c r="A1475" s="169">
        <v>44176</v>
      </c>
      <c r="B1475" s="115">
        <v>315</v>
      </c>
      <c r="C1475" s="115">
        <v>307.8</v>
      </c>
      <c r="D1475" s="115">
        <v>305</v>
      </c>
      <c r="E1475" s="115">
        <v>306.85000000000002</v>
      </c>
      <c r="F1475" s="115">
        <v>307.8</v>
      </c>
      <c r="G1475">
        <v>6668</v>
      </c>
      <c r="H1475" s="115"/>
      <c r="I1475" s="115"/>
      <c r="L1475" s="169">
        <v>44175</v>
      </c>
      <c r="M1475" s="115">
        <v>301.05</v>
      </c>
      <c r="N1475" s="115">
        <v>305.2</v>
      </c>
      <c r="O1475" s="115">
        <v>298.25</v>
      </c>
      <c r="P1475" s="115">
        <v>305.2</v>
      </c>
      <c r="Q1475" s="115">
        <v>301.05</v>
      </c>
      <c r="R1475">
        <v>34281</v>
      </c>
    </row>
    <row r="1476" spans="1:18" x14ac:dyDescent="0.25">
      <c r="A1476" s="169">
        <v>44179</v>
      </c>
      <c r="B1476" s="115">
        <v>311.8</v>
      </c>
      <c r="C1476" s="115">
        <v>304.5</v>
      </c>
      <c r="D1476" s="115">
        <v>302.95</v>
      </c>
      <c r="E1476" s="115">
        <v>310</v>
      </c>
      <c r="F1476" s="115">
        <v>304.5</v>
      </c>
      <c r="G1476">
        <v>6100</v>
      </c>
      <c r="H1476" s="115"/>
      <c r="I1476" s="115"/>
      <c r="L1476" s="169">
        <v>44176</v>
      </c>
      <c r="M1476" s="115">
        <v>306.2</v>
      </c>
      <c r="N1476" s="115">
        <v>313.5</v>
      </c>
      <c r="O1476" s="115">
        <v>302.55</v>
      </c>
      <c r="P1476" s="115">
        <v>302.55</v>
      </c>
      <c r="Q1476" s="115">
        <v>306.2</v>
      </c>
      <c r="R1476">
        <v>95916</v>
      </c>
    </row>
    <row r="1477" spans="1:18" x14ac:dyDescent="0.25">
      <c r="A1477" s="169">
        <v>44180</v>
      </c>
      <c r="B1477" s="115">
        <v>306.10000000000002</v>
      </c>
      <c r="C1477" s="115">
        <v>299.89999999999998</v>
      </c>
      <c r="D1477" s="115">
        <v>298</v>
      </c>
      <c r="E1477" s="115">
        <v>304.64999999999998</v>
      </c>
      <c r="F1477" s="115">
        <v>299.89999999999998</v>
      </c>
      <c r="G1477">
        <v>6063</v>
      </c>
      <c r="H1477" s="115"/>
      <c r="I1477" s="115"/>
      <c r="L1477" s="169">
        <v>44179</v>
      </c>
      <c r="M1477" s="115">
        <v>304.3</v>
      </c>
      <c r="N1477" s="115">
        <v>312.2</v>
      </c>
      <c r="O1477" s="115">
        <v>303</v>
      </c>
      <c r="P1477" s="115">
        <v>311.89999999999998</v>
      </c>
      <c r="Q1477" s="115">
        <v>304.3</v>
      </c>
      <c r="R1477">
        <v>65153</v>
      </c>
    </row>
    <row r="1478" spans="1:18" x14ac:dyDescent="0.25">
      <c r="A1478" s="169">
        <v>44181</v>
      </c>
      <c r="B1478" s="115">
        <v>306.89999999999998</v>
      </c>
      <c r="C1478" s="115">
        <v>305.8</v>
      </c>
      <c r="D1478" s="115">
        <v>301.25</v>
      </c>
      <c r="E1478" s="115">
        <v>302.10000000000002</v>
      </c>
      <c r="F1478" s="115">
        <v>305.8</v>
      </c>
      <c r="G1478">
        <v>1695</v>
      </c>
      <c r="H1478" s="115"/>
      <c r="I1478" s="115"/>
      <c r="L1478" s="169">
        <v>44180</v>
      </c>
      <c r="M1478" s="115">
        <v>300.45</v>
      </c>
      <c r="N1478" s="115">
        <v>306</v>
      </c>
      <c r="O1478" s="115">
        <v>297.60000000000002</v>
      </c>
      <c r="P1478" s="115">
        <v>305</v>
      </c>
      <c r="Q1478" s="115">
        <v>300.45</v>
      </c>
      <c r="R1478">
        <v>59568</v>
      </c>
    </row>
    <row r="1479" spans="1:18" x14ac:dyDescent="0.25">
      <c r="A1479" s="169">
        <v>44182</v>
      </c>
      <c r="B1479" s="115">
        <v>308.35000000000002</v>
      </c>
      <c r="C1479" s="115">
        <v>298.7</v>
      </c>
      <c r="D1479" s="115">
        <v>296</v>
      </c>
      <c r="E1479" s="115">
        <v>307</v>
      </c>
      <c r="F1479" s="115">
        <v>298.7</v>
      </c>
      <c r="G1479">
        <v>8802</v>
      </c>
      <c r="H1479" s="115"/>
      <c r="I1479" s="115"/>
      <c r="L1479" s="169">
        <v>44181</v>
      </c>
      <c r="M1479" s="115">
        <v>305.60000000000002</v>
      </c>
      <c r="N1479" s="115">
        <v>307.55</v>
      </c>
      <c r="O1479" s="115">
        <v>300.2</v>
      </c>
      <c r="P1479" s="115">
        <v>302</v>
      </c>
      <c r="Q1479" s="115">
        <v>305.60000000000002</v>
      </c>
      <c r="R1479">
        <v>38740</v>
      </c>
    </row>
    <row r="1480" spans="1:18" x14ac:dyDescent="0.25">
      <c r="A1480" s="169">
        <v>44183</v>
      </c>
      <c r="B1480" s="115">
        <v>302.35000000000002</v>
      </c>
      <c r="C1480" s="115">
        <v>298.10000000000002</v>
      </c>
      <c r="D1480" s="115">
        <v>294.85000000000002</v>
      </c>
      <c r="E1480" s="115">
        <v>298.7</v>
      </c>
      <c r="F1480" s="115">
        <v>298.10000000000002</v>
      </c>
      <c r="G1480">
        <v>4390</v>
      </c>
      <c r="H1480" s="115"/>
      <c r="I1480" s="115"/>
      <c r="L1480" s="169">
        <v>44182</v>
      </c>
      <c r="M1480" s="115">
        <v>298.39999999999998</v>
      </c>
      <c r="N1480" s="115">
        <v>308.8</v>
      </c>
      <c r="O1480" s="115">
        <v>296.8</v>
      </c>
      <c r="P1480" s="115">
        <v>307</v>
      </c>
      <c r="Q1480" s="115">
        <v>298.39999999999998</v>
      </c>
      <c r="R1480">
        <v>68414</v>
      </c>
    </row>
    <row r="1481" spans="1:18" x14ac:dyDescent="0.25">
      <c r="A1481" s="169">
        <v>44186</v>
      </c>
      <c r="B1481" s="115">
        <v>299.7</v>
      </c>
      <c r="C1481" s="115">
        <v>278.05</v>
      </c>
      <c r="D1481" s="115">
        <v>271.5</v>
      </c>
      <c r="E1481" s="115">
        <v>298.35000000000002</v>
      </c>
      <c r="F1481" s="115">
        <v>278.05</v>
      </c>
      <c r="G1481">
        <v>6646</v>
      </c>
      <c r="H1481" s="115"/>
      <c r="I1481" s="115"/>
      <c r="L1481" s="169">
        <v>44183</v>
      </c>
      <c r="M1481" s="115">
        <v>298.2</v>
      </c>
      <c r="N1481" s="115">
        <v>301.25</v>
      </c>
      <c r="O1481" s="115">
        <v>295</v>
      </c>
      <c r="P1481" s="115">
        <v>298.39999999999998</v>
      </c>
      <c r="Q1481" s="115">
        <v>298.2</v>
      </c>
      <c r="R1481">
        <v>52213</v>
      </c>
    </row>
    <row r="1482" spans="1:18" x14ac:dyDescent="0.25">
      <c r="A1482" s="169">
        <v>44187</v>
      </c>
      <c r="B1482" s="115">
        <v>289.45</v>
      </c>
      <c r="C1482" s="115">
        <v>283.2</v>
      </c>
      <c r="D1482" s="115">
        <v>276.05</v>
      </c>
      <c r="E1482" s="115">
        <v>281.05</v>
      </c>
      <c r="F1482" s="115">
        <v>283.2</v>
      </c>
      <c r="G1482">
        <v>2920</v>
      </c>
      <c r="H1482" s="115"/>
      <c r="I1482" s="115"/>
      <c r="L1482" s="169">
        <v>44186</v>
      </c>
      <c r="M1482" s="115">
        <v>278.8</v>
      </c>
      <c r="N1482" s="115">
        <v>302.89999999999998</v>
      </c>
      <c r="O1482" s="115">
        <v>270.10000000000002</v>
      </c>
      <c r="P1482" s="115">
        <v>302.89999999999998</v>
      </c>
      <c r="Q1482" s="115">
        <v>278.8</v>
      </c>
      <c r="R1482">
        <v>122266</v>
      </c>
    </row>
    <row r="1483" spans="1:18" x14ac:dyDescent="0.25">
      <c r="A1483" s="169">
        <v>44188</v>
      </c>
      <c r="B1483" s="115">
        <v>291</v>
      </c>
      <c r="C1483" s="115">
        <v>285.2</v>
      </c>
      <c r="D1483" s="115">
        <v>284</v>
      </c>
      <c r="E1483" s="115">
        <v>287.7</v>
      </c>
      <c r="F1483" s="115">
        <v>285.2</v>
      </c>
      <c r="G1483">
        <v>5031</v>
      </c>
      <c r="H1483" s="115"/>
      <c r="I1483" s="115"/>
      <c r="L1483" s="169">
        <v>44187</v>
      </c>
      <c r="M1483" s="115">
        <v>283.10000000000002</v>
      </c>
      <c r="N1483" s="115">
        <v>289.5</v>
      </c>
      <c r="O1483" s="115">
        <v>275</v>
      </c>
      <c r="P1483" s="115">
        <v>280</v>
      </c>
      <c r="Q1483" s="115">
        <v>283.10000000000002</v>
      </c>
      <c r="R1483">
        <v>78091</v>
      </c>
    </row>
    <row r="1484" spans="1:18" x14ac:dyDescent="0.25">
      <c r="A1484" s="169">
        <v>44189</v>
      </c>
      <c r="B1484" s="115">
        <v>299</v>
      </c>
      <c r="C1484" s="115">
        <v>295.3</v>
      </c>
      <c r="D1484" s="115">
        <v>287</v>
      </c>
      <c r="E1484" s="115">
        <v>287</v>
      </c>
      <c r="F1484" s="115">
        <v>295.3</v>
      </c>
      <c r="G1484">
        <v>2695</v>
      </c>
      <c r="H1484" s="115"/>
      <c r="I1484" s="115"/>
      <c r="L1484" s="169">
        <v>44188</v>
      </c>
      <c r="M1484" s="115">
        <v>285.39999999999998</v>
      </c>
      <c r="N1484" s="115">
        <v>290.95</v>
      </c>
      <c r="O1484" s="115">
        <v>283.2</v>
      </c>
      <c r="P1484" s="115">
        <v>283.2</v>
      </c>
      <c r="Q1484" s="115">
        <v>285.39999999999998</v>
      </c>
      <c r="R1484">
        <v>84852</v>
      </c>
    </row>
    <row r="1485" spans="1:18" x14ac:dyDescent="0.25">
      <c r="A1485" s="169">
        <v>44193</v>
      </c>
      <c r="B1485" s="115">
        <v>317.5</v>
      </c>
      <c r="C1485" s="115">
        <v>313.39999999999998</v>
      </c>
      <c r="D1485" s="115">
        <v>295</v>
      </c>
      <c r="E1485" s="115">
        <v>295</v>
      </c>
      <c r="F1485" s="115">
        <v>313.39999999999998</v>
      </c>
      <c r="G1485">
        <v>44667</v>
      </c>
      <c r="H1485" s="115"/>
      <c r="I1485" s="115"/>
      <c r="L1485" s="169">
        <v>44189</v>
      </c>
      <c r="M1485" s="115">
        <v>295</v>
      </c>
      <c r="N1485" s="115">
        <v>298.2</v>
      </c>
      <c r="O1485" s="115">
        <v>287.14999999999998</v>
      </c>
      <c r="P1485" s="115">
        <v>289.89999999999998</v>
      </c>
      <c r="Q1485" s="115">
        <v>295</v>
      </c>
      <c r="R1485">
        <v>73094</v>
      </c>
    </row>
    <row r="1486" spans="1:18" x14ac:dyDescent="0.25">
      <c r="A1486" s="169">
        <v>44194</v>
      </c>
      <c r="B1486" s="115">
        <v>320</v>
      </c>
      <c r="C1486" s="115">
        <v>307.95</v>
      </c>
      <c r="D1486" s="115">
        <v>305.8</v>
      </c>
      <c r="E1486" s="115">
        <v>320</v>
      </c>
      <c r="F1486" s="115">
        <v>307.95</v>
      </c>
      <c r="G1486">
        <v>5815</v>
      </c>
      <c r="H1486" s="115"/>
      <c r="I1486" s="115"/>
      <c r="L1486" s="169">
        <v>44193</v>
      </c>
      <c r="M1486" s="115">
        <v>313.45</v>
      </c>
      <c r="N1486" s="115">
        <v>317.5</v>
      </c>
      <c r="O1486" s="115">
        <v>293.85000000000002</v>
      </c>
      <c r="P1486" s="115">
        <v>294</v>
      </c>
      <c r="Q1486" s="115">
        <v>313.45</v>
      </c>
      <c r="R1486">
        <v>386592</v>
      </c>
    </row>
    <row r="1487" spans="1:18" x14ac:dyDescent="0.25">
      <c r="A1487" s="169">
        <v>44195</v>
      </c>
      <c r="B1487" s="115">
        <v>318</v>
      </c>
      <c r="C1487" s="115">
        <v>310.2</v>
      </c>
      <c r="D1487" s="115">
        <v>305.45</v>
      </c>
      <c r="E1487" s="115">
        <v>310</v>
      </c>
      <c r="F1487" s="115">
        <v>310.2</v>
      </c>
      <c r="G1487">
        <v>13341</v>
      </c>
      <c r="H1487" s="115"/>
      <c r="I1487" s="115"/>
      <c r="L1487" s="169">
        <v>44194</v>
      </c>
      <c r="M1487" s="115">
        <v>307.85000000000002</v>
      </c>
      <c r="N1487" s="115">
        <v>317.8</v>
      </c>
      <c r="O1487" s="115">
        <v>305.7</v>
      </c>
      <c r="P1487" s="115">
        <v>317.8</v>
      </c>
      <c r="Q1487" s="115">
        <v>307.85000000000002</v>
      </c>
      <c r="R1487">
        <v>408447</v>
      </c>
    </row>
    <row r="1488" spans="1:18" x14ac:dyDescent="0.25">
      <c r="A1488" s="169">
        <v>44196</v>
      </c>
      <c r="B1488" s="115">
        <v>317</v>
      </c>
      <c r="C1488" s="115">
        <v>312.60000000000002</v>
      </c>
      <c r="D1488" s="115">
        <v>309.5</v>
      </c>
      <c r="E1488" s="115">
        <v>310.60000000000002</v>
      </c>
      <c r="F1488" s="115">
        <v>312.60000000000002</v>
      </c>
      <c r="G1488">
        <v>8922</v>
      </c>
      <c r="H1488" s="115"/>
      <c r="I1488" s="115"/>
      <c r="L1488" s="169">
        <v>44195</v>
      </c>
      <c r="M1488" s="115">
        <v>310.05</v>
      </c>
      <c r="N1488" s="115">
        <v>318</v>
      </c>
      <c r="O1488" s="115">
        <v>305</v>
      </c>
      <c r="P1488" s="115">
        <v>309.14999999999998</v>
      </c>
      <c r="Q1488" s="115">
        <v>310.05</v>
      </c>
      <c r="R1488">
        <v>120985</v>
      </c>
    </row>
    <row r="1489" spans="1:18" x14ac:dyDescent="0.25">
      <c r="A1489" s="169">
        <v>44197</v>
      </c>
      <c r="B1489" s="115">
        <v>314</v>
      </c>
      <c r="C1489" s="115">
        <v>311.25</v>
      </c>
      <c r="D1489" s="115">
        <v>310</v>
      </c>
      <c r="E1489" s="115">
        <v>313.95</v>
      </c>
      <c r="F1489" s="115">
        <v>311.25</v>
      </c>
      <c r="G1489">
        <v>1822</v>
      </c>
      <c r="H1489" s="115"/>
      <c r="I1489" s="115"/>
      <c r="L1489" s="169">
        <v>44196</v>
      </c>
      <c r="M1489" s="115">
        <v>313.55</v>
      </c>
      <c r="N1489" s="115">
        <v>317.75</v>
      </c>
      <c r="O1489" s="115">
        <v>309.14999999999998</v>
      </c>
      <c r="P1489" s="115">
        <v>311.55</v>
      </c>
      <c r="Q1489" s="115">
        <v>313.55</v>
      </c>
      <c r="R1489">
        <v>65971</v>
      </c>
    </row>
    <row r="1490" spans="1:18" x14ac:dyDescent="0.25">
      <c r="A1490" s="169">
        <v>44200</v>
      </c>
      <c r="B1490" s="115">
        <v>325.10000000000002</v>
      </c>
      <c r="C1490" s="115">
        <v>318.05</v>
      </c>
      <c r="D1490" s="115">
        <v>314.3</v>
      </c>
      <c r="E1490" s="115">
        <v>319.5</v>
      </c>
      <c r="F1490" s="115">
        <v>318.05</v>
      </c>
      <c r="G1490">
        <v>22732</v>
      </c>
      <c r="H1490" s="115"/>
      <c r="I1490" s="115"/>
      <c r="L1490" s="169">
        <v>44197</v>
      </c>
      <c r="M1490" s="115">
        <v>311.45</v>
      </c>
      <c r="N1490" s="115">
        <v>316.3</v>
      </c>
      <c r="O1490" s="115">
        <v>309.85000000000002</v>
      </c>
      <c r="P1490" s="115">
        <v>315.05</v>
      </c>
      <c r="Q1490" s="115">
        <v>311.45</v>
      </c>
      <c r="R1490">
        <v>31661</v>
      </c>
    </row>
    <row r="1491" spans="1:18" x14ac:dyDescent="0.25">
      <c r="A1491" s="169">
        <v>44201</v>
      </c>
      <c r="B1491" s="115">
        <v>326.85000000000002</v>
      </c>
      <c r="C1491" s="115">
        <v>322.64999999999998</v>
      </c>
      <c r="D1491" s="115">
        <v>317.25</v>
      </c>
      <c r="E1491" s="115">
        <v>321</v>
      </c>
      <c r="F1491" s="115">
        <v>322.64999999999998</v>
      </c>
      <c r="G1491">
        <v>13814</v>
      </c>
      <c r="H1491" s="115"/>
      <c r="I1491" s="115"/>
      <c r="L1491" s="169">
        <v>44200</v>
      </c>
      <c r="M1491" s="115">
        <v>318.95</v>
      </c>
      <c r="N1491" s="115">
        <v>325</v>
      </c>
      <c r="O1491" s="115">
        <v>312.5</v>
      </c>
      <c r="P1491" s="115">
        <v>317</v>
      </c>
      <c r="Q1491" s="115">
        <v>318.95</v>
      </c>
      <c r="R1491">
        <v>359552</v>
      </c>
    </row>
    <row r="1492" spans="1:18" x14ac:dyDescent="0.25">
      <c r="A1492" s="169">
        <v>44202</v>
      </c>
      <c r="B1492" s="115">
        <v>329.9</v>
      </c>
      <c r="C1492" s="115">
        <v>315.85000000000002</v>
      </c>
      <c r="D1492" s="115">
        <v>311.14999999999998</v>
      </c>
      <c r="E1492" s="115">
        <v>329.9</v>
      </c>
      <c r="F1492" s="115">
        <v>315.85000000000002</v>
      </c>
      <c r="G1492">
        <v>17206</v>
      </c>
      <c r="H1492" s="115"/>
      <c r="I1492" s="115"/>
      <c r="L1492" s="169">
        <v>44201</v>
      </c>
      <c r="M1492" s="115">
        <v>322.35000000000002</v>
      </c>
      <c r="N1492" s="115">
        <v>327</v>
      </c>
      <c r="O1492" s="115">
        <v>315.5</v>
      </c>
      <c r="P1492" s="115">
        <v>320</v>
      </c>
      <c r="Q1492" s="115">
        <v>322.35000000000002</v>
      </c>
      <c r="R1492">
        <v>209423</v>
      </c>
    </row>
    <row r="1493" spans="1:18" x14ac:dyDescent="0.25">
      <c r="A1493" s="169">
        <v>44203</v>
      </c>
      <c r="B1493" s="115">
        <v>321</v>
      </c>
      <c r="C1493" s="115">
        <v>317.7</v>
      </c>
      <c r="D1493" s="115">
        <v>314.10000000000002</v>
      </c>
      <c r="E1493" s="115">
        <v>321</v>
      </c>
      <c r="F1493" s="115">
        <v>317.7</v>
      </c>
      <c r="G1493">
        <v>4461</v>
      </c>
      <c r="H1493" s="115"/>
      <c r="I1493" s="115"/>
      <c r="L1493" s="169">
        <v>44202</v>
      </c>
      <c r="M1493" s="115">
        <v>316.85000000000002</v>
      </c>
      <c r="N1493" s="115">
        <v>325.75</v>
      </c>
      <c r="O1493" s="115">
        <v>311.3</v>
      </c>
      <c r="P1493" s="115">
        <v>323</v>
      </c>
      <c r="Q1493" s="115">
        <v>316.85000000000002</v>
      </c>
      <c r="R1493">
        <v>113647</v>
      </c>
    </row>
    <row r="1494" spans="1:18" x14ac:dyDescent="0.25">
      <c r="A1494" s="169">
        <v>44204</v>
      </c>
      <c r="B1494" s="115">
        <v>322</v>
      </c>
      <c r="C1494" s="115">
        <v>313.60000000000002</v>
      </c>
      <c r="D1494" s="115">
        <v>312</v>
      </c>
      <c r="E1494" s="115">
        <v>321.7</v>
      </c>
      <c r="F1494" s="115">
        <v>313.60000000000002</v>
      </c>
      <c r="G1494">
        <v>9750</v>
      </c>
      <c r="H1494" s="115"/>
      <c r="I1494" s="115"/>
      <c r="L1494" s="169">
        <v>44203</v>
      </c>
      <c r="M1494" s="115">
        <v>317.2</v>
      </c>
      <c r="N1494" s="115">
        <v>323.3</v>
      </c>
      <c r="O1494" s="115">
        <v>314.39999999999998</v>
      </c>
      <c r="P1494" s="115">
        <v>320</v>
      </c>
      <c r="Q1494" s="115">
        <v>317.2</v>
      </c>
      <c r="R1494">
        <v>63658</v>
      </c>
    </row>
    <row r="1495" spans="1:18" x14ac:dyDescent="0.25">
      <c r="A1495" s="169">
        <v>44207</v>
      </c>
      <c r="B1495" s="115">
        <v>315</v>
      </c>
      <c r="C1495" s="115">
        <v>309.60000000000002</v>
      </c>
      <c r="D1495" s="115">
        <v>306</v>
      </c>
      <c r="E1495" s="115">
        <v>306</v>
      </c>
      <c r="F1495" s="115">
        <v>309.60000000000002</v>
      </c>
      <c r="G1495">
        <v>16099</v>
      </c>
      <c r="H1495" s="115"/>
      <c r="I1495" s="115"/>
      <c r="L1495" s="169">
        <v>44204</v>
      </c>
      <c r="M1495" s="115">
        <v>312.8</v>
      </c>
      <c r="N1495" s="115">
        <v>323</v>
      </c>
      <c r="O1495" s="115">
        <v>310</v>
      </c>
      <c r="P1495" s="115">
        <v>323</v>
      </c>
      <c r="Q1495" s="115">
        <v>312.8</v>
      </c>
      <c r="R1495">
        <v>76492</v>
      </c>
    </row>
    <row r="1496" spans="1:18" x14ac:dyDescent="0.25">
      <c r="A1496" s="169">
        <v>44208</v>
      </c>
      <c r="B1496" s="115">
        <v>314.39999999999998</v>
      </c>
      <c r="C1496" s="115">
        <v>313.10000000000002</v>
      </c>
      <c r="D1496" s="115">
        <v>305.35000000000002</v>
      </c>
      <c r="E1496" s="115">
        <v>309.85000000000002</v>
      </c>
      <c r="F1496" s="115">
        <v>313.10000000000002</v>
      </c>
      <c r="G1496">
        <v>5544</v>
      </c>
      <c r="H1496" s="115"/>
      <c r="I1496" s="115"/>
      <c r="L1496" s="169">
        <v>44207</v>
      </c>
      <c r="M1496" s="115">
        <v>309.85000000000002</v>
      </c>
      <c r="N1496" s="115">
        <v>316.3</v>
      </c>
      <c r="O1496" s="115">
        <v>306</v>
      </c>
      <c r="P1496" s="115">
        <v>315</v>
      </c>
      <c r="Q1496" s="115">
        <v>309.85000000000002</v>
      </c>
      <c r="R1496">
        <v>91497</v>
      </c>
    </row>
    <row r="1497" spans="1:18" x14ac:dyDescent="0.25">
      <c r="A1497" s="169">
        <v>44209</v>
      </c>
      <c r="B1497" s="115">
        <v>317.5</v>
      </c>
      <c r="C1497" s="115">
        <v>308.75</v>
      </c>
      <c r="D1497" s="115">
        <v>308.10000000000002</v>
      </c>
      <c r="E1497" s="115">
        <v>316.14999999999998</v>
      </c>
      <c r="F1497" s="115">
        <v>308.75</v>
      </c>
      <c r="G1497">
        <v>5386</v>
      </c>
      <c r="H1497" s="115"/>
      <c r="I1497" s="115"/>
      <c r="L1497" s="169">
        <v>44208</v>
      </c>
      <c r="M1497" s="115">
        <v>313.55</v>
      </c>
      <c r="N1497" s="115">
        <v>315.39999999999998</v>
      </c>
      <c r="O1497" s="115">
        <v>305.5</v>
      </c>
      <c r="P1497" s="115">
        <v>315.39999999999998</v>
      </c>
      <c r="Q1497" s="115">
        <v>313.55</v>
      </c>
      <c r="R1497">
        <v>91459</v>
      </c>
    </row>
    <row r="1498" spans="1:18" x14ac:dyDescent="0.25">
      <c r="A1498" s="169">
        <v>44210</v>
      </c>
      <c r="B1498" s="115">
        <v>312.85000000000002</v>
      </c>
      <c r="C1498" s="115">
        <v>310.7</v>
      </c>
      <c r="D1498" s="115">
        <v>308.8</v>
      </c>
      <c r="E1498" s="115">
        <v>312.85000000000002</v>
      </c>
      <c r="F1498" s="115">
        <v>310.7</v>
      </c>
      <c r="G1498">
        <v>2045</v>
      </c>
      <c r="H1498" s="115"/>
      <c r="I1498" s="115"/>
      <c r="L1498" s="169">
        <v>44209</v>
      </c>
      <c r="M1498" s="115">
        <v>309.05</v>
      </c>
      <c r="N1498" s="115">
        <v>317.7</v>
      </c>
      <c r="O1498" s="115">
        <v>308</v>
      </c>
      <c r="P1498" s="115">
        <v>314.39999999999998</v>
      </c>
      <c r="Q1498" s="115">
        <v>309.05</v>
      </c>
      <c r="R1498">
        <v>69883</v>
      </c>
    </row>
    <row r="1499" spans="1:18" x14ac:dyDescent="0.25">
      <c r="A1499" s="169">
        <v>44211</v>
      </c>
      <c r="B1499" s="115">
        <v>316.75</v>
      </c>
      <c r="C1499" s="115">
        <v>309.35000000000002</v>
      </c>
      <c r="D1499" s="115">
        <v>300</v>
      </c>
      <c r="E1499" s="115">
        <v>300</v>
      </c>
      <c r="F1499" s="115">
        <v>309.35000000000002</v>
      </c>
      <c r="G1499">
        <v>7121</v>
      </c>
      <c r="H1499" s="115"/>
      <c r="I1499" s="115"/>
      <c r="L1499" s="169">
        <v>44210</v>
      </c>
      <c r="M1499" s="115">
        <v>310.64999999999998</v>
      </c>
      <c r="N1499" s="115">
        <v>313.35000000000002</v>
      </c>
      <c r="O1499" s="115">
        <v>308.64999999999998</v>
      </c>
      <c r="P1499" s="115">
        <v>309</v>
      </c>
      <c r="Q1499" s="115">
        <v>310.64999999999998</v>
      </c>
      <c r="R1499">
        <v>26406</v>
      </c>
    </row>
    <row r="1500" spans="1:18" x14ac:dyDescent="0.25">
      <c r="A1500" s="169">
        <v>44214</v>
      </c>
      <c r="B1500" s="115">
        <v>310.10000000000002</v>
      </c>
      <c r="C1500" s="115">
        <v>304.5</v>
      </c>
      <c r="D1500" s="115">
        <v>297</v>
      </c>
      <c r="E1500" s="115">
        <v>310.10000000000002</v>
      </c>
      <c r="F1500" s="115">
        <v>304.5</v>
      </c>
      <c r="G1500">
        <v>8953</v>
      </c>
      <c r="H1500" s="115"/>
      <c r="I1500" s="115"/>
      <c r="L1500" s="169">
        <v>44211</v>
      </c>
      <c r="M1500" s="115">
        <v>309.35000000000002</v>
      </c>
      <c r="N1500" s="115">
        <v>318</v>
      </c>
      <c r="O1500" s="115">
        <v>306</v>
      </c>
      <c r="P1500" s="115">
        <v>311.89999999999998</v>
      </c>
      <c r="Q1500" s="115">
        <v>309.35000000000002</v>
      </c>
      <c r="R1500">
        <v>75169</v>
      </c>
    </row>
    <row r="1501" spans="1:18" x14ac:dyDescent="0.25">
      <c r="A1501" s="169">
        <v>44215</v>
      </c>
      <c r="B1501" s="115">
        <v>319.45</v>
      </c>
      <c r="C1501" s="115">
        <v>306</v>
      </c>
      <c r="D1501" s="115">
        <v>302.35000000000002</v>
      </c>
      <c r="E1501" s="115">
        <v>319.45</v>
      </c>
      <c r="F1501" s="115">
        <v>306</v>
      </c>
      <c r="G1501">
        <v>2270</v>
      </c>
      <c r="H1501" s="115"/>
      <c r="I1501" s="115"/>
      <c r="L1501" s="169">
        <v>44214</v>
      </c>
      <c r="M1501" s="115">
        <v>305.05</v>
      </c>
      <c r="N1501" s="115">
        <v>313.5</v>
      </c>
      <c r="O1501" s="115">
        <v>296.95</v>
      </c>
      <c r="P1501" s="115">
        <v>310</v>
      </c>
      <c r="Q1501" s="115">
        <v>305.05</v>
      </c>
      <c r="R1501">
        <v>72242</v>
      </c>
    </row>
    <row r="1502" spans="1:18" x14ac:dyDescent="0.25">
      <c r="A1502" s="169">
        <v>44216</v>
      </c>
      <c r="B1502" s="115">
        <v>309.55</v>
      </c>
      <c r="C1502" s="115">
        <v>307.55</v>
      </c>
      <c r="D1502" s="115">
        <v>302.75</v>
      </c>
      <c r="E1502" s="115">
        <v>306</v>
      </c>
      <c r="F1502" s="115">
        <v>307.55</v>
      </c>
      <c r="G1502">
        <v>2554</v>
      </c>
      <c r="H1502" s="115"/>
      <c r="I1502" s="115"/>
      <c r="L1502" s="169">
        <v>44215</v>
      </c>
      <c r="M1502" s="115">
        <v>306.89999999999998</v>
      </c>
      <c r="N1502" s="115">
        <v>309.85000000000002</v>
      </c>
      <c r="O1502" s="115">
        <v>302.10000000000002</v>
      </c>
      <c r="P1502" s="115">
        <v>306.10000000000002</v>
      </c>
      <c r="Q1502" s="115">
        <v>306.89999999999998</v>
      </c>
      <c r="R1502">
        <v>42356</v>
      </c>
    </row>
    <row r="1503" spans="1:18" x14ac:dyDescent="0.25">
      <c r="A1503" s="169">
        <v>44217</v>
      </c>
      <c r="B1503" s="115">
        <v>310.64999999999998</v>
      </c>
      <c r="C1503" s="115">
        <v>304.10000000000002</v>
      </c>
      <c r="D1503" s="115">
        <v>303</v>
      </c>
      <c r="E1503" s="115">
        <v>310</v>
      </c>
      <c r="F1503" s="115">
        <v>304.10000000000002</v>
      </c>
      <c r="G1503">
        <v>6623</v>
      </c>
      <c r="H1503" s="115"/>
      <c r="I1503" s="115"/>
      <c r="L1503" s="169">
        <v>44216</v>
      </c>
      <c r="M1503" s="115">
        <v>307.95</v>
      </c>
      <c r="N1503" s="115">
        <v>309</v>
      </c>
      <c r="O1503" s="115">
        <v>302.05</v>
      </c>
      <c r="P1503" s="115">
        <v>306.89999999999998</v>
      </c>
      <c r="Q1503" s="115">
        <v>307.95</v>
      </c>
      <c r="R1503">
        <v>42446</v>
      </c>
    </row>
    <row r="1504" spans="1:18" x14ac:dyDescent="0.25">
      <c r="A1504" s="169">
        <v>44218</v>
      </c>
      <c r="B1504" s="115">
        <v>305.89999999999998</v>
      </c>
      <c r="C1504" s="115">
        <v>301.75</v>
      </c>
      <c r="D1504" s="115">
        <v>300.05</v>
      </c>
      <c r="E1504" s="115">
        <v>305.14999999999998</v>
      </c>
      <c r="F1504" s="115">
        <v>301.75</v>
      </c>
      <c r="G1504">
        <v>6724</v>
      </c>
      <c r="H1504" s="115"/>
      <c r="I1504" s="115"/>
      <c r="L1504" s="169">
        <v>44217</v>
      </c>
      <c r="M1504" s="115">
        <v>303.85000000000002</v>
      </c>
      <c r="N1504" s="115">
        <v>310.2</v>
      </c>
      <c r="O1504" s="115">
        <v>301.95</v>
      </c>
      <c r="P1504" s="115">
        <v>307.95</v>
      </c>
      <c r="Q1504" s="115">
        <v>303.85000000000002</v>
      </c>
      <c r="R1504">
        <v>65222</v>
      </c>
    </row>
    <row r="1505" spans="1:18" x14ac:dyDescent="0.25">
      <c r="A1505" s="169">
        <v>44221</v>
      </c>
      <c r="B1505" s="115">
        <v>308</v>
      </c>
      <c r="C1505" s="115">
        <v>301.05</v>
      </c>
      <c r="D1505" s="115">
        <v>296.2</v>
      </c>
      <c r="E1505" s="115">
        <v>308</v>
      </c>
      <c r="F1505" s="115">
        <v>301.05</v>
      </c>
      <c r="G1505">
        <v>7784</v>
      </c>
      <c r="H1505" s="115"/>
      <c r="I1505" s="115"/>
      <c r="L1505" s="169">
        <v>44218</v>
      </c>
      <c r="M1505" s="115">
        <v>301.60000000000002</v>
      </c>
      <c r="N1505" s="115">
        <v>305.64999999999998</v>
      </c>
      <c r="O1505" s="115">
        <v>300.05</v>
      </c>
      <c r="P1505" s="115">
        <v>303.85000000000002</v>
      </c>
      <c r="Q1505" s="115">
        <v>301.60000000000002</v>
      </c>
      <c r="R1505">
        <v>55139</v>
      </c>
    </row>
    <row r="1506" spans="1:18" x14ac:dyDescent="0.25">
      <c r="A1506" s="169">
        <v>44223</v>
      </c>
      <c r="B1506" s="115">
        <v>304.75</v>
      </c>
      <c r="C1506" s="115">
        <v>302.75</v>
      </c>
      <c r="D1506" s="115">
        <v>300.3</v>
      </c>
      <c r="E1506" s="115">
        <v>303.55</v>
      </c>
      <c r="F1506" s="115">
        <v>302.75</v>
      </c>
      <c r="G1506">
        <v>3346</v>
      </c>
      <c r="H1506" s="115"/>
      <c r="I1506" s="115"/>
      <c r="L1506" s="169">
        <v>44221</v>
      </c>
      <c r="M1506" s="115">
        <v>303.35000000000002</v>
      </c>
      <c r="N1506" s="115">
        <v>306.8</v>
      </c>
      <c r="O1506" s="115">
        <v>295</v>
      </c>
      <c r="P1506" s="115">
        <v>305</v>
      </c>
      <c r="Q1506" s="115">
        <v>303.35000000000002</v>
      </c>
      <c r="R1506">
        <v>45039</v>
      </c>
    </row>
    <row r="1507" spans="1:18" x14ac:dyDescent="0.25">
      <c r="A1507" s="169">
        <v>44224</v>
      </c>
      <c r="B1507" s="115">
        <v>306.89999999999998</v>
      </c>
      <c r="C1507" s="115">
        <v>300.55</v>
      </c>
      <c r="D1507" s="115">
        <v>298.60000000000002</v>
      </c>
      <c r="E1507" s="115">
        <v>303</v>
      </c>
      <c r="F1507" s="115">
        <v>300.55</v>
      </c>
      <c r="G1507">
        <v>4897</v>
      </c>
      <c r="H1507" s="115"/>
      <c r="I1507" s="115"/>
      <c r="L1507" s="169">
        <v>44223</v>
      </c>
      <c r="M1507" s="115">
        <v>302.5</v>
      </c>
      <c r="N1507" s="115">
        <v>305.2</v>
      </c>
      <c r="O1507" s="115">
        <v>300.10000000000002</v>
      </c>
      <c r="P1507" s="115">
        <v>304.8</v>
      </c>
      <c r="Q1507" s="115">
        <v>302.5</v>
      </c>
      <c r="R1507">
        <v>32557</v>
      </c>
    </row>
    <row r="1508" spans="1:18" x14ac:dyDescent="0.25">
      <c r="A1508" s="169">
        <v>44225</v>
      </c>
      <c r="B1508" s="115">
        <v>304.64999999999998</v>
      </c>
      <c r="C1508" s="115">
        <v>300.3</v>
      </c>
      <c r="D1508" s="115">
        <v>295.10000000000002</v>
      </c>
      <c r="E1508" s="115">
        <v>301.95</v>
      </c>
      <c r="F1508" s="115">
        <v>300.3</v>
      </c>
      <c r="G1508">
        <v>2949</v>
      </c>
      <c r="H1508" s="115"/>
      <c r="I1508" s="115"/>
      <c r="L1508" s="169">
        <v>44224</v>
      </c>
      <c r="M1508" s="115">
        <v>300.35000000000002</v>
      </c>
      <c r="N1508" s="115">
        <v>306.55</v>
      </c>
      <c r="O1508" s="115">
        <v>299</v>
      </c>
      <c r="P1508" s="115">
        <v>304.05</v>
      </c>
      <c r="Q1508" s="115">
        <v>300.35000000000002</v>
      </c>
      <c r="R1508">
        <v>33197</v>
      </c>
    </row>
    <row r="1509" spans="1:18" x14ac:dyDescent="0.25">
      <c r="A1509" s="169">
        <v>44228</v>
      </c>
      <c r="B1509" s="115">
        <v>306.39999999999998</v>
      </c>
      <c r="C1509" s="115">
        <v>303.85000000000002</v>
      </c>
      <c r="D1509" s="115">
        <v>297.95</v>
      </c>
      <c r="E1509" s="115">
        <v>304</v>
      </c>
      <c r="F1509" s="115">
        <v>303.85000000000002</v>
      </c>
      <c r="G1509">
        <v>5090</v>
      </c>
      <c r="H1509" s="115"/>
      <c r="I1509" s="115"/>
      <c r="L1509" s="169">
        <v>44225</v>
      </c>
      <c r="M1509" s="115">
        <v>301.95</v>
      </c>
      <c r="N1509" s="115">
        <v>304.35000000000002</v>
      </c>
      <c r="O1509" s="115">
        <v>300</v>
      </c>
      <c r="P1509" s="115">
        <v>301.85000000000002</v>
      </c>
      <c r="Q1509" s="115">
        <v>301.95</v>
      </c>
      <c r="R1509">
        <v>24690</v>
      </c>
    </row>
    <row r="1510" spans="1:18" x14ac:dyDescent="0.25">
      <c r="A1510" s="169">
        <v>44229</v>
      </c>
      <c r="B1510" s="115">
        <v>305.7</v>
      </c>
      <c r="C1510" s="115">
        <v>304.5</v>
      </c>
      <c r="D1510" s="115">
        <v>298</v>
      </c>
      <c r="E1510" s="115">
        <v>304.64999999999998</v>
      </c>
      <c r="F1510" s="115">
        <v>304.5</v>
      </c>
      <c r="G1510">
        <v>3642</v>
      </c>
      <c r="H1510" s="115"/>
      <c r="I1510" s="115"/>
      <c r="L1510" s="169">
        <v>44228</v>
      </c>
      <c r="M1510" s="115">
        <v>304.05</v>
      </c>
      <c r="N1510" s="115">
        <v>305.25</v>
      </c>
      <c r="O1510" s="115">
        <v>297.05</v>
      </c>
      <c r="P1510" s="115">
        <v>302</v>
      </c>
      <c r="Q1510" s="115">
        <v>304.05</v>
      </c>
      <c r="R1510">
        <v>29930</v>
      </c>
    </row>
    <row r="1511" spans="1:18" x14ac:dyDescent="0.25">
      <c r="A1511" s="169">
        <v>44230</v>
      </c>
      <c r="B1511" s="115">
        <v>310.95</v>
      </c>
      <c r="C1511" s="115">
        <v>307.14999999999998</v>
      </c>
      <c r="D1511" s="115">
        <v>300.85000000000002</v>
      </c>
      <c r="E1511" s="115">
        <v>302</v>
      </c>
      <c r="F1511" s="115">
        <v>307.14999999999998</v>
      </c>
      <c r="G1511">
        <v>12577</v>
      </c>
      <c r="H1511" s="115"/>
      <c r="I1511" s="115"/>
      <c r="L1511" s="169">
        <v>44229</v>
      </c>
      <c r="M1511" s="115">
        <v>304.05</v>
      </c>
      <c r="N1511" s="115">
        <v>306.75</v>
      </c>
      <c r="O1511" s="115">
        <v>297</v>
      </c>
      <c r="P1511" s="115">
        <v>304.05</v>
      </c>
      <c r="Q1511" s="115">
        <v>304.05</v>
      </c>
      <c r="R1511">
        <v>82422</v>
      </c>
    </row>
    <row r="1512" spans="1:18" x14ac:dyDescent="0.25">
      <c r="A1512" s="169">
        <v>44231</v>
      </c>
      <c r="B1512" s="115">
        <v>331</v>
      </c>
      <c r="C1512" s="115">
        <v>304.95</v>
      </c>
      <c r="D1512" s="115">
        <v>304</v>
      </c>
      <c r="E1512" s="115">
        <v>306.14999999999998</v>
      </c>
      <c r="F1512" s="115">
        <v>304.95</v>
      </c>
      <c r="G1512">
        <v>9972</v>
      </c>
      <c r="H1512" s="115"/>
      <c r="I1512" s="115"/>
      <c r="L1512" s="169">
        <v>44230</v>
      </c>
      <c r="M1512" s="115">
        <v>307.39999999999998</v>
      </c>
      <c r="N1512" s="115">
        <v>311</v>
      </c>
      <c r="O1512" s="115">
        <v>299.64999999999998</v>
      </c>
      <c r="P1512" s="115">
        <v>305.5</v>
      </c>
      <c r="Q1512" s="115">
        <v>307.39999999999998</v>
      </c>
      <c r="R1512">
        <v>53964</v>
      </c>
    </row>
    <row r="1513" spans="1:18" x14ac:dyDescent="0.25">
      <c r="A1513" s="169">
        <v>44232</v>
      </c>
      <c r="B1513" s="115">
        <v>307.95</v>
      </c>
      <c r="C1513" s="115">
        <v>306.14999999999998</v>
      </c>
      <c r="D1513" s="115">
        <v>304.25</v>
      </c>
      <c r="E1513" s="115">
        <v>305</v>
      </c>
      <c r="F1513" s="115">
        <v>306.14999999999998</v>
      </c>
      <c r="G1513">
        <v>3575</v>
      </c>
      <c r="H1513" s="115"/>
      <c r="I1513" s="115"/>
      <c r="L1513" s="169">
        <v>44231</v>
      </c>
      <c r="M1513" s="115">
        <v>304.7</v>
      </c>
      <c r="N1513" s="115">
        <v>310.25</v>
      </c>
      <c r="O1513" s="115">
        <v>302.5</v>
      </c>
      <c r="P1513" s="115">
        <v>307.39999999999998</v>
      </c>
      <c r="Q1513" s="115">
        <v>304.7</v>
      </c>
      <c r="R1513">
        <v>41915</v>
      </c>
    </row>
    <row r="1514" spans="1:18" x14ac:dyDescent="0.25">
      <c r="A1514" s="169">
        <v>44235</v>
      </c>
      <c r="B1514" s="115">
        <v>306.8</v>
      </c>
      <c r="C1514" s="115">
        <v>302.5</v>
      </c>
      <c r="D1514" s="115">
        <v>301.39999999999998</v>
      </c>
      <c r="E1514" s="115">
        <v>304.25</v>
      </c>
      <c r="F1514" s="115">
        <v>302.5</v>
      </c>
      <c r="G1514">
        <v>5417</v>
      </c>
      <c r="H1514" s="115"/>
      <c r="I1514" s="115"/>
      <c r="L1514" s="169">
        <v>44232</v>
      </c>
      <c r="M1514" s="115">
        <v>304.95</v>
      </c>
      <c r="N1514" s="115">
        <v>308.10000000000002</v>
      </c>
      <c r="O1514" s="115">
        <v>304.10000000000002</v>
      </c>
      <c r="P1514" s="115">
        <v>304.7</v>
      </c>
      <c r="Q1514" s="115">
        <v>304.95</v>
      </c>
      <c r="R1514">
        <v>24142</v>
      </c>
    </row>
    <row r="1515" spans="1:18" x14ac:dyDescent="0.25">
      <c r="A1515" s="169">
        <v>44236</v>
      </c>
      <c r="B1515" s="115">
        <v>306</v>
      </c>
      <c r="C1515" s="115">
        <v>303.89999999999998</v>
      </c>
      <c r="D1515" s="115">
        <v>301</v>
      </c>
      <c r="E1515" s="115">
        <v>302.75</v>
      </c>
      <c r="F1515" s="115">
        <v>303.89999999999998</v>
      </c>
      <c r="G1515">
        <v>6991</v>
      </c>
      <c r="H1515" s="115"/>
      <c r="I1515" s="115"/>
      <c r="L1515" s="169">
        <v>44235</v>
      </c>
      <c r="M1515" s="115">
        <v>301.7</v>
      </c>
      <c r="N1515" s="115">
        <v>307.95</v>
      </c>
      <c r="O1515" s="115">
        <v>301</v>
      </c>
      <c r="P1515" s="115">
        <v>305.8</v>
      </c>
      <c r="Q1515" s="115">
        <v>301.7</v>
      </c>
      <c r="R1515">
        <v>48322</v>
      </c>
    </row>
    <row r="1516" spans="1:18" x14ac:dyDescent="0.25">
      <c r="A1516" s="169">
        <v>44237</v>
      </c>
      <c r="B1516" s="115">
        <v>308</v>
      </c>
      <c r="C1516" s="115">
        <v>302.8</v>
      </c>
      <c r="D1516" s="115">
        <v>300.10000000000002</v>
      </c>
      <c r="E1516" s="115">
        <v>305</v>
      </c>
      <c r="F1516" s="115">
        <v>302.8</v>
      </c>
      <c r="G1516">
        <v>4463</v>
      </c>
      <c r="H1516" s="115"/>
      <c r="I1516" s="115"/>
      <c r="L1516" s="169">
        <v>44236</v>
      </c>
      <c r="M1516" s="115">
        <v>303.60000000000002</v>
      </c>
      <c r="N1516" s="115">
        <v>306.10000000000002</v>
      </c>
      <c r="O1516" s="115">
        <v>300.64999999999998</v>
      </c>
      <c r="P1516" s="115">
        <v>302.95</v>
      </c>
      <c r="Q1516" s="115">
        <v>303.60000000000002</v>
      </c>
      <c r="R1516">
        <v>56714</v>
      </c>
    </row>
    <row r="1517" spans="1:18" x14ac:dyDescent="0.25">
      <c r="A1517" s="169">
        <v>44238</v>
      </c>
      <c r="B1517" s="115">
        <v>313.2</v>
      </c>
      <c r="C1517" s="115">
        <v>307.89999999999998</v>
      </c>
      <c r="D1517" s="115">
        <v>302</v>
      </c>
      <c r="E1517" s="115">
        <v>304.10000000000002</v>
      </c>
      <c r="F1517" s="115">
        <v>307.89999999999998</v>
      </c>
      <c r="G1517">
        <v>9508</v>
      </c>
      <c r="H1517" s="115"/>
      <c r="I1517" s="115"/>
      <c r="L1517" s="169">
        <v>44237</v>
      </c>
      <c r="M1517" s="115">
        <v>302.35000000000002</v>
      </c>
      <c r="N1517" s="115">
        <v>306.7</v>
      </c>
      <c r="O1517" s="115">
        <v>300</v>
      </c>
      <c r="P1517" s="115">
        <v>306.7</v>
      </c>
      <c r="Q1517" s="115">
        <v>302.35000000000002</v>
      </c>
      <c r="R1517">
        <v>42880</v>
      </c>
    </row>
    <row r="1518" spans="1:18" x14ac:dyDescent="0.25">
      <c r="A1518" s="169">
        <v>44239</v>
      </c>
      <c r="B1518" s="115">
        <v>333</v>
      </c>
      <c r="C1518" s="115">
        <v>321.3</v>
      </c>
      <c r="D1518" s="115">
        <v>308</v>
      </c>
      <c r="E1518" s="115">
        <v>313</v>
      </c>
      <c r="F1518" s="115">
        <v>321.3</v>
      </c>
      <c r="G1518">
        <v>16389</v>
      </c>
      <c r="H1518" s="115"/>
      <c r="I1518" s="115"/>
      <c r="L1518" s="169">
        <v>44238</v>
      </c>
      <c r="M1518" s="115">
        <v>307.95</v>
      </c>
      <c r="N1518" s="115">
        <v>313.14999999999998</v>
      </c>
      <c r="O1518" s="115">
        <v>301.8</v>
      </c>
      <c r="P1518" s="115">
        <v>303.89999999999998</v>
      </c>
      <c r="Q1518" s="115">
        <v>307.95</v>
      </c>
      <c r="R1518">
        <v>128250</v>
      </c>
    </row>
    <row r="1519" spans="1:18" x14ac:dyDescent="0.25">
      <c r="A1519" s="169">
        <v>44242</v>
      </c>
      <c r="B1519" s="115">
        <v>334.9</v>
      </c>
      <c r="C1519" s="115">
        <v>318.5</v>
      </c>
      <c r="D1519" s="115">
        <v>313</v>
      </c>
      <c r="E1519" s="115">
        <v>322</v>
      </c>
      <c r="F1519" s="115">
        <v>318.5</v>
      </c>
      <c r="G1519">
        <v>5090</v>
      </c>
      <c r="H1519" s="115"/>
      <c r="I1519" s="115"/>
      <c r="L1519" s="169">
        <v>44239</v>
      </c>
      <c r="M1519" s="115">
        <v>321.35000000000002</v>
      </c>
      <c r="N1519" s="115">
        <v>334</v>
      </c>
      <c r="O1519" s="115">
        <v>306.25</v>
      </c>
      <c r="P1519" s="115">
        <v>313.8</v>
      </c>
      <c r="Q1519" s="115">
        <v>321.35000000000002</v>
      </c>
      <c r="R1519">
        <v>301908</v>
      </c>
    </row>
    <row r="1520" spans="1:18" x14ac:dyDescent="0.25">
      <c r="A1520" s="169">
        <v>44243</v>
      </c>
      <c r="B1520" s="115">
        <v>325</v>
      </c>
      <c r="C1520" s="115">
        <v>317.60000000000002</v>
      </c>
      <c r="D1520" s="115">
        <v>315.39999999999998</v>
      </c>
      <c r="E1520" s="115">
        <v>325</v>
      </c>
      <c r="F1520" s="115">
        <v>317.60000000000002</v>
      </c>
      <c r="G1520">
        <v>5512</v>
      </c>
      <c r="H1520" s="115"/>
      <c r="I1520" s="115"/>
      <c r="L1520" s="169">
        <v>44242</v>
      </c>
      <c r="M1520" s="115">
        <v>317.39999999999998</v>
      </c>
      <c r="N1520" s="115">
        <v>327</v>
      </c>
      <c r="O1520" s="115">
        <v>316</v>
      </c>
      <c r="P1520" s="115">
        <v>326.7</v>
      </c>
      <c r="Q1520" s="115">
        <v>317.39999999999998</v>
      </c>
      <c r="R1520">
        <v>93740</v>
      </c>
    </row>
    <row r="1521" spans="1:18" x14ac:dyDescent="0.25">
      <c r="A1521" s="169">
        <v>44244</v>
      </c>
      <c r="B1521" s="115">
        <v>330.85</v>
      </c>
      <c r="C1521" s="115">
        <v>320.14999999999998</v>
      </c>
      <c r="D1521" s="115">
        <v>319.35000000000002</v>
      </c>
      <c r="E1521" s="115">
        <v>324</v>
      </c>
      <c r="F1521" s="115">
        <v>320.14999999999998</v>
      </c>
      <c r="G1521">
        <v>8105</v>
      </c>
      <c r="H1521" s="115"/>
      <c r="I1521" s="115"/>
      <c r="L1521" s="169">
        <v>44243</v>
      </c>
      <c r="M1521" s="115">
        <v>317.64999999999998</v>
      </c>
      <c r="N1521" s="115">
        <v>319.95</v>
      </c>
      <c r="O1521" s="115">
        <v>316</v>
      </c>
      <c r="P1521" s="115">
        <v>319.5</v>
      </c>
      <c r="Q1521" s="115">
        <v>317.64999999999998</v>
      </c>
      <c r="R1521">
        <v>42652</v>
      </c>
    </row>
    <row r="1522" spans="1:18" x14ac:dyDescent="0.25">
      <c r="A1522" s="169">
        <v>44245</v>
      </c>
      <c r="B1522" s="115">
        <v>352.45</v>
      </c>
      <c r="C1522" s="115">
        <v>338.95</v>
      </c>
      <c r="D1522" s="115">
        <v>324.2</v>
      </c>
      <c r="E1522" s="115">
        <v>326.3</v>
      </c>
      <c r="F1522" s="115">
        <v>338.95</v>
      </c>
      <c r="G1522">
        <v>39053</v>
      </c>
      <c r="H1522" s="115"/>
      <c r="I1522" s="115"/>
      <c r="L1522" s="169">
        <v>44244</v>
      </c>
      <c r="M1522" s="115">
        <v>320.64999999999998</v>
      </c>
      <c r="N1522" s="115">
        <v>330.95</v>
      </c>
      <c r="O1522" s="115">
        <v>317.64999999999998</v>
      </c>
      <c r="P1522" s="115">
        <v>317.64999999999998</v>
      </c>
      <c r="Q1522" s="115">
        <v>320.64999999999998</v>
      </c>
      <c r="R1522">
        <v>183966</v>
      </c>
    </row>
    <row r="1523" spans="1:18" x14ac:dyDescent="0.25">
      <c r="A1523" s="169">
        <v>44246</v>
      </c>
      <c r="B1523" s="115">
        <v>350.3</v>
      </c>
      <c r="C1523" s="115">
        <v>336.45</v>
      </c>
      <c r="D1523" s="115">
        <v>331.65</v>
      </c>
      <c r="E1523" s="115">
        <v>346.45</v>
      </c>
      <c r="F1523" s="115">
        <v>336.45</v>
      </c>
      <c r="G1523">
        <v>12028</v>
      </c>
      <c r="H1523" s="115"/>
      <c r="I1523" s="115"/>
      <c r="L1523" s="169">
        <v>44245</v>
      </c>
      <c r="M1523" s="115">
        <v>339.5</v>
      </c>
      <c r="N1523" s="115">
        <v>352.15</v>
      </c>
      <c r="O1523" s="115">
        <v>322.45</v>
      </c>
      <c r="P1523" s="115">
        <v>325</v>
      </c>
      <c r="Q1523" s="115">
        <v>339.5</v>
      </c>
      <c r="R1523">
        <v>838252</v>
      </c>
    </row>
    <row r="1524" spans="1:18" x14ac:dyDescent="0.25">
      <c r="A1524" s="169">
        <v>44249</v>
      </c>
      <c r="B1524" s="115">
        <v>346</v>
      </c>
      <c r="C1524" s="115">
        <v>331.4</v>
      </c>
      <c r="D1524" s="115">
        <v>327.39999999999998</v>
      </c>
      <c r="E1524" s="115">
        <v>336.1</v>
      </c>
      <c r="F1524" s="115">
        <v>331.4</v>
      </c>
      <c r="G1524">
        <v>13493</v>
      </c>
      <c r="H1524" s="115"/>
      <c r="I1524" s="115"/>
      <c r="L1524" s="169">
        <v>44246</v>
      </c>
      <c r="M1524" s="115">
        <v>335.85</v>
      </c>
      <c r="N1524" s="115">
        <v>351</v>
      </c>
      <c r="O1524" s="115">
        <v>331.3</v>
      </c>
      <c r="P1524" s="115">
        <v>339.5</v>
      </c>
      <c r="Q1524" s="115">
        <v>335.85</v>
      </c>
      <c r="R1524">
        <v>172594</v>
      </c>
    </row>
    <row r="1525" spans="1:18" x14ac:dyDescent="0.25">
      <c r="A1525" s="169">
        <v>44250</v>
      </c>
      <c r="B1525" s="115">
        <v>340</v>
      </c>
      <c r="C1525" s="115">
        <v>328.45</v>
      </c>
      <c r="D1525" s="115">
        <v>324</v>
      </c>
      <c r="E1525" s="115">
        <v>324</v>
      </c>
      <c r="F1525" s="115">
        <v>328.45</v>
      </c>
      <c r="G1525">
        <v>7057</v>
      </c>
      <c r="H1525" s="115"/>
      <c r="I1525" s="115"/>
      <c r="L1525" s="169">
        <v>44249</v>
      </c>
      <c r="M1525" s="115">
        <v>331</v>
      </c>
      <c r="N1525" s="115">
        <v>345.6</v>
      </c>
      <c r="O1525" s="115">
        <v>328</v>
      </c>
      <c r="P1525" s="115">
        <v>344</v>
      </c>
      <c r="Q1525" s="115">
        <v>331</v>
      </c>
      <c r="R1525">
        <v>72233</v>
      </c>
    </row>
    <row r="1526" spans="1:18" x14ac:dyDescent="0.25">
      <c r="A1526" s="169">
        <v>44251</v>
      </c>
      <c r="B1526" s="115">
        <v>339.7</v>
      </c>
      <c r="C1526" s="115">
        <v>338.35</v>
      </c>
      <c r="D1526" s="115">
        <v>329.3</v>
      </c>
      <c r="E1526" s="115">
        <v>333.05</v>
      </c>
      <c r="F1526" s="115">
        <v>338.35</v>
      </c>
      <c r="G1526">
        <v>13357</v>
      </c>
      <c r="H1526" s="115"/>
      <c r="I1526" s="115"/>
      <c r="L1526" s="169">
        <v>44250</v>
      </c>
      <c r="M1526" s="115">
        <v>328.45</v>
      </c>
      <c r="N1526" s="115">
        <v>339.95</v>
      </c>
      <c r="O1526" s="115">
        <v>326.55</v>
      </c>
      <c r="P1526" s="115">
        <v>334.95</v>
      </c>
      <c r="Q1526" s="115">
        <v>328.45</v>
      </c>
      <c r="R1526">
        <v>119906</v>
      </c>
    </row>
    <row r="1527" spans="1:18" x14ac:dyDescent="0.25">
      <c r="A1527" s="169">
        <v>44252</v>
      </c>
      <c r="B1527" s="115">
        <v>305</v>
      </c>
      <c r="C1527" s="115">
        <v>295.35000000000002</v>
      </c>
      <c r="D1527" s="115">
        <v>285</v>
      </c>
      <c r="E1527" s="115">
        <v>300</v>
      </c>
      <c r="F1527" s="115">
        <v>295.35000000000002</v>
      </c>
      <c r="G1527">
        <v>121428</v>
      </c>
      <c r="H1527" s="115"/>
      <c r="I1527" s="115"/>
      <c r="L1527" s="169">
        <v>44251</v>
      </c>
      <c r="M1527" s="115">
        <v>337.5</v>
      </c>
      <c r="N1527" s="115">
        <v>343</v>
      </c>
      <c r="O1527" s="115">
        <v>329.5</v>
      </c>
      <c r="P1527" s="115">
        <v>329.5</v>
      </c>
      <c r="Q1527" s="115">
        <v>337.5</v>
      </c>
      <c r="R1527">
        <v>43403</v>
      </c>
    </row>
    <row r="1528" spans="1:18" x14ac:dyDescent="0.25">
      <c r="A1528" s="169">
        <v>44253</v>
      </c>
      <c r="B1528" s="115">
        <v>295</v>
      </c>
      <c r="C1528" s="115">
        <v>288.14999999999998</v>
      </c>
      <c r="D1528" s="115">
        <v>285.05</v>
      </c>
      <c r="E1528" s="115">
        <v>290.25</v>
      </c>
      <c r="F1528" s="115">
        <v>288.14999999999998</v>
      </c>
      <c r="G1528">
        <v>35624</v>
      </c>
      <c r="H1528" s="115"/>
      <c r="I1528" s="115"/>
      <c r="L1528" s="169">
        <v>44252</v>
      </c>
      <c r="M1528" s="115">
        <v>295.10000000000002</v>
      </c>
      <c r="N1528" s="115">
        <v>305</v>
      </c>
      <c r="O1528" s="115">
        <v>292.5</v>
      </c>
      <c r="P1528" s="115">
        <v>300</v>
      </c>
      <c r="Q1528" s="115">
        <v>295.10000000000002</v>
      </c>
      <c r="R1528">
        <v>1237935</v>
      </c>
    </row>
    <row r="1529" spans="1:18" x14ac:dyDescent="0.25">
      <c r="A1529" s="169">
        <v>44256</v>
      </c>
      <c r="B1529" s="115">
        <v>292.5</v>
      </c>
      <c r="C1529" s="115">
        <v>274.5</v>
      </c>
      <c r="D1529" s="115">
        <v>273</v>
      </c>
      <c r="E1529" s="115">
        <v>290.5</v>
      </c>
      <c r="F1529" s="115">
        <v>274.5</v>
      </c>
      <c r="G1529">
        <v>21359</v>
      </c>
      <c r="H1529" s="115"/>
      <c r="I1529" s="115"/>
      <c r="L1529" s="169">
        <v>44253</v>
      </c>
      <c r="M1529" s="115">
        <v>288.14999999999998</v>
      </c>
      <c r="N1529" s="115">
        <v>294.2</v>
      </c>
      <c r="O1529" s="115">
        <v>285.10000000000002</v>
      </c>
      <c r="P1529" s="115">
        <v>294</v>
      </c>
      <c r="Q1529" s="115">
        <v>288.14999999999998</v>
      </c>
      <c r="R1529">
        <v>357125</v>
      </c>
    </row>
    <row r="1530" spans="1:18" x14ac:dyDescent="0.25">
      <c r="A1530" s="169">
        <v>44257</v>
      </c>
      <c r="B1530" s="115">
        <v>282.55</v>
      </c>
      <c r="C1530" s="115">
        <v>279.14999999999998</v>
      </c>
      <c r="D1530" s="115">
        <v>275.14999999999998</v>
      </c>
      <c r="E1530" s="115">
        <v>277.10000000000002</v>
      </c>
      <c r="F1530" s="115">
        <v>279.14999999999998</v>
      </c>
      <c r="G1530">
        <v>17988</v>
      </c>
      <c r="H1530" s="115"/>
      <c r="I1530" s="115"/>
      <c r="L1530" s="169">
        <v>44256</v>
      </c>
      <c r="M1530" s="115">
        <v>274.2</v>
      </c>
      <c r="N1530" s="115">
        <v>292.85000000000002</v>
      </c>
      <c r="O1530" s="115">
        <v>273</v>
      </c>
      <c r="P1530" s="115">
        <v>289.5</v>
      </c>
      <c r="Q1530" s="115">
        <v>274.2</v>
      </c>
      <c r="R1530">
        <v>320463</v>
      </c>
    </row>
    <row r="1531" spans="1:18" x14ac:dyDescent="0.25">
      <c r="A1531" s="169">
        <v>44258</v>
      </c>
      <c r="B1531" s="115">
        <v>287</v>
      </c>
      <c r="C1531" s="115">
        <v>276.60000000000002</v>
      </c>
      <c r="D1531" s="115">
        <v>275.5</v>
      </c>
      <c r="E1531" s="115">
        <v>284.25</v>
      </c>
      <c r="F1531" s="115">
        <v>276.60000000000002</v>
      </c>
      <c r="G1531">
        <v>8646</v>
      </c>
      <c r="H1531" s="115"/>
      <c r="I1531" s="115"/>
      <c r="L1531" s="169">
        <v>44257</v>
      </c>
      <c r="M1531" s="115">
        <v>279.25</v>
      </c>
      <c r="N1531" s="115">
        <v>282.45</v>
      </c>
      <c r="O1531" s="115">
        <v>275.7</v>
      </c>
      <c r="P1531" s="115">
        <v>277</v>
      </c>
      <c r="Q1531" s="115">
        <v>279.25</v>
      </c>
      <c r="R1531">
        <v>162027</v>
      </c>
    </row>
    <row r="1532" spans="1:18" x14ac:dyDescent="0.25">
      <c r="A1532" s="169">
        <v>44259</v>
      </c>
      <c r="B1532" s="115">
        <v>289.5</v>
      </c>
      <c r="C1532" s="115">
        <v>286.64999999999998</v>
      </c>
      <c r="D1532" s="115">
        <v>276.60000000000002</v>
      </c>
      <c r="E1532" s="115">
        <v>279.39999999999998</v>
      </c>
      <c r="F1532" s="115">
        <v>286.64999999999998</v>
      </c>
      <c r="G1532">
        <v>30792</v>
      </c>
      <c r="H1532" s="115"/>
      <c r="I1532" s="115"/>
      <c r="L1532" s="169">
        <v>44258</v>
      </c>
      <c r="M1532" s="115">
        <v>276.39999999999998</v>
      </c>
      <c r="N1532" s="115">
        <v>287.8</v>
      </c>
      <c r="O1532" s="115">
        <v>274.89999999999998</v>
      </c>
      <c r="P1532" s="115">
        <v>284.8</v>
      </c>
      <c r="Q1532" s="115">
        <v>276.39999999999998</v>
      </c>
      <c r="R1532">
        <v>181715</v>
      </c>
    </row>
    <row r="1533" spans="1:18" x14ac:dyDescent="0.25">
      <c r="A1533" s="169">
        <v>44260</v>
      </c>
      <c r="B1533" s="115">
        <v>294.5</v>
      </c>
      <c r="C1533" s="115">
        <v>285.45</v>
      </c>
      <c r="D1533" s="115">
        <v>284.25</v>
      </c>
      <c r="E1533" s="115">
        <v>291.39999999999998</v>
      </c>
      <c r="F1533" s="115">
        <v>285.45</v>
      </c>
      <c r="G1533">
        <v>12503</v>
      </c>
      <c r="H1533" s="115"/>
      <c r="I1533" s="115"/>
      <c r="L1533" s="169">
        <v>44259</v>
      </c>
      <c r="M1533" s="115">
        <v>286.8</v>
      </c>
      <c r="N1533" s="115">
        <v>290</v>
      </c>
      <c r="O1533" s="115">
        <v>275.25</v>
      </c>
      <c r="P1533" s="115">
        <v>276.39999999999998</v>
      </c>
      <c r="Q1533" s="115">
        <v>286.8</v>
      </c>
      <c r="R1533">
        <v>218035</v>
      </c>
    </row>
    <row r="1534" spans="1:18" x14ac:dyDescent="0.25">
      <c r="A1534" s="169">
        <v>44263</v>
      </c>
      <c r="B1534" s="115">
        <v>290.7</v>
      </c>
      <c r="C1534" s="115">
        <v>280</v>
      </c>
      <c r="D1534" s="115">
        <v>278.5</v>
      </c>
      <c r="E1534" s="115">
        <v>288</v>
      </c>
      <c r="F1534" s="115">
        <v>280</v>
      </c>
      <c r="G1534">
        <v>19732</v>
      </c>
      <c r="H1534" s="115"/>
      <c r="I1534" s="115"/>
      <c r="L1534" s="169">
        <v>44260</v>
      </c>
      <c r="M1534" s="115">
        <v>285</v>
      </c>
      <c r="N1534" s="115">
        <v>294.89999999999998</v>
      </c>
      <c r="O1534" s="115">
        <v>284.05</v>
      </c>
      <c r="P1534" s="115">
        <v>289.89999999999998</v>
      </c>
      <c r="Q1534" s="115">
        <v>285</v>
      </c>
      <c r="R1534">
        <v>171568</v>
      </c>
    </row>
    <row r="1535" spans="1:18" x14ac:dyDescent="0.25">
      <c r="A1535" s="169">
        <v>44264</v>
      </c>
      <c r="B1535" s="115">
        <v>284.10000000000002</v>
      </c>
      <c r="C1535" s="115">
        <v>277.39999999999998</v>
      </c>
      <c r="D1535" s="115">
        <v>275.25</v>
      </c>
      <c r="E1535" s="115">
        <v>282.85000000000002</v>
      </c>
      <c r="F1535" s="115">
        <v>277.39999999999998</v>
      </c>
      <c r="G1535">
        <v>8404</v>
      </c>
      <c r="H1535" s="115"/>
      <c r="I1535" s="115"/>
      <c r="L1535" s="169">
        <v>44263</v>
      </c>
      <c r="M1535" s="115">
        <v>280.39999999999998</v>
      </c>
      <c r="N1535" s="115">
        <v>290.95</v>
      </c>
      <c r="O1535" s="115">
        <v>278.2</v>
      </c>
      <c r="P1535" s="115">
        <v>290.95</v>
      </c>
      <c r="Q1535" s="115">
        <v>280.39999999999998</v>
      </c>
      <c r="R1535">
        <v>94715</v>
      </c>
    </row>
    <row r="1536" spans="1:18" x14ac:dyDescent="0.25">
      <c r="A1536" s="169">
        <v>44265</v>
      </c>
      <c r="B1536" s="115">
        <v>280.25</v>
      </c>
      <c r="C1536" s="115">
        <v>278.10000000000002</v>
      </c>
      <c r="D1536" s="115">
        <v>275.60000000000002</v>
      </c>
      <c r="E1536" s="115">
        <v>275.60000000000002</v>
      </c>
      <c r="F1536" s="115">
        <v>278.10000000000002</v>
      </c>
      <c r="G1536">
        <v>7645</v>
      </c>
      <c r="H1536" s="115"/>
      <c r="I1536" s="115"/>
      <c r="L1536" s="169">
        <v>44264</v>
      </c>
      <c r="M1536" s="115">
        <v>276.64999999999998</v>
      </c>
      <c r="N1536" s="115">
        <v>284.25</v>
      </c>
      <c r="O1536" s="115">
        <v>275.05</v>
      </c>
      <c r="P1536" s="115">
        <v>281.39999999999998</v>
      </c>
      <c r="Q1536" s="115">
        <v>276.64999999999998</v>
      </c>
      <c r="R1536">
        <v>83052</v>
      </c>
    </row>
    <row r="1537" spans="1:18" x14ac:dyDescent="0.25">
      <c r="A1537" s="169">
        <v>44267</v>
      </c>
      <c r="B1537" s="115">
        <v>284.95</v>
      </c>
      <c r="C1537" s="115">
        <v>277.85000000000002</v>
      </c>
      <c r="D1537" s="115">
        <v>277</v>
      </c>
      <c r="E1537" s="115">
        <v>284.95</v>
      </c>
      <c r="F1537" s="115">
        <v>277.85000000000002</v>
      </c>
      <c r="G1537">
        <v>12613</v>
      </c>
      <c r="H1537" s="115"/>
      <c r="I1537" s="115"/>
      <c r="L1537" s="169">
        <v>44265</v>
      </c>
      <c r="M1537" s="115">
        <v>278</v>
      </c>
      <c r="N1537" s="115">
        <v>280.5</v>
      </c>
      <c r="O1537" s="115">
        <v>277</v>
      </c>
      <c r="P1537" s="115">
        <v>280.45</v>
      </c>
      <c r="Q1537" s="115">
        <v>278</v>
      </c>
      <c r="R1537">
        <v>39677</v>
      </c>
    </row>
    <row r="1538" spans="1:18" x14ac:dyDescent="0.25">
      <c r="A1538" s="169">
        <v>44270</v>
      </c>
      <c r="B1538" s="115">
        <v>278</v>
      </c>
      <c r="C1538" s="115">
        <v>274</v>
      </c>
      <c r="D1538" s="115">
        <v>272.10000000000002</v>
      </c>
      <c r="E1538" s="115">
        <v>278</v>
      </c>
      <c r="F1538" s="115">
        <v>274</v>
      </c>
      <c r="G1538">
        <v>6315</v>
      </c>
      <c r="H1538" s="115"/>
      <c r="I1538" s="115"/>
      <c r="L1538" s="169">
        <v>44267</v>
      </c>
      <c r="M1538" s="115">
        <v>277.95</v>
      </c>
      <c r="N1538" s="115">
        <v>282.3</v>
      </c>
      <c r="O1538" s="115">
        <v>277</v>
      </c>
      <c r="P1538" s="115">
        <v>282.3</v>
      </c>
      <c r="Q1538" s="115">
        <v>277.95</v>
      </c>
      <c r="R1538">
        <v>49104</v>
      </c>
    </row>
    <row r="1539" spans="1:18" x14ac:dyDescent="0.25">
      <c r="A1539" s="169">
        <v>44271</v>
      </c>
      <c r="B1539" s="115">
        <v>288.2</v>
      </c>
      <c r="C1539" s="115">
        <v>284.60000000000002</v>
      </c>
      <c r="D1539" s="115">
        <v>282</v>
      </c>
      <c r="E1539" s="115">
        <v>285</v>
      </c>
      <c r="F1539" s="115">
        <v>284.60000000000002</v>
      </c>
      <c r="G1539">
        <v>19909</v>
      </c>
      <c r="H1539" s="115"/>
      <c r="I1539" s="115"/>
      <c r="L1539" s="169">
        <v>44270</v>
      </c>
      <c r="M1539" s="115">
        <v>274.10000000000002</v>
      </c>
      <c r="N1539" s="115">
        <v>279</v>
      </c>
      <c r="O1539" s="115">
        <v>272.2</v>
      </c>
      <c r="P1539" s="115">
        <v>279</v>
      </c>
      <c r="Q1539" s="115">
        <v>274.10000000000002</v>
      </c>
      <c r="R1539">
        <v>74835</v>
      </c>
    </row>
    <row r="1540" spans="1:18" x14ac:dyDescent="0.25">
      <c r="A1540" s="169">
        <v>44272</v>
      </c>
      <c r="B1540" s="115">
        <v>288</v>
      </c>
      <c r="C1540" s="115">
        <v>281.05</v>
      </c>
      <c r="D1540" s="115">
        <v>279.75</v>
      </c>
      <c r="E1540" s="115">
        <v>287.05</v>
      </c>
      <c r="F1540" s="115">
        <v>281.05</v>
      </c>
      <c r="G1540">
        <v>7367</v>
      </c>
      <c r="H1540" s="115"/>
      <c r="I1540" s="115"/>
      <c r="L1540" s="169">
        <v>44271</v>
      </c>
      <c r="M1540" s="115">
        <v>284.89999999999998</v>
      </c>
      <c r="N1540" s="115">
        <v>288</v>
      </c>
      <c r="O1540" s="115">
        <v>278.3</v>
      </c>
      <c r="P1540" s="115">
        <v>284.89999999999998</v>
      </c>
      <c r="Q1540" s="115">
        <v>284.89999999999998</v>
      </c>
      <c r="R1540">
        <v>280955</v>
      </c>
    </row>
    <row r="1541" spans="1:18" x14ac:dyDescent="0.25">
      <c r="A1541" s="169">
        <v>44273</v>
      </c>
      <c r="B1541" s="115">
        <v>284.75</v>
      </c>
      <c r="C1541" s="115">
        <v>279.39999999999998</v>
      </c>
      <c r="D1541" s="115">
        <v>275.39999999999998</v>
      </c>
      <c r="E1541" s="115">
        <v>284.2</v>
      </c>
      <c r="F1541" s="115">
        <v>279.39999999999998</v>
      </c>
      <c r="G1541">
        <v>11089</v>
      </c>
      <c r="H1541" s="115"/>
      <c r="I1541" s="115"/>
      <c r="L1541" s="169">
        <v>44272</v>
      </c>
      <c r="M1541" s="115">
        <v>280.45</v>
      </c>
      <c r="N1541" s="115">
        <v>289.5</v>
      </c>
      <c r="O1541" s="115">
        <v>279.14999999999998</v>
      </c>
      <c r="P1541" s="115">
        <v>288.75</v>
      </c>
      <c r="Q1541" s="115">
        <v>280.45</v>
      </c>
      <c r="R1541">
        <v>90430</v>
      </c>
    </row>
    <row r="1542" spans="1:18" x14ac:dyDescent="0.25">
      <c r="A1542" s="169">
        <v>44274</v>
      </c>
      <c r="B1542" s="115">
        <v>280.95</v>
      </c>
      <c r="C1542" s="115">
        <v>276.2</v>
      </c>
      <c r="D1542" s="115">
        <v>262.05</v>
      </c>
      <c r="E1542" s="115">
        <v>275.10000000000002</v>
      </c>
      <c r="F1542" s="115">
        <v>276.2</v>
      </c>
      <c r="G1542">
        <v>11596</v>
      </c>
      <c r="H1542" s="115"/>
      <c r="I1542" s="115"/>
      <c r="L1542" s="169">
        <v>44273</v>
      </c>
      <c r="M1542" s="115">
        <v>278.5</v>
      </c>
      <c r="N1542" s="115">
        <v>284.45</v>
      </c>
      <c r="O1542" s="115">
        <v>275.14999999999998</v>
      </c>
      <c r="P1542" s="115">
        <v>282</v>
      </c>
      <c r="Q1542" s="115">
        <v>278.5</v>
      </c>
      <c r="R1542">
        <v>54953</v>
      </c>
    </row>
    <row r="1543" spans="1:18" x14ac:dyDescent="0.25">
      <c r="A1543" s="169">
        <v>44277</v>
      </c>
      <c r="B1543" s="115">
        <v>284.10000000000002</v>
      </c>
      <c r="C1543" s="115">
        <v>283.14999999999998</v>
      </c>
      <c r="D1543" s="115">
        <v>278.3</v>
      </c>
      <c r="E1543" s="115">
        <v>278.8</v>
      </c>
      <c r="F1543" s="115">
        <v>283.14999999999998</v>
      </c>
      <c r="G1543">
        <v>5704</v>
      </c>
      <c r="H1543" s="115"/>
      <c r="I1543" s="115"/>
      <c r="L1543" s="169">
        <v>44274</v>
      </c>
      <c r="M1543" s="115">
        <v>276.14999999999998</v>
      </c>
      <c r="N1543" s="115">
        <v>280.8</v>
      </c>
      <c r="O1543" s="115">
        <v>270.14999999999998</v>
      </c>
      <c r="P1543" s="115">
        <v>275.10000000000002</v>
      </c>
      <c r="Q1543" s="115">
        <v>276.14999999999998</v>
      </c>
      <c r="R1543">
        <v>61684</v>
      </c>
    </row>
    <row r="1544" spans="1:18" x14ac:dyDescent="0.25">
      <c r="A1544" s="169">
        <v>44278</v>
      </c>
      <c r="B1544" s="115">
        <v>292.45</v>
      </c>
      <c r="C1544" s="115">
        <v>288.8</v>
      </c>
      <c r="D1544" s="115">
        <v>280.10000000000002</v>
      </c>
      <c r="E1544" s="115">
        <v>291.64999999999998</v>
      </c>
      <c r="F1544" s="115">
        <v>288.8</v>
      </c>
      <c r="G1544">
        <v>17093</v>
      </c>
      <c r="H1544" s="115"/>
      <c r="I1544" s="115"/>
      <c r="L1544" s="169">
        <v>44277</v>
      </c>
      <c r="M1544" s="115">
        <v>282.55</v>
      </c>
      <c r="N1544" s="115">
        <v>284.39999999999998</v>
      </c>
      <c r="O1544" s="115">
        <v>277.55</v>
      </c>
      <c r="P1544" s="115">
        <v>277.60000000000002</v>
      </c>
      <c r="Q1544" s="115">
        <v>282.55</v>
      </c>
      <c r="R1544">
        <v>69405</v>
      </c>
    </row>
    <row r="1545" spans="1:18" x14ac:dyDescent="0.25">
      <c r="A1545" s="169">
        <v>44279</v>
      </c>
      <c r="B1545" s="115">
        <v>289.64999999999998</v>
      </c>
      <c r="C1545" s="115">
        <v>281.25</v>
      </c>
      <c r="D1545" s="115">
        <v>277</v>
      </c>
      <c r="E1545" s="115">
        <v>289.64999999999998</v>
      </c>
      <c r="F1545" s="115">
        <v>281.25</v>
      </c>
      <c r="G1545">
        <v>8062</v>
      </c>
      <c r="H1545" s="115"/>
      <c r="I1545" s="115"/>
      <c r="L1545" s="169">
        <v>44278</v>
      </c>
      <c r="M1545" s="115">
        <v>288.89999999999998</v>
      </c>
      <c r="N1545" s="115">
        <v>292.60000000000002</v>
      </c>
      <c r="O1545" s="115">
        <v>282.05</v>
      </c>
      <c r="P1545" s="115">
        <v>283.14999999999998</v>
      </c>
      <c r="Q1545" s="115">
        <v>288.89999999999998</v>
      </c>
      <c r="R1545">
        <v>83965</v>
      </c>
    </row>
    <row r="1546" spans="1:18" x14ac:dyDescent="0.25">
      <c r="A1546" s="169">
        <v>44280</v>
      </c>
      <c r="B1546" s="115">
        <v>285.60000000000002</v>
      </c>
      <c r="C1546" s="115">
        <v>279.55</v>
      </c>
      <c r="D1546" s="115">
        <v>274.3</v>
      </c>
      <c r="E1546" s="115">
        <v>279</v>
      </c>
      <c r="F1546" s="115">
        <v>279.55</v>
      </c>
      <c r="G1546">
        <v>8164</v>
      </c>
      <c r="H1546" s="115"/>
      <c r="I1546" s="115"/>
      <c r="L1546" s="169">
        <v>44279</v>
      </c>
      <c r="M1546" s="115">
        <v>280.64999999999998</v>
      </c>
      <c r="N1546" s="115">
        <v>291.64999999999998</v>
      </c>
      <c r="O1546" s="115">
        <v>276.25</v>
      </c>
      <c r="P1546" s="115">
        <v>288.89999999999998</v>
      </c>
      <c r="Q1546" s="115">
        <v>280.64999999999998</v>
      </c>
      <c r="R1546">
        <v>44184</v>
      </c>
    </row>
    <row r="1547" spans="1:18" x14ac:dyDescent="0.25">
      <c r="A1547" s="169">
        <v>44281</v>
      </c>
      <c r="B1547" s="115">
        <v>287.2</v>
      </c>
      <c r="C1547" s="115">
        <v>278.25</v>
      </c>
      <c r="D1547" s="115">
        <v>276.5</v>
      </c>
      <c r="E1547" s="115">
        <v>281</v>
      </c>
      <c r="F1547" s="115">
        <v>278.25</v>
      </c>
      <c r="G1547">
        <v>3905</v>
      </c>
      <c r="H1547" s="115"/>
      <c r="I1547" s="115"/>
      <c r="L1547" s="169">
        <v>44280</v>
      </c>
      <c r="M1547" s="115">
        <v>280.05</v>
      </c>
      <c r="N1547" s="115">
        <v>285</v>
      </c>
      <c r="O1547" s="115">
        <v>274.55</v>
      </c>
      <c r="P1547" s="115">
        <v>276.10000000000002</v>
      </c>
      <c r="Q1547" s="115">
        <v>280.05</v>
      </c>
      <c r="R1547">
        <v>39641</v>
      </c>
    </row>
    <row r="1548" spans="1:18" x14ac:dyDescent="0.25">
      <c r="A1548" s="169">
        <v>44285</v>
      </c>
      <c r="B1548" s="115">
        <v>290.60000000000002</v>
      </c>
      <c r="C1548" s="115">
        <v>275.14999999999998</v>
      </c>
      <c r="D1548" s="115">
        <v>273.3</v>
      </c>
      <c r="E1548" s="115">
        <v>275</v>
      </c>
      <c r="F1548" s="115">
        <v>275.14999999999998</v>
      </c>
      <c r="G1548">
        <v>7828</v>
      </c>
      <c r="H1548" s="115"/>
      <c r="I1548" s="115"/>
      <c r="L1548" s="169">
        <v>44281</v>
      </c>
      <c r="M1548" s="115">
        <v>277.89999999999998</v>
      </c>
      <c r="N1548" s="115">
        <v>286.8</v>
      </c>
      <c r="O1548" s="115">
        <v>276.10000000000002</v>
      </c>
      <c r="P1548" s="115">
        <v>285</v>
      </c>
      <c r="Q1548" s="115">
        <v>277.89999999999998</v>
      </c>
      <c r="R1548">
        <v>37236</v>
      </c>
    </row>
    <row r="1549" spans="1:18" x14ac:dyDescent="0.25">
      <c r="A1549" s="169">
        <v>44286</v>
      </c>
      <c r="B1549" s="115">
        <v>284.35000000000002</v>
      </c>
      <c r="C1549" s="115">
        <v>280.3</v>
      </c>
      <c r="D1549" s="115">
        <v>270.85000000000002</v>
      </c>
      <c r="E1549" s="115">
        <v>274</v>
      </c>
      <c r="F1549" s="115">
        <v>280.3</v>
      </c>
      <c r="G1549">
        <v>9214</v>
      </c>
      <c r="H1549" s="115"/>
      <c r="I1549" s="115"/>
      <c r="L1549" s="169">
        <v>44285</v>
      </c>
      <c r="M1549" s="115">
        <v>274.8</v>
      </c>
      <c r="N1549" s="115">
        <v>279.7</v>
      </c>
      <c r="O1549" s="115">
        <v>274.05</v>
      </c>
      <c r="P1549" s="115">
        <v>278</v>
      </c>
      <c r="Q1549" s="115">
        <v>274.8</v>
      </c>
      <c r="R1549">
        <v>42781</v>
      </c>
    </row>
    <row r="1550" spans="1:18" x14ac:dyDescent="0.25">
      <c r="A1550" s="169">
        <v>44287</v>
      </c>
      <c r="B1550" s="115">
        <v>289</v>
      </c>
      <c r="C1550" s="115">
        <v>287.3</v>
      </c>
      <c r="D1550" s="115">
        <v>278</v>
      </c>
      <c r="E1550" s="115">
        <v>285</v>
      </c>
      <c r="F1550" s="115">
        <v>287.3</v>
      </c>
      <c r="G1550">
        <v>11893</v>
      </c>
      <c r="H1550" s="115"/>
      <c r="I1550" s="115"/>
      <c r="L1550" s="169">
        <v>44286</v>
      </c>
      <c r="M1550" s="115">
        <v>279.89999999999998</v>
      </c>
      <c r="N1550" s="115">
        <v>287.05</v>
      </c>
      <c r="O1550" s="115">
        <v>270</v>
      </c>
      <c r="P1550" s="115">
        <v>270</v>
      </c>
      <c r="Q1550" s="115">
        <v>279.89999999999998</v>
      </c>
      <c r="R1550">
        <v>69308</v>
      </c>
    </row>
    <row r="1551" spans="1:18" x14ac:dyDescent="0.25">
      <c r="A1551" s="169">
        <v>44291</v>
      </c>
      <c r="B1551" s="115">
        <v>295</v>
      </c>
      <c r="C1551" s="115">
        <v>279.25</v>
      </c>
      <c r="D1551" s="115">
        <v>276.45</v>
      </c>
      <c r="E1551" s="115">
        <v>295</v>
      </c>
      <c r="F1551" s="115">
        <v>279.25</v>
      </c>
      <c r="G1551">
        <v>3768</v>
      </c>
      <c r="H1551" s="115"/>
      <c r="I1551" s="115"/>
      <c r="L1551" s="169">
        <v>44287</v>
      </c>
      <c r="M1551" s="115">
        <v>287.89999999999998</v>
      </c>
      <c r="N1551" s="115">
        <v>289.3</v>
      </c>
      <c r="O1551" s="115">
        <v>282.5</v>
      </c>
      <c r="P1551" s="115">
        <v>282.5</v>
      </c>
      <c r="Q1551" s="115">
        <v>287.89999999999998</v>
      </c>
      <c r="R1551">
        <v>53776</v>
      </c>
    </row>
    <row r="1552" spans="1:18" x14ac:dyDescent="0.25">
      <c r="A1552" s="169">
        <v>44292</v>
      </c>
      <c r="B1552" s="115">
        <v>284.75</v>
      </c>
      <c r="C1552" s="115">
        <v>279.55</v>
      </c>
      <c r="D1552" s="115">
        <v>278</v>
      </c>
      <c r="E1552" s="115">
        <v>280</v>
      </c>
      <c r="F1552" s="115">
        <v>279.55</v>
      </c>
      <c r="G1552">
        <v>1803</v>
      </c>
      <c r="H1552" s="115"/>
      <c r="I1552" s="115"/>
      <c r="L1552" s="169">
        <v>44291</v>
      </c>
      <c r="M1552" s="115">
        <v>279.35000000000002</v>
      </c>
      <c r="N1552" s="115">
        <v>289.39999999999998</v>
      </c>
      <c r="O1552" s="115">
        <v>276.25</v>
      </c>
      <c r="P1552" s="115">
        <v>288</v>
      </c>
      <c r="Q1552" s="115">
        <v>279.35000000000002</v>
      </c>
      <c r="R1552">
        <v>56679</v>
      </c>
    </row>
    <row r="1553" spans="1:18" x14ac:dyDescent="0.25">
      <c r="A1553" s="169">
        <v>44293</v>
      </c>
      <c r="B1553" s="115">
        <v>282.55</v>
      </c>
      <c r="C1553" s="115">
        <v>278.39999999999998</v>
      </c>
      <c r="D1553" s="115">
        <v>277</v>
      </c>
      <c r="E1553" s="115">
        <v>281.14999999999998</v>
      </c>
      <c r="F1553" s="115">
        <v>278.39999999999998</v>
      </c>
      <c r="G1553">
        <v>6460</v>
      </c>
      <c r="H1553" s="115"/>
      <c r="I1553" s="115"/>
      <c r="L1553" s="169">
        <v>44292</v>
      </c>
      <c r="M1553" s="115">
        <v>279.2</v>
      </c>
      <c r="N1553" s="115">
        <v>285.14999999999998</v>
      </c>
      <c r="O1553" s="115">
        <v>277.5</v>
      </c>
      <c r="P1553" s="115">
        <v>278.10000000000002</v>
      </c>
      <c r="Q1553" s="115">
        <v>279.2</v>
      </c>
      <c r="R1553">
        <v>55908</v>
      </c>
    </row>
    <row r="1554" spans="1:18" x14ac:dyDescent="0.25">
      <c r="A1554" s="169">
        <v>44294</v>
      </c>
      <c r="B1554" s="115">
        <v>288.64999999999998</v>
      </c>
      <c r="C1554" s="115">
        <v>277.14999999999998</v>
      </c>
      <c r="D1554" s="115">
        <v>275</v>
      </c>
      <c r="E1554" s="115">
        <v>288.64999999999998</v>
      </c>
      <c r="F1554" s="115">
        <v>277.14999999999998</v>
      </c>
      <c r="G1554">
        <v>5707</v>
      </c>
      <c r="H1554" s="115"/>
      <c r="I1554" s="115"/>
      <c r="L1554" s="169">
        <v>44293</v>
      </c>
      <c r="M1554" s="115">
        <v>278.75</v>
      </c>
      <c r="N1554" s="115">
        <v>283</v>
      </c>
      <c r="O1554" s="115">
        <v>277.2</v>
      </c>
      <c r="P1554" s="115">
        <v>283</v>
      </c>
      <c r="Q1554" s="115">
        <v>278.75</v>
      </c>
      <c r="R1554">
        <v>71111</v>
      </c>
    </row>
    <row r="1555" spans="1:18" x14ac:dyDescent="0.25">
      <c r="A1555" s="169">
        <v>44295</v>
      </c>
      <c r="B1555" s="115">
        <v>280.05</v>
      </c>
      <c r="C1555" s="115">
        <v>277.64999999999998</v>
      </c>
      <c r="D1555" s="115">
        <v>273</v>
      </c>
      <c r="E1555" s="115">
        <v>273</v>
      </c>
      <c r="F1555" s="115">
        <v>277.64999999999998</v>
      </c>
      <c r="G1555">
        <v>8086</v>
      </c>
      <c r="H1555" s="115"/>
      <c r="I1555" s="115"/>
      <c r="L1555" s="169">
        <v>44294</v>
      </c>
      <c r="M1555" s="115">
        <v>276.60000000000002</v>
      </c>
      <c r="N1555" s="115">
        <v>282.85000000000002</v>
      </c>
      <c r="O1555" s="115">
        <v>275</v>
      </c>
      <c r="P1555" s="115">
        <v>282.85000000000002</v>
      </c>
      <c r="Q1555" s="115">
        <v>276.60000000000002</v>
      </c>
      <c r="R1555">
        <v>74760</v>
      </c>
    </row>
    <row r="1556" spans="1:18" x14ac:dyDescent="0.25">
      <c r="A1556" s="169">
        <v>44298</v>
      </c>
      <c r="B1556" s="115">
        <v>278.3</v>
      </c>
      <c r="C1556" s="115">
        <v>271.25</v>
      </c>
      <c r="D1556" s="115">
        <v>268.05</v>
      </c>
      <c r="E1556" s="115">
        <v>270</v>
      </c>
      <c r="F1556" s="115">
        <v>271.25</v>
      </c>
      <c r="G1556">
        <v>14262</v>
      </c>
      <c r="H1556" s="115"/>
      <c r="I1556" s="115"/>
      <c r="L1556" s="169">
        <v>44295</v>
      </c>
      <c r="M1556" s="115">
        <v>277.64999999999998</v>
      </c>
      <c r="N1556" s="115">
        <v>280</v>
      </c>
      <c r="O1556" s="115">
        <v>275.2</v>
      </c>
      <c r="P1556" s="115">
        <v>277</v>
      </c>
      <c r="Q1556" s="115">
        <v>277.64999999999998</v>
      </c>
      <c r="R1556">
        <v>41428</v>
      </c>
    </row>
    <row r="1557" spans="1:18" x14ac:dyDescent="0.25">
      <c r="A1557" s="169">
        <v>44299</v>
      </c>
      <c r="B1557" s="115">
        <v>275.8</v>
      </c>
      <c r="C1557" s="115">
        <v>269.8</v>
      </c>
      <c r="D1557" s="115">
        <v>269</v>
      </c>
      <c r="E1557" s="115">
        <v>274.2</v>
      </c>
      <c r="F1557" s="115">
        <v>269.8</v>
      </c>
      <c r="G1557">
        <v>1903</v>
      </c>
      <c r="H1557" s="115"/>
      <c r="I1557" s="115"/>
      <c r="L1557" s="169">
        <v>44298</v>
      </c>
      <c r="M1557" s="115">
        <v>271.39999999999998</v>
      </c>
      <c r="N1557" s="115">
        <v>275</v>
      </c>
      <c r="O1557" s="115">
        <v>268.25</v>
      </c>
      <c r="P1557" s="115">
        <v>275</v>
      </c>
      <c r="Q1557" s="115">
        <v>271.39999999999998</v>
      </c>
      <c r="R1557">
        <v>61636</v>
      </c>
    </row>
    <row r="1558" spans="1:18" x14ac:dyDescent="0.25">
      <c r="A1558" s="169">
        <v>44301</v>
      </c>
      <c r="B1558" s="115">
        <v>271.5</v>
      </c>
      <c r="C1558" s="115">
        <v>268.10000000000002</v>
      </c>
      <c r="D1558" s="115">
        <v>266.75</v>
      </c>
      <c r="E1558" s="115">
        <v>269.5</v>
      </c>
      <c r="F1558" s="115">
        <v>268.10000000000002</v>
      </c>
      <c r="G1558">
        <v>8668</v>
      </c>
      <c r="H1558" s="115"/>
      <c r="I1558" s="115"/>
      <c r="L1558" s="169">
        <v>44299</v>
      </c>
      <c r="M1558" s="115">
        <v>270.05</v>
      </c>
      <c r="N1558" s="115">
        <v>276</v>
      </c>
      <c r="O1558" s="115">
        <v>269</v>
      </c>
      <c r="P1558" s="115">
        <v>271.5</v>
      </c>
      <c r="Q1558" s="115">
        <v>270.05</v>
      </c>
      <c r="R1558">
        <v>50250</v>
      </c>
    </row>
    <row r="1559" spans="1:18" x14ac:dyDescent="0.25">
      <c r="A1559" s="169">
        <v>44302</v>
      </c>
      <c r="B1559" s="115">
        <v>273</v>
      </c>
      <c r="C1559" s="115">
        <v>271.60000000000002</v>
      </c>
      <c r="D1559" s="115">
        <v>266</v>
      </c>
      <c r="E1559" s="115">
        <v>266</v>
      </c>
      <c r="F1559" s="115">
        <v>271.60000000000002</v>
      </c>
      <c r="G1559">
        <v>4532</v>
      </c>
      <c r="H1559" s="115"/>
      <c r="I1559" s="115"/>
      <c r="L1559" s="169">
        <v>44301</v>
      </c>
      <c r="M1559" s="115">
        <v>267.75</v>
      </c>
      <c r="N1559" s="115">
        <v>271.8</v>
      </c>
      <c r="O1559" s="115">
        <v>266.95</v>
      </c>
      <c r="P1559" s="115">
        <v>268.25</v>
      </c>
      <c r="Q1559" s="115">
        <v>267.75</v>
      </c>
      <c r="R1559">
        <v>53153</v>
      </c>
    </row>
    <row r="1560" spans="1:18" x14ac:dyDescent="0.25">
      <c r="A1560" s="169">
        <v>44305</v>
      </c>
      <c r="B1560" s="115">
        <v>272.3</v>
      </c>
      <c r="C1560" s="115">
        <v>269.55</v>
      </c>
      <c r="D1560" s="115">
        <v>266.85000000000002</v>
      </c>
      <c r="E1560" s="115">
        <v>270</v>
      </c>
      <c r="F1560" s="115">
        <v>269.55</v>
      </c>
      <c r="G1560">
        <v>14015</v>
      </c>
      <c r="H1560" s="115"/>
      <c r="I1560" s="115"/>
      <c r="L1560" s="169">
        <v>44302</v>
      </c>
      <c r="M1560" s="115">
        <v>272</v>
      </c>
      <c r="N1560" s="115">
        <v>272.60000000000002</v>
      </c>
      <c r="O1560" s="115">
        <v>267.64999999999998</v>
      </c>
      <c r="P1560" s="115">
        <v>269.2</v>
      </c>
      <c r="Q1560" s="115">
        <v>272</v>
      </c>
      <c r="R1560">
        <v>45301</v>
      </c>
    </row>
    <row r="1561" spans="1:18" x14ac:dyDescent="0.25">
      <c r="A1561" s="169">
        <v>44306</v>
      </c>
      <c r="B1561" s="115">
        <v>270.89999999999998</v>
      </c>
      <c r="C1561" s="115">
        <v>268.64999999999998</v>
      </c>
      <c r="D1561" s="115">
        <v>268.45</v>
      </c>
      <c r="E1561" s="115">
        <v>269.85000000000002</v>
      </c>
      <c r="F1561" s="115">
        <v>268.64999999999998</v>
      </c>
      <c r="G1561">
        <v>935</v>
      </c>
      <c r="H1561" s="115"/>
      <c r="I1561" s="115"/>
      <c r="L1561" s="169">
        <v>44305</v>
      </c>
      <c r="M1561" s="115">
        <v>270.14999999999998</v>
      </c>
      <c r="N1561" s="115">
        <v>273.2</v>
      </c>
      <c r="O1561" s="115">
        <v>266.2</v>
      </c>
      <c r="P1561" s="115">
        <v>269</v>
      </c>
      <c r="Q1561" s="115">
        <v>270.14999999999998</v>
      </c>
      <c r="R1561">
        <v>56892</v>
      </c>
    </row>
    <row r="1562" spans="1:18" x14ac:dyDescent="0.25">
      <c r="A1562" s="169">
        <v>44308</v>
      </c>
      <c r="B1562" s="115">
        <v>272.10000000000002</v>
      </c>
      <c r="C1562" s="115">
        <v>270.8</v>
      </c>
      <c r="D1562" s="115">
        <v>261.05</v>
      </c>
      <c r="E1562" s="115">
        <v>268</v>
      </c>
      <c r="F1562" s="115">
        <v>270.8</v>
      </c>
      <c r="G1562">
        <v>10804</v>
      </c>
      <c r="H1562" s="115"/>
      <c r="I1562" s="115"/>
      <c r="L1562" s="169">
        <v>44306</v>
      </c>
      <c r="M1562" s="115">
        <v>268.60000000000002</v>
      </c>
      <c r="N1562" s="115">
        <v>271.60000000000002</v>
      </c>
      <c r="O1562" s="115">
        <v>268.25</v>
      </c>
      <c r="P1562" s="115">
        <v>270</v>
      </c>
      <c r="Q1562" s="115">
        <v>268.60000000000002</v>
      </c>
      <c r="R1562">
        <v>26335</v>
      </c>
    </row>
    <row r="1563" spans="1:18" x14ac:dyDescent="0.25">
      <c r="A1563" s="169">
        <v>44309</v>
      </c>
      <c r="B1563" s="115">
        <v>276</v>
      </c>
      <c r="C1563" s="115">
        <v>270.05</v>
      </c>
      <c r="D1563" s="115">
        <v>269</v>
      </c>
      <c r="E1563" s="115">
        <v>270.8</v>
      </c>
      <c r="F1563" s="115">
        <v>270.05</v>
      </c>
      <c r="G1563">
        <v>7186</v>
      </c>
      <c r="H1563" s="115"/>
      <c r="I1563" s="115"/>
      <c r="L1563" s="169">
        <v>44308</v>
      </c>
      <c r="M1563" s="115">
        <v>270.5</v>
      </c>
      <c r="N1563" s="115">
        <v>272.3</v>
      </c>
      <c r="O1563" s="115">
        <v>266.55</v>
      </c>
      <c r="P1563" s="115">
        <v>267.5</v>
      </c>
      <c r="Q1563" s="115">
        <v>270.5</v>
      </c>
      <c r="R1563">
        <v>26633</v>
      </c>
    </row>
    <row r="1564" spans="1:18" x14ac:dyDescent="0.25">
      <c r="A1564" s="169">
        <v>44312</v>
      </c>
      <c r="B1564" s="115">
        <v>282.45</v>
      </c>
      <c r="C1564" s="115">
        <v>275.10000000000002</v>
      </c>
      <c r="D1564" s="115">
        <v>269.45</v>
      </c>
      <c r="E1564" s="115">
        <v>280</v>
      </c>
      <c r="F1564" s="115">
        <v>275.10000000000002</v>
      </c>
      <c r="G1564">
        <v>8318</v>
      </c>
      <c r="H1564" s="115"/>
      <c r="I1564" s="115"/>
      <c r="L1564" s="169">
        <v>44309</v>
      </c>
      <c r="M1564" s="115">
        <v>269.7</v>
      </c>
      <c r="N1564" s="115">
        <v>276</v>
      </c>
      <c r="O1564" s="115">
        <v>268</v>
      </c>
      <c r="P1564" s="115">
        <v>273.60000000000002</v>
      </c>
      <c r="Q1564" s="115">
        <v>269.7</v>
      </c>
      <c r="R1564">
        <v>35179</v>
      </c>
    </row>
    <row r="1565" spans="1:18" x14ac:dyDescent="0.25">
      <c r="A1565" s="169">
        <v>44313</v>
      </c>
      <c r="B1565" s="115">
        <v>281</v>
      </c>
      <c r="C1565" s="115">
        <v>280.05</v>
      </c>
      <c r="D1565" s="115">
        <v>273.64999999999998</v>
      </c>
      <c r="E1565" s="115">
        <v>279</v>
      </c>
      <c r="F1565" s="115">
        <v>280.05</v>
      </c>
      <c r="G1565">
        <v>5593</v>
      </c>
      <c r="H1565" s="115"/>
      <c r="I1565" s="115"/>
      <c r="L1565" s="169">
        <v>44312</v>
      </c>
      <c r="M1565" s="115">
        <v>276.10000000000002</v>
      </c>
      <c r="N1565" s="115">
        <v>279</v>
      </c>
      <c r="O1565" s="115">
        <v>269.55</v>
      </c>
      <c r="P1565" s="115">
        <v>279</v>
      </c>
      <c r="Q1565" s="115">
        <v>276.10000000000002</v>
      </c>
      <c r="R1565">
        <v>74598</v>
      </c>
    </row>
    <row r="1566" spans="1:18" x14ac:dyDescent="0.25">
      <c r="A1566" s="169">
        <v>44314</v>
      </c>
      <c r="B1566" s="115">
        <v>286.8</v>
      </c>
      <c r="C1566" s="115">
        <v>282.89999999999998</v>
      </c>
      <c r="D1566" s="115">
        <v>274</v>
      </c>
      <c r="E1566" s="115">
        <v>281.25</v>
      </c>
      <c r="F1566" s="115">
        <v>282.89999999999998</v>
      </c>
      <c r="G1566">
        <v>11632</v>
      </c>
      <c r="H1566" s="115"/>
      <c r="I1566" s="115"/>
      <c r="L1566" s="169">
        <v>44313</v>
      </c>
      <c r="M1566" s="115">
        <v>279.85000000000002</v>
      </c>
      <c r="N1566" s="115">
        <v>281</v>
      </c>
      <c r="O1566" s="115">
        <v>276</v>
      </c>
      <c r="P1566" s="115">
        <v>277.60000000000002</v>
      </c>
      <c r="Q1566" s="115">
        <v>279.85000000000002</v>
      </c>
      <c r="R1566">
        <v>74088</v>
      </c>
    </row>
    <row r="1567" spans="1:18" x14ac:dyDescent="0.25">
      <c r="A1567" s="169">
        <v>44315</v>
      </c>
      <c r="B1567" s="115">
        <v>285.05</v>
      </c>
      <c r="C1567" s="115">
        <v>278.95</v>
      </c>
      <c r="D1567" s="115">
        <v>278</v>
      </c>
      <c r="E1567" s="115">
        <v>285.05</v>
      </c>
      <c r="F1567" s="115">
        <v>278.95</v>
      </c>
      <c r="G1567">
        <v>2830</v>
      </c>
      <c r="H1567" s="115"/>
      <c r="I1567" s="115"/>
      <c r="L1567" s="169">
        <v>44314</v>
      </c>
      <c r="M1567" s="115">
        <v>283</v>
      </c>
      <c r="N1567" s="115">
        <v>287</v>
      </c>
      <c r="O1567" s="115">
        <v>277.85000000000002</v>
      </c>
      <c r="P1567" s="115">
        <v>279.89999999999998</v>
      </c>
      <c r="Q1567" s="115">
        <v>283</v>
      </c>
      <c r="R1567">
        <v>67250</v>
      </c>
    </row>
    <row r="1568" spans="1:18" x14ac:dyDescent="0.25">
      <c r="A1568" s="169">
        <v>44316</v>
      </c>
      <c r="B1568" s="115">
        <v>279.14999999999998</v>
      </c>
      <c r="C1568" s="115">
        <v>273.5</v>
      </c>
      <c r="D1568" s="115">
        <v>268</v>
      </c>
      <c r="E1568" s="115">
        <v>272.8</v>
      </c>
      <c r="F1568" s="115">
        <v>273.5</v>
      </c>
      <c r="G1568">
        <v>9582</v>
      </c>
      <c r="H1568" s="115"/>
      <c r="I1568" s="115"/>
      <c r="L1568" s="169">
        <v>44315</v>
      </c>
      <c r="M1568" s="115">
        <v>278.7</v>
      </c>
      <c r="N1568" s="115">
        <v>284.8</v>
      </c>
      <c r="O1568" s="115">
        <v>278.05</v>
      </c>
      <c r="P1568" s="115">
        <v>284.8</v>
      </c>
      <c r="Q1568" s="115">
        <v>278.7</v>
      </c>
      <c r="R1568">
        <v>24438</v>
      </c>
    </row>
    <row r="1569" spans="1:18" x14ac:dyDescent="0.25">
      <c r="A1569" s="169">
        <v>44319</v>
      </c>
      <c r="B1569" s="115">
        <v>279</v>
      </c>
      <c r="C1569" s="115">
        <v>275.39999999999998</v>
      </c>
      <c r="D1569" s="115">
        <v>265.55</v>
      </c>
      <c r="E1569" s="115">
        <v>265.55</v>
      </c>
      <c r="F1569" s="115">
        <v>275.39999999999998</v>
      </c>
      <c r="G1569">
        <v>13057</v>
      </c>
      <c r="H1569" s="115"/>
      <c r="I1569" s="115"/>
      <c r="L1569" s="169">
        <v>44316</v>
      </c>
      <c r="M1569" s="115">
        <v>273.35000000000002</v>
      </c>
      <c r="N1569" s="115">
        <v>279.39999999999998</v>
      </c>
      <c r="O1569" s="115">
        <v>271</v>
      </c>
      <c r="P1569" s="115">
        <v>277.95</v>
      </c>
      <c r="Q1569" s="115">
        <v>273.35000000000002</v>
      </c>
      <c r="R1569">
        <v>76290</v>
      </c>
    </row>
    <row r="1570" spans="1:18" x14ac:dyDescent="0.25">
      <c r="A1570" s="169">
        <v>44320</v>
      </c>
      <c r="B1570" s="115">
        <v>297.2</v>
      </c>
      <c r="C1570" s="115">
        <v>282.55</v>
      </c>
      <c r="D1570" s="115">
        <v>276.8</v>
      </c>
      <c r="E1570" s="115">
        <v>277.95</v>
      </c>
      <c r="F1570" s="115">
        <v>282.55</v>
      </c>
      <c r="G1570">
        <v>21836</v>
      </c>
      <c r="H1570" s="115"/>
      <c r="I1570" s="115"/>
      <c r="L1570" s="169">
        <v>44319</v>
      </c>
      <c r="M1570" s="115">
        <v>277.89999999999998</v>
      </c>
      <c r="N1570" s="115">
        <v>279.5</v>
      </c>
      <c r="O1570" s="115">
        <v>270.55</v>
      </c>
      <c r="P1570" s="115">
        <v>272</v>
      </c>
      <c r="Q1570" s="115">
        <v>277.89999999999998</v>
      </c>
      <c r="R1570">
        <v>48922</v>
      </c>
    </row>
    <row r="1571" spans="1:18" x14ac:dyDescent="0.25">
      <c r="A1571" s="169">
        <v>44321</v>
      </c>
      <c r="B1571" s="115">
        <v>289</v>
      </c>
      <c r="C1571" s="115">
        <v>283.45</v>
      </c>
      <c r="D1571" s="115">
        <v>282</v>
      </c>
      <c r="E1571" s="115">
        <v>288.7</v>
      </c>
      <c r="F1571" s="115">
        <v>283.45</v>
      </c>
      <c r="G1571">
        <v>4933</v>
      </c>
      <c r="H1571" s="115"/>
      <c r="I1571" s="115"/>
      <c r="L1571" s="169">
        <v>44320</v>
      </c>
      <c r="M1571" s="115">
        <v>282.75</v>
      </c>
      <c r="N1571" s="115">
        <v>297.8</v>
      </c>
      <c r="O1571" s="115">
        <v>277</v>
      </c>
      <c r="P1571" s="115">
        <v>279.05</v>
      </c>
      <c r="Q1571" s="115">
        <v>282.75</v>
      </c>
      <c r="R1571">
        <v>306139</v>
      </c>
    </row>
    <row r="1572" spans="1:18" x14ac:dyDescent="0.25">
      <c r="A1572" s="169">
        <v>44322</v>
      </c>
      <c r="B1572" s="115">
        <v>288</v>
      </c>
      <c r="C1572" s="115">
        <v>286.25</v>
      </c>
      <c r="D1572" s="115">
        <v>281.14999999999998</v>
      </c>
      <c r="E1572" s="115">
        <v>284.85000000000002</v>
      </c>
      <c r="F1572" s="115">
        <v>286.25</v>
      </c>
      <c r="G1572">
        <v>2032</v>
      </c>
      <c r="H1572" s="115"/>
      <c r="I1572" s="115"/>
      <c r="L1572" s="169">
        <v>44321</v>
      </c>
      <c r="M1572" s="115">
        <v>283.55</v>
      </c>
      <c r="N1572" s="115">
        <v>288.89999999999998</v>
      </c>
      <c r="O1572" s="115">
        <v>282.10000000000002</v>
      </c>
      <c r="P1572" s="115">
        <v>283.7</v>
      </c>
      <c r="Q1572" s="115">
        <v>283.55</v>
      </c>
      <c r="R1572">
        <v>91990</v>
      </c>
    </row>
    <row r="1573" spans="1:18" x14ac:dyDescent="0.25">
      <c r="A1573" s="169">
        <v>44323</v>
      </c>
      <c r="B1573" s="115">
        <v>289.8</v>
      </c>
      <c r="C1573" s="115">
        <v>286</v>
      </c>
      <c r="D1573" s="115">
        <v>279</v>
      </c>
      <c r="E1573" s="115">
        <v>286</v>
      </c>
      <c r="F1573" s="115">
        <v>286</v>
      </c>
      <c r="G1573">
        <v>8982</v>
      </c>
      <c r="H1573" s="115"/>
      <c r="I1573" s="115"/>
      <c r="L1573" s="169">
        <v>44322</v>
      </c>
      <c r="M1573" s="115">
        <v>285</v>
      </c>
      <c r="N1573" s="115">
        <v>287.95</v>
      </c>
      <c r="O1573" s="115">
        <v>280.85000000000002</v>
      </c>
      <c r="P1573" s="115">
        <v>286.75</v>
      </c>
      <c r="Q1573" s="115">
        <v>285</v>
      </c>
      <c r="R1573">
        <v>53986</v>
      </c>
    </row>
    <row r="1574" spans="1:18" x14ac:dyDescent="0.25">
      <c r="A1574" s="169">
        <v>44326</v>
      </c>
      <c r="B1574" s="115">
        <v>293.5</v>
      </c>
      <c r="C1574" s="115">
        <v>289.39999999999998</v>
      </c>
      <c r="D1574" s="115">
        <v>284.14999999999998</v>
      </c>
      <c r="E1574" s="115">
        <v>287.10000000000002</v>
      </c>
      <c r="F1574" s="115">
        <v>289.39999999999998</v>
      </c>
      <c r="G1574">
        <v>6092</v>
      </c>
      <c r="H1574" s="115"/>
      <c r="I1574" s="115"/>
      <c r="L1574" s="169">
        <v>44323</v>
      </c>
      <c r="M1574" s="115">
        <v>286.85000000000002</v>
      </c>
      <c r="N1574" s="115">
        <v>290</v>
      </c>
      <c r="O1574" s="115">
        <v>285</v>
      </c>
      <c r="P1574" s="115">
        <v>288</v>
      </c>
      <c r="Q1574" s="115">
        <v>286.85000000000002</v>
      </c>
      <c r="R1574">
        <v>83992</v>
      </c>
    </row>
    <row r="1575" spans="1:18" x14ac:dyDescent="0.25">
      <c r="A1575" s="169">
        <v>44327</v>
      </c>
      <c r="B1575" s="115">
        <v>294</v>
      </c>
      <c r="C1575" s="115">
        <v>291.2</v>
      </c>
      <c r="D1575" s="115">
        <v>278</v>
      </c>
      <c r="E1575" s="115">
        <v>288.60000000000002</v>
      </c>
      <c r="F1575" s="115">
        <v>291.2</v>
      </c>
      <c r="G1575">
        <v>12536</v>
      </c>
      <c r="H1575" s="115"/>
      <c r="I1575" s="115"/>
      <c r="L1575" s="169">
        <v>44326</v>
      </c>
      <c r="M1575" s="115">
        <v>288.45</v>
      </c>
      <c r="N1575" s="115">
        <v>294</v>
      </c>
      <c r="O1575" s="115">
        <v>283.10000000000002</v>
      </c>
      <c r="P1575" s="115">
        <v>288.5</v>
      </c>
      <c r="Q1575" s="115">
        <v>288.45</v>
      </c>
      <c r="R1575">
        <v>105081</v>
      </c>
    </row>
    <row r="1576" spans="1:18" x14ac:dyDescent="0.25">
      <c r="A1576" s="169">
        <v>44328</v>
      </c>
      <c r="B1576" s="115">
        <v>288</v>
      </c>
      <c r="C1576" s="115">
        <v>275.25</v>
      </c>
      <c r="D1576" s="115">
        <v>274</v>
      </c>
      <c r="E1576" s="115">
        <v>283.05</v>
      </c>
      <c r="F1576" s="115">
        <v>275.25</v>
      </c>
      <c r="G1576">
        <v>26520</v>
      </c>
      <c r="H1576" s="115"/>
      <c r="I1576" s="115"/>
      <c r="L1576" s="169">
        <v>44327</v>
      </c>
      <c r="M1576" s="115">
        <v>290.89999999999998</v>
      </c>
      <c r="N1576" s="115">
        <v>293.2</v>
      </c>
      <c r="O1576" s="115">
        <v>285.14999999999998</v>
      </c>
      <c r="P1576" s="115">
        <v>288.35000000000002</v>
      </c>
      <c r="Q1576" s="115">
        <v>290.89999999999998</v>
      </c>
      <c r="R1576">
        <v>107221</v>
      </c>
    </row>
    <row r="1577" spans="1:18" x14ac:dyDescent="0.25">
      <c r="A1577" s="169">
        <v>44330</v>
      </c>
      <c r="B1577" s="115">
        <v>279.10000000000002</v>
      </c>
      <c r="C1577" s="115">
        <v>269.89999999999998</v>
      </c>
      <c r="D1577" s="115">
        <v>269</v>
      </c>
      <c r="E1577" s="115">
        <v>271</v>
      </c>
      <c r="F1577" s="115">
        <v>269.89999999999998</v>
      </c>
      <c r="G1577">
        <v>13983</v>
      </c>
      <c r="H1577" s="115"/>
      <c r="I1577" s="115"/>
      <c r="L1577" s="169">
        <v>44328</v>
      </c>
      <c r="M1577" s="115">
        <v>275.05</v>
      </c>
      <c r="N1577" s="115">
        <v>286.75</v>
      </c>
      <c r="O1577" s="115">
        <v>274</v>
      </c>
      <c r="P1577" s="115">
        <v>284</v>
      </c>
      <c r="Q1577" s="115">
        <v>275.05</v>
      </c>
      <c r="R1577">
        <v>211965</v>
      </c>
    </row>
    <row r="1578" spans="1:18" x14ac:dyDescent="0.25">
      <c r="A1578" s="169">
        <v>44333</v>
      </c>
      <c r="B1578" s="115">
        <v>270.60000000000002</v>
      </c>
      <c r="C1578" s="115">
        <v>263.75</v>
      </c>
      <c r="D1578" s="115">
        <v>261</v>
      </c>
      <c r="E1578" s="115">
        <v>269</v>
      </c>
      <c r="F1578" s="115">
        <v>263.75</v>
      </c>
      <c r="G1578">
        <v>15891</v>
      </c>
      <c r="H1578" s="115"/>
      <c r="I1578" s="115"/>
      <c r="L1578" s="169">
        <v>44330</v>
      </c>
      <c r="M1578" s="115">
        <v>270.05</v>
      </c>
      <c r="N1578" s="115">
        <v>285</v>
      </c>
      <c r="O1578" s="115">
        <v>269</v>
      </c>
      <c r="P1578" s="115">
        <v>274.10000000000002</v>
      </c>
      <c r="Q1578" s="115">
        <v>270.05</v>
      </c>
      <c r="R1578">
        <v>105042</v>
      </c>
    </row>
    <row r="1579" spans="1:18" x14ac:dyDescent="0.25">
      <c r="A1579" s="169">
        <v>44334</v>
      </c>
      <c r="B1579" s="115">
        <v>266.5</v>
      </c>
      <c r="C1579" s="115">
        <v>264.45</v>
      </c>
      <c r="D1579" s="115">
        <v>262.25</v>
      </c>
      <c r="E1579" s="115">
        <v>266.2</v>
      </c>
      <c r="F1579" s="115">
        <v>264.45</v>
      </c>
      <c r="G1579">
        <v>8133</v>
      </c>
      <c r="H1579" s="115"/>
      <c r="I1579" s="115"/>
      <c r="L1579" s="169">
        <v>44333</v>
      </c>
      <c r="M1579" s="115">
        <v>264</v>
      </c>
      <c r="N1579" s="115">
        <v>272.95</v>
      </c>
      <c r="O1579" s="115">
        <v>260.2</v>
      </c>
      <c r="P1579" s="115">
        <v>270</v>
      </c>
      <c r="Q1579" s="115">
        <v>264</v>
      </c>
      <c r="R1579">
        <v>213752</v>
      </c>
    </row>
    <row r="1580" spans="1:18" x14ac:dyDescent="0.25">
      <c r="A1580" s="169">
        <v>44335</v>
      </c>
      <c r="B1580" s="115">
        <v>268</v>
      </c>
      <c r="C1580" s="115">
        <v>261.95</v>
      </c>
      <c r="D1580" s="115">
        <v>260.7</v>
      </c>
      <c r="E1580" s="115">
        <v>268</v>
      </c>
      <c r="F1580" s="115">
        <v>261.95</v>
      </c>
      <c r="G1580">
        <v>15198</v>
      </c>
      <c r="H1580" s="115"/>
      <c r="I1580" s="115"/>
      <c r="L1580" s="169">
        <v>44334</v>
      </c>
      <c r="M1580" s="115">
        <v>264.39999999999998</v>
      </c>
      <c r="N1580" s="115">
        <v>268.89999999999998</v>
      </c>
      <c r="O1580" s="115">
        <v>262.25</v>
      </c>
      <c r="P1580" s="115">
        <v>268.89999999999998</v>
      </c>
      <c r="Q1580" s="115">
        <v>264.39999999999998</v>
      </c>
      <c r="R1580">
        <v>143472</v>
      </c>
    </row>
    <row r="1581" spans="1:18" x14ac:dyDescent="0.25">
      <c r="A1581" s="169">
        <v>44336</v>
      </c>
      <c r="B1581" s="115">
        <v>267.5</v>
      </c>
      <c r="C1581" s="115">
        <v>263.55</v>
      </c>
      <c r="D1581" s="115">
        <v>260</v>
      </c>
      <c r="E1581" s="115">
        <v>260.2</v>
      </c>
      <c r="F1581" s="115">
        <v>263.55</v>
      </c>
      <c r="G1581">
        <v>18935</v>
      </c>
      <c r="H1581" s="115"/>
      <c r="I1581" s="115"/>
      <c r="L1581" s="169">
        <v>44335</v>
      </c>
      <c r="M1581" s="115">
        <v>261.85000000000002</v>
      </c>
      <c r="N1581" s="115">
        <v>266.89999999999998</v>
      </c>
      <c r="O1581" s="115">
        <v>260.25</v>
      </c>
      <c r="P1581" s="115">
        <v>266.89999999999998</v>
      </c>
      <c r="Q1581" s="115">
        <v>261.85000000000002</v>
      </c>
      <c r="R1581">
        <v>92730</v>
      </c>
    </row>
    <row r="1582" spans="1:18" x14ac:dyDescent="0.25">
      <c r="A1582" s="169">
        <v>44337</v>
      </c>
      <c r="B1582" s="115">
        <v>272.5</v>
      </c>
      <c r="C1582" s="115">
        <v>267.39999999999998</v>
      </c>
      <c r="D1582" s="115">
        <v>263.05</v>
      </c>
      <c r="E1582" s="115">
        <v>264.05</v>
      </c>
      <c r="F1582" s="115">
        <v>267.39999999999998</v>
      </c>
      <c r="G1582">
        <v>5173</v>
      </c>
      <c r="H1582" s="115"/>
      <c r="I1582" s="115"/>
      <c r="L1582" s="169">
        <v>44336</v>
      </c>
      <c r="M1582" s="115">
        <v>263.95</v>
      </c>
      <c r="N1582" s="115">
        <v>267.60000000000002</v>
      </c>
      <c r="O1582" s="115">
        <v>260.25</v>
      </c>
      <c r="P1582" s="115">
        <v>262</v>
      </c>
      <c r="Q1582" s="115">
        <v>263.95</v>
      </c>
      <c r="R1582">
        <v>202235</v>
      </c>
    </row>
    <row r="1583" spans="1:18" x14ac:dyDescent="0.25">
      <c r="A1583" s="169">
        <v>44340</v>
      </c>
      <c r="B1583" s="115">
        <v>285</v>
      </c>
      <c r="C1583" s="115">
        <v>283.95</v>
      </c>
      <c r="D1583" s="115">
        <v>268</v>
      </c>
      <c r="E1583" s="115">
        <v>272.05</v>
      </c>
      <c r="F1583" s="115">
        <v>283.95</v>
      </c>
      <c r="G1583">
        <v>71533</v>
      </c>
      <c r="H1583" s="115"/>
      <c r="I1583" s="115"/>
      <c r="L1583" s="169">
        <v>44337</v>
      </c>
      <c r="M1583" s="115">
        <v>267.2</v>
      </c>
      <c r="N1583" s="115">
        <v>273</v>
      </c>
      <c r="O1583" s="115">
        <v>262.55</v>
      </c>
      <c r="P1583" s="115">
        <v>266</v>
      </c>
      <c r="Q1583" s="115">
        <v>267.2</v>
      </c>
      <c r="R1583">
        <v>343796</v>
      </c>
    </row>
    <row r="1584" spans="1:18" x14ac:dyDescent="0.25">
      <c r="A1584" s="169">
        <v>44341</v>
      </c>
      <c r="B1584" s="115">
        <v>289.45</v>
      </c>
      <c r="C1584" s="115">
        <v>281.95</v>
      </c>
      <c r="D1584" s="115">
        <v>280</v>
      </c>
      <c r="E1584" s="115">
        <v>288.89999999999998</v>
      </c>
      <c r="F1584" s="115">
        <v>281.95</v>
      </c>
      <c r="G1584">
        <v>15388</v>
      </c>
      <c r="H1584" s="115"/>
      <c r="I1584" s="115"/>
      <c r="L1584" s="169">
        <v>44340</v>
      </c>
      <c r="M1584" s="115">
        <v>284.60000000000002</v>
      </c>
      <c r="N1584" s="115">
        <v>285.60000000000002</v>
      </c>
      <c r="O1584" s="115">
        <v>267.55</v>
      </c>
      <c r="P1584" s="115">
        <v>271.5</v>
      </c>
      <c r="Q1584" s="115">
        <v>284.60000000000002</v>
      </c>
      <c r="R1584">
        <v>669962</v>
      </c>
    </row>
    <row r="1585" spans="1:18" x14ac:dyDescent="0.25">
      <c r="A1585" s="169">
        <v>44342</v>
      </c>
      <c r="B1585" s="115">
        <v>286</v>
      </c>
      <c r="C1585" s="115">
        <v>282.25</v>
      </c>
      <c r="D1585" s="115">
        <v>276.85000000000002</v>
      </c>
      <c r="E1585" s="115">
        <v>283.55</v>
      </c>
      <c r="F1585" s="115">
        <v>282.25</v>
      </c>
      <c r="G1585">
        <v>12602</v>
      </c>
      <c r="H1585" s="115"/>
      <c r="I1585" s="115"/>
      <c r="L1585" s="169">
        <v>44341</v>
      </c>
      <c r="M1585" s="115">
        <v>281.8</v>
      </c>
      <c r="N1585" s="115">
        <v>289.3</v>
      </c>
      <c r="O1585" s="115">
        <v>280.5</v>
      </c>
      <c r="P1585" s="115">
        <v>285.8</v>
      </c>
      <c r="Q1585" s="115">
        <v>281.8</v>
      </c>
      <c r="R1585">
        <v>153893</v>
      </c>
    </row>
    <row r="1586" spans="1:18" x14ac:dyDescent="0.25">
      <c r="A1586" s="169">
        <v>44343</v>
      </c>
      <c r="B1586" s="115">
        <v>284.5</v>
      </c>
      <c r="C1586" s="115">
        <v>278</v>
      </c>
      <c r="D1586" s="115">
        <v>277</v>
      </c>
      <c r="E1586" s="115">
        <v>284.14999999999998</v>
      </c>
      <c r="F1586" s="115">
        <v>278</v>
      </c>
      <c r="G1586">
        <v>12083</v>
      </c>
      <c r="H1586" s="115"/>
      <c r="I1586" s="115"/>
      <c r="L1586" s="169">
        <v>44342</v>
      </c>
      <c r="M1586" s="115">
        <v>280.8</v>
      </c>
      <c r="N1586" s="115">
        <v>285.45</v>
      </c>
      <c r="O1586" s="115">
        <v>279.5</v>
      </c>
      <c r="P1586" s="115">
        <v>284.39999999999998</v>
      </c>
      <c r="Q1586" s="115">
        <v>280.8</v>
      </c>
      <c r="R1586">
        <v>77313</v>
      </c>
    </row>
    <row r="1587" spans="1:18" x14ac:dyDescent="0.25">
      <c r="A1587" s="169">
        <v>44344</v>
      </c>
      <c r="B1587" s="115">
        <v>286.95</v>
      </c>
      <c r="C1587" s="115">
        <v>275.39999999999998</v>
      </c>
      <c r="D1587" s="115">
        <v>273.05</v>
      </c>
      <c r="E1587" s="115">
        <v>286.95</v>
      </c>
      <c r="F1587" s="115">
        <v>275.39999999999998</v>
      </c>
      <c r="G1587">
        <v>11556</v>
      </c>
      <c r="H1587" s="115"/>
      <c r="I1587" s="115"/>
      <c r="L1587" s="169">
        <v>44343</v>
      </c>
      <c r="M1587" s="115">
        <v>278.25</v>
      </c>
      <c r="N1587" s="115">
        <v>284.8</v>
      </c>
      <c r="O1587" s="115">
        <v>277</v>
      </c>
      <c r="P1587" s="115">
        <v>283</v>
      </c>
      <c r="Q1587" s="115">
        <v>278.25</v>
      </c>
      <c r="R1587">
        <v>77340</v>
      </c>
    </row>
    <row r="1588" spans="1:18" x14ac:dyDescent="0.25">
      <c r="A1588" s="169">
        <v>44347</v>
      </c>
      <c r="B1588" s="115">
        <v>284</v>
      </c>
      <c r="C1588" s="115">
        <v>277.2</v>
      </c>
      <c r="D1588" s="115">
        <v>274</v>
      </c>
      <c r="E1588" s="115">
        <v>277.89999999999998</v>
      </c>
      <c r="F1588" s="115">
        <v>277.2</v>
      </c>
      <c r="G1588">
        <v>19162</v>
      </c>
      <c r="H1588" s="115"/>
      <c r="I1588" s="115"/>
      <c r="L1588" s="169">
        <v>44344</v>
      </c>
      <c r="M1588" s="115">
        <v>275</v>
      </c>
      <c r="N1588" s="115">
        <v>283.39999999999998</v>
      </c>
      <c r="O1588" s="115">
        <v>272.55</v>
      </c>
      <c r="P1588" s="115">
        <v>281.7</v>
      </c>
      <c r="Q1588" s="115">
        <v>275</v>
      </c>
      <c r="R1588">
        <v>79963</v>
      </c>
    </row>
    <row r="1589" spans="1:18" x14ac:dyDescent="0.25">
      <c r="A1589" s="169">
        <v>44348</v>
      </c>
      <c r="B1589" s="115">
        <v>293.85000000000002</v>
      </c>
      <c r="C1589" s="115">
        <v>290.60000000000002</v>
      </c>
      <c r="D1589" s="115">
        <v>277</v>
      </c>
      <c r="E1589" s="115">
        <v>277</v>
      </c>
      <c r="F1589" s="115">
        <v>290.60000000000002</v>
      </c>
      <c r="G1589">
        <v>37093</v>
      </c>
      <c r="H1589" s="115"/>
      <c r="I1589" s="115"/>
      <c r="L1589" s="169">
        <v>44347</v>
      </c>
      <c r="M1589" s="115">
        <v>277.39999999999998</v>
      </c>
      <c r="N1589" s="115">
        <v>285</v>
      </c>
      <c r="O1589" s="115">
        <v>276</v>
      </c>
      <c r="P1589" s="115">
        <v>280</v>
      </c>
      <c r="Q1589" s="115">
        <v>277.39999999999998</v>
      </c>
      <c r="R1589">
        <v>131078</v>
      </c>
    </row>
    <row r="1590" spans="1:18" x14ac:dyDescent="0.25">
      <c r="A1590" s="169">
        <v>44349</v>
      </c>
      <c r="B1590" s="115">
        <v>296</v>
      </c>
      <c r="C1590" s="115">
        <v>287.3</v>
      </c>
      <c r="D1590" s="115">
        <v>284</v>
      </c>
      <c r="E1590" s="115">
        <v>293</v>
      </c>
      <c r="F1590" s="115">
        <v>287.3</v>
      </c>
      <c r="G1590">
        <v>32609</v>
      </c>
      <c r="H1590" s="115"/>
      <c r="I1590" s="115"/>
      <c r="L1590" s="169">
        <v>44348</v>
      </c>
      <c r="M1590" s="115">
        <v>290.35000000000002</v>
      </c>
      <c r="N1590" s="115">
        <v>294</v>
      </c>
      <c r="O1590" s="115">
        <v>278</v>
      </c>
      <c r="P1590" s="115">
        <v>278</v>
      </c>
      <c r="Q1590" s="115">
        <v>290.35000000000002</v>
      </c>
      <c r="R1590">
        <v>777595</v>
      </c>
    </row>
    <row r="1591" spans="1:18" x14ac:dyDescent="0.25">
      <c r="A1591" s="169">
        <v>44350</v>
      </c>
      <c r="B1591" s="115">
        <v>307</v>
      </c>
      <c r="C1591" s="115">
        <v>303.25</v>
      </c>
      <c r="D1591" s="115">
        <v>288.7</v>
      </c>
      <c r="E1591" s="115">
        <v>294</v>
      </c>
      <c r="F1591" s="115">
        <v>303.25</v>
      </c>
      <c r="G1591">
        <v>58689</v>
      </c>
      <c r="H1591" s="115"/>
      <c r="I1591" s="115"/>
      <c r="L1591" s="169">
        <v>44349</v>
      </c>
      <c r="M1591" s="115">
        <v>287.39999999999998</v>
      </c>
      <c r="N1591" s="115">
        <v>295</v>
      </c>
      <c r="O1591" s="115">
        <v>286.10000000000002</v>
      </c>
      <c r="P1591" s="115">
        <v>293.89999999999998</v>
      </c>
      <c r="Q1591" s="115">
        <v>287.39999999999998</v>
      </c>
      <c r="R1591">
        <v>207478</v>
      </c>
    </row>
    <row r="1592" spans="1:18" x14ac:dyDescent="0.25">
      <c r="A1592" s="169">
        <v>44351</v>
      </c>
      <c r="B1592" s="115">
        <v>309.75</v>
      </c>
      <c r="C1592" s="115">
        <v>301.39999999999998</v>
      </c>
      <c r="D1592" s="115">
        <v>300</v>
      </c>
      <c r="E1592" s="115">
        <v>305</v>
      </c>
      <c r="F1592" s="115">
        <v>301.39999999999998</v>
      </c>
      <c r="G1592">
        <v>25456</v>
      </c>
      <c r="H1592" s="115"/>
      <c r="I1592" s="115"/>
      <c r="L1592" s="169">
        <v>44350</v>
      </c>
      <c r="M1592" s="115">
        <v>303.35000000000002</v>
      </c>
      <c r="N1592" s="115">
        <v>306.8</v>
      </c>
      <c r="O1592" s="115">
        <v>288.45</v>
      </c>
      <c r="P1592" s="115">
        <v>291.7</v>
      </c>
      <c r="Q1592" s="115">
        <v>303.35000000000002</v>
      </c>
      <c r="R1592">
        <v>1098087</v>
      </c>
    </row>
    <row r="1593" spans="1:18" x14ac:dyDescent="0.25">
      <c r="A1593" s="169">
        <v>44354</v>
      </c>
      <c r="B1593" s="115">
        <v>305</v>
      </c>
      <c r="C1593" s="115">
        <v>300.05</v>
      </c>
      <c r="D1593" s="115">
        <v>296</v>
      </c>
      <c r="E1593" s="115">
        <v>305</v>
      </c>
      <c r="F1593" s="115">
        <v>300.05</v>
      </c>
      <c r="G1593">
        <v>19888</v>
      </c>
      <c r="H1593" s="115"/>
      <c r="I1593" s="115"/>
      <c r="L1593" s="169">
        <v>44351</v>
      </c>
      <c r="M1593" s="115">
        <v>301.10000000000002</v>
      </c>
      <c r="N1593" s="115">
        <v>309.7</v>
      </c>
      <c r="O1593" s="115">
        <v>300</v>
      </c>
      <c r="P1593" s="115">
        <v>305</v>
      </c>
      <c r="Q1593" s="115">
        <v>301.10000000000002</v>
      </c>
      <c r="R1593">
        <v>340028</v>
      </c>
    </row>
    <row r="1594" spans="1:18" x14ac:dyDescent="0.25">
      <c r="A1594" s="169">
        <v>44355</v>
      </c>
      <c r="B1594" s="115">
        <v>303.35000000000002</v>
      </c>
      <c r="C1594" s="115">
        <v>296.45</v>
      </c>
      <c r="D1594" s="115">
        <v>295</v>
      </c>
      <c r="E1594" s="115">
        <v>303</v>
      </c>
      <c r="F1594" s="115">
        <v>296.45</v>
      </c>
      <c r="G1594">
        <v>22530</v>
      </c>
      <c r="H1594" s="115"/>
      <c r="I1594" s="115"/>
      <c r="L1594" s="169">
        <v>44354</v>
      </c>
      <c r="M1594" s="115">
        <v>299.60000000000002</v>
      </c>
      <c r="N1594" s="115">
        <v>305</v>
      </c>
      <c r="O1594" s="115">
        <v>296.05</v>
      </c>
      <c r="P1594" s="115">
        <v>304.95</v>
      </c>
      <c r="Q1594" s="115">
        <v>299.60000000000002</v>
      </c>
      <c r="R1594">
        <v>151662</v>
      </c>
    </row>
    <row r="1595" spans="1:18" x14ac:dyDescent="0.25">
      <c r="A1595" s="169">
        <v>44356</v>
      </c>
      <c r="B1595" s="115">
        <v>302.10000000000002</v>
      </c>
      <c r="C1595" s="115">
        <v>290.14999999999998</v>
      </c>
      <c r="D1595" s="115">
        <v>288</v>
      </c>
      <c r="E1595" s="115">
        <v>295</v>
      </c>
      <c r="F1595" s="115">
        <v>290.14999999999998</v>
      </c>
      <c r="G1595">
        <v>25690</v>
      </c>
      <c r="H1595" s="115"/>
      <c r="I1595" s="115"/>
      <c r="L1595" s="169">
        <v>44355</v>
      </c>
      <c r="M1595" s="115">
        <v>296.25</v>
      </c>
      <c r="N1595" s="115">
        <v>303.60000000000002</v>
      </c>
      <c r="O1595" s="115">
        <v>295.14999999999998</v>
      </c>
      <c r="P1595" s="115">
        <v>301</v>
      </c>
      <c r="Q1595" s="115">
        <v>296.25</v>
      </c>
      <c r="R1595">
        <v>123530</v>
      </c>
    </row>
    <row r="1596" spans="1:18" x14ac:dyDescent="0.25">
      <c r="A1596" s="169">
        <v>44357</v>
      </c>
      <c r="B1596" s="115">
        <v>293.25</v>
      </c>
      <c r="C1596" s="115">
        <v>287.8</v>
      </c>
      <c r="D1596" s="115">
        <v>287</v>
      </c>
      <c r="E1596" s="115">
        <v>287</v>
      </c>
      <c r="F1596" s="115">
        <v>287.8</v>
      </c>
      <c r="G1596">
        <v>15680</v>
      </c>
      <c r="H1596" s="115"/>
      <c r="I1596" s="115"/>
      <c r="L1596" s="169">
        <v>44356</v>
      </c>
      <c r="M1596" s="115">
        <v>290.05</v>
      </c>
      <c r="N1596" s="115">
        <v>302.64999999999998</v>
      </c>
      <c r="O1596" s="115">
        <v>289</v>
      </c>
      <c r="P1596" s="115">
        <v>294.60000000000002</v>
      </c>
      <c r="Q1596" s="115">
        <v>290.05</v>
      </c>
      <c r="R1596">
        <v>178207</v>
      </c>
    </row>
    <row r="1597" spans="1:18" x14ac:dyDescent="0.25">
      <c r="A1597" s="169">
        <v>44358</v>
      </c>
      <c r="B1597" s="115">
        <v>295.75</v>
      </c>
      <c r="C1597" s="115">
        <v>287.10000000000002</v>
      </c>
      <c r="D1597" s="115">
        <v>285.05</v>
      </c>
      <c r="E1597" s="115">
        <v>288</v>
      </c>
      <c r="F1597" s="115">
        <v>287.10000000000002</v>
      </c>
      <c r="G1597">
        <v>21335</v>
      </c>
      <c r="H1597" s="115"/>
      <c r="I1597" s="115"/>
      <c r="L1597" s="169">
        <v>44357</v>
      </c>
      <c r="M1597" s="115">
        <v>287.75</v>
      </c>
      <c r="N1597" s="115">
        <v>293.35000000000002</v>
      </c>
      <c r="O1597" s="115">
        <v>286.8</v>
      </c>
      <c r="P1597" s="115">
        <v>290.60000000000002</v>
      </c>
      <c r="Q1597" s="115">
        <v>287.75</v>
      </c>
      <c r="R1597">
        <v>156464</v>
      </c>
    </row>
    <row r="1598" spans="1:18" x14ac:dyDescent="0.25">
      <c r="A1598" s="169">
        <v>44361</v>
      </c>
      <c r="B1598" s="115">
        <v>294.35000000000002</v>
      </c>
      <c r="C1598" s="115">
        <v>289.7</v>
      </c>
      <c r="D1598" s="115">
        <v>283</v>
      </c>
      <c r="E1598" s="115">
        <v>285.05</v>
      </c>
      <c r="F1598" s="115">
        <v>289.7</v>
      </c>
      <c r="G1598">
        <v>28608</v>
      </c>
      <c r="H1598" s="115"/>
      <c r="I1598" s="115"/>
      <c r="L1598" s="169">
        <v>44358</v>
      </c>
      <c r="M1598" s="115">
        <v>286.55</v>
      </c>
      <c r="N1598" s="115">
        <v>296</v>
      </c>
      <c r="O1598" s="115">
        <v>285</v>
      </c>
      <c r="P1598" s="115">
        <v>288</v>
      </c>
      <c r="Q1598" s="115">
        <v>286.55</v>
      </c>
      <c r="R1598">
        <v>168241</v>
      </c>
    </row>
    <row r="1599" spans="1:18" x14ac:dyDescent="0.25">
      <c r="A1599" s="169">
        <v>44362</v>
      </c>
      <c r="B1599" s="115">
        <v>307.95</v>
      </c>
      <c r="C1599" s="115">
        <v>297.85000000000002</v>
      </c>
      <c r="D1599" s="115">
        <v>287.7</v>
      </c>
      <c r="E1599" s="115">
        <v>294</v>
      </c>
      <c r="F1599" s="115">
        <v>297.85000000000002</v>
      </c>
      <c r="G1599">
        <v>110792</v>
      </c>
      <c r="H1599" s="115"/>
      <c r="I1599" s="115"/>
      <c r="L1599" s="169">
        <v>44361</v>
      </c>
      <c r="M1599" s="115">
        <v>289.60000000000002</v>
      </c>
      <c r="N1599" s="115">
        <v>294.45</v>
      </c>
      <c r="O1599" s="115">
        <v>283.35000000000002</v>
      </c>
      <c r="P1599" s="115">
        <v>289</v>
      </c>
      <c r="Q1599" s="115">
        <v>289.60000000000002</v>
      </c>
      <c r="R1599">
        <v>214834</v>
      </c>
    </row>
    <row r="1600" spans="1:18" x14ac:dyDescent="0.25">
      <c r="A1600" s="169">
        <v>44363</v>
      </c>
      <c r="B1600" s="115">
        <v>303.85000000000002</v>
      </c>
      <c r="C1600" s="115">
        <v>297.25</v>
      </c>
      <c r="D1600" s="115">
        <v>292.05</v>
      </c>
      <c r="E1600" s="115">
        <v>303.85000000000002</v>
      </c>
      <c r="F1600" s="115">
        <v>297.25</v>
      </c>
      <c r="G1600">
        <v>12116</v>
      </c>
      <c r="H1600" s="115"/>
      <c r="I1600" s="115"/>
      <c r="L1600" s="169">
        <v>44362</v>
      </c>
      <c r="M1600" s="115">
        <v>298.39999999999998</v>
      </c>
      <c r="N1600" s="115">
        <v>308.3</v>
      </c>
      <c r="O1600" s="115">
        <v>288.14999999999998</v>
      </c>
      <c r="P1600" s="115">
        <v>294</v>
      </c>
      <c r="Q1600" s="115">
        <v>298.39999999999998</v>
      </c>
      <c r="R1600">
        <v>1311104</v>
      </c>
    </row>
    <row r="1601" spans="1:18" x14ac:dyDescent="0.25">
      <c r="A1601" s="169">
        <v>44364</v>
      </c>
      <c r="B1601" s="115">
        <v>300</v>
      </c>
      <c r="C1601" s="115">
        <v>292.45</v>
      </c>
      <c r="D1601" s="115">
        <v>286</v>
      </c>
      <c r="E1601" s="115">
        <v>300</v>
      </c>
      <c r="F1601" s="115">
        <v>292.45</v>
      </c>
      <c r="G1601">
        <v>5620</v>
      </c>
      <c r="H1601" s="115"/>
      <c r="I1601" s="115"/>
      <c r="L1601" s="169">
        <v>44363</v>
      </c>
      <c r="M1601" s="115">
        <v>298.14999999999998</v>
      </c>
      <c r="N1601" s="115">
        <v>300.89999999999998</v>
      </c>
      <c r="O1601" s="115">
        <v>291.8</v>
      </c>
      <c r="P1601" s="115">
        <v>298</v>
      </c>
      <c r="Q1601" s="115">
        <v>298.14999999999998</v>
      </c>
      <c r="R1601">
        <v>156027</v>
      </c>
    </row>
    <row r="1602" spans="1:18" x14ac:dyDescent="0.25">
      <c r="A1602" s="169">
        <v>44365</v>
      </c>
      <c r="B1602" s="115">
        <v>298.05</v>
      </c>
      <c r="C1602" s="115">
        <v>291.25</v>
      </c>
      <c r="D1602" s="115">
        <v>289.55</v>
      </c>
      <c r="E1602" s="115">
        <v>294.85000000000002</v>
      </c>
      <c r="F1602" s="115">
        <v>291.25</v>
      </c>
      <c r="G1602">
        <v>44777</v>
      </c>
      <c r="H1602" s="115"/>
      <c r="I1602" s="115"/>
      <c r="L1602" s="169">
        <v>44364</v>
      </c>
      <c r="M1602" s="115">
        <v>292.25</v>
      </c>
      <c r="N1602" s="115">
        <v>297.25</v>
      </c>
      <c r="O1602" s="115">
        <v>291.39999999999998</v>
      </c>
      <c r="P1602" s="115">
        <v>295</v>
      </c>
      <c r="Q1602" s="115">
        <v>292.25</v>
      </c>
      <c r="R1602">
        <v>69459</v>
      </c>
    </row>
    <row r="1603" spans="1:18" x14ac:dyDescent="0.25">
      <c r="A1603" s="169">
        <v>44368</v>
      </c>
      <c r="B1603" s="115">
        <v>292.89999999999998</v>
      </c>
      <c r="C1603" s="115">
        <v>288.64999999999998</v>
      </c>
      <c r="D1603" s="115">
        <v>285.45</v>
      </c>
      <c r="E1603" s="115">
        <v>291.5</v>
      </c>
      <c r="F1603" s="115">
        <v>288.64999999999998</v>
      </c>
      <c r="G1603">
        <v>10633</v>
      </c>
      <c r="H1603" s="115"/>
      <c r="I1603" s="115"/>
      <c r="L1603" s="169">
        <v>44365</v>
      </c>
      <c r="M1603" s="115">
        <v>291.35000000000002</v>
      </c>
      <c r="N1603" s="115">
        <v>298.75</v>
      </c>
      <c r="O1603" s="115">
        <v>289.8</v>
      </c>
      <c r="P1603" s="115">
        <v>294.89999999999998</v>
      </c>
      <c r="Q1603" s="115">
        <v>291.35000000000002</v>
      </c>
      <c r="R1603">
        <v>247568</v>
      </c>
    </row>
    <row r="1604" spans="1:18" x14ac:dyDescent="0.25">
      <c r="A1604" s="169">
        <v>44369</v>
      </c>
      <c r="B1604" s="115">
        <v>298</v>
      </c>
      <c r="C1604" s="115">
        <v>291.89999999999998</v>
      </c>
      <c r="D1604" s="115">
        <v>288</v>
      </c>
      <c r="E1604" s="115">
        <v>294</v>
      </c>
      <c r="F1604" s="115">
        <v>291.89999999999998</v>
      </c>
      <c r="G1604">
        <v>15411</v>
      </c>
      <c r="H1604" s="115"/>
      <c r="I1604" s="115"/>
      <c r="L1604" s="169">
        <v>44368</v>
      </c>
      <c r="M1604" s="115">
        <v>288.60000000000002</v>
      </c>
      <c r="N1604" s="115">
        <v>293</v>
      </c>
      <c r="O1604" s="115">
        <v>287</v>
      </c>
      <c r="P1604" s="115">
        <v>291</v>
      </c>
      <c r="Q1604" s="115">
        <v>288.60000000000002</v>
      </c>
      <c r="R1604">
        <v>96328</v>
      </c>
    </row>
    <row r="1605" spans="1:18" x14ac:dyDescent="0.25">
      <c r="A1605" s="169">
        <v>44370</v>
      </c>
      <c r="B1605" s="115">
        <v>297.8</v>
      </c>
      <c r="C1605" s="115">
        <v>288.8</v>
      </c>
      <c r="D1605" s="115">
        <v>287.60000000000002</v>
      </c>
      <c r="E1605" s="115">
        <v>297</v>
      </c>
      <c r="F1605" s="115">
        <v>288.8</v>
      </c>
      <c r="G1605">
        <v>13059</v>
      </c>
      <c r="H1605" s="115"/>
      <c r="I1605" s="115"/>
      <c r="L1605" s="169">
        <v>44369</v>
      </c>
      <c r="M1605" s="115">
        <v>291.85000000000002</v>
      </c>
      <c r="N1605" s="115">
        <v>298</v>
      </c>
      <c r="O1605" s="115">
        <v>289</v>
      </c>
      <c r="P1605" s="115">
        <v>290.05</v>
      </c>
      <c r="Q1605" s="115">
        <v>291.85000000000002</v>
      </c>
      <c r="R1605">
        <v>211007</v>
      </c>
    </row>
    <row r="1606" spans="1:18" x14ac:dyDescent="0.25">
      <c r="A1606" s="169">
        <v>44371</v>
      </c>
      <c r="B1606" s="115">
        <v>293.95</v>
      </c>
      <c r="C1606" s="115">
        <v>289.39999999999998</v>
      </c>
      <c r="D1606" s="115">
        <v>288</v>
      </c>
      <c r="E1606" s="115">
        <v>290.5</v>
      </c>
      <c r="F1606" s="115">
        <v>289.39999999999998</v>
      </c>
      <c r="G1606">
        <v>6616</v>
      </c>
      <c r="H1606" s="115"/>
      <c r="I1606" s="115"/>
      <c r="L1606" s="169">
        <v>44370</v>
      </c>
      <c r="M1606" s="115">
        <v>288.7</v>
      </c>
      <c r="N1606" s="115">
        <v>297.95</v>
      </c>
      <c r="O1606" s="115">
        <v>287.64999999999998</v>
      </c>
      <c r="P1606" s="115">
        <v>295</v>
      </c>
      <c r="Q1606" s="115">
        <v>288.7</v>
      </c>
      <c r="R1606">
        <v>120607</v>
      </c>
    </row>
    <row r="1607" spans="1:18" x14ac:dyDescent="0.25">
      <c r="A1607" s="169">
        <v>44372</v>
      </c>
      <c r="B1607" s="115">
        <v>294.5</v>
      </c>
      <c r="C1607" s="115">
        <v>292.35000000000002</v>
      </c>
      <c r="D1607" s="115">
        <v>288.10000000000002</v>
      </c>
      <c r="E1607" s="115">
        <v>294.5</v>
      </c>
      <c r="F1607" s="115">
        <v>292.35000000000002</v>
      </c>
      <c r="G1607">
        <v>3657</v>
      </c>
      <c r="H1607" s="115"/>
      <c r="I1607" s="115"/>
      <c r="L1607" s="169">
        <v>44371</v>
      </c>
      <c r="M1607" s="115">
        <v>290.14999999999998</v>
      </c>
      <c r="N1607" s="115">
        <v>292.89999999999998</v>
      </c>
      <c r="O1607" s="115">
        <v>288</v>
      </c>
      <c r="P1607" s="115">
        <v>292.75</v>
      </c>
      <c r="Q1607" s="115">
        <v>290.14999999999998</v>
      </c>
      <c r="R1607">
        <v>51021</v>
      </c>
    </row>
    <row r="1608" spans="1:18" x14ac:dyDescent="0.25">
      <c r="A1608" s="169">
        <v>44375</v>
      </c>
      <c r="B1608" s="115">
        <v>304</v>
      </c>
      <c r="C1608" s="115">
        <v>297.25</v>
      </c>
      <c r="D1608" s="115">
        <v>296</v>
      </c>
      <c r="E1608" s="115">
        <v>296</v>
      </c>
      <c r="F1608" s="115">
        <v>297.25</v>
      </c>
      <c r="G1608">
        <v>19722</v>
      </c>
      <c r="H1608" s="115"/>
      <c r="I1608" s="115"/>
      <c r="L1608" s="169">
        <v>44372</v>
      </c>
      <c r="M1608" s="115">
        <v>292.3</v>
      </c>
      <c r="N1608" s="115">
        <v>294</v>
      </c>
      <c r="O1608" s="115">
        <v>289.05</v>
      </c>
      <c r="P1608" s="115">
        <v>293.5</v>
      </c>
      <c r="Q1608" s="115">
        <v>292.3</v>
      </c>
      <c r="R1608">
        <v>68675</v>
      </c>
    </row>
    <row r="1609" spans="1:18" x14ac:dyDescent="0.25">
      <c r="A1609" s="169">
        <v>44376</v>
      </c>
      <c r="B1609" s="115">
        <v>302.8</v>
      </c>
      <c r="C1609" s="115">
        <v>294.35000000000002</v>
      </c>
      <c r="D1609" s="115">
        <v>293</v>
      </c>
      <c r="E1609" s="115">
        <v>302.8</v>
      </c>
      <c r="F1609" s="115">
        <v>294.35000000000002</v>
      </c>
      <c r="G1609">
        <v>3409</v>
      </c>
      <c r="H1609" s="115"/>
      <c r="I1609" s="115"/>
      <c r="L1609" s="169">
        <v>44375</v>
      </c>
      <c r="M1609" s="115">
        <v>297.39999999999998</v>
      </c>
      <c r="N1609" s="115">
        <v>306</v>
      </c>
      <c r="O1609" s="115">
        <v>295</v>
      </c>
      <c r="P1609" s="115">
        <v>295</v>
      </c>
      <c r="Q1609" s="115">
        <v>297.39999999999998</v>
      </c>
      <c r="R1609">
        <v>176936</v>
      </c>
    </row>
    <row r="1610" spans="1:18" x14ac:dyDescent="0.25">
      <c r="A1610" s="169">
        <v>44377</v>
      </c>
      <c r="B1610" s="115">
        <v>303.14999999999998</v>
      </c>
      <c r="C1610" s="115">
        <v>293.10000000000002</v>
      </c>
      <c r="D1610" s="115">
        <v>291.39999999999998</v>
      </c>
      <c r="E1610" s="115">
        <v>302</v>
      </c>
      <c r="F1610" s="115">
        <v>293.10000000000002</v>
      </c>
      <c r="G1610">
        <v>21231</v>
      </c>
      <c r="H1610" s="115"/>
      <c r="I1610" s="115"/>
      <c r="L1610" s="169">
        <v>44376</v>
      </c>
      <c r="M1610" s="115">
        <v>293.8</v>
      </c>
      <c r="N1610" s="115">
        <v>299.95</v>
      </c>
      <c r="O1610" s="115">
        <v>292.5</v>
      </c>
      <c r="P1610" s="115">
        <v>298.8</v>
      </c>
      <c r="Q1610" s="115">
        <v>293.8</v>
      </c>
      <c r="R1610">
        <v>87586</v>
      </c>
    </row>
    <row r="1611" spans="1:18" x14ac:dyDescent="0.25">
      <c r="A1611" s="169">
        <v>44378</v>
      </c>
      <c r="B1611" s="115">
        <v>299.14999999999998</v>
      </c>
      <c r="C1611" s="115">
        <v>296.3</v>
      </c>
      <c r="D1611" s="115">
        <v>293.64999999999998</v>
      </c>
      <c r="E1611" s="115">
        <v>294.95</v>
      </c>
      <c r="F1611" s="115">
        <v>296.3</v>
      </c>
      <c r="G1611">
        <v>4453</v>
      </c>
      <c r="H1611" s="115"/>
      <c r="I1611" s="115"/>
      <c r="L1611" s="169">
        <v>44377</v>
      </c>
      <c r="M1611" s="115">
        <v>293.7</v>
      </c>
      <c r="N1611" s="115">
        <v>303.45</v>
      </c>
      <c r="O1611" s="115">
        <v>291.2</v>
      </c>
      <c r="P1611" s="115">
        <v>297.7</v>
      </c>
      <c r="Q1611" s="115">
        <v>293.7</v>
      </c>
      <c r="R1611">
        <v>209889</v>
      </c>
    </row>
    <row r="1612" spans="1:18" x14ac:dyDescent="0.25">
      <c r="A1612" s="169">
        <v>44379</v>
      </c>
      <c r="B1612" s="115">
        <v>297.7</v>
      </c>
      <c r="C1612" s="115">
        <v>297.45</v>
      </c>
      <c r="D1612" s="115">
        <v>294.55</v>
      </c>
      <c r="E1612" s="115">
        <v>295.05</v>
      </c>
      <c r="F1612" s="115">
        <v>297.45</v>
      </c>
      <c r="G1612">
        <v>1098</v>
      </c>
      <c r="H1612" s="115"/>
      <c r="I1612" s="115"/>
      <c r="L1612" s="169">
        <v>44378</v>
      </c>
      <c r="M1612" s="115">
        <v>296.95</v>
      </c>
      <c r="N1612" s="115">
        <v>300</v>
      </c>
      <c r="O1612" s="115">
        <v>293.5</v>
      </c>
      <c r="P1612" s="115">
        <v>295.55</v>
      </c>
      <c r="Q1612" s="115">
        <v>296.95</v>
      </c>
      <c r="R1612">
        <v>132308</v>
      </c>
    </row>
    <row r="1613" spans="1:18" x14ac:dyDescent="0.25">
      <c r="A1613" s="169">
        <v>44382</v>
      </c>
      <c r="B1613" s="115">
        <v>307.60000000000002</v>
      </c>
      <c r="C1613" s="115">
        <v>300.75</v>
      </c>
      <c r="D1613" s="115">
        <v>298.7</v>
      </c>
      <c r="E1613" s="115">
        <v>298.7</v>
      </c>
      <c r="F1613" s="115">
        <v>300.75</v>
      </c>
      <c r="G1613">
        <v>24265</v>
      </c>
      <c r="H1613" s="115"/>
      <c r="I1613" s="115"/>
      <c r="L1613" s="169">
        <v>44379</v>
      </c>
      <c r="M1613" s="115">
        <v>297.5</v>
      </c>
      <c r="N1613" s="115">
        <v>298.5</v>
      </c>
      <c r="O1613" s="115">
        <v>294</v>
      </c>
      <c r="P1613" s="115">
        <v>297</v>
      </c>
      <c r="Q1613" s="115">
        <v>297.5</v>
      </c>
      <c r="R1613">
        <v>63923</v>
      </c>
    </row>
    <row r="1614" spans="1:18" x14ac:dyDescent="0.25">
      <c r="A1614" s="169">
        <v>44383</v>
      </c>
      <c r="B1614" s="115">
        <v>307</v>
      </c>
      <c r="C1614" s="115">
        <v>299</v>
      </c>
      <c r="D1614" s="115">
        <v>297.60000000000002</v>
      </c>
      <c r="E1614" s="115">
        <v>307</v>
      </c>
      <c r="F1614" s="115">
        <v>299</v>
      </c>
      <c r="G1614">
        <v>12087</v>
      </c>
      <c r="H1614" s="115"/>
      <c r="I1614" s="115"/>
      <c r="L1614" s="169">
        <v>44382</v>
      </c>
      <c r="M1614" s="115">
        <v>300.95</v>
      </c>
      <c r="N1614" s="115">
        <v>307.8</v>
      </c>
      <c r="O1614" s="115">
        <v>298.89999999999998</v>
      </c>
      <c r="P1614" s="115">
        <v>299.7</v>
      </c>
      <c r="Q1614" s="115">
        <v>300.95</v>
      </c>
      <c r="R1614">
        <v>433392</v>
      </c>
    </row>
    <row r="1615" spans="1:18" x14ac:dyDescent="0.25">
      <c r="A1615" s="169">
        <v>44384</v>
      </c>
      <c r="B1615" s="115">
        <v>307.8</v>
      </c>
      <c r="C1615" s="115">
        <v>297</v>
      </c>
      <c r="D1615" s="115">
        <v>295.95</v>
      </c>
      <c r="E1615" s="115">
        <v>301.7</v>
      </c>
      <c r="F1615" s="115">
        <v>297</v>
      </c>
      <c r="G1615">
        <v>22499</v>
      </c>
      <c r="H1615" s="115"/>
      <c r="I1615" s="115"/>
      <c r="L1615" s="169">
        <v>44383</v>
      </c>
      <c r="M1615" s="115">
        <v>298.60000000000002</v>
      </c>
      <c r="N1615" s="115">
        <v>306</v>
      </c>
      <c r="O1615" s="115">
        <v>297.95</v>
      </c>
      <c r="P1615" s="115">
        <v>302.8</v>
      </c>
      <c r="Q1615" s="115">
        <v>298.60000000000002</v>
      </c>
      <c r="R1615">
        <v>176101</v>
      </c>
    </row>
    <row r="1616" spans="1:18" x14ac:dyDescent="0.25">
      <c r="A1616" s="169">
        <v>44385</v>
      </c>
      <c r="B1616" s="115">
        <v>303.35000000000002</v>
      </c>
      <c r="C1616" s="115">
        <v>298.60000000000002</v>
      </c>
      <c r="D1616" s="115">
        <v>297.25</v>
      </c>
      <c r="E1616" s="115">
        <v>303.35000000000002</v>
      </c>
      <c r="F1616" s="115">
        <v>298.60000000000002</v>
      </c>
      <c r="G1616">
        <v>5793</v>
      </c>
      <c r="H1616" s="115"/>
      <c r="I1616" s="115"/>
      <c r="L1616" s="169">
        <v>44384</v>
      </c>
      <c r="M1616" s="115">
        <v>297.2</v>
      </c>
      <c r="N1616" s="115">
        <v>308.5</v>
      </c>
      <c r="O1616" s="115">
        <v>296</v>
      </c>
      <c r="P1616" s="115">
        <v>300.10000000000002</v>
      </c>
      <c r="Q1616" s="115">
        <v>297.2</v>
      </c>
      <c r="R1616">
        <v>335511</v>
      </c>
    </row>
    <row r="1617" spans="1:18" x14ac:dyDescent="0.25">
      <c r="A1617" s="169">
        <v>44386</v>
      </c>
      <c r="B1617" s="115">
        <v>302.85000000000002</v>
      </c>
      <c r="C1617" s="115">
        <v>300.39999999999998</v>
      </c>
      <c r="D1617" s="115">
        <v>297.45</v>
      </c>
      <c r="E1617" s="115">
        <v>299.05</v>
      </c>
      <c r="F1617" s="115">
        <v>300.39999999999998</v>
      </c>
      <c r="G1617">
        <v>5125</v>
      </c>
      <c r="H1617" s="115"/>
      <c r="I1617" s="115"/>
      <c r="L1617" s="169">
        <v>44385</v>
      </c>
      <c r="M1617" s="115">
        <v>299.5</v>
      </c>
      <c r="N1617" s="115">
        <v>303</v>
      </c>
      <c r="O1617" s="115">
        <v>296.89999999999998</v>
      </c>
      <c r="P1617" s="115">
        <v>298.3</v>
      </c>
      <c r="Q1617" s="115">
        <v>299.5</v>
      </c>
      <c r="R1617">
        <v>105829</v>
      </c>
    </row>
    <row r="1618" spans="1:18" x14ac:dyDescent="0.25">
      <c r="A1618" s="169">
        <v>44389</v>
      </c>
      <c r="B1618" s="115">
        <v>304.25</v>
      </c>
      <c r="C1618" s="115">
        <v>299.64999999999998</v>
      </c>
      <c r="D1618" s="115">
        <v>298</v>
      </c>
      <c r="E1618" s="115">
        <v>301</v>
      </c>
      <c r="F1618" s="115">
        <v>299.64999999999998</v>
      </c>
      <c r="G1618">
        <v>11602</v>
      </c>
      <c r="H1618" s="115"/>
      <c r="I1618" s="115"/>
      <c r="L1618" s="169">
        <v>44386</v>
      </c>
      <c r="M1618" s="115">
        <v>300.5</v>
      </c>
      <c r="N1618" s="115">
        <v>303</v>
      </c>
      <c r="O1618" s="115">
        <v>297</v>
      </c>
      <c r="P1618" s="115">
        <v>300</v>
      </c>
      <c r="Q1618" s="115">
        <v>300.5</v>
      </c>
      <c r="R1618">
        <v>120131</v>
      </c>
    </row>
    <row r="1619" spans="1:18" x14ac:dyDescent="0.25">
      <c r="A1619" s="169">
        <v>44390</v>
      </c>
      <c r="B1619" s="115">
        <v>322</v>
      </c>
      <c r="C1619" s="115">
        <v>311.05</v>
      </c>
      <c r="D1619" s="115">
        <v>301.55</v>
      </c>
      <c r="E1619" s="115">
        <v>301.60000000000002</v>
      </c>
      <c r="F1619" s="115">
        <v>311.05</v>
      </c>
      <c r="G1619">
        <v>114058</v>
      </c>
      <c r="H1619" s="115"/>
      <c r="I1619" s="115"/>
      <c r="L1619" s="169">
        <v>44389</v>
      </c>
      <c r="M1619" s="115">
        <v>299.55</v>
      </c>
      <c r="N1619" s="115">
        <v>304.95</v>
      </c>
      <c r="O1619" s="115">
        <v>297.3</v>
      </c>
      <c r="P1619" s="115">
        <v>301.5</v>
      </c>
      <c r="Q1619" s="115">
        <v>299.55</v>
      </c>
      <c r="R1619">
        <v>89218</v>
      </c>
    </row>
    <row r="1620" spans="1:18" x14ac:dyDescent="0.25">
      <c r="A1620" s="169">
        <v>44391</v>
      </c>
      <c r="B1620" s="115">
        <v>317.39999999999998</v>
      </c>
      <c r="C1620" s="115">
        <v>309.25</v>
      </c>
      <c r="D1620" s="115">
        <v>307.10000000000002</v>
      </c>
      <c r="E1620" s="115">
        <v>312</v>
      </c>
      <c r="F1620" s="115">
        <v>309.25</v>
      </c>
      <c r="G1620">
        <v>19287</v>
      </c>
      <c r="H1620" s="115"/>
      <c r="I1620" s="115"/>
      <c r="L1620" s="169">
        <v>44390</v>
      </c>
      <c r="M1620" s="115">
        <v>310.85000000000002</v>
      </c>
      <c r="N1620" s="115">
        <v>321.95</v>
      </c>
      <c r="O1620" s="115">
        <v>300</v>
      </c>
      <c r="P1620" s="115">
        <v>300</v>
      </c>
      <c r="Q1620" s="115">
        <v>310.85000000000002</v>
      </c>
      <c r="R1620">
        <v>1175104</v>
      </c>
    </row>
    <row r="1621" spans="1:18" x14ac:dyDescent="0.25">
      <c r="A1621" s="169">
        <v>44392</v>
      </c>
      <c r="B1621" s="115">
        <v>320.8</v>
      </c>
      <c r="C1621" s="115">
        <v>315.8</v>
      </c>
      <c r="D1621" s="115">
        <v>310.95</v>
      </c>
      <c r="E1621" s="115">
        <v>318</v>
      </c>
      <c r="F1621" s="115">
        <v>315.8</v>
      </c>
      <c r="G1621">
        <v>20525</v>
      </c>
      <c r="H1621" s="115"/>
      <c r="I1621" s="115"/>
      <c r="L1621" s="169">
        <v>44391</v>
      </c>
      <c r="M1621" s="115">
        <v>309.60000000000002</v>
      </c>
      <c r="N1621" s="115">
        <v>315.45</v>
      </c>
      <c r="O1621" s="115">
        <v>307</v>
      </c>
      <c r="P1621" s="115">
        <v>311.75</v>
      </c>
      <c r="Q1621" s="115">
        <v>309.60000000000002</v>
      </c>
      <c r="R1621">
        <v>152134</v>
      </c>
    </row>
    <row r="1622" spans="1:18" x14ac:dyDescent="0.25">
      <c r="A1622" s="169">
        <v>44393</v>
      </c>
      <c r="B1622" s="115">
        <v>320.39999999999998</v>
      </c>
      <c r="C1622" s="115">
        <v>314.10000000000002</v>
      </c>
      <c r="D1622" s="115">
        <v>312.10000000000002</v>
      </c>
      <c r="E1622" s="115">
        <v>318</v>
      </c>
      <c r="F1622" s="115">
        <v>314.10000000000002</v>
      </c>
      <c r="G1622">
        <v>18129</v>
      </c>
      <c r="H1622" s="115"/>
      <c r="I1622" s="115"/>
      <c r="L1622" s="169">
        <v>44392</v>
      </c>
      <c r="M1622" s="115">
        <v>315.60000000000002</v>
      </c>
      <c r="N1622" s="115">
        <v>321</v>
      </c>
      <c r="O1622" s="115">
        <v>309.60000000000002</v>
      </c>
      <c r="P1622" s="115">
        <v>311.39999999999998</v>
      </c>
      <c r="Q1622" s="115">
        <v>315.60000000000002</v>
      </c>
      <c r="R1622">
        <v>354263</v>
      </c>
    </row>
    <row r="1623" spans="1:18" x14ac:dyDescent="0.25">
      <c r="A1623" s="169">
        <v>44396</v>
      </c>
      <c r="B1623" s="115">
        <v>313.75</v>
      </c>
      <c r="C1623" s="115">
        <v>309.2</v>
      </c>
      <c r="D1623" s="115">
        <v>305.5</v>
      </c>
      <c r="E1623" s="115">
        <v>306.14999999999998</v>
      </c>
      <c r="F1623" s="115">
        <v>309.2</v>
      </c>
      <c r="G1623">
        <v>18158</v>
      </c>
      <c r="H1623" s="115"/>
      <c r="I1623" s="115"/>
      <c r="L1623" s="169">
        <v>44393</v>
      </c>
      <c r="M1623" s="115">
        <v>313.39999999999998</v>
      </c>
      <c r="N1623" s="115">
        <v>320.60000000000002</v>
      </c>
      <c r="O1623" s="115">
        <v>311.10000000000002</v>
      </c>
      <c r="P1623" s="115">
        <v>318.55</v>
      </c>
      <c r="Q1623" s="115">
        <v>313.39999999999998</v>
      </c>
      <c r="R1623">
        <v>110665</v>
      </c>
    </row>
    <row r="1624" spans="1:18" x14ac:dyDescent="0.25">
      <c r="A1624" s="169">
        <v>44397</v>
      </c>
      <c r="B1624" s="115">
        <v>311.05</v>
      </c>
      <c r="C1624" s="115">
        <v>303.2</v>
      </c>
      <c r="D1624" s="115">
        <v>298</v>
      </c>
      <c r="E1624" s="115">
        <v>309.2</v>
      </c>
      <c r="F1624" s="115">
        <v>303.2</v>
      </c>
      <c r="G1624">
        <v>18833</v>
      </c>
      <c r="H1624" s="115"/>
      <c r="I1624" s="115"/>
      <c r="L1624" s="169">
        <v>44396</v>
      </c>
      <c r="M1624" s="115">
        <v>309.14999999999998</v>
      </c>
      <c r="N1624" s="115">
        <v>313.95</v>
      </c>
      <c r="O1624" s="115">
        <v>305.45</v>
      </c>
      <c r="P1624" s="115">
        <v>310.10000000000002</v>
      </c>
      <c r="Q1624" s="115">
        <v>309.14999999999998</v>
      </c>
      <c r="R1624">
        <v>124502</v>
      </c>
    </row>
    <row r="1625" spans="1:18" x14ac:dyDescent="0.25">
      <c r="A1625" s="169">
        <v>44399</v>
      </c>
      <c r="B1625" s="115">
        <v>320</v>
      </c>
      <c r="C1625" s="115">
        <v>314.8</v>
      </c>
      <c r="D1625" s="115">
        <v>307.45</v>
      </c>
      <c r="E1625" s="115">
        <v>307.45</v>
      </c>
      <c r="F1625" s="115">
        <v>314.8</v>
      </c>
      <c r="G1625">
        <v>16057</v>
      </c>
      <c r="H1625" s="115"/>
      <c r="I1625" s="115"/>
      <c r="L1625" s="169">
        <v>44397</v>
      </c>
      <c r="M1625" s="115">
        <v>304.05</v>
      </c>
      <c r="N1625" s="115">
        <v>312.3</v>
      </c>
      <c r="O1625" s="115">
        <v>297.89999999999998</v>
      </c>
      <c r="P1625" s="115">
        <v>312.3</v>
      </c>
      <c r="Q1625" s="115">
        <v>304.05</v>
      </c>
      <c r="R1625">
        <v>124717</v>
      </c>
    </row>
    <row r="1626" spans="1:18" x14ac:dyDescent="0.25">
      <c r="A1626" s="169">
        <v>44400</v>
      </c>
      <c r="B1626" s="115">
        <v>317</v>
      </c>
      <c r="C1626" s="115">
        <v>312.3</v>
      </c>
      <c r="D1626" s="115">
        <v>309.60000000000002</v>
      </c>
      <c r="E1626" s="115">
        <v>315</v>
      </c>
      <c r="F1626" s="115">
        <v>312.3</v>
      </c>
      <c r="G1626">
        <v>15982</v>
      </c>
      <c r="H1626" s="115"/>
      <c r="I1626" s="115"/>
      <c r="L1626" s="169">
        <v>44399</v>
      </c>
      <c r="M1626" s="115">
        <v>313.60000000000002</v>
      </c>
      <c r="N1626" s="115">
        <v>316.05</v>
      </c>
      <c r="O1626" s="115">
        <v>304.2</v>
      </c>
      <c r="P1626" s="115">
        <v>304.2</v>
      </c>
      <c r="Q1626" s="115">
        <v>313.60000000000002</v>
      </c>
      <c r="R1626">
        <v>197763</v>
      </c>
    </row>
    <row r="1627" spans="1:18" x14ac:dyDescent="0.25">
      <c r="A1627" s="169">
        <v>44403</v>
      </c>
      <c r="B1627" s="115">
        <v>316.25</v>
      </c>
      <c r="C1627" s="115">
        <v>310.5</v>
      </c>
      <c r="D1627" s="115">
        <v>309.55</v>
      </c>
      <c r="E1627" s="115">
        <v>311.14999999999998</v>
      </c>
      <c r="F1627" s="115">
        <v>310.5</v>
      </c>
      <c r="G1627">
        <v>3782</v>
      </c>
      <c r="H1627" s="115"/>
      <c r="I1627" s="115"/>
      <c r="L1627" s="169">
        <v>44400</v>
      </c>
      <c r="M1627" s="115">
        <v>312.5</v>
      </c>
      <c r="N1627" s="115">
        <v>317.7</v>
      </c>
      <c r="O1627" s="115">
        <v>309.3</v>
      </c>
      <c r="P1627" s="115">
        <v>311.7</v>
      </c>
      <c r="Q1627" s="115">
        <v>312.5</v>
      </c>
      <c r="R1627">
        <v>113569</v>
      </c>
    </row>
    <row r="1628" spans="1:18" x14ac:dyDescent="0.25">
      <c r="A1628" s="169">
        <v>44404</v>
      </c>
      <c r="B1628" s="115">
        <v>312.10000000000002</v>
      </c>
      <c r="C1628" s="115">
        <v>304.45</v>
      </c>
      <c r="D1628" s="115">
        <v>302.55</v>
      </c>
      <c r="E1628" s="115">
        <v>311.85000000000002</v>
      </c>
      <c r="F1628" s="115">
        <v>304.45</v>
      </c>
      <c r="G1628">
        <v>2805</v>
      </c>
      <c r="H1628" s="115"/>
      <c r="I1628" s="115"/>
      <c r="L1628" s="169">
        <v>44403</v>
      </c>
      <c r="M1628" s="115">
        <v>310.7</v>
      </c>
      <c r="N1628" s="115">
        <v>316</v>
      </c>
      <c r="O1628" s="115">
        <v>309.3</v>
      </c>
      <c r="P1628" s="115">
        <v>315.7</v>
      </c>
      <c r="Q1628" s="115">
        <v>310.7</v>
      </c>
      <c r="R1628">
        <v>63807</v>
      </c>
    </row>
    <row r="1629" spans="1:18" x14ac:dyDescent="0.25">
      <c r="A1629" s="169">
        <v>44405</v>
      </c>
      <c r="B1629" s="115">
        <v>308.60000000000002</v>
      </c>
      <c r="C1629" s="115">
        <v>303.39999999999998</v>
      </c>
      <c r="D1629" s="115">
        <v>292.45</v>
      </c>
      <c r="E1629" s="115">
        <v>305</v>
      </c>
      <c r="F1629" s="115">
        <v>303.39999999999998</v>
      </c>
      <c r="G1629">
        <v>8852</v>
      </c>
      <c r="H1629" s="115"/>
      <c r="I1629" s="115"/>
      <c r="L1629" s="169">
        <v>44404</v>
      </c>
      <c r="M1629" s="115">
        <v>304.14999999999998</v>
      </c>
      <c r="N1629" s="115">
        <v>312.8</v>
      </c>
      <c r="O1629" s="115">
        <v>301.8</v>
      </c>
      <c r="P1629" s="115">
        <v>312.8</v>
      </c>
      <c r="Q1629" s="115">
        <v>304.14999999999998</v>
      </c>
      <c r="R1629">
        <v>73955</v>
      </c>
    </row>
    <row r="1630" spans="1:18" x14ac:dyDescent="0.25">
      <c r="A1630" s="169">
        <v>44406</v>
      </c>
      <c r="B1630" s="115">
        <v>310.75</v>
      </c>
      <c r="C1630" s="115">
        <v>305.3</v>
      </c>
      <c r="D1630" s="115">
        <v>293</v>
      </c>
      <c r="E1630" s="115">
        <v>293</v>
      </c>
      <c r="F1630" s="115">
        <v>305.3</v>
      </c>
      <c r="G1630">
        <v>4848</v>
      </c>
      <c r="H1630" s="115"/>
      <c r="I1630" s="115"/>
      <c r="L1630" s="169">
        <v>44405</v>
      </c>
      <c r="M1630" s="115">
        <v>304.85000000000002</v>
      </c>
      <c r="N1630" s="115">
        <v>308.5</v>
      </c>
      <c r="O1630" s="115">
        <v>292.3</v>
      </c>
      <c r="P1630" s="115">
        <v>305</v>
      </c>
      <c r="Q1630" s="115">
        <v>304.85000000000002</v>
      </c>
      <c r="R1630">
        <v>82341</v>
      </c>
    </row>
    <row r="1631" spans="1:18" x14ac:dyDescent="0.25">
      <c r="A1631" s="169">
        <v>44407</v>
      </c>
      <c r="B1631" s="115">
        <v>306.14999999999998</v>
      </c>
      <c r="C1631" s="115">
        <v>301</v>
      </c>
      <c r="D1631" s="115">
        <v>299.85000000000002</v>
      </c>
      <c r="E1631" s="115">
        <v>305.25</v>
      </c>
      <c r="F1631" s="115">
        <v>301</v>
      </c>
      <c r="G1631">
        <v>5836</v>
      </c>
      <c r="H1631" s="115"/>
      <c r="I1631" s="115"/>
      <c r="L1631" s="169">
        <v>44406</v>
      </c>
      <c r="M1631" s="115">
        <v>304.75</v>
      </c>
      <c r="N1631" s="115">
        <v>311</v>
      </c>
      <c r="O1631" s="115">
        <v>303.14999999999998</v>
      </c>
      <c r="P1631" s="115">
        <v>306.14999999999998</v>
      </c>
      <c r="Q1631" s="115">
        <v>304.75</v>
      </c>
      <c r="R1631">
        <v>85555</v>
      </c>
    </row>
    <row r="1632" spans="1:18" x14ac:dyDescent="0.25">
      <c r="A1632" s="169">
        <v>44410</v>
      </c>
      <c r="B1632" s="115">
        <v>313.64999999999998</v>
      </c>
      <c r="C1632" s="115">
        <v>309.5</v>
      </c>
      <c r="D1632" s="115">
        <v>300.64999999999998</v>
      </c>
      <c r="E1632" s="115">
        <v>303.05</v>
      </c>
      <c r="F1632" s="115">
        <v>309.5</v>
      </c>
      <c r="G1632">
        <v>7210</v>
      </c>
      <c r="H1632" s="115"/>
      <c r="I1632" s="115"/>
      <c r="L1632" s="169">
        <v>44407</v>
      </c>
      <c r="M1632" s="115">
        <v>301.5</v>
      </c>
      <c r="N1632" s="115">
        <v>306.85000000000002</v>
      </c>
      <c r="O1632" s="115">
        <v>300</v>
      </c>
      <c r="P1632" s="115">
        <v>306.85000000000002</v>
      </c>
      <c r="Q1632" s="115">
        <v>301.5</v>
      </c>
      <c r="R1632">
        <v>140088</v>
      </c>
    </row>
    <row r="1633" spans="1:18" x14ac:dyDescent="0.25">
      <c r="A1633" s="169">
        <v>44411</v>
      </c>
      <c r="B1633" s="115">
        <v>313.14999999999998</v>
      </c>
      <c r="C1633" s="115">
        <v>306.10000000000002</v>
      </c>
      <c r="D1633" s="115">
        <v>304.60000000000002</v>
      </c>
      <c r="E1633" s="115">
        <v>311.64999999999998</v>
      </c>
      <c r="F1633" s="115">
        <v>306.10000000000002</v>
      </c>
      <c r="G1633">
        <v>3215</v>
      </c>
      <c r="H1633" s="115"/>
      <c r="I1633" s="115"/>
      <c r="L1633" s="169">
        <v>44410</v>
      </c>
      <c r="M1633" s="115">
        <v>310.8</v>
      </c>
      <c r="N1633" s="115">
        <v>314</v>
      </c>
      <c r="O1633" s="115">
        <v>302</v>
      </c>
      <c r="P1633" s="115">
        <v>302</v>
      </c>
      <c r="Q1633" s="115">
        <v>310.8</v>
      </c>
      <c r="R1633">
        <v>118190</v>
      </c>
    </row>
    <row r="1634" spans="1:18" x14ac:dyDescent="0.25">
      <c r="A1634" s="169">
        <v>44412</v>
      </c>
      <c r="B1634" s="115">
        <v>328</v>
      </c>
      <c r="C1634" s="115">
        <v>311.7</v>
      </c>
      <c r="D1634" s="115">
        <v>306.5</v>
      </c>
      <c r="E1634" s="115">
        <v>307.3</v>
      </c>
      <c r="F1634" s="115">
        <v>311.7</v>
      </c>
      <c r="G1634">
        <v>36447</v>
      </c>
      <c r="H1634" s="115"/>
      <c r="I1634" s="115"/>
      <c r="L1634" s="169">
        <v>44411</v>
      </c>
      <c r="M1634" s="115">
        <v>307.45</v>
      </c>
      <c r="N1634" s="115">
        <v>314</v>
      </c>
      <c r="O1634" s="115">
        <v>306</v>
      </c>
      <c r="P1634" s="115">
        <v>313</v>
      </c>
      <c r="Q1634" s="115">
        <v>307.45</v>
      </c>
      <c r="R1634">
        <v>54313</v>
      </c>
    </row>
    <row r="1635" spans="1:18" x14ac:dyDescent="0.25">
      <c r="A1635" s="169">
        <v>44413</v>
      </c>
      <c r="B1635" s="115">
        <v>319.5</v>
      </c>
      <c r="C1635" s="115">
        <v>314.95</v>
      </c>
      <c r="D1635" s="115">
        <v>312.89999999999998</v>
      </c>
      <c r="E1635" s="115">
        <v>312.89999999999998</v>
      </c>
      <c r="F1635" s="115">
        <v>314.95</v>
      </c>
      <c r="G1635">
        <v>7880</v>
      </c>
      <c r="H1635" s="115"/>
      <c r="I1635" s="115"/>
      <c r="L1635" s="169">
        <v>44412</v>
      </c>
      <c r="M1635" s="115">
        <v>311.85000000000002</v>
      </c>
      <c r="N1635" s="115">
        <v>328</v>
      </c>
      <c r="O1635" s="115">
        <v>306.10000000000002</v>
      </c>
      <c r="P1635" s="115">
        <v>307.45</v>
      </c>
      <c r="Q1635" s="115">
        <v>311.85000000000002</v>
      </c>
      <c r="R1635">
        <v>1101297</v>
      </c>
    </row>
    <row r="1636" spans="1:18" x14ac:dyDescent="0.25">
      <c r="A1636" s="169">
        <v>44414</v>
      </c>
      <c r="B1636" s="115">
        <v>322</v>
      </c>
      <c r="C1636" s="115">
        <v>314.2</v>
      </c>
      <c r="D1636" s="115">
        <v>312.14999999999998</v>
      </c>
      <c r="E1636" s="115">
        <v>319.89999999999998</v>
      </c>
      <c r="F1636" s="115">
        <v>314.2</v>
      </c>
      <c r="G1636">
        <v>4941</v>
      </c>
      <c r="H1636" s="115"/>
      <c r="I1636" s="115"/>
      <c r="L1636" s="169">
        <v>44413</v>
      </c>
      <c r="M1636" s="115">
        <v>315.75</v>
      </c>
      <c r="N1636" s="115">
        <v>319.55</v>
      </c>
      <c r="O1636" s="115">
        <v>312.05</v>
      </c>
      <c r="P1636" s="115">
        <v>313</v>
      </c>
      <c r="Q1636" s="115">
        <v>315.75</v>
      </c>
      <c r="R1636">
        <v>284016</v>
      </c>
    </row>
    <row r="1637" spans="1:18" x14ac:dyDescent="0.25">
      <c r="A1637" s="169">
        <v>44417</v>
      </c>
      <c r="B1637" s="115">
        <v>326.8</v>
      </c>
      <c r="C1637" s="115">
        <v>310.05</v>
      </c>
      <c r="D1637" s="115">
        <v>307.14999999999998</v>
      </c>
      <c r="E1637" s="115">
        <v>326.8</v>
      </c>
      <c r="F1637" s="115">
        <v>310.05</v>
      </c>
      <c r="G1637">
        <v>8217</v>
      </c>
      <c r="H1637" s="115"/>
      <c r="I1637" s="115"/>
      <c r="L1637" s="169">
        <v>44414</v>
      </c>
      <c r="M1637" s="115">
        <v>314.89999999999998</v>
      </c>
      <c r="N1637" s="115">
        <v>322</v>
      </c>
      <c r="O1637" s="115">
        <v>312</v>
      </c>
      <c r="P1637" s="115">
        <v>314.60000000000002</v>
      </c>
      <c r="Q1637" s="115">
        <v>314.89999999999998</v>
      </c>
      <c r="R1637">
        <v>134363</v>
      </c>
    </row>
    <row r="1638" spans="1:18" x14ac:dyDescent="0.25">
      <c r="A1638" s="169">
        <v>44418</v>
      </c>
      <c r="B1638" s="115">
        <v>313.60000000000002</v>
      </c>
      <c r="C1638" s="115">
        <v>293.10000000000002</v>
      </c>
      <c r="D1638" s="115">
        <v>283.10000000000002</v>
      </c>
      <c r="E1638" s="115">
        <v>309.75</v>
      </c>
      <c r="F1638" s="115">
        <v>293.10000000000002</v>
      </c>
      <c r="G1638">
        <v>8181</v>
      </c>
      <c r="H1638" s="115"/>
      <c r="I1638" s="115"/>
      <c r="L1638" s="169">
        <v>44417</v>
      </c>
      <c r="M1638" s="115">
        <v>310.60000000000002</v>
      </c>
      <c r="N1638" s="115">
        <v>320</v>
      </c>
      <c r="O1638" s="115">
        <v>309</v>
      </c>
      <c r="P1638" s="115">
        <v>316.5</v>
      </c>
      <c r="Q1638" s="115">
        <v>310.60000000000002</v>
      </c>
      <c r="R1638">
        <v>120470</v>
      </c>
    </row>
    <row r="1639" spans="1:18" x14ac:dyDescent="0.25">
      <c r="A1639" s="169">
        <v>44419</v>
      </c>
      <c r="B1639" s="115">
        <v>283.8</v>
      </c>
      <c r="C1639" s="115">
        <v>275.85000000000002</v>
      </c>
      <c r="D1639" s="115">
        <v>266.5</v>
      </c>
      <c r="E1639" s="115">
        <v>282.8</v>
      </c>
      <c r="F1639" s="115">
        <v>275.85000000000002</v>
      </c>
      <c r="G1639">
        <v>30470</v>
      </c>
      <c r="H1639" s="115"/>
      <c r="I1639" s="115"/>
      <c r="L1639" s="169">
        <v>44418</v>
      </c>
      <c r="M1639" s="115">
        <v>293.55</v>
      </c>
      <c r="N1639" s="115">
        <v>314</v>
      </c>
      <c r="O1639" s="115">
        <v>281.25</v>
      </c>
      <c r="P1639" s="115">
        <v>311.5</v>
      </c>
      <c r="Q1639" s="115">
        <v>293.55</v>
      </c>
      <c r="R1639">
        <v>191351</v>
      </c>
    </row>
    <row r="1640" spans="1:18" x14ac:dyDescent="0.25">
      <c r="A1640" s="169">
        <v>44420</v>
      </c>
      <c r="B1640" s="115">
        <v>283.89999999999998</v>
      </c>
      <c r="C1640" s="115">
        <v>281.64999999999998</v>
      </c>
      <c r="D1640" s="115">
        <v>276.55</v>
      </c>
      <c r="E1640" s="115">
        <v>278.85000000000002</v>
      </c>
      <c r="F1640" s="115">
        <v>281.64999999999998</v>
      </c>
      <c r="G1640">
        <v>21315</v>
      </c>
      <c r="H1640" s="115"/>
      <c r="I1640" s="115"/>
      <c r="L1640" s="169">
        <v>44419</v>
      </c>
      <c r="M1640" s="115">
        <v>275.25</v>
      </c>
      <c r="N1640" s="115">
        <v>282.7</v>
      </c>
      <c r="O1640" s="115">
        <v>266.05</v>
      </c>
      <c r="P1640" s="115">
        <v>279</v>
      </c>
      <c r="Q1640" s="115">
        <v>275.25</v>
      </c>
      <c r="R1640">
        <v>362494</v>
      </c>
    </row>
    <row r="1641" spans="1:18" x14ac:dyDescent="0.25">
      <c r="A1641" s="169">
        <v>44421</v>
      </c>
      <c r="B1641" s="115">
        <v>288.39999999999998</v>
      </c>
      <c r="C1641" s="115">
        <v>268.7</v>
      </c>
      <c r="D1641" s="115">
        <v>266.5</v>
      </c>
      <c r="E1641" s="115">
        <v>282</v>
      </c>
      <c r="F1641" s="115">
        <v>268.7</v>
      </c>
      <c r="G1641">
        <v>29566</v>
      </c>
      <c r="H1641" s="115"/>
      <c r="I1641" s="115"/>
      <c r="L1641" s="169">
        <v>44420</v>
      </c>
      <c r="M1641" s="115">
        <v>281.14999999999998</v>
      </c>
      <c r="N1641" s="115">
        <v>284</v>
      </c>
      <c r="O1641" s="115">
        <v>276.5</v>
      </c>
      <c r="P1641" s="115">
        <v>278.60000000000002</v>
      </c>
      <c r="Q1641" s="115">
        <v>281.14999999999998</v>
      </c>
      <c r="R1641">
        <v>139129</v>
      </c>
    </row>
    <row r="1642" spans="1:18" x14ac:dyDescent="0.25">
      <c r="A1642" s="169">
        <v>44424</v>
      </c>
      <c r="B1642" s="115">
        <v>276</v>
      </c>
      <c r="C1642" s="115">
        <v>272.39999999999998</v>
      </c>
      <c r="D1642" s="115">
        <v>267.45</v>
      </c>
      <c r="E1642" s="115">
        <v>272.55</v>
      </c>
      <c r="F1642" s="115">
        <v>272.39999999999998</v>
      </c>
      <c r="G1642">
        <v>6495</v>
      </c>
      <c r="H1642" s="115"/>
      <c r="I1642" s="115"/>
      <c r="L1642" s="169">
        <v>44421</v>
      </c>
      <c r="M1642" s="115">
        <v>269.35000000000002</v>
      </c>
      <c r="N1642" s="115">
        <v>288.85000000000002</v>
      </c>
      <c r="O1642" s="115">
        <v>266</v>
      </c>
      <c r="P1642" s="115">
        <v>284.5</v>
      </c>
      <c r="Q1642" s="115">
        <v>269.35000000000002</v>
      </c>
      <c r="R1642">
        <v>411026</v>
      </c>
    </row>
    <row r="1643" spans="1:18" x14ac:dyDescent="0.25">
      <c r="A1643" s="169">
        <v>44425</v>
      </c>
      <c r="B1643" s="115">
        <v>274.2</v>
      </c>
      <c r="C1643" s="115">
        <v>269.45</v>
      </c>
      <c r="D1643" s="115">
        <v>268.5</v>
      </c>
      <c r="E1643" s="115">
        <v>271.75</v>
      </c>
      <c r="F1643" s="115">
        <v>269.45</v>
      </c>
      <c r="G1643">
        <v>7104</v>
      </c>
      <c r="H1643" s="115"/>
      <c r="I1643" s="115"/>
      <c r="L1643" s="169">
        <v>44424</v>
      </c>
      <c r="M1643" s="115">
        <v>271.89999999999998</v>
      </c>
      <c r="N1643" s="115">
        <v>276.45</v>
      </c>
      <c r="O1643" s="115">
        <v>267.05</v>
      </c>
      <c r="P1643" s="115">
        <v>272</v>
      </c>
      <c r="Q1643" s="115">
        <v>271.89999999999998</v>
      </c>
      <c r="R1643">
        <v>88816</v>
      </c>
    </row>
    <row r="1644" spans="1:18" x14ac:dyDescent="0.25">
      <c r="A1644" s="169">
        <v>44426</v>
      </c>
      <c r="B1644" s="115">
        <v>273.75</v>
      </c>
      <c r="C1644" s="115">
        <v>271</v>
      </c>
      <c r="D1644" s="115">
        <v>268.85000000000002</v>
      </c>
      <c r="E1644" s="115">
        <v>270</v>
      </c>
      <c r="F1644" s="115">
        <v>271</v>
      </c>
      <c r="G1644">
        <v>6385</v>
      </c>
      <c r="H1644" s="115"/>
      <c r="I1644" s="115"/>
      <c r="L1644" s="169">
        <v>44425</v>
      </c>
      <c r="M1644" s="115">
        <v>269.10000000000002</v>
      </c>
      <c r="N1644" s="115">
        <v>274.45</v>
      </c>
      <c r="O1644" s="115">
        <v>267.10000000000002</v>
      </c>
      <c r="P1644" s="115">
        <v>272</v>
      </c>
      <c r="Q1644" s="115">
        <v>269.10000000000002</v>
      </c>
      <c r="R1644">
        <v>59449</v>
      </c>
    </row>
    <row r="1645" spans="1:18" x14ac:dyDescent="0.25">
      <c r="A1645" s="169">
        <v>44428</v>
      </c>
      <c r="B1645" s="115">
        <v>271.95</v>
      </c>
      <c r="C1645" s="115">
        <v>267.60000000000002</v>
      </c>
      <c r="D1645" s="115">
        <v>266.05</v>
      </c>
      <c r="E1645" s="115">
        <v>271</v>
      </c>
      <c r="F1645" s="115">
        <v>267.60000000000002</v>
      </c>
      <c r="G1645">
        <v>6718</v>
      </c>
      <c r="H1645" s="115"/>
      <c r="I1645" s="115"/>
      <c r="L1645" s="169">
        <v>44426</v>
      </c>
      <c r="M1645" s="115">
        <v>270.8</v>
      </c>
      <c r="N1645" s="115">
        <v>275</v>
      </c>
      <c r="O1645" s="115">
        <v>268.95</v>
      </c>
      <c r="P1645" s="115">
        <v>273.95</v>
      </c>
      <c r="Q1645" s="115">
        <v>270.8</v>
      </c>
      <c r="R1645">
        <v>54242</v>
      </c>
    </row>
    <row r="1646" spans="1:18" x14ac:dyDescent="0.25">
      <c r="A1646" s="169">
        <v>44431</v>
      </c>
      <c r="B1646" s="115">
        <v>276.45</v>
      </c>
      <c r="C1646" s="115">
        <v>262.89999999999998</v>
      </c>
      <c r="D1646" s="115">
        <v>261</v>
      </c>
      <c r="E1646" s="115">
        <v>272.95</v>
      </c>
      <c r="F1646" s="115">
        <v>262.89999999999998</v>
      </c>
      <c r="G1646">
        <v>6829</v>
      </c>
      <c r="H1646" s="115"/>
      <c r="I1646" s="115"/>
      <c r="L1646" s="169">
        <v>44428</v>
      </c>
      <c r="M1646" s="115">
        <v>267.2</v>
      </c>
      <c r="N1646" s="115">
        <v>271.95</v>
      </c>
      <c r="O1646" s="115">
        <v>266.05</v>
      </c>
      <c r="P1646" s="115">
        <v>269.85000000000002</v>
      </c>
      <c r="Q1646" s="115">
        <v>267.2</v>
      </c>
      <c r="R1646">
        <v>102806</v>
      </c>
    </row>
    <row r="1647" spans="1:18" x14ac:dyDescent="0.25">
      <c r="A1647" s="169">
        <v>44432</v>
      </c>
      <c r="B1647" s="115">
        <v>266.39999999999998</v>
      </c>
      <c r="C1647" s="115">
        <v>262.89999999999998</v>
      </c>
      <c r="D1647" s="115">
        <v>261.7</v>
      </c>
      <c r="E1647" s="115">
        <v>262.95</v>
      </c>
      <c r="F1647" s="115">
        <v>262.89999999999998</v>
      </c>
      <c r="G1647">
        <v>3819</v>
      </c>
      <c r="H1647" s="115"/>
      <c r="I1647" s="115"/>
      <c r="L1647" s="169">
        <v>44431</v>
      </c>
      <c r="M1647" s="115">
        <v>262.8</v>
      </c>
      <c r="N1647" s="115">
        <v>273</v>
      </c>
      <c r="O1647" s="115">
        <v>261.25</v>
      </c>
      <c r="P1647" s="115">
        <v>267.3</v>
      </c>
      <c r="Q1647" s="115">
        <v>262.8</v>
      </c>
      <c r="R1647">
        <v>47665</v>
      </c>
    </row>
    <row r="1648" spans="1:18" x14ac:dyDescent="0.25">
      <c r="A1648" s="169">
        <v>44433</v>
      </c>
      <c r="B1648" s="115">
        <v>270.89999999999998</v>
      </c>
      <c r="C1648" s="115">
        <v>262.95</v>
      </c>
      <c r="D1648" s="115">
        <v>262</v>
      </c>
      <c r="E1648" s="115">
        <v>270.89999999999998</v>
      </c>
      <c r="F1648" s="115">
        <v>262.95</v>
      </c>
      <c r="G1648">
        <v>4807</v>
      </c>
      <c r="H1648" s="115"/>
      <c r="I1648" s="115"/>
      <c r="L1648" s="169">
        <v>44432</v>
      </c>
      <c r="M1648" s="115">
        <v>263.75</v>
      </c>
      <c r="N1648" s="115">
        <v>266.35000000000002</v>
      </c>
      <c r="O1648" s="115">
        <v>261.8</v>
      </c>
      <c r="P1648" s="115">
        <v>262.60000000000002</v>
      </c>
      <c r="Q1648" s="115">
        <v>263.75</v>
      </c>
      <c r="R1648">
        <v>31758</v>
      </c>
    </row>
    <row r="1649" spans="1:18" x14ac:dyDescent="0.25">
      <c r="A1649" s="169">
        <v>44434</v>
      </c>
      <c r="B1649" s="115">
        <v>265.95</v>
      </c>
      <c r="C1649" s="115">
        <v>264.39999999999998</v>
      </c>
      <c r="D1649" s="115">
        <v>262</v>
      </c>
      <c r="E1649" s="115">
        <v>262</v>
      </c>
      <c r="F1649" s="115">
        <v>264.39999999999998</v>
      </c>
      <c r="G1649">
        <v>4687</v>
      </c>
      <c r="H1649" s="115"/>
      <c r="I1649" s="115"/>
      <c r="L1649" s="169">
        <v>44433</v>
      </c>
      <c r="M1649" s="115">
        <v>262.39999999999998</v>
      </c>
      <c r="N1649" s="115">
        <v>269.45</v>
      </c>
      <c r="O1649" s="115">
        <v>260.55</v>
      </c>
      <c r="P1649" s="115">
        <v>266.60000000000002</v>
      </c>
      <c r="Q1649" s="115">
        <v>262.39999999999998</v>
      </c>
      <c r="R1649">
        <v>61564</v>
      </c>
    </row>
    <row r="1650" spans="1:18" x14ac:dyDescent="0.25">
      <c r="A1650" s="169">
        <v>44435</v>
      </c>
      <c r="B1650" s="115">
        <v>268</v>
      </c>
      <c r="C1650" s="115">
        <v>262.64999999999998</v>
      </c>
      <c r="D1650" s="115">
        <v>260.5</v>
      </c>
      <c r="E1650" s="115">
        <v>267.8</v>
      </c>
      <c r="F1650" s="115">
        <v>262.64999999999998</v>
      </c>
      <c r="G1650">
        <v>5115</v>
      </c>
      <c r="H1650" s="115"/>
      <c r="I1650" s="115"/>
      <c r="L1650" s="169">
        <v>44434</v>
      </c>
      <c r="M1650" s="115">
        <v>264.3</v>
      </c>
      <c r="N1650" s="115">
        <v>265.85000000000002</v>
      </c>
      <c r="O1650" s="115">
        <v>262</v>
      </c>
      <c r="P1650" s="115">
        <v>262</v>
      </c>
      <c r="Q1650" s="115">
        <v>264.3</v>
      </c>
      <c r="R1650">
        <v>32688</v>
      </c>
    </row>
    <row r="1651" spans="1:18" x14ac:dyDescent="0.25">
      <c r="A1651" s="169">
        <v>44438</v>
      </c>
      <c r="B1651" s="115">
        <v>266</v>
      </c>
      <c r="C1651" s="115">
        <v>263.10000000000002</v>
      </c>
      <c r="D1651" s="115">
        <v>261.25</v>
      </c>
      <c r="E1651" s="115">
        <v>263.89999999999998</v>
      </c>
      <c r="F1651" s="115">
        <v>263.10000000000002</v>
      </c>
      <c r="G1651">
        <v>2202</v>
      </c>
      <c r="H1651" s="115"/>
      <c r="I1651" s="115"/>
      <c r="L1651" s="169">
        <v>44435</v>
      </c>
      <c r="M1651" s="115">
        <v>262.7</v>
      </c>
      <c r="N1651" s="115">
        <v>267.2</v>
      </c>
      <c r="O1651" s="115">
        <v>262.10000000000002</v>
      </c>
      <c r="P1651" s="115">
        <v>265.85000000000002</v>
      </c>
      <c r="Q1651" s="115">
        <v>262.7</v>
      </c>
      <c r="R1651">
        <v>33861</v>
      </c>
    </row>
    <row r="1652" spans="1:18" x14ac:dyDescent="0.25">
      <c r="A1652" s="169">
        <v>44439</v>
      </c>
      <c r="B1652" s="115">
        <v>268</v>
      </c>
      <c r="C1652" s="115">
        <v>265</v>
      </c>
      <c r="D1652" s="115">
        <v>261.10000000000002</v>
      </c>
      <c r="E1652" s="115">
        <v>261.10000000000002</v>
      </c>
      <c r="F1652" s="115">
        <v>265</v>
      </c>
      <c r="G1652">
        <v>4741</v>
      </c>
      <c r="H1652" s="115"/>
      <c r="I1652" s="115"/>
      <c r="L1652" s="169">
        <v>44438</v>
      </c>
      <c r="M1652" s="115">
        <v>262.55</v>
      </c>
      <c r="N1652" s="115">
        <v>268.95</v>
      </c>
      <c r="O1652" s="115">
        <v>261.10000000000002</v>
      </c>
      <c r="P1652" s="115">
        <v>263</v>
      </c>
      <c r="Q1652" s="115">
        <v>262.55</v>
      </c>
      <c r="R1652">
        <v>73227</v>
      </c>
    </row>
    <row r="1653" spans="1:18" x14ac:dyDescent="0.25">
      <c r="A1653" s="169">
        <v>44440</v>
      </c>
      <c r="B1653" s="115">
        <v>274</v>
      </c>
      <c r="C1653" s="115">
        <v>272.05</v>
      </c>
      <c r="D1653" s="115">
        <v>266.45</v>
      </c>
      <c r="E1653" s="115">
        <v>272.14999999999998</v>
      </c>
      <c r="F1653" s="115">
        <v>272.05</v>
      </c>
      <c r="G1653">
        <v>5098</v>
      </c>
      <c r="H1653" s="115"/>
      <c r="I1653" s="115"/>
      <c r="L1653" s="169">
        <v>44439</v>
      </c>
      <c r="M1653" s="115">
        <v>265.3</v>
      </c>
      <c r="N1653" s="115">
        <v>268</v>
      </c>
      <c r="O1653" s="115">
        <v>262.05</v>
      </c>
      <c r="P1653" s="115">
        <v>264.85000000000002</v>
      </c>
      <c r="Q1653" s="115">
        <v>265.3</v>
      </c>
      <c r="R1653">
        <v>58511</v>
      </c>
    </row>
    <row r="1654" spans="1:18" x14ac:dyDescent="0.25">
      <c r="A1654" s="169">
        <v>44441</v>
      </c>
      <c r="B1654" s="115">
        <v>275.45</v>
      </c>
      <c r="C1654" s="115">
        <v>271.5</v>
      </c>
      <c r="D1654" s="115">
        <v>269.35000000000002</v>
      </c>
      <c r="E1654" s="115">
        <v>272.64999999999998</v>
      </c>
      <c r="F1654" s="115">
        <v>271.5</v>
      </c>
      <c r="G1654">
        <v>7043</v>
      </c>
      <c r="H1654" s="115"/>
      <c r="I1654" s="115"/>
      <c r="L1654" s="169">
        <v>44440</v>
      </c>
      <c r="M1654" s="115">
        <v>271.85000000000002</v>
      </c>
      <c r="N1654" s="115">
        <v>274.35000000000002</v>
      </c>
      <c r="O1654" s="115">
        <v>266.05</v>
      </c>
      <c r="P1654" s="115">
        <v>268.95</v>
      </c>
      <c r="Q1654" s="115">
        <v>271.85000000000002</v>
      </c>
      <c r="R1654">
        <v>94984</v>
      </c>
    </row>
    <row r="1655" spans="1:18" x14ac:dyDescent="0.25">
      <c r="A1655" s="169">
        <v>44442</v>
      </c>
      <c r="B1655" s="115">
        <v>274.05</v>
      </c>
      <c r="C1655" s="115">
        <v>270.39999999999998</v>
      </c>
      <c r="D1655" s="115">
        <v>268</v>
      </c>
      <c r="E1655" s="115">
        <v>274.05</v>
      </c>
      <c r="F1655" s="115">
        <v>270.39999999999998</v>
      </c>
      <c r="G1655">
        <v>2751</v>
      </c>
      <c r="H1655" s="115"/>
      <c r="I1655" s="115"/>
      <c r="L1655" s="169">
        <v>44441</v>
      </c>
      <c r="M1655" s="115">
        <v>272.64999999999998</v>
      </c>
      <c r="N1655" s="115">
        <v>274.89999999999998</v>
      </c>
      <c r="O1655" s="115">
        <v>270</v>
      </c>
      <c r="P1655" s="115">
        <v>274.89999999999998</v>
      </c>
      <c r="Q1655" s="115">
        <v>272.64999999999998</v>
      </c>
      <c r="R1655">
        <v>45793</v>
      </c>
    </row>
    <row r="1656" spans="1:18" x14ac:dyDescent="0.25">
      <c r="A1656" s="169">
        <v>44445</v>
      </c>
      <c r="B1656" s="115">
        <v>272</v>
      </c>
      <c r="C1656" s="115">
        <v>264.60000000000002</v>
      </c>
      <c r="D1656" s="115">
        <v>264</v>
      </c>
      <c r="E1656" s="115">
        <v>271.85000000000002</v>
      </c>
      <c r="F1656" s="115">
        <v>264.60000000000002</v>
      </c>
      <c r="G1656">
        <v>15637</v>
      </c>
      <c r="H1656" s="115"/>
      <c r="I1656" s="115"/>
      <c r="L1656" s="169">
        <v>44442</v>
      </c>
      <c r="M1656" s="115">
        <v>269.60000000000002</v>
      </c>
      <c r="N1656" s="115">
        <v>275.2</v>
      </c>
      <c r="O1656" s="115">
        <v>267.89999999999998</v>
      </c>
      <c r="P1656" s="115">
        <v>274.95</v>
      </c>
      <c r="Q1656" s="115">
        <v>269.60000000000002</v>
      </c>
      <c r="R1656">
        <v>65132</v>
      </c>
    </row>
    <row r="1657" spans="1:18" x14ac:dyDescent="0.25">
      <c r="A1657" s="169">
        <v>44446</v>
      </c>
      <c r="B1657" s="115">
        <v>266</v>
      </c>
      <c r="C1657" s="115">
        <v>264.2</v>
      </c>
      <c r="D1657" s="115">
        <v>263.45</v>
      </c>
      <c r="E1657" s="115">
        <v>263.7</v>
      </c>
      <c r="F1657" s="115">
        <v>264.2</v>
      </c>
      <c r="G1657">
        <v>5854</v>
      </c>
      <c r="H1657" s="115"/>
      <c r="I1657" s="115"/>
      <c r="L1657" s="169">
        <v>44445</v>
      </c>
      <c r="M1657" s="115">
        <v>264.45</v>
      </c>
      <c r="N1657" s="115">
        <v>272.85000000000002</v>
      </c>
      <c r="O1657" s="115">
        <v>263.05</v>
      </c>
      <c r="P1657" s="115">
        <v>272.85000000000002</v>
      </c>
      <c r="Q1657" s="115">
        <v>264.45</v>
      </c>
      <c r="R1657">
        <v>80224</v>
      </c>
    </row>
    <row r="1658" spans="1:18" x14ac:dyDescent="0.25">
      <c r="A1658" s="169">
        <v>44447</v>
      </c>
      <c r="B1658" s="115">
        <v>266</v>
      </c>
      <c r="C1658" s="115">
        <v>265.05</v>
      </c>
      <c r="D1658" s="115">
        <v>263.3</v>
      </c>
      <c r="E1658" s="115">
        <v>264.75</v>
      </c>
      <c r="F1658" s="115">
        <v>265.05</v>
      </c>
      <c r="G1658">
        <v>3715</v>
      </c>
      <c r="H1658" s="115"/>
      <c r="I1658" s="115"/>
      <c r="L1658" s="169">
        <v>44446</v>
      </c>
      <c r="M1658" s="115">
        <v>263.85000000000002</v>
      </c>
      <c r="N1658" s="115">
        <v>266.60000000000002</v>
      </c>
      <c r="O1658" s="115">
        <v>263</v>
      </c>
      <c r="P1658" s="115">
        <v>266.55</v>
      </c>
      <c r="Q1658" s="115">
        <v>263.85000000000002</v>
      </c>
      <c r="R1658">
        <v>34976</v>
      </c>
    </row>
    <row r="1659" spans="1:18" x14ac:dyDescent="0.25">
      <c r="A1659" s="169">
        <v>44448</v>
      </c>
      <c r="B1659" s="115">
        <v>266.39999999999998</v>
      </c>
      <c r="C1659" s="115">
        <v>263.3</v>
      </c>
      <c r="D1659" s="115">
        <v>261</v>
      </c>
      <c r="E1659" s="115">
        <v>265.7</v>
      </c>
      <c r="F1659" s="115">
        <v>263.3</v>
      </c>
      <c r="G1659">
        <v>5605</v>
      </c>
      <c r="H1659" s="115"/>
      <c r="I1659" s="115"/>
      <c r="L1659" s="169">
        <v>44447</v>
      </c>
      <c r="M1659" s="115">
        <v>264.60000000000002</v>
      </c>
      <c r="N1659" s="115">
        <v>266</v>
      </c>
      <c r="O1659" s="115">
        <v>263.10000000000002</v>
      </c>
      <c r="P1659" s="115">
        <v>263.10000000000002</v>
      </c>
      <c r="Q1659" s="115">
        <v>264.60000000000002</v>
      </c>
      <c r="R1659">
        <v>41890</v>
      </c>
    </row>
    <row r="1660" spans="1:18" x14ac:dyDescent="0.25">
      <c r="A1660" s="169">
        <v>44452</v>
      </c>
      <c r="B1660" s="115">
        <v>265.55</v>
      </c>
      <c r="C1660" s="115">
        <v>263.10000000000002</v>
      </c>
      <c r="D1660" s="115">
        <v>261.39999999999998</v>
      </c>
      <c r="E1660" s="115">
        <v>262.10000000000002</v>
      </c>
      <c r="F1660" s="115">
        <v>263.10000000000002</v>
      </c>
      <c r="G1660">
        <v>4469</v>
      </c>
      <c r="H1660" s="115"/>
      <c r="I1660" s="115"/>
      <c r="L1660" s="169">
        <v>44448</v>
      </c>
      <c r="M1660" s="115">
        <v>263.10000000000002</v>
      </c>
      <c r="N1660" s="115">
        <v>266.60000000000002</v>
      </c>
      <c r="O1660" s="115">
        <v>262.05</v>
      </c>
      <c r="P1660" s="115">
        <v>266.5</v>
      </c>
      <c r="Q1660" s="115">
        <v>263.10000000000002</v>
      </c>
      <c r="R1660">
        <v>55185</v>
      </c>
    </row>
    <row r="1661" spans="1:18" x14ac:dyDescent="0.25">
      <c r="A1661" s="169">
        <v>44453</v>
      </c>
      <c r="B1661" s="115">
        <v>269.5</v>
      </c>
      <c r="C1661" s="115">
        <v>268.45</v>
      </c>
      <c r="D1661" s="115">
        <v>261</v>
      </c>
      <c r="E1661" s="115">
        <v>261</v>
      </c>
      <c r="F1661" s="115">
        <v>268.45</v>
      </c>
      <c r="G1661">
        <v>10301</v>
      </c>
      <c r="H1661" s="115"/>
      <c r="I1661" s="115"/>
      <c r="L1661" s="169">
        <v>44452</v>
      </c>
      <c r="M1661" s="115">
        <v>262.95</v>
      </c>
      <c r="N1661" s="115">
        <v>266</v>
      </c>
      <c r="O1661" s="115">
        <v>261</v>
      </c>
      <c r="P1661" s="115">
        <v>265.95</v>
      </c>
      <c r="Q1661" s="115">
        <v>262.95</v>
      </c>
      <c r="R1661">
        <v>51470</v>
      </c>
    </row>
    <row r="1662" spans="1:18" x14ac:dyDescent="0.25">
      <c r="A1662" s="169">
        <v>44454</v>
      </c>
      <c r="B1662" s="115">
        <v>273</v>
      </c>
      <c r="C1662" s="115">
        <v>270.75</v>
      </c>
      <c r="D1662" s="115">
        <v>266.45</v>
      </c>
      <c r="E1662" s="115">
        <v>270</v>
      </c>
      <c r="F1662" s="115">
        <v>270.75</v>
      </c>
      <c r="G1662">
        <v>11800</v>
      </c>
      <c r="H1662" s="115"/>
      <c r="I1662" s="115"/>
      <c r="L1662" s="169">
        <v>44453</v>
      </c>
      <c r="M1662" s="115">
        <v>268.35000000000002</v>
      </c>
      <c r="N1662" s="115">
        <v>270</v>
      </c>
      <c r="O1662" s="115">
        <v>262.95</v>
      </c>
      <c r="P1662" s="115">
        <v>263</v>
      </c>
      <c r="Q1662" s="115">
        <v>268.35000000000002</v>
      </c>
      <c r="R1662">
        <v>84437</v>
      </c>
    </row>
    <row r="1663" spans="1:18" x14ac:dyDescent="0.25">
      <c r="A1663" s="169">
        <v>44455</v>
      </c>
      <c r="B1663" s="115">
        <v>280.95</v>
      </c>
      <c r="C1663" s="115">
        <v>274.2</v>
      </c>
      <c r="D1663" s="115">
        <v>272.14999999999998</v>
      </c>
      <c r="E1663" s="115">
        <v>280.95</v>
      </c>
      <c r="F1663" s="115">
        <v>274.2</v>
      </c>
      <c r="G1663">
        <v>9407</v>
      </c>
      <c r="H1663" s="115"/>
      <c r="I1663" s="115"/>
      <c r="L1663" s="169">
        <v>44454</v>
      </c>
      <c r="M1663" s="115">
        <v>271.55</v>
      </c>
      <c r="N1663" s="115">
        <v>273.45</v>
      </c>
      <c r="O1663" s="115">
        <v>267.95</v>
      </c>
      <c r="P1663" s="115">
        <v>271.39999999999998</v>
      </c>
      <c r="Q1663" s="115">
        <v>271.55</v>
      </c>
      <c r="R1663">
        <v>81823</v>
      </c>
    </row>
    <row r="1664" spans="1:18" x14ac:dyDescent="0.25">
      <c r="A1664" s="169">
        <v>44456</v>
      </c>
      <c r="B1664" s="115">
        <v>278.8</v>
      </c>
      <c r="C1664" s="115">
        <v>277.5</v>
      </c>
      <c r="D1664" s="115">
        <v>266.35000000000002</v>
      </c>
      <c r="E1664" s="115">
        <v>275.64999999999998</v>
      </c>
      <c r="F1664" s="115">
        <v>277.5</v>
      </c>
      <c r="G1664">
        <v>5841</v>
      </c>
      <c r="H1664" s="115"/>
      <c r="I1664" s="115"/>
      <c r="L1664" s="169">
        <v>44455</v>
      </c>
      <c r="M1664" s="115">
        <v>274.55</v>
      </c>
      <c r="N1664" s="115">
        <v>279.75</v>
      </c>
      <c r="O1664" s="115">
        <v>271.55</v>
      </c>
      <c r="P1664" s="115">
        <v>273.95</v>
      </c>
      <c r="Q1664" s="115">
        <v>274.55</v>
      </c>
      <c r="R1664">
        <v>137854</v>
      </c>
    </row>
    <row r="1665" spans="1:18" x14ac:dyDescent="0.25">
      <c r="A1665" s="169">
        <v>44459</v>
      </c>
      <c r="B1665" s="115">
        <v>277</v>
      </c>
      <c r="C1665" s="115">
        <v>265.95</v>
      </c>
      <c r="D1665" s="115">
        <v>265</v>
      </c>
      <c r="E1665" s="115">
        <v>270</v>
      </c>
      <c r="F1665" s="115">
        <v>265.95</v>
      </c>
      <c r="G1665">
        <v>10563</v>
      </c>
      <c r="H1665" s="115"/>
      <c r="I1665" s="115"/>
      <c r="L1665" s="169">
        <v>44456</v>
      </c>
      <c r="M1665" s="115">
        <v>277.2</v>
      </c>
      <c r="N1665" s="115">
        <v>279.05</v>
      </c>
      <c r="O1665" s="115">
        <v>266.10000000000002</v>
      </c>
      <c r="P1665" s="115">
        <v>275</v>
      </c>
      <c r="Q1665" s="115">
        <v>277.2</v>
      </c>
      <c r="R1665">
        <v>122742</v>
      </c>
    </row>
    <row r="1666" spans="1:18" x14ac:dyDescent="0.25">
      <c r="A1666" s="169">
        <v>44460</v>
      </c>
      <c r="B1666" s="115">
        <v>269.3</v>
      </c>
      <c r="C1666" s="115">
        <v>268</v>
      </c>
      <c r="D1666" s="115">
        <v>264</v>
      </c>
      <c r="E1666" s="115">
        <v>264</v>
      </c>
      <c r="F1666" s="115">
        <v>268</v>
      </c>
      <c r="G1666">
        <v>3620</v>
      </c>
      <c r="H1666" s="115"/>
      <c r="I1666" s="115"/>
      <c r="L1666" s="169">
        <v>44459</v>
      </c>
      <c r="M1666" s="115">
        <v>266.10000000000002</v>
      </c>
      <c r="N1666" s="115">
        <v>278.75</v>
      </c>
      <c r="O1666" s="115">
        <v>265.05</v>
      </c>
      <c r="P1666" s="115">
        <v>278.75</v>
      </c>
      <c r="Q1666" s="115">
        <v>266.10000000000002</v>
      </c>
      <c r="R1666">
        <v>55199</v>
      </c>
    </row>
    <row r="1667" spans="1:18" x14ac:dyDescent="0.25">
      <c r="A1667" s="169">
        <v>44461</v>
      </c>
      <c r="B1667" s="115">
        <v>272.35000000000002</v>
      </c>
      <c r="C1667" s="115">
        <v>271.5</v>
      </c>
      <c r="D1667" s="115">
        <v>268</v>
      </c>
      <c r="E1667" s="115">
        <v>270</v>
      </c>
      <c r="F1667" s="115">
        <v>271.5</v>
      </c>
      <c r="G1667">
        <v>4097</v>
      </c>
      <c r="H1667" s="115"/>
      <c r="I1667" s="115"/>
      <c r="L1667" s="169">
        <v>44460</v>
      </c>
      <c r="M1667" s="115">
        <v>268.25</v>
      </c>
      <c r="N1667" s="115">
        <v>270.14999999999998</v>
      </c>
      <c r="O1667" s="115">
        <v>264.2</v>
      </c>
      <c r="P1667" s="115">
        <v>266.10000000000002</v>
      </c>
      <c r="Q1667" s="115">
        <v>268.25</v>
      </c>
      <c r="R1667">
        <v>32696</v>
      </c>
    </row>
    <row r="1668" spans="1:18" x14ac:dyDescent="0.25">
      <c r="A1668" s="169">
        <v>44462</v>
      </c>
      <c r="B1668" s="115">
        <v>274</v>
      </c>
      <c r="C1668" s="115">
        <v>269</v>
      </c>
      <c r="D1668" s="115">
        <v>268</v>
      </c>
      <c r="E1668" s="115">
        <v>272.7</v>
      </c>
      <c r="F1668" s="115">
        <v>269</v>
      </c>
      <c r="G1668">
        <v>8767</v>
      </c>
      <c r="H1668" s="115"/>
      <c r="I1668" s="115"/>
      <c r="L1668" s="169">
        <v>44461</v>
      </c>
      <c r="M1668" s="115">
        <v>270.14999999999998</v>
      </c>
      <c r="N1668" s="115">
        <v>274.5</v>
      </c>
      <c r="O1668" s="115">
        <v>268</v>
      </c>
      <c r="P1668" s="115">
        <v>274.5</v>
      </c>
      <c r="Q1668" s="115">
        <v>270.14999999999998</v>
      </c>
      <c r="R1668">
        <v>57167</v>
      </c>
    </row>
    <row r="1669" spans="1:18" x14ac:dyDescent="0.25">
      <c r="A1669" s="169">
        <v>44463</v>
      </c>
      <c r="B1669" s="115">
        <v>270.05</v>
      </c>
      <c r="C1669" s="115">
        <v>267.95</v>
      </c>
      <c r="D1669" s="115">
        <v>266</v>
      </c>
      <c r="E1669" s="115">
        <v>270.05</v>
      </c>
      <c r="F1669" s="115">
        <v>267.95</v>
      </c>
      <c r="G1669">
        <v>4987</v>
      </c>
      <c r="H1669" s="115"/>
      <c r="I1669" s="115"/>
      <c r="L1669" s="169">
        <v>44462</v>
      </c>
      <c r="M1669" s="115">
        <v>269.05</v>
      </c>
      <c r="N1669" s="115">
        <v>274.5</v>
      </c>
      <c r="O1669" s="115">
        <v>268.14999999999998</v>
      </c>
      <c r="P1669" s="115">
        <v>270.14999999999998</v>
      </c>
      <c r="Q1669" s="115">
        <v>269.05</v>
      </c>
      <c r="R1669">
        <v>64311</v>
      </c>
    </row>
    <row r="1670" spans="1:18" x14ac:dyDescent="0.25">
      <c r="A1670" s="169">
        <v>44466</v>
      </c>
      <c r="B1670" s="115">
        <v>274.95</v>
      </c>
      <c r="C1670" s="115">
        <v>273.05</v>
      </c>
      <c r="D1670" s="115">
        <v>267.8</v>
      </c>
      <c r="E1670" s="115">
        <v>272.39999999999998</v>
      </c>
      <c r="F1670" s="115">
        <v>273.05</v>
      </c>
      <c r="G1670">
        <v>6036</v>
      </c>
      <c r="H1670" s="115"/>
      <c r="I1670" s="115"/>
      <c r="L1670" s="169">
        <v>44463</v>
      </c>
      <c r="M1670" s="115">
        <v>268.55</v>
      </c>
      <c r="N1670" s="115">
        <v>271</v>
      </c>
      <c r="O1670" s="115">
        <v>266.05</v>
      </c>
      <c r="P1670" s="115">
        <v>270</v>
      </c>
      <c r="Q1670" s="115">
        <v>268.55</v>
      </c>
      <c r="R1670">
        <v>51459</v>
      </c>
    </row>
    <row r="1671" spans="1:18" x14ac:dyDescent="0.25">
      <c r="A1671" s="169">
        <v>44467</v>
      </c>
      <c r="B1671" s="115">
        <v>277.45</v>
      </c>
      <c r="C1671" s="115">
        <v>271.35000000000002</v>
      </c>
      <c r="D1671" s="115">
        <v>270.2</v>
      </c>
      <c r="E1671" s="115">
        <v>274.5</v>
      </c>
      <c r="F1671" s="115">
        <v>271.35000000000002</v>
      </c>
      <c r="G1671">
        <v>3561</v>
      </c>
      <c r="H1671" s="115"/>
      <c r="I1671" s="115"/>
      <c r="L1671" s="169">
        <v>44466</v>
      </c>
      <c r="M1671" s="115">
        <v>273.3</v>
      </c>
      <c r="N1671" s="115">
        <v>274.75</v>
      </c>
      <c r="O1671" s="115">
        <v>267.39999999999998</v>
      </c>
      <c r="P1671" s="115">
        <v>268.8</v>
      </c>
      <c r="Q1671" s="115">
        <v>273.3</v>
      </c>
      <c r="R1671">
        <v>86275</v>
      </c>
    </row>
    <row r="1672" spans="1:18" x14ac:dyDescent="0.25">
      <c r="A1672" s="169">
        <v>44468</v>
      </c>
      <c r="B1672" s="115">
        <v>271.05</v>
      </c>
      <c r="C1672" s="115">
        <v>266.5</v>
      </c>
      <c r="D1672" s="115">
        <v>265.05</v>
      </c>
      <c r="E1672" s="115">
        <v>271.05</v>
      </c>
      <c r="F1672" s="115">
        <v>266.5</v>
      </c>
      <c r="G1672">
        <v>11403</v>
      </c>
      <c r="H1672" s="115"/>
      <c r="I1672" s="115"/>
      <c r="L1672" s="169">
        <v>44467</v>
      </c>
      <c r="M1672" s="115">
        <v>271.05</v>
      </c>
      <c r="N1672" s="115">
        <v>277.85000000000002</v>
      </c>
      <c r="O1672" s="115">
        <v>270</v>
      </c>
      <c r="P1672" s="115">
        <v>273.3</v>
      </c>
      <c r="Q1672" s="115">
        <v>271.05</v>
      </c>
      <c r="R1672">
        <v>52800</v>
      </c>
    </row>
    <row r="1673" spans="1:18" x14ac:dyDescent="0.25">
      <c r="A1673" s="169">
        <v>44469</v>
      </c>
      <c r="B1673" s="115">
        <v>274.39999999999998</v>
      </c>
      <c r="C1673" s="115">
        <v>265.5</v>
      </c>
      <c r="D1673" s="115">
        <v>264.25</v>
      </c>
      <c r="E1673" s="115">
        <v>269.05</v>
      </c>
      <c r="F1673" s="115">
        <v>265.5</v>
      </c>
      <c r="G1673">
        <v>8566</v>
      </c>
      <c r="H1673" s="115"/>
      <c r="I1673" s="115"/>
      <c r="L1673" s="169">
        <v>44468</v>
      </c>
      <c r="M1673" s="115">
        <v>265.85000000000002</v>
      </c>
      <c r="N1673" s="115">
        <v>270</v>
      </c>
      <c r="O1673" s="115">
        <v>265</v>
      </c>
      <c r="P1673" s="115">
        <v>270</v>
      </c>
      <c r="Q1673" s="115">
        <v>265.85000000000002</v>
      </c>
      <c r="R1673">
        <v>69261</v>
      </c>
    </row>
    <row r="1674" spans="1:18" x14ac:dyDescent="0.25">
      <c r="A1674" s="169">
        <v>44470</v>
      </c>
      <c r="B1674" s="115">
        <v>268.35000000000002</v>
      </c>
      <c r="C1674" s="115">
        <v>266.14999999999998</v>
      </c>
      <c r="D1674" s="115">
        <v>264</v>
      </c>
      <c r="E1674" s="115">
        <v>265.14999999999998</v>
      </c>
      <c r="F1674" s="115">
        <v>266.14999999999998</v>
      </c>
      <c r="G1674">
        <v>4947</v>
      </c>
      <c r="H1674" s="115"/>
      <c r="I1674" s="115"/>
      <c r="L1674" s="169">
        <v>44469</v>
      </c>
      <c r="M1674" s="115">
        <v>265.64999999999998</v>
      </c>
      <c r="N1674" s="115">
        <v>274.5</v>
      </c>
      <c r="O1674" s="115">
        <v>264.14999999999998</v>
      </c>
      <c r="P1674" s="115">
        <v>270.89999999999998</v>
      </c>
      <c r="Q1674" s="115">
        <v>265.64999999999998</v>
      </c>
      <c r="R1674">
        <v>91314</v>
      </c>
    </row>
    <row r="1675" spans="1:18" x14ac:dyDescent="0.25">
      <c r="A1675" s="169">
        <v>44473</v>
      </c>
      <c r="B1675" s="115">
        <v>272.14999999999998</v>
      </c>
      <c r="C1675" s="115">
        <v>267.95</v>
      </c>
      <c r="D1675" s="115">
        <v>265.64999999999998</v>
      </c>
      <c r="E1675" s="115">
        <v>267.8</v>
      </c>
      <c r="F1675" s="115">
        <v>267.95</v>
      </c>
      <c r="G1675">
        <v>6219</v>
      </c>
      <c r="H1675" s="115"/>
      <c r="I1675" s="115"/>
      <c r="L1675" s="169">
        <v>44470</v>
      </c>
      <c r="M1675" s="115">
        <v>266.25</v>
      </c>
      <c r="N1675" s="115">
        <v>268.7</v>
      </c>
      <c r="O1675" s="115">
        <v>264.05</v>
      </c>
      <c r="P1675" s="115">
        <v>265.3</v>
      </c>
      <c r="Q1675" s="115">
        <v>266.25</v>
      </c>
      <c r="R1675">
        <v>58056</v>
      </c>
    </row>
    <row r="1676" spans="1:18" x14ac:dyDescent="0.25">
      <c r="A1676" s="169">
        <v>44474</v>
      </c>
      <c r="B1676" s="115">
        <v>271.60000000000002</v>
      </c>
      <c r="C1676" s="115">
        <v>268.7</v>
      </c>
      <c r="D1676" s="115">
        <v>267.05</v>
      </c>
      <c r="E1676" s="115">
        <v>268.7</v>
      </c>
      <c r="F1676" s="115">
        <v>268.7</v>
      </c>
      <c r="G1676">
        <v>27078</v>
      </c>
      <c r="H1676" s="115"/>
      <c r="I1676" s="115"/>
      <c r="L1676" s="169">
        <v>44473</v>
      </c>
      <c r="M1676" s="115">
        <v>267.45</v>
      </c>
      <c r="N1676" s="115">
        <v>272.8</v>
      </c>
      <c r="O1676" s="115">
        <v>264.95</v>
      </c>
      <c r="P1676" s="115">
        <v>268</v>
      </c>
      <c r="Q1676" s="115">
        <v>267.45</v>
      </c>
      <c r="R1676">
        <v>108041</v>
      </c>
    </row>
    <row r="1677" spans="1:18" x14ac:dyDescent="0.25">
      <c r="A1677" s="169">
        <v>44475</v>
      </c>
      <c r="B1677" s="115">
        <v>270.95</v>
      </c>
      <c r="C1677" s="115">
        <v>266.8</v>
      </c>
      <c r="D1677" s="115">
        <v>266</v>
      </c>
      <c r="E1677" s="115">
        <v>269.7</v>
      </c>
      <c r="F1677" s="115">
        <v>266.8</v>
      </c>
      <c r="G1677">
        <v>10272</v>
      </c>
      <c r="H1677" s="115"/>
      <c r="I1677" s="115"/>
      <c r="L1677" s="169">
        <v>44474</v>
      </c>
      <c r="M1677" s="115">
        <v>268.45</v>
      </c>
      <c r="N1677" s="115">
        <v>271.8</v>
      </c>
      <c r="O1677" s="115">
        <v>267.39999999999998</v>
      </c>
      <c r="P1677" s="115">
        <v>269.60000000000002</v>
      </c>
      <c r="Q1677" s="115">
        <v>268.45</v>
      </c>
      <c r="R1677">
        <v>100523</v>
      </c>
    </row>
    <row r="1678" spans="1:18" x14ac:dyDescent="0.25">
      <c r="A1678" s="169">
        <v>44476</v>
      </c>
      <c r="B1678" s="115">
        <v>272.8</v>
      </c>
      <c r="C1678" s="115">
        <v>266.39999999999998</v>
      </c>
      <c r="D1678" s="115">
        <v>265.55</v>
      </c>
      <c r="E1678" s="115">
        <v>272.8</v>
      </c>
      <c r="F1678" s="115">
        <v>266.39999999999998</v>
      </c>
      <c r="G1678">
        <v>8292</v>
      </c>
      <c r="H1678" s="115"/>
      <c r="I1678" s="115"/>
      <c r="L1678" s="169">
        <v>44475</v>
      </c>
      <c r="M1678" s="115">
        <v>266.7</v>
      </c>
      <c r="N1678" s="115">
        <v>271.45</v>
      </c>
      <c r="O1678" s="115">
        <v>266.14999999999998</v>
      </c>
      <c r="P1678" s="115">
        <v>269.8</v>
      </c>
      <c r="Q1678" s="115">
        <v>266.7</v>
      </c>
      <c r="R1678">
        <v>60679</v>
      </c>
    </row>
    <row r="1679" spans="1:18" x14ac:dyDescent="0.25">
      <c r="A1679" s="169">
        <v>44477</v>
      </c>
      <c r="B1679" s="115">
        <v>270</v>
      </c>
      <c r="C1679" s="115">
        <v>266.3</v>
      </c>
      <c r="D1679" s="115">
        <v>265.55</v>
      </c>
      <c r="E1679" s="115">
        <v>266.39999999999998</v>
      </c>
      <c r="F1679" s="115">
        <v>266.3</v>
      </c>
      <c r="G1679">
        <v>10475</v>
      </c>
      <c r="H1679" s="115"/>
      <c r="I1679" s="115"/>
      <c r="L1679" s="169">
        <v>44476</v>
      </c>
      <c r="M1679" s="115">
        <v>266.05</v>
      </c>
      <c r="N1679" s="115">
        <v>269.3</v>
      </c>
      <c r="O1679" s="115">
        <v>265.05</v>
      </c>
      <c r="P1679" s="115">
        <v>269.3</v>
      </c>
      <c r="Q1679" s="115">
        <v>266.05</v>
      </c>
      <c r="R1679">
        <v>46622</v>
      </c>
    </row>
    <row r="1680" spans="1:18" x14ac:dyDescent="0.25">
      <c r="A1680" s="169">
        <v>44480</v>
      </c>
      <c r="B1680" s="115">
        <v>268</v>
      </c>
      <c r="C1680" s="115">
        <v>266.05</v>
      </c>
      <c r="D1680" s="115">
        <v>265.2</v>
      </c>
      <c r="E1680" s="115">
        <v>268</v>
      </c>
      <c r="F1680" s="115">
        <v>266.05</v>
      </c>
      <c r="G1680">
        <v>5093</v>
      </c>
      <c r="H1680" s="115"/>
      <c r="I1680" s="115"/>
      <c r="L1680" s="169">
        <v>44477</v>
      </c>
      <c r="M1680" s="115">
        <v>266.5</v>
      </c>
      <c r="N1680" s="115">
        <v>270</v>
      </c>
      <c r="O1680" s="115">
        <v>265.55</v>
      </c>
      <c r="P1680" s="115">
        <v>268.25</v>
      </c>
      <c r="Q1680" s="115">
        <v>266.5</v>
      </c>
      <c r="R1680">
        <v>51195</v>
      </c>
    </row>
    <row r="1681" spans="1:18" x14ac:dyDescent="0.25">
      <c r="A1681" s="169">
        <v>44481</v>
      </c>
      <c r="B1681" s="115">
        <v>269</v>
      </c>
      <c r="C1681" s="115">
        <v>265.55</v>
      </c>
      <c r="D1681" s="115">
        <v>265</v>
      </c>
      <c r="E1681" s="115">
        <v>269</v>
      </c>
      <c r="F1681" s="115">
        <v>265.55</v>
      </c>
      <c r="G1681">
        <v>22165</v>
      </c>
      <c r="H1681" s="115"/>
      <c r="I1681" s="115"/>
      <c r="L1681" s="169">
        <v>44480</v>
      </c>
      <c r="M1681" s="115">
        <v>265.8</v>
      </c>
      <c r="N1681" s="115">
        <v>268.95</v>
      </c>
      <c r="O1681" s="115">
        <v>265</v>
      </c>
      <c r="P1681" s="115">
        <v>267</v>
      </c>
      <c r="Q1681" s="115">
        <v>265.8</v>
      </c>
      <c r="R1681">
        <v>66638</v>
      </c>
    </row>
    <row r="1682" spans="1:18" x14ac:dyDescent="0.25">
      <c r="A1682" s="169">
        <v>44482</v>
      </c>
      <c r="B1682" s="115">
        <v>267.14999999999998</v>
      </c>
      <c r="C1682" s="115">
        <v>263.39999999999998</v>
      </c>
      <c r="D1682" s="115">
        <v>263.10000000000002</v>
      </c>
      <c r="E1682" s="115">
        <v>265.55</v>
      </c>
      <c r="F1682" s="115">
        <v>263.39999999999998</v>
      </c>
      <c r="G1682">
        <v>11218</v>
      </c>
      <c r="H1682" s="115"/>
      <c r="I1682" s="115"/>
      <c r="L1682" s="169">
        <v>44481</v>
      </c>
      <c r="M1682" s="115">
        <v>265.39999999999998</v>
      </c>
      <c r="N1682" s="115">
        <v>268.14999999999998</v>
      </c>
      <c r="O1682" s="115">
        <v>262.3</v>
      </c>
      <c r="P1682" s="115">
        <v>265.5</v>
      </c>
      <c r="Q1682" s="115">
        <v>265.39999999999998</v>
      </c>
      <c r="R1682">
        <v>65881</v>
      </c>
    </row>
    <row r="1683" spans="1:18" x14ac:dyDescent="0.25">
      <c r="A1683" s="169">
        <v>44483</v>
      </c>
      <c r="B1683" s="115">
        <v>269.5</v>
      </c>
      <c r="C1683" s="115">
        <v>264.2</v>
      </c>
      <c r="D1683" s="115">
        <v>263</v>
      </c>
      <c r="E1683" s="115">
        <v>263</v>
      </c>
      <c r="F1683" s="115">
        <v>264.2</v>
      </c>
      <c r="G1683">
        <v>8501</v>
      </c>
      <c r="H1683" s="115"/>
      <c r="I1683" s="115"/>
      <c r="L1683" s="169">
        <v>44482</v>
      </c>
      <c r="M1683" s="115">
        <v>263.39999999999998</v>
      </c>
      <c r="N1683" s="115">
        <v>267.85000000000002</v>
      </c>
      <c r="O1683" s="115">
        <v>262.95</v>
      </c>
      <c r="P1683" s="115">
        <v>267.85000000000002</v>
      </c>
      <c r="Q1683" s="115">
        <v>263.39999999999998</v>
      </c>
      <c r="R1683">
        <v>64738</v>
      </c>
    </row>
    <row r="1684" spans="1:18" x14ac:dyDescent="0.25">
      <c r="A1684" s="169">
        <v>44487</v>
      </c>
      <c r="B1684" s="115">
        <v>265.85000000000002</v>
      </c>
      <c r="C1684" s="115">
        <v>264.7</v>
      </c>
      <c r="D1684" s="115">
        <v>263.05</v>
      </c>
      <c r="E1684" s="115">
        <v>264.10000000000002</v>
      </c>
      <c r="F1684" s="115">
        <v>264.7</v>
      </c>
      <c r="G1684">
        <v>16567</v>
      </c>
      <c r="H1684" s="115"/>
      <c r="I1684" s="115"/>
      <c r="L1684" s="169">
        <v>44483</v>
      </c>
      <c r="M1684" s="115">
        <v>263.95</v>
      </c>
      <c r="N1684" s="115">
        <v>270</v>
      </c>
      <c r="O1684" s="115">
        <v>263.5</v>
      </c>
      <c r="P1684" s="115">
        <v>264</v>
      </c>
      <c r="Q1684" s="115">
        <v>263.95</v>
      </c>
      <c r="R1684">
        <v>78301</v>
      </c>
    </row>
    <row r="1685" spans="1:18" x14ac:dyDescent="0.25">
      <c r="A1685" s="169">
        <v>44488</v>
      </c>
      <c r="B1685" s="115">
        <v>267</v>
      </c>
      <c r="C1685" s="115">
        <v>263.3</v>
      </c>
      <c r="D1685" s="115">
        <v>262.75</v>
      </c>
      <c r="E1685" s="115">
        <v>265.60000000000002</v>
      </c>
      <c r="F1685" s="115">
        <v>263.3</v>
      </c>
      <c r="G1685">
        <v>9097</v>
      </c>
      <c r="H1685" s="115"/>
      <c r="I1685" s="115"/>
      <c r="L1685" s="169">
        <v>44487</v>
      </c>
      <c r="M1685" s="115">
        <v>264.55</v>
      </c>
      <c r="N1685" s="115">
        <v>268.95</v>
      </c>
      <c r="O1685" s="115">
        <v>263.60000000000002</v>
      </c>
      <c r="P1685" s="115">
        <v>268.95</v>
      </c>
      <c r="Q1685" s="115">
        <v>264.55</v>
      </c>
      <c r="R1685">
        <v>68971</v>
      </c>
    </row>
    <row r="1686" spans="1:18" x14ac:dyDescent="0.25">
      <c r="A1686" s="169">
        <v>44489</v>
      </c>
      <c r="B1686" s="115">
        <v>265.39999999999998</v>
      </c>
      <c r="C1686" s="115">
        <v>261.95</v>
      </c>
      <c r="D1686" s="115">
        <v>260.85000000000002</v>
      </c>
      <c r="E1686" s="115">
        <v>262.05</v>
      </c>
      <c r="F1686" s="115">
        <v>261.95</v>
      </c>
      <c r="G1686">
        <v>8732</v>
      </c>
      <c r="H1686" s="115"/>
      <c r="I1686" s="115"/>
      <c r="L1686" s="169">
        <v>44488</v>
      </c>
      <c r="M1686" s="115">
        <v>263.35000000000002</v>
      </c>
      <c r="N1686" s="115">
        <v>267.95</v>
      </c>
      <c r="O1686" s="115">
        <v>262.60000000000002</v>
      </c>
      <c r="P1686" s="115">
        <v>267.95</v>
      </c>
      <c r="Q1686" s="115">
        <v>263.35000000000002</v>
      </c>
      <c r="R1686">
        <v>55261</v>
      </c>
    </row>
    <row r="1687" spans="1:18" x14ac:dyDescent="0.25">
      <c r="A1687" s="169">
        <v>44490</v>
      </c>
      <c r="B1687" s="115">
        <v>263.89999999999998</v>
      </c>
      <c r="C1687" s="115">
        <v>259.3</v>
      </c>
      <c r="D1687" s="115">
        <v>256.64999999999998</v>
      </c>
      <c r="E1687" s="115">
        <v>263.89999999999998</v>
      </c>
      <c r="F1687" s="115">
        <v>259.3</v>
      </c>
      <c r="G1687">
        <v>15013</v>
      </c>
      <c r="H1687" s="115"/>
      <c r="I1687" s="115"/>
      <c r="L1687" s="169">
        <v>44489</v>
      </c>
      <c r="M1687" s="115">
        <v>261.8</v>
      </c>
      <c r="N1687" s="115">
        <v>265.89999999999998</v>
      </c>
      <c r="O1687" s="115">
        <v>260.60000000000002</v>
      </c>
      <c r="P1687" s="115">
        <v>265.2</v>
      </c>
      <c r="Q1687" s="115">
        <v>261.8</v>
      </c>
      <c r="R1687">
        <v>46480</v>
      </c>
    </row>
    <row r="1688" spans="1:18" x14ac:dyDescent="0.25">
      <c r="A1688" s="169">
        <v>44491</v>
      </c>
      <c r="B1688" s="115">
        <v>266.39999999999998</v>
      </c>
      <c r="C1688" s="115">
        <v>259.89999999999998</v>
      </c>
      <c r="D1688" s="115">
        <v>259.39999999999998</v>
      </c>
      <c r="E1688" s="115">
        <v>266.39999999999998</v>
      </c>
      <c r="F1688" s="115">
        <v>259.89999999999998</v>
      </c>
      <c r="G1688">
        <v>3357</v>
      </c>
      <c r="H1688" s="115"/>
      <c r="I1688" s="115"/>
      <c r="L1688" s="169">
        <v>44490</v>
      </c>
      <c r="M1688" s="115">
        <v>259.3</v>
      </c>
      <c r="N1688" s="115">
        <v>265.14999999999998</v>
      </c>
      <c r="O1688" s="115">
        <v>255.55</v>
      </c>
      <c r="P1688" s="115">
        <v>265.14999999999998</v>
      </c>
      <c r="Q1688" s="115">
        <v>259.3</v>
      </c>
      <c r="R1688">
        <v>76835</v>
      </c>
    </row>
    <row r="1689" spans="1:18" x14ac:dyDescent="0.25">
      <c r="A1689" s="169">
        <v>44494</v>
      </c>
      <c r="B1689" s="115">
        <v>251.7</v>
      </c>
      <c r="C1689" s="115">
        <v>239.9</v>
      </c>
      <c r="D1689" s="115">
        <v>235.1</v>
      </c>
      <c r="E1689" s="115">
        <v>249</v>
      </c>
      <c r="F1689" s="115">
        <v>239.9</v>
      </c>
      <c r="G1689">
        <v>33507</v>
      </c>
      <c r="H1689" s="115"/>
      <c r="I1689" s="115"/>
      <c r="L1689" s="169">
        <v>44491</v>
      </c>
      <c r="M1689" s="115">
        <v>259.64999999999998</v>
      </c>
      <c r="N1689" s="115">
        <v>265</v>
      </c>
      <c r="O1689" s="115">
        <v>259</v>
      </c>
      <c r="P1689" s="115">
        <v>260.2</v>
      </c>
      <c r="Q1689" s="115">
        <v>259.64999999999998</v>
      </c>
      <c r="R1689">
        <v>41968</v>
      </c>
    </row>
    <row r="1690" spans="1:18" x14ac:dyDescent="0.25">
      <c r="A1690" s="169">
        <v>44495</v>
      </c>
      <c r="B1690" s="115">
        <v>243</v>
      </c>
      <c r="C1690" s="115">
        <v>239.45</v>
      </c>
      <c r="D1690" s="115">
        <v>238.55</v>
      </c>
      <c r="E1690" s="115">
        <v>243</v>
      </c>
      <c r="F1690" s="115">
        <v>239.45</v>
      </c>
      <c r="G1690">
        <v>8501</v>
      </c>
      <c r="H1690" s="115"/>
      <c r="I1690" s="115"/>
      <c r="L1690" s="169">
        <v>44494</v>
      </c>
      <c r="M1690" s="115">
        <v>240.8</v>
      </c>
      <c r="N1690" s="115">
        <v>252.05</v>
      </c>
      <c r="O1690" s="115">
        <v>234.7</v>
      </c>
      <c r="P1690" s="115">
        <v>249.95</v>
      </c>
      <c r="Q1690" s="115">
        <v>240.8</v>
      </c>
      <c r="R1690">
        <v>266061</v>
      </c>
    </row>
    <row r="1691" spans="1:18" x14ac:dyDescent="0.25">
      <c r="A1691" s="169">
        <v>44496</v>
      </c>
      <c r="B1691" s="115">
        <v>246.95</v>
      </c>
      <c r="C1691" s="115">
        <v>239.95</v>
      </c>
      <c r="D1691" s="115">
        <v>239.05</v>
      </c>
      <c r="E1691" s="115">
        <v>246.95</v>
      </c>
      <c r="F1691" s="115">
        <v>239.95</v>
      </c>
      <c r="G1691">
        <v>8042</v>
      </c>
      <c r="H1691" s="115"/>
      <c r="I1691" s="115"/>
      <c r="L1691" s="169">
        <v>44495</v>
      </c>
      <c r="M1691" s="115">
        <v>239.4</v>
      </c>
      <c r="N1691" s="115">
        <v>243.85</v>
      </c>
      <c r="O1691" s="115">
        <v>238.1</v>
      </c>
      <c r="P1691" s="115">
        <v>240.1</v>
      </c>
      <c r="Q1691" s="115">
        <v>239.4</v>
      </c>
      <c r="R1691">
        <v>71915</v>
      </c>
    </row>
    <row r="1692" spans="1:18" x14ac:dyDescent="0.25">
      <c r="A1692" s="169">
        <v>44497</v>
      </c>
      <c r="B1692" s="115">
        <v>240.4</v>
      </c>
      <c r="C1692" s="115">
        <v>237.55</v>
      </c>
      <c r="D1692" s="115">
        <v>235</v>
      </c>
      <c r="E1692" s="115">
        <v>240.4</v>
      </c>
      <c r="F1692" s="115">
        <v>237.55</v>
      </c>
      <c r="G1692">
        <v>5068</v>
      </c>
      <c r="H1692" s="115"/>
      <c r="I1692" s="115"/>
      <c r="L1692" s="169">
        <v>44496</v>
      </c>
      <c r="M1692" s="115">
        <v>239.95</v>
      </c>
      <c r="N1692" s="115">
        <v>246.15</v>
      </c>
      <c r="O1692" s="115">
        <v>239.2</v>
      </c>
      <c r="P1692" s="115">
        <v>242.55</v>
      </c>
      <c r="Q1692" s="115">
        <v>239.95</v>
      </c>
      <c r="R1692">
        <v>47657</v>
      </c>
    </row>
    <row r="1693" spans="1:18" x14ac:dyDescent="0.25">
      <c r="A1693" s="169">
        <v>44498</v>
      </c>
      <c r="B1693" s="115">
        <v>239.6</v>
      </c>
      <c r="C1693" s="115">
        <v>236.25</v>
      </c>
      <c r="D1693" s="115">
        <v>235.55</v>
      </c>
      <c r="E1693" s="115">
        <v>238.05</v>
      </c>
      <c r="F1693" s="115">
        <v>236.25</v>
      </c>
      <c r="G1693">
        <v>6379</v>
      </c>
      <c r="H1693" s="115"/>
      <c r="I1693" s="115"/>
      <c r="L1693" s="169">
        <v>44497</v>
      </c>
      <c r="M1693" s="115">
        <v>237.4</v>
      </c>
      <c r="N1693" s="115">
        <v>239.9</v>
      </c>
      <c r="O1693" s="115">
        <v>235</v>
      </c>
      <c r="P1693" s="115">
        <v>239.2</v>
      </c>
      <c r="Q1693" s="115">
        <v>237.4</v>
      </c>
      <c r="R1693">
        <v>64475</v>
      </c>
    </row>
    <row r="1694" spans="1:18" x14ac:dyDescent="0.25">
      <c r="A1694" s="169">
        <v>44501</v>
      </c>
      <c r="B1694" s="115">
        <v>243</v>
      </c>
      <c r="C1694" s="115">
        <v>236.35</v>
      </c>
      <c r="D1694" s="115">
        <v>235.2</v>
      </c>
      <c r="E1694" s="115">
        <v>241.95</v>
      </c>
      <c r="F1694" s="115">
        <v>236.35</v>
      </c>
      <c r="G1694">
        <v>4528</v>
      </c>
      <c r="H1694" s="115"/>
      <c r="I1694" s="115"/>
      <c r="L1694" s="169">
        <v>44498</v>
      </c>
      <c r="M1694" s="115">
        <v>237.15</v>
      </c>
      <c r="N1694" s="115">
        <v>239.8</v>
      </c>
      <c r="O1694" s="115">
        <v>235.1</v>
      </c>
      <c r="P1694" s="115">
        <v>236</v>
      </c>
      <c r="Q1694" s="115">
        <v>237.15</v>
      </c>
      <c r="R1694">
        <v>33197</v>
      </c>
    </row>
    <row r="1695" spans="1:18" x14ac:dyDescent="0.25">
      <c r="A1695" s="169">
        <v>44502</v>
      </c>
      <c r="B1695" s="115">
        <v>240.6</v>
      </c>
      <c r="C1695" s="115">
        <v>238.8</v>
      </c>
      <c r="D1695" s="115">
        <v>235.25</v>
      </c>
      <c r="E1695" s="115">
        <v>235.3</v>
      </c>
      <c r="F1695" s="115">
        <v>238.8</v>
      </c>
      <c r="G1695">
        <v>5233</v>
      </c>
      <c r="H1695" s="115"/>
      <c r="I1695" s="115"/>
      <c r="L1695" s="169">
        <v>44501</v>
      </c>
      <c r="M1695" s="115">
        <v>236.4</v>
      </c>
      <c r="N1695" s="115">
        <v>243.95</v>
      </c>
      <c r="O1695" s="115">
        <v>235</v>
      </c>
      <c r="P1695" s="115">
        <v>243.95</v>
      </c>
      <c r="Q1695" s="115">
        <v>236.4</v>
      </c>
      <c r="R1695">
        <v>40165</v>
      </c>
    </row>
    <row r="1696" spans="1:18" x14ac:dyDescent="0.25">
      <c r="A1696" s="169">
        <v>44503</v>
      </c>
      <c r="B1696" s="115">
        <v>244</v>
      </c>
      <c r="C1696" s="115">
        <v>240.7</v>
      </c>
      <c r="D1696" s="115">
        <v>236.05</v>
      </c>
      <c r="E1696" s="115">
        <v>241.8</v>
      </c>
      <c r="F1696" s="115">
        <v>240.7</v>
      </c>
      <c r="G1696">
        <v>11526</v>
      </c>
      <c r="H1696" s="115"/>
      <c r="I1696" s="115"/>
      <c r="L1696" s="169">
        <v>44502</v>
      </c>
      <c r="M1696" s="115">
        <v>239.75</v>
      </c>
      <c r="N1696" s="115">
        <v>240.85</v>
      </c>
      <c r="O1696" s="115">
        <v>235.05</v>
      </c>
      <c r="P1696" s="115">
        <v>235.05</v>
      </c>
      <c r="Q1696" s="115">
        <v>239.75</v>
      </c>
      <c r="R1696">
        <v>42726</v>
      </c>
    </row>
    <row r="1697" spans="1:18" x14ac:dyDescent="0.25">
      <c r="A1697" s="169">
        <v>44504</v>
      </c>
      <c r="B1697" s="115">
        <v>245.7</v>
      </c>
      <c r="C1697" s="115">
        <v>244.3</v>
      </c>
      <c r="D1697" s="115">
        <v>236.65</v>
      </c>
      <c r="E1697" s="115">
        <v>236.7</v>
      </c>
      <c r="F1697" s="115">
        <v>244.3</v>
      </c>
      <c r="G1697">
        <v>2994</v>
      </c>
      <c r="H1697" s="115"/>
      <c r="I1697" s="115"/>
      <c r="L1697" s="169">
        <v>44503</v>
      </c>
      <c r="M1697" s="115">
        <v>240.7</v>
      </c>
      <c r="N1697" s="115">
        <v>244.65</v>
      </c>
      <c r="O1697" s="115">
        <v>236.05</v>
      </c>
      <c r="P1697" s="115">
        <v>241</v>
      </c>
      <c r="Q1697" s="115">
        <v>240.7</v>
      </c>
      <c r="R1697">
        <v>53325</v>
      </c>
    </row>
    <row r="1698" spans="1:18" x14ac:dyDescent="0.25">
      <c r="A1698" s="169">
        <v>44508</v>
      </c>
      <c r="B1698" s="115">
        <v>248.15</v>
      </c>
      <c r="C1698" s="115">
        <v>244.15</v>
      </c>
      <c r="D1698" s="115">
        <v>239</v>
      </c>
      <c r="E1698" s="115">
        <v>244.6</v>
      </c>
      <c r="F1698" s="115">
        <v>244.15</v>
      </c>
      <c r="G1698">
        <v>11008</v>
      </c>
      <c r="H1698" s="115"/>
      <c r="I1698" s="115"/>
      <c r="L1698" s="169">
        <v>44504</v>
      </c>
      <c r="M1698" s="115">
        <v>244.55</v>
      </c>
      <c r="N1698" s="115">
        <v>245.05</v>
      </c>
      <c r="O1698" s="115">
        <v>240.5</v>
      </c>
      <c r="P1698" s="115">
        <v>243.55</v>
      </c>
      <c r="Q1698" s="115">
        <v>244.55</v>
      </c>
      <c r="R1698">
        <v>15970</v>
      </c>
    </row>
    <row r="1699" spans="1:18" x14ac:dyDescent="0.25">
      <c r="A1699" s="169">
        <v>44509</v>
      </c>
      <c r="B1699" s="115">
        <v>252</v>
      </c>
      <c r="C1699" s="115">
        <v>248.8</v>
      </c>
      <c r="D1699" s="115">
        <v>247.1</v>
      </c>
      <c r="E1699" s="115">
        <v>252</v>
      </c>
      <c r="F1699" s="115">
        <v>248.8</v>
      </c>
      <c r="G1699">
        <v>3245</v>
      </c>
      <c r="H1699" s="115"/>
      <c r="I1699" s="115"/>
      <c r="L1699" s="169">
        <v>44508</v>
      </c>
      <c r="M1699" s="115">
        <v>246.75</v>
      </c>
      <c r="N1699" s="115">
        <v>249</v>
      </c>
      <c r="O1699" s="115">
        <v>242.05</v>
      </c>
      <c r="P1699" s="115">
        <v>246</v>
      </c>
      <c r="Q1699" s="115">
        <v>246.75</v>
      </c>
      <c r="R1699">
        <v>33090</v>
      </c>
    </row>
    <row r="1700" spans="1:18" x14ac:dyDescent="0.25">
      <c r="A1700" s="169">
        <v>44510</v>
      </c>
      <c r="B1700" s="115">
        <v>254.8</v>
      </c>
      <c r="C1700" s="115">
        <v>250.1</v>
      </c>
      <c r="D1700" s="115">
        <v>245.7</v>
      </c>
      <c r="E1700" s="115">
        <v>246.2</v>
      </c>
      <c r="F1700" s="115">
        <v>250.1</v>
      </c>
      <c r="G1700">
        <v>5598</v>
      </c>
      <c r="H1700" s="115"/>
      <c r="I1700" s="115"/>
      <c r="L1700" s="169">
        <v>44509</v>
      </c>
      <c r="M1700" s="115">
        <v>249.1</v>
      </c>
      <c r="N1700" s="115">
        <v>252</v>
      </c>
      <c r="O1700" s="115">
        <v>246.85</v>
      </c>
      <c r="P1700" s="115">
        <v>250</v>
      </c>
      <c r="Q1700" s="115">
        <v>249.1</v>
      </c>
      <c r="R1700">
        <v>33531</v>
      </c>
    </row>
    <row r="1701" spans="1:18" x14ac:dyDescent="0.25">
      <c r="A1701" s="169">
        <v>44511</v>
      </c>
      <c r="B1701" s="115">
        <v>254.05</v>
      </c>
      <c r="C1701" s="115">
        <v>248.5</v>
      </c>
      <c r="D1701" s="115">
        <v>247.85</v>
      </c>
      <c r="E1701" s="115">
        <v>248.85</v>
      </c>
      <c r="F1701" s="115">
        <v>248.5</v>
      </c>
      <c r="G1701">
        <v>6277</v>
      </c>
      <c r="H1701" s="115"/>
      <c r="I1701" s="115"/>
      <c r="L1701" s="169">
        <v>44510</v>
      </c>
      <c r="M1701" s="115">
        <v>249.4</v>
      </c>
      <c r="N1701" s="115">
        <v>255</v>
      </c>
      <c r="O1701" s="115">
        <v>245.2</v>
      </c>
      <c r="P1701" s="115">
        <v>247</v>
      </c>
      <c r="Q1701" s="115">
        <v>249.4</v>
      </c>
      <c r="R1701">
        <v>51347</v>
      </c>
    </row>
    <row r="1702" spans="1:18" x14ac:dyDescent="0.25">
      <c r="A1702" s="169">
        <v>44512</v>
      </c>
      <c r="B1702" s="115">
        <v>250.1</v>
      </c>
      <c r="C1702" s="115">
        <v>245.2</v>
      </c>
      <c r="D1702" s="115">
        <v>243.8</v>
      </c>
      <c r="E1702" s="115">
        <v>249.8</v>
      </c>
      <c r="F1702" s="115">
        <v>245.2</v>
      </c>
      <c r="G1702">
        <v>6882</v>
      </c>
      <c r="H1702" s="115"/>
      <c r="I1702" s="115"/>
      <c r="L1702" s="169">
        <v>44511</v>
      </c>
      <c r="M1702" s="115">
        <v>248.5</v>
      </c>
      <c r="N1702" s="115">
        <v>255</v>
      </c>
      <c r="O1702" s="115">
        <v>247.05</v>
      </c>
      <c r="P1702" s="115">
        <v>247.05</v>
      </c>
      <c r="Q1702" s="115">
        <v>248.5</v>
      </c>
      <c r="R1702">
        <v>30972</v>
      </c>
    </row>
    <row r="1703" spans="1:18" x14ac:dyDescent="0.25">
      <c r="A1703" s="169">
        <v>44515</v>
      </c>
      <c r="B1703" s="115">
        <v>250.75</v>
      </c>
      <c r="C1703" s="115">
        <v>241.75</v>
      </c>
      <c r="D1703" s="115">
        <v>237.7</v>
      </c>
      <c r="E1703" s="115">
        <v>243.1</v>
      </c>
      <c r="F1703" s="115">
        <v>241.75</v>
      </c>
      <c r="G1703">
        <v>9303</v>
      </c>
      <c r="H1703" s="115"/>
      <c r="I1703" s="115"/>
      <c r="L1703" s="169">
        <v>44512</v>
      </c>
      <c r="M1703" s="115">
        <v>245.1</v>
      </c>
      <c r="N1703" s="115">
        <v>252.25</v>
      </c>
      <c r="O1703" s="115">
        <v>244.05</v>
      </c>
      <c r="P1703" s="115">
        <v>248.35</v>
      </c>
      <c r="Q1703" s="115">
        <v>245.1</v>
      </c>
      <c r="R1703">
        <v>29266</v>
      </c>
    </row>
    <row r="1704" spans="1:18" x14ac:dyDescent="0.25">
      <c r="A1704" s="169">
        <v>44516</v>
      </c>
      <c r="B1704" s="115">
        <v>244.75</v>
      </c>
      <c r="C1704" s="115">
        <v>241.4</v>
      </c>
      <c r="D1704" s="115">
        <v>239.7</v>
      </c>
      <c r="E1704" s="115">
        <v>242.05</v>
      </c>
      <c r="F1704" s="115">
        <v>241.4</v>
      </c>
      <c r="G1704">
        <v>8793</v>
      </c>
      <c r="H1704" s="115"/>
      <c r="I1704" s="115"/>
      <c r="L1704" s="169">
        <v>44515</v>
      </c>
      <c r="M1704" s="115">
        <v>241.45</v>
      </c>
      <c r="N1704" s="115">
        <v>254</v>
      </c>
      <c r="O1704" s="115">
        <v>237.35</v>
      </c>
      <c r="P1704" s="115">
        <v>252</v>
      </c>
      <c r="Q1704" s="115">
        <v>241.45</v>
      </c>
      <c r="R1704">
        <v>49379</v>
      </c>
    </row>
    <row r="1705" spans="1:18" x14ac:dyDescent="0.25">
      <c r="A1705" s="169">
        <v>44517</v>
      </c>
      <c r="B1705" s="115">
        <v>242.6</v>
      </c>
      <c r="C1705" s="115">
        <v>241.1</v>
      </c>
      <c r="D1705" s="115">
        <v>237.35</v>
      </c>
      <c r="E1705" s="115">
        <v>241</v>
      </c>
      <c r="F1705" s="115">
        <v>241.1</v>
      </c>
      <c r="G1705">
        <v>5680</v>
      </c>
      <c r="H1705" s="115"/>
      <c r="I1705" s="115"/>
      <c r="L1705" s="169">
        <v>44516</v>
      </c>
      <c r="M1705" s="115">
        <v>241.05</v>
      </c>
      <c r="N1705" s="115">
        <v>245</v>
      </c>
      <c r="O1705" s="115">
        <v>239.45</v>
      </c>
      <c r="P1705" s="115">
        <v>239.55</v>
      </c>
      <c r="Q1705" s="115">
        <v>241.05</v>
      </c>
      <c r="R1705">
        <v>40445</v>
      </c>
    </row>
    <row r="1706" spans="1:18" x14ac:dyDescent="0.25">
      <c r="A1706" s="169">
        <v>44518</v>
      </c>
      <c r="B1706" s="115">
        <v>243.65</v>
      </c>
      <c r="C1706" s="115">
        <v>236.4</v>
      </c>
      <c r="D1706" s="115">
        <v>235.6</v>
      </c>
      <c r="E1706" s="115">
        <v>243.4</v>
      </c>
      <c r="F1706" s="115">
        <v>236.4</v>
      </c>
      <c r="G1706">
        <v>3978</v>
      </c>
      <c r="H1706" s="115"/>
      <c r="I1706" s="115"/>
      <c r="L1706" s="169">
        <v>44517</v>
      </c>
      <c r="M1706" s="115">
        <v>241.65</v>
      </c>
      <c r="N1706" s="115">
        <v>242.35</v>
      </c>
      <c r="O1706" s="115">
        <v>238.75</v>
      </c>
      <c r="P1706" s="115">
        <v>239.6</v>
      </c>
      <c r="Q1706" s="115">
        <v>241.65</v>
      </c>
      <c r="R1706">
        <v>26144</v>
      </c>
    </row>
    <row r="1707" spans="1:18" x14ac:dyDescent="0.25">
      <c r="A1707" s="169">
        <v>44522</v>
      </c>
      <c r="B1707" s="115">
        <v>237.5</v>
      </c>
      <c r="C1707" s="115">
        <v>234.05</v>
      </c>
      <c r="D1707" s="115">
        <v>231.55</v>
      </c>
      <c r="E1707" s="115">
        <v>235</v>
      </c>
      <c r="F1707" s="115">
        <v>234.05</v>
      </c>
      <c r="G1707">
        <v>5967</v>
      </c>
      <c r="H1707" s="115"/>
      <c r="I1707" s="115"/>
      <c r="L1707" s="169">
        <v>44518</v>
      </c>
      <c r="M1707" s="115">
        <v>236.15</v>
      </c>
      <c r="N1707" s="115">
        <v>245.65</v>
      </c>
      <c r="O1707" s="115">
        <v>235</v>
      </c>
      <c r="P1707" s="115">
        <v>243.9</v>
      </c>
      <c r="Q1707" s="115">
        <v>236.15</v>
      </c>
      <c r="R1707">
        <v>33151</v>
      </c>
    </row>
    <row r="1708" spans="1:18" x14ac:dyDescent="0.25">
      <c r="A1708" s="169">
        <v>44523</v>
      </c>
      <c r="B1708" s="115">
        <v>235.55</v>
      </c>
      <c r="C1708" s="115">
        <v>233.3</v>
      </c>
      <c r="D1708" s="115">
        <v>232</v>
      </c>
      <c r="E1708" s="115">
        <v>232.9</v>
      </c>
      <c r="F1708" s="115">
        <v>233.3</v>
      </c>
      <c r="G1708">
        <v>1921</v>
      </c>
      <c r="H1708" s="115"/>
      <c r="I1708" s="115"/>
      <c r="L1708" s="169">
        <v>44522</v>
      </c>
      <c r="M1708" s="115">
        <v>234.6</v>
      </c>
      <c r="N1708" s="115">
        <v>240</v>
      </c>
      <c r="O1708" s="115">
        <v>231.3</v>
      </c>
      <c r="P1708" s="115">
        <v>236.15</v>
      </c>
      <c r="Q1708" s="115">
        <v>234.6</v>
      </c>
      <c r="R1708">
        <v>29674</v>
      </c>
    </row>
    <row r="1709" spans="1:18" x14ac:dyDescent="0.25">
      <c r="A1709" s="169">
        <v>44524</v>
      </c>
      <c r="B1709" s="115">
        <v>238.9</v>
      </c>
      <c r="C1709" s="115">
        <v>234.35</v>
      </c>
      <c r="D1709" s="115">
        <v>232.05</v>
      </c>
      <c r="E1709" s="115">
        <v>232.05</v>
      </c>
      <c r="F1709" s="115">
        <v>234.35</v>
      </c>
      <c r="G1709">
        <v>6228</v>
      </c>
      <c r="H1709" s="115"/>
      <c r="I1709" s="115"/>
      <c r="L1709" s="169">
        <v>44523</v>
      </c>
      <c r="M1709" s="115">
        <v>233.1</v>
      </c>
      <c r="N1709" s="115">
        <v>236</v>
      </c>
      <c r="O1709" s="115">
        <v>232</v>
      </c>
      <c r="P1709" s="115">
        <v>232.3</v>
      </c>
      <c r="Q1709" s="115">
        <v>233.1</v>
      </c>
      <c r="R1709">
        <v>35839</v>
      </c>
    </row>
    <row r="1710" spans="1:18" x14ac:dyDescent="0.25">
      <c r="A1710" s="169">
        <v>44525</v>
      </c>
      <c r="B1710" s="115">
        <v>236.3</v>
      </c>
      <c r="C1710" s="115">
        <v>231.8</v>
      </c>
      <c r="D1710" s="115">
        <v>229</v>
      </c>
      <c r="E1710" s="115">
        <v>235.05</v>
      </c>
      <c r="F1710" s="115">
        <v>231.8</v>
      </c>
      <c r="G1710">
        <v>3625</v>
      </c>
      <c r="H1710" s="115"/>
      <c r="I1710" s="115"/>
      <c r="L1710" s="169">
        <v>44524</v>
      </c>
      <c r="M1710" s="115">
        <v>234.2</v>
      </c>
      <c r="N1710" s="115">
        <v>238.95</v>
      </c>
      <c r="O1710" s="115">
        <v>233.35</v>
      </c>
      <c r="P1710" s="115">
        <v>238</v>
      </c>
      <c r="Q1710" s="115">
        <v>234.2</v>
      </c>
      <c r="R1710">
        <v>31018</v>
      </c>
    </row>
    <row r="1711" spans="1:18" x14ac:dyDescent="0.25">
      <c r="A1711" s="169">
        <v>44526</v>
      </c>
      <c r="B1711" s="115">
        <v>236</v>
      </c>
      <c r="C1711" s="115">
        <v>234.05</v>
      </c>
      <c r="D1711" s="115">
        <v>230.8</v>
      </c>
      <c r="E1711" s="115">
        <v>231</v>
      </c>
      <c r="F1711" s="115">
        <v>234.05</v>
      </c>
      <c r="G1711">
        <v>8906</v>
      </c>
      <c r="H1711" s="115"/>
      <c r="I1711" s="115"/>
      <c r="L1711" s="169">
        <v>44525</v>
      </c>
      <c r="M1711" s="115">
        <v>231.45</v>
      </c>
      <c r="N1711" s="115">
        <v>237.95</v>
      </c>
      <c r="O1711" s="115">
        <v>228</v>
      </c>
      <c r="P1711" s="115">
        <v>237.8</v>
      </c>
      <c r="Q1711" s="115">
        <v>231.45</v>
      </c>
      <c r="R1711">
        <v>43919</v>
      </c>
    </row>
    <row r="1712" spans="1:18" x14ac:dyDescent="0.25">
      <c r="A1712" s="169">
        <v>44529</v>
      </c>
      <c r="B1712" s="115">
        <v>228.8</v>
      </c>
      <c r="C1712" s="115">
        <v>223.35</v>
      </c>
      <c r="D1712" s="115">
        <v>222</v>
      </c>
      <c r="E1712" s="115">
        <v>227</v>
      </c>
      <c r="F1712" s="115">
        <v>223.35</v>
      </c>
      <c r="G1712">
        <v>11140</v>
      </c>
      <c r="H1712" s="115"/>
      <c r="I1712" s="115"/>
      <c r="L1712" s="169">
        <v>44526</v>
      </c>
      <c r="M1712" s="115">
        <v>233.85</v>
      </c>
      <c r="N1712" s="115">
        <v>236</v>
      </c>
      <c r="O1712" s="115">
        <v>230</v>
      </c>
      <c r="P1712" s="115">
        <v>233</v>
      </c>
      <c r="Q1712" s="115">
        <v>233.85</v>
      </c>
      <c r="R1712">
        <v>34184</v>
      </c>
    </row>
    <row r="1713" spans="1:18" x14ac:dyDescent="0.25">
      <c r="A1713" s="169">
        <v>44530</v>
      </c>
      <c r="B1713" s="115">
        <v>229</v>
      </c>
      <c r="C1713" s="115">
        <v>221.7</v>
      </c>
      <c r="D1713" s="115">
        <v>220.1</v>
      </c>
      <c r="E1713" s="115">
        <v>222</v>
      </c>
      <c r="F1713" s="115">
        <v>221.7</v>
      </c>
      <c r="G1713">
        <v>6036</v>
      </c>
      <c r="H1713" s="115"/>
      <c r="I1713" s="115"/>
      <c r="L1713" s="169">
        <v>44529</v>
      </c>
      <c r="M1713" s="115">
        <v>223.25</v>
      </c>
      <c r="N1713" s="115">
        <v>231</v>
      </c>
      <c r="O1713" s="115">
        <v>221.7</v>
      </c>
      <c r="P1713" s="115">
        <v>229</v>
      </c>
      <c r="Q1713" s="115">
        <v>223.25</v>
      </c>
      <c r="R1713">
        <v>46783</v>
      </c>
    </row>
    <row r="1714" spans="1:18" x14ac:dyDescent="0.25">
      <c r="A1714" s="169">
        <v>44531</v>
      </c>
      <c r="B1714" s="115">
        <v>235.9</v>
      </c>
      <c r="C1714" s="115">
        <v>228.2</v>
      </c>
      <c r="D1714" s="115">
        <v>221.05</v>
      </c>
      <c r="E1714" s="115">
        <v>221.05</v>
      </c>
      <c r="F1714" s="115">
        <v>228.2</v>
      </c>
      <c r="G1714">
        <v>4374</v>
      </c>
      <c r="H1714" s="115"/>
      <c r="I1714" s="115"/>
      <c r="L1714" s="169">
        <v>44530</v>
      </c>
      <c r="M1714" s="115">
        <v>221.95</v>
      </c>
      <c r="N1714" s="115">
        <v>228.95</v>
      </c>
      <c r="O1714" s="115">
        <v>220.05</v>
      </c>
      <c r="P1714" s="115">
        <v>223.2</v>
      </c>
      <c r="Q1714" s="115">
        <v>221.95</v>
      </c>
      <c r="R1714">
        <v>36598</v>
      </c>
    </row>
    <row r="1715" spans="1:18" x14ac:dyDescent="0.25">
      <c r="A1715" s="169">
        <v>44532</v>
      </c>
      <c r="B1715" s="115">
        <v>235.35</v>
      </c>
      <c r="C1715" s="115">
        <v>226.75</v>
      </c>
      <c r="D1715" s="115">
        <v>226.15</v>
      </c>
      <c r="E1715" s="115">
        <v>233.55</v>
      </c>
      <c r="F1715" s="115">
        <v>226.75</v>
      </c>
      <c r="G1715">
        <v>8741</v>
      </c>
      <c r="H1715" s="115"/>
      <c r="I1715" s="115"/>
      <c r="L1715" s="169">
        <v>44531</v>
      </c>
      <c r="M1715" s="115">
        <v>227.6</v>
      </c>
      <c r="N1715" s="115">
        <v>236.2</v>
      </c>
      <c r="O1715" s="115">
        <v>222.7</v>
      </c>
      <c r="P1715" s="115">
        <v>227</v>
      </c>
      <c r="Q1715" s="115">
        <v>227.6</v>
      </c>
      <c r="R1715">
        <v>97274</v>
      </c>
    </row>
    <row r="1716" spans="1:18" x14ac:dyDescent="0.25">
      <c r="A1716" s="169">
        <v>44533</v>
      </c>
      <c r="B1716" s="115">
        <v>232</v>
      </c>
      <c r="C1716" s="115">
        <v>226.95</v>
      </c>
      <c r="D1716" s="115">
        <v>226.8</v>
      </c>
      <c r="E1716" s="115">
        <v>232</v>
      </c>
      <c r="F1716" s="115">
        <v>226.95</v>
      </c>
      <c r="G1716">
        <v>4791</v>
      </c>
      <c r="H1716" s="115"/>
      <c r="I1716" s="115"/>
      <c r="L1716" s="169">
        <v>44532</v>
      </c>
      <c r="M1716" s="115">
        <v>227.15</v>
      </c>
      <c r="N1716" s="115">
        <v>234.25</v>
      </c>
      <c r="O1716" s="115">
        <v>226</v>
      </c>
      <c r="P1716" s="115">
        <v>234</v>
      </c>
      <c r="Q1716" s="115">
        <v>227.15</v>
      </c>
      <c r="R1716">
        <v>51326</v>
      </c>
    </row>
    <row r="1717" spans="1:18" x14ac:dyDescent="0.25">
      <c r="A1717" s="169">
        <v>44536</v>
      </c>
      <c r="B1717" s="115">
        <v>229.55</v>
      </c>
      <c r="C1717" s="115">
        <v>223.2</v>
      </c>
      <c r="D1717" s="115">
        <v>222.9</v>
      </c>
      <c r="E1717" s="115">
        <v>229.3</v>
      </c>
      <c r="F1717" s="115">
        <v>223.2</v>
      </c>
      <c r="G1717">
        <v>12470</v>
      </c>
      <c r="H1717" s="115"/>
      <c r="I1717" s="115"/>
      <c r="L1717" s="169">
        <v>44533</v>
      </c>
      <c r="M1717" s="115">
        <v>226.9</v>
      </c>
      <c r="N1717" s="115">
        <v>232.9</v>
      </c>
      <c r="O1717" s="115">
        <v>226.65</v>
      </c>
      <c r="P1717" s="115">
        <v>230</v>
      </c>
      <c r="Q1717" s="115">
        <v>226.9</v>
      </c>
      <c r="R1717">
        <v>45713</v>
      </c>
    </row>
    <row r="1718" spans="1:18" x14ac:dyDescent="0.25">
      <c r="A1718" s="169">
        <v>44537</v>
      </c>
      <c r="B1718" s="115">
        <v>226.55</v>
      </c>
      <c r="C1718" s="115">
        <v>224.9</v>
      </c>
      <c r="D1718" s="115">
        <v>221.15</v>
      </c>
      <c r="E1718" s="115">
        <v>224</v>
      </c>
      <c r="F1718" s="115">
        <v>224.9</v>
      </c>
      <c r="G1718">
        <v>2260</v>
      </c>
      <c r="H1718" s="115"/>
      <c r="I1718" s="115"/>
      <c r="L1718" s="169">
        <v>44536</v>
      </c>
      <c r="M1718" s="115">
        <v>223.4</v>
      </c>
      <c r="N1718" s="115">
        <v>232</v>
      </c>
      <c r="O1718" s="115">
        <v>222.95</v>
      </c>
      <c r="P1718" s="115">
        <v>227.3</v>
      </c>
      <c r="Q1718" s="115">
        <v>223.4</v>
      </c>
      <c r="R1718">
        <v>39169</v>
      </c>
    </row>
    <row r="1719" spans="1:18" x14ac:dyDescent="0.25">
      <c r="A1719" s="169">
        <v>44538</v>
      </c>
      <c r="B1719" s="115">
        <v>230.4</v>
      </c>
      <c r="C1719" s="115">
        <v>226.55</v>
      </c>
      <c r="D1719" s="115">
        <v>225</v>
      </c>
      <c r="E1719" s="115">
        <v>227</v>
      </c>
      <c r="F1719" s="115">
        <v>226.55</v>
      </c>
      <c r="G1719">
        <v>9207</v>
      </c>
      <c r="H1719" s="115"/>
      <c r="I1719" s="115"/>
      <c r="L1719" s="169">
        <v>44537</v>
      </c>
      <c r="M1719" s="115">
        <v>225.5</v>
      </c>
      <c r="N1719" s="115">
        <v>228.5</v>
      </c>
      <c r="O1719" s="115">
        <v>221.5</v>
      </c>
      <c r="P1719" s="115">
        <v>224</v>
      </c>
      <c r="Q1719" s="115">
        <v>225.5</v>
      </c>
      <c r="R1719">
        <v>38135</v>
      </c>
    </row>
    <row r="1720" spans="1:18" x14ac:dyDescent="0.25">
      <c r="A1720" s="169">
        <v>44539</v>
      </c>
      <c r="B1720" s="115">
        <v>227</v>
      </c>
      <c r="C1720" s="115">
        <v>226.05</v>
      </c>
      <c r="D1720" s="115">
        <v>225</v>
      </c>
      <c r="E1720" s="115">
        <v>226.7</v>
      </c>
      <c r="F1720" s="115">
        <v>226.05</v>
      </c>
      <c r="G1720">
        <v>3681</v>
      </c>
      <c r="H1720" s="115"/>
      <c r="I1720" s="115"/>
      <c r="L1720" s="169">
        <v>44538</v>
      </c>
      <c r="M1720" s="115">
        <v>226.55</v>
      </c>
      <c r="N1720" s="115">
        <v>231</v>
      </c>
      <c r="O1720" s="115">
        <v>224</v>
      </c>
      <c r="P1720" s="115">
        <v>226</v>
      </c>
      <c r="Q1720" s="115">
        <v>226.55</v>
      </c>
      <c r="R1720">
        <v>70130</v>
      </c>
    </row>
    <row r="1721" spans="1:18" x14ac:dyDescent="0.25">
      <c r="A1721" s="169">
        <v>44540</v>
      </c>
      <c r="B1721" s="115">
        <v>228.25</v>
      </c>
      <c r="C1721" s="115">
        <v>225.85</v>
      </c>
      <c r="D1721" s="115">
        <v>223</v>
      </c>
      <c r="E1721" s="115">
        <v>227</v>
      </c>
      <c r="F1721" s="115">
        <v>225.85</v>
      </c>
      <c r="G1721">
        <v>5247</v>
      </c>
      <c r="H1721" s="115"/>
      <c r="I1721" s="115"/>
      <c r="L1721" s="169">
        <v>44539</v>
      </c>
      <c r="M1721" s="115">
        <v>225.65</v>
      </c>
      <c r="N1721" s="115">
        <v>228.5</v>
      </c>
      <c r="O1721" s="115">
        <v>225</v>
      </c>
      <c r="P1721" s="115">
        <v>228.5</v>
      </c>
      <c r="Q1721" s="115">
        <v>225.65</v>
      </c>
      <c r="R1721">
        <v>38339</v>
      </c>
    </row>
    <row r="1722" spans="1:18" x14ac:dyDescent="0.25">
      <c r="A1722" s="169">
        <v>44543</v>
      </c>
      <c r="B1722" s="115">
        <v>229.3</v>
      </c>
      <c r="C1722" s="115">
        <v>223.5</v>
      </c>
      <c r="D1722" s="115">
        <v>222.85</v>
      </c>
      <c r="E1722" s="115">
        <v>229.3</v>
      </c>
      <c r="F1722" s="115">
        <v>223.5</v>
      </c>
      <c r="G1722">
        <v>7947</v>
      </c>
      <c r="H1722" s="115"/>
      <c r="I1722" s="115"/>
      <c r="L1722" s="169">
        <v>44540</v>
      </c>
      <c r="M1722" s="115">
        <v>225.85</v>
      </c>
      <c r="N1722" s="115">
        <v>228</v>
      </c>
      <c r="O1722" s="115">
        <v>223.8</v>
      </c>
      <c r="P1722" s="115">
        <v>223.8</v>
      </c>
      <c r="Q1722" s="115">
        <v>225.85</v>
      </c>
      <c r="R1722">
        <v>37949</v>
      </c>
    </row>
    <row r="1723" spans="1:18" x14ac:dyDescent="0.25">
      <c r="A1723" s="169">
        <v>44544</v>
      </c>
      <c r="B1723" s="115">
        <v>225.75</v>
      </c>
      <c r="C1723" s="115">
        <v>224.05</v>
      </c>
      <c r="D1723" s="115">
        <v>222.1</v>
      </c>
      <c r="E1723" s="115">
        <v>224.35</v>
      </c>
      <c r="F1723" s="115">
        <v>224.05</v>
      </c>
      <c r="G1723">
        <v>3468</v>
      </c>
      <c r="H1723" s="115"/>
      <c r="I1723" s="115"/>
      <c r="L1723" s="169">
        <v>44543</v>
      </c>
      <c r="M1723" s="115">
        <v>223.2</v>
      </c>
      <c r="N1723" s="115">
        <v>229.95</v>
      </c>
      <c r="O1723" s="115">
        <v>222.8</v>
      </c>
      <c r="P1723" s="115">
        <v>229.95</v>
      </c>
      <c r="Q1723" s="115">
        <v>223.2</v>
      </c>
      <c r="R1723">
        <v>62708</v>
      </c>
    </row>
    <row r="1724" spans="1:18" x14ac:dyDescent="0.25">
      <c r="A1724" s="169">
        <v>44545</v>
      </c>
      <c r="B1724" s="115">
        <v>224.8</v>
      </c>
      <c r="C1724" s="115">
        <v>220.85</v>
      </c>
      <c r="D1724" s="115">
        <v>220.05</v>
      </c>
      <c r="E1724" s="115">
        <v>224.75</v>
      </c>
      <c r="F1724" s="115">
        <v>220.85</v>
      </c>
      <c r="G1724">
        <v>13844</v>
      </c>
      <c r="H1724" s="115"/>
      <c r="I1724" s="115"/>
      <c r="L1724" s="169">
        <v>44544</v>
      </c>
      <c r="M1724" s="115">
        <v>223.65</v>
      </c>
      <c r="N1724" s="115">
        <v>224.85</v>
      </c>
      <c r="O1724" s="115">
        <v>222.1</v>
      </c>
      <c r="P1724" s="115">
        <v>224.8</v>
      </c>
      <c r="Q1724" s="115">
        <v>223.65</v>
      </c>
      <c r="R1724">
        <v>28810</v>
      </c>
    </row>
    <row r="1725" spans="1:18" x14ac:dyDescent="0.25">
      <c r="A1725" s="169">
        <v>44546</v>
      </c>
      <c r="B1725" s="115">
        <v>222.2</v>
      </c>
      <c r="C1725" s="115">
        <v>216.1</v>
      </c>
      <c r="D1725" s="115">
        <v>212.15</v>
      </c>
      <c r="E1725" s="115">
        <v>220</v>
      </c>
      <c r="F1725" s="115">
        <v>216.1</v>
      </c>
      <c r="G1725">
        <v>25994</v>
      </c>
      <c r="H1725" s="115"/>
      <c r="I1725" s="115"/>
      <c r="L1725" s="169">
        <v>44545</v>
      </c>
      <c r="M1725" s="115">
        <v>220.65</v>
      </c>
      <c r="N1725" s="115">
        <v>225</v>
      </c>
      <c r="O1725" s="115">
        <v>220.25</v>
      </c>
      <c r="P1725" s="115">
        <v>225</v>
      </c>
      <c r="Q1725" s="115">
        <v>220.65</v>
      </c>
      <c r="R1725">
        <v>54228</v>
      </c>
    </row>
    <row r="1726" spans="1:18" x14ac:dyDescent="0.25">
      <c r="A1726" s="169">
        <v>44547</v>
      </c>
      <c r="B1726" s="115">
        <v>222</v>
      </c>
      <c r="C1726" s="115">
        <v>214.8</v>
      </c>
      <c r="D1726" s="115">
        <v>211.1</v>
      </c>
      <c r="E1726" s="115">
        <v>216.2</v>
      </c>
      <c r="F1726" s="115">
        <v>214.8</v>
      </c>
      <c r="G1726">
        <v>20644</v>
      </c>
      <c r="H1726" s="115"/>
      <c r="I1726" s="115"/>
      <c r="L1726" s="169">
        <v>44546</v>
      </c>
      <c r="M1726" s="115">
        <v>215.6</v>
      </c>
      <c r="N1726" s="115">
        <v>222.55</v>
      </c>
      <c r="O1726" s="115">
        <v>212.5</v>
      </c>
      <c r="P1726" s="115">
        <v>220.95</v>
      </c>
      <c r="Q1726" s="115">
        <v>215.6</v>
      </c>
      <c r="R1726">
        <v>127151</v>
      </c>
    </row>
    <row r="1727" spans="1:18" x14ac:dyDescent="0.25">
      <c r="A1727" s="169">
        <v>44550</v>
      </c>
      <c r="B1727" s="115">
        <v>218</v>
      </c>
      <c r="C1727" s="115">
        <v>214.05</v>
      </c>
      <c r="D1727" s="115">
        <v>205.1</v>
      </c>
      <c r="E1727" s="115">
        <v>218</v>
      </c>
      <c r="F1727" s="115">
        <v>214.05</v>
      </c>
      <c r="G1727">
        <v>10595</v>
      </c>
      <c r="H1727" s="115"/>
      <c r="I1727" s="115"/>
      <c r="L1727" s="169">
        <v>44547</v>
      </c>
      <c r="M1727" s="115">
        <v>214.75</v>
      </c>
      <c r="N1727" s="115">
        <v>222</v>
      </c>
      <c r="O1727" s="115">
        <v>211.05</v>
      </c>
      <c r="P1727" s="115">
        <v>217.95</v>
      </c>
      <c r="Q1727" s="115">
        <v>214.75</v>
      </c>
      <c r="R1727">
        <v>137341</v>
      </c>
    </row>
    <row r="1728" spans="1:18" x14ac:dyDescent="0.25">
      <c r="A1728" s="169">
        <v>44551</v>
      </c>
      <c r="B1728" s="115">
        <v>216</v>
      </c>
      <c r="C1728" s="115">
        <v>213.4</v>
      </c>
      <c r="D1728" s="115">
        <v>211.1</v>
      </c>
      <c r="E1728" s="115">
        <v>215.5</v>
      </c>
      <c r="F1728" s="115">
        <v>213.4</v>
      </c>
      <c r="G1728">
        <v>5862</v>
      </c>
      <c r="H1728" s="115"/>
      <c r="I1728" s="115"/>
      <c r="L1728" s="169">
        <v>44550</v>
      </c>
      <c r="M1728" s="115">
        <v>213.9</v>
      </c>
      <c r="N1728" s="115">
        <v>214.4</v>
      </c>
      <c r="O1728" s="115">
        <v>210.25</v>
      </c>
      <c r="P1728" s="115">
        <v>213.75</v>
      </c>
      <c r="Q1728" s="115">
        <v>213.9</v>
      </c>
      <c r="R1728">
        <v>42282</v>
      </c>
    </row>
    <row r="1729" spans="1:18" x14ac:dyDescent="0.25">
      <c r="A1729" s="169">
        <v>44552</v>
      </c>
      <c r="B1729" s="115">
        <v>214.2</v>
      </c>
      <c r="C1729" s="115">
        <v>211.55</v>
      </c>
      <c r="D1729" s="115">
        <v>210.1</v>
      </c>
      <c r="E1729" s="115">
        <v>214.2</v>
      </c>
      <c r="F1729" s="115">
        <v>211.55</v>
      </c>
      <c r="G1729">
        <v>4818</v>
      </c>
      <c r="H1729" s="115"/>
      <c r="I1729" s="115"/>
      <c r="L1729" s="169">
        <v>44551</v>
      </c>
      <c r="M1729" s="115">
        <v>213.25</v>
      </c>
      <c r="N1729" s="115">
        <v>216.5</v>
      </c>
      <c r="O1729" s="115">
        <v>211.45</v>
      </c>
      <c r="P1729" s="115">
        <v>212.55</v>
      </c>
      <c r="Q1729" s="115">
        <v>213.25</v>
      </c>
      <c r="R1729">
        <v>28623</v>
      </c>
    </row>
    <row r="1730" spans="1:18" x14ac:dyDescent="0.25">
      <c r="A1730" s="169">
        <v>44553</v>
      </c>
      <c r="B1730" s="115">
        <v>213</v>
      </c>
      <c r="C1730" s="115">
        <v>211.85</v>
      </c>
      <c r="D1730" s="115">
        <v>210.85</v>
      </c>
      <c r="E1730" s="115">
        <v>212</v>
      </c>
      <c r="F1730" s="115">
        <v>211.85</v>
      </c>
      <c r="G1730">
        <v>6495</v>
      </c>
      <c r="H1730" s="115"/>
      <c r="I1730" s="115"/>
      <c r="L1730" s="169">
        <v>44552</v>
      </c>
      <c r="M1730" s="115">
        <v>211.5</v>
      </c>
      <c r="N1730" s="115">
        <v>215</v>
      </c>
      <c r="O1730" s="115">
        <v>211</v>
      </c>
      <c r="P1730" s="115">
        <v>213.35</v>
      </c>
      <c r="Q1730" s="115">
        <v>211.5</v>
      </c>
      <c r="R1730">
        <v>34803</v>
      </c>
    </row>
    <row r="1731" spans="1:18" x14ac:dyDescent="0.25">
      <c r="A1731" s="169">
        <v>44554</v>
      </c>
      <c r="B1731" s="115">
        <v>213</v>
      </c>
      <c r="C1731" s="115">
        <v>212</v>
      </c>
      <c r="D1731" s="115">
        <v>210</v>
      </c>
      <c r="E1731" s="115">
        <v>213</v>
      </c>
      <c r="F1731" s="115">
        <v>212</v>
      </c>
      <c r="G1731">
        <v>2662</v>
      </c>
      <c r="H1731" s="115"/>
      <c r="I1731" s="115"/>
      <c r="L1731" s="169">
        <v>44553</v>
      </c>
      <c r="M1731" s="115">
        <v>211.7</v>
      </c>
      <c r="N1731" s="115">
        <v>214.25</v>
      </c>
      <c r="O1731" s="115">
        <v>210.3</v>
      </c>
      <c r="P1731" s="115">
        <v>214.25</v>
      </c>
      <c r="Q1731" s="115">
        <v>211.7</v>
      </c>
      <c r="R1731">
        <v>30088</v>
      </c>
    </row>
    <row r="1732" spans="1:18" x14ac:dyDescent="0.25">
      <c r="A1732" s="169">
        <v>44557</v>
      </c>
      <c r="B1732" s="115">
        <v>213.8</v>
      </c>
      <c r="C1732" s="115">
        <v>209.1</v>
      </c>
      <c r="D1732" s="115">
        <v>206</v>
      </c>
      <c r="E1732" s="115">
        <v>209.6</v>
      </c>
      <c r="F1732" s="115">
        <v>209.1</v>
      </c>
      <c r="G1732">
        <v>9484</v>
      </c>
      <c r="H1732" s="115"/>
      <c r="I1732" s="115"/>
      <c r="L1732" s="169">
        <v>44554</v>
      </c>
      <c r="M1732" s="115">
        <v>211.5</v>
      </c>
      <c r="N1732" s="115">
        <v>214.5</v>
      </c>
      <c r="O1732" s="115">
        <v>211.1</v>
      </c>
      <c r="P1732" s="115">
        <v>212.15</v>
      </c>
      <c r="Q1732" s="115">
        <v>211.5</v>
      </c>
      <c r="R1732">
        <v>19837</v>
      </c>
    </row>
    <row r="1733" spans="1:18" x14ac:dyDescent="0.25">
      <c r="A1733" s="169">
        <v>44558</v>
      </c>
      <c r="B1733" s="115">
        <v>215.55</v>
      </c>
      <c r="C1733" s="115">
        <v>214.35</v>
      </c>
      <c r="D1733" s="115">
        <v>207.15</v>
      </c>
      <c r="E1733" s="115">
        <v>210.8</v>
      </c>
      <c r="F1733" s="115">
        <v>214.35</v>
      </c>
      <c r="G1733">
        <v>10039</v>
      </c>
      <c r="H1733" s="115"/>
      <c r="I1733" s="115"/>
      <c r="L1733" s="169">
        <v>44557</v>
      </c>
      <c r="M1733" s="115">
        <v>208.45</v>
      </c>
      <c r="N1733" s="115">
        <v>214</v>
      </c>
      <c r="O1733" s="115">
        <v>206</v>
      </c>
      <c r="P1733" s="115">
        <v>212.3</v>
      </c>
      <c r="Q1733" s="115">
        <v>208.45</v>
      </c>
      <c r="R1733">
        <v>50956</v>
      </c>
    </row>
    <row r="1734" spans="1:18" x14ac:dyDescent="0.25">
      <c r="A1734" s="169">
        <v>44559</v>
      </c>
      <c r="B1734" s="115">
        <v>220.05</v>
      </c>
      <c r="C1734" s="115">
        <v>219.85</v>
      </c>
      <c r="D1734" s="115">
        <v>211.2</v>
      </c>
      <c r="E1734" s="115">
        <v>211.2</v>
      </c>
      <c r="F1734" s="115">
        <v>219.85</v>
      </c>
      <c r="G1734">
        <v>2923</v>
      </c>
      <c r="H1734" s="115"/>
      <c r="I1734" s="115"/>
      <c r="L1734" s="169">
        <v>44558</v>
      </c>
      <c r="M1734" s="115">
        <v>213.65</v>
      </c>
      <c r="N1734" s="115">
        <v>217.4</v>
      </c>
      <c r="O1734" s="115">
        <v>207</v>
      </c>
      <c r="P1734" s="115">
        <v>213</v>
      </c>
      <c r="Q1734" s="115">
        <v>213.65</v>
      </c>
      <c r="R1734">
        <v>101796</v>
      </c>
    </row>
    <row r="1735" spans="1:18" x14ac:dyDescent="0.25">
      <c r="A1735" s="169">
        <v>44560</v>
      </c>
      <c r="B1735" s="115">
        <v>233.05</v>
      </c>
      <c r="C1735" s="115">
        <v>229.25</v>
      </c>
      <c r="D1735" s="115">
        <v>219.1</v>
      </c>
      <c r="E1735" s="115">
        <v>219.7</v>
      </c>
      <c r="F1735" s="115">
        <v>229.25</v>
      </c>
      <c r="G1735">
        <v>10260</v>
      </c>
      <c r="H1735" s="115"/>
      <c r="I1735" s="115"/>
      <c r="L1735" s="169">
        <v>44559</v>
      </c>
      <c r="M1735" s="115">
        <v>219.95</v>
      </c>
      <c r="N1735" s="115">
        <v>221</v>
      </c>
      <c r="O1735" s="115">
        <v>213.05</v>
      </c>
      <c r="P1735" s="115">
        <v>216.5</v>
      </c>
      <c r="Q1735" s="115">
        <v>219.95</v>
      </c>
      <c r="R1735">
        <v>55082</v>
      </c>
    </row>
    <row r="1736" spans="1:18" x14ac:dyDescent="0.25">
      <c r="A1736" s="169">
        <v>44561</v>
      </c>
      <c r="B1736" s="115">
        <v>234.3</v>
      </c>
      <c r="C1736" s="115">
        <v>227.8</v>
      </c>
      <c r="D1736" s="115">
        <v>224.45</v>
      </c>
      <c r="E1736" s="115">
        <v>228.35</v>
      </c>
      <c r="F1736" s="115">
        <v>227.8</v>
      </c>
      <c r="G1736">
        <v>4144</v>
      </c>
      <c r="H1736" s="115"/>
      <c r="I1736" s="115"/>
      <c r="L1736" s="169">
        <v>44560</v>
      </c>
      <c r="M1736" s="115">
        <v>229.65</v>
      </c>
      <c r="N1736" s="115">
        <v>232.8</v>
      </c>
      <c r="O1736" s="115">
        <v>216.75</v>
      </c>
      <c r="P1736" s="115">
        <v>220</v>
      </c>
      <c r="Q1736" s="115">
        <v>229.65</v>
      </c>
      <c r="R1736">
        <v>138558</v>
      </c>
    </row>
    <row r="1737" spans="1:18" x14ac:dyDescent="0.25">
      <c r="A1737" s="169">
        <v>44564</v>
      </c>
      <c r="B1737" s="115">
        <v>230</v>
      </c>
      <c r="C1737" s="115">
        <v>227</v>
      </c>
      <c r="D1737" s="115">
        <v>220.1</v>
      </c>
      <c r="E1737" s="115">
        <v>220.1</v>
      </c>
      <c r="F1737" s="115">
        <v>227</v>
      </c>
      <c r="G1737">
        <v>4933</v>
      </c>
      <c r="H1737" s="115"/>
      <c r="I1737" s="115"/>
      <c r="L1737" s="169">
        <v>44561</v>
      </c>
      <c r="M1737" s="115">
        <v>227.65</v>
      </c>
      <c r="N1737" s="115">
        <v>234.45</v>
      </c>
      <c r="O1737" s="115">
        <v>224.55</v>
      </c>
      <c r="P1737" s="115">
        <v>229</v>
      </c>
      <c r="Q1737" s="115">
        <v>227.65</v>
      </c>
      <c r="R1737">
        <v>66524</v>
      </c>
    </row>
    <row r="1738" spans="1:18" x14ac:dyDescent="0.25">
      <c r="A1738" s="169">
        <v>44565</v>
      </c>
      <c r="B1738" s="115">
        <v>228.95</v>
      </c>
      <c r="C1738" s="115">
        <v>225.65</v>
      </c>
      <c r="D1738" s="115">
        <v>223.8</v>
      </c>
      <c r="E1738" s="115">
        <v>227.15</v>
      </c>
      <c r="F1738" s="115">
        <v>225.65</v>
      </c>
      <c r="G1738">
        <v>1677</v>
      </c>
      <c r="H1738" s="115"/>
      <c r="I1738" s="115"/>
      <c r="L1738" s="169">
        <v>44564</v>
      </c>
      <c r="M1738" s="115">
        <v>227.6</v>
      </c>
      <c r="N1738" s="115">
        <v>230</v>
      </c>
      <c r="O1738" s="115">
        <v>225.9</v>
      </c>
      <c r="P1738" s="115">
        <v>229.9</v>
      </c>
      <c r="Q1738" s="115">
        <v>227.6</v>
      </c>
      <c r="R1738">
        <v>48219</v>
      </c>
    </row>
    <row r="1739" spans="1:18" x14ac:dyDescent="0.25">
      <c r="A1739" s="169">
        <v>44566</v>
      </c>
      <c r="B1739" s="115">
        <v>229</v>
      </c>
      <c r="C1739" s="115">
        <v>220.75</v>
      </c>
      <c r="D1739" s="115">
        <v>219.9</v>
      </c>
      <c r="E1739" s="115">
        <v>229</v>
      </c>
      <c r="F1739" s="115">
        <v>220.75</v>
      </c>
      <c r="G1739">
        <v>15032</v>
      </c>
      <c r="H1739" s="115"/>
      <c r="I1739" s="115"/>
      <c r="L1739" s="169">
        <v>44565</v>
      </c>
      <c r="M1739" s="115">
        <v>225.5</v>
      </c>
      <c r="N1739" s="115">
        <v>229.95</v>
      </c>
      <c r="O1739" s="115">
        <v>223.6</v>
      </c>
      <c r="P1739" s="115">
        <v>229.95</v>
      </c>
      <c r="Q1739" s="115">
        <v>225.5</v>
      </c>
      <c r="R1739">
        <v>39549</v>
      </c>
    </row>
    <row r="1740" spans="1:18" x14ac:dyDescent="0.25">
      <c r="A1740" s="169">
        <v>44567</v>
      </c>
      <c r="B1740" s="115">
        <v>223.6</v>
      </c>
      <c r="C1740" s="115">
        <v>218.8</v>
      </c>
      <c r="D1740" s="115">
        <v>218</v>
      </c>
      <c r="E1740" s="115">
        <v>223.6</v>
      </c>
      <c r="F1740" s="115">
        <v>218.8</v>
      </c>
      <c r="G1740">
        <v>5656</v>
      </c>
      <c r="H1740" s="115"/>
      <c r="I1740" s="115"/>
      <c r="L1740" s="169">
        <v>44566</v>
      </c>
      <c r="M1740" s="115">
        <v>220.85</v>
      </c>
      <c r="N1740" s="115">
        <v>227</v>
      </c>
      <c r="O1740" s="115">
        <v>219.2</v>
      </c>
      <c r="P1740" s="115">
        <v>225.55</v>
      </c>
      <c r="Q1740" s="115">
        <v>220.85</v>
      </c>
      <c r="R1740">
        <v>70861</v>
      </c>
    </row>
    <row r="1741" spans="1:18" x14ac:dyDescent="0.25">
      <c r="A1741" s="169">
        <v>44568</v>
      </c>
      <c r="B1741" s="115">
        <v>224.95</v>
      </c>
      <c r="C1741" s="115">
        <v>214.25</v>
      </c>
      <c r="D1741" s="115">
        <v>213.1</v>
      </c>
      <c r="E1741" s="115">
        <v>220</v>
      </c>
      <c r="F1741" s="115">
        <v>214.25</v>
      </c>
      <c r="G1741">
        <v>23147</v>
      </c>
      <c r="H1741" s="115"/>
      <c r="I1741" s="115"/>
      <c r="L1741" s="169">
        <v>44567</v>
      </c>
      <c r="M1741" s="115">
        <v>219.25</v>
      </c>
      <c r="N1741" s="115">
        <v>221.25</v>
      </c>
      <c r="O1741" s="115">
        <v>217.55</v>
      </c>
      <c r="P1741" s="115">
        <v>220</v>
      </c>
      <c r="Q1741" s="115">
        <v>219.25</v>
      </c>
      <c r="R1741">
        <v>72208</v>
      </c>
    </row>
    <row r="1742" spans="1:18" x14ac:dyDescent="0.25">
      <c r="A1742" s="169">
        <v>44571</v>
      </c>
      <c r="B1742" s="115">
        <v>218.2</v>
      </c>
      <c r="C1742" s="115">
        <v>214.45</v>
      </c>
      <c r="D1742" s="115">
        <v>212.2</v>
      </c>
      <c r="E1742" s="115">
        <v>212.2</v>
      </c>
      <c r="F1742" s="115">
        <v>214.45</v>
      </c>
      <c r="G1742">
        <v>15671</v>
      </c>
      <c r="H1742" s="115"/>
      <c r="I1742" s="115"/>
      <c r="L1742" s="169">
        <v>44568</v>
      </c>
      <c r="M1742" s="115">
        <v>213.75</v>
      </c>
      <c r="N1742" s="115">
        <v>224.75</v>
      </c>
      <c r="O1742" s="115">
        <v>212.9</v>
      </c>
      <c r="P1742" s="115">
        <v>218</v>
      </c>
      <c r="Q1742" s="115">
        <v>213.75</v>
      </c>
      <c r="R1742">
        <v>289493</v>
      </c>
    </row>
    <row r="1743" spans="1:18" x14ac:dyDescent="0.25">
      <c r="A1743" s="169">
        <v>44572</v>
      </c>
      <c r="B1743" s="115">
        <v>216.5</v>
      </c>
      <c r="C1743" s="115">
        <v>214.9</v>
      </c>
      <c r="D1743" s="115">
        <v>213.75</v>
      </c>
      <c r="E1743" s="115">
        <v>215.75</v>
      </c>
      <c r="F1743" s="115">
        <v>214.9</v>
      </c>
      <c r="G1743">
        <v>1896</v>
      </c>
      <c r="H1743" s="115"/>
      <c r="I1743" s="115"/>
      <c r="L1743" s="169">
        <v>44571</v>
      </c>
      <c r="M1743" s="115">
        <v>214.75</v>
      </c>
      <c r="N1743" s="115">
        <v>218.5</v>
      </c>
      <c r="O1743" s="115">
        <v>214</v>
      </c>
      <c r="P1743" s="115">
        <v>214.5</v>
      </c>
      <c r="Q1743" s="115">
        <v>214.75</v>
      </c>
      <c r="R1743">
        <v>95765</v>
      </c>
    </row>
    <row r="1744" spans="1:18" x14ac:dyDescent="0.25">
      <c r="A1744" s="169">
        <v>44573</v>
      </c>
      <c r="B1744" s="115">
        <v>218</v>
      </c>
      <c r="C1744" s="115">
        <v>214.6</v>
      </c>
      <c r="D1744" s="115">
        <v>214.1</v>
      </c>
      <c r="E1744" s="115">
        <v>217.25</v>
      </c>
      <c r="F1744" s="115">
        <v>214.6</v>
      </c>
      <c r="G1744">
        <v>13555</v>
      </c>
      <c r="H1744" s="115"/>
      <c r="I1744" s="115"/>
      <c r="L1744" s="169">
        <v>44572</v>
      </c>
      <c r="M1744" s="115">
        <v>214.95</v>
      </c>
      <c r="N1744" s="115">
        <v>216.75</v>
      </c>
      <c r="O1744" s="115">
        <v>213.85</v>
      </c>
      <c r="P1744" s="115">
        <v>214.75</v>
      </c>
      <c r="Q1744" s="115">
        <v>214.95</v>
      </c>
      <c r="R1744">
        <v>82987</v>
      </c>
    </row>
    <row r="1745" spans="1:18" x14ac:dyDescent="0.25">
      <c r="A1745" s="169">
        <v>44574</v>
      </c>
      <c r="B1745" s="115">
        <v>219.4</v>
      </c>
      <c r="C1745" s="115">
        <v>214.7</v>
      </c>
      <c r="D1745" s="115">
        <v>213.55</v>
      </c>
      <c r="E1745" s="115">
        <v>219.4</v>
      </c>
      <c r="F1745" s="115">
        <v>214.7</v>
      </c>
      <c r="G1745">
        <v>3281</v>
      </c>
      <c r="H1745" s="115"/>
      <c r="I1745" s="115"/>
      <c r="L1745" s="169">
        <v>44573</v>
      </c>
      <c r="M1745" s="115">
        <v>214.75</v>
      </c>
      <c r="N1745" s="115">
        <v>218</v>
      </c>
      <c r="O1745" s="115">
        <v>214.2</v>
      </c>
      <c r="P1745" s="115">
        <v>215.45</v>
      </c>
      <c r="Q1745" s="115">
        <v>214.75</v>
      </c>
      <c r="R1745">
        <v>150069</v>
      </c>
    </row>
    <row r="1746" spans="1:18" x14ac:dyDescent="0.25">
      <c r="A1746" s="169">
        <v>44575</v>
      </c>
      <c r="B1746" s="115">
        <v>226.9</v>
      </c>
      <c r="C1746" s="115">
        <v>224.35</v>
      </c>
      <c r="D1746" s="115">
        <v>213.25</v>
      </c>
      <c r="E1746" s="115">
        <v>214.7</v>
      </c>
      <c r="F1746" s="115">
        <v>224.35</v>
      </c>
      <c r="G1746">
        <v>12676</v>
      </c>
      <c r="H1746" s="115"/>
      <c r="I1746" s="115"/>
      <c r="L1746" s="169">
        <v>44574</v>
      </c>
      <c r="M1746" s="115">
        <v>214.9</v>
      </c>
      <c r="N1746" s="115">
        <v>217.75</v>
      </c>
      <c r="O1746" s="115">
        <v>213.5</v>
      </c>
      <c r="P1746" s="115">
        <v>216.65</v>
      </c>
      <c r="Q1746" s="115">
        <v>214.9</v>
      </c>
      <c r="R1746">
        <v>101143</v>
      </c>
    </row>
    <row r="1747" spans="1:18" x14ac:dyDescent="0.25">
      <c r="A1747" s="169">
        <v>44578</v>
      </c>
      <c r="B1747" s="115">
        <v>229.5</v>
      </c>
      <c r="C1747" s="115">
        <v>219.9</v>
      </c>
      <c r="D1747" s="115">
        <v>216</v>
      </c>
      <c r="E1747" s="115">
        <v>225.5</v>
      </c>
      <c r="F1747" s="115">
        <v>219.9</v>
      </c>
      <c r="G1747">
        <v>9907</v>
      </c>
      <c r="H1747" s="115"/>
      <c r="I1747" s="115"/>
      <c r="L1747" s="169">
        <v>44575</v>
      </c>
      <c r="M1747" s="115">
        <v>224.75</v>
      </c>
      <c r="N1747" s="115">
        <v>227</v>
      </c>
      <c r="O1747" s="115">
        <v>211.3</v>
      </c>
      <c r="P1747" s="115">
        <v>211.3</v>
      </c>
      <c r="Q1747" s="115">
        <v>224.75</v>
      </c>
      <c r="R1747">
        <v>122527</v>
      </c>
    </row>
    <row r="1748" spans="1:18" x14ac:dyDescent="0.25">
      <c r="A1748" s="169">
        <v>44579</v>
      </c>
      <c r="B1748" s="115">
        <v>221.45</v>
      </c>
      <c r="C1748" s="115">
        <v>214.55</v>
      </c>
      <c r="D1748" s="115">
        <v>214</v>
      </c>
      <c r="E1748" s="115">
        <v>220.7</v>
      </c>
      <c r="F1748" s="115">
        <v>214.55</v>
      </c>
      <c r="G1748">
        <v>20642</v>
      </c>
      <c r="H1748" s="115"/>
      <c r="I1748" s="115"/>
      <c r="L1748" s="169">
        <v>44578</v>
      </c>
      <c r="M1748" s="115">
        <v>218.2</v>
      </c>
      <c r="N1748" s="115">
        <v>232.75</v>
      </c>
      <c r="O1748" s="115">
        <v>212.7</v>
      </c>
      <c r="P1748" s="115">
        <v>228</v>
      </c>
      <c r="Q1748" s="115">
        <v>218.2</v>
      </c>
      <c r="R1748">
        <v>202607</v>
      </c>
    </row>
    <row r="1749" spans="1:18" x14ac:dyDescent="0.25">
      <c r="A1749" s="169">
        <v>44580</v>
      </c>
      <c r="B1749" s="115">
        <v>218.5</v>
      </c>
      <c r="C1749" s="115">
        <v>213.65</v>
      </c>
      <c r="D1749" s="115">
        <v>212.3</v>
      </c>
      <c r="E1749" s="115">
        <v>218.5</v>
      </c>
      <c r="F1749" s="115">
        <v>213.65</v>
      </c>
      <c r="G1749">
        <v>17861</v>
      </c>
      <c r="H1749" s="115"/>
      <c r="I1749" s="115"/>
      <c r="L1749" s="169">
        <v>44579</v>
      </c>
      <c r="M1749" s="115">
        <v>214.3</v>
      </c>
      <c r="N1749" s="115">
        <v>221.35</v>
      </c>
      <c r="O1749" s="115">
        <v>213.2</v>
      </c>
      <c r="P1749" s="115">
        <v>218.2</v>
      </c>
      <c r="Q1749" s="115">
        <v>214.3</v>
      </c>
      <c r="R1749">
        <v>168588</v>
      </c>
    </row>
    <row r="1750" spans="1:18" x14ac:dyDescent="0.25">
      <c r="A1750" s="169">
        <v>44581</v>
      </c>
      <c r="B1750" s="115">
        <v>216.7</v>
      </c>
      <c r="C1750" s="115">
        <v>214.35</v>
      </c>
      <c r="D1750" s="115">
        <v>212</v>
      </c>
      <c r="E1750" s="115">
        <v>214</v>
      </c>
      <c r="F1750" s="115">
        <v>214.35</v>
      </c>
      <c r="G1750">
        <v>7402</v>
      </c>
      <c r="H1750" s="115"/>
      <c r="I1750" s="115"/>
      <c r="L1750" s="169">
        <v>44580</v>
      </c>
      <c r="M1750" s="115">
        <v>213.7</v>
      </c>
      <c r="N1750" s="115">
        <v>217.5</v>
      </c>
      <c r="O1750" s="115">
        <v>212.3</v>
      </c>
      <c r="P1750" s="115">
        <v>215</v>
      </c>
      <c r="Q1750" s="115">
        <v>213.7</v>
      </c>
      <c r="R1750">
        <v>116868</v>
      </c>
    </row>
    <row r="1751" spans="1:18" x14ac:dyDescent="0.25">
      <c r="A1751" s="169">
        <v>44582</v>
      </c>
      <c r="B1751" s="115">
        <v>214.9</v>
      </c>
      <c r="C1751" s="115">
        <v>210.95</v>
      </c>
      <c r="D1751" s="115">
        <v>210.3</v>
      </c>
      <c r="E1751" s="115">
        <v>214.35</v>
      </c>
      <c r="F1751" s="115">
        <v>210.95</v>
      </c>
      <c r="G1751">
        <v>6196</v>
      </c>
      <c r="H1751" s="115"/>
      <c r="I1751" s="115"/>
      <c r="L1751" s="169">
        <v>44581</v>
      </c>
      <c r="M1751" s="115">
        <v>214.75</v>
      </c>
      <c r="N1751" s="115">
        <v>216.65</v>
      </c>
      <c r="O1751" s="115">
        <v>211.45</v>
      </c>
      <c r="P1751" s="115">
        <v>213</v>
      </c>
      <c r="Q1751" s="115">
        <v>214.75</v>
      </c>
      <c r="R1751">
        <v>138811</v>
      </c>
    </row>
    <row r="1752" spans="1:18" x14ac:dyDescent="0.25">
      <c r="A1752" s="169">
        <v>44585</v>
      </c>
      <c r="B1752" s="115">
        <v>211.6</v>
      </c>
      <c r="C1752" s="115">
        <v>200.05</v>
      </c>
      <c r="D1752" s="115">
        <v>198.4</v>
      </c>
      <c r="E1752" s="115">
        <v>210.9</v>
      </c>
      <c r="F1752" s="115">
        <v>200.05</v>
      </c>
      <c r="G1752">
        <v>40538</v>
      </c>
      <c r="H1752" s="115"/>
      <c r="I1752" s="115"/>
      <c r="L1752" s="169">
        <v>44582</v>
      </c>
      <c r="M1752" s="115">
        <v>210.6</v>
      </c>
      <c r="N1752" s="115">
        <v>214.95</v>
      </c>
      <c r="O1752" s="115">
        <v>210.15</v>
      </c>
      <c r="P1752" s="115">
        <v>214</v>
      </c>
      <c r="Q1752" s="115">
        <v>210.6</v>
      </c>
      <c r="R1752">
        <v>76668</v>
      </c>
    </row>
    <row r="1753" spans="1:18" x14ac:dyDescent="0.25">
      <c r="A1753" s="169">
        <v>44586</v>
      </c>
      <c r="B1753" s="115">
        <v>206.95</v>
      </c>
      <c r="C1753" s="115">
        <v>203.55</v>
      </c>
      <c r="D1753" s="115">
        <v>195.35</v>
      </c>
      <c r="E1753" s="115">
        <v>196</v>
      </c>
      <c r="F1753" s="115">
        <v>203.55</v>
      </c>
      <c r="G1753">
        <v>8190</v>
      </c>
      <c r="H1753" s="115"/>
      <c r="I1753" s="115"/>
      <c r="L1753" s="169">
        <v>44585</v>
      </c>
      <c r="M1753" s="115">
        <v>199.8</v>
      </c>
      <c r="N1753" s="115">
        <v>211.8</v>
      </c>
      <c r="O1753" s="115">
        <v>197</v>
      </c>
      <c r="P1753" s="115">
        <v>210.6</v>
      </c>
      <c r="Q1753" s="115">
        <v>199.8</v>
      </c>
      <c r="R1753">
        <v>131492</v>
      </c>
    </row>
    <row r="1754" spans="1:18" x14ac:dyDescent="0.25">
      <c r="A1754" s="169">
        <v>44588</v>
      </c>
      <c r="B1754" s="115">
        <v>204.95</v>
      </c>
      <c r="C1754" s="115">
        <v>203.4</v>
      </c>
      <c r="D1754" s="115">
        <v>201.3</v>
      </c>
      <c r="E1754" s="115">
        <v>203.55</v>
      </c>
      <c r="F1754" s="115">
        <v>203.4</v>
      </c>
      <c r="G1754">
        <v>7592</v>
      </c>
      <c r="H1754" s="115"/>
      <c r="I1754" s="115"/>
      <c r="L1754" s="169">
        <v>44586</v>
      </c>
      <c r="M1754" s="115">
        <v>203.75</v>
      </c>
      <c r="N1754" s="115">
        <v>207.45</v>
      </c>
      <c r="O1754" s="115">
        <v>195.1</v>
      </c>
      <c r="P1754" s="115">
        <v>199.8</v>
      </c>
      <c r="Q1754" s="115">
        <v>203.75</v>
      </c>
      <c r="R1754">
        <v>54409</v>
      </c>
    </row>
    <row r="1755" spans="1:18" x14ac:dyDescent="0.25">
      <c r="A1755" s="169">
        <v>44589</v>
      </c>
      <c r="B1755" s="115">
        <v>206</v>
      </c>
      <c r="C1755" s="115">
        <v>203.1</v>
      </c>
      <c r="D1755" s="115">
        <v>202.2</v>
      </c>
      <c r="E1755" s="115">
        <v>204.15</v>
      </c>
      <c r="F1755" s="115">
        <v>203.1</v>
      </c>
      <c r="G1755">
        <v>11400</v>
      </c>
      <c r="H1755" s="115"/>
      <c r="I1755" s="115"/>
      <c r="L1755" s="169">
        <v>44588</v>
      </c>
      <c r="M1755" s="115">
        <v>203.9</v>
      </c>
      <c r="N1755" s="115">
        <v>205.2</v>
      </c>
      <c r="O1755" s="115">
        <v>201</v>
      </c>
      <c r="P1755" s="115">
        <v>204</v>
      </c>
      <c r="Q1755" s="115">
        <v>203.9</v>
      </c>
      <c r="R1755">
        <v>97758</v>
      </c>
    </row>
    <row r="1756" spans="1:18" x14ac:dyDescent="0.25">
      <c r="A1756" s="169">
        <v>44592</v>
      </c>
      <c r="B1756" s="115">
        <v>207.35</v>
      </c>
      <c r="C1756" s="115">
        <v>203.95</v>
      </c>
      <c r="D1756" s="115">
        <v>202.75</v>
      </c>
      <c r="E1756" s="115">
        <v>203.95</v>
      </c>
      <c r="F1756" s="115">
        <v>203.95</v>
      </c>
      <c r="G1756">
        <v>2296</v>
      </c>
      <c r="H1756" s="115"/>
      <c r="I1756" s="115"/>
      <c r="L1756" s="169">
        <v>44589</v>
      </c>
      <c r="M1756" s="115">
        <v>203.55</v>
      </c>
      <c r="N1756" s="115">
        <v>205.85</v>
      </c>
      <c r="O1756" s="115">
        <v>201.5</v>
      </c>
      <c r="P1756" s="115">
        <v>204</v>
      </c>
      <c r="Q1756" s="115">
        <v>203.55</v>
      </c>
      <c r="R1756">
        <v>69421</v>
      </c>
    </row>
    <row r="1757" spans="1:18" x14ac:dyDescent="0.25">
      <c r="A1757" s="169">
        <v>44593</v>
      </c>
      <c r="B1757" s="115">
        <v>207.55</v>
      </c>
      <c r="C1757" s="115">
        <v>204.75</v>
      </c>
      <c r="D1757" s="115">
        <v>203.35</v>
      </c>
      <c r="E1757" s="115">
        <v>203.4</v>
      </c>
      <c r="F1757" s="115">
        <v>204.75</v>
      </c>
      <c r="G1757">
        <v>13149</v>
      </c>
      <c r="H1757" s="115"/>
      <c r="I1757" s="115"/>
      <c r="L1757" s="169">
        <v>44592</v>
      </c>
      <c r="M1757" s="115">
        <v>203.2</v>
      </c>
      <c r="N1757" s="115">
        <v>207.45</v>
      </c>
      <c r="O1757" s="115">
        <v>202.9</v>
      </c>
      <c r="P1757" s="115">
        <v>206.5</v>
      </c>
      <c r="Q1757" s="115">
        <v>203.2</v>
      </c>
      <c r="R1757">
        <v>42596</v>
      </c>
    </row>
    <row r="1758" spans="1:18" x14ac:dyDescent="0.25">
      <c r="A1758" s="169">
        <v>44594</v>
      </c>
      <c r="B1758" s="115">
        <v>211.9</v>
      </c>
      <c r="C1758" s="115">
        <v>210.2</v>
      </c>
      <c r="D1758" s="115">
        <v>206.65</v>
      </c>
      <c r="E1758" s="115">
        <v>206.65</v>
      </c>
      <c r="F1758" s="115">
        <v>210.2</v>
      </c>
      <c r="G1758">
        <v>3358</v>
      </c>
      <c r="H1758" s="115"/>
      <c r="I1758" s="115"/>
      <c r="L1758" s="169">
        <v>44593</v>
      </c>
      <c r="M1758" s="115">
        <v>204.85</v>
      </c>
      <c r="N1758" s="115">
        <v>207.6</v>
      </c>
      <c r="O1758" s="115">
        <v>203.6</v>
      </c>
      <c r="P1758" s="115">
        <v>203.6</v>
      </c>
      <c r="Q1758" s="115">
        <v>204.85</v>
      </c>
      <c r="R1758">
        <v>188039</v>
      </c>
    </row>
    <row r="1759" spans="1:18" x14ac:dyDescent="0.25">
      <c r="A1759" s="169">
        <v>44595</v>
      </c>
      <c r="B1759" s="115">
        <v>213.5</v>
      </c>
      <c r="C1759" s="115">
        <v>205.3</v>
      </c>
      <c r="D1759" s="115">
        <v>203.95</v>
      </c>
      <c r="E1759" s="115">
        <v>211.85</v>
      </c>
      <c r="F1759" s="115">
        <v>205.3</v>
      </c>
      <c r="G1759">
        <v>3319</v>
      </c>
      <c r="H1759" s="115"/>
      <c r="I1759" s="115"/>
      <c r="L1759" s="169">
        <v>44594</v>
      </c>
      <c r="M1759" s="115">
        <v>210.8</v>
      </c>
      <c r="N1759" s="115">
        <v>211.8</v>
      </c>
      <c r="O1759" s="115">
        <v>205.25</v>
      </c>
      <c r="P1759" s="115">
        <v>205.25</v>
      </c>
      <c r="Q1759" s="115">
        <v>210.8</v>
      </c>
      <c r="R1759">
        <v>175163</v>
      </c>
    </row>
    <row r="1760" spans="1:18" x14ac:dyDescent="0.25">
      <c r="A1760" s="169">
        <v>44596</v>
      </c>
      <c r="B1760" s="115">
        <v>206</v>
      </c>
      <c r="C1760" s="115">
        <v>203.05</v>
      </c>
      <c r="D1760" s="115">
        <v>201.9</v>
      </c>
      <c r="E1760" s="115">
        <v>206</v>
      </c>
      <c r="F1760" s="115">
        <v>203.05</v>
      </c>
      <c r="G1760">
        <v>6367</v>
      </c>
      <c r="H1760" s="115"/>
      <c r="I1760" s="115"/>
      <c r="L1760" s="169">
        <v>44595</v>
      </c>
      <c r="M1760" s="115">
        <v>205.35</v>
      </c>
      <c r="N1760" s="115">
        <v>213.5</v>
      </c>
      <c r="O1760" s="115">
        <v>204.5</v>
      </c>
      <c r="P1760" s="115">
        <v>211</v>
      </c>
      <c r="Q1760" s="115">
        <v>205.35</v>
      </c>
      <c r="R1760">
        <v>107224</v>
      </c>
    </row>
    <row r="1761" spans="1:18" x14ac:dyDescent="0.25">
      <c r="A1761" s="169">
        <v>44599</v>
      </c>
      <c r="B1761" s="115">
        <v>208</v>
      </c>
      <c r="C1761" s="115">
        <v>202.4</v>
      </c>
      <c r="D1761" s="115">
        <v>201.05</v>
      </c>
      <c r="E1761" s="115">
        <v>208</v>
      </c>
      <c r="F1761" s="115">
        <v>202.4</v>
      </c>
      <c r="G1761">
        <v>12823</v>
      </c>
      <c r="H1761" s="115"/>
      <c r="I1761" s="115"/>
      <c r="L1761" s="169">
        <v>44596</v>
      </c>
      <c r="M1761" s="115">
        <v>202.6</v>
      </c>
      <c r="N1761" s="115">
        <v>207.8</v>
      </c>
      <c r="O1761" s="115">
        <v>201.8</v>
      </c>
      <c r="P1761" s="115">
        <v>205.5</v>
      </c>
      <c r="Q1761" s="115">
        <v>202.6</v>
      </c>
      <c r="R1761">
        <v>87979</v>
      </c>
    </row>
    <row r="1762" spans="1:18" x14ac:dyDescent="0.25">
      <c r="A1762" s="169">
        <v>44600</v>
      </c>
      <c r="B1762" s="115">
        <v>206.1</v>
      </c>
      <c r="C1762" s="115">
        <v>201.05</v>
      </c>
      <c r="D1762" s="115">
        <v>199.05</v>
      </c>
      <c r="E1762" s="115">
        <v>206.1</v>
      </c>
      <c r="F1762" s="115">
        <v>201.05</v>
      </c>
      <c r="G1762">
        <v>7582</v>
      </c>
      <c r="H1762" s="115"/>
      <c r="I1762" s="115"/>
      <c r="L1762" s="169">
        <v>44599</v>
      </c>
      <c r="M1762" s="115">
        <v>202.3</v>
      </c>
      <c r="N1762" s="115">
        <v>204.65</v>
      </c>
      <c r="O1762" s="115">
        <v>201.4</v>
      </c>
      <c r="P1762" s="115">
        <v>203</v>
      </c>
      <c r="Q1762" s="115">
        <v>202.3</v>
      </c>
      <c r="R1762">
        <v>37122</v>
      </c>
    </row>
    <row r="1763" spans="1:18" x14ac:dyDescent="0.25">
      <c r="A1763" s="169">
        <v>44601</v>
      </c>
      <c r="B1763" s="115">
        <v>203.2</v>
      </c>
      <c r="C1763" s="115">
        <v>198.9</v>
      </c>
      <c r="D1763" s="115">
        <v>198.45</v>
      </c>
      <c r="E1763" s="115">
        <v>201</v>
      </c>
      <c r="F1763" s="115">
        <v>198.9</v>
      </c>
      <c r="G1763">
        <v>9167</v>
      </c>
      <c r="H1763" s="115"/>
      <c r="I1763" s="115"/>
      <c r="L1763" s="169">
        <v>44600</v>
      </c>
      <c r="M1763" s="115">
        <v>200.15</v>
      </c>
      <c r="N1763" s="115">
        <v>203.8</v>
      </c>
      <c r="O1763" s="115">
        <v>199.05</v>
      </c>
      <c r="P1763" s="115">
        <v>201.5</v>
      </c>
      <c r="Q1763" s="115">
        <v>200.15</v>
      </c>
      <c r="R1763">
        <v>153456</v>
      </c>
    </row>
    <row r="1764" spans="1:18" x14ac:dyDescent="0.25">
      <c r="A1764" s="169">
        <v>44602</v>
      </c>
      <c r="B1764" s="115">
        <v>199.95</v>
      </c>
      <c r="C1764" s="115">
        <v>198.1</v>
      </c>
      <c r="D1764" s="115">
        <v>195.35</v>
      </c>
      <c r="E1764" s="115">
        <v>198.65</v>
      </c>
      <c r="F1764" s="115">
        <v>198.1</v>
      </c>
      <c r="G1764">
        <v>23009</v>
      </c>
      <c r="H1764" s="115"/>
      <c r="I1764" s="115"/>
      <c r="L1764" s="169">
        <v>44601</v>
      </c>
      <c r="M1764" s="115">
        <v>198.8</v>
      </c>
      <c r="N1764" s="115">
        <v>203.2</v>
      </c>
      <c r="O1764" s="115">
        <v>198.5</v>
      </c>
      <c r="P1764" s="115">
        <v>200.15</v>
      </c>
      <c r="Q1764" s="115">
        <v>198.8</v>
      </c>
      <c r="R1764">
        <v>71270</v>
      </c>
    </row>
    <row r="1765" spans="1:18" x14ac:dyDescent="0.25">
      <c r="A1765" s="169">
        <v>44603</v>
      </c>
      <c r="B1765" s="115">
        <v>198.3</v>
      </c>
      <c r="C1765" s="115">
        <v>194.85</v>
      </c>
      <c r="D1765" s="115">
        <v>194.4</v>
      </c>
      <c r="E1765" s="115">
        <v>198.3</v>
      </c>
      <c r="F1765" s="115">
        <v>194.85</v>
      </c>
      <c r="G1765">
        <v>7780</v>
      </c>
      <c r="H1765" s="115"/>
      <c r="I1765" s="115"/>
      <c r="L1765" s="169">
        <v>44602</v>
      </c>
      <c r="M1765" s="115">
        <v>198.25</v>
      </c>
      <c r="N1765" s="115">
        <v>200</v>
      </c>
      <c r="O1765" s="115">
        <v>195.35</v>
      </c>
      <c r="P1765" s="115">
        <v>199.4</v>
      </c>
      <c r="Q1765" s="115">
        <v>198.25</v>
      </c>
      <c r="R1765">
        <v>129646</v>
      </c>
    </row>
    <row r="1766" spans="1:18" x14ac:dyDescent="0.25">
      <c r="A1766" s="169">
        <v>44606</v>
      </c>
      <c r="B1766" s="115">
        <v>194.55</v>
      </c>
      <c r="C1766" s="115">
        <v>186.5</v>
      </c>
      <c r="D1766" s="115">
        <v>184.1</v>
      </c>
      <c r="E1766" s="115">
        <v>194.5</v>
      </c>
      <c r="F1766" s="115">
        <v>186.5</v>
      </c>
      <c r="G1766">
        <v>9975</v>
      </c>
      <c r="H1766" s="115"/>
      <c r="I1766" s="115"/>
      <c r="L1766" s="169">
        <v>44603</v>
      </c>
      <c r="M1766" s="115">
        <v>195.15</v>
      </c>
      <c r="N1766" s="115">
        <v>199.35</v>
      </c>
      <c r="O1766" s="115">
        <v>193.65</v>
      </c>
      <c r="P1766" s="115">
        <v>198.1</v>
      </c>
      <c r="Q1766" s="115">
        <v>195.15</v>
      </c>
      <c r="R1766">
        <v>65786</v>
      </c>
    </row>
    <row r="1767" spans="1:18" x14ac:dyDescent="0.25">
      <c r="A1767" s="169">
        <v>44607</v>
      </c>
      <c r="B1767" s="115">
        <v>188.75</v>
      </c>
      <c r="C1767" s="115">
        <v>186.3</v>
      </c>
      <c r="D1767" s="115">
        <v>183.85</v>
      </c>
      <c r="E1767" s="115">
        <v>187.3</v>
      </c>
      <c r="F1767" s="115">
        <v>186.3</v>
      </c>
      <c r="G1767">
        <v>23845</v>
      </c>
      <c r="H1767" s="115"/>
      <c r="I1767" s="115"/>
      <c r="L1767" s="169">
        <v>44606</v>
      </c>
      <c r="M1767" s="115">
        <v>185.35</v>
      </c>
      <c r="N1767" s="115">
        <v>195.05</v>
      </c>
      <c r="O1767" s="115">
        <v>184</v>
      </c>
      <c r="P1767" s="115">
        <v>195.05</v>
      </c>
      <c r="Q1767" s="115">
        <v>185.35</v>
      </c>
      <c r="R1767">
        <v>218971</v>
      </c>
    </row>
    <row r="1768" spans="1:18" x14ac:dyDescent="0.25">
      <c r="A1768" s="169">
        <v>44608</v>
      </c>
      <c r="B1768" s="115">
        <v>191.25</v>
      </c>
      <c r="C1768" s="115">
        <v>188.2</v>
      </c>
      <c r="D1768" s="115">
        <v>186</v>
      </c>
      <c r="E1768" s="115">
        <v>186.4</v>
      </c>
      <c r="F1768" s="115">
        <v>188.2</v>
      </c>
      <c r="G1768">
        <v>16317</v>
      </c>
      <c r="H1768" s="115"/>
      <c r="I1768" s="115"/>
      <c r="L1768" s="169">
        <v>44607</v>
      </c>
      <c r="M1768" s="115">
        <v>185.8</v>
      </c>
      <c r="N1768" s="115">
        <v>188.7</v>
      </c>
      <c r="O1768" s="115">
        <v>183.5</v>
      </c>
      <c r="P1768" s="115">
        <v>186.4</v>
      </c>
      <c r="Q1768" s="115">
        <v>185.8</v>
      </c>
      <c r="R1768">
        <v>237544</v>
      </c>
    </row>
    <row r="1769" spans="1:18" x14ac:dyDescent="0.25">
      <c r="A1769" s="169">
        <v>44609</v>
      </c>
      <c r="B1769" s="115">
        <v>192.25</v>
      </c>
      <c r="C1769" s="115">
        <v>189.1</v>
      </c>
      <c r="D1769" s="115">
        <v>187.15</v>
      </c>
      <c r="E1769" s="115">
        <v>192.25</v>
      </c>
      <c r="F1769" s="115">
        <v>189.1</v>
      </c>
      <c r="G1769">
        <v>6290</v>
      </c>
      <c r="H1769" s="115"/>
      <c r="I1769" s="115"/>
      <c r="L1769" s="169">
        <v>44608</v>
      </c>
      <c r="M1769" s="115">
        <v>188.45</v>
      </c>
      <c r="N1769" s="115">
        <v>191.6</v>
      </c>
      <c r="O1769" s="115">
        <v>185.15</v>
      </c>
      <c r="P1769" s="115">
        <v>185.15</v>
      </c>
      <c r="Q1769" s="115">
        <v>188.45</v>
      </c>
      <c r="R1769">
        <v>133492</v>
      </c>
    </row>
    <row r="1770" spans="1:18" x14ac:dyDescent="0.25">
      <c r="A1770" s="169">
        <v>44610</v>
      </c>
      <c r="B1770" s="115">
        <v>191.4</v>
      </c>
      <c r="C1770" s="115">
        <v>186.95</v>
      </c>
      <c r="D1770" s="115">
        <v>186.2</v>
      </c>
      <c r="E1770" s="115">
        <v>189.85</v>
      </c>
      <c r="F1770" s="115">
        <v>186.95</v>
      </c>
      <c r="G1770">
        <v>3265</v>
      </c>
      <c r="H1770" s="115"/>
      <c r="I1770" s="115"/>
      <c r="L1770" s="169">
        <v>44609</v>
      </c>
      <c r="M1770" s="115">
        <v>189.2</v>
      </c>
      <c r="N1770" s="115">
        <v>190.85</v>
      </c>
      <c r="O1770" s="115">
        <v>187.1</v>
      </c>
      <c r="P1770" s="115">
        <v>190</v>
      </c>
      <c r="Q1770" s="115">
        <v>189.2</v>
      </c>
      <c r="R1770">
        <v>70981</v>
      </c>
    </row>
    <row r="1771" spans="1:18" x14ac:dyDescent="0.25">
      <c r="A1771" s="169">
        <v>44613</v>
      </c>
      <c r="B1771" s="115">
        <v>185.85</v>
      </c>
      <c r="C1771" s="115">
        <v>182.75</v>
      </c>
      <c r="D1771" s="115">
        <v>181.05</v>
      </c>
      <c r="E1771" s="115">
        <v>185.85</v>
      </c>
      <c r="F1771" s="115">
        <v>182.75</v>
      </c>
      <c r="G1771">
        <v>8903</v>
      </c>
      <c r="H1771" s="115"/>
      <c r="I1771" s="115"/>
      <c r="L1771" s="169">
        <v>44610</v>
      </c>
      <c r="M1771" s="115">
        <v>187.2</v>
      </c>
      <c r="N1771" s="115">
        <v>191.95</v>
      </c>
      <c r="O1771" s="115">
        <v>186.05</v>
      </c>
      <c r="P1771" s="115">
        <v>191</v>
      </c>
      <c r="Q1771" s="115">
        <v>187.2</v>
      </c>
      <c r="R1771">
        <v>51243</v>
      </c>
    </row>
    <row r="1772" spans="1:18" x14ac:dyDescent="0.25">
      <c r="A1772" s="169">
        <v>44614</v>
      </c>
      <c r="B1772" s="115">
        <v>181</v>
      </c>
      <c r="C1772" s="115">
        <v>174.55</v>
      </c>
      <c r="D1772" s="115">
        <v>174.3</v>
      </c>
      <c r="E1772" s="115">
        <v>181</v>
      </c>
      <c r="F1772" s="115">
        <v>174.55</v>
      </c>
      <c r="G1772">
        <v>12794</v>
      </c>
      <c r="H1772" s="115"/>
      <c r="I1772" s="115"/>
      <c r="L1772" s="169">
        <v>44613</v>
      </c>
      <c r="M1772" s="115">
        <v>183.1</v>
      </c>
      <c r="N1772" s="115">
        <v>187.2</v>
      </c>
      <c r="O1772" s="115">
        <v>181.05</v>
      </c>
      <c r="P1772" s="115">
        <v>187.2</v>
      </c>
      <c r="Q1772" s="115">
        <v>183.1</v>
      </c>
      <c r="R1772">
        <v>62418</v>
      </c>
    </row>
    <row r="1773" spans="1:18" x14ac:dyDescent="0.25">
      <c r="A1773" s="169">
        <v>44615</v>
      </c>
      <c r="B1773" s="115">
        <v>178.9</v>
      </c>
      <c r="C1773" s="115">
        <v>174.75</v>
      </c>
      <c r="D1773" s="115">
        <v>173.1</v>
      </c>
      <c r="E1773" s="115">
        <v>177.45</v>
      </c>
      <c r="F1773" s="115">
        <v>174.75</v>
      </c>
      <c r="G1773">
        <v>4950</v>
      </c>
      <c r="H1773" s="115"/>
      <c r="I1773" s="115"/>
      <c r="L1773" s="169">
        <v>44614</v>
      </c>
      <c r="M1773" s="115">
        <v>174.85</v>
      </c>
      <c r="N1773" s="115">
        <v>180.5</v>
      </c>
      <c r="O1773" s="115">
        <v>150.80000000000001</v>
      </c>
      <c r="P1773" s="115">
        <v>178.15</v>
      </c>
      <c r="Q1773" s="115">
        <v>174.85</v>
      </c>
      <c r="R1773">
        <v>108436</v>
      </c>
    </row>
    <row r="1774" spans="1:18" x14ac:dyDescent="0.25">
      <c r="A1774" s="169">
        <v>44616</v>
      </c>
      <c r="B1774" s="115">
        <v>174</v>
      </c>
      <c r="C1774" s="115">
        <v>166.65</v>
      </c>
      <c r="D1774" s="115">
        <v>165.65</v>
      </c>
      <c r="E1774" s="115">
        <v>173.5</v>
      </c>
      <c r="F1774" s="115">
        <v>166.65</v>
      </c>
      <c r="G1774">
        <v>31106</v>
      </c>
      <c r="H1774" s="115"/>
      <c r="I1774" s="115"/>
      <c r="L1774" s="169">
        <v>44615</v>
      </c>
      <c r="M1774" s="115">
        <v>174.4</v>
      </c>
      <c r="N1774" s="115">
        <v>179.25</v>
      </c>
      <c r="O1774" s="115">
        <v>173</v>
      </c>
      <c r="P1774" s="115">
        <v>175</v>
      </c>
      <c r="Q1774" s="115">
        <v>174.4</v>
      </c>
      <c r="R1774">
        <v>96900</v>
      </c>
    </row>
    <row r="1775" spans="1:18" x14ac:dyDescent="0.25">
      <c r="A1775" s="169">
        <v>44617</v>
      </c>
      <c r="B1775" s="115">
        <v>173.75</v>
      </c>
      <c r="C1775" s="115">
        <v>170.45</v>
      </c>
      <c r="D1775" s="115">
        <v>168</v>
      </c>
      <c r="E1775" s="115">
        <v>168</v>
      </c>
      <c r="F1775" s="115">
        <v>170.45</v>
      </c>
      <c r="G1775">
        <v>6611</v>
      </c>
      <c r="H1775" s="115"/>
      <c r="I1775" s="115"/>
      <c r="L1775" s="169">
        <v>44616</v>
      </c>
      <c r="M1775" s="115">
        <v>167.3</v>
      </c>
      <c r="N1775" s="115">
        <v>175.05</v>
      </c>
      <c r="O1775" s="115">
        <v>166</v>
      </c>
      <c r="P1775" s="115">
        <v>175.05</v>
      </c>
      <c r="Q1775" s="115">
        <v>167.3</v>
      </c>
      <c r="R1775">
        <v>118183</v>
      </c>
    </row>
    <row r="1776" spans="1:18" x14ac:dyDescent="0.25">
      <c r="A1776" s="169">
        <v>44620</v>
      </c>
      <c r="B1776" s="115">
        <v>172</v>
      </c>
      <c r="C1776" s="115">
        <v>169.5</v>
      </c>
      <c r="D1776" s="115">
        <v>167.5</v>
      </c>
      <c r="E1776" s="115">
        <v>170.15</v>
      </c>
      <c r="F1776" s="115">
        <v>169.5</v>
      </c>
      <c r="G1776">
        <v>29458</v>
      </c>
      <c r="H1776" s="115"/>
      <c r="I1776" s="115"/>
      <c r="L1776" s="169">
        <v>44617</v>
      </c>
      <c r="M1776" s="115">
        <v>170.6</v>
      </c>
      <c r="N1776" s="115">
        <v>174</v>
      </c>
      <c r="O1776" s="115">
        <v>168</v>
      </c>
      <c r="P1776" s="115">
        <v>172.85</v>
      </c>
      <c r="Q1776" s="115">
        <v>170.6</v>
      </c>
      <c r="R1776">
        <v>71908</v>
      </c>
    </row>
    <row r="1777" spans="1:18" x14ac:dyDescent="0.25">
      <c r="A1777" s="169">
        <v>44622</v>
      </c>
      <c r="B1777" s="115">
        <v>179.75</v>
      </c>
      <c r="C1777" s="115">
        <v>175.45</v>
      </c>
      <c r="D1777" s="115">
        <v>162.19999999999999</v>
      </c>
      <c r="E1777" s="115">
        <v>168</v>
      </c>
      <c r="F1777" s="115">
        <v>175.45</v>
      </c>
      <c r="G1777">
        <v>17919</v>
      </c>
      <c r="H1777" s="115"/>
      <c r="I1777" s="115"/>
      <c r="L1777" s="169">
        <v>44620</v>
      </c>
      <c r="M1777" s="115">
        <v>169.55</v>
      </c>
      <c r="N1777" s="115">
        <v>172</v>
      </c>
      <c r="O1777" s="115">
        <v>167.3</v>
      </c>
      <c r="P1777" s="115">
        <v>172</v>
      </c>
      <c r="Q1777" s="115">
        <v>169.55</v>
      </c>
      <c r="R1777">
        <v>221230</v>
      </c>
    </row>
    <row r="1778" spans="1:18" x14ac:dyDescent="0.25">
      <c r="A1778" s="169">
        <v>44623</v>
      </c>
      <c r="B1778" s="115">
        <v>180.05</v>
      </c>
      <c r="C1778" s="115">
        <v>169.05</v>
      </c>
      <c r="D1778" s="115">
        <v>168.3</v>
      </c>
      <c r="E1778" s="115">
        <v>179.15</v>
      </c>
      <c r="F1778" s="115">
        <v>169.05</v>
      </c>
      <c r="G1778">
        <v>14707</v>
      </c>
      <c r="H1778" s="115"/>
      <c r="I1778" s="115"/>
      <c r="L1778" s="169">
        <v>44622</v>
      </c>
      <c r="M1778" s="115">
        <v>175.7</v>
      </c>
      <c r="N1778" s="115">
        <v>179.9</v>
      </c>
      <c r="O1778" s="115">
        <v>162.05000000000001</v>
      </c>
      <c r="P1778" s="115">
        <v>163</v>
      </c>
      <c r="Q1778" s="115">
        <v>175.7</v>
      </c>
      <c r="R1778">
        <v>224218</v>
      </c>
    </row>
    <row r="1779" spans="1:18" x14ac:dyDescent="0.25">
      <c r="A1779" s="169">
        <v>44624</v>
      </c>
      <c r="B1779" s="115">
        <v>167.45</v>
      </c>
      <c r="C1779" s="115">
        <v>165</v>
      </c>
      <c r="D1779" s="115">
        <v>160.05000000000001</v>
      </c>
      <c r="E1779" s="115">
        <v>160.05000000000001</v>
      </c>
      <c r="F1779" s="115">
        <v>165</v>
      </c>
      <c r="G1779">
        <v>14331</v>
      </c>
      <c r="H1779" s="115"/>
      <c r="I1779" s="115"/>
      <c r="L1779" s="169">
        <v>44623</v>
      </c>
      <c r="M1779" s="115">
        <v>169</v>
      </c>
      <c r="N1779" s="115">
        <v>181.75</v>
      </c>
      <c r="O1779" s="115">
        <v>168.3</v>
      </c>
      <c r="P1779" s="115">
        <v>179</v>
      </c>
      <c r="Q1779" s="115">
        <v>169</v>
      </c>
      <c r="R1779">
        <v>104776</v>
      </c>
    </row>
    <row r="1780" spans="1:18" x14ac:dyDescent="0.25">
      <c r="A1780" s="169">
        <v>44627</v>
      </c>
      <c r="B1780" s="115">
        <v>165.15</v>
      </c>
      <c r="C1780" s="115">
        <v>154.69999999999999</v>
      </c>
      <c r="D1780" s="115">
        <v>153.80000000000001</v>
      </c>
      <c r="E1780" s="115">
        <v>163</v>
      </c>
      <c r="F1780" s="115">
        <v>154.69999999999999</v>
      </c>
      <c r="G1780">
        <v>29625</v>
      </c>
      <c r="H1780" s="115"/>
      <c r="I1780" s="115"/>
      <c r="L1780" s="169">
        <v>44624</v>
      </c>
      <c r="M1780" s="115">
        <v>164.9</v>
      </c>
      <c r="N1780" s="115">
        <v>167.95</v>
      </c>
      <c r="O1780" s="115">
        <v>164.05</v>
      </c>
      <c r="P1780" s="115">
        <v>166.9</v>
      </c>
      <c r="Q1780" s="115">
        <v>164.9</v>
      </c>
      <c r="R1780">
        <v>57346</v>
      </c>
    </row>
    <row r="1781" spans="1:18" x14ac:dyDescent="0.25">
      <c r="A1781" s="169">
        <v>44628</v>
      </c>
      <c r="B1781" s="115">
        <v>157.75</v>
      </c>
      <c r="C1781" s="115">
        <v>155.35</v>
      </c>
      <c r="D1781" s="115">
        <v>152.9</v>
      </c>
      <c r="E1781" s="115">
        <v>157.65</v>
      </c>
      <c r="F1781" s="115">
        <v>155.35</v>
      </c>
      <c r="G1781">
        <v>11016</v>
      </c>
      <c r="H1781" s="115"/>
      <c r="I1781" s="115"/>
      <c r="L1781" s="169">
        <v>44627</v>
      </c>
      <c r="M1781" s="115">
        <v>155.19999999999999</v>
      </c>
      <c r="N1781" s="115">
        <v>165.05</v>
      </c>
      <c r="O1781" s="115">
        <v>153.75</v>
      </c>
      <c r="P1781" s="115">
        <v>165</v>
      </c>
      <c r="Q1781" s="115">
        <v>155.19999999999999</v>
      </c>
      <c r="R1781">
        <v>176965</v>
      </c>
    </row>
    <row r="1782" spans="1:18" x14ac:dyDescent="0.25">
      <c r="A1782" s="169">
        <v>44629</v>
      </c>
      <c r="B1782" s="115">
        <v>159.94999999999999</v>
      </c>
      <c r="C1782" s="115">
        <v>157.4</v>
      </c>
      <c r="D1782" s="115">
        <v>156</v>
      </c>
      <c r="E1782" s="115">
        <v>156.05000000000001</v>
      </c>
      <c r="F1782" s="115">
        <v>157.4</v>
      </c>
      <c r="G1782">
        <v>10692</v>
      </c>
      <c r="H1782" s="115"/>
      <c r="I1782" s="115"/>
      <c r="L1782" s="169">
        <v>44628</v>
      </c>
      <c r="M1782" s="115">
        <v>155.05000000000001</v>
      </c>
      <c r="N1782" s="115">
        <v>157.94999999999999</v>
      </c>
      <c r="O1782" s="115">
        <v>152.85</v>
      </c>
      <c r="P1782" s="115">
        <v>156.15</v>
      </c>
      <c r="Q1782" s="115">
        <v>155.05000000000001</v>
      </c>
      <c r="R1782">
        <v>267488</v>
      </c>
    </row>
    <row r="1783" spans="1:18" x14ac:dyDescent="0.25">
      <c r="A1783" s="169">
        <v>44630</v>
      </c>
      <c r="B1783" s="115">
        <v>160.05000000000001</v>
      </c>
      <c r="C1783" s="115">
        <v>157.85</v>
      </c>
      <c r="D1783" s="115">
        <v>157.4</v>
      </c>
      <c r="E1783" s="115">
        <v>159.9</v>
      </c>
      <c r="F1783" s="115">
        <v>157.85</v>
      </c>
      <c r="G1783">
        <v>19934</v>
      </c>
      <c r="H1783" s="115"/>
      <c r="I1783" s="115"/>
      <c r="L1783" s="169">
        <v>44629</v>
      </c>
      <c r="M1783" s="115">
        <v>157.19999999999999</v>
      </c>
      <c r="N1783" s="115">
        <v>159.05000000000001</v>
      </c>
      <c r="O1783" s="115">
        <v>155</v>
      </c>
      <c r="P1783" s="115">
        <v>155</v>
      </c>
      <c r="Q1783" s="115">
        <v>157.19999999999999</v>
      </c>
      <c r="R1783">
        <v>94277</v>
      </c>
    </row>
    <row r="1784" spans="1:18" x14ac:dyDescent="0.25">
      <c r="A1784" s="169">
        <v>44631</v>
      </c>
      <c r="B1784" s="115">
        <v>159.94999999999999</v>
      </c>
      <c r="C1784" s="115">
        <v>157.69999999999999</v>
      </c>
      <c r="D1784" s="115">
        <v>157.1</v>
      </c>
      <c r="E1784" s="115">
        <v>158.5</v>
      </c>
      <c r="F1784" s="115">
        <v>157.69999999999999</v>
      </c>
      <c r="G1784">
        <v>20894</v>
      </c>
      <c r="H1784" s="115"/>
      <c r="I1784" s="115"/>
      <c r="L1784" s="169">
        <v>44630</v>
      </c>
      <c r="M1784" s="115">
        <v>157.80000000000001</v>
      </c>
      <c r="N1784" s="115">
        <v>160</v>
      </c>
      <c r="O1784" s="115">
        <v>157.1</v>
      </c>
      <c r="P1784" s="115">
        <v>160</v>
      </c>
      <c r="Q1784" s="115">
        <v>157.80000000000001</v>
      </c>
      <c r="R1784">
        <v>160935</v>
      </c>
    </row>
    <row r="1785" spans="1:18" x14ac:dyDescent="0.25">
      <c r="A1785" s="169">
        <v>44634</v>
      </c>
      <c r="B1785" s="115">
        <v>159.19999999999999</v>
      </c>
      <c r="C1785" s="115">
        <v>153.94999999999999</v>
      </c>
      <c r="D1785" s="115">
        <v>153.69999999999999</v>
      </c>
      <c r="E1785" s="115">
        <v>159</v>
      </c>
      <c r="F1785" s="115">
        <v>153.94999999999999</v>
      </c>
      <c r="G1785">
        <v>12939</v>
      </c>
      <c r="H1785" s="115"/>
      <c r="I1785" s="115"/>
      <c r="L1785" s="169">
        <v>44631</v>
      </c>
      <c r="M1785" s="115">
        <v>157.85</v>
      </c>
      <c r="N1785" s="115">
        <v>159.94999999999999</v>
      </c>
      <c r="O1785" s="115">
        <v>157.05000000000001</v>
      </c>
      <c r="P1785" s="115">
        <v>158.1</v>
      </c>
      <c r="Q1785" s="115">
        <v>157.85</v>
      </c>
      <c r="R1785">
        <v>146600</v>
      </c>
    </row>
    <row r="1786" spans="1:18" x14ac:dyDescent="0.25">
      <c r="A1786" s="169">
        <v>44635</v>
      </c>
      <c r="B1786" s="115">
        <v>157.80000000000001</v>
      </c>
      <c r="C1786" s="115">
        <v>152.35</v>
      </c>
      <c r="D1786" s="115">
        <v>151.9</v>
      </c>
      <c r="E1786" s="115">
        <v>155</v>
      </c>
      <c r="F1786" s="115">
        <v>152.35</v>
      </c>
      <c r="G1786">
        <v>26799</v>
      </c>
      <c r="H1786" s="115"/>
      <c r="I1786" s="115"/>
      <c r="L1786" s="169">
        <v>44634</v>
      </c>
      <c r="M1786" s="115">
        <v>154.75</v>
      </c>
      <c r="N1786" s="115">
        <v>160</v>
      </c>
      <c r="O1786" s="115">
        <v>153.5</v>
      </c>
      <c r="P1786" s="115">
        <v>160</v>
      </c>
      <c r="Q1786" s="115">
        <v>154.75</v>
      </c>
      <c r="R1786">
        <v>185062</v>
      </c>
    </row>
    <row r="1787" spans="1:18" x14ac:dyDescent="0.25">
      <c r="A1787" s="169">
        <v>44636</v>
      </c>
      <c r="B1787" s="115">
        <v>173</v>
      </c>
      <c r="C1787" s="115">
        <v>160.5</v>
      </c>
      <c r="D1787" s="115">
        <v>154.19999999999999</v>
      </c>
      <c r="E1787" s="115">
        <v>154.9</v>
      </c>
      <c r="F1787" s="115">
        <v>160.5</v>
      </c>
      <c r="G1787">
        <v>107841</v>
      </c>
      <c r="H1787" s="115"/>
      <c r="I1787" s="115"/>
      <c r="L1787" s="169">
        <v>44635</v>
      </c>
      <c r="M1787" s="115">
        <v>152.30000000000001</v>
      </c>
      <c r="N1787" s="115">
        <v>158</v>
      </c>
      <c r="O1787" s="115">
        <v>151</v>
      </c>
      <c r="P1787" s="115">
        <v>155.05000000000001</v>
      </c>
      <c r="Q1787" s="115">
        <v>152.30000000000001</v>
      </c>
      <c r="R1787">
        <v>258187</v>
      </c>
    </row>
    <row r="1788" spans="1:18" x14ac:dyDescent="0.25">
      <c r="A1788" s="169">
        <v>44637</v>
      </c>
      <c r="B1788" s="115">
        <v>168.95</v>
      </c>
      <c r="C1788" s="115">
        <v>164.85</v>
      </c>
      <c r="D1788" s="115">
        <v>162</v>
      </c>
      <c r="E1788" s="115">
        <v>166.1</v>
      </c>
      <c r="F1788" s="115">
        <v>164.85</v>
      </c>
      <c r="G1788">
        <v>23885</v>
      </c>
      <c r="H1788" s="115"/>
      <c r="I1788" s="115"/>
      <c r="L1788" s="169">
        <v>44636</v>
      </c>
      <c r="M1788" s="115">
        <v>160.4</v>
      </c>
      <c r="N1788" s="115">
        <v>173</v>
      </c>
      <c r="O1788" s="115">
        <v>153.15</v>
      </c>
      <c r="P1788" s="115">
        <v>153.15</v>
      </c>
      <c r="Q1788" s="115">
        <v>160.4</v>
      </c>
      <c r="R1788">
        <v>2076641</v>
      </c>
    </row>
    <row r="1789" spans="1:18" x14ac:dyDescent="0.25">
      <c r="A1789" s="169">
        <v>44641</v>
      </c>
      <c r="B1789" s="115">
        <v>170</v>
      </c>
      <c r="C1789" s="115">
        <v>164.2</v>
      </c>
      <c r="D1789" s="115">
        <v>161</v>
      </c>
      <c r="E1789" s="115">
        <v>165</v>
      </c>
      <c r="F1789" s="115">
        <v>164.2</v>
      </c>
      <c r="G1789">
        <v>33906</v>
      </c>
      <c r="H1789" s="115"/>
      <c r="I1789" s="115"/>
      <c r="L1789" s="169">
        <v>44637</v>
      </c>
      <c r="M1789" s="115">
        <v>164.8</v>
      </c>
      <c r="N1789" s="115">
        <v>169</v>
      </c>
      <c r="O1789" s="115">
        <v>161.85</v>
      </c>
      <c r="P1789" s="115">
        <v>164</v>
      </c>
      <c r="Q1789" s="115">
        <v>164.8</v>
      </c>
      <c r="R1789">
        <v>335280</v>
      </c>
    </row>
    <row r="1790" spans="1:18" x14ac:dyDescent="0.25">
      <c r="A1790" s="169">
        <v>44642</v>
      </c>
      <c r="B1790" s="115">
        <v>168.15</v>
      </c>
      <c r="C1790" s="115">
        <v>161.9</v>
      </c>
      <c r="D1790" s="115">
        <v>161.35</v>
      </c>
      <c r="E1790" s="115">
        <v>168.15</v>
      </c>
      <c r="F1790" s="115">
        <v>161.9</v>
      </c>
      <c r="G1790">
        <v>17860</v>
      </c>
      <c r="H1790" s="115"/>
      <c r="I1790" s="115"/>
      <c r="L1790" s="169">
        <v>44641</v>
      </c>
      <c r="M1790" s="115">
        <v>164.1</v>
      </c>
      <c r="N1790" s="115">
        <v>170</v>
      </c>
      <c r="O1790" s="115">
        <v>161</v>
      </c>
      <c r="P1790" s="115">
        <v>166</v>
      </c>
      <c r="Q1790" s="115">
        <v>164.1</v>
      </c>
      <c r="R1790">
        <v>257698</v>
      </c>
    </row>
    <row r="1791" spans="1:18" x14ac:dyDescent="0.25">
      <c r="A1791" s="169">
        <v>44643</v>
      </c>
      <c r="B1791" s="115">
        <v>166.75</v>
      </c>
      <c r="C1791" s="115">
        <v>160.35</v>
      </c>
      <c r="D1791" s="115">
        <v>159.80000000000001</v>
      </c>
      <c r="E1791" s="115">
        <v>163.69999999999999</v>
      </c>
      <c r="F1791" s="115">
        <v>160.35</v>
      </c>
      <c r="G1791">
        <v>11634</v>
      </c>
      <c r="H1791" s="115"/>
      <c r="I1791" s="115"/>
      <c r="L1791" s="169">
        <v>44642</v>
      </c>
      <c r="M1791" s="115">
        <v>162.25</v>
      </c>
      <c r="N1791" s="115">
        <v>166.65</v>
      </c>
      <c r="O1791" s="115">
        <v>161</v>
      </c>
      <c r="P1791" s="115">
        <v>165</v>
      </c>
      <c r="Q1791" s="115">
        <v>162.25</v>
      </c>
      <c r="R1791">
        <v>114982</v>
      </c>
    </row>
    <row r="1792" spans="1:18" x14ac:dyDescent="0.25">
      <c r="A1792" s="169">
        <v>44644</v>
      </c>
      <c r="B1792" s="115">
        <v>162</v>
      </c>
      <c r="C1792" s="115">
        <v>158.69999999999999</v>
      </c>
      <c r="D1792" s="115">
        <v>156.9</v>
      </c>
      <c r="E1792" s="115">
        <v>158.5</v>
      </c>
      <c r="F1792" s="115">
        <v>158.69999999999999</v>
      </c>
      <c r="G1792">
        <v>20154</v>
      </c>
      <c r="H1792" s="115"/>
      <c r="I1792" s="115"/>
      <c r="L1792" s="169">
        <v>44643</v>
      </c>
      <c r="M1792" s="115">
        <v>160.75</v>
      </c>
      <c r="N1792" s="115">
        <v>166.75</v>
      </c>
      <c r="O1792" s="115">
        <v>159.5</v>
      </c>
      <c r="P1792" s="115">
        <v>163.69999999999999</v>
      </c>
      <c r="Q1792" s="115">
        <v>160.75</v>
      </c>
      <c r="R1792">
        <v>134445</v>
      </c>
    </row>
    <row r="1793" spans="1:18" x14ac:dyDescent="0.25">
      <c r="A1793" s="169">
        <v>44645</v>
      </c>
      <c r="B1793" s="115">
        <v>160.6</v>
      </c>
      <c r="C1793" s="115">
        <v>154.19999999999999</v>
      </c>
      <c r="D1793" s="115">
        <v>153.44999999999999</v>
      </c>
      <c r="E1793" s="115">
        <v>158.65</v>
      </c>
      <c r="F1793" s="115">
        <v>154.19999999999999</v>
      </c>
      <c r="G1793">
        <v>43050</v>
      </c>
      <c r="H1793" s="115"/>
      <c r="I1793" s="115"/>
      <c r="L1793" s="169">
        <v>44644</v>
      </c>
      <c r="M1793" s="115">
        <v>158</v>
      </c>
      <c r="N1793" s="115">
        <v>162</v>
      </c>
      <c r="O1793" s="115">
        <v>156.75</v>
      </c>
      <c r="P1793" s="115">
        <v>160.5</v>
      </c>
      <c r="Q1793" s="115">
        <v>158</v>
      </c>
      <c r="R1793">
        <v>117370</v>
      </c>
    </row>
    <row r="1794" spans="1:18" x14ac:dyDescent="0.25">
      <c r="A1794" s="169">
        <v>44648</v>
      </c>
      <c r="B1794" s="115">
        <v>156.85</v>
      </c>
      <c r="C1794" s="115">
        <v>152.80000000000001</v>
      </c>
      <c r="D1794" s="115">
        <v>150.75</v>
      </c>
      <c r="E1794" s="115">
        <v>155</v>
      </c>
      <c r="F1794" s="115">
        <v>152.80000000000001</v>
      </c>
      <c r="G1794">
        <v>106562</v>
      </c>
      <c r="H1794" s="115"/>
      <c r="I1794" s="115"/>
      <c r="L1794" s="169">
        <v>44645</v>
      </c>
      <c r="M1794" s="115">
        <v>154</v>
      </c>
      <c r="N1794" s="115">
        <v>160.55000000000001</v>
      </c>
      <c r="O1794" s="115">
        <v>153</v>
      </c>
      <c r="P1794" s="115">
        <v>158.5</v>
      </c>
      <c r="Q1794" s="115">
        <v>154</v>
      </c>
      <c r="R1794">
        <v>482131</v>
      </c>
    </row>
    <row r="1795" spans="1:18" x14ac:dyDescent="0.25">
      <c r="A1795" s="169">
        <v>44649</v>
      </c>
      <c r="B1795" s="115">
        <v>154.69999999999999</v>
      </c>
      <c r="C1795" s="115">
        <v>148.75</v>
      </c>
      <c r="D1795" s="115">
        <v>148</v>
      </c>
      <c r="E1795" s="115">
        <v>153</v>
      </c>
      <c r="F1795" s="115">
        <v>148.75</v>
      </c>
      <c r="G1795">
        <v>66501</v>
      </c>
      <c r="H1795" s="115"/>
      <c r="I1795" s="115"/>
      <c r="L1795" s="169">
        <v>44648</v>
      </c>
      <c r="M1795" s="115">
        <v>152.65</v>
      </c>
      <c r="N1795" s="115">
        <v>156.9</v>
      </c>
      <c r="O1795" s="115">
        <v>150.55000000000001</v>
      </c>
      <c r="P1795" s="115">
        <v>154.19999999999999</v>
      </c>
      <c r="Q1795" s="115">
        <v>152.65</v>
      </c>
      <c r="R1795">
        <v>231029</v>
      </c>
    </row>
    <row r="1796" spans="1:18" x14ac:dyDescent="0.25">
      <c r="A1796" s="169">
        <v>44650</v>
      </c>
      <c r="B1796" s="115">
        <v>155.9</v>
      </c>
      <c r="C1796" s="115">
        <v>153.1</v>
      </c>
      <c r="D1796" s="115">
        <v>150.05000000000001</v>
      </c>
      <c r="E1796" s="115">
        <v>150.85</v>
      </c>
      <c r="F1796" s="115">
        <v>153.1</v>
      </c>
      <c r="G1796">
        <v>9124</v>
      </c>
      <c r="H1796" s="115"/>
      <c r="I1796" s="115"/>
      <c r="L1796" s="169">
        <v>44649</v>
      </c>
      <c r="M1796" s="115">
        <v>148.80000000000001</v>
      </c>
      <c r="N1796" s="115">
        <v>154.94999999999999</v>
      </c>
      <c r="O1796" s="115">
        <v>148.4</v>
      </c>
      <c r="P1796" s="115">
        <v>151.75</v>
      </c>
      <c r="Q1796" s="115">
        <v>148.80000000000001</v>
      </c>
      <c r="R1796">
        <v>282808</v>
      </c>
    </row>
    <row r="1797" spans="1:18" x14ac:dyDescent="0.25">
      <c r="A1797" s="169">
        <v>44651</v>
      </c>
      <c r="B1797" s="115">
        <v>157.35</v>
      </c>
      <c r="C1797" s="115">
        <v>151</v>
      </c>
      <c r="D1797" s="115">
        <v>149.94999999999999</v>
      </c>
      <c r="E1797" s="115">
        <v>152.69999999999999</v>
      </c>
      <c r="F1797" s="115">
        <v>151</v>
      </c>
      <c r="G1797">
        <v>11455</v>
      </c>
      <c r="H1797" s="115"/>
      <c r="I1797" s="115"/>
      <c r="L1797" s="169">
        <v>44650</v>
      </c>
      <c r="M1797" s="115">
        <v>153.19999999999999</v>
      </c>
      <c r="N1797" s="115">
        <v>155.9</v>
      </c>
      <c r="O1797" s="115">
        <v>150.1</v>
      </c>
      <c r="P1797" s="115">
        <v>150.1</v>
      </c>
      <c r="Q1797" s="115">
        <v>153.19999999999999</v>
      </c>
      <c r="R1797">
        <v>186126</v>
      </c>
    </row>
    <row r="1798" spans="1:18" x14ac:dyDescent="0.25">
      <c r="A1798" s="169">
        <v>44652</v>
      </c>
      <c r="B1798" s="115">
        <v>164</v>
      </c>
      <c r="C1798" s="115">
        <v>161.69999999999999</v>
      </c>
      <c r="D1798" s="115">
        <v>152.25</v>
      </c>
      <c r="E1798" s="115">
        <v>152.6</v>
      </c>
      <c r="F1798" s="115">
        <v>161.69999999999999</v>
      </c>
      <c r="G1798">
        <v>26907</v>
      </c>
      <c r="H1798" s="115"/>
      <c r="I1798" s="115"/>
      <c r="L1798" s="169">
        <v>44651</v>
      </c>
      <c r="M1798" s="115">
        <v>150.9</v>
      </c>
      <c r="N1798" s="115">
        <v>157.44999999999999</v>
      </c>
      <c r="O1798" s="115">
        <v>149.05000000000001</v>
      </c>
      <c r="P1798" s="115">
        <v>154.4</v>
      </c>
      <c r="Q1798" s="115">
        <v>150.9</v>
      </c>
      <c r="R1798">
        <v>190531</v>
      </c>
    </row>
    <row r="1799" spans="1:18" x14ac:dyDescent="0.25">
      <c r="A1799" s="169">
        <v>44655</v>
      </c>
      <c r="B1799" s="115">
        <v>171</v>
      </c>
      <c r="C1799" s="115">
        <v>168.4</v>
      </c>
      <c r="D1799" s="115">
        <v>162</v>
      </c>
      <c r="E1799" s="115">
        <v>162</v>
      </c>
      <c r="F1799" s="115">
        <v>168.4</v>
      </c>
      <c r="G1799">
        <v>24830</v>
      </c>
      <c r="H1799" s="115"/>
      <c r="I1799" s="115"/>
      <c r="L1799" s="169">
        <v>44652</v>
      </c>
      <c r="M1799" s="115">
        <v>161.6</v>
      </c>
      <c r="N1799" s="115">
        <v>165</v>
      </c>
      <c r="O1799" s="115">
        <v>150.80000000000001</v>
      </c>
      <c r="P1799" s="115">
        <v>150.80000000000001</v>
      </c>
      <c r="Q1799" s="115">
        <v>161.6</v>
      </c>
      <c r="R1799">
        <v>201148</v>
      </c>
    </row>
    <row r="1800" spans="1:18" x14ac:dyDescent="0.25">
      <c r="A1800" s="169">
        <v>44656</v>
      </c>
      <c r="B1800" s="115">
        <v>174</v>
      </c>
      <c r="C1800" s="115">
        <v>172.35</v>
      </c>
      <c r="D1800" s="115">
        <v>169.3</v>
      </c>
      <c r="E1800" s="115">
        <v>171</v>
      </c>
      <c r="F1800" s="115">
        <v>172.35</v>
      </c>
      <c r="G1800">
        <v>16684</v>
      </c>
      <c r="H1800" s="115"/>
      <c r="I1800" s="115"/>
      <c r="L1800" s="169">
        <v>44655</v>
      </c>
      <c r="M1800" s="115">
        <v>168.95</v>
      </c>
      <c r="N1800" s="115">
        <v>171</v>
      </c>
      <c r="O1800" s="115">
        <v>161.4</v>
      </c>
      <c r="P1800" s="115">
        <v>161.4</v>
      </c>
      <c r="Q1800" s="115">
        <v>168.95</v>
      </c>
      <c r="R1800">
        <v>208575</v>
      </c>
    </row>
    <row r="1801" spans="1:18" x14ac:dyDescent="0.25">
      <c r="A1801" s="169">
        <v>44657</v>
      </c>
      <c r="B1801" s="115">
        <v>178.65</v>
      </c>
      <c r="C1801" s="115">
        <v>172.5</v>
      </c>
      <c r="D1801" s="115">
        <v>169.65</v>
      </c>
      <c r="E1801" s="115">
        <v>170.3</v>
      </c>
      <c r="F1801" s="115">
        <v>172.5</v>
      </c>
      <c r="G1801">
        <v>10525</v>
      </c>
      <c r="H1801" s="115"/>
      <c r="I1801" s="115"/>
      <c r="L1801" s="169">
        <v>44656</v>
      </c>
      <c r="M1801" s="115">
        <v>172.45</v>
      </c>
      <c r="N1801" s="115">
        <v>173.8</v>
      </c>
      <c r="O1801" s="115">
        <v>168.95</v>
      </c>
      <c r="P1801" s="115">
        <v>169.6</v>
      </c>
      <c r="Q1801" s="115">
        <v>172.45</v>
      </c>
      <c r="R1801">
        <v>179267</v>
      </c>
    </row>
    <row r="1802" spans="1:18" x14ac:dyDescent="0.25">
      <c r="A1802" s="169">
        <v>44658</v>
      </c>
      <c r="B1802" s="115">
        <v>175</v>
      </c>
      <c r="C1802" s="115">
        <v>170.4</v>
      </c>
      <c r="D1802" s="115">
        <v>169.35</v>
      </c>
      <c r="E1802" s="115">
        <v>170</v>
      </c>
      <c r="F1802" s="115">
        <v>170.4</v>
      </c>
      <c r="G1802">
        <v>22030</v>
      </c>
      <c r="H1802" s="115"/>
      <c r="I1802" s="115"/>
      <c r="L1802" s="169">
        <v>44657</v>
      </c>
      <c r="M1802" s="115">
        <v>172.5</v>
      </c>
      <c r="N1802" s="115">
        <v>178.75</v>
      </c>
      <c r="O1802" s="115">
        <v>169.3</v>
      </c>
      <c r="P1802" s="115">
        <v>172.45</v>
      </c>
      <c r="Q1802" s="115">
        <v>172.5</v>
      </c>
      <c r="R1802">
        <v>198864</v>
      </c>
    </row>
    <row r="1803" spans="1:18" x14ac:dyDescent="0.25">
      <c r="A1803" s="169">
        <v>44659</v>
      </c>
      <c r="B1803" s="115">
        <v>174.9</v>
      </c>
      <c r="C1803" s="115">
        <v>173.8</v>
      </c>
      <c r="D1803" s="115">
        <v>170.7</v>
      </c>
      <c r="E1803" s="115">
        <v>174.9</v>
      </c>
      <c r="F1803" s="115">
        <v>173.8</v>
      </c>
      <c r="G1803">
        <v>5311</v>
      </c>
      <c r="H1803" s="115"/>
      <c r="I1803" s="115"/>
      <c r="L1803" s="169">
        <v>44658</v>
      </c>
      <c r="M1803" s="115">
        <v>171</v>
      </c>
      <c r="N1803" s="115">
        <v>175</v>
      </c>
      <c r="O1803" s="115">
        <v>169.2</v>
      </c>
      <c r="P1803" s="115">
        <v>172</v>
      </c>
      <c r="Q1803" s="115">
        <v>171</v>
      </c>
      <c r="R1803">
        <v>124194</v>
      </c>
    </row>
    <row r="1804" spans="1:18" x14ac:dyDescent="0.25">
      <c r="A1804" s="169">
        <v>44662</v>
      </c>
      <c r="B1804" s="115">
        <v>175.25</v>
      </c>
      <c r="C1804" s="115">
        <v>172</v>
      </c>
      <c r="D1804" s="115">
        <v>171.2</v>
      </c>
      <c r="E1804" s="115">
        <v>173.15</v>
      </c>
      <c r="F1804" s="115">
        <v>172</v>
      </c>
      <c r="G1804">
        <v>14852</v>
      </c>
      <c r="H1804" s="115"/>
      <c r="I1804" s="115"/>
      <c r="L1804" s="169">
        <v>44659</v>
      </c>
      <c r="M1804" s="115">
        <v>173.7</v>
      </c>
      <c r="N1804" s="115">
        <v>174.85</v>
      </c>
      <c r="O1804" s="115">
        <v>170.2</v>
      </c>
      <c r="P1804" s="115">
        <v>174</v>
      </c>
      <c r="Q1804" s="115">
        <v>173.7</v>
      </c>
      <c r="R1804">
        <v>67809</v>
      </c>
    </row>
    <row r="1805" spans="1:18" x14ac:dyDescent="0.25">
      <c r="A1805" s="169">
        <v>44663</v>
      </c>
      <c r="B1805" s="115">
        <v>174</v>
      </c>
      <c r="C1805" s="115">
        <v>168.4</v>
      </c>
      <c r="D1805" s="115">
        <v>166.2</v>
      </c>
      <c r="E1805" s="115">
        <v>173.9</v>
      </c>
      <c r="F1805" s="115">
        <v>168.4</v>
      </c>
      <c r="G1805">
        <v>27130</v>
      </c>
      <c r="H1805" s="115"/>
      <c r="I1805" s="115"/>
      <c r="L1805" s="169">
        <v>44662</v>
      </c>
      <c r="M1805" s="115">
        <v>171.7</v>
      </c>
      <c r="N1805" s="115">
        <v>175.4</v>
      </c>
      <c r="O1805" s="115">
        <v>171.1</v>
      </c>
      <c r="P1805" s="115">
        <v>175</v>
      </c>
      <c r="Q1805" s="115">
        <v>171.7</v>
      </c>
      <c r="R1805">
        <v>109537</v>
      </c>
    </row>
    <row r="1806" spans="1:18" x14ac:dyDescent="0.25">
      <c r="A1806" s="169">
        <v>44664</v>
      </c>
      <c r="B1806" s="115">
        <v>191.35</v>
      </c>
      <c r="C1806" s="115">
        <v>182.6</v>
      </c>
      <c r="D1806" s="115">
        <v>169.25</v>
      </c>
      <c r="E1806" s="115">
        <v>169.25</v>
      </c>
      <c r="F1806" s="115">
        <v>182.6</v>
      </c>
      <c r="G1806">
        <v>88682</v>
      </c>
      <c r="H1806" s="115"/>
      <c r="I1806" s="115"/>
      <c r="L1806" s="169">
        <v>44663</v>
      </c>
      <c r="M1806" s="115">
        <v>168.35</v>
      </c>
      <c r="N1806" s="115">
        <v>174.8</v>
      </c>
      <c r="O1806" s="115">
        <v>166</v>
      </c>
      <c r="P1806" s="115">
        <v>172</v>
      </c>
      <c r="Q1806" s="115">
        <v>168.35</v>
      </c>
      <c r="R1806">
        <v>165037</v>
      </c>
    </row>
    <row r="1807" spans="1:18" x14ac:dyDescent="0.25">
      <c r="A1807" s="169">
        <v>44669</v>
      </c>
      <c r="B1807" s="115">
        <v>186.5</v>
      </c>
      <c r="C1807" s="115">
        <v>181.85</v>
      </c>
      <c r="D1807" s="115">
        <v>177</v>
      </c>
      <c r="E1807" s="115">
        <v>182.5</v>
      </c>
      <c r="F1807" s="115">
        <v>181.85</v>
      </c>
      <c r="G1807">
        <v>24382</v>
      </c>
      <c r="H1807" s="115"/>
      <c r="I1807" s="115"/>
      <c r="L1807" s="169">
        <v>44664</v>
      </c>
      <c r="M1807" s="115">
        <v>182.85</v>
      </c>
      <c r="N1807" s="115">
        <v>191.85</v>
      </c>
      <c r="O1807" s="115">
        <v>168.3</v>
      </c>
      <c r="P1807" s="115">
        <v>168.3</v>
      </c>
      <c r="Q1807" s="115">
        <v>182.85</v>
      </c>
      <c r="R1807">
        <v>1366874</v>
      </c>
    </row>
    <row r="1808" spans="1:18" x14ac:dyDescent="0.25">
      <c r="A1808" s="169">
        <v>44670</v>
      </c>
      <c r="B1808" s="115">
        <v>185.1</v>
      </c>
      <c r="C1808" s="115">
        <v>179.9</v>
      </c>
      <c r="D1808" s="115">
        <v>165</v>
      </c>
      <c r="E1808" s="115">
        <v>184.4</v>
      </c>
      <c r="F1808" s="115">
        <v>179.9</v>
      </c>
      <c r="G1808">
        <v>30951</v>
      </c>
      <c r="H1808" s="115"/>
      <c r="I1808" s="115"/>
      <c r="L1808" s="169">
        <v>44669</v>
      </c>
      <c r="M1808" s="115">
        <v>181.65</v>
      </c>
      <c r="N1808" s="115">
        <v>187</v>
      </c>
      <c r="O1808" s="115">
        <v>177</v>
      </c>
      <c r="P1808" s="115">
        <v>181</v>
      </c>
      <c r="Q1808" s="115">
        <v>181.65</v>
      </c>
      <c r="R1808">
        <v>321103</v>
      </c>
    </row>
    <row r="1809" spans="1:18" x14ac:dyDescent="0.25">
      <c r="A1809" s="169">
        <v>44671</v>
      </c>
      <c r="B1809" s="115">
        <v>182.75</v>
      </c>
      <c r="C1809" s="115">
        <v>177.65</v>
      </c>
      <c r="D1809" s="115">
        <v>176.3</v>
      </c>
      <c r="E1809" s="115">
        <v>178.95</v>
      </c>
      <c r="F1809" s="115">
        <v>177.65</v>
      </c>
      <c r="G1809">
        <v>12026</v>
      </c>
      <c r="H1809" s="115"/>
      <c r="I1809" s="115"/>
      <c r="L1809" s="169">
        <v>44670</v>
      </c>
      <c r="M1809" s="115">
        <v>179.7</v>
      </c>
      <c r="N1809" s="115">
        <v>185.4</v>
      </c>
      <c r="O1809" s="115">
        <v>178</v>
      </c>
      <c r="P1809" s="115">
        <v>182.4</v>
      </c>
      <c r="Q1809" s="115">
        <v>179.7</v>
      </c>
      <c r="R1809">
        <v>226283</v>
      </c>
    </row>
    <row r="1810" spans="1:18" x14ac:dyDescent="0.25">
      <c r="A1810" s="169">
        <v>44672</v>
      </c>
      <c r="B1810" s="115">
        <v>185.35</v>
      </c>
      <c r="C1810" s="115">
        <v>181.25</v>
      </c>
      <c r="D1810" s="115">
        <v>178.45</v>
      </c>
      <c r="E1810" s="115">
        <v>179.15</v>
      </c>
      <c r="F1810" s="115">
        <v>181.25</v>
      </c>
      <c r="G1810">
        <v>16572</v>
      </c>
      <c r="H1810" s="115"/>
      <c r="I1810" s="115"/>
      <c r="L1810" s="169">
        <v>44671</v>
      </c>
      <c r="M1810" s="115">
        <v>177.5</v>
      </c>
      <c r="N1810" s="115">
        <v>182.75</v>
      </c>
      <c r="O1810" s="115">
        <v>176.25</v>
      </c>
      <c r="P1810" s="115">
        <v>179.7</v>
      </c>
      <c r="Q1810" s="115">
        <v>177.5</v>
      </c>
      <c r="R1810">
        <v>92104</v>
      </c>
    </row>
    <row r="1811" spans="1:18" x14ac:dyDescent="0.25">
      <c r="A1811" s="169">
        <v>44673</v>
      </c>
      <c r="B1811" s="115">
        <v>185.25</v>
      </c>
      <c r="C1811" s="115">
        <v>181.45</v>
      </c>
      <c r="D1811" s="115">
        <v>178.3</v>
      </c>
      <c r="E1811" s="115">
        <v>181</v>
      </c>
      <c r="F1811" s="115">
        <v>181.45</v>
      </c>
      <c r="G1811">
        <v>10430</v>
      </c>
      <c r="H1811" s="115"/>
      <c r="I1811" s="115"/>
      <c r="L1811" s="169">
        <v>44672</v>
      </c>
      <c r="M1811" s="115">
        <v>181.1</v>
      </c>
      <c r="N1811" s="115">
        <v>185.55</v>
      </c>
      <c r="O1811" s="115">
        <v>178.45</v>
      </c>
      <c r="P1811" s="115">
        <v>178.5</v>
      </c>
      <c r="Q1811" s="115">
        <v>181.1</v>
      </c>
      <c r="R1811">
        <v>126518</v>
      </c>
    </row>
    <row r="1812" spans="1:18" x14ac:dyDescent="0.25">
      <c r="A1812" s="169">
        <v>44676</v>
      </c>
      <c r="B1812" s="115">
        <v>181.3</v>
      </c>
      <c r="C1812" s="115">
        <v>171.3</v>
      </c>
      <c r="D1812" s="115">
        <v>170.5</v>
      </c>
      <c r="E1812" s="115">
        <v>180</v>
      </c>
      <c r="F1812" s="115">
        <v>171.3</v>
      </c>
      <c r="G1812">
        <v>17513</v>
      </c>
      <c r="H1812" s="115"/>
      <c r="I1812" s="115"/>
      <c r="L1812" s="169">
        <v>44673</v>
      </c>
      <c r="M1812" s="115">
        <v>181.5</v>
      </c>
      <c r="N1812" s="115">
        <v>185.4</v>
      </c>
      <c r="O1812" s="115">
        <v>177.8</v>
      </c>
      <c r="P1812" s="115">
        <v>180.8</v>
      </c>
      <c r="Q1812" s="115">
        <v>181.5</v>
      </c>
      <c r="R1812">
        <v>109597</v>
      </c>
    </row>
    <row r="1813" spans="1:18" x14ac:dyDescent="0.25">
      <c r="A1813" s="169">
        <v>44677</v>
      </c>
      <c r="B1813" s="115">
        <v>177.4</v>
      </c>
      <c r="C1813" s="115">
        <v>176.5</v>
      </c>
      <c r="D1813" s="115">
        <v>172.9</v>
      </c>
      <c r="E1813" s="115">
        <v>176.45</v>
      </c>
      <c r="F1813" s="115">
        <v>176.5</v>
      </c>
      <c r="G1813">
        <v>22155</v>
      </c>
      <c r="H1813" s="115"/>
      <c r="I1813" s="115"/>
      <c r="L1813" s="169">
        <v>44676</v>
      </c>
      <c r="M1813" s="115">
        <v>170.9</v>
      </c>
      <c r="N1813" s="115">
        <v>181.5</v>
      </c>
      <c r="O1813" s="115">
        <v>170</v>
      </c>
      <c r="P1813" s="115">
        <v>179</v>
      </c>
      <c r="Q1813" s="115">
        <v>170.9</v>
      </c>
      <c r="R1813">
        <v>145437</v>
      </c>
    </row>
    <row r="1814" spans="1:18" x14ac:dyDescent="0.25">
      <c r="A1814" s="169">
        <v>44678</v>
      </c>
      <c r="B1814" s="115">
        <v>188.45</v>
      </c>
      <c r="C1814" s="115">
        <v>186.55</v>
      </c>
      <c r="D1814" s="115">
        <v>173.65</v>
      </c>
      <c r="E1814" s="115">
        <v>176.4</v>
      </c>
      <c r="F1814" s="115">
        <v>186.55</v>
      </c>
      <c r="G1814">
        <v>30752</v>
      </c>
      <c r="H1814" s="115"/>
      <c r="I1814" s="115"/>
      <c r="L1814" s="169">
        <v>44677</v>
      </c>
      <c r="M1814" s="115">
        <v>176.7</v>
      </c>
      <c r="N1814" s="115">
        <v>177.5</v>
      </c>
      <c r="O1814" s="115">
        <v>172.95</v>
      </c>
      <c r="P1814" s="115">
        <v>173</v>
      </c>
      <c r="Q1814" s="115">
        <v>176.7</v>
      </c>
      <c r="R1814">
        <v>65770</v>
      </c>
    </row>
    <row r="1815" spans="1:18" x14ac:dyDescent="0.25">
      <c r="A1815" s="169">
        <v>44679</v>
      </c>
      <c r="B1815" s="115">
        <v>193.95</v>
      </c>
      <c r="C1815" s="115">
        <v>188.65</v>
      </c>
      <c r="D1815" s="115">
        <v>184.25</v>
      </c>
      <c r="E1815" s="115">
        <v>188.45</v>
      </c>
      <c r="F1815" s="115">
        <v>188.65</v>
      </c>
      <c r="G1815">
        <v>31894</v>
      </c>
      <c r="H1815" s="115"/>
      <c r="I1815" s="115"/>
      <c r="L1815" s="169">
        <v>44678</v>
      </c>
      <c r="M1815" s="115">
        <v>186.75</v>
      </c>
      <c r="N1815" s="115">
        <v>188.9</v>
      </c>
      <c r="O1815" s="115">
        <v>173.55</v>
      </c>
      <c r="P1815" s="115">
        <v>175.5</v>
      </c>
      <c r="Q1815" s="115">
        <v>186.75</v>
      </c>
      <c r="R1815">
        <v>364294</v>
      </c>
    </row>
    <row r="1816" spans="1:18" x14ac:dyDescent="0.25">
      <c r="A1816" s="169">
        <v>44680</v>
      </c>
      <c r="B1816" s="115">
        <v>207.95</v>
      </c>
      <c r="C1816" s="115">
        <v>197.45</v>
      </c>
      <c r="D1816" s="115">
        <v>195.6</v>
      </c>
      <c r="E1816" s="115">
        <v>207</v>
      </c>
      <c r="F1816" s="115">
        <v>197.45</v>
      </c>
      <c r="G1816">
        <v>91134</v>
      </c>
      <c r="H1816" s="115"/>
      <c r="I1816" s="115"/>
      <c r="L1816" s="169">
        <v>44679</v>
      </c>
      <c r="M1816" s="115">
        <v>188.9</v>
      </c>
      <c r="N1816" s="115">
        <v>193.85</v>
      </c>
      <c r="O1816" s="115">
        <v>184</v>
      </c>
      <c r="P1816" s="115">
        <v>188</v>
      </c>
      <c r="Q1816" s="115">
        <v>188.9</v>
      </c>
      <c r="R1816">
        <v>388023</v>
      </c>
    </row>
    <row r="1817" spans="1:18" x14ac:dyDescent="0.25">
      <c r="A1817" s="169">
        <v>44683</v>
      </c>
      <c r="B1817" s="115">
        <v>204.85</v>
      </c>
      <c r="C1817" s="115">
        <v>196.75</v>
      </c>
      <c r="D1817" s="115">
        <v>193.4</v>
      </c>
      <c r="E1817" s="115">
        <v>199.9</v>
      </c>
      <c r="F1817" s="115">
        <v>196.75</v>
      </c>
      <c r="G1817">
        <v>16372</v>
      </c>
      <c r="H1817" s="115"/>
      <c r="I1817" s="115"/>
      <c r="L1817" s="169">
        <v>44680</v>
      </c>
      <c r="M1817" s="115">
        <v>197.75</v>
      </c>
      <c r="N1817" s="115">
        <v>208.35</v>
      </c>
      <c r="O1817" s="115">
        <v>195.3</v>
      </c>
      <c r="P1817" s="115">
        <v>205</v>
      </c>
      <c r="Q1817" s="115">
        <v>197.75</v>
      </c>
      <c r="R1817">
        <v>1932929</v>
      </c>
    </row>
    <row r="1818" spans="1:18" x14ac:dyDescent="0.25">
      <c r="A1818" s="169">
        <v>44685</v>
      </c>
      <c r="B1818" s="115">
        <v>198.85</v>
      </c>
      <c r="C1818" s="115">
        <v>191.35</v>
      </c>
      <c r="D1818" s="115">
        <v>187.85</v>
      </c>
      <c r="E1818" s="115">
        <v>196.35</v>
      </c>
      <c r="F1818" s="115">
        <v>191.35</v>
      </c>
      <c r="G1818">
        <v>277396</v>
      </c>
      <c r="H1818" s="115"/>
      <c r="I1818" s="115"/>
      <c r="L1818" s="169">
        <v>44683</v>
      </c>
      <c r="M1818" s="115">
        <v>196.85</v>
      </c>
      <c r="N1818" s="115">
        <v>204.4</v>
      </c>
      <c r="O1818" s="115">
        <v>193.1</v>
      </c>
      <c r="P1818" s="115">
        <v>197.75</v>
      </c>
      <c r="Q1818" s="115">
        <v>196.85</v>
      </c>
      <c r="R1818">
        <v>333775</v>
      </c>
    </row>
    <row r="1819" spans="1:18" x14ac:dyDescent="0.25">
      <c r="A1819" s="169">
        <v>44686</v>
      </c>
      <c r="B1819" s="115">
        <v>193.45</v>
      </c>
      <c r="C1819" s="115">
        <v>183.8</v>
      </c>
      <c r="D1819" s="115">
        <v>182.8</v>
      </c>
      <c r="E1819" s="115">
        <v>192.25</v>
      </c>
      <c r="F1819" s="115">
        <v>183.8</v>
      </c>
      <c r="G1819">
        <v>60804</v>
      </c>
      <c r="H1819" s="115"/>
      <c r="I1819" s="115"/>
      <c r="L1819" s="169">
        <v>44685</v>
      </c>
      <c r="M1819" s="115">
        <v>190.45</v>
      </c>
      <c r="N1819" s="115">
        <v>199.05</v>
      </c>
      <c r="O1819" s="115">
        <v>186.8</v>
      </c>
      <c r="P1819" s="115">
        <v>196.85</v>
      </c>
      <c r="Q1819" s="115">
        <v>190.45</v>
      </c>
      <c r="R1819">
        <v>223015</v>
      </c>
    </row>
    <row r="1820" spans="1:18" x14ac:dyDescent="0.25">
      <c r="A1820" s="169">
        <v>44687</v>
      </c>
      <c r="B1820" s="115">
        <v>184.5</v>
      </c>
      <c r="C1820" s="115">
        <v>181.3</v>
      </c>
      <c r="D1820" s="115">
        <v>176.15</v>
      </c>
      <c r="E1820" s="115">
        <v>176.5</v>
      </c>
      <c r="F1820" s="115">
        <v>181.3</v>
      </c>
      <c r="G1820">
        <v>76376</v>
      </c>
      <c r="H1820" s="115"/>
      <c r="I1820" s="115"/>
      <c r="L1820" s="169">
        <v>44686</v>
      </c>
      <c r="M1820" s="115">
        <v>183.65</v>
      </c>
      <c r="N1820" s="115">
        <v>194.95</v>
      </c>
      <c r="O1820" s="115">
        <v>182.55</v>
      </c>
      <c r="P1820" s="115">
        <v>193</v>
      </c>
      <c r="Q1820" s="115">
        <v>183.65</v>
      </c>
      <c r="R1820">
        <v>156190</v>
      </c>
    </row>
    <row r="1821" spans="1:18" x14ac:dyDescent="0.25">
      <c r="A1821" s="169">
        <v>44690</v>
      </c>
      <c r="B1821" s="115">
        <v>180.6</v>
      </c>
      <c r="C1821" s="115">
        <v>176.15</v>
      </c>
      <c r="D1821" s="115">
        <v>174.5</v>
      </c>
      <c r="E1821" s="115">
        <v>179.8</v>
      </c>
      <c r="F1821" s="115">
        <v>176.15</v>
      </c>
      <c r="G1821">
        <v>98793</v>
      </c>
      <c r="H1821" s="115"/>
      <c r="I1821" s="115"/>
      <c r="L1821" s="169">
        <v>44687</v>
      </c>
      <c r="M1821" s="115">
        <v>181.7</v>
      </c>
      <c r="N1821" s="115">
        <v>183.8</v>
      </c>
      <c r="O1821" s="115">
        <v>176.05</v>
      </c>
      <c r="P1821" s="115">
        <v>181.6</v>
      </c>
      <c r="Q1821" s="115">
        <v>181.7</v>
      </c>
      <c r="R1821">
        <v>128922</v>
      </c>
    </row>
    <row r="1822" spans="1:18" x14ac:dyDescent="0.25">
      <c r="A1822" s="169">
        <v>44691</v>
      </c>
      <c r="B1822" s="115">
        <v>184.6</v>
      </c>
      <c r="C1822" s="115">
        <v>181.2</v>
      </c>
      <c r="D1822" s="115">
        <v>178.05</v>
      </c>
      <c r="E1822" s="115">
        <v>178.35</v>
      </c>
      <c r="F1822" s="115">
        <v>181.2</v>
      </c>
      <c r="G1822">
        <v>76381</v>
      </c>
      <c r="H1822" s="115"/>
      <c r="I1822" s="115"/>
      <c r="L1822" s="169">
        <v>44690</v>
      </c>
      <c r="M1822" s="115">
        <v>175.8</v>
      </c>
      <c r="N1822" s="115">
        <v>180.8</v>
      </c>
      <c r="O1822" s="115">
        <v>174.4</v>
      </c>
      <c r="P1822" s="115">
        <v>178.55</v>
      </c>
      <c r="Q1822" s="115">
        <v>175.8</v>
      </c>
      <c r="R1822">
        <v>140094</v>
      </c>
    </row>
    <row r="1823" spans="1:18" x14ac:dyDescent="0.25">
      <c r="A1823" s="169">
        <v>44692</v>
      </c>
      <c r="B1823" s="115">
        <v>183.95</v>
      </c>
      <c r="C1823" s="115">
        <v>179.55</v>
      </c>
      <c r="D1823" s="115">
        <v>174.3</v>
      </c>
      <c r="E1823" s="115">
        <v>181.75</v>
      </c>
      <c r="F1823" s="115">
        <v>179.55</v>
      </c>
      <c r="G1823">
        <v>108304</v>
      </c>
      <c r="H1823" s="115"/>
      <c r="I1823" s="115"/>
      <c r="L1823" s="169">
        <v>44691</v>
      </c>
      <c r="M1823" s="115">
        <v>181.4</v>
      </c>
      <c r="N1823" s="115">
        <v>184.85</v>
      </c>
      <c r="O1823" s="115">
        <v>177</v>
      </c>
      <c r="P1823" s="115">
        <v>177</v>
      </c>
      <c r="Q1823" s="115">
        <v>181.4</v>
      </c>
      <c r="R1823">
        <v>173762</v>
      </c>
    </row>
    <row r="1824" spans="1:18" x14ac:dyDescent="0.25">
      <c r="A1824" s="169">
        <v>44693</v>
      </c>
      <c r="B1824" s="115">
        <v>180.5</v>
      </c>
      <c r="C1824" s="115">
        <v>175.9</v>
      </c>
      <c r="D1824" s="115">
        <v>174.4</v>
      </c>
      <c r="E1824" s="115">
        <v>176.65</v>
      </c>
      <c r="F1824" s="115">
        <v>175.9</v>
      </c>
      <c r="G1824">
        <v>49858</v>
      </c>
      <c r="H1824" s="115"/>
      <c r="I1824" s="115"/>
      <c r="L1824" s="169">
        <v>44692</v>
      </c>
      <c r="M1824" s="115">
        <v>179.7</v>
      </c>
      <c r="N1824" s="115">
        <v>184.7</v>
      </c>
      <c r="O1824" s="115">
        <v>175</v>
      </c>
      <c r="P1824" s="115">
        <v>182</v>
      </c>
      <c r="Q1824" s="115">
        <v>179.7</v>
      </c>
      <c r="R1824">
        <v>204969</v>
      </c>
    </row>
    <row r="1825" spans="1:18" x14ac:dyDescent="0.25">
      <c r="A1825" s="169">
        <v>44694</v>
      </c>
      <c r="B1825" s="115">
        <v>180.5</v>
      </c>
      <c r="C1825" s="115">
        <v>177.95</v>
      </c>
      <c r="D1825" s="115">
        <v>175.3</v>
      </c>
      <c r="E1825" s="115">
        <v>178.2</v>
      </c>
      <c r="F1825" s="115">
        <v>177.95</v>
      </c>
      <c r="G1825">
        <v>27778</v>
      </c>
      <c r="H1825" s="115"/>
      <c r="I1825" s="115"/>
      <c r="L1825" s="169">
        <v>44693</v>
      </c>
      <c r="M1825" s="115">
        <v>176.45</v>
      </c>
      <c r="N1825" s="115">
        <v>180.65</v>
      </c>
      <c r="O1825" s="115">
        <v>174.25</v>
      </c>
      <c r="P1825" s="115">
        <v>175</v>
      </c>
      <c r="Q1825" s="115">
        <v>176.45</v>
      </c>
      <c r="R1825">
        <v>80529</v>
      </c>
    </row>
    <row r="1826" spans="1:18" x14ac:dyDescent="0.25">
      <c r="A1826" s="169">
        <v>44697</v>
      </c>
      <c r="B1826" s="115">
        <v>179.65</v>
      </c>
      <c r="C1826" s="115">
        <v>177.1</v>
      </c>
      <c r="D1826" s="115">
        <v>173.5</v>
      </c>
      <c r="E1826" s="115">
        <v>178.2</v>
      </c>
      <c r="F1826" s="115">
        <v>177.1</v>
      </c>
      <c r="G1826">
        <v>20666</v>
      </c>
      <c r="H1826" s="115"/>
      <c r="I1826" s="115"/>
      <c r="L1826" s="169">
        <v>44694</v>
      </c>
      <c r="M1826" s="115">
        <v>178.3</v>
      </c>
      <c r="N1826" s="115">
        <v>180.8</v>
      </c>
      <c r="O1826" s="115">
        <v>175.2</v>
      </c>
      <c r="P1826" s="115">
        <v>178.5</v>
      </c>
      <c r="Q1826" s="115">
        <v>178.3</v>
      </c>
      <c r="R1826">
        <v>89282</v>
      </c>
    </row>
    <row r="1827" spans="1:18" x14ac:dyDescent="0.25">
      <c r="A1827" s="169">
        <v>44698</v>
      </c>
      <c r="B1827" s="115">
        <v>182.55</v>
      </c>
      <c r="C1827" s="115">
        <v>181.1</v>
      </c>
      <c r="D1827" s="115">
        <v>176.65</v>
      </c>
      <c r="E1827" s="115">
        <v>181.15</v>
      </c>
      <c r="F1827" s="115">
        <v>181.1</v>
      </c>
      <c r="G1827">
        <v>10569</v>
      </c>
      <c r="H1827" s="115"/>
      <c r="I1827" s="115"/>
      <c r="L1827" s="169">
        <v>44697</v>
      </c>
      <c r="M1827" s="115">
        <v>176.6</v>
      </c>
      <c r="N1827" s="115">
        <v>179.95</v>
      </c>
      <c r="O1827" s="115">
        <v>173.7</v>
      </c>
      <c r="P1827" s="115">
        <v>178.2</v>
      </c>
      <c r="Q1827" s="115">
        <v>176.6</v>
      </c>
      <c r="R1827">
        <v>80164</v>
      </c>
    </row>
    <row r="1828" spans="1:18" x14ac:dyDescent="0.25">
      <c r="A1828" s="169">
        <v>44699</v>
      </c>
      <c r="B1828" s="115">
        <v>183.55</v>
      </c>
      <c r="C1828" s="115">
        <v>178.8</v>
      </c>
      <c r="D1828" s="115">
        <v>177.9</v>
      </c>
      <c r="E1828" s="115">
        <v>182</v>
      </c>
      <c r="F1828" s="115">
        <v>178.8</v>
      </c>
      <c r="G1828">
        <v>3204</v>
      </c>
      <c r="H1828" s="115"/>
      <c r="I1828" s="115"/>
      <c r="L1828" s="169">
        <v>44698</v>
      </c>
      <c r="M1828" s="115">
        <v>181.55</v>
      </c>
      <c r="N1828" s="115">
        <v>182.5</v>
      </c>
      <c r="O1828" s="115">
        <v>176.55</v>
      </c>
      <c r="P1828" s="115">
        <v>178.35</v>
      </c>
      <c r="Q1828" s="115">
        <v>181.55</v>
      </c>
      <c r="R1828">
        <v>40597</v>
      </c>
    </row>
    <row r="1829" spans="1:18" x14ac:dyDescent="0.25">
      <c r="A1829" s="169">
        <v>44700</v>
      </c>
      <c r="B1829" s="115">
        <v>177.25</v>
      </c>
      <c r="C1829" s="115">
        <v>174.25</v>
      </c>
      <c r="D1829" s="115">
        <v>173.55</v>
      </c>
      <c r="E1829" s="115">
        <v>176.5</v>
      </c>
      <c r="F1829" s="115">
        <v>174.25</v>
      </c>
      <c r="G1829">
        <v>7354</v>
      </c>
      <c r="H1829" s="115"/>
      <c r="I1829" s="115"/>
      <c r="L1829" s="169">
        <v>44699</v>
      </c>
      <c r="M1829" s="115">
        <v>178.75</v>
      </c>
      <c r="N1829" s="115">
        <v>183.95</v>
      </c>
      <c r="O1829" s="115">
        <v>177.1</v>
      </c>
      <c r="P1829" s="115">
        <v>182</v>
      </c>
      <c r="Q1829" s="115">
        <v>178.75</v>
      </c>
      <c r="R1829">
        <v>53991</v>
      </c>
    </row>
    <row r="1830" spans="1:18" x14ac:dyDescent="0.25">
      <c r="A1830" s="169">
        <v>44701</v>
      </c>
      <c r="B1830" s="115">
        <v>179.95</v>
      </c>
      <c r="C1830" s="115">
        <v>177.95</v>
      </c>
      <c r="D1830" s="115">
        <v>176.5</v>
      </c>
      <c r="E1830" s="115">
        <v>177.95</v>
      </c>
      <c r="F1830" s="115">
        <v>177.95</v>
      </c>
      <c r="G1830">
        <v>1750</v>
      </c>
      <c r="H1830" s="115"/>
      <c r="I1830" s="115"/>
      <c r="L1830" s="169">
        <v>44700</v>
      </c>
      <c r="M1830" s="115">
        <v>174.85</v>
      </c>
      <c r="N1830" s="115">
        <v>177.5</v>
      </c>
      <c r="O1830" s="115">
        <v>173.1</v>
      </c>
      <c r="P1830" s="115">
        <v>175.1</v>
      </c>
      <c r="Q1830" s="115">
        <v>174.85</v>
      </c>
      <c r="R1830">
        <v>35637</v>
      </c>
    </row>
    <row r="1831" spans="1:18" x14ac:dyDescent="0.25">
      <c r="A1831" s="169">
        <v>44704</v>
      </c>
      <c r="B1831" s="115">
        <v>180.4</v>
      </c>
      <c r="C1831" s="115">
        <v>177.45</v>
      </c>
      <c r="D1831" s="115">
        <v>176.05</v>
      </c>
      <c r="E1831" s="115">
        <v>180.4</v>
      </c>
      <c r="F1831" s="115">
        <v>177.45</v>
      </c>
      <c r="G1831">
        <v>2521</v>
      </c>
      <c r="H1831" s="115"/>
      <c r="I1831" s="115"/>
      <c r="L1831" s="169">
        <v>44701</v>
      </c>
      <c r="M1831" s="115">
        <v>178.35</v>
      </c>
      <c r="N1831" s="115">
        <v>180.3</v>
      </c>
      <c r="O1831" s="115">
        <v>175</v>
      </c>
      <c r="P1831" s="115">
        <v>176.55</v>
      </c>
      <c r="Q1831" s="115">
        <v>178.35</v>
      </c>
      <c r="R1831">
        <v>39021</v>
      </c>
    </row>
    <row r="1832" spans="1:18" x14ac:dyDescent="0.25">
      <c r="A1832" s="169">
        <v>44705</v>
      </c>
      <c r="B1832" s="115">
        <v>177.3</v>
      </c>
      <c r="C1832" s="115">
        <v>175.1</v>
      </c>
      <c r="D1832" s="115">
        <v>174.5</v>
      </c>
      <c r="E1832" s="115">
        <v>176.25</v>
      </c>
      <c r="F1832" s="115">
        <v>175.1</v>
      </c>
      <c r="G1832">
        <v>4754</v>
      </c>
      <c r="H1832" s="115"/>
      <c r="I1832" s="115"/>
      <c r="L1832" s="169">
        <v>44704</v>
      </c>
      <c r="M1832" s="115">
        <v>176.7</v>
      </c>
      <c r="N1832" s="115">
        <v>180.95</v>
      </c>
      <c r="O1832" s="115">
        <v>176</v>
      </c>
      <c r="P1832" s="115">
        <v>180.95</v>
      </c>
      <c r="Q1832" s="115">
        <v>176.7</v>
      </c>
      <c r="R1832">
        <v>37614</v>
      </c>
    </row>
    <row r="1833" spans="1:18" x14ac:dyDescent="0.25">
      <c r="A1833" s="169">
        <v>44706</v>
      </c>
      <c r="B1833" s="115">
        <v>176.5</v>
      </c>
      <c r="C1833" s="115">
        <v>167.55</v>
      </c>
      <c r="D1833" s="115">
        <v>165.6</v>
      </c>
      <c r="E1833" s="115">
        <v>176.5</v>
      </c>
      <c r="F1833" s="115">
        <v>167.55</v>
      </c>
      <c r="G1833">
        <v>24270</v>
      </c>
      <c r="H1833" s="115"/>
      <c r="I1833" s="115"/>
      <c r="L1833" s="169">
        <v>44705</v>
      </c>
      <c r="M1833" s="115">
        <v>175.25</v>
      </c>
      <c r="N1833" s="115">
        <v>177.3</v>
      </c>
      <c r="O1833" s="115">
        <v>175.1</v>
      </c>
      <c r="P1833" s="115">
        <v>175.45</v>
      </c>
      <c r="Q1833" s="115">
        <v>175.25</v>
      </c>
      <c r="R1833">
        <v>15740</v>
      </c>
    </row>
    <row r="1834" spans="1:18" x14ac:dyDescent="0.25">
      <c r="A1834" s="169">
        <v>44707</v>
      </c>
      <c r="B1834" s="115">
        <v>168.3</v>
      </c>
      <c r="C1834" s="115">
        <v>165.05</v>
      </c>
      <c r="D1834" s="115">
        <v>161.75</v>
      </c>
      <c r="E1834" s="115">
        <v>168.3</v>
      </c>
      <c r="F1834" s="115">
        <v>165.05</v>
      </c>
      <c r="G1834">
        <v>30665</v>
      </c>
      <c r="H1834" s="115"/>
      <c r="I1834" s="115"/>
      <c r="L1834" s="169">
        <v>44706</v>
      </c>
      <c r="M1834" s="115">
        <v>167.85</v>
      </c>
      <c r="N1834" s="115">
        <v>179.95</v>
      </c>
      <c r="O1834" s="115">
        <v>165.2</v>
      </c>
      <c r="P1834" s="115">
        <v>175.1</v>
      </c>
      <c r="Q1834" s="115">
        <v>167.85</v>
      </c>
      <c r="R1834">
        <v>78856</v>
      </c>
    </row>
    <row r="1835" spans="1:18" x14ac:dyDescent="0.25">
      <c r="A1835" s="169">
        <v>44708</v>
      </c>
      <c r="B1835" s="115">
        <v>169.15</v>
      </c>
      <c r="C1835" s="115">
        <v>165.95</v>
      </c>
      <c r="D1835" s="115">
        <v>162.6</v>
      </c>
      <c r="E1835" s="115">
        <v>166.6</v>
      </c>
      <c r="F1835" s="115">
        <v>165.95</v>
      </c>
      <c r="G1835">
        <v>21694</v>
      </c>
      <c r="H1835" s="115"/>
      <c r="I1835" s="115"/>
      <c r="L1835" s="169">
        <v>44707</v>
      </c>
      <c r="M1835" s="115">
        <v>165.6</v>
      </c>
      <c r="N1835" s="115">
        <v>169.4</v>
      </c>
      <c r="O1835" s="115">
        <v>161.15</v>
      </c>
      <c r="P1835" s="115">
        <v>167.1</v>
      </c>
      <c r="Q1835" s="115">
        <v>165.6</v>
      </c>
      <c r="R1835">
        <v>85071</v>
      </c>
    </row>
    <row r="1836" spans="1:18" x14ac:dyDescent="0.25">
      <c r="A1836" s="169">
        <v>44711</v>
      </c>
      <c r="B1836" s="115">
        <v>172.95</v>
      </c>
      <c r="C1836" s="115">
        <v>169.05</v>
      </c>
      <c r="D1836" s="115">
        <v>166.25</v>
      </c>
      <c r="E1836" s="115">
        <v>166.25</v>
      </c>
      <c r="F1836" s="115">
        <v>169.05</v>
      </c>
      <c r="G1836">
        <v>19799</v>
      </c>
      <c r="H1836" s="115"/>
      <c r="I1836" s="115"/>
      <c r="L1836" s="169">
        <v>44708</v>
      </c>
      <c r="M1836" s="115">
        <v>165.3</v>
      </c>
      <c r="N1836" s="115">
        <v>169.4</v>
      </c>
      <c r="O1836" s="115">
        <v>160.6</v>
      </c>
      <c r="P1836" s="115">
        <v>165</v>
      </c>
      <c r="Q1836" s="115">
        <v>165.3</v>
      </c>
      <c r="R1836">
        <v>81127</v>
      </c>
    </row>
    <row r="1837" spans="1:18" x14ac:dyDescent="0.25">
      <c r="A1837" s="169">
        <v>44712</v>
      </c>
      <c r="B1837" s="115">
        <v>172.65</v>
      </c>
      <c r="C1837" s="115">
        <v>168.55</v>
      </c>
      <c r="D1837" s="115">
        <v>166.95</v>
      </c>
      <c r="E1837" s="115">
        <v>168.95</v>
      </c>
      <c r="F1837" s="115">
        <v>168.55</v>
      </c>
      <c r="G1837">
        <v>15349</v>
      </c>
      <c r="H1837" s="115"/>
      <c r="I1837" s="115"/>
      <c r="L1837" s="169">
        <v>44711</v>
      </c>
      <c r="M1837" s="115">
        <v>169.35</v>
      </c>
      <c r="N1837" s="115">
        <v>173</v>
      </c>
      <c r="O1837" s="115">
        <v>164.8</v>
      </c>
      <c r="P1837" s="115">
        <v>164.8</v>
      </c>
      <c r="Q1837" s="115">
        <v>169.35</v>
      </c>
      <c r="R1837">
        <v>90278</v>
      </c>
    </row>
    <row r="1838" spans="1:18" x14ac:dyDescent="0.25">
      <c r="A1838" s="169">
        <v>44713</v>
      </c>
      <c r="B1838" s="115">
        <v>170</v>
      </c>
      <c r="C1838" s="115">
        <v>169.2</v>
      </c>
      <c r="D1838" s="115">
        <v>167.65</v>
      </c>
      <c r="E1838" s="115">
        <v>170</v>
      </c>
      <c r="F1838" s="115">
        <v>169.2</v>
      </c>
      <c r="G1838">
        <v>4066</v>
      </c>
      <c r="H1838" s="115"/>
      <c r="I1838" s="115"/>
      <c r="L1838" s="169">
        <v>44712</v>
      </c>
      <c r="M1838" s="115">
        <v>168.85</v>
      </c>
      <c r="N1838" s="115">
        <v>172.9</v>
      </c>
      <c r="O1838" s="115">
        <v>166.9</v>
      </c>
      <c r="P1838" s="115">
        <v>170</v>
      </c>
      <c r="Q1838" s="115">
        <v>168.85</v>
      </c>
      <c r="R1838">
        <v>64936</v>
      </c>
    </row>
    <row r="1839" spans="1:18" x14ac:dyDescent="0.25">
      <c r="A1839" s="169">
        <v>44714</v>
      </c>
      <c r="B1839" s="115">
        <v>170.8</v>
      </c>
      <c r="C1839" s="115">
        <v>169.7</v>
      </c>
      <c r="D1839" s="115">
        <v>167</v>
      </c>
      <c r="E1839" s="115">
        <v>169.75</v>
      </c>
      <c r="F1839" s="115">
        <v>169.7</v>
      </c>
      <c r="G1839">
        <v>8977</v>
      </c>
      <c r="H1839" s="115"/>
      <c r="I1839" s="115"/>
      <c r="L1839" s="169">
        <v>44713</v>
      </c>
      <c r="M1839" s="115">
        <v>169.1</v>
      </c>
      <c r="N1839" s="115">
        <v>170</v>
      </c>
      <c r="O1839" s="115">
        <v>166.3</v>
      </c>
      <c r="P1839" s="115">
        <v>170</v>
      </c>
      <c r="Q1839" s="115">
        <v>169.1</v>
      </c>
      <c r="R1839">
        <v>60814</v>
      </c>
    </row>
    <row r="1840" spans="1:18" x14ac:dyDescent="0.25">
      <c r="A1840" s="169">
        <v>44715</v>
      </c>
      <c r="B1840" s="115">
        <v>177.6</v>
      </c>
      <c r="C1840" s="115">
        <v>172.35</v>
      </c>
      <c r="D1840" s="115">
        <v>171.35</v>
      </c>
      <c r="E1840" s="115">
        <v>171.6</v>
      </c>
      <c r="F1840" s="115">
        <v>172.35</v>
      </c>
      <c r="G1840">
        <v>15045</v>
      </c>
      <c r="H1840" s="115"/>
      <c r="I1840" s="115"/>
      <c r="L1840" s="169">
        <v>44714</v>
      </c>
      <c r="M1840" s="115">
        <v>169.5</v>
      </c>
      <c r="N1840" s="115">
        <v>171.35</v>
      </c>
      <c r="O1840" s="115">
        <v>166.65</v>
      </c>
      <c r="P1840" s="115">
        <v>169.4</v>
      </c>
      <c r="Q1840" s="115">
        <v>169.5</v>
      </c>
      <c r="R1840">
        <v>82861</v>
      </c>
    </row>
    <row r="1841" spans="1:18" x14ac:dyDescent="0.25">
      <c r="A1841" s="169">
        <v>44718</v>
      </c>
      <c r="B1841" s="115">
        <v>173.5</v>
      </c>
      <c r="C1841" s="115">
        <v>168.3</v>
      </c>
      <c r="D1841" s="115">
        <v>167.1</v>
      </c>
      <c r="E1841" s="115">
        <v>170.75</v>
      </c>
      <c r="F1841" s="115">
        <v>168.3</v>
      </c>
      <c r="G1841">
        <v>4978</v>
      </c>
      <c r="H1841" s="115"/>
      <c r="I1841" s="115"/>
      <c r="L1841" s="169">
        <v>44715</v>
      </c>
      <c r="M1841" s="115">
        <v>172.85</v>
      </c>
      <c r="N1841" s="115">
        <v>177.75</v>
      </c>
      <c r="O1841" s="115">
        <v>170.05</v>
      </c>
      <c r="P1841" s="115">
        <v>170.05</v>
      </c>
      <c r="Q1841" s="115">
        <v>172.85</v>
      </c>
      <c r="R1841">
        <v>70268</v>
      </c>
    </row>
    <row r="1842" spans="1:18" x14ac:dyDescent="0.25">
      <c r="A1842" s="169">
        <v>44719</v>
      </c>
      <c r="B1842" s="115">
        <v>168.6</v>
      </c>
      <c r="C1842" s="115">
        <v>166.2</v>
      </c>
      <c r="D1842" s="115">
        <v>164.55</v>
      </c>
      <c r="E1842" s="115">
        <v>167.1</v>
      </c>
      <c r="F1842" s="115">
        <v>166.2</v>
      </c>
      <c r="G1842">
        <v>9320</v>
      </c>
      <c r="H1842" s="115"/>
      <c r="I1842" s="115"/>
      <c r="L1842" s="169">
        <v>44718</v>
      </c>
      <c r="M1842" s="115">
        <v>167.75</v>
      </c>
      <c r="N1842" s="115">
        <v>174</v>
      </c>
      <c r="O1842" s="115">
        <v>165.25</v>
      </c>
      <c r="P1842" s="115">
        <v>173.7</v>
      </c>
      <c r="Q1842" s="115">
        <v>167.75</v>
      </c>
      <c r="R1842">
        <v>62817</v>
      </c>
    </row>
    <row r="1843" spans="1:18" x14ac:dyDescent="0.25">
      <c r="A1843" s="169">
        <v>44720</v>
      </c>
      <c r="B1843" s="115">
        <v>168.3</v>
      </c>
      <c r="C1843" s="115">
        <v>166.9</v>
      </c>
      <c r="D1843" s="115">
        <v>165.55</v>
      </c>
      <c r="E1843" s="115">
        <v>166.3</v>
      </c>
      <c r="F1843" s="115">
        <v>166.9</v>
      </c>
      <c r="G1843">
        <v>2349</v>
      </c>
      <c r="H1843" s="115"/>
      <c r="I1843" s="115"/>
      <c r="L1843" s="169">
        <v>44719</v>
      </c>
      <c r="M1843" s="115">
        <v>166.7</v>
      </c>
      <c r="N1843" s="115">
        <v>168.85</v>
      </c>
      <c r="O1843" s="115">
        <v>165.6</v>
      </c>
      <c r="P1843" s="115">
        <v>167.5</v>
      </c>
      <c r="Q1843" s="115">
        <v>166.7</v>
      </c>
      <c r="R1843">
        <v>22350</v>
      </c>
    </row>
    <row r="1844" spans="1:18" x14ac:dyDescent="0.25">
      <c r="A1844" s="169">
        <v>44721</v>
      </c>
      <c r="B1844" s="115">
        <v>169</v>
      </c>
      <c r="C1844" s="115">
        <v>167.05</v>
      </c>
      <c r="D1844" s="115">
        <v>165.4</v>
      </c>
      <c r="E1844" s="115">
        <v>166.85</v>
      </c>
      <c r="F1844" s="115">
        <v>167.05</v>
      </c>
      <c r="G1844">
        <v>3139</v>
      </c>
      <c r="H1844" s="115"/>
      <c r="I1844" s="115"/>
      <c r="L1844" s="169">
        <v>44720</v>
      </c>
      <c r="M1844" s="115">
        <v>166.45</v>
      </c>
      <c r="N1844" s="115">
        <v>168.35</v>
      </c>
      <c r="O1844" s="115">
        <v>165.25</v>
      </c>
      <c r="P1844" s="115">
        <v>168.35</v>
      </c>
      <c r="Q1844" s="115">
        <v>166.45</v>
      </c>
      <c r="R1844">
        <v>29835</v>
      </c>
    </row>
    <row r="1845" spans="1:18" x14ac:dyDescent="0.25">
      <c r="A1845" s="169">
        <v>44722</v>
      </c>
      <c r="B1845" s="115">
        <v>167.5</v>
      </c>
      <c r="C1845" s="115">
        <v>166.35</v>
      </c>
      <c r="D1845" s="115">
        <v>163.5</v>
      </c>
      <c r="E1845" s="115">
        <v>166.5</v>
      </c>
      <c r="F1845" s="115">
        <v>166.35</v>
      </c>
      <c r="G1845">
        <v>5164</v>
      </c>
      <c r="H1845" s="115"/>
      <c r="I1845" s="115"/>
      <c r="L1845" s="169">
        <v>44721</v>
      </c>
      <c r="M1845" s="115">
        <v>166.65</v>
      </c>
      <c r="N1845" s="115">
        <v>169.55</v>
      </c>
      <c r="O1845" s="115">
        <v>165.25</v>
      </c>
      <c r="P1845" s="115">
        <v>166.5</v>
      </c>
      <c r="Q1845" s="115">
        <v>166.65</v>
      </c>
      <c r="R1845">
        <v>26787</v>
      </c>
    </row>
    <row r="1846" spans="1:18" x14ac:dyDescent="0.25">
      <c r="A1846" s="169">
        <v>44725</v>
      </c>
      <c r="B1846" s="115">
        <v>164.3</v>
      </c>
      <c r="C1846" s="115">
        <v>163</v>
      </c>
      <c r="D1846" s="115">
        <v>160.65</v>
      </c>
      <c r="E1846" s="115">
        <v>163.15</v>
      </c>
      <c r="F1846" s="115">
        <v>163</v>
      </c>
      <c r="G1846">
        <v>8404</v>
      </c>
      <c r="H1846" s="115"/>
      <c r="I1846" s="115"/>
      <c r="L1846" s="169">
        <v>44722</v>
      </c>
      <c r="M1846" s="115">
        <v>165.7</v>
      </c>
      <c r="N1846" s="115">
        <v>167.2</v>
      </c>
      <c r="O1846" s="115">
        <v>165.05</v>
      </c>
      <c r="P1846" s="115">
        <v>166.5</v>
      </c>
      <c r="Q1846" s="115">
        <v>165.7</v>
      </c>
      <c r="R1846">
        <v>14786</v>
      </c>
    </row>
    <row r="1847" spans="1:18" x14ac:dyDescent="0.25">
      <c r="A1847" s="169">
        <v>44726</v>
      </c>
      <c r="B1847" s="115">
        <v>163.25</v>
      </c>
      <c r="C1847" s="115">
        <v>159.65</v>
      </c>
      <c r="D1847" s="115">
        <v>158.1</v>
      </c>
      <c r="E1847" s="115">
        <v>163.05000000000001</v>
      </c>
      <c r="F1847" s="115">
        <v>159.65</v>
      </c>
      <c r="G1847">
        <v>2997</v>
      </c>
      <c r="H1847" s="115"/>
      <c r="I1847" s="115"/>
      <c r="L1847" s="169">
        <v>44725</v>
      </c>
      <c r="M1847" s="115">
        <v>163.44999999999999</v>
      </c>
      <c r="N1847" s="115">
        <v>164.9</v>
      </c>
      <c r="O1847" s="115">
        <v>161</v>
      </c>
      <c r="P1847" s="115">
        <v>163.1</v>
      </c>
      <c r="Q1847" s="115">
        <v>163.44999999999999</v>
      </c>
      <c r="R1847">
        <v>30465</v>
      </c>
    </row>
    <row r="1848" spans="1:18" x14ac:dyDescent="0.25">
      <c r="A1848" s="169">
        <v>44727</v>
      </c>
      <c r="B1848" s="115">
        <v>164.5</v>
      </c>
      <c r="C1848" s="115">
        <v>163.69999999999999</v>
      </c>
      <c r="D1848" s="115">
        <v>160</v>
      </c>
      <c r="E1848" s="115">
        <v>160.35</v>
      </c>
      <c r="F1848" s="115">
        <v>163.69999999999999</v>
      </c>
      <c r="G1848">
        <v>3187</v>
      </c>
      <c r="H1848" s="115"/>
      <c r="I1848" s="115"/>
      <c r="L1848" s="169">
        <v>44726</v>
      </c>
      <c r="M1848" s="115">
        <v>159.15</v>
      </c>
      <c r="N1848" s="115">
        <v>164.35</v>
      </c>
      <c r="O1848" s="115">
        <v>158</v>
      </c>
      <c r="P1848" s="115">
        <v>162.5</v>
      </c>
      <c r="Q1848" s="115">
        <v>159.15</v>
      </c>
      <c r="R1848">
        <v>36889</v>
      </c>
    </row>
    <row r="1849" spans="1:18" x14ac:dyDescent="0.25">
      <c r="A1849" s="169">
        <v>44728</v>
      </c>
      <c r="B1849" s="115">
        <v>164.55</v>
      </c>
      <c r="C1849" s="115">
        <v>158</v>
      </c>
      <c r="D1849" s="115">
        <v>156</v>
      </c>
      <c r="E1849" s="115">
        <v>164.4</v>
      </c>
      <c r="F1849" s="115">
        <v>158</v>
      </c>
      <c r="G1849">
        <v>4058</v>
      </c>
      <c r="H1849" s="115"/>
      <c r="I1849" s="115"/>
      <c r="L1849" s="169">
        <v>44727</v>
      </c>
      <c r="M1849" s="115">
        <v>163.6</v>
      </c>
      <c r="N1849" s="115">
        <v>166</v>
      </c>
      <c r="O1849" s="115">
        <v>159.55000000000001</v>
      </c>
      <c r="P1849" s="115">
        <v>159.9</v>
      </c>
      <c r="Q1849" s="115">
        <v>163.6</v>
      </c>
      <c r="R1849">
        <v>32453</v>
      </c>
    </row>
    <row r="1850" spans="1:18" x14ac:dyDescent="0.25">
      <c r="A1850" s="169">
        <v>44729</v>
      </c>
      <c r="B1850" s="115">
        <v>160.05000000000001</v>
      </c>
      <c r="C1850" s="115">
        <v>159.55000000000001</v>
      </c>
      <c r="D1850" s="115">
        <v>155.9</v>
      </c>
      <c r="E1850" s="115">
        <v>158.05000000000001</v>
      </c>
      <c r="F1850" s="115">
        <v>159.55000000000001</v>
      </c>
      <c r="G1850">
        <v>3071</v>
      </c>
      <c r="H1850" s="115"/>
      <c r="I1850" s="115"/>
      <c r="L1850" s="169">
        <v>44728</v>
      </c>
      <c r="M1850" s="115">
        <v>158.94999999999999</v>
      </c>
      <c r="N1850" s="115">
        <v>165.15</v>
      </c>
      <c r="O1850" s="115">
        <v>158</v>
      </c>
      <c r="P1850" s="115">
        <v>164.1</v>
      </c>
      <c r="Q1850" s="115">
        <v>158.94999999999999</v>
      </c>
      <c r="R1850">
        <v>39261</v>
      </c>
    </row>
    <row r="1851" spans="1:18" x14ac:dyDescent="0.25">
      <c r="A1851" s="169">
        <v>44732</v>
      </c>
      <c r="B1851" s="115">
        <v>159.05000000000001</v>
      </c>
      <c r="C1851" s="115">
        <v>154.80000000000001</v>
      </c>
      <c r="D1851" s="115">
        <v>151.94999999999999</v>
      </c>
      <c r="E1851" s="115">
        <v>159.05000000000001</v>
      </c>
      <c r="F1851" s="115">
        <v>154.80000000000001</v>
      </c>
      <c r="G1851">
        <v>12007</v>
      </c>
      <c r="H1851" s="115"/>
      <c r="I1851" s="115"/>
      <c r="L1851" s="169">
        <v>44729</v>
      </c>
      <c r="M1851" s="115">
        <v>158.9</v>
      </c>
      <c r="N1851" s="115">
        <v>160</v>
      </c>
      <c r="O1851" s="115">
        <v>156</v>
      </c>
      <c r="P1851" s="115">
        <v>158.1</v>
      </c>
      <c r="Q1851" s="115">
        <v>158.9</v>
      </c>
      <c r="R1851">
        <v>34490</v>
      </c>
    </row>
    <row r="1852" spans="1:18" x14ac:dyDescent="0.25">
      <c r="A1852" s="169">
        <v>44733</v>
      </c>
      <c r="B1852" s="115">
        <v>158.9</v>
      </c>
      <c r="C1852" s="115">
        <v>158.25</v>
      </c>
      <c r="D1852" s="115">
        <v>152</v>
      </c>
      <c r="E1852" s="115">
        <v>155</v>
      </c>
      <c r="F1852" s="115">
        <v>158.25</v>
      </c>
      <c r="G1852">
        <v>4622</v>
      </c>
      <c r="H1852" s="115"/>
      <c r="I1852" s="115"/>
      <c r="L1852" s="169">
        <v>44732</v>
      </c>
      <c r="M1852" s="115">
        <v>154.5</v>
      </c>
      <c r="N1852" s="115">
        <v>159.9</v>
      </c>
      <c r="O1852" s="115">
        <v>152.4</v>
      </c>
      <c r="P1852" s="115">
        <v>159.5</v>
      </c>
      <c r="Q1852" s="115">
        <v>154.5</v>
      </c>
      <c r="R1852">
        <v>34381</v>
      </c>
    </row>
    <row r="1853" spans="1:18" x14ac:dyDescent="0.25">
      <c r="A1853" s="169">
        <v>44734</v>
      </c>
      <c r="B1853" s="115">
        <v>161.94999999999999</v>
      </c>
      <c r="C1853" s="115">
        <v>154.4</v>
      </c>
      <c r="D1853" s="115">
        <v>153.94999999999999</v>
      </c>
      <c r="E1853" s="115">
        <v>156.44999999999999</v>
      </c>
      <c r="F1853" s="115">
        <v>154.4</v>
      </c>
      <c r="G1853">
        <v>1303</v>
      </c>
      <c r="H1853" s="115"/>
      <c r="I1853" s="115"/>
      <c r="L1853" s="169">
        <v>44733</v>
      </c>
      <c r="M1853" s="115">
        <v>157.6</v>
      </c>
      <c r="N1853" s="115">
        <v>158.55000000000001</v>
      </c>
      <c r="O1853" s="115">
        <v>154.25</v>
      </c>
      <c r="P1853" s="115">
        <v>154.25</v>
      </c>
      <c r="Q1853" s="115">
        <v>157.6</v>
      </c>
      <c r="R1853">
        <v>19141</v>
      </c>
    </row>
    <row r="1854" spans="1:18" x14ac:dyDescent="0.25">
      <c r="A1854" s="169">
        <v>44735</v>
      </c>
      <c r="B1854" s="115">
        <v>158.1</v>
      </c>
      <c r="C1854" s="115">
        <v>156.05000000000001</v>
      </c>
      <c r="D1854" s="115">
        <v>153.5</v>
      </c>
      <c r="E1854" s="115">
        <v>156.9</v>
      </c>
      <c r="F1854" s="115">
        <v>156.05000000000001</v>
      </c>
      <c r="G1854">
        <v>1130</v>
      </c>
      <c r="H1854" s="115"/>
      <c r="I1854" s="115"/>
      <c r="L1854" s="169">
        <v>44734</v>
      </c>
      <c r="M1854" s="115">
        <v>155.1</v>
      </c>
      <c r="N1854" s="115">
        <v>159.69999999999999</v>
      </c>
      <c r="O1854" s="115">
        <v>155</v>
      </c>
      <c r="P1854" s="115">
        <v>157.4</v>
      </c>
      <c r="Q1854" s="115">
        <v>155.1</v>
      </c>
      <c r="R1854">
        <v>13299</v>
      </c>
    </row>
    <row r="1855" spans="1:18" x14ac:dyDescent="0.25">
      <c r="A1855" s="169">
        <v>44736</v>
      </c>
      <c r="B1855" s="115">
        <v>164.7</v>
      </c>
      <c r="C1855" s="115">
        <v>161.35</v>
      </c>
      <c r="D1855" s="115">
        <v>157.5</v>
      </c>
      <c r="E1855" s="115">
        <v>158.94999999999999</v>
      </c>
      <c r="F1855" s="115">
        <v>161.35</v>
      </c>
      <c r="G1855">
        <v>4601</v>
      </c>
      <c r="H1855" s="115"/>
      <c r="I1855" s="115"/>
      <c r="L1855" s="169">
        <v>44735</v>
      </c>
      <c r="M1855" s="115">
        <v>156.15</v>
      </c>
      <c r="N1855" s="115">
        <v>158.35</v>
      </c>
      <c r="O1855" s="115">
        <v>154.9</v>
      </c>
      <c r="P1855" s="115">
        <v>157</v>
      </c>
      <c r="Q1855" s="115">
        <v>156.15</v>
      </c>
      <c r="R1855">
        <v>15611</v>
      </c>
    </row>
    <row r="1856" spans="1:18" x14ac:dyDescent="0.25">
      <c r="A1856" s="169">
        <v>44739</v>
      </c>
      <c r="B1856" s="115">
        <v>171</v>
      </c>
      <c r="C1856" s="115">
        <v>168.3</v>
      </c>
      <c r="D1856" s="115">
        <v>166.5</v>
      </c>
      <c r="E1856" s="115">
        <v>169</v>
      </c>
      <c r="F1856" s="115">
        <v>168.3</v>
      </c>
      <c r="G1856">
        <v>3641</v>
      </c>
      <c r="H1856" s="115"/>
      <c r="I1856" s="115"/>
      <c r="L1856" s="169">
        <v>44736</v>
      </c>
      <c r="M1856" s="115">
        <v>162.69999999999999</v>
      </c>
      <c r="N1856" s="115">
        <v>164.2</v>
      </c>
      <c r="O1856" s="115">
        <v>155.35</v>
      </c>
      <c r="P1856" s="115">
        <v>155.35</v>
      </c>
      <c r="Q1856" s="115">
        <v>162.69999999999999</v>
      </c>
      <c r="R1856">
        <v>43462</v>
      </c>
    </row>
    <row r="1857" spans="1:18" x14ac:dyDescent="0.25">
      <c r="A1857" s="169">
        <v>44740</v>
      </c>
      <c r="B1857" s="115">
        <v>171</v>
      </c>
      <c r="C1857" s="115">
        <v>169.25</v>
      </c>
      <c r="D1857" s="115">
        <v>163.69999999999999</v>
      </c>
      <c r="E1857" s="115">
        <v>165.95</v>
      </c>
      <c r="F1857" s="115">
        <v>169.25</v>
      </c>
      <c r="G1857">
        <v>5396</v>
      </c>
      <c r="H1857" s="115"/>
      <c r="I1857" s="115"/>
      <c r="L1857" s="169">
        <v>44739</v>
      </c>
      <c r="M1857" s="115">
        <v>168.1</v>
      </c>
      <c r="N1857" s="115">
        <v>170.75</v>
      </c>
      <c r="O1857" s="115">
        <v>165.05</v>
      </c>
      <c r="P1857" s="115">
        <v>165.05</v>
      </c>
      <c r="Q1857" s="115">
        <v>168.1</v>
      </c>
      <c r="R1857">
        <v>69833</v>
      </c>
    </row>
    <row r="1858" spans="1:18" x14ac:dyDescent="0.25">
      <c r="A1858" s="169">
        <v>44741</v>
      </c>
      <c r="B1858" s="115">
        <v>170.35</v>
      </c>
      <c r="C1858" s="115">
        <v>167.8</v>
      </c>
      <c r="D1858" s="115">
        <v>166.9</v>
      </c>
      <c r="E1858" s="115">
        <v>170</v>
      </c>
      <c r="F1858" s="115">
        <v>167.8</v>
      </c>
      <c r="G1858">
        <v>3021</v>
      </c>
      <c r="H1858" s="115"/>
      <c r="I1858" s="115"/>
      <c r="L1858" s="169">
        <v>44740</v>
      </c>
      <c r="M1858" s="115">
        <v>169.75</v>
      </c>
      <c r="N1858" s="115">
        <v>171.55</v>
      </c>
      <c r="O1858" s="115">
        <v>163.80000000000001</v>
      </c>
      <c r="P1858" s="115">
        <v>167.75</v>
      </c>
      <c r="Q1858" s="115">
        <v>169.75</v>
      </c>
      <c r="R1858">
        <v>73424</v>
      </c>
    </row>
    <row r="1859" spans="1:18" x14ac:dyDescent="0.25">
      <c r="A1859" s="169">
        <v>44742</v>
      </c>
      <c r="B1859" s="115">
        <v>169.45</v>
      </c>
      <c r="C1859" s="115">
        <v>165</v>
      </c>
      <c r="D1859" s="115">
        <v>164.05</v>
      </c>
      <c r="E1859" s="115">
        <v>169.1</v>
      </c>
      <c r="F1859" s="115">
        <v>165</v>
      </c>
      <c r="G1859">
        <v>2345</v>
      </c>
      <c r="H1859" s="115"/>
      <c r="I1859" s="115"/>
      <c r="L1859" s="169">
        <v>44741</v>
      </c>
      <c r="M1859" s="115">
        <v>167.8</v>
      </c>
      <c r="N1859" s="115">
        <v>170.95</v>
      </c>
      <c r="O1859" s="115">
        <v>167.3</v>
      </c>
      <c r="P1859" s="115">
        <v>168.9</v>
      </c>
      <c r="Q1859" s="115">
        <v>167.8</v>
      </c>
      <c r="R1859">
        <v>19412</v>
      </c>
    </row>
    <row r="1860" spans="1:18" x14ac:dyDescent="0.25">
      <c r="A1860" s="169">
        <v>44743</v>
      </c>
      <c r="B1860" s="115">
        <v>170.25</v>
      </c>
      <c r="C1860" s="115">
        <v>168.9</v>
      </c>
      <c r="D1860" s="115">
        <v>163</v>
      </c>
      <c r="E1860" s="115">
        <v>164.55</v>
      </c>
      <c r="F1860" s="115">
        <v>168.9</v>
      </c>
      <c r="G1860">
        <v>1227</v>
      </c>
      <c r="H1860" s="115"/>
      <c r="I1860" s="115"/>
      <c r="L1860" s="169">
        <v>44742</v>
      </c>
      <c r="M1860" s="115">
        <v>165.05</v>
      </c>
      <c r="N1860" s="115">
        <v>169.25</v>
      </c>
      <c r="O1860" s="115">
        <v>164</v>
      </c>
      <c r="P1860" s="115">
        <v>167.3</v>
      </c>
      <c r="Q1860" s="115">
        <v>165.05</v>
      </c>
      <c r="R1860">
        <v>29864</v>
      </c>
    </row>
    <row r="1861" spans="1:18" x14ac:dyDescent="0.25">
      <c r="A1861" s="169">
        <v>44746</v>
      </c>
      <c r="B1861" s="115">
        <v>169.8</v>
      </c>
      <c r="C1861" s="115">
        <v>167.55</v>
      </c>
      <c r="D1861" s="115">
        <v>166.95</v>
      </c>
      <c r="E1861" s="115">
        <v>168.9</v>
      </c>
      <c r="F1861" s="115">
        <v>167.55</v>
      </c>
      <c r="G1861">
        <v>1386</v>
      </c>
      <c r="H1861" s="115"/>
      <c r="I1861" s="115"/>
      <c r="L1861" s="169">
        <v>44743</v>
      </c>
      <c r="M1861" s="115">
        <v>168.85</v>
      </c>
      <c r="N1861" s="115">
        <v>170.5</v>
      </c>
      <c r="O1861" s="115">
        <v>162.9</v>
      </c>
      <c r="P1861" s="115">
        <v>166.65</v>
      </c>
      <c r="Q1861" s="115">
        <v>168.85</v>
      </c>
      <c r="R1861">
        <v>41530</v>
      </c>
    </row>
    <row r="1862" spans="1:18" x14ac:dyDescent="0.25">
      <c r="A1862" s="169">
        <v>44747</v>
      </c>
      <c r="B1862" s="115">
        <v>173</v>
      </c>
      <c r="C1862" s="115">
        <v>168.35</v>
      </c>
      <c r="D1862" s="115">
        <v>167.35</v>
      </c>
      <c r="E1862" s="115">
        <v>169.85</v>
      </c>
      <c r="F1862" s="115">
        <v>168.35</v>
      </c>
      <c r="G1862">
        <v>1505</v>
      </c>
      <c r="H1862" s="115"/>
      <c r="I1862" s="115"/>
      <c r="L1862" s="169">
        <v>44746</v>
      </c>
      <c r="M1862" s="115">
        <v>168.1</v>
      </c>
      <c r="N1862" s="115">
        <v>169.6</v>
      </c>
      <c r="O1862" s="115">
        <v>167.3</v>
      </c>
      <c r="P1862" s="115">
        <v>168.5</v>
      </c>
      <c r="Q1862" s="115">
        <v>168.1</v>
      </c>
      <c r="R1862">
        <v>16740</v>
      </c>
    </row>
    <row r="1863" spans="1:18" x14ac:dyDescent="0.25">
      <c r="A1863" s="169">
        <v>44748</v>
      </c>
      <c r="B1863" s="115">
        <v>173.75</v>
      </c>
      <c r="C1863" s="115">
        <v>171.25</v>
      </c>
      <c r="D1863" s="115">
        <v>167.35</v>
      </c>
      <c r="E1863" s="115">
        <v>169.2</v>
      </c>
      <c r="F1863" s="115">
        <v>171.25</v>
      </c>
      <c r="G1863">
        <v>2951</v>
      </c>
      <c r="H1863" s="115"/>
      <c r="I1863" s="115"/>
      <c r="L1863" s="169">
        <v>44747</v>
      </c>
      <c r="M1863" s="115">
        <v>168.7</v>
      </c>
      <c r="N1863" s="115">
        <v>173.5</v>
      </c>
      <c r="O1863" s="115">
        <v>167.5</v>
      </c>
      <c r="P1863" s="115">
        <v>168.3</v>
      </c>
      <c r="Q1863" s="115">
        <v>168.7</v>
      </c>
      <c r="R1863">
        <v>38419</v>
      </c>
    </row>
    <row r="1864" spans="1:18" x14ac:dyDescent="0.25">
      <c r="A1864" s="169">
        <v>44749</v>
      </c>
      <c r="B1864" s="115">
        <v>175.2</v>
      </c>
      <c r="C1864" s="115">
        <v>172.15</v>
      </c>
      <c r="D1864" s="115">
        <v>170.65</v>
      </c>
      <c r="E1864" s="115">
        <v>171.3</v>
      </c>
      <c r="F1864" s="115">
        <v>172.15</v>
      </c>
      <c r="G1864">
        <v>5942</v>
      </c>
      <c r="H1864" s="115"/>
      <c r="I1864" s="115"/>
      <c r="L1864" s="169">
        <v>44748</v>
      </c>
      <c r="M1864" s="115">
        <v>171.35</v>
      </c>
      <c r="N1864" s="115">
        <v>173.9</v>
      </c>
      <c r="O1864" s="115">
        <v>166.55</v>
      </c>
      <c r="P1864" s="115">
        <v>168.45</v>
      </c>
      <c r="Q1864" s="115">
        <v>171.35</v>
      </c>
      <c r="R1864">
        <v>47705</v>
      </c>
    </row>
    <row r="1865" spans="1:18" x14ac:dyDescent="0.25">
      <c r="A1865" s="169">
        <v>44750</v>
      </c>
      <c r="B1865" s="115">
        <v>174.4</v>
      </c>
      <c r="C1865" s="115">
        <v>171.9</v>
      </c>
      <c r="D1865" s="115">
        <v>169</v>
      </c>
      <c r="E1865" s="115">
        <v>172.1</v>
      </c>
      <c r="F1865" s="115">
        <v>171.9</v>
      </c>
      <c r="G1865">
        <v>11665</v>
      </c>
      <c r="H1865" s="115"/>
      <c r="I1865" s="115"/>
      <c r="L1865" s="169">
        <v>44749</v>
      </c>
      <c r="M1865" s="115">
        <v>171.85</v>
      </c>
      <c r="N1865" s="115">
        <v>176</v>
      </c>
      <c r="O1865" s="115">
        <v>170.5</v>
      </c>
      <c r="P1865" s="115">
        <v>171.75</v>
      </c>
      <c r="Q1865" s="115">
        <v>171.85</v>
      </c>
      <c r="R1865">
        <v>72353</v>
      </c>
    </row>
    <row r="1866" spans="1:18" x14ac:dyDescent="0.25">
      <c r="A1866" s="169">
        <v>44753</v>
      </c>
      <c r="B1866" s="115">
        <v>175.2</v>
      </c>
      <c r="C1866" s="115">
        <v>174.4</v>
      </c>
      <c r="D1866" s="115">
        <v>169.1</v>
      </c>
      <c r="E1866" s="115">
        <v>172</v>
      </c>
      <c r="F1866" s="115">
        <v>174.4</v>
      </c>
      <c r="G1866">
        <v>13757</v>
      </c>
      <c r="H1866" s="115"/>
      <c r="I1866" s="115"/>
      <c r="L1866" s="169">
        <v>44750</v>
      </c>
      <c r="M1866" s="115">
        <v>171.75</v>
      </c>
      <c r="N1866" s="115">
        <v>174.25</v>
      </c>
      <c r="O1866" s="115">
        <v>170</v>
      </c>
      <c r="P1866" s="115">
        <v>172.9</v>
      </c>
      <c r="Q1866" s="115">
        <v>171.75</v>
      </c>
      <c r="R1866">
        <v>34885</v>
      </c>
    </row>
    <row r="1867" spans="1:18" x14ac:dyDescent="0.25">
      <c r="A1867" s="169">
        <v>44754</v>
      </c>
      <c r="B1867" s="115">
        <v>178</v>
      </c>
      <c r="C1867" s="115">
        <v>175.15</v>
      </c>
      <c r="D1867" s="115">
        <v>173.3</v>
      </c>
      <c r="E1867" s="115">
        <v>174.7</v>
      </c>
      <c r="F1867" s="115">
        <v>175.15</v>
      </c>
      <c r="G1867">
        <v>2756</v>
      </c>
      <c r="H1867" s="115"/>
      <c r="I1867" s="115"/>
      <c r="L1867" s="169">
        <v>44753</v>
      </c>
      <c r="M1867" s="115">
        <v>174.5</v>
      </c>
      <c r="N1867" s="115">
        <v>175.9</v>
      </c>
      <c r="O1867" s="115">
        <v>169.85</v>
      </c>
      <c r="P1867" s="115">
        <v>170</v>
      </c>
      <c r="Q1867" s="115">
        <v>174.5</v>
      </c>
      <c r="R1867">
        <v>50618</v>
      </c>
    </row>
    <row r="1868" spans="1:18" x14ac:dyDescent="0.25">
      <c r="A1868" s="169">
        <v>44755</v>
      </c>
      <c r="B1868" s="115">
        <v>177</v>
      </c>
      <c r="C1868" s="115">
        <v>172.8</v>
      </c>
      <c r="D1868" s="115">
        <v>172</v>
      </c>
      <c r="E1868" s="115">
        <v>176.4</v>
      </c>
      <c r="F1868" s="115">
        <v>172.8</v>
      </c>
      <c r="G1868">
        <v>1455</v>
      </c>
      <c r="H1868" s="115"/>
      <c r="I1868" s="115"/>
      <c r="L1868" s="169">
        <v>44754</v>
      </c>
      <c r="M1868" s="115">
        <v>175.35</v>
      </c>
      <c r="N1868" s="115">
        <v>178.75</v>
      </c>
      <c r="O1868" s="115">
        <v>173.1</v>
      </c>
      <c r="P1868" s="115">
        <v>174.1</v>
      </c>
      <c r="Q1868" s="115">
        <v>175.35</v>
      </c>
      <c r="R1868">
        <v>41456</v>
      </c>
    </row>
    <row r="1869" spans="1:18" x14ac:dyDescent="0.25">
      <c r="A1869" s="169">
        <v>44756</v>
      </c>
      <c r="B1869" s="115">
        <v>172.85</v>
      </c>
      <c r="C1869" s="115">
        <v>171.2</v>
      </c>
      <c r="D1869" s="115">
        <v>170</v>
      </c>
      <c r="E1869" s="115">
        <v>170</v>
      </c>
      <c r="F1869" s="115">
        <v>171.2</v>
      </c>
      <c r="G1869">
        <v>1924</v>
      </c>
      <c r="H1869" s="115"/>
      <c r="I1869" s="115"/>
      <c r="L1869" s="169">
        <v>44755</v>
      </c>
      <c r="M1869" s="115">
        <v>172.3</v>
      </c>
      <c r="N1869" s="115">
        <v>177.45</v>
      </c>
      <c r="O1869" s="115">
        <v>172</v>
      </c>
      <c r="P1869" s="115">
        <v>176.25</v>
      </c>
      <c r="Q1869" s="115">
        <v>172.3</v>
      </c>
      <c r="R1869">
        <v>28739</v>
      </c>
    </row>
    <row r="1870" spans="1:18" x14ac:dyDescent="0.25">
      <c r="A1870" s="169">
        <v>44757</v>
      </c>
      <c r="B1870" s="115">
        <v>174</v>
      </c>
      <c r="C1870" s="115">
        <v>173.45</v>
      </c>
      <c r="D1870" s="115">
        <v>169.15</v>
      </c>
      <c r="E1870" s="115">
        <v>171.3</v>
      </c>
      <c r="F1870" s="115">
        <v>173.45</v>
      </c>
      <c r="G1870">
        <v>1091</v>
      </c>
      <c r="H1870" s="115"/>
      <c r="I1870" s="115"/>
      <c r="L1870" s="169">
        <v>44756</v>
      </c>
      <c r="M1870" s="115">
        <v>170.8</v>
      </c>
      <c r="N1870" s="115">
        <v>172.9</v>
      </c>
      <c r="O1870" s="115">
        <v>170.45</v>
      </c>
      <c r="P1870" s="115">
        <v>172.9</v>
      </c>
      <c r="Q1870" s="115">
        <v>170.8</v>
      </c>
      <c r="R1870">
        <v>24232</v>
      </c>
    </row>
    <row r="1871" spans="1:18" x14ac:dyDescent="0.25">
      <c r="A1871" s="169">
        <v>44760</v>
      </c>
      <c r="B1871" s="115">
        <v>180.75</v>
      </c>
      <c r="C1871" s="115">
        <v>179.35</v>
      </c>
      <c r="D1871" s="115">
        <v>170</v>
      </c>
      <c r="E1871" s="115">
        <v>173.7</v>
      </c>
      <c r="F1871" s="115">
        <v>179.35</v>
      </c>
      <c r="G1871">
        <v>11491</v>
      </c>
      <c r="H1871" s="115"/>
      <c r="I1871" s="115"/>
      <c r="L1871" s="169">
        <v>44757</v>
      </c>
      <c r="M1871" s="115">
        <v>173.2</v>
      </c>
      <c r="N1871" s="115">
        <v>174.4</v>
      </c>
      <c r="O1871" s="115">
        <v>169.9</v>
      </c>
      <c r="P1871" s="115">
        <v>170.05</v>
      </c>
      <c r="Q1871" s="115">
        <v>173.2</v>
      </c>
      <c r="R1871">
        <v>25288</v>
      </c>
    </row>
    <row r="1872" spans="1:18" x14ac:dyDescent="0.25">
      <c r="A1872" s="169">
        <v>44761</v>
      </c>
      <c r="B1872" s="115">
        <v>190.05</v>
      </c>
      <c r="C1872" s="115">
        <v>184.25</v>
      </c>
      <c r="D1872" s="115">
        <v>179.35</v>
      </c>
      <c r="E1872" s="115">
        <v>179.35</v>
      </c>
      <c r="F1872" s="115">
        <v>184.25</v>
      </c>
      <c r="G1872">
        <v>5925</v>
      </c>
      <c r="H1872" s="115"/>
      <c r="I1872" s="115"/>
      <c r="L1872" s="169">
        <v>44760</v>
      </c>
      <c r="M1872" s="115">
        <v>179.7</v>
      </c>
      <c r="N1872" s="115">
        <v>181</v>
      </c>
      <c r="O1872" s="115">
        <v>171.95</v>
      </c>
      <c r="P1872" s="115">
        <v>175.75</v>
      </c>
      <c r="Q1872" s="115">
        <v>179.7</v>
      </c>
      <c r="R1872">
        <v>74698</v>
      </c>
    </row>
    <row r="1873" spans="1:18" x14ac:dyDescent="0.25">
      <c r="A1873" s="169">
        <v>44762</v>
      </c>
      <c r="B1873" s="115">
        <v>188.3</v>
      </c>
      <c r="C1873" s="115">
        <v>184.9</v>
      </c>
      <c r="D1873" s="115">
        <v>182.6</v>
      </c>
      <c r="E1873" s="115">
        <v>184.9</v>
      </c>
      <c r="F1873" s="115">
        <v>184.9</v>
      </c>
      <c r="G1873">
        <v>6522</v>
      </c>
      <c r="H1873" s="115"/>
      <c r="I1873" s="115"/>
      <c r="L1873" s="169">
        <v>44761</v>
      </c>
      <c r="M1873" s="115">
        <v>184.35</v>
      </c>
      <c r="N1873" s="115">
        <v>189.75</v>
      </c>
      <c r="O1873" s="115">
        <v>178.1</v>
      </c>
      <c r="P1873" s="115">
        <v>179</v>
      </c>
      <c r="Q1873" s="115">
        <v>184.35</v>
      </c>
      <c r="R1873">
        <v>185909</v>
      </c>
    </row>
    <row r="1874" spans="1:18" x14ac:dyDescent="0.25">
      <c r="A1874" s="169">
        <v>44763</v>
      </c>
      <c r="B1874" s="115">
        <v>187.55</v>
      </c>
      <c r="C1874" s="115">
        <v>186.4</v>
      </c>
      <c r="D1874" s="115">
        <v>179.1</v>
      </c>
      <c r="E1874" s="115">
        <v>179.1</v>
      </c>
      <c r="F1874" s="115">
        <v>186.4</v>
      </c>
      <c r="G1874">
        <v>8325</v>
      </c>
      <c r="H1874" s="115"/>
      <c r="I1874" s="115"/>
      <c r="L1874" s="169">
        <v>44762</v>
      </c>
      <c r="M1874" s="115">
        <v>184.5</v>
      </c>
      <c r="N1874" s="115">
        <v>187.9</v>
      </c>
      <c r="O1874" s="115">
        <v>182.65</v>
      </c>
      <c r="P1874" s="115">
        <v>185.4</v>
      </c>
      <c r="Q1874" s="115">
        <v>184.5</v>
      </c>
      <c r="R1874">
        <v>123670</v>
      </c>
    </row>
    <row r="1875" spans="1:18" x14ac:dyDescent="0.25">
      <c r="A1875" s="169">
        <v>44764</v>
      </c>
      <c r="B1875" s="115">
        <v>190</v>
      </c>
      <c r="C1875" s="115">
        <v>189.4</v>
      </c>
      <c r="D1875" s="115">
        <v>184.85</v>
      </c>
      <c r="E1875" s="115">
        <v>187.9</v>
      </c>
      <c r="F1875" s="115">
        <v>189.4</v>
      </c>
      <c r="G1875">
        <v>12027</v>
      </c>
      <c r="H1875" s="115"/>
      <c r="I1875" s="115"/>
      <c r="L1875" s="169">
        <v>44763</v>
      </c>
      <c r="M1875" s="115">
        <v>186.3</v>
      </c>
      <c r="N1875" s="115">
        <v>187.4</v>
      </c>
      <c r="O1875" s="115">
        <v>184.55</v>
      </c>
      <c r="P1875" s="115">
        <v>187.4</v>
      </c>
      <c r="Q1875" s="115">
        <v>186.3</v>
      </c>
      <c r="R1875">
        <v>147892</v>
      </c>
    </row>
    <row r="1876" spans="1:18" x14ac:dyDescent="0.25">
      <c r="A1876" s="169">
        <v>44767</v>
      </c>
      <c r="B1876" s="115">
        <v>189.9</v>
      </c>
      <c r="C1876" s="115">
        <v>183.7</v>
      </c>
      <c r="D1876" s="115">
        <v>182.4</v>
      </c>
      <c r="E1876" s="115">
        <v>189</v>
      </c>
      <c r="F1876" s="115">
        <v>183.7</v>
      </c>
      <c r="G1876">
        <v>19602</v>
      </c>
      <c r="H1876" s="115"/>
      <c r="I1876" s="115"/>
      <c r="L1876" s="169">
        <v>44764</v>
      </c>
      <c r="M1876" s="115">
        <v>189.35</v>
      </c>
      <c r="N1876" s="115">
        <v>190</v>
      </c>
      <c r="O1876" s="115">
        <v>183.65</v>
      </c>
      <c r="P1876" s="115">
        <v>188</v>
      </c>
      <c r="Q1876" s="115">
        <v>189.35</v>
      </c>
      <c r="R1876">
        <v>249617</v>
      </c>
    </row>
    <row r="1877" spans="1:18" x14ac:dyDescent="0.25">
      <c r="A1877" s="169">
        <v>44768</v>
      </c>
      <c r="B1877" s="115">
        <v>187.4</v>
      </c>
      <c r="C1877" s="115">
        <v>184.75</v>
      </c>
      <c r="D1877" s="115">
        <v>183</v>
      </c>
      <c r="E1877" s="115">
        <v>187.4</v>
      </c>
      <c r="F1877" s="115">
        <v>184.75</v>
      </c>
      <c r="G1877">
        <v>7987</v>
      </c>
      <c r="H1877" s="115"/>
      <c r="I1877" s="115"/>
      <c r="L1877" s="169">
        <v>44767</v>
      </c>
      <c r="M1877" s="115">
        <v>183.45</v>
      </c>
      <c r="N1877" s="115">
        <v>190</v>
      </c>
      <c r="O1877" s="115">
        <v>182</v>
      </c>
      <c r="P1877" s="115">
        <v>189.75</v>
      </c>
      <c r="Q1877" s="115">
        <v>183.45</v>
      </c>
      <c r="R1877">
        <v>248093</v>
      </c>
    </row>
    <row r="1878" spans="1:18" x14ac:dyDescent="0.25">
      <c r="A1878" s="169">
        <v>44769</v>
      </c>
      <c r="B1878" s="115">
        <v>204.9</v>
      </c>
      <c r="C1878" s="115">
        <v>199.75</v>
      </c>
      <c r="D1878" s="115">
        <v>185.6</v>
      </c>
      <c r="E1878" s="115">
        <v>186.1</v>
      </c>
      <c r="F1878" s="115">
        <v>199.75</v>
      </c>
      <c r="G1878">
        <v>43046</v>
      </c>
      <c r="H1878" s="115"/>
      <c r="I1878" s="115"/>
      <c r="L1878" s="169">
        <v>44768</v>
      </c>
      <c r="M1878" s="115">
        <v>185.05</v>
      </c>
      <c r="N1878" s="115">
        <v>186.25</v>
      </c>
      <c r="O1878" s="115">
        <v>182.85</v>
      </c>
      <c r="P1878" s="115">
        <v>184.95</v>
      </c>
      <c r="Q1878" s="115">
        <v>185.05</v>
      </c>
      <c r="R1878">
        <v>55787</v>
      </c>
    </row>
    <row r="1879" spans="1:18" x14ac:dyDescent="0.25">
      <c r="A1879" s="169">
        <v>44770</v>
      </c>
      <c r="B1879" s="115">
        <v>206.5</v>
      </c>
      <c r="C1879" s="115">
        <v>195.35</v>
      </c>
      <c r="D1879" s="115">
        <v>193.5</v>
      </c>
      <c r="E1879" s="115">
        <v>199.95</v>
      </c>
      <c r="F1879" s="115">
        <v>195.35</v>
      </c>
      <c r="G1879">
        <v>32149</v>
      </c>
      <c r="H1879" s="115"/>
      <c r="I1879" s="115"/>
      <c r="L1879" s="169">
        <v>44769</v>
      </c>
      <c r="M1879" s="115">
        <v>199.7</v>
      </c>
      <c r="N1879" s="115">
        <v>205</v>
      </c>
      <c r="O1879" s="115">
        <v>185.5</v>
      </c>
      <c r="P1879" s="115">
        <v>185.9</v>
      </c>
      <c r="Q1879" s="115">
        <v>199.7</v>
      </c>
      <c r="R1879">
        <v>1262607</v>
      </c>
    </row>
    <row r="1880" spans="1:18" x14ac:dyDescent="0.25">
      <c r="A1880" s="169">
        <v>44771</v>
      </c>
      <c r="B1880" s="115">
        <v>199.15</v>
      </c>
      <c r="C1880" s="115">
        <v>195.2</v>
      </c>
      <c r="D1880" s="115">
        <v>193.35</v>
      </c>
      <c r="E1880" s="115">
        <v>198.2</v>
      </c>
      <c r="F1880" s="115">
        <v>195.2</v>
      </c>
      <c r="G1880">
        <v>17457</v>
      </c>
      <c r="H1880" s="115"/>
      <c r="I1880" s="115"/>
      <c r="L1880" s="169">
        <v>44770</v>
      </c>
      <c r="M1880" s="115">
        <v>195.3</v>
      </c>
      <c r="N1880" s="115">
        <v>207.1</v>
      </c>
      <c r="O1880" s="115">
        <v>193.65</v>
      </c>
      <c r="P1880" s="115">
        <v>201.4</v>
      </c>
      <c r="Q1880" s="115">
        <v>195.3</v>
      </c>
      <c r="R1880">
        <v>335470</v>
      </c>
    </row>
    <row r="1881" spans="1:18" x14ac:dyDescent="0.25">
      <c r="A1881" s="169">
        <v>44774</v>
      </c>
      <c r="B1881" s="115">
        <v>201.45</v>
      </c>
      <c r="C1881" s="115">
        <v>198.2</v>
      </c>
      <c r="D1881" s="115">
        <v>196.05</v>
      </c>
      <c r="E1881" s="115">
        <v>196.5</v>
      </c>
      <c r="F1881" s="115">
        <v>198.2</v>
      </c>
      <c r="G1881">
        <v>16399</v>
      </c>
      <c r="H1881" s="115"/>
      <c r="I1881" s="115"/>
      <c r="L1881" s="169">
        <v>44771</v>
      </c>
      <c r="M1881" s="115">
        <v>195.55</v>
      </c>
      <c r="N1881" s="115">
        <v>199.6</v>
      </c>
      <c r="O1881" s="115">
        <v>194.05</v>
      </c>
      <c r="P1881" s="115">
        <v>197.5</v>
      </c>
      <c r="Q1881" s="115">
        <v>195.55</v>
      </c>
      <c r="R1881">
        <v>80213</v>
      </c>
    </row>
    <row r="1882" spans="1:18" x14ac:dyDescent="0.25">
      <c r="A1882" s="169">
        <v>44775</v>
      </c>
      <c r="B1882" s="115">
        <v>202.95</v>
      </c>
      <c r="C1882" s="115">
        <v>199.95</v>
      </c>
      <c r="D1882" s="115">
        <v>194.4</v>
      </c>
      <c r="E1882" s="115">
        <v>198</v>
      </c>
      <c r="F1882" s="115">
        <v>199.95</v>
      </c>
      <c r="G1882">
        <v>10851</v>
      </c>
      <c r="H1882" s="115"/>
      <c r="I1882" s="115"/>
      <c r="L1882" s="169">
        <v>44774</v>
      </c>
      <c r="M1882" s="115">
        <v>198.25</v>
      </c>
      <c r="N1882" s="115">
        <v>201.7</v>
      </c>
      <c r="O1882" s="115">
        <v>194.1</v>
      </c>
      <c r="P1882" s="115">
        <v>194.1</v>
      </c>
      <c r="Q1882" s="115">
        <v>198.25</v>
      </c>
      <c r="R1882">
        <v>135636</v>
      </c>
    </row>
    <row r="1883" spans="1:18" x14ac:dyDescent="0.25">
      <c r="A1883" s="169">
        <v>44776</v>
      </c>
      <c r="B1883" s="115">
        <v>203.4</v>
      </c>
      <c r="C1883" s="115">
        <v>194.8</v>
      </c>
      <c r="D1883" s="115">
        <v>194.2</v>
      </c>
      <c r="E1883" s="115">
        <v>203.4</v>
      </c>
      <c r="F1883" s="115">
        <v>194.8</v>
      </c>
      <c r="G1883">
        <v>21918</v>
      </c>
      <c r="H1883" s="115"/>
      <c r="I1883" s="115"/>
      <c r="L1883" s="169">
        <v>44775</v>
      </c>
      <c r="M1883" s="115">
        <v>199.7</v>
      </c>
      <c r="N1883" s="115">
        <v>203</v>
      </c>
      <c r="O1883" s="115">
        <v>194.1</v>
      </c>
      <c r="P1883" s="115">
        <v>198.5</v>
      </c>
      <c r="Q1883" s="115">
        <v>199.7</v>
      </c>
      <c r="R1883">
        <v>141511</v>
      </c>
    </row>
    <row r="1884" spans="1:18" x14ac:dyDescent="0.25">
      <c r="A1884" s="169">
        <v>44777</v>
      </c>
      <c r="B1884" s="115">
        <v>200.5</v>
      </c>
      <c r="C1884" s="115">
        <v>191.95</v>
      </c>
      <c r="D1884" s="115">
        <v>191.15</v>
      </c>
      <c r="E1884" s="115">
        <v>200.5</v>
      </c>
      <c r="F1884" s="115">
        <v>191.95</v>
      </c>
      <c r="G1884">
        <v>6092</v>
      </c>
      <c r="H1884" s="115"/>
      <c r="I1884" s="115"/>
      <c r="L1884" s="169">
        <v>44776</v>
      </c>
      <c r="M1884" s="115">
        <v>195</v>
      </c>
      <c r="N1884" s="115">
        <v>201.95</v>
      </c>
      <c r="O1884" s="115">
        <v>194.4</v>
      </c>
      <c r="P1884" s="115">
        <v>201.95</v>
      </c>
      <c r="Q1884" s="115">
        <v>195</v>
      </c>
      <c r="R1884">
        <v>121064</v>
      </c>
    </row>
    <row r="1885" spans="1:18" x14ac:dyDescent="0.25">
      <c r="A1885" s="169">
        <v>44778</v>
      </c>
      <c r="B1885" s="115">
        <v>196.35</v>
      </c>
      <c r="C1885" s="115">
        <v>193.25</v>
      </c>
      <c r="D1885" s="115">
        <v>190.9</v>
      </c>
      <c r="E1885" s="115">
        <v>190.9</v>
      </c>
      <c r="F1885" s="115">
        <v>193.25</v>
      </c>
      <c r="G1885">
        <v>3989</v>
      </c>
      <c r="H1885" s="115"/>
      <c r="I1885" s="115"/>
      <c r="L1885" s="169">
        <v>44777</v>
      </c>
      <c r="M1885" s="115">
        <v>191.9</v>
      </c>
      <c r="N1885" s="115">
        <v>199.5</v>
      </c>
      <c r="O1885" s="115">
        <v>191</v>
      </c>
      <c r="P1885" s="115">
        <v>197.15</v>
      </c>
      <c r="Q1885" s="115">
        <v>191.9</v>
      </c>
      <c r="R1885">
        <v>100559</v>
      </c>
    </row>
    <row r="1886" spans="1:18" x14ac:dyDescent="0.25">
      <c r="A1886" s="169">
        <v>44781</v>
      </c>
      <c r="B1886" s="115">
        <v>194.1</v>
      </c>
      <c r="C1886" s="115">
        <v>190.35</v>
      </c>
      <c r="D1886" s="115">
        <v>189.8</v>
      </c>
      <c r="E1886" s="115">
        <v>194.1</v>
      </c>
      <c r="F1886" s="115">
        <v>190.35</v>
      </c>
      <c r="G1886">
        <v>5378</v>
      </c>
      <c r="H1886" s="115"/>
      <c r="I1886" s="115"/>
      <c r="L1886" s="169">
        <v>44778</v>
      </c>
      <c r="M1886" s="115">
        <v>192.7</v>
      </c>
      <c r="N1886" s="115">
        <v>196.5</v>
      </c>
      <c r="O1886" s="115">
        <v>192.1</v>
      </c>
      <c r="P1886" s="115">
        <v>193.6</v>
      </c>
      <c r="Q1886" s="115">
        <v>192.7</v>
      </c>
      <c r="R1886">
        <v>63813</v>
      </c>
    </row>
    <row r="1887" spans="1:18" x14ac:dyDescent="0.25">
      <c r="A1887" s="169">
        <v>44783</v>
      </c>
      <c r="B1887" s="115">
        <v>191.3</v>
      </c>
      <c r="C1887" s="115">
        <v>189</v>
      </c>
      <c r="D1887" s="115">
        <v>187.7</v>
      </c>
      <c r="E1887" s="115">
        <v>190.25</v>
      </c>
      <c r="F1887" s="115">
        <v>189</v>
      </c>
      <c r="G1887">
        <v>6246</v>
      </c>
      <c r="H1887" s="115"/>
      <c r="I1887" s="115"/>
      <c r="L1887" s="169">
        <v>44781</v>
      </c>
      <c r="M1887" s="115">
        <v>190.4</v>
      </c>
      <c r="N1887" s="115">
        <v>196.4</v>
      </c>
      <c r="O1887" s="115">
        <v>189.15</v>
      </c>
      <c r="P1887" s="115">
        <v>192</v>
      </c>
      <c r="Q1887" s="115">
        <v>190.4</v>
      </c>
      <c r="R1887">
        <v>111428</v>
      </c>
    </row>
    <row r="1888" spans="1:18" x14ac:dyDescent="0.25">
      <c r="A1888" s="169">
        <v>44784</v>
      </c>
      <c r="B1888" s="115">
        <v>190.1</v>
      </c>
      <c r="C1888" s="115">
        <v>189.25</v>
      </c>
      <c r="D1888" s="115">
        <v>188.05</v>
      </c>
      <c r="E1888" s="115">
        <v>189.95</v>
      </c>
      <c r="F1888" s="115">
        <v>189.25</v>
      </c>
      <c r="G1888">
        <v>3507</v>
      </c>
      <c r="H1888" s="115"/>
      <c r="I1888" s="115"/>
      <c r="L1888" s="169">
        <v>44783</v>
      </c>
      <c r="M1888" s="115">
        <v>188.75</v>
      </c>
      <c r="N1888" s="115">
        <v>191.35</v>
      </c>
      <c r="O1888" s="115">
        <v>187.35</v>
      </c>
      <c r="P1888" s="115">
        <v>190</v>
      </c>
      <c r="Q1888" s="115">
        <v>188.75</v>
      </c>
      <c r="R1888">
        <v>148839</v>
      </c>
    </row>
    <row r="1889" spans="1:18" x14ac:dyDescent="0.25">
      <c r="A1889" s="169">
        <v>44785</v>
      </c>
      <c r="B1889" s="115">
        <v>190.15</v>
      </c>
      <c r="C1889" s="115">
        <v>188.25</v>
      </c>
      <c r="D1889" s="115">
        <v>187</v>
      </c>
      <c r="E1889" s="115">
        <v>189</v>
      </c>
      <c r="F1889" s="115">
        <v>188.25</v>
      </c>
      <c r="G1889">
        <v>4062</v>
      </c>
      <c r="H1889" s="115"/>
      <c r="I1889" s="115"/>
      <c r="L1889" s="169">
        <v>44784</v>
      </c>
      <c r="M1889" s="115">
        <v>189</v>
      </c>
      <c r="N1889" s="115">
        <v>191.45</v>
      </c>
      <c r="O1889" s="115">
        <v>188</v>
      </c>
      <c r="P1889" s="115">
        <v>191.45</v>
      </c>
      <c r="Q1889" s="115">
        <v>189</v>
      </c>
      <c r="R1889">
        <v>79113</v>
      </c>
    </row>
    <row r="1890" spans="1:18" x14ac:dyDescent="0.25">
      <c r="A1890" s="169">
        <v>44789</v>
      </c>
      <c r="B1890" s="115">
        <v>189.8</v>
      </c>
      <c r="C1890" s="115">
        <v>187</v>
      </c>
      <c r="D1890" s="115">
        <v>184.8</v>
      </c>
      <c r="E1890" s="115">
        <v>188.3</v>
      </c>
      <c r="F1890" s="115">
        <v>187</v>
      </c>
      <c r="G1890">
        <v>4648</v>
      </c>
      <c r="H1890" s="115"/>
      <c r="I1890" s="115"/>
      <c r="L1890" s="169">
        <v>44785</v>
      </c>
      <c r="M1890" s="115">
        <v>188</v>
      </c>
      <c r="N1890" s="115">
        <v>190</v>
      </c>
      <c r="O1890" s="115">
        <v>186.95</v>
      </c>
      <c r="P1890" s="115">
        <v>188.85</v>
      </c>
      <c r="Q1890" s="115">
        <v>188</v>
      </c>
      <c r="R1890">
        <v>69271</v>
      </c>
    </row>
    <row r="1891" spans="1:18" x14ac:dyDescent="0.25">
      <c r="A1891" s="169">
        <v>44790</v>
      </c>
      <c r="B1891" s="115">
        <v>192.35</v>
      </c>
      <c r="C1891" s="115">
        <v>189.35</v>
      </c>
      <c r="D1891" s="115">
        <v>185.15</v>
      </c>
      <c r="E1891" s="115">
        <v>187</v>
      </c>
      <c r="F1891" s="115">
        <v>189.35</v>
      </c>
      <c r="G1891">
        <v>16990</v>
      </c>
      <c r="H1891" s="115"/>
      <c r="I1891" s="115"/>
      <c r="L1891" s="169">
        <v>44789</v>
      </c>
      <c r="M1891" s="115">
        <v>187</v>
      </c>
      <c r="N1891" s="115">
        <v>189.95</v>
      </c>
      <c r="O1891" s="115">
        <v>185</v>
      </c>
      <c r="P1891" s="115">
        <v>189.95</v>
      </c>
      <c r="Q1891" s="115">
        <v>187</v>
      </c>
      <c r="R1891">
        <v>87415</v>
      </c>
    </row>
    <row r="1892" spans="1:18" x14ac:dyDescent="0.25">
      <c r="A1892" s="169">
        <v>44791</v>
      </c>
      <c r="B1892" s="115">
        <v>191</v>
      </c>
      <c r="C1892" s="115">
        <v>188.9</v>
      </c>
      <c r="D1892" s="115">
        <v>187.7</v>
      </c>
      <c r="E1892" s="115">
        <v>190.8</v>
      </c>
      <c r="F1892" s="115">
        <v>188.9</v>
      </c>
      <c r="G1892">
        <v>4219</v>
      </c>
      <c r="H1892" s="115"/>
      <c r="I1892" s="115"/>
      <c r="L1892" s="169">
        <v>44790</v>
      </c>
      <c r="M1892" s="115">
        <v>189.5</v>
      </c>
      <c r="N1892" s="115">
        <v>192.4</v>
      </c>
      <c r="O1892" s="115">
        <v>185.3</v>
      </c>
      <c r="P1892" s="115">
        <v>188.75</v>
      </c>
      <c r="Q1892" s="115">
        <v>189.5</v>
      </c>
      <c r="R1892">
        <v>204050</v>
      </c>
    </row>
    <row r="1893" spans="1:18" x14ac:dyDescent="0.25">
      <c r="A1893" s="169">
        <v>44792</v>
      </c>
      <c r="B1893" s="115">
        <v>191.15</v>
      </c>
      <c r="C1893" s="115">
        <v>186.3</v>
      </c>
      <c r="D1893" s="115">
        <v>185.25</v>
      </c>
      <c r="E1893" s="115">
        <v>189.1</v>
      </c>
      <c r="F1893" s="115">
        <v>186.3</v>
      </c>
      <c r="G1893">
        <v>3203</v>
      </c>
      <c r="H1893" s="115"/>
      <c r="I1893" s="115"/>
      <c r="L1893" s="169">
        <v>44791</v>
      </c>
      <c r="M1893" s="115">
        <v>188.4</v>
      </c>
      <c r="N1893" s="115">
        <v>191</v>
      </c>
      <c r="O1893" s="115">
        <v>187.5</v>
      </c>
      <c r="P1893" s="115">
        <v>191</v>
      </c>
      <c r="Q1893" s="115">
        <v>188.4</v>
      </c>
      <c r="R1893">
        <v>123597</v>
      </c>
    </row>
    <row r="1894" spans="1:18" x14ac:dyDescent="0.25">
      <c r="A1894" s="169">
        <v>44795</v>
      </c>
      <c r="B1894" s="115">
        <v>189.4</v>
      </c>
      <c r="C1894" s="115">
        <v>184.3</v>
      </c>
      <c r="D1894" s="115">
        <v>183.85</v>
      </c>
      <c r="E1894" s="115">
        <v>185.75</v>
      </c>
      <c r="F1894" s="115">
        <v>184.3</v>
      </c>
      <c r="G1894">
        <v>11230</v>
      </c>
      <c r="H1894" s="115"/>
      <c r="I1894" s="115"/>
      <c r="L1894" s="169">
        <v>44792</v>
      </c>
      <c r="M1894" s="115">
        <v>186.1</v>
      </c>
      <c r="N1894" s="115">
        <v>191.2</v>
      </c>
      <c r="O1894" s="115">
        <v>185.2</v>
      </c>
      <c r="P1894" s="115">
        <v>190</v>
      </c>
      <c r="Q1894" s="115">
        <v>186.1</v>
      </c>
      <c r="R1894">
        <v>121758</v>
      </c>
    </row>
    <row r="1895" spans="1:18" x14ac:dyDescent="0.25">
      <c r="A1895" s="169">
        <v>44796</v>
      </c>
      <c r="B1895" s="115">
        <v>186.5</v>
      </c>
      <c r="C1895" s="115">
        <v>184.9</v>
      </c>
      <c r="D1895" s="115">
        <v>183.9</v>
      </c>
      <c r="E1895" s="115">
        <v>184.4</v>
      </c>
      <c r="F1895" s="115">
        <v>184.9</v>
      </c>
      <c r="G1895">
        <v>2428</v>
      </c>
      <c r="H1895" s="115"/>
      <c r="I1895" s="115"/>
      <c r="L1895" s="169">
        <v>44795</v>
      </c>
      <c r="M1895" s="115">
        <v>184.1</v>
      </c>
      <c r="N1895" s="115">
        <v>189</v>
      </c>
      <c r="O1895" s="115">
        <v>183.4</v>
      </c>
      <c r="P1895" s="115">
        <v>187.95</v>
      </c>
      <c r="Q1895" s="115">
        <v>184.1</v>
      </c>
      <c r="R1895">
        <v>90240</v>
      </c>
    </row>
    <row r="1896" spans="1:18" x14ac:dyDescent="0.25">
      <c r="A1896" s="169">
        <v>44797</v>
      </c>
      <c r="B1896" s="115">
        <v>192.4</v>
      </c>
      <c r="C1896" s="115">
        <v>190.2</v>
      </c>
      <c r="D1896" s="115">
        <v>184.85</v>
      </c>
      <c r="E1896" s="115">
        <v>184.85</v>
      </c>
      <c r="F1896" s="115">
        <v>190.2</v>
      </c>
      <c r="G1896">
        <v>11112</v>
      </c>
      <c r="H1896" s="115"/>
      <c r="I1896" s="115"/>
      <c r="L1896" s="169">
        <v>44796</v>
      </c>
      <c r="M1896" s="115">
        <v>185.05</v>
      </c>
      <c r="N1896" s="115">
        <v>186.75</v>
      </c>
      <c r="O1896" s="115">
        <v>183.45</v>
      </c>
      <c r="P1896" s="115">
        <v>184.1</v>
      </c>
      <c r="Q1896" s="115">
        <v>185.05</v>
      </c>
      <c r="R1896">
        <v>92807</v>
      </c>
    </row>
    <row r="1897" spans="1:18" x14ac:dyDescent="0.25">
      <c r="A1897" s="169">
        <v>44798</v>
      </c>
      <c r="B1897" s="115">
        <v>195.95</v>
      </c>
      <c r="C1897" s="115">
        <v>189.3</v>
      </c>
      <c r="D1897" s="115">
        <v>188.2</v>
      </c>
      <c r="E1897" s="115">
        <v>193.95</v>
      </c>
      <c r="F1897" s="115">
        <v>189.3</v>
      </c>
      <c r="G1897">
        <v>3036</v>
      </c>
      <c r="H1897" s="115"/>
      <c r="I1897" s="115"/>
      <c r="L1897" s="169">
        <v>44797</v>
      </c>
      <c r="M1897" s="115">
        <v>190.5</v>
      </c>
      <c r="N1897" s="115">
        <v>192.9</v>
      </c>
      <c r="O1897" s="115">
        <v>184.9</v>
      </c>
      <c r="P1897" s="115">
        <v>187.4</v>
      </c>
      <c r="Q1897" s="115">
        <v>190.5</v>
      </c>
      <c r="R1897">
        <v>185052</v>
      </c>
    </row>
    <row r="1898" spans="1:18" x14ac:dyDescent="0.25">
      <c r="A1898" s="169">
        <v>44799</v>
      </c>
      <c r="B1898" s="115">
        <v>190</v>
      </c>
      <c r="C1898" s="115">
        <v>188.6</v>
      </c>
      <c r="D1898" s="115">
        <v>187.75</v>
      </c>
      <c r="E1898" s="115">
        <v>189.8</v>
      </c>
      <c r="F1898" s="115">
        <v>188.6</v>
      </c>
      <c r="G1898">
        <v>5853</v>
      </c>
      <c r="H1898" s="115"/>
      <c r="I1898" s="115"/>
      <c r="L1898" s="169">
        <v>44798</v>
      </c>
      <c r="M1898" s="115">
        <v>189.25</v>
      </c>
      <c r="N1898" s="115">
        <v>196.35</v>
      </c>
      <c r="O1898" s="115">
        <v>188.2</v>
      </c>
      <c r="P1898" s="115">
        <v>193.35</v>
      </c>
      <c r="Q1898" s="115">
        <v>189.25</v>
      </c>
      <c r="R1898">
        <v>154383</v>
      </c>
    </row>
    <row r="1899" spans="1:18" x14ac:dyDescent="0.25">
      <c r="A1899" s="169">
        <v>44802</v>
      </c>
      <c r="B1899" s="115">
        <v>191.05</v>
      </c>
      <c r="C1899" s="115">
        <v>188.55</v>
      </c>
      <c r="D1899" s="115">
        <v>184.3</v>
      </c>
      <c r="E1899" s="115">
        <v>188.25</v>
      </c>
      <c r="F1899" s="115">
        <v>188.55</v>
      </c>
      <c r="G1899">
        <v>1815</v>
      </c>
      <c r="H1899" s="115"/>
      <c r="I1899" s="115"/>
      <c r="L1899" s="169">
        <v>44799</v>
      </c>
      <c r="M1899" s="115">
        <v>188.95</v>
      </c>
      <c r="N1899" s="115">
        <v>190</v>
      </c>
      <c r="O1899" s="115">
        <v>187.5</v>
      </c>
      <c r="P1899" s="115">
        <v>189.15</v>
      </c>
      <c r="Q1899" s="115">
        <v>188.95</v>
      </c>
      <c r="R1899">
        <v>127292</v>
      </c>
    </row>
    <row r="1900" spans="1:18" x14ac:dyDescent="0.25">
      <c r="A1900" s="169">
        <v>44803</v>
      </c>
      <c r="B1900" s="115">
        <v>192.9</v>
      </c>
      <c r="C1900" s="115">
        <v>188.2</v>
      </c>
      <c r="D1900" s="115">
        <v>187.15</v>
      </c>
      <c r="E1900" s="115">
        <v>189.7</v>
      </c>
      <c r="F1900" s="115">
        <v>188.2</v>
      </c>
      <c r="G1900">
        <v>18751</v>
      </c>
      <c r="H1900" s="115"/>
      <c r="I1900" s="115"/>
      <c r="L1900" s="169">
        <v>44802</v>
      </c>
      <c r="M1900" s="115">
        <v>188.35</v>
      </c>
      <c r="N1900" s="115">
        <v>191.7</v>
      </c>
      <c r="O1900" s="115">
        <v>184.1</v>
      </c>
      <c r="P1900" s="115">
        <v>184.95</v>
      </c>
      <c r="Q1900" s="115">
        <v>188.35</v>
      </c>
      <c r="R1900">
        <v>68606</v>
      </c>
    </row>
    <row r="1901" spans="1:18" x14ac:dyDescent="0.25">
      <c r="A1901" s="169">
        <v>44805</v>
      </c>
      <c r="B1901" s="115">
        <v>191.85</v>
      </c>
      <c r="C1901" s="115">
        <v>190.5</v>
      </c>
      <c r="D1901" s="115">
        <v>187.65</v>
      </c>
      <c r="E1901" s="115">
        <v>187.65</v>
      </c>
      <c r="F1901" s="115">
        <v>190.5</v>
      </c>
      <c r="G1901">
        <v>5904</v>
      </c>
      <c r="H1901" s="115"/>
      <c r="I1901" s="115"/>
      <c r="L1901" s="169">
        <v>44803</v>
      </c>
      <c r="M1901" s="115">
        <v>188.6</v>
      </c>
      <c r="N1901" s="115">
        <v>192.9</v>
      </c>
      <c r="O1901" s="115">
        <v>186.75</v>
      </c>
      <c r="P1901" s="115">
        <v>189.55</v>
      </c>
      <c r="Q1901" s="115">
        <v>188.6</v>
      </c>
      <c r="R1901">
        <v>249498</v>
      </c>
    </row>
    <row r="1902" spans="1:18" x14ac:dyDescent="0.25">
      <c r="A1902" s="169">
        <v>44806</v>
      </c>
      <c r="B1902" s="115">
        <v>203.6</v>
      </c>
      <c r="C1902" s="115">
        <v>201.6</v>
      </c>
      <c r="D1902" s="115">
        <v>189.15</v>
      </c>
      <c r="E1902" s="115">
        <v>191.65</v>
      </c>
      <c r="F1902" s="115">
        <v>201.6</v>
      </c>
      <c r="G1902">
        <v>48669</v>
      </c>
      <c r="H1902" s="115"/>
      <c r="I1902" s="115"/>
      <c r="L1902" s="169">
        <v>44805</v>
      </c>
      <c r="M1902" s="115">
        <v>190.05</v>
      </c>
      <c r="N1902" s="115">
        <v>192.15</v>
      </c>
      <c r="O1902" s="115">
        <v>187.05</v>
      </c>
      <c r="P1902" s="115">
        <v>188</v>
      </c>
      <c r="Q1902" s="115">
        <v>190.05</v>
      </c>
      <c r="R1902">
        <v>78452</v>
      </c>
    </row>
    <row r="1903" spans="1:18" x14ac:dyDescent="0.25">
      <c r="A1903" s="169">
        <v>44809</v>
      </c>
      <c r="B1903" s="115">
        <v>213.5</v>
      </c>
      <c r="C1903" s="115">
        <v>209.75</v>
      </c>
      <c r="D1903" s="115">
        <v>200.6</v>
      </c>
      <c r="E1903" s="115">
        <v>202</v>
      </c>
      <c r="F1903" s="115">
        <v>209.75</v>
      </c>
      <c r="G1903">
        <v>55011</v>
      </c>
      <c r="H1903" s="115"/>
      <c r="I1903" s="115"/>
      <c r="L1903" s="169">
        <v>44806</v>
      </c>
      <c r="M1903" s="115">
        <v>201.5</v>
      </c>
      <c r="N1903" s="115">
        <v>203.4</v>
      </c>
      <c r="O1903" s="115">
        <v>189.25</v>
      </c>
      <c r="P1903" s="115">
        <v>192.4</v>
      </c>
      <c r="Q1903" s="115">
        <v>201.5</v>
      </c>
      <c r="R1903">
        <v>752971</v>
      </c>
    </row>
    <row r="1904" spans="1:18" x14ac:dyDescent="0.25">
      <c r="A1904" s="169">
        <v>44810</v>
      </c>
      <c r="B1904" s="115">
        <v>212.85</v>
      </c>
      <c r="C1904" s="115">
        <v>210.75</v>
      </c>
      <c r="D1904" s="115">
        <v>207</v>
      </c>
      <c r="E1904" s="115">
        <v>209.75</v>
      </c>
      <c r="F1904" s="115">
        <v>210.75</v>
      </c>
      <c r="G1904">
        <v>14081</v>
      </c>
      <c r="H1904" s="115"/>
      <c r="I1904" s="115"/>
      <c r="L1904" s="169">
        <v>44809</v>
      </c>
      <c r="M1904" s="115">
        <v>209.9</v>
      </c>
      <c r="N1904" s="115">
        <v>214</v>
      </c>
      <c r="O1904" s="115">
        <v>200.5</v>
      </c>
      <c r="P1904" s="115">
        <v>204.6</v>
      </c>
      <c r="Q1904" s="115">
        <v>209.9</v>
      </c>
      <c r="R1904">
        <v>845562</v>
      </c>
    </row>
    <row r="1905" spans="1:18" x14ac:dyDescent="0.25">
      <c r="A1905" s="169">
        <v>44811</v>
      </c>
      <c r="B1905" s="115">
        <v>212.95</v>
      </c>
      <c r="C1905" s="115">
        <v>211.25</v>
      </c>
      <c r="D1905" s="115">
        <v>207</v>
      </c>
      <c r="E1905" s="115">
        <v>207</v>
      </c>
      <c r="F1905" s="115">
        <v>211.25</v>
      </c>
      <c r="G1905">
        <v>14846</v>
      </c>
      <c r="H1905" s="115"/>
      <c r="I1905" s="115"/>
      <c r="L1905" s="169">
        <v>44810</v>
      </c>
      <c r="M1905" s="115">
        <v>211.2</v>
      </c>
      <c r="N1905" s="115">
        <v>212.5</v>
      </c>
      <c r="O1905" s="115">
        <v>207</v>
      </c>
      <c r="P1905" s="115">
        <v>212</v>
      </c>
      <c r="Q1905" s="115">
        <v>211.2</v>
      </c>
      <c r="R1905">
        <v>326751</v>
      </c>
    </row>
    <row r="1906" spans="1:18" x14ac:dyDescent="0.25">
      <c r="A1906" s="169">
        <v>44812</v>
      </c>
      <c r="B1906" s="115">
        <v>216.15</v>
      </c>
      <c r="C1906" s="115">
        <v>214.85</v>
      </c>
      <c r="D1906" s="115">
        <v>209.25</v>
      </c>
      <c r="E1906" s="115">
        <v>209.25</v>
      </c>
      <c r="F1906" s="115">
        <v>214.85</v>
      </c>
      <c r="G1906">
        <v>37704</v>
      </c>
      <c r="H1906" s="115"/>
      <c r="I1906" s="115"/>
      <c r="L1906" s="169">
        <v>44811</v>
      </c>
      <c r="M1906" s="115">
        <v>211.2</v>
      </c>
      <c r="N1906" s="115">
        <v>212.95</v>
      </c>
      <c r="O1906" s="115">
        <v>207.2</v>
      </c>
      <c r="P1906" s="115">
        <v>208</v>
      </c>
      <c r="Q1906" s="115">
        <v>211.2</v>
      </c>
      <c r="R1906">
        <v>225049</v>
      </c>
    </row>
    <row r="1907" spans="1:18" x14ac:dyDescent="0.25">
      <c r="A1907" s="169">
        <v>44813</v>
      </c>
      <c r="B1907" s="115">
        <v>219.05</v>
      </c>
      <c r="C1907" s="115">
        <v>214.2</v>
      </c>
      <c r="D1907" s="115">
        <v>213.25</v>
      </c>
      <c r="E1907" s="115">
        <v>218</v>
      </c>
      <c r="F1907" s="115">
        <v>214.2</v>
      </c>
      <c r="G1907">
        <v>27784</v>
      </c>
      <c r="H1907" s="115"/>
      <c r="I1907" s="115"/>
      <c r="L1907" s="169">
        <v>44812</v>
      </c>
      <c r="M1907" s="115">
        <v>214.55</v>
      </c>
      <c r="N1907" s="115">
        <v>216.4</v>
      </c>
      <c r="O1907" s="115">
        <v>211.25</v>
      </c>
      <c r="P1907" s="115">
        <v>212.7</v>
      </c>
      <c r="Q1907" s="115">
        <v>214.55</v>
      </c>
      <c r="R1907">
        <v>371501</v>
      </c>
    </row>
    <row r="1908" spans="1:18" x14ac:dyDescent="0.25">
      <c r="A1908" s="169">
        <v>44816</v>
      </c>
      <c r="B1908" s="115">
        <v>219.15</v>
      </c>
      <c r="C1908" s="115">
        <v>217.95</v>
      </c>
      <c r="D1908" s="115">
        <v>212.1</v>
      </c>
      <c r="E1908" s="115">
        <v>212.1</v>
      </c>
      <c r="F1908" s="115">
        <v>217.95</v>
      </c>
      <c r="G1908">
        <v>18858</v>
      </c>
      <c r="H1908" s="115"/>
      <c r="I1908" s="115"/>
      <c r="L1908" s="169">
        <v>44813</v>
      </c>
      <c r="M1908" s="115">
        <v>214.45</v>
      </c>
      <c r="N1908" s="115">
        <v>218.7</v>
      </c>
      <c r="O1908" s="115">
        <v>213.5</v>
      </c>
      <c r="P1908" s="115">
        <v>218</v>
      </c>
      <c r="Q1908" s="115">
        <v>214.45</v>
      </c>
      <c r="R1908">
        <v>214584</v>
      </c>
    </row>
    <row r="1909" spans="1:18" x14ac:dyDescent="0.25">
      <c r="A1909" s="169">
        <v>44817</v>
      </c>
      <c r="B1909" s="115">
        <v>223.6</v>
      </c>
      <c r="C1909" s="115">
        <v>217.8</v>
      </c>
      <c r="D1909" s="115">
        <v>216.15</v>
      </c>
      <c r="E1909" s="115">
        <v>218.7</v>
      </c>
      <c r="F1909" s="115">
        <v>217.8</v>
      </c>
      <c r="G1909">
        <v>16935</v>
      </c>
      <c r="H1909" s="115"/>
      <c r="I1909" s="115"/>
      <c r="L1909" s="169">
        <v>44816</v>
      </c>
      <c r="M1909" s="115">
        <v>218.2</v>
      </c>
      <c r="N1909" s="115">
        <v>219.1</v>
      </c>
      <c r="O1909" s="115">
        <v>213.8</v>
      </c>
      <c r="P1909" s="115">
        <v>215.9</v>
      </c>
      <c r="Q1909" s="115">
        <v>218.2</v>
      </c>
      <c r="R1909">
        <v>255218</v>
      </c>
    </row>
    <row r="1910" spans="1:18" x14ac:dyDescent="0.25">
      <c r="A1910" s="169">
        <v>44818</v>
      </c>
      <c r="B1910" s="115">
        <v>217.75</v>
      </c>
      <c r="C1910" s="115">
        <v>215.9</v>
      </c>
      <c r="D1910" s="115">
        <v>210.5</v>
      </c>
      <c r="E1910" s="115">
        <v>210.5</v>
      </c>
      <c r="F1910" s="115">
        <v>215.9</v>
      </c>
      <c r="G1910">
        <v>8731</v>
      </c>
      <c r="H1910" s="115"/>
      <c r="I1910" s="115"/>
      <c r="L1910" s="169">
        <v>44817</v>
      </c>
      <c r="M1910" s="115">
        <v>217.55</v>
      </c>
      <c r="N1910" s="115">
        <v>223.6</v>
      </c>
      <c r="O1910" s="115">
        <v>216.15</v>
      </c>
      <c r="P1910" s="115">
        <v>220</v>
      </c>
      <c r="Q1910" s="115">
        <v>217.55</v>
      </c>
      <c r="R1910">
        <v>202836</v>
      </c>
    </row>
    <row r="1911" spans="1:18" x14ac:dyDescent="0.25">
      <c r="A1911" s="169">
        <v>44819</v>
      </c>
      <c r="B1911" s="115">
        <v>220.25</v>
      </c>
      <c r="C1911" s="115">
        <v>214.5</v>
      </c>
      <c r="D1911" s="115">
        <v>213.1</v>
      </c>
      <c r="E1911" s="115">
        <v>220.25</v>
      </c>
      <c r="F1911" s="115">
        <v>214.5</v>
      </c>
      <c r="G1911">
        <v>5622</v>
      </c>
      <c r="H1911" s="115"/>
      <c r="I1911" s="115"/>
      <c r="L1911" s="169">
        <v>44818</v>
      </c>
      <c r="M1911" s="115">
        <v>216.2</v>
      </c>
      <c r="N1911" s="115">
        <v>217.95</v>
      </c>
      <c r="O1911" s="115">
        <v>211.5</v>
      </c>
      <c r="P1911" s="115">
        <v>211.5</v>
      </c>
      <c r="Q1911" s="115">
        <v>216.2</v>
      </c>
      <c r="R1911">
        <v>142826</v>
      </c>
    </row>
    <row r="1912" spans="1:18" x14ac:dyDescent="0.25">
      <c r="A1912" s="169">
        <v>44820</v>
      </c>
      <c r="B1912" s="115">
        <v>214.35</v>
      </c>
      <c r="C1912" s="115">
        <v>208.3</v>
      </c>
      <c r="D1912" s="115">
        <v>207</v>
      </c>
      <c r="E1912" s="115">
        <v>210.25</v>
      </c>
      <c r="F1912" s="115">
        <v>208.3</v>
      </c>
      <c r="G1912">
        <v>19796</v>
      </c>
      <c r="H1912" s="115"/>
      <c r="I1912" s="115"/>
      <c r="L1912" s="169">
        <v>44819</v>
      </c>
      <c r="M1912" s="115">
        <v>214.5</v>
      </c>
      <c r="N1912" s="115">
        <v>217.5</v>
      </c>
      <c r="O1912" s="115">
        <v>212.75</v>
      </c>
      <c r="P1912" s="115">
        <v>217.5</v>
      </c>
      <c r="Q1912" s="115">
        <v>214.5</v>
      </c>
      <c r="R1912">
        <v>87905</v>
      </c>
    </row>
    <row r="1913" spans="1:18" x14ac:dyDescent="0.25">
      <c r="A1913" s="169">
        <v>44823</v>
      </c>
      <c r="B1913" s="115">
        <v>211</v>
      </c>
      <c r="C1913" s="115">
        <v>209.85</v>
      </c>
      <c r="D1913" s="115">
        <v>204.85</v>
      </c>
      <c r="E1913" s="115">
        <v>205</v>
      </c>
      <c r="F1913" s="115">
        <v>209.85</v>
      </c>
      <c r="G1913">
        <v>4808</v>
      </c>
      <c r="H1913" s="115"/>
      <c r="I1913" s="115"/>
      <c r="L1913" s="169">
        <v>44820</v>
      </c>
      <c r="M1913" s="115">
        <v>208.1</v>
      </c>
      <c r="N1913" s="115">
        <v>215.3</v>
      </c>
      <c r="O1913" s="115">
        <v>207</v>
      </c>
      <c r="P1913" s="115">
        <v>214.5</v>
      </c>
      <c r="Q1913" s="115">
        <v>208.1</v>
      </c>
      <c r="R1913">
        <v>246257</v>
      </c>
    </row>
    <row r="1914" spans="1:18" x14ac:dyDescent="0.25">
      <c r="A1914" s="169">
        <v>44824</v>
      </c>
      <c r="B1914" s="115">
        <v>213.9</v>
      </c>
      <c r="C1914" s="115">
        <v>209.75</v>
      </c>
      <c r="D1914" s="115">
        <v>206.75</v>
      </c>
      <c r="E1914" s="115">
        <v>210.75</v>
      </c>
      <c r="F1914" s="115">
        <v>209.75</v>
      </c>
      <c r="G1914">
        <v>14154</v>
      </c>
      <c r="H1914" s="115"/>
      <c r="I1914" s="115"/>
      <c r="L1914" s="169">
        <v>44823</v>
      </c>
      <c r="M1914" s="115">
        <v>209.5</v>
      </c>
      <c r="N1914" s="115">
        <v>211.1</v>
      </c>
      <c r="O1914" s="115">
        <v>204.9</v>
      </c>
      <c r="P1914" s="115">
        <v>208</v>
      </c>
      <c r="Q1914" s="115">
        <v>209.5</v>
      </c>
      <c r="R1914">
        <v>95195</v>
      </c>
    </row>
    <row r="1915" spans="1:18" x14ac:dyDescent="0.25">
      <c r="A1915" s="169">
        <v>44825</v>
      </c>
      <c r="B1915" s="115">
        <v>212.3</v>
      </c>
      <c r="C1915" s="115">
        <v>209.6</v>
      </c>
      <c r="D1915" s="115">
        <v>208.95</v>
      </c>
      <c r="E1915" s="115">
        <v>212.25</v>
      </c>
      <c r="F1915" s="115">
        <v>209.6</v>
      </c>
      <c r="G1915">
        <v>3266</v>
      </c>
      <c r="H1915" s="115"/>
      <c r="I1915" s="115"/>
      <c r="L1915" s="169">
        <v>44824</v>
      </c>
      <c r="M1915" s="115">
        <v>210.7</v>
      </c>
      <c r="N1915" s="115">
        <v>213.9</v>
      </c>
      <c r="O1915" s="115">
        <v>209.55</v>
      </c>
      <c r="P1915" s="115">
        <v>209.85</v>
      </c>
      <c r="Q1915" s="115">
        <v>210.7</v>
      </c>
      <c r="R1915">
        <v>78194</v>
      </c>
    </row>
    <row r="1916" spans="1:18" x14ac:dyDescent="0.25">
      <c r="A1916" s="169">
        <v>44826</v>
      </c>
      <c r="B1916" s="115">
        <v>212.7</v>
      </c>
      <c r="C1916" s="115">
        <v>209.65</v>
      </c>
      <c r="D1916" s="115">
        <v>206</v>
      </c>
      <c r="E1916" s="115">
        <v>207.5</v>
      </c>
      <c r="F1916" s="115">
        <v>209.65</v>
      </c>
      <c r="G1916">
        <v>2491</v>
      </c>
      <c r="H1916" s="115"/>
      <c r="I1916" s="115"/>
      <c r="L1916" s="169">
        <v>44825</v>
      </c>
      <c r="M1916" s="115">
        <v>210.2</v>
      </c>
      <c r="N1916" s="115">
        <v>212.1</v>
      </c>
      <c r="O1916" s="115">
        <v>209</v>
      </c>
      <c r="P1916" s="115">
        <v>210.7</v>
      </c>
      <c r="Q1916" s="115">
        <v>210.2</v>
      </c>
      <c r="R1916">
        <v>99395</v>
      </c>
    </row>
    <row r="1917" spans="1:18" x14ac:dyDescent="0.25">
      <c r="A1917" s="169">
        <v>44827</v>
      </c>
      <c r="B1917" s="115">
        <v>211.85</v>
      </c>
      <c r="C1917" s="115">
        <v>208</v>
      </c>
      <c r="D1917" s="115">
        <v>207.3</v>
      </c>
      <c r="E1917" s="115">
        <v>209.4</v>
      </c>
      <c r="F1917" s="115">
        <v>208</v>
      </c>
      <c r="G1917">
        <v>6133</v>
      </c>
      <c r="H1917" s="115"/>
      <c r="I1917" s="115"/>
      <c r="L1917" s="169">
        <v>44826</v>
      </c>
      <c r="M1917" s="115">
        <v>209.85</v>
      </c>
      <c r="N1917" s="115">
        <v>212.65</v>
      </c>
      <c r="O1917" s="115">
        <v>207.05</v>
      </c>
      <c r="P1917" s="115">
        <v>207.05</v>
      </c>
      <c r="Q1917" s="115">
        <v>209.85</v>
      </c>
      <c r="R1917">
        <v>79046</v>
      </c>
    </row>
    <row r="1918" spans="1:18" x14ac:dyDescent="0.25">
      <c r="A1918" s="169">
        <v>44830</v>
      </c>
      <c r="B1918" s="115">
        <v>205.45</v>
      </c>
      <c r="C1918" s="115">
        <v>200.25</v>
      </c>
      <c r="D1918" s="115">
        <v>198</v>
      </c>
      <c r="E1918" s="115">
        <v>198</v>
      </c>
      <c r="F1918" s="115">
        <v>200.25</v>
      </c>
      <c r="G1918">
        <v>13855</v>
      </c>
      <c r="H1918" s="115"/>
      <c r="I1918" s="115"/>
      <c r="L1918" s="169">
        <v>44827</v>
      </c>
      <c r="M1918" s="115">
        <v>207.9</v>
      </c>
      <c r="N1918" s="115">
        <v>212</v>
      </c>
      <c r="O1918" s="115">
        <v>207</v>
      </c>
      <c r="P1918" s="115">
        <v>209.15</v>
      </c>
      <c r="Q1918" s="115">
        <v>207.9</v>
      </c>
      <c r="R1918">
        <v>95689</v>
      </c>
    </row>
    <row r="1919" spans="1:18" x14ac:dyDescent="0.25">
      <c r="A1919" s="169">
        <v>44831</v>
      </c>
      <c r="B1919" s="115">
        <v>208.5</v>
      </c>
      <c r="C1919" s="115">
        <v>206</v>
      </c>
      <c r="D1919" s="115">
        <v>201.05</v>
      </c>
      <c r="E1919" s="115">
        <v>201.35</v>
      </c>
      <c r="F1919" s="115">
        <v>206</v>
      </c>
      <c r="G1919">
        <v>6581</v>
      </c>
      <c r="H1919" s="115"/>
      <c r="I1919" s="115"/>
      <c r="L1919" s="169">
        <v>44830</v>
      </c>
      <c r="M1919" s="115">
        <v>200.8</v>
      </c>
      <c r="N1919" s="115">
        <v>207.9</v>
      </c>
      <c r="O1919" s="115">
        <v>197.95</v>
      </c>
      <c r="P1919" s="115">
        <v>207</v>
      </c>
      <c r="Q1919" s="115">
        <v>200.8</v>
      </c>
      <c r="R1919">
        <v>174970</v>
      </c>
    </row>
    <row r="1920" spans="1:18" x14ac:dyDescent="0.25">
      <c r="A1920" s="169">
        <v>44832</v>
      </c>
      <c r="B1920" s="115">
        <v>215.95</v>
      </c>
      <c r="C1920" s="115">
        <v>213.45</v>
      </c>
      <c r="D1920" s="115">
        <v>201.85</v>
      </c>
      <c r="E1920" s="115">
        <v>203</v>
      </c>
      <c r="F1920" s="115">
        <v>213.45</v>
      </c>
      <c r="G1920">
        <v>27261</v>
      </c>
      <c r="H1920" s="115"/>
      <c r="I1920" s="115"/>
      <c r="L1920" s="169">
        <v>44831</v>
      </c>
      <c r="M1920" s="115">
        <v>206</v>
      </c>
      <c r="N1920" s="115">
        <v>208.85</v>
      </c>
      <c r="O1920" s="115">
        <v>200.15</v>
      </c>
      <c r="P1920" s="115">
        <v>200.15</v>
      </c>
      <c r="Q1920" s="115">
        <v>206</v>
      </c>
      <c r="R1920">
        <v>118623</v>
      </c>
    </row>
    <row r="1921" spans="1:18" x14ac:dyDescent="0.25">
      <c r="A1921" s="169">
        <v>44833</v>
      </c>
      <c r="B1921" s="115">
        <v>219</v>
      </c>
      <c r="C1921" s="115">
        <v>216.1</v>
      </c>
      <c r="D1921" s="115">
        <v>213.3</v>
      </c>
      <c r="E1921" s="115">
        <v>214.45</v>
      </c>
      <c r="F1921" s="115">
        <v>216.1</v>
      </c>
      <c r="G1921">
        <v>8464</v>
      </c>
      <c r="H1921" s="115"/>
      <c r="I1921" s="115"/>
      <c r="L1921" s="169">
        <v>44832</v>
      </c>
      <c r="M1921" s="115">
        <v>213.8</v>
      </c>
      <c r="N1921" s="115">
        <v>215.8</v>
      </c>
      <c r="O1921" s="115">
        <v>201.8</v>
      </c>
      <c r="P1921" s="115">
        <v>202</v>
      </c>
      <c r="Q1921" s="115">
        <v>213.8</v>
      </c>
      <c r="R1921">
        <v>255860</v>
      </c>
    </row>
    <row r="1922" spans="1:18" x14ac:dyDescent="0.25">
      <c r="A1922" s="169">
        <v>44834</v>
      </c>
      <c r="B1922" s="115">
        <v>220.6</v>
      </c>
      <c r="C1922" s="115">
        <v>217.75</v>
      </c>
      <c r="D1922" s="115">
        <v>215.7</v>
      </c>
      <c r="E1922" s="115">
        <v>215.75</v>
      </c>
      <c r="F1922" s="115">
        <v>217.75</v>
      </c>
      <c r="G1922">
        <v>12593</v>
      </c>
      <c r="H1922" s="115"/>
      <c r="I1922" s="115"/>
      <c r="L1922" s="169">
        <v>44833</v>
      </c>
      <c r="M1922" s="115">
        <v>215.95</v>
      </c>
      <c r="N1922" s="115">
        <v>219.4</v>
      </c>
      <c r="O1922" s="115">
        <v>213.15</v>
      </c>
      <c r="P1922" s="115">
        <v>216</v>
      </c>
      <c r="Q1922" s="115">
        <v>215.95</v>
      </c>
      <c r="R1922">
        <v>141346</v>
      </c>
    </row>
    <row r="1923" spans="1:18" x14ac:dyDescent="0.25">
      <c r="A1923" s="169">
        <v>44837</v>
      </c>
      <c r="B1923" s="115">
        <v>228.45</v>
      </c>
      <c r="C1923" s="115">
        <v>222.4</v>
      </c>
      <c r="D1923" s="115">
        <v>216.75</v>
      </c>
      <c r="E1923" s="115">
        <v>217.5</v>
      </c>
      <c r="F1923" s="115">
        <v>222.4</v>
      </c>
      <c r="G1923">
        <v>15890</v>
      </c>
      <c r="H1923" s="115"/>
      <c r="I1923" s="115"/>
      <c r="L1923" s="169">
        <v>44834</v>
      </c>
      <c r="M1923" s="115">
        <v>218.8</v>
      </c>
      <c r="N1923" s="115">
        <v>220.8</v>
      </c>
      <c r="O1923" s="115">
        <v>214.65</v>
      </c>
      <c r="P1923" s="115">
        <v>214.65</v>
      </c>
      <c r="Q1923" s="115">
        <v>218.8</v>
      </c>
      <c r="R1923">
        <v>120358</v>
      </c>
    </row>
    <row r="1924" spans="1:18" x14ac:dyDescent="0.25">
      <c r="A1924" s="169">
        <v>44838</v>
      </c>
      <c r="B1924" s="115">
        <v>226.35</v>
      </c>
      <c r="C1924" s="115">
        <v>222.25</v>
      </c>
      <c r="D1924" s="115">
        <v>221.25</v>
      </c>
      <c r="E1924" s="115">
        <v>225.7</v>
      </c>
      <c r="F1924" s="115">
        <v>222.25</v>
      </c>
      <c r="G1924">
        <v>5009</v>
      </c>
      <c r="H1924" s="115"/>
      <c r="I1924" s="115"/>
      <c r="L1924" s="169">
        <v>44837</v>
      </c>
      <c r="M1924" s="115">
        <v>222.8</v>
      </c>
      <c r="N1924" s="115">
        <v>228.5</v>
      </c>
      <c r="O1924" s="115">
        <v>216.5</v>
      </c>
      <c r="P1924" s="115">
        <v>217.95</v>
      </c>
      <c r="Q1924" s="115">
        <v>222.8</v>
      </c>
      <c r="R1924">
        <v>368490</v>
      </c>
    </row>
    <row r="1925" spans="1:18" x14ac:dyDescent="0.25">
      <c r="A1925" s="169">
        <v>44840</v>
      </c>
      <c r="B1925" s="115">
        <v>235.5</v>
      </c>
      <c r="C1925" s="115">
        <v>234.65</v>
      </c>
      <c r="D1925" s="115">
        <v>224.55</v>
      </c>
      <c r="E1925" s="115">
        <v>224.55</v>
      </c>
      <c r="F1925" s="115">
        <v>234.65</v>
      </c>
      <c r="G1925">
        <v>13822</v>
      </c>
      <c r="H1925" s="115"/>
      <c r="I1925" s="115"/>
      <c r="L1925" s="169">
        <v>44838</v>
      </c>
      <c r="M1925" s="115">
        <v>222.7</v>
      </c>
      <c r="N1925" s="115">
        <v>227.45</v>
      </c>
      <c r="O1925" s="115">
        <v>221.05</v>
      </c>
      <c r="P1925" s="115">
        <v>226.35</v>
      </c>
      <c r="Q1925" s="115">
        <v>222.7</v>
      </c>
      <c r="R1925">
        <v>97368</v>
      </c>
    </row>
    <row r="1926" spans="1:18" x14ac:dyDescent="0.25">
      <c r="A1926" s="169">
        <v>44841</v>
      </c>
      <c r="B1926" s="115">
        <v>236.95</v>
      </c>
      <c r="C1926" s="115">
        <v>227.85</v>
      </c>
      <c r="D1926" s="115">
        <v>225.5</v>
      </c>
      <c r="E1926" s="115">
        <v>232.45</v>
      </c>
      <c r="F1926" s="115">
        <v>227.85</v>
      </c>
      <c r="G1926">
        <v>9864</v>
      </c>
      <c r="H1926" s="115"/>
      <c r="I1926" s="115"/>
      <c r="L1926" s="169">
        <v>44840</v>
      </c>
      <c r="M1926" s="115">
        <v>234.7</v>
      </c>
      <c r="N1926" s="115">
        <v>236.4</v>
      </c>
      <c r="O1926" s="115">
        <v>224</v>
      </c>
      <c r="P1926" s="115">
        <v>224</v>
      </c>
      <c r="Q1926" s="115">
        <v>234.7</v>
      </c>
      <c r="R1926">
        <v>384453</v>
      </c>
    </row>
    <row r="1927" spans="1:18" x14ac:dyDescent="0.25">
      <c r="A1927" s="169">
        <v>44844</v>
      </c>
      <c r="B1927" s="115">
        <v>230.45</v>
      </c>
      <c r="C1927" s="115">
        <v>225.2</v>
      </c>
      <c r="D1927" s="115">
        <v>224</v>
      </c>
      <c r="E1927" s="115">
        <v>228.95</v>
      </c>
      <c r="F1927" s="115">
        <v>225.2</v>
      </c>
      <c r="G1927">
        <v>7814</v>
      </c>
      <c r="H1927" s="115"/>
      <c r="I1927" s="115"/>
      <c r="L1927" s="169">
        <v>44841</v>
      </c>
      <c r="M1927" s="115">
        <v>228.6</v>
      </c>
      <c r="N1927" s="115">
        <v>236.9</v>
      </c>
      <c r="O1927" s="115">
        <v>225.5</v>
      </c>
      <c r="P1927" s="115">
        <v>234</v>
      </c>
      <c r="Q1927" s="115">
        <v>228.6</v>
      </c>
      <c r="R1927">
        <v>188144</v>
      </c>
    </row>
    <row r="1928" spans="1:18" x14ac:dyDescent="0.25">
      <c r="A1928" s="169">
        <v>44845</v>
      </c>
      <c r="B1928" s="115">
        <v>228.05</v>
      </c>
      <c r="C1928" s="115">
        <v>224.25</v>
      </c>
      <c r="D1928" s="115">
        <v>222</v>
      </c>
      <c r="E1928" s="115">
        <v>225.8</v>
      </c>
      <c r="F1928" s="115">
        <v>224.25</v>
      </c>
      <c r="G1928">
        <v>9782</v>
      </c>
      <c r="H1928" s="115"/>
      <c r="I1928" s="115"/>
      <c r="L1928" s="169">
        <v>44844</v>
      </c>
      <c r="M1928" s="115">
        <v>225.6</v>
      </c>
      <c r="N1928" s="115">
        <v>230.65</v>
      </c>
      <c r="O1928" s="115">
        <v>225</v>
      </c>
      <c r="P1928" s="115">
        <v>228.6</v>
      </c>
      <c r="Q1928" s="115">
        <v>225.6</v>
      </c>
      <c r="R1928">
        <v>64324</v>
      </c>
    </row>
    <row r="1929" spans="1:18" x14ac:dyDescent="0.25">
      <c r="A1929" s="169">
        <v>44846</v>
      </c>
      <c r="B1929" s="115">
        <v>235</v>
      </c>
      <c r="C1929" s="115">
        <v>231.8</v>
      </c>
      <c r="D1929" s="115">
        <v>223.65</v>
      </c>
      <c r="E1929" s="115">
        <v>224.1</v>
      </c>
      <c r="F1929" s="115">
        <v>231.8</v>
      </c>
      <c r="G1929">
        <v>16985</v>
      </c>
      <c r="H1929" s="115"/>
      <c r="I1929" s="115"/>
      <c r="L1929" s="169">
        <v>44845</v>
      </c>
      <c r="M1929" s="115">
        <v>225.05</v>
      </c>
      <c r="N1929" s="115">
        <v>227.95</v>
      </c>
      <c r="O1929" s="115">
        <v>224</v>
      </c>
      <c r="P1929" s="115">
        <v>227</v>
      </c>
      <c r="Q1929" s="115">
        <v>225.05</v>
      </c>
      <c r="R1929">
        <v>83814</v>
      </c>
    </row>
    <row r="1930" spans="1:18" x14ac:dyDescent="0.25">
      <c r="A1930" s="169">
        <v>44847</v>
      </c>
      <c r="B1930" s="115">
        <v>231.8</v>
      </c>
      <c r="C1930" s="115">
        <v>226.95</v>
      </c>
      <c r="D1930" s="115">
        <v>224.95</v>
      </c>
      <c r="E1930" s="115">
        <v>230.35</v>
      </c>
      <c r="F1930" s="115">
        <v>226.95</v>
      </c>
      <c r="G1930">
        <v>13554</v>
      </c>
      <c r="H1930" s="115"/>
      <c r="I1930" s="115"/>
      <c r="L1930" s="169">
        <v>44846</v>
      </c>
      <c r="M1930" s="115">
        <v>231.5</v>
      </c>
      <c r="N1930" s="115">
        <v>234.4</v>
      </c>
      <c r="O1930" s="115">
        <v>223.3</v>
      </c>
      <c r="P1930" s="115">
        <v>225.05</v>
      </c>
      <c r="Q1930" s="115">
        <v>231.5</v>
      </c>
      <c r="R1930">
        <v>157878</v>
      </c>
    </row>
    <row r="1931" spans="1:18" x14ac:dyDescent="0.25">
      <c r="A1931" s="169">
        <v>44848</v>
      </c>
      <c r="B1931" s="115">
        <v>232.9</v>
      </c>
      <c r="C1931" s="115">
        <v>229.3</v>
      </c>
      <c r="D1931" s="115">
        <v>226.95</v>
      </c>
      <c r="E1931" s="115">
        <v>228.55</v>
      </c>
      <c r="F1931" s="115">
        <v>229.3</v>
      </c>
      <c r="G1931">
        <v>6280</v>
      </c>
      <c r="H1931" s="115"/>
      <c r="I1931" s="115"/>
      <c r="L1931" s="169">
        <v>44847</v>
      </c>
      <c r="M1931" s="115">
        <v>228.65</v>
      </c>
      <c r="N1931" s="115">
        <v>232.95</v>
      </c>
      <c r="O1931" s="115">
        <v>225.1</v>
      </c>
      <c r="P1931" s="115">
        <v>231.2</v>
      </c>
      <c r="Q1931" s="115">
        <v>228.65</v>
      </c>
      <c r="R1931">
        <v>60156</v>
      </c>
    </row>
    <row r="1932" spans="1:18" x14ac:dyDescent="0.25">
      <c r="A1932" s="169">
        <v>44851</v>
      </c>
      <c r="B1932" s="115">
        <v>232.1</v>
      </c>
      <c r="C1932" s="115">
        <v>231.45</v>
      </c>
      <c r="D1932" s="115">
        <v>225.75</v>
      </c>
      <c r="E1932" s="115">
        <v>227.75</v>
      </c>
      <c r="F1932" s="115">
        <v>231.45</v>
      </c>
      <c r="G1932">
        <v>15798</v>
      </c>
      <c r="H1932" s="115"/>
      <c r="I1932" s="115"/>
      <c r="L1932" s="169">
        <v>44848</v>
      </c>
      <c r="M1932" s="115">
        <v>229.1</v>
      </c>
      <c r="N1932" s="115">
        <v>232.95</v>
      </c>
      <c r="O1932" s="115">
        <v>226.6</v>
      </c>
      <c r="P1932" s="115">
        <v>228.75</v>
      </c>
      <c r="Q1932" s="115">
        <v>229.1</v>
      </c>
      <c r="R1932">
        <v>81006</v>
      </c>
    </row>
    <row r="1933" spans="1:18" x14ac:dyDescent="0.25">
      <c r="A1933" s="169">
        <v>44852</v>
      </c>
      <c r="B1933" s="115">
        <v>235.2</v>
      </c>
      <c r="C1933" s="115">
        <v>231.1</v>
      </c>
      <c r="D1933" s="115">
        <v>228</v>
      </c>
      <c r="E1933" s="115">
        <v>231</v>
      </c>
      <c r="F1933" s="115">
        <v>231.1</v>
      </c>
      <c r="G1933">
        <v>10775</v>
      </c>
      <c r="H1933" s="115"/>
      <c r="I1933" s="115"/>
      <c r="L1933" s="169">
        <v>44851</v>
      </c>
      <c r="M1933" s="115">
        <v>230.15</v>
      </c>
      <c r="N1933" s="115">
        <v>231.95</v>
      </c>
      <c r="O1933" s="115">
        <v>226</v>
      </c>
      <c r="P1933" s="115">
        <v>227.9</v>
      </c>
      <c r="Q1933" s="115">
        <v>230.15</v>
      </c>
      <c r="R1933">
        <v>93839</v>
      </c>
    </row>
    <row r="1934" spans="1:18" x14ac:dyDescent="0.25">
      <c r="A1934" s="169">
        <v>44853</v>
      </c>
      <c r="B1934" s="115">
        <v>232.9</v>
      </c>
      <c r="C1934" s="115">
        <v>230.65</v>
      </c>
      <c r="D1934" s="115">
        <v>226.85</v>
      </c>
      <c r="E1934" s="115">
        <v>226.85</v>
      </c>
      <c r="F1934" s="115">
        <v>230.65</v>
      </c>
      <c r="G1934">
        <v>2110</v>
      </c>
      <c r="H1934" s="115"/>
      <c r="I1934" s="115"/>
      <c r="L1934" s="169">
        <v>44852</v>
      </c>
      <c r="M1934" s="115">
        <v>231.45</v>
      </c>
      <c r="N1934" s="115">
        <v>235.5</v>
      </c>
      <c r="O1934" s="115">
        <v>227.85</v>
      </c>
      <c r="P1934" s="115">
        <v>230.15</v>
      </c>
      <c r="Q1934" s="115">
        <v>231.45</v>
      </c>
      <c r="R1934">
        <v>88950</v>
      </c>
    </row>
    <row r="1935" spans="1:18" x14ac:dyDescent="0.25">
      <c r="A1935" s="169">
        <v>44854</v>
      </c>
      <c r="B1935" s="115">
        <v>232.7</v>
      </c>
      <c r="C1935" s="115">
        <v>231.35</v>
      </c>
      <c r="D1935" s="115">
        <v>227.6</v>
      </c>
      <c r="E1935" s="115">
        <v>228.95</v>
      </c>
      <c r="F1935" s="115">
        <v>231.35</v>
      </c>
      <c r="G1935">
        <v>9588</v>
      </c>
      <c r="H1935" s="115"/>
      <c r="I1935" s="115"/>
      <c r="L1935" s="169">
        <v>44853</v>
      </c>
      <c r="M1935" s="115">
        <v>230.75</v>
      </c>
      <c r="N1935" s="115">
        <v>233.75</v>
      </c>
      <c r="O1935" s="115">
        <v>229.1</v>
      </c>
      <c r="P1935" s="115">
        <v>233.75</v>
      </c>
      <c r="Q1935" s="115">
        <v>230.75</v>
      </c>
      <c r="R1935">
        <v>36360</v>
      </c>
    </row>
    <row r="1936" spans="1:18" x14ac:dyDescent="0.25">
      <c r="A1936" s="169">
        <v>44855</v>
      </c>
      <c r="B1936" s="115">
        <v>233</v>
      </c>
      <c r="C1936" s="115">
        <v>226.4</v>
      </c>
      <c r="D1936" s="115">
        <v>224.3</v>
      </c>
      <c r="E1936" s="115">
        <v>224.3</v>
      </c>
      <c r="F1936" s="115">
        <v>226.4</v>
      </c>
      <c r="G1936">
        <v>10119</v>
      </c>
      <c r="H1936" s="115"/>
      <c r="I1936" s="115"/>
      <c r="L1936" s="169">
        <v>44854</v>
      </c>
      <c r="M1936" s="115">
        <v>231</v>
      </c>
      <c r="N1936" s="115">
        <v>232.9</v>
      </c>
      <c r="O1936" s="115">
        <v>226.5</v>
      </c>
      <c r="P1936" s="115">
        <v>226.5</v>
      </c>
      <c r="Q1936" s="115">
        <v>231</v>
      </c>
      <c r="R1936">
        <v>65938</v>
      </c>
    </row>
    <row r="1937" spans="1:18" x14ac:dyDescent="0.25">
      <c r="A1937" s="169">
        <v>44858</v>
      </c>
      <c r="B1937" s="115">
        <v>228.55</v>
      </c>
      <c r="C1937" s="115">
        <v>225.15</v>
      </c>
      <c r="D1937" s="115">
        <v>221.65</v>
      </c>
      <c r="E1937" s="115">
        <v>221.65</v>
      </c>
      <c r="F1937" s="115">
        <v>225.15</v>
      </c>
      <c r="G1937">
        <v>4507</v>
      </c>
      <c r="H1937" s="115"/>
      <c r="I1937" s="115"/>
      <c r="L1937" s="169">
        <v>44855</v>
      </c>
      <c r="M1937" s="115">
        <v>226.15</v>
      </c>
      <c r="N1937" s="115">
        <v>232.95</v>
      </c>
      <c r="O1937" s="115">
        <v>225.5</v>
      </c>
      <c r="P1937" s="115">
        <v>227.55</v>
      </c>
      <c r="Q1937" s="115">
        <v>226.15</v>
      </c>
      <c r="R1937">
        <v>81875</v>
      </c>
    </row>
    <row r="1938" spans="1:18" x14ac:dyDescent="0.25">
      <c r="A1938" s="169">
        <v>44859</v>
      </c>
      <c r="B1938" s="115">
        <v>226.35</v>
      </c>
      <c r="C1938" s="115">
        <v>221.4</v>
      </c>
      <c r="D1938" s="115">
        <v>221</v>
      </c>
      <c r="E1938" s="115">
        <v>226.15</v>
      </c>
      <c r="F1938" s="115">
        <v>221.4</v>
      </c>
      <c r="G1938">
        <v>4373</v>
      </c>
      <c r="H1938" s="115"/>
      <c r="I1938" s="115"/>
      <c r="L1938" s="169">
        <v>44858</v>
      </c>
      <c r="M1938" s="115">
        <v>225.7</v>
      </c>
      <c r="N1938" s="115">
        <v>228.9</v>
      </c>
      <c r="O1938" s="115">
        <v>224.3</v>
      </c>
      <c r="P1938" s="115">
        <v>228.9</v>
      </c>
      <c r="Q1938" s="115">
        <v>225.7</v>
      </c>
      <c r="R1938">
        <v>21155</v>
      </c>
    </row>
    <row r="1939" spans="1:18" x14ac:dyDescent="0.25">
      <c r="A1939" s="169">
        <v>44861</v>
      </c>
      <c r="B1939" s="115">
        <v>224.6</v>
      </c>
      <c r="C1939" s="115">
        <v>220.15</v>
      </c>
      <c r="D1939" s="115">
        <v>217</v>
      </c>
      <c r="E1939" s="115">
        <v>223.65</v>
      </c>
      <c r="F1939" s="115">
        <v>220.15</v>
      </c>
      <c r="G1939">
        <v>8494</v>
      </c>
      <c r="H1939" s="115"/>
      <c r="I1939" s="115"/>
      <c r="L1939" s="169">
        <v>44859</v>
      </c>
      <c r="M1939" s="115">
        <v>222.5</v>
      </c>
      <c r="N1939" s="115">
        <v>227.2</v>
      </c>
      <c r="O1939" s="115">
        <v>221.6</v>
      </c>
      <c r="P1939" s="115">
        <v>226.9</v>
      </c>
      <c r="Q1939" s="115">
        <v>222.5</v>
      </c>
      <c r="R1939">
        <v>55569</v>
      </c>
    </row>
    <row r="1940" spans="1:18" x14ac:dyDescent="0.25">
      <c r="A1940" s="169">
        <v>44862</v>
      </c>
      <c r="B1940" s="115">
        <v>221.8</v>
      </c>
      <c r="C1940" s="115">
        <v>219.55</v>
      </c>
      <c r="D1940" s="115">
        <v>217.5</v>
      </c>
      <c r="E1940" s="115">
        <v>219.6</v>
      </c>
      <c r="F1940" s="115">
        <v>219.55</v>
      </c>
      <c r="G1940">
        <v>5672</v>
      </c>
      <c r="H1940" s="115"/>
      <c r="I1940" s="115"/>
      <c r="L1940" s="169">
        <v>44861</v>
      </c>
      <c r="M1940" s="115">
        <v>220.15</v>
      </c>
      <c r="N1940" s="115">
        <v>225</v>
      </c>
      <c r="O1940" s="115">
        <v>217</v>
      </c>
      <c r="P1940" s="115">
        <v>222</v>
      </c>
      <c r="Q1940" s="115">
        <v>220.15</v>
      </c>
      <c r="R1940">
        <v>127207</v>
      </c>
    </row>
    <row r="1941" spans="1:18" x14ac:dyDescent="0.25">
      <c r="A1941" s="169">
        <v>44865</v>
      </c>
      <c r="B1941" s="115">
        <v>224.45</v>
      </c>
      <c r="C1941" s="115">
        <v>218.95</v>
      </c>
      <c r="D1941" s="115">
        <v>217.2</v>
      </c>
      <c r="E1941" s="115">
        <v>222.05</v>
      </c>
      <c r="F1941" s="115">
        <v>218.95</v>
      </c>
      <c r="G1941">
        <v>3745</v>
      </c>
      <c r="H1941" s="115"/>
      <c r="I1941" s="115"/>
      <c r="L1941" s="169">
        <v>44862</v>
      </c>
      <c r="M1941" s="115">
        <v>220.3</v>
      </c>
      <c r="N1941" s="115">
        <v>222</v>
      </c>
      <c r="O1941" s="115">
        <v>217.55</v>
      </c>
      <c r="P1941" s="115">
        <v>218.15</v>
      </c>
      <c r="Q1941" s="115">
        <v>220.3</v>
      </c>
      <c r="R1941">
        <v>63042</v>
      </c>
    </row>
    <row r="1942" spans="1:18" x14ac:dyDescent="0.25">
      <c r="A1942" s="169">
        <v>44866</v>
      </c>
      <c r="B1942" s="115">
        <v>221.35</v>
      </c>
      <c r="C1942" s="115">
        <v>216.6</v>
      </c>
      <c r="D1942" s="115">
        <v>214.75</v>
      </c>
      <c r="E1942" s="115">
        <v>219</v>
      </c>
      <c r="F1942" s="115">
        <v>216.6</v>
      </c>
      <c r="G1942">
        <v>14418</v>
      </c>
      <c r="H1942" s="115"/>
      <c r="I1942" s="115"/>
      <c r="L1942" s="169">
        <v>44865</v>
      </c>
      <c r="M1942" s="115">
        <v>218.35</v>
      </c>
      <c r="N1942" s="115">
        <v>223.8</v>
      </c>
      <c r="O1942" s="115">
        <v>217.05</v>
      </c>
      <c r="P1942" s="115">
        <v>222.45</v>
      </c>
      <c r="Q1942" s="115">
        <v>218.35</v>
      </c>
      <c r="R1942">
        <v>37340</v>
      </c>
    </row>
    <row r="1943" spans="1:18" x14ac:dyDescent="0.25">
      <c r="A1943" s="169">
        <v>44867</v>
      </c>
      <c r="B1943" s="115">
        <v>221.95</v>
      </c>
      <c r="C1943" s="115">
        <v>220.2</v>
      </c>
      <c r="D1943" s="115">
        <v>214</v>
      </c>
      <c r="E1943" s="115">
        <v>215</v>
      </c>
      <c r="F1943" s="115">
        <v>220.2</v>
      </c>
      <c r="G1943">
        <v>7697</v>
      </c>
      <c r="H1943" s="115"/>
      <c r="I1943" s="115"/>
      <c r="L1943" s="169">
        <v>44866</v>
      </c>
      <c r="M1943" s="115">
        <v>216.45</v>
      </c>
      <c r="N1943" s="115">
        <v>221.75</v>
      </c>
      <c r="O1943" s="115">
        <v>214.5</v>
      </c>
      <c r="P1943" s="115">
        <v>216.4</v>
      </c>
      <c r="Q1943" s="115">
        <v>216.45</v>
      </c>
      <c r="R1943">
        <v>59746</v>
      </c>
    </row>
    <row r="1944" spans="1:18" x14ac:dyDescent="0.25">
      <c r="A1944" s="169">
        <v>44868</v>
      </c>
      <c r="B1944" s="115">
        <v>225.55</v>
      </c>
      <c r="C1944" s="115">
        <v>217.9</v>
      </c>
      <c r="D1944" s="115">
        <v>216.5</v>
      </c>
      <c r="E1944" s="115">
        <v>220.75</v>
      </c>
      <c r="F1944" s="115">
        <v>217.9</v>
      </c>
      <c r="G1944">
        <v>5681</v>
      </c>
      <c r="H1944" s="115"/>
      <c r="I1944" s="115"/>
      <c r="L1944" s="169">
        <v>44867</v>
      </c>
      <c r="M1944" s="115">
        <v>220.6</v>
      </c>
      <c r="N1944" s="115">
        <v>222</v>
      </c>
      <c r="O1944" s="115">
        <v>213.55</v>
      </c>
      <c r="P1944" s="115">
        <v>216.55</v>
      </c>
      <c r="Q1944" s="115">
        <v>220.6</v>
      </c>
      <c r="R1944">
        <v>82899</v>
      </c>
    </row>
    <row r="1945" spans="1:18" x14ac:dyDescent="0.25">
      <c r="A1945" s="169">
        <v>44869</v>
      </c>
      <c r="B1945" s="115">
        <v>220.95</v>
      </c>
      <c r="C1945" s="115">
        <v>218.05</v>
      </c>
      <c r="D1945" s="115">
        <v>214.25</v>
      </c>
      <c r="E1945" s="115">
        <v>214.25</v>
      </c>
      <c r="F1945" s="115">
        <v>218.05</v>
      </c>
      <c r="G1945">
        <v>5011</v>
      </c>
      <c r="H1945" s="115"/>
      <c r="I1945" s="115"/>
      <c r="L1945" s="169">
        <v>44868</v>
      </c>
      <c r="M1945" s="115">
        <v>218.2</v>
      </c>
      <c r="N1945" s="115">
        <v>226</v>
      </c>
      <c r="O1945" s="115">
        <v>217</v>
      </c>
      <c r="P1945" s="115">
        <v>222</v>
      </c>
      <c r="Q1945" s="115">
        <v>218.2</v>
      </c>
      <c r="R1945">
        <v>98534</v>
      </c>
    </row>
    <row r="1946" spans="1:18" x14ac:dyDescent="0.25">
      <c r="A1946" s="169">
        <v>44872</v>
      </c>
      <c r="B1946" s="115">
        <v>227</v>
      </c>
      <c r="C1946" s="115">
        <v>223.85</v>
      </c>
      <c r="D1946" s="115">
        <v>219.65</v>
      </c>
      <c r="E1946" s="115">
        <v>219.65</v>
      </c>
      <c r="F1946" s="115">
        <v>223.85</v>
      </c>
      <c r="G1946">
        <v>7298</v>
      </c>
      <c r="H1946" s="115"/>
      <c r="I1946" s="115"/>
      <c r="L1946" s="169">
        <v>44869</v>
      </c>
      <c r="M1946" s="115">
        <v>218.75</v>
      </c>
      <c r="N1946" s="115">
        <v>222.9</v>
      </c>
      <c r="O1946" s="115">
        <v>217</v>
      </c>
      <c r="P1946" s="115">
        <v>219</v>
      </c>
      <c r="Q1946" s="115">
        <v>218.75</v>
      </c>
      <c r="R1946">
        <v>63182</v>
      </c>
    </row>
    <row r="1947" spans="1:18" x14ac:dyDescent="0.25">
      <c r="A1947" s="169">
        <v>44874</v>
      </c>
      <c r="B1947" s="115">
        <v>227.5</v>
      </c>
      <c r="C1947" s="115">
        <v>223.05</v>
      </c>
      <c r="D1947" s="115">
        <v>219.65</v>
      </c>
      <c r="E1947" s="115">
        <v>226.8</v>
      </c>
      <c r="F1947" s="115">
        <v>223.05</v>
      </c>
      <c r="G1947">
        <v>3407</v>
      </c>
      <c r="H1947" s="115"/>
      <c r="I1947" s="115"/>
      <c r="L1947" s="169">
        <v>44872</v>
      </c>
      <c r="M1947" s="115">
        <v>225</v>
      </c>
      <c r="N1947" s="115">
        <v>227</v>
      </c>
      <c r="O1947" s="115">
        <v>219.8</v>
      </c>
      <c r="P1947" s="115">
        <v>221.9</v>
      </c>
      <c r="Q1947" s="115">
        <v>225</v>
      </c>
      <c r="R1947">
        <v>96255</v>
      </c>
    </row>
    <row r="1948" spans="1:18" x14ac:dyDescent="0.25">
      <c r="A1948" s="169">
        <v>44875</v>
      </c>
      <c r="B1948" s="115">
        <v>221.9</v>
      </c>
      <c r="C1948" s="115">
        <v>217.45</v>
      </c>
      <c r="D1948" s="115">
        <v>217.25</v>
      </c>
      <c r="E1948" s="115">
        <v>220.9</v>
      </c>
      <c r="F1948" s="115">
        <v>217.45</v>
      </c>
      <c r="G1948">
        <v>5351</v>
      </c>
      <c r="H1948" s="115"/>
      <c r="I1948" s="115"/>
      <c r="L1948" s="169">
        <v>44874</v>
      </c>
      <c r="M1948" s="115">
        <v>223.25</v>
      </c>
      <c r="N1948" s="115">
        <v>228</v>
      </c>
      <c r="O1948" s="115">
        <v>219.55</v>
      </c>
      <c r="P1948" s="115">
        <v>225.1</v>
      </c>
      <c r="Q1948" s="115">
        <v>223.25</v>
      </c>
      <c r="R1948">
        <v>96573</v>
      </c>
    </row>
    <row r="1949" spans="1:18" x14ac:dyDescent="0.25">
      <c r="A1949" s="169">
        <v>44876</v>
      </c>
      <c r="B1949" s="115">
        <v>222.55</v>
      </c>
      <c r="C1949" s="115">
        <v>219.35</v>
      </c>
      <c r="D1949" s="115">
        <v>218.95</v>
      </c>
      <c r="E1949" s="115">
        <v>222.05</v>
      </c>
      <c r="F1949" s="115">
        <v>219.35</v>
      </c>
      <c r="G1949">
        <v>2767</v>
      </c>
      <c r="H1949" s="115"/>
      <c r="I1949" s="115"/>
      <c r="L1949" s="169">
        <v>44875</v>
      </c>
      <c r="M1949" s="115">
        <v>220</v>
      </c>
      <c r="N1949" s="115">
        <v>222.55</v>
      </c>
      <c r="O1949" s="115">
        <v>218</v>
      </c>
      <c r="P1949" s="115">
        <v>222.55</v>
      </c>
      <c r="Q1949" s="115">
        <v>220</v>
      </c>
      <c r="R1949">
        <v>55794</v>
      </c>
    </row>
    <row r="1950" spans="1:18" x14ac:dyDescent="0.25">
      <c r="A1950" s="169">
        <v>44879</v>
      </c>
      <c r="B1950" s="115">
        <v>209.05</v>
      </c>
      <c r="C1950" s="115">
        <v>199</v>
      </c>
      <c r="D1950" s="115">
        <v>198.3</v>
      </c>
      <c r="E1950" s="115">
        <v>208</v>
      </c>
      <c r="F1950" s="115">
        <v>199</v>
      </c>
      <c r="G1950">
        <v>56610</v>
      </c>
      <c r="H1950" s="115"/>
      <c r="I1950" s="115"/>
      <c r="L1950" s="169">
        <v>44876</v>
      </c>
      <c r="M1950" s="115">
        <v>219.3</v>
      </c>
      <c r="N1950" s="115">
        <v>222.75</v>
      </c>
      <c r="O1950" s="115">
        <v>217.6</v>
      </c>
      <c r="P1950" s="115">
        <v>221.25</v>
      </c>
      <c r="Q1950" s="115">
        <v>219.3</v>
      </c>
      <c r="R1950">
        <v>78693</v>
      </c>
    </row>
    <row r="1951" spans="1:18" x14ac:dyDescent="0.25">
      <c r="A1951" s="169">
        <v>44880</v>
      </c>
      <c r="B1951" s="115">
        <v>202</v>
      </c>
      <c r="C1951" s="115">
        <v>197.1</v>
      </c>
      <c r="D1951" s="115">
        <v>195.5</v>
      </c>
      <c r="E1951" s="115">
        <v>195.5</v>
      </c>
      <c r="F1951" s="115">
        <v>197.1</v>
      </c>
      <c r="G1951">
        <v>6767</v>
      </c>
      <c r="H1951" s="115"/>
      <c r="I1951" s="115"/>
      <c r="L1951" s="169">
        <v>44879</v>
      </c>
      <c r="M1951" s="115">
        <v>199.3</v>
      </c>
      <c r="N1951" s="115">
        <v>209.95</v>
      </c>
      <c r="O1951" s="115">
        <v>198.5</v>
      </c>
      <c r="P1951" s="115">
        <v>208</v>
      </c>
      <c r="Q1951" s="115">
        <v>199.3</v>
      </c>
      <c r="R1951">
        <v>755554</v>
      </c>
    </row>
    <row r="1952" spans="1:18" x14ac:dyDescent="0.25">
      <c r="A1952" s="169">
        <v>44881</v>
      </c>
      <c r="B1952" s="115">
        <v>199.1</v>
      </c>
      <c r="C1952" s="115">
        <v>193.65</v>
      </c>
      <c r="D1952" s="115">
        <v>193</v>
      </c>
      <c r="E1952" s="115">
        <v>197.9</v>
      </c>
      <c r="F1952" s="115">
        <v>193.65</v>
      </c>
      <c r="G1952">
        <v>4271</v>
      </c>
      <c r="H1952" s="115"/>
      <c r="I1952" s="115"/>
      <c r="L1952" s="169">
        <v>44880</v>
      </c>
      <c r="M1952" s="115">
        <v>197.55</v>
      </c>
      <c r="N1952" s="115">
        <v>203</v>
      </c>
      <c r="O1952" s="115">
        <v>196.4</v>
      </c>
      <c r="P1952" s="115">
        <v>199.3</v>
      </c>
      <c r="Q1952" s="115">
        <v>197.55</v>
      </c>
      <c r="R1952">
        <v>237639</v>
      </c>
    </row>
    <row r="1953" spans="1:18" x14ac:dyDescent="0.25">
      <c r="A1953" s="169">
        <v>44882</v>
      </c>
      <c r="B1953" s="115">
        <v>193.9</v>
      </c>
      <c r="C1953" s="115">
        <v>190.65</v>
      </c>
      <c r="D1953" s="115">
        <v>190.1</v>
      </c>
      <c r="E1953" s="115">
        <v>193.45</v>
      </c>
      <c r="F1953" s="115">
        <v>190.65</v>
      </c>
      <c r="G1953">
        <v>4018</v>
      </c>
      <c r="H1953" s="115"/>
      <c r="I1953" s="115"/>
      <c r="L1953" s="169">
        <v>44881</v>
      </c>
      <c r="M1953" s="115">
        <v>193.85</v>
      </c>
      <c r="N1953" s="115">
        <v>200</v>
      </c>
      <c r="O1953" s="115">
        <v>193</v>
      </c>
      <c r="P1953" s="115">
        <v>197.05</v>
      </c>
      <c r="Q1953" s="115">
        <v>193.85</v>
      </c>
      <c r="R1953">
        <v>96284</v>
      </c>
    </row>
    <row r="1954" spans="1:18" x14ac:dyDescent="0.25">
      <c r="A1954" s="169">
        <v>44883</v>
      </c>
      <c r="B1954" s="115">
        <v>192.65</v>
      </c>
      <c r="C1954" s="115">
        <v>190.8</v>
      </c>
      <c r="D1954" s="115">
        <v>189.5</v>
      </c>
      <c r="E1954" s="115">
        <v>192.65</v>
      </c>
      <c r="F1954" s="115">
        <v>190.8</v>
      </c>
      <c r="G1954">
        <v>1309</v>
      </c>
      <c r="H1954" s="115"/>
      <c r="I1954" s="115"/>
      <c r="L1954" s="169">
        <v>44882</v>
      </c>
      <c r="M1954" s="115">
        <v>190.9</v>
      </c>
      <c r="N1954" s="115">
        <v>194.7</v>
      </c>
      <c r="O1954" s="115">
        <v>190.1</v>
      </c>
      <c r="P1954" s="115">
        <v>193.45</v>
      </c>
      <c r="Q1954" s="115">
        <v>190.9</v>
      </c>
      <c r="R1954">
        <v>54694</v>
      </c>
    </row>
    <row r="1955" spans="1:18" x14ac:dyDescent="0.25">
      <c r="A1955" s="169">
        <v>44886</v>
      </c>
      <c r="B1955" s="115">
        <v>190.05</v>
      </c>
      <c r="C1955" s="115">
        <v>187.05</v>
      </c>
      <c r="D1955" s="115">
        <v>184.75</v>
      </c>
      <c r="E1955" s="115">
        <v>189.9</v>
      </c>
      <c r="F1955" s="115">
        <v>187.05</v>
      </c>
      <c r="G1955">
        <v>6920</v>
      </c>
      <c r="H1955" s="115"/>
      <c r="I1955" s="115"/>
      <c r="L1955" s="169">
        <v>44883</v>
      </c>
      <c r="M1955" s="115">
        <v>190.4</v>
      </c>
      <c r="N1955" s="115">
        <v>192.75</v>
      </c>
      <c r="O1955" s="115">
        <v>189.5</v>
      </c>
      <c r="P1955" s="115">
        <v>191.8</v>
      </c>
      <c r="Q1955" s="115">
        <v>190.4</v>
      </c>
      <c r="R1955">
        <v>62475</v>
      </c>
    </row>
    <row r="1956" spans="1:18" x14ac:dyDescent="0.25">
      <c r="A1956" s="169">
        <v>44887</v>
      </c>
      <c r="B1956" s="115">
        <v>189.6</v>
      </c>
      <c r="C1956" s="115">
        <v>187</v>
      </c>
      <c r="D1956" s="115">
        <v>187</v>
      </c>
      <c r="E1956" s="115">
        <v>188.75</v>
      </c>
      <c r="F1956" s="115">
        <v>187</v>
      </c>
      <c r="G1956">
        <v>1132</v>
      </c>
      <c r="H1956" s="115"/>
      <c r="I1956" s="115"/>
      <c r="L1956" s="169">
        <v>44886</v>
      </c>
      <c r="M1956" s="115">
        <v>187.8</v>
      </c>
      <c r="N1956" s="115">
        <v>191.35</v>
      </c>
      <c r="O1956" s="115">
        <v>184.45</v>
      </c>
      <c r="P1956" s="115">
        <v>190</v>
      </c>
      <c r="Q1956" s="115">
        <v>187.8</v>
      </c>
      <c r="R1956">
        <v>93817</v>
      </c>
    </row>
    <row r="1957" spans="1:18" x14ac:dyDescent="0.25">
      <c r="A1957" s="169">
        <v>44888</v>
      </c>
      <c r="B1957" s="115">
        <v>189.7</v>
      </c>
      <c r="C1957" s="115">
        <v>187.4</v>
      </c>
      <c r="D1957" s="115">
        <v>185.15</v>
      </c>
      <c r="E1957" s="115">
        <v>185.15</v>
      </c>
      <c r="F1957" s="115">
        <v>187.4</v>
      </c>
      <c r="G1957">
        <v>13050</v>
      </c>
      <c r="H1957" s="115"/>
      <c r="I1957" s="115"/>
      <c r="L1957" s="169">
        <v>44887</v>
      </c>
      <c r="M1957" s="115">
        <v>187.15</v>
      </c>
      <c r="N1957" s="115">
        <v>189.85</v>
      </c>
      <c r="O1957" s="115">
        <v>186.05</v>
      </c>
      <c r="P1957" s="115">
        <v>186.55</v>
      </c>
      <c r="Q1957" s="115">
        <v>187.15</v>
      </c>
      <c r="R1957">
        <v>24598</v>
      </c>
    </row>
    <row r="1958" spans="1:18" x14ac:dyDescent="0.25">
      <c r="A1958" s="169">
        <v>44889</v>
      </c>
      <c r="B1958" s="115">
        <v>189.95</v>
      </c>
      <c r="C1958" s="115">
        <v>185.6</v>
      </c>
      <c r="D1958" s="115">
        <v>185.05</v>
      </c>
      <c r="E1958" s="115">
        <v>189</v>
      </c>
      <c r="F1958" s="115">
        <v>185.6</v>
      </c>
      <c r="G1958">
        <v>6809</v>
      </c>
      <c r="H1958" s="115"/>
      <c r="I1958" s="115"/>
      <c r="L1958" s="169">
        <v>44888</v>
      </c>
      <c r="M1958" s="115">
        <v>186.65</v>
      </c>
      <c r="N1958" s="115">
        <v>189.75</v>
      </c>
      <c r="O1958" s="115">
        <v>185.4</v>
      </c>
      <c r="P1958" s="115">
        <v>187.15</v>
      </c>
      <c r="Q1958" s="115">
        <v>186.65</v>
      </c>
      <c r="R1958">
        <v>59606</v>
      </c>
    </row>
    <row r="1959" spans="1:18" x14ac:dyDescent="0.25">
      <c r="A1959" s="169">
        <v>44890</v>
      </c>
      <c r="B1959" s="115">
        <v>188.3</v>
      </c>
      <c r="C1959" s="115">
        <v>186.1</v>
      </c>
      <c r="D1959" s="115">
        <v>184.15</v>
      </c>
      <c r="E1959" s="115">
        <v>184.45</v>
      </c>
      <c r="F1959" s="115">
        <v>186.1</v>
      </c>
      <c r="G1959">
        <v>3437</v>
      </c>
      <c r="H1959" s="115"/>
      <c r="I1959" s="115"/>
      <c r="L1959" s="169">
        <v>44889</v>
      </c>
      <c r="M1959" s="115">
        <v>185.35</v>
      </c>
      <c r="N1959" s="115">
        <v>189.95</v>
      </c>
      <c r="O1959" s="115">
        <v>184.85</v>
      </c>
      <c r="P1959" s="115">
        <v>186</v>
      </c>
      <c r="Q1959" s="115">
        <v>185.35</v>
      </c>
      <c r="R1959">
        <v>64516</v>
      </c>
    </row>
    <row r="1960" spans="1:18" x14ac:dyDescent="0.25">
      <c r="A1960" s="169">
        <v>44893</v>
      </c>
      <c r="B1960" s="115">
        <v>191.8</v>
      </c>
      <c r="C1960" s="115">
        <v>185.95</v>
      </c>
      <c r="D1960" s="115">
        <v>182.1</v>
      </c>
      <c r="E1960" s="115">
        <v>185.15</v>
      </c>
      <c r="F1960" s="115">
        <v>185.95</v>
      </c>
      <c r="G1960">
        <v>6356</v>
      </c>
      <c r="H1960" s="115"/>
      <c r="I1960" s="115"/>
      <c r="L1960" s="169">
        <v>44890</v>
      </c>
      <c r="M1960" s="115">
        <v>186.3</v>
      </c>
      <c r="N1960" s="115">
        <v>188.1</v>
      </c>
      <c r="O1960" s="115">
        <v>184.15</v>
      </c>
      <c r="P1960" s="115">
        <v>186</v>
      </c>
      <c r="Q1960" s="115">
        <v>186.3</v>
      </c>
      <c r="R1960">
        <v>45311</v>
      </c>
    </row>
    <row r="1961" spans="1:18" x14ac:dyDescent="0.25">
      <c r="A1961" s="169">
        <v>44894</v>
      </c>
      <c r="B1961" s="115">
        <v>197.8</v>
      </c>
      <c r="C1961" s="115">
        <v>191.35</v>
      </c>
      <c r="D1961" s="115">
        <v>186.2</v>
      </c>
      <c r="E1961" s="115">
        <v>186.2</v>
      </c>
      <c r="F1961" s="115">
        <v>191.35</v>
      </c>
      <c r="G1961">
        <v>9637</v>
      </c>
      <c r="H1961" s="115"/>
      <c r="I1961" s="115"/>
      <c r="L1961" s="169">
        <v>44893</v>
      </c>
      <c r="M1961" s="115">
        <v>186</v>
      </c>
      <c r="N1961" s="115">
        <v>191.8</v>
      </c>
      <c r="O1961" s="115">
        <v>181.6</v>
      </c>
      <c r="P1961" s="115">
        <v>186.35</v>
      </c>
      <c r="Q1961" s="115">
        <v>186</v>
      </c>
      <c r="R1961">
        <v>130338</v>
      </c>
    </row>
    <row r="1962" spans="1:18" x14ac:dyDescent="0.25">
      <c r="A1962" s="169">
        <v>44895</v>
      </c>
      <c r="B1962" s="115">
        <v>196.15</v>
      </c>
      <c r="C1962" s="115">
        <v>195.85</v>
      </c>
      <c r="D1962" s="115">
        <v>192.95</v>
      </c>
      <c r="E1962" s="115">
        <v>196.05</v>
      </c>
      <c r="F1962" s="115">
        <v>195.85</v>
      </c>
      <c r="G1962">
        <v>4696</v>
      </c>
      <c r="H1962" s="115"/>
      <c r="I1962" s="115"/>
      <c r="L1962" s="169">
        <v>44894</v>
      </c>
      <c r="M1962" s="115">
        <v>191.7</v>
      </c>
      <c r="N1962" s="115">
        <v>198</v>
      </c>
      <c r="O1962" s="115">
        <v>184</v>
      </c>
      <c r="P1962" s="115">
        <v>186.2</v>
      </c>
      <c r="Q1962" s="115">
        <v>191.7</v>
      </c>
      <c r="R1962">
        <v>164316</v>
      </c>
    </row>
    <row r="1963" spans="1:18" x14ac:dyDescent="0.25">
      <c r="A1963" s="169">
        <v>44896</v>
      </c>
      <c r="B1963" s="115">
        <v>197.65</v>
      </c>
      <c r="C1963" s="115">
        <v>195.15</v>
      </c>
      <c r="D1963" s="115">
        <v>194.25</v>
      </c>
      <c r="E1963" s="115">
        <v>196</v>
      </c>
      <c r="F1963" s="115">
        <v>195.15</v>
      </c>
      <c r="G1963">
        <v>7857</v>
      </c>
      <c r="H1963" s="115"/>
      <c r="I1963" s="115"/>
      <c r="L1963" s="169">
        <v>44895</v>
      </c>
      <c r="M1963" s="115">
        <v>195.35</v>
      </c>
      <c r="N1963" s="115">
        <v>196</v>
      </c>
      <c r="O1963" s="115">
        <v>192.15</v>
      </c>
      <c r="P1963" s="115">
        <v>192.15</v>
      </c>
      <c r="Q1963" s="115">
        <v>195.35</v>
      </c>
      <c r="R1963">
        <v>75287</v>
      </c>
    </row>
    <row r="1964" spans="1:18" x14ac:dyDescent="0.25">
      <c r="A1964" s="169">
        <v>44897</v>
      </c>
      <c r="B1964" s="115">
        <v>197.2</v>
      </c>
      <c r="C1964" s="115">
        <v>194.65</v>
      </c>
      <c r="D1964" s="115">
        <v>194.3</v>
      </c>
      <c r="E1964" s="115">
        <v>195.2</v>
      </c>
      <c r="F1964" s="115">
        <v>194.65</v>
      </c>
      <c r="G1964">
        <v>2517</v>
      </c>
      <c r="H1964" s="115"/>
      <c r="I1964" s="115"/>
      <c r="L1964" s="169">
        <v>44896</v>
      </c>
      <c r="M1964" s="115">
        <v>194.8</v>
      </c>
      <c r="N1964" s="115">
        <v>197.95</v>
      </c>
      <c r="O1964" s="115">
        <v>194</v>
      </c>
      <c r="P1964" s="115">
        <v>197.5</v>
      </c>
      <c r="Q1964" s="115">
        <v>194.8</v>
      </c>
      <c r="R1964">
        <v>46671</v>
      </c>
    </row>
    <row r="1965" spans="1:18" x14ac:dyDescent="0.25">
      <c r="A1965" s="169">
        <v>44900</v>
      </c>
      <c r="B1965" s="115">
        <v>199.45</v>
      </c>
      <c r="C1965" s="115">
        <v>198.65</v>
      </c>
      <c r="D1965" s="115">
        <v>195.55</v>
      </c>
      <c r="E1965" s="115">
        <v>195.7</v>
      </c>
      <c r="F1965" s="115">
        <v>198.65</v>
      </c>
      <c r="G1965">
        <v>3536</v>
      </c>
      <c r="H1965" s="115"/>
      <c r="I1965" s="115"/>
      <c r="L1965" s="169">
        <v>44897</v>
      </c>
      <c r="M1965" s="115">
        <v>195.05</v>
      </c>
      <c r="N1965" s="115">
        <v>197</v>
      </c>
      <c r="O1965" s="115">
        <v>194.35</v>
      </c>
      <c r="P1965" s="115">
        <v>196.75</v>
      </c>
      <c r="Q1965" s="115">
        <v>195.05</v>
      </c>
      <c r="R1965">
        <v>37022</v>
      </c>
    </row>
    <row r="1966" spans="1:18" x14ac:dyDescent="0.25">
      <c r="A1966" s="169">
        <v>44901</v>
      </c>
      <c r="B1966" s="115">
        <v>201.15</v>
      </c>
      <c r="C1966" s="115">
        <v>198.55</v>
      </c>
      <c r="D1966" s="115">
        <v>197.3</v>
      </c>
      <c r="E1966" s="115">
        <v>198.05</v>
      </c>
      <c r="F1966" s="115">
        <v>198.55</v>
      </c>
      <c r="G1966">
        <v>4132</v>
      </c>
      <c r="H1966" s="115"/>
      <c r="I1966" s="115"/>
      <c r="L1966" s="169">
        <v>44900</v>
      </c>
      <c r="M1966" s="115">
        <v>197.9</v>
      </c>
      <c r="N1966" s="115">
        <v>199.4</v>
      </c>
      <c r="O1966" s="115">
        <v>195</v>
      </c>
      <c r="P1966" s="115">
        <v>195.05</v>
      </c>
      <c r="Q1966" s="115">
        <v>197.9</v>
      </c>
      <c r="R1966">
        <v>38128</v>
      </c>
    </row>
    <row r="1967" spans="1:18" x14ac:dyDescent="0.25">
      <c r="A1967" s="169">
        <v>44902</v>
      </c>
      <c r="B1967" s="115">
        <v>200.05</v>
      </c>
      <c r="C1967" s="115">
        <v>197.25</v>
      </c>
      <c r="D1967" s="115">
        <v>196.85</v>
      </c>
      <c r="E1967" s="115">
        <v>199.2</v>
      </c>
      <c r="F1967" s="115">
        <v>197.25</v>
      </c>
      <c r="G1967">
        <v>2332</v>
      </c>
      <c r="H1967" s="115"/>
      <c r="I1967" s="115"/>
      <c r="L1967" s="169">
        <v>44901</v>
      </c>
      <c r="M1967" s="115">
        <v>198.3</v>
      </c>
      <c r="N1967" s="115">
        <v>201</v>
      </c>
      <c r="O1967" s="115">
        <v>197</v>
      </c>
      <c r="P1967" s="115">
        <v>198.45</v>
      </c>
      <c r="Q1967" s="115">
        <v>198.3</v>
      </c>
      <c r="R1967">
        <v>83012</v>
      </c>
    </row>
    <row r="1968" spans="1:18" x14ac:dyDescent="0.25">
      <c r="A1968" s="169">
        <v>44903</v>
      </c>
      <c r="B1968" s="115">
        <v>203</v>
      </c>
      <c r="C1968" s="115">
        <v>196</v>
      </c>
      <c r="D1968" s="115">
        <v>195.15</v>
      </c>
      <c r="E1968" s="115">
        <v>195.15</v>
      </c>
      <c r="F1968" s="115">
        <v>196</v>
      </c>
      <c r="G1968">
        <v>3514</v>
      </c>
      <c r="H1968" s="115"/>
      <c r="I1968" s="115"/>
      <c r="L1968" s="169">
        <v>44902</v>
      </c>
      <c r="M1968" s="115">
        <v>197.2</v>
      </c>
      <c r="N1968" s="115">
        <v>200</v>
      </c>
      <c r="O1968" s="115">
        <v>196.45</v>
      </c>
      <c r="P1968" s="115">
        <v>199.45</v>
      </c>
      <c r="Q1968" s="115">
        <v>197.2</v>
      </c>
      <c r="R1968">
        <v>23448</v>
      </c>
    </row>
    <row r="1969" spans="1:18" x14ac:dyDescent="0.25">
      <c r="A1969" s="169">
        <v>44904</v>
      </c>
      <c r="B1969" s="115">
        <v>197.45</v>
      </c>
      <c r="C1969" s="115">
        <v>189.6</v>
      </c>
      <c r="D1969" s="115">
        <v>187</v>
      </c>
      <c r="E1969" s="115">
        <v>197.45</v>
      </c>
      <c r="F1969" s="115">
        <v>189.6</v>
      </c>
      <c r="G1969">
        <v>7985</v>
      </c>
      <c r="H1969" s="115"/>
      <c r="I1969" s="115"/>
      <c r="L1969" s="169">
        <v>44903</v>
      </c>
      <c r="M1969" s="115">
        <v>195.55</v>
      </c>
      <c r="N1969" s="115">
        <v>203.55</v>
      </c>
      <c r="O1969" s="115">
        <v>195</v>
      </c>
      <c r="P1969" s="115">
        <v>195.3</v>
      </c>
      <c r="Q1969" s="115">
        <v>195.55</v>
      </c>
      <c r="R1969">
        <v>86144</v>
      </c>
    </row>
    <row r="1970" spans="1:18" x14ac:dyDescent="0.25">
      <c r="A1970" s="169">
        <v>44907</v>
      </c>
      <c r="B1970" s="115">
        <v>195</v>
      </c>
      <c r="C1970" s="115">
        <v>190.7</v>
      </c>
      <c r="D1970" s="115">
        <v>188.5</v>
      </c>
      <c r="E1970" s="115">
        <v>190</v>
      </c>
      <c r="F1970" s="115">
        <v>190.7</v>
      </c>
      <c r="G1970">
        <v>2794</v>
      </c>
      <c r="H1970" s="115"/>
      <c r="I1970" s="115"/>
      <c r="L1970" s="169">
        <v>44904</v>
      </c>
      <c r="M1970" s="115">
        <v>190</v>
      </c>
      <c r="N1970" s="115">
        <v>197.95</v>
      </c>
      <c r="O1970" s="115">
        <v>186.85</v>
      </c>
      <c r="P1970" s="115">
        <v>197.4</v>
      </c>
      <c r="Q1970" s="115">
        <v>190</v>
      </c>
      <c r="R1970">
        <v>65096</v>
      </c>
    </row>
    <row r="1971" spans="1:18" x14ac:dyDescent="0.25">
      <c r="A1971" s="169">
        <v>44908</v>
      </c>
      <c r="B1971" s="115">
        <v>193</v>
      </c>
      <c r="C1971" s="115">
        <v>188.35</v>
      </c>
      <c r="D1971" s="115">
        <v>188</v>
      </c>
      <c r="E1971" s="115">
        <v>190.1</v>
      </c>
      <c r="F1971" s="115">
        <v>188.35</v>
      </c>
      <c r="G1971">
        <v>2939</v>
      </c>
      <c r="H1971" s="115"/>
      <c r="I1971" s="115"/>
      <c r="L1971" s="169">
        <v>44907</v>
      </c>
      <c r="M1971" s="115">
        <v>189.85</v>
      </c>
      <c r="N1971" s="115">
        <v>195.6</v>
      </c>
      <c r="O1971" s="115">
        <v>187.8</v>
      </c>
      <c r="P1971" s="115">
        <v>188.1</v>
      </c>
      <c r="Q1971" s="115">
        <v>189.85</v>
      </c>
      <c r="R1971">
        <v>69812</v>
      </c>
    </row>
    <row r="1972" spans="1:18" x14ac:dyDescent="0.25">
      <c r="A1972" s="169">
        <v>44909</v>
      </c>
      <c r="B1972" s="115">
        <v>204.8</v>
      </c>
      <c r="C1972" s="115">
        <v>200.2</v>
      </c>
      <c r="D1972" s="115">
        <v>190</v>
      </c>
      <c r="E1972" s="115">
        <v>190</v>
      </c>
      <c r="F1972" s="115">
        <v>200.2</v>
      </c>
      <c r="G1972">
        <v>3993</v>
      </c>
      <c r="H1972" s="115"/>
      <c r="I1972" s="115"/>
      <c r="L1972" s="169">
        <v>44908</v>
      </c>
      <c r="M1972" s="115">
        <v>188.65</v>
      </c>
      <c r="N1972" s="115">
        <v>191.95</v>
      </c>
      <c r="O1972" s="115">
        <v>187.8</v>
      </c>
      <c r="P1972" s="115">
        <v>191.95</v>
      </c>
      <c r="Q1972" s="115">
        <v>188.65</v>
      </c>
      <c r="R1972">
        <v>40657</v>
      </c>
    </row>
    <row r="1973" spans="1:18" x14ac:dyDescent="0.25">
      <c r="A1973" s="169">
        <v>44910</v>
      </c>
      <c r="B1973" s="115">
        <v>202.95</v>
      </c>
      <c r="C1973" s="115">
        <v>200.45</v>
      </c>
      <c r="D1973" s="115">
        <v>198.35</v>
      </c>
      <c r="E1973" s="115">
        <v>202</v>
      </c>
      <c r="F1973" s="115">
        <v>200.45</v>
      </c>
      <c r="G1973">
        <v>8217</v>
      </c>
      <c r="H1973" s="115"/>
      <c r="I1973" s="115"/>
      <c r="L1973" s="169">
        <v>44909</v>
      </c>
      <c r="M1973" s="115">
        <v>200.2</v>
      </c>
      <c r="N1973" s="115">
        <v>205.3</v>
      </c>
      <c r="O1973" s="115">
        <v>188.2</v>
      </c>
      <c r="P1973" s="115">
        <v>188.2</v>
      </c>
      <c r="Q1973" s="115">
        <v>200.2</v>
      </c>
      <c r="R1973">
        <v>339706</v>
      </c>
    </row>
    <row r="1974" spans="1:18" x14ac:dyDescent="0.25">
      <c r="A1974" s="169">
        <v>44911</v>
      </c>
      <c r="B1974" s="115">
        <v>200</v>
      </c>
      <c r="C1974" s="115">
        <v>198.25</v>
      </c>
      <c r="D1974" s="115">
        <v>196.85</v>
      </c>
      <c r="E1974" s="115">
        <v>199.3</v>
      </c>
      <c r="F1974" s="115">
        <v>198.25</v>
      </c>
      <c r="G1974">
        <v>1077</v>
      </c>
      <c r="H1974" s="115"/>
      <c r="I1974" s="115"/>
      <c r="L1974" s="169">
        <v>44910</v>
      </c>
      <c r="M1974" s="115">
        <v>200.6</v>
      </c>
      <c r="N1974" s="115">
        <v>203.95</v>
      </c>
      <c r="O1974" s="115">
        <v>198.15</v>
      </c>
      <c r="P1974" s="115">
        <v>201.95</v>
      </c>
      <c r="Q1974" s="115">
        <v>200.6</v>
      </c>
      <c r="R1974">
        <v>128147</v>
      </c>
    </row>
    <row r="1975" spans="1:18" x14ac:dyDescent="0.25">
      <c r="A1975" s="169">
        <v>44914</v>
      </c>
      <c r="B1975" s="115">
        <v>203.65</v>
      </c>
      <c r="C1975" s="115">
        <v>201.1</v>
      </c>
      <c r="D1975" s="115">
        <v>193.7</v>
      </c>
      <c r="E1975" s="115">
        <v>193.7</v>
      </c>
      <c r="F1975" s="115">
        <v>201.1</v>
      </c>
      <c r="G1975">
        <v>5172</v>
      </c>
      <c r="H1975" s="115"/>
      <c r="I1975" s="115"/>
      <c r="L1975" s="169">
        <v>44911</v>
      </c>
      <c r="M1975" s="115">
        <v>197.65</v>
      </c>
      <c r="N1975" s="115">
        <v>202.55</v>
      </c>
      <c r="O1975" s="115">
        <v>196.2</v>
      </c>
      <c r="P1975" s="115">
        <v>202.55</v>
      </c>
      <c r="Q1975" s="115">
        <v>197.65</v>
      </c>
      <c r="R1975">
        <v>28836</v>
      </c>
    </row>
    <row r="1976" spans="1:18" x14ac:dyDescent="0.25">
      <c r="A1976" s="169">
        <v>44915</v>
      </c>
      <c r="B1976" s="115">
        <v>201.8</v>
      </c>
      <c r="C1976" s="115">
        <v>195.35</v>
      </c>
      <c r="D1976" s="115">
        <v>193.25</v>
      </c>
      <c r="E1976" s="115">
        <v>198.15</v>
      </c>
      <c r="F1976" s="115">
        <v>195.35</v>
      </c>
      <c r="G1976">
        <v>3981</v>
      </c>
      <c r="H1976" s="115"/>
      <c r="I1976" s="115"/>
      <c r="L1976" s="169">
        <v>44914</v>
      </c>
      <c r="M1976" s="115">
        <v>200.85</v>
      </c>
      <c r="N1976" s="115">
        <v>203.9</v>
      </c>
      <c r="O1976" s="115">
        <v>195.6</v>
      </c>
      <c r="P1976" s="115">
        <v>195.6</v>
      </c>
      <c r="Q1976" s="115">
        <v>200.85</v>
      </c>
      <c r="R1976">
        <v>73105</v>
      </c>
    </row>
    <row r="1977" spans="1:18" x14ac:dyDescent="0.25">
      <c r="A1977" s="169">
        <v>44916</v>
      </c>
      <c r="B1977" s="115">
        <v>202.55</v>
      </c>
      <c r="C1977" s="115">
        <v>196.4</v>
      </c>
      <c r="D1977" s="115">
        <v>194.15</v>
      </c>
      <c r="E1977" s="115">
        <v>202.55</v>
      </c>
      <c r="F1977" s="115">
        <v>196.4</v>
      </c>
      <c r="G1977">
        <v>4985</v>
      </c>
      <c r="H1977" s="115"/>
      <c r="I1977" s="115"/>
      <c r="L1977" s="169">
        <v>44915</v>
      </c>
      <c r="M1977" s="115">
        <v>195.9</v>
      </c>
      <c r="N1977" s="115">
        <v>202</v>
      </c>
      <c r="O1977" s="115">
        <v>193.45</v>
      </c>
      <c r="P1977" s="115">
        <v>200.85</v>
      </c>
      <c r="Q1977" s="115">
        <v>195.9</v>
      </c>
      <c r="R1977">
        <v>73551</v>
      </c>
    </row>
    <row r="1978" spans="1:18" x14ac:dyDescent="0.25">
      <c r="A1978" s="169">
        <v>44917</v>
      </c>
      <c r="B1978" s="115">
        <v>225</v>
      </c>
      <c r="C1978" s="115">
        <v>221.55</v>
      </c>
      <c r="D1978" s="115">
        <v>188</v>
      </c>
      <c r="E1978" s="115">
        <v>196.7</v>
      </c>
      <c r="F1978" s="115">
        <v>221.55</v>
      </c>
      <c r="G1978">
        <v>34623</v>
      </c>
      <c r="H1978" s="115"/>
      <c r="I1978" s="115"/>
      <c r="L1978" s="169">
        <v>44916</v>
      </c>
      <c r="M1978" s="115">
        <v>196.65</v>
      </c>
      <c r="N1978" s="115">
        <v>200.8</v>
      </c>
      <c r="O1978" s="115">
        <v>194.05</v>
      </c>
      <c r="P1978" s="115">
        <v>199.75</v>
      </c>
      <c r="Q1978" s="115">
        <v>196.65</v>
      </c>
      <c r="R1978">
        <v>73984</v>
      </c>
    </row>
    <row r="1979" spans="1:18" x14ac:dyDescent="0.25">
      <c r="A1979" s="169">
        <v>44918</v>
      </c>
      <c r="B1979" s="115">
        <v>218.6</v>
      </c>
      <c r="C1979" s="115">
        <v>195.6</v>
      </c>
      <c r="D1979" s="115">
        <v>194.15</v>
      </c>
      <c r="E1979" s="115">
        <v>218.6</v>
      </c>
      <c r="F1979" s="115">
        <v>195.6</v>
      </c>
      <c r="G1979">
        <v>23281</v>
      </c>
      <c r="H1979" s="115"/>
      <c r="I1979" s="115"/>
      <c r="L1979" s="169">
        <v>44917</v>
      </c>
      <c r="M1979" s="115">
        <v>220.8</v>
      </c>
      <c r="N1979" s="115">
        <v>224.95</v>
      </c>
      <c r="O1979" s="115">
        <v>187.65</v>
      </c>
      <c r="P1979" s="115">
        <v>195.95</v>
      </c>
      <c r="Q1979" s="115">
        <v>220.8</v>
      </c>
      <c r="R1979">
        <v>1682348</v>
      </c>
    </row>
    <row r="1980" spans="1:18" x14ac:dyDescent="0.25">
      <c r="A1980" s="169">
        <v>44921</v>
      </c>
      <c r="B1980" s="115">
        <v>205.4</v>
      </c>
      <c r="C1980" s="115">
        <v>196.45</v>
      </c>
      <c r="D1980" s="115">
        <v>196</v>
      </c>
      <c r="E1980" s="115">
        <v>197.8</v>
      </c>
      <c r="F1980" s="115">
        <v>196.45</v>
      </c>
      <c r="G1980">
        <v>7957</v>
      </c>
      <c r="H1980" s="115"/>
      <c r="I1980" s="115"/>
      <c r="L1980" s="169">
        <v>44918</v>
      </c>
      <c r="M1980" s="115">
        <v>195.9</v>
      </c>
      <c r="N1980" s="115">
        <v>215.95</v>
      </c>
      <c r="O1980" s="115">
        <v>194.2</v>
      </c>
      <c r="P1980" s="115">
        <v>215.95</v>
      </c>
      <c r="Q1980" s="115">
        <v>195.9</v>
      </c>
      <c r="R1980">
        <v>391944</v>
      </c>
    </row>
    <row r="1981" spans="1:18" x14ac:dyDescent="0.25">
      <c r="A1981" s="169">
        <v>44922</v>
      </c>
      <c r="B1981" s="115">
        <v>204.05</v>
      </c>
      <c r="C1981" s="115">
        <v>202.65</v>
      </c>
      <c r="D1981" s="115">
        <v>196.15</v>
      </c>
      <c r="E1981" s="115">
        <v>196.15</v>
      </c>
      <c r="F1981" s="115">
        <v>202.65</v>
      </c>
      <c r="G1981">
        <v>3910</v>
      </c>
      <c r="H1981" s="115"/>
      <c r="I1981" s="115"/>
      <c r="L1981" s="169">
        <v>44921</v>
      </c>
      <c r="M1981" s="115">
        <v>197.05</v>
      </c>
      <c r="N1981" s="115">
        <v>206.95</v>
      </c>
      <c r="O1981" s="115">
        <v>195.35</v>
      </c>
      <c r="P1981" s="115">
        <v>198.9</v>
      </c>
      <c r="Q1981" s="115">
        <v>197.05</v>
      </c>
      <c r="R1981">
        <v>166104</v>
      </c>
    </row>
    <row r="1982" spans="1:18" x14ac:dyDescent="0.25">
      <c r="A1982" s="169">
        <v>44923</v>
      </c>
      <c r="B1982" s="115">
        <v>208</v>
      </c>
      <c r="C1982" s="115">
        <v>205.6</v>
      </c>
      <c r="D1982" s="115">
        <v>198.75</v>
      </c>
      <c r="E1982" s="115">
        <v>198.75</v>
      </c>
      <c r="F1982" s="115">
        <v>205.6</v>
      </c>
      <c r="G1982">
        <v>5267</v>
      </c>
      <c r="H1982" s="115"/>
      <c r="I1982" s="115"/>
      <c r="L1982" s="169">
        <v>44922</v>
      </c>
      <c r="M1982" s="115">
        <v>202.8</v>
      </c>
      <c r="N1982" s="115">
        <v>204</v>
      </c>
      <c r="O1982" s="115">
        <v>198.5</v>
      </c>
      <c r="P1982" s="115">
        <v>198.5</v>
      </c>
      <c r="Q1982" s="115">
        <v>202.8</v>
      </c>
      <c r="R1982">
        <v>72803</v>
      </c>
    </row>
    <row r="1983" spans="1:18" x14ac:dyDescent="0.25">
      <c r="A1983" s="169">
        <v>44924</v>
      </c>
      <c r="B1983" s="115">
        <v>205.3</v>
      </c>
      <c r="C1983" s="115">
        <v>202.75</v>
      </c>
      <c r="D1983" s="115">
        <v>200.9</v>
      </c>
      <c r="E1983" s="115">
        <v>203.15</v>
      </c>
      <c r="F1983" s="115">
        <v>202.75</v>
      </c>
      <c r="G1983">
        <v>2678</v>
      </c>
      <c r="H1983" s="115"/>
      <c r="I1983" s="115"/>
      <c r="L1983" s="169">
        <v>44923</v>
      </c>
      <c r="M1983" s="115">
        <v>205.2</v>
      </c>
      <c r="N1983" s="115">
        <v>208.45</v>
      </c>
      <c r="O1983" s="115">
        <v>200.25</v>
      </c>
      <c r="P1983" s="115">
        <v>203.35</v>
      </c>
      <c r="Q1983" s="115">
        <v>205.2</v>
      </c>
      <c r="R1983">
        <v>90849</v>
      </c>
    </row>
    <row r="1984" spans="1:18" x14ac:dyDescent="0.25">
      <c r="A1984" s="169">
        <v>44925</v>
      </c>
      <c r="B1984" s="115">
        <v>212</v>
      </c>
      <c r="C1984" s="115">
        <v>198.85</v>
      </c>
      <c r="D1984" s="115">
        <v>198.25</v>
      </c>
      <c r="E1984" s="115">
        <v>212</v>
      </c>
      <c r="F1984" s="115">
        <v>198.85</v>
      </c>
      <c r="G1984">
        <v>3821</v>
      </c>
      <c r="H1984" s="115"/>
      <c r="I1984" s="115"/>
      <c r="L1984" s="169">
        <v>44924</v>
      </c>
      <c r="M1984" s="115">
        <v>202.8</v>
      </c>
      <c r="N1984" s="115">
        <v>205</v>
      </c>
      <c r="O1984" s="115">
        <v>200</v>
      </c>
      <c r="P1984" s="115">
        <v>203</v>
      </c>
      <c r="Q1984" s="115">
        <v>202.8</v>
      </c>
      <c r="R1984">
        <v>43625</v>
      </c>
    </row>
    <row r="1985" spans="1:18" x14ac:dyDescent="0.25">
      <c r="A1985" s="169">
        <v>44928</v>
      </c>
      <c r="B1985" s="115">
        <v>207.55</v>
      </c>
      <c r="C1985" s="115">
        <v>205.15</v>
      </c>
      <c r="D1985" s="115">
        <v>196.9</v>
      </c>
      <c r="E1985" s="115">
        <v>196.9</v>
      </c>
      <c r="F1985" s="115">
        <v>205.15</v>
      </c>
      <c r="G1985">
        <v>3187</v>
      </c>
      <c r="H1985" s="115"/>
      <c r="I1985" s="115"/>
      <c r="L1985" s="169">
        <v>44925</v>
      </c>
      <c r="M1985" s="115">
        <v>199.35</v>
      </c>
      <c r="N1985" s="115">
        <v>205.9</v>
      </c>
      <c r="O1985" s="115">
        <v>198</v>
      </c>
      <c r="P1985" s="115">
        <v>203.85</v>
      </c>
      <c r="Q1985" s="115">
        <v>199.35</v>
      </c>
      <c r="R1985">
        <v>79266</v>
      </c>
    </row>
    <row r="1986" spans="1:18" x14ac:dyDescent="0.25">
      <c r="A1986" s="169">
        <v>44929</v>
      </c>
      <c r="B1986" s="115">
        <v>206.2</v>
      </c>
      <c r="C1986" s="115">
        <v>201.55</v>
      </c>
      <c r="D1986" s="115">
        <v>200.75</v>
      </c>
      <c r="E1986" s="115">
        <v>204.85</v>
      </c>
      <c r="F1986" s="115">
        <v>201.55</v>
      </c>
      <c r="G1986">
        <v>2980</v>
      </c>
      <c r="H1986" s="115"/>
      <c r="I1986" s="115"/>
      <c r="L1986" s="169">
        <v>44928</v>
      </c>
      <c r="M1986" s="115">
        <v>205</v>
      </c>
      <c r="N1986" s="115">
        <v>207</v>
      </c>
      <c r="O1986" s="115">
        <v>199.75</v>
      </c>
      <c r="P1986" s="115">
        <v>199.9</v>
      </c>
      <c r="Q1986" s="115">
        <v>205</v>
      </c>
      <c r="R1986">
        <v>68522</v>
      </c>
    </row>
    <row r="1987" spans="1:18" x14ac:dyDescent="0.25">
      <c r="A1987" s="169">
        <v>44930</v>
      </c>
      <c r="B1987" s="115">
        <v>202.3</v>
      </c>
      <c r="C1987" s="115">
        <v>200.5</v>
      </c>
      <c r="D1987" s="115">
        <v>198.25</v>
      </c>
      <c r="E1987" s="115">
        <v>202.3</v>
      </c>
      <c r="F1987" s="115">
        <v>200.5</v>
      </c>
      <c r="G1987">
        <v>488</v>
      </c>
      <c r="H1987" s="115"/>
      <c r="I1987" s="115"/>
      <c r="L1987" s="169">
        <v>44929</v>
      </c>
      <c r="M1987" s="115">
        <v>201.75</v>
      </c>
      <c r="N1987" s="115">
        <v>206.45</v>
      </c>
      <c r="O1987" s="115">
        <v>200.5</v>
      </c>
      <c r="P1987" s="115">
        <v>205.35</v>
      </c>
      <c r="Q1987" s="115">
        <v>201.75</v>
      </c>
      <c r="R1987">
        <v>49022</v>
      </c>
    </row>
    <row r="1988" spans="1:18" x14ac:dyDescent="0.25">
      <c r="A1988" s="169">
        <v>44931</v>
      </c>
      <c r="B1988" s="115">
        <v>203.25</v>
      </c>
      <c r="C1988" s="115">
        <v>201.8</v>
      </c>
      <c r="D1988" s="115">
        <v>199.7</v>
      </c>
      <c r="E1988" s="115">
        <v>200.95</v>
      </c>
      <c r="F1988" s="115">
        <v>201.8</v>
      </c>
      <c r="G1988">
        <v>961</v>
      </c>
      <c r="H1988" s="115"/>
      <c r="I1988" s="115"/>
      <c r="L1988" s="169">
        <v>44930</v>
      </c>
      <c r="M1988" s="115">
        <v>201.1</v>
      </c>
      <c r="N1988" s="115">
        <v>202.95</v>
      </c>
      <c r="O1988" s="115">
        <v>198.35</v>
      </c>
      <c r="P1988" s="115">
        <v>200</v>
      </c>
      <c r="Q1988" s="115">
        <v>201.1</v>
      </c>
      <c r="R1988">
        <v>26037</v>
      </c>
    </row>
    <row r="1989" spans="1:18" x14ac:dyDescent="0.25">
      <c r="A1989" s="169">
        <v>44932</v>
      </c>
      <c r="B1989" s="115">
        <v>202.75</v>
      </c>
      <c r="C1989" s="115">
        <v>199.7</v>
      </c>
      <c r="D1989" s="115">
        <v>196.6</v>
      </c>
      <c r="E1989" s="115">
        <v>201.4</v>
      </c>
      <c r="F1989" s="115">
        <v>199.7</v>
      </c>
      <c r="G1989">
        <v>1668</v>
      </c>
      <c r="H1989" s="115"/>
      <c r="I1989" s="115"/>
      <c r="L1989" s="169">
        <v>44931</v>
      </c>
      <c r="M1989" s="115">
        <v>201.5</v>
      </c>
      <c r="N1989" s="115">
        <v>203.4</v>
      </c>
      <c r="O1989" s="115">
        <v>198.6</v>
      </c>
      <c r="P1989" s="115">
        <v>202.15</v>
      </c>
      <c r="Q1989" s="115">
        <v>201.5</v>
      </c>
      <c r="R1989">
        <v>49172</v>
      </c>
    </row>
    <row r="1990" spans="1:18" x14ac:dyDescent="0.25">
      <c r="A1990" s="169">
        <v>44935</v>
      </c>
      <c r="B1990" s="115">
        <v>205.95</v>
      </c>
      <c r="C1990" s="115">
        <v>204.4</v>
      </c>
      <c r="D1990" s="115">
        <v>200.35</v>
      </c>
      <c r="E1990" s="115">
        <v>200.35</v>
      </c>
      <c r="F1990" s="115">
        <v>204.4</v>
      </c>
      <c r="G1990">
        <v>1573</v>
      </c>
      <c r="H1990" s="115"/>
      <c r="I1990" s="115"/>
      <c r="L1990" s="169">
        <v>44932</v>
      </c>
      <c r="M1990" s="115">
        <v>199.95</v>
      </c>
      <c r="N1990" s="115">
        <v>203.4</v>
      </c>
      <c r="O1990" s="115">
        <v>197.55</v>
      </c>
      <c r="P1990" s="115">
        <v>203.4</v>
      </c>
      <c r="Q1990" s="115">
        <v>199.95</v>
      </c>
      <c r="R1990">
        <v>33169</v>
      </c>
    </row>
    <row r="1991" spans="1:18" x14ac:dyDescent="0.25">
      <c r="A1991" s="169">
        <v>44936</v>
      </c>
      <c r="B1991" s="115">
        <v>207.95</v>
      </c>
      <c r="C1991" s="115">
        <v>201.9</v>
      </c>
      <c r="D1991" s="115">
        <v>200</v>
      </c>
      <c r="E1991" s="115">
        <v>207.95</v>
      </c>
      <c r="F1991" s="115">
        <v>201.9</v>
      </c>
      <c r="G1991">
        <v>3097</v>
      </c>
      <c r="H1991" s="115"/>
      <c r="I1991" s="115"/>
      <c r="L1991" s="169">
        <v>44935</v>
      </c>
      <c r="M1991" s="115">
        <v>204.95</v>
      </c>
      <c r="N1991" s="115">
        <v>206</v>
      </c>
      <c r="O1991" s="115">
        <v>200.05</v>
      </c>
      <c r="P1991" s="115">
        <v>200.05</v>
      </c>
      <c r="Q1991" s="115">
        <v>204.95</v>
      </c>
      <c r="R1991">
        <v>74850</v>
      </c>
    </row>
    <row r="1992" spans="1:18" x14ac:dyDescent="0.25">
      <c r="A1992" s="169">
        <v>44937</v>
      </c>
      <c r="B1992" s="115">
        <v>206</v>
      </c>
      <c r="C1992" s="115">
        <v>201</v>
      </c>
      <c r="D1992" s="115">
        <v>200.15</v>
      </c>
      <c r="E1992" s="115">
        <v>203.3</v>
      </c>
      <c r="F1992" s="115">
        <v>201</v>
      </c>
      <c r="G1992">
        <v>3100</v>
      </c>
      <c r="H1992" s="115"/>
      <c r="I1992" s="115"/>
      <c r="L1992" s="169">
        <v>44936</v>
      </c>
      <c r="M1992" s="115">
        <v>202.1</v>
      </c>
      <c r="N1992" s="115">
        <v>206.2</v>
      </c>
      <c r="O1992" s="115">
        <v>200</v>
      </c>
      <c r="P1992" s="115">
        <v>205.05</v>
      </c>
      <c r="Q1992" s="115">
        <v>202.1</v>
      </c>
      <c r="R1992">
        <v>38544</v>
      </c>
    </row>
    <row r="1993" spans="1:18" x14ac:dyDescent="0.25">
      <c r="A1993" s="169">
        <v>44938</v>
      </c>
      <c r="B1993" s="115">
        <v>202.15</v>
      </c>
      <c r="C1993" s="115">
        <v>198.85</v>
      </c>
      <c r="D1993" s="115">
        <v>198.2</v>
      </c>
      <c r="E1993" s="115">
        <v>201</v>
      </c>
      <c r="F1993" s="115">
        <v>198.85</v>
      </c>
      <c r="G1993">
        <v>1434</v>
      </c>
      <c r="H1993" s="115"/>
      <c r="I1993" s="115"/>
      <c r="L1993" s="169">
        <v>44937</v>
      </c>
      <c r="M1993" s="115">
        <v>200.75</v>
      </c>
      <c r="N1993" s="115">
        <v>205.85</v>
      </c>
      <c r="O1993" s="115">
        <v>199.95</v>
      </c>
      <c r="P1993" s="115">
        <v>202.1</v>
      </c>
      <c r="Q1993" s="115">
        <v>200.75</v>
      </c>
      <c r="R1993">
        <v>61757</v>
      </c>
    </row>
    <row r="1994" spans="1:18" x14ac:dyDescent="0.25">
      <c r="A1994" s="169">
        <v>44939</v>
      </c>
      <c r="B1994" s="115">
        <v>200.25</v>
      </c>
      <c r="C1994" s="115">
        <v>196.1</v>
      </c>
      <c r="D1994" s="115">
        <v>194.9</v>
      </c>
      <c r="E1994" s="115">
        <v>198</v>
      </c>
      <c r="F1994" s="115">
        <v>196.1</v>
      </c>
      <c r="G1994">
        <v>27197</v>
      </c>
      <c r="H1994" s="115"/>
      <c r="I1994" s="115"/>
      <c r="L1994" s="169">
        <v>44938</v>
      </c>
      <c r="M1994" s="115">
        <v>199.15</v>
      </c>
      <c r="N1994" s="115">
        <v>202.6</v>
      </c>
      <c r="O1994" s="115">
        <v>198.15</v>
      </c>
      <c r="P1994" s="115">
        <v>200.75</v>
      </c>
      <c r="Q1994" s="115">
        <v>199.15</v>
      </c>
      <c r="R1994">
        <v>152687</v>
      </c>
    </row>
    <row r="1995" spans="1:18" x14ac:dyDescent="0.25">
      <c r="A1995" s="169">
        <v>44942</v>
      </c>
      <c r="B1995" s="115">
        <v>199.5</v>
      </c>
      <c r="C1995" s="115">
        <v>197.9</v>
      </c>
      <c r="D1995" s="115">
        <v>194.85</v>
      </c>
      <c r="E1995" s="115">
        <v>196.35</v>
      </c>
      <c r="F1995" s="115">
        <v>197.9</v>
      </c>
      <c r="G1995">
        <v>2356</v>
      </c>
      <c r="H1995" s="115"/>
      <c r="I1995" s="115"/>
      <c r="L1995" s="169">
        <v>44939</v>
      </c>
      <c r="M1995" s="115">
        <v>196.3</v>
      </c>
      <c r="N1995" s="115">
        <v>201.05</v>
      </c>
      <c r="O1995" s="115">
        <v>194.75</v>
      </c>
      <c r="P1995" s="115">
        <v>201.05</v>
      </c>
      <c r="Q1995" s="115">
        <v>196.3</v>
      </c>
      <c r="R1995">
        <v>140067</v>
      </c>
    </row>
    <row r="1996" spans="1:18" x14ac:dyDescent="0.25">
      <c r="A1996" s="169">
        <v>44943</v>
      </c>
      <c r="B1996" s="115">
        <v>198.8</v>
      </c>
      <c r="C1996" s="115">
        <v>197.8</v>
      </c>
      <c r="D1996" s="115">
        <v>195</v>
      </c>
      <c r="E1996" s="115">
        <v>198.8</v>
      </c>
      <c r="F1996" s="115">
        <v>197.8</v>
      </c>
      <c r="G1996">
        <v>2482</v>
      </c>
      <c r="H1996" s="115"/>
      <c r="I1996" s="115"/>
      <c r="L1996" s="169">
        <v>44942</v>
      </c>
      <c r="M1996" s="115">
        <v>196.6</v>
      </c>
      <c r="N1996" s="115">
        <v>199.7</v>
      </c>
      <c r="O1996" s="115">
        <v>194.9</v>
      </c>
      <c r="P1996" s="115">
        <v>195</v>
      </c>
      <c r="Q1996" s="115">
        <v>196.6</v>
      </c>
      <c r="R1996">
        <v>50034</v>
      </c>
    </row>
    <row r="1997" spans="1:18" x14ac:dyDescent="0.25">
      <c r="A1997" s="169">
        <v>44944</v>
      </c>
      <c r="B1997" s="115">
        <v>201</v>
      </c>
      <c r="C1997" s="115">
        <v>200.05</v>
      </c>
      <c r="D1997" s="115">
        <v>195.15</v>
      </c>
      <c r="E1997" s="115">
        <v>195.15</v>
      </c>
      <c r="F1997" s="115">
        <v>200.05</v>
      </c>
      <c r="G1997">
        <v>1292</v>
      </c>
      <c r="H1997" s="115"/>
      <c r="I1997" s="115"/>
      <c r="L1997" s="169">
        <v>44943</v>
      </c>
      <c r="M1997" s="115">
        <v>197.55</v>
      </c>
      <c r="N1997" s="115">
        <v>198.9</v>
      </c>
      <c r="O1997" s="115">
        <v>195.25</v>
      </c>
      <c r="P1997" s="115">
        <v>197</v>
      </c>
      <c r="Q1997" s="115">
        <v>197.55</v>
      </c>
      <c r="R1997">
        <v>37251</v>
      </c>
    </row>
    <row r="1998" spans="1:18" x14ac:dyDescent="0.25">
      <c r="A1998" s="169">
        <v>44945</v>
      </c>
      <c r="B1998" s="115">
        <v>199.85</v>
      </c>
      <c r="C1998" s="115">
        <v>197.45</v>
      </c>
      <c r="D1998" s="115">
        <v>197</v>
      </c>
      <c r="E1998" s="115">
        <v>198.55</v>
      </c>
      <c r="F1998" s="115">
        <v>197.45</v>
      </c>
      <c r="G1998">
        <v>378</v>
      </c>
      <c r="H1998" s="115"/>
      <c r="I1998" s="115"/>
      <c r="L1998" s="169">
        <v>44944</v>
      </c>
      <c r="M1998" s="115">
        <v>200.25</v>
      </c>
      <c r="N1998" s="115">
        <v>201.8</v>
      </c>
      <c r="O1998" s="115">
        <v>196.8</v>
      </c>
      <c r="P1998" s="115">
        <v>197.9</v>
      </c>
      <c r="Q1998" s="115">
        <v>200.25</v>
      </c>
      <c r="R1998">
        <v>56300</v>
      </c>
    </row>
    <row r="1999" spans="1:18" x14ac:dyDescent="0.25">
      <c r="A1999" s="169">
        <v>44946</v>
      </c>
      <c r="B1999" s="115">
        <v>198.6</v>
      </c>
      <c r="C1999" s="115">
        <v>197.65</v>
      </c>
      <c r="D1999" s="115">
        <v>196.4</v>
      </c>
      <c r="E1999" s="115">
        <v>197.55</v>
      </c>
      <c r="F1999" s="115">
        <v>197.65</v>
      </c>
      <c r="G1999">
        <v>309</v>
      </c>
      <c r="H1999" s="115"/>
      <c r="I1999" s="115"/>
      <c r="L1999" s="169">
        <v>44945</v>
      </c>
      <c r="M1999" s="115">
        <v>197.45</v>
      </c>
      <c r="N1999" s="115">
        <v>200.3</v>
      </c>
      <c r="O1999" s="115">
        <v>196.6</v>
      </c>
      <c r="P1999" s="115">
        <v>198.95</v>
      </c>
      <c r="Q1999" s="115">
        <v>197.45</v>
      </c>
      <c r="R1999">
        <v>15851</v>
      </c>
    </row>
    <row r="2000" spans="1:18" x14ac:dyDescent="0.25">
      <c r="A2000" s="169">
        <v>44949</v>
      </c>
      <c r="B2000" s="115">
        <v>198</v>
      </c>
      <c r="C2000" s="115">
        <v>197.1</v>
      </c>
      <c r="D2000" s="115">
        <v>193.45</v>
      </c>
      <c r="E2000" s="115">
        <v>194.9</v>
      </c>
      <c r="F2000" s="115">
        <v>197.1</v>
      </c>
      <c r="G2000">
        <v>2779</v>
      </c>
      <c r="H2000" s="115"/>
      <c r="I2000" s="115"/>
      <c r="L2000" s="169">
        <v>44946</v>
      </c>
      <c r="M2000" s="115">
        <v>197.25</v>
      </c>
      <c r="N2000" s="115">
        <v>198.8</v>
      </c>
      <c r="O2000" s="115">
        <v>196.3</v>
      </c>
      <c r="P2000" s="115">
        <v>198.8</v>
      </c>
      <c r="Q2000" s="115">
        <v>197.25</v>
      </c>
      <c r="R2000">
        <v>20887</v>
      </c>
    </row>
    <row r="2001" spans="1:18" x14ac:dyDescent="0.25">
      <c r="A2001" s="169">
        <v>44950</v>
      </c>
      <c r="B2001" s="115">
        <v>199.25</v>
      </c>
      <c r="C2001" s="115">
        <v>195.6</v>
      </c>
      <c r="D2001" s="115">
        <v>194.85</v>
      </c>
      <c r="E2001" s="115">
        <v>197.45</v>
      </c>
      <c r="F2001" s="115">
        <v>195.6</v>
      </c>
      <c r="G2001">
        <v>1076</v>
      </c>
      <c r="H2001" s="115"/>
      <c r="I2001" s="115"/>
      <c r="L2001" s="169">
        <v>44949</v>
      </c>
      <c r="M2001" s="115">
        <v>197.1</v>
      </c>
      <c r="N2001" s="115">
        <v>198.35</v>
      </c>
      <c r="O2001" s="115">
        <v>193.2</v>
      </c>
      <c r="P2001" s="115">
        <v>195.05</v>
      </c>
      <c r="Q2001" s="115">
        <v>197.1</v>
      </c>
      <c r="R2001">
        <v>41901</v>
      </c>
    </row>
    <row r="2002" spans="1:18" x14ac:dyDescent="0.25">
      <c r="A2002" s="169">
        <v>44951</v>
      </c>
      <c r="B2002" s="115">
        <v>199.7</v>
      </c>
      <c r="C2002" s="115">
        <v>199.35</v>
      </c>
      <c r="D2002" s="115">
        <v>195.5</v>
      </c>
      <c r="E2002" s="115">
        <v>195.5</v>
      </c>
      <c r="F2002" s="115">
        <v>199.35</v>
      </c>
      <c r="G2002">
        <v>3482</v>
      </c>
      <c r="H2002" s="115"/>
      <c r="I2002" s="115"/>
      <c r="L2002" s="169">
        <v>44950</v>
      </c>
      <c r="M2002" s="115">
        <v>196.7</v>
      </c>
      <c r="N2002" s="115">
        <v>198.25</v>
      </c>
      <c r="O2002" s="115">
        <v>196</v>
      </c>
      <c r="P2002" s="115">
        <v>197.1</v>
      </c>
      <c r="Q2002" s="115">
        <v>196.7</v>
      </c>
      <c r="R2002">
        <v>19229</v>
      </c>
    </row>
    <row r="2003" spans="1:18" x14ac:dyDescent="0.25">
      <c r="A2003" s="169">
        <v>44953</v>
      </c>
      <c r="B2003" s="115">
        <v>197.9</v>
      </c>
      <c r="C2003" s="115">
        <v>194.8</v>
      </c>
      <c r="D2003" s="115">
        <v>191</v>
      </c>
      <c r="E2003" s="115">
        <v>195.2</v>
      </c>
      <c r="F2003" s="115">
        <v>194.8</v>
      </c>
      <c r="G2003">
        <v>2294</v>
      </c>
      <c r="H2003" s="115"/>
      <c r="I2003" s="115"/>
      <c r="L2003" s="169">
        <v>44951</v>
      </c>
      <c r="M2003" s="115">
        <v>199.15</v>
      </c>
      <c r="N2003" s="115">
        <v>199.95</v>
      </c>
      <c r="O2003" s="115">
        <v>195.9</v>
      </c>
      <c r="P2003" s="115">
        <v>196.7</v>
      </c>
      <c r="Q2003" s="115">
        <v>199.15</v>
      </c>
      <c r="R2003">
        <v>39775</v>
      </c>
    </row>
    <row r="2004" spans="1:18" x14ac:dyDescent="0.25">
      <c r="A2004" s="169">
        <v>44956</v>
      </c>
      <c r="B2004" s="115">
        <v>197.35</v>
      </c>
      <c r="C2004" s="115">
        <v>193.9</v>
      </c>
      <c r="D2004" s="115">
        <v>192.25</v>
      </c>
      <c r="E2004" s="115">
        <v>195.2</v>
      </c>
      <c r="F2004" s="115">
        <v>193.9</v>
      </c>
      <c r="G2004">
        <v>1329</v>
      </c>
      <c r="H2004" s="115"/>
      <c r="I2004" s="115"/>
      <c r="L2004" s="169">
        <v>44953</v>
      </c>
      <c r="M2004" s="115">
        <v>194.95</v>
      </c>
      <c r="N2004" s="115">
        <v>198.5</v>
      </c>
      <c r="O2004" s="115">
        <v>190.95</v>
      </c>
      <c r="P2004" s="115">
        <v>198.25</v>
      </c>
      <c r="Q2004" s="115">
        <v>194.95</v>
      </c>
      <c r="R2004">
        <v>46272</v>
      </c>
    </row>
    <row r="2005" spans="1:18" x14ac:dyDescent="0.25">
      <c r="A2005" s="169">
        <v>44957</v>
      </c>
      <c r="B2005" s="115">
        <v>197.7</v>
      </c>
      <c r="C2005" s="115">
        <v>196.5</v>
      </c>
      <c r="D2005" s="115">
        <v>193.6</v>
      </c>
      <c r="E2005" s="115">
        <v>194.4</v>
      </c>
      <c r="F2005" s="115">
        <v>196.5</v>
      </c>
      <c r="G2005">
        <v>3207</v>
      </c>
      <c r="H2005" s="115"/>
      <c r="I2005" s="115"/>
      <c r="L2005" s="169">
        <v>44956</v>
      </c>
      <c r="M2005" s="115">
        <v>193.65</v>
      </c>
      <c r="N2005" s="115">
        <v>197.8</v>
      </c>
      <c r="O2005" s="115">
        <v>192.05</v>
      </c>
      <c r="P2005" s="115">
        <v>196.85</v>
      </c>
      <c r="Q2005" s="115">
        <v>193.65</v>
      </c>
      <c r="R2005">
        <v>25840</v>
      </c>
    </row>
    <row r="2006" spans="1:18" x14ac:dyDescent="0.25">
      <c r="A2006" s="169">
        <v>44958</v>
      </c>
      <c r="B2006" s="115">
        <v>199.25</v>
      </c>
      <c r="C2006" s="115">
        <v>197.95</v>
      </c>
      <c r="D2006" s="115">
        <v>194.35</v>
      </c>
      <c r="E2006" s="115">
        <v>196.9</v>
      </c>
      <c r="F2006" s="115">
        <v>197.95</v>
      </c>
      <c r="G2006">
        <v>7722</v>
      </c>
      <c r="H2006" s="115"/>
      <c r="I2006" s="115"/>
      <c r="L2006" s="169">
        <v>44957</v>
      </c>
      <c r="M2006" s="115">
        <v>196.45</v>
      </c>
      <c r="N2006" s="115">
        <v>197.15</v>
      </c>
      <c r="O2006" s="115">
        <v>193.05</v>
      </c>
      <c r="P2006" s="115">
        <v>194.15</v>
      </c>
      <c r="Q2006" s="115">
        <v>196.45</v>
      </c>
      <c r="R2006">
        <v>23280</v>
      </c>
    </row>
    <row r="2007" spans="1:18" x14ac:dyDescent="0.25">
      <c r="A2007" s="169">
        <v>44959</v>
      </c>
      <c r="B2007" s="115">
        <v>199</v>
      </c>
      <c r="C2007" s="115">
        <v>196.35</v>
      </c>
      <c r="D2007" s="115">
        <v>195.35</v>
      </c>
      <c r="E2007" s="115">
        <v>197.5</v>
      </c>
      <c r="F2007" s="115">
        <v>196.35</v>
      </c>
      <c r="G2007">
        <v>1800</v>
      </c>
      <c r="H2007" s="115"/>
      <c r="I2007" s="115"/>
      <c r="L2007" s="169">
        <v>44958</v>
      </c>
      <c r="M2007" s="115">
        <v>197.05</v>
      </c>
      <c r="N2007" s="115">
        <v>199.4</v>
      </c>
      <c r="O2007" s="115">
        <v>195</v>
      </c>
      <c r="P2007" s="115">
        <v>198.35</v>
      </c>
      <c r="Q2007" s="115">
        <v>197.05</v>
      </c>
      <c r="R2007">
        <v>45395</v>
      </c>
    </row>
    <row r="2008" spans="1:18" x14ac:dyDescent="0.25">
      <c r="A2008" s="169">
        <v>44960</v>
      </c>
      <c r="B2008" s="115">
        <v>197.95</v>
      </c>
      <c r="C2008" s="115">
        <v>197.05</v>
      </c>
      <c r="D2008" s="115">
        <v>194.45</v>
      </c>
      <c r="E2008" s="115">
        <v>197</v>
      </c>
      <c r="F2008" s="115">
        <v>197.05</v>
      </c>
      <c r="G2008">
        <v>2056</v>
      </c>
      <c r="H2008" s="115"/>
      <c r="I2008" s="115"/>
      <c r="L2008" s="169">
        <v>44959</v>
      </c>
      <c r="M2008" s="115">
        <v>196.3</v>
      </c>
      <c r="N2008" s="115">
        <v>199.35</v>
      </c>
      <c r="O2008" s="115">
        <v>195.35</v>
      </c>
      <c r="P2008" s="115">
        <v>197</v>
      </c>
      <c r="Q2008" s="115">
        <v>196.3</v>
      </c>
      <c r="R2008">
        <v>19946</v>
      </c>
    </row>
    <row r="2009" spans="1:18" x14ac:dyDescent="0.25">
      <c r="A2009" s="169">
        <v>44963</v>
      </c>
      <c r="B2009" s="115">
        <v>203.55</v>
      </c>
      <c r="C2009" s="115">
        <v>200.3</v>
      </c>
      <c r="D2009" s="115">
        <v>192.8</v>
      </c>
      <c r="E2009" s="115">
        <v>192.8</v>
      </c>
      <c r="F2009" s="115">
        <v>200.3</v>
      </c>
      <c r="G2009">
        <v>4943</v>
      </c>
      <c r="H2009" s="115"/>
      <c r="I2009" s="115"/>
      <c r="L2009" s="169">
        <v>44960</v>
      </c>
      <c r="M2009" s="115">
        <v>196.7</v>
      </c>
      <c r="N2009" s="115">
        <v>198</v>
      </c>
      <c r="O2009" s="115">
        <v>194.3</v>
      </c>
      <c r="P2009" s="115">
        <v>196.55</v>
      </c>
      <c r="Q2009" s="115">
        <v>196.7</v>
      </c>
      <c r="R2009">
        <v>23663</v>
      </c>
    </row>
    <row r="2010" spans="1:18" x14ac:dyDescent="0.25">
      <c r="A2010" s="169">
        <v>44964</v>
      </c>
      <c r="B2010" s="115">
        <v>213.45</v>
      </c>
      <c r="C2010" s="115">
        <v>211</v>
      </c>
      <c r="D2010" s="115">
        <v>206</v>
      </c>
      <c r="E2010" s="115">
        <v>206</v>
      </c>
      <c r="F2010" s="115">
        <v>211</v>
      </c>
      <c r="G2010">
        <v>26940</v>
      </c>
      <c r="H2010" s="115"/>
      <c r="I2010" s="115"/>
      <c r="L2010" s="169">
        <v>44963</v>
      </c>
      <c r="M2010" s="115">
        <v>200.1</v>
      </c>
      <c r="N2010" s="115">
        <v>204.7</v>
      </c>
      <c r="O2010" s="115">
        <v>195.8</v>
      </c>
      <c r="P2010" s="115">
        <v>197.5</v>
      </c>
      <c r="Q2010" s="115">
        <v>200.1</v>
      </c>
      <c r="R2010">
        <v>77264</v>
      </c>
    </row>
    <row r="2011" spans="1:18" x14ac:dyDescent="0.25">
      <c r="A2011" s="169">
        <v>44965</v>
      </c>
      <c r="B2011" s="115">
        <v>211.35</v>
      </c>
      <c r="C2011" s="115">
        <v>206.1</v>
      </c>
      <c r="D2011" s="115">
        <v>202.1</v>
      </c>
      <c r="E2011" s="115">
        <v>208</v>
      </c>
      <c r="F2011" s="115">
        <v>206.1</v>
      </c>
      <c r="G2011">
        <v>11511</v>
      </c>
      <c r="H2011" s="115"/>
      <c r="I2011" s="115"/>
      <c r="L2011" s="169">
        <v>44964</v>
      </c>
      <c r="M2011" s="115">
        <v>210.35</v>
      </c>
      <c r="N2011" s="115">
        <v>214.7</v>
      </c>
      <c r="O2011" s="115">
        <v>208</v>
      </c>
      <c r="P2011" s="115">
        <v>208</v>
      </c>
      <c r="Q2011" s="115">
        <v>210.35</v>
      </c>
      <c r="R2011">
        <v>486724</v>
      </c>
    </row>
    <row r="2012" spans="1:18" x14ac:dyDescent="0.25">
      <c r="A2012" s="169">
        <v>44966</v>
      </c>
      <c r="B2012" s="115">
        <v>207.4</v>
      </c>
      <c r="C2012" s="115">
        <v>206.75</v>
      </c>
      <c r="D2012" s="115">
        <v>205.25</v>
      </c>
      <c r="E2012" s="115">
        <v>205.55</v>
      </c>
      <c r="F2012" s="115">
        <v>206.75</v>
      </c>
      <c r="G2012">
        <v>2913</v>
      </c>
      <c r="H2012" s="115"/>
      <c r="I2012" s="115"/>
      <c r="L2012" s="169">
        <v>44965</v>
      </c>
      <c r="M2012" s="115">
        <v>206.45</v>
      </c>
      <c r="N2012" s="115">
        <v>211</v>
      </c>
      <c r="O2012" s="115">
        <v>204.25</v>
      </c>
      <c r="P2012" s="115">
        <v>209.9</v>
      </c>
      <c r="Q2012" s="115">
        <v>206.45</v>
      </c>
      <c r="R2012">
        <v>116441</v>
      </c>
    </row>
    <row r="2013" spans="1:18" x14ac:dyDescent="0.25">
      <c r="A2013" s="169">
        <v>44967</v>
      </c>
      <c r="B2013" s="115">
        <v>208.8</v>
      </c>
      <c r="C2013" s="115">
        <v>207.65</v>
      </c>
      <c r="D2013" s="115">
        <v>204.4</v>
      </c>
      <c r="E2013" s="115">
        <v>205.25</v>
      </c>
      <c r="F2013" s="115">
        <v>207.65</v>
      </c>
      <c r="G2013">
        <v>2107</v>
      </c>
      <c r="H2013" s="115"/>
      <c r="I2013" s="115"/>
      <c r="L2013" s="169">
        <v>44966</v>
      </c>
      <c r="M2013" s="115">
        <v>207.25</v>
      </c>
      <c r="N2013" s="115">
        <v>207.95</v>
      </c>
      <c r="O2013" s="115">
        <v>205.05</v>
      </c>
      <c r="P2013" s="115">
        <v>206.5</v>
      </c>
      <c r="Q2013" s="115">
        <v>207.25</v>
      </c>
      <c r="R2013">
        <v>36753</v>
      </c>
    </row>
    <row r="2014" spans="1:18" x14ac:dyDescent="0.25">
      <c r="A2014" s="169">
        <v>44970</v>
      </c>
      <c r="B2014" s="115">
        <v>208.75</v>
      </c>
      <c r="C2014" s="115">
        <v>205.65</v>
      </c>
      <c r="D2014" s="115">
        <v>201.1</v>
      </c>
      <c r="E2014" s="115">
        <v>207.7</v>
      </c>
      <c r="F2014" s="115">
        <v>205.65</v>
      </c>
      <c r="G2014">
        <v>7463</v>
      </c>
      <c r="H2014" s="115"/>
      <c r="I2014" s="115"/>
      <c r="L2014" s="169">
        <v>44967</v>
      </c>
      <c r="M2014" s="115">
        <v>207.1</v>
      </c>
      <c r="N2014" s="115">
        <v>209.4</v>
      </c>
      <c r="O2014" s="115">
        <v>204.65</v>
      </c>
      <c r="P2014" s="115">
        <v>207.25</v>
      </c>
      <c r="Q2014" s="115">
        <v>207.1</v>
      </c>
      <c r="R2014">
        <v>304630</v>
      </c>
    </row>
    <row r="2015" spans="1:18" x14ac:dyDescent="0.25">
      <c r="A2015" s="169">
        <v>44971</v>
      </c>
      <c r="B2015" s="115">
        <v>205.2</v>
      </c>
      <c r="C2015" s="115">
        <v>202.9</v>
      </c>
      <c r="D2015" s="115">
        <v>202.3</v>
      </c>
      <c r="E2015" s="115">
        <v>205.2</v>
      </c>
      <c r="F2015" s="115">
        <v>202.9</v>
      </c>
      <c r="G2015">
        <v>90</v>
      </c>
      <c r="H2015" s="115"/>
      <c r="I2015" s="115"/>
      <c r="L2015" s="169">
        <v>44970</v>
      </c>
      <c r="M2015" s="115">
        <v>205.85</v>
      </c>
      <c r="N2015" s="115">
        <v>209.2</v>
      </c>
      <c r="O2015" s="115">
        <v>202.55</v>
      </c>
      <c r="P2015" s="115">
        <v>208.5</v>
      </c>
      <c r="Q2015" s="115">
        <v>205.85</v>
      </c>
      <c r="R2015">
        <v>124406</v>
      </c>
    </row>
    <row r="2016" spans="1:18" x14ac:dyDescent="0.25">
      <c r="A2016" s="169">
        <v>44972</v>
      </c>
      <c r="B2016" s="115">
        <v>203.75</v>
      </c>
      <c r="C2016" s="115">
        <v>201.15</v>
      </c>
      <c r="D2016" s="115">
        <v>199.9</v>
      </c>
      <c r="E2016" s="115">
        <v>202.15</v>
      </c>
      <c r="F2016" s="115">
        <v>201.15</v>
      </c>
      <c r="G2016">
        <v>2446</v>
      </c>
      <c r="H2016" s="115"/>
      <c r="I2016" s="115"/>
      <c r="L2016" s="169">
        <v>44971</v>
      </c>
      <c r="M2016" s="115">
        <v>202.5</v>
      </c>
      <c r="N2016" s="115">
        <v>207.9</v>
      </c>
      <c r="O2016" s="115">
        <v>202.05</v>
      </c>
      <c r="P2016" s="115">
        <v>207.9</v>
      </c>
      <c r="Q2016" s="115">
        <v>202.5</v>
      </c>
      <c r="R2016">
        <v>33456</v>
      </c>
    </row>
    <row r="2017" spans="1:18" x14ac:dyDescent="0.25">
      <c r="A2017" s="169">
        <v>44973</v>
      </c>
      <c r="B2017" s="115">
        <v>203.15</v>
      </c>
      <c r="C2017" s="115">
        <v>199.05</v>
      </c>
      <c r="D2017" s="115">
        <v>197.25</v>
      </c>
      <c r="E2017" s="115">
        <v>203.15</v>
      </c>
      <c r="F2017" s="115">
        <v>199.05</v>
      </c>
      <c r="G2017">
        <v>2088</v>
      </c>
      <c r="H2017" s="115"/>
      <c r="I2017" s="115"/>
      <c r="L2017" s="169">
        <v>44972</v>
      </c>
      <c r="M2017" s="115">
        <v>201.85</v>
      </c>
      <c r="N2017" s="115">
        <v>203.75</v>
      </c>
      <c r="O2017" s="115">
        <v>201</v>
      </c>
      <c r="P2017" s="115">
        <v>203.3</v>
      </c>
      <c r="Q2017" s="115">
        <v>201.85</v>
      </c>
      <c r="R2017">
        <v>29563</v>
      </c>
    </row>
    <row r="2018" spans="1:18" x14ac:dyDescent="0.25">
      <c r="A2018" s="169">
        <v>44974</v>
      </c>
      <c r="B2018" s="115">
        <v>205.7</v>
      </c>
      <c r="C2018" s="115">
        <v>198.75</v>
      </c>
      <c r="D2018" s="115">
        <v>197.8</v>
      </c>
      <c r="E2018" s="115">
        <v>205.7</v>
      </c>
      <c r="F2018" s="115">
        <v>198.75</v>
      </c>
      <c r="G2018">
        <v>1342</v>
      </c>
      <c r="H2018" s="115"/>
      <c r="I2018" s="115"/>
      <c r="L2018" s="169">
        <v>44973</v>
      </c>
      <c r="M2018" s="115">
        <v>199.05</v>
      </c>
      <c r="N2018" s="115">
        <v>204</v>
      </c>
      <c r="O2018" s="115">
        <v>197.35</v>
      </c>
      <c r="P2018" s="115">
        <v>201.85</v>
      </c>
      <c r="Q2018" s="115">
        <v>199.05</v>
      </c>
      <c r="R2018">
        <v>95683</v>
      </c>
    </row>
    <row r="2019" spans="1:18" x14ac:dyDescent="0.25">
      <c r="A2019" s="169">
        <v>44977</v>
      </c>
      <c r="B2019" s="115">
        <v>198.3</v>
      </c>
      <c r="C2019" s="115">
        <v>197.35</v>
      </c>
      <c r="D2019" s="115">
        <v>195.15</v>
      </c>
      <c r="E2019" s="115">
        <v>195.15</v>
      </c>
      <c r="F2019" s="115">
        <v>197.35</v>
      </c>
      <c r="G2019">
        <v>3076</v>
      </c>
      <c r="H2019" s="115"/>
      <c r="I2019" s="115"/>
      <c r="L2019" s="169">
        <v>44974</v>
      </c>
      <c r="M2019" s="115">
        <v>198.95</v>
      </c>
      <c r="N2019" s="115">
        <v>203</v>
      </c>
      <c r="O2019" s="115">
        <v>197.5</v>
      </c>
      <c r="P2019" s="115">
        <v>199</v>
      </c>
      <c r="Q2019" s="115">
        <v>198.95</v>
      </c>
      <c r="R2019">
        <v>24339</v>
      </c>
    </row>
    <row r="2020" spans="1:18" x14ac:dyDescent="0.25">
      <c r="A2020" s="169">
        <v>44978</v>
      </c>
      <c r="B2020" s="115">
        <v>211.35</v>
      </c>
      <c r="C2020" s="115">
        <v>205.85</v>
      </c>
      <c r="D2020" s="115">
        <v>197.3</v>
      </c>
      <c r="E2020" s="115">
        <v>197.3</v>
      </c>
      <c r="F2020" s="115">
        <v>205.85</v>
      </c>
      <c r="G2020">
        <v>10688</v>
      </c>
      <c r="H2020" s="115"/>
      <c r="I2020" s="115"/>
      <c r="L2020" s="169">
        <v>44977</v>
      </c>
      <c r="M2020" s="115">
        <v>196.9</v>
      </c>
      <c r="N2020" s="115">
        <v>199</v>
      </c>
      <c r="O2020" s="115">
        <v>195.3</v>
      </c>
      <c r="P2020" s="115">
        <v>197.7</v>
      </c>
      <c r="Q2020" s="115">
        <v>196.9</v>
      </c>
      <c r="R2020">
        <v>99418</v>
      </c>
    </row>
    <row r="2021" spans="1:18" x14ac:dyDescent="0.25">
      <c r="A2021" s="169">
        <v>44979</v>
      </c>
      <c r="B2021" s="115">
        <v>206.1</v>
      </c>
      <c r="C2021" s="115">
        <v>204.3</v>
      </c>
      <c r="D2021" s="115">
        <v>202</v>
      </c>
      <c r="E2021" s="115">
        <v>204</v>
      </c>
      <c r="F2021" s="115">
        <v>204.3</v>
      </c>
      <c r="G2021">
        <v>5281</v>
      </c>
      <c r="H2021" s="115"/>
      <c r="I2021" s="115"/>
      <c r="L2021" s="169">
        <v>44978</v>
      </c>
      <c r="M2021" s="115">
        <v>205.7</v>
      </c>
      <c r="N2021" s="115">
        <v>211.45</v>
      </c>
      <c r="O2021" s="115">
        <v>195.6</v>
      </c>
      <c r="P2021" s="115">
        <v>195.6</v>
      </c>
      <c r="Q2021" s="115">
        <v>205.7</v>
      </c>
      <c r="R2021">
        <v>174733</v>
      </c>
    </row>
    <row r="2022" spans="1:18" x14ac:dyDescent="0.25">
      <c r="A2022" s="169">
        <v>44980</v>
      </c>
      <c r="B2022" s="115">
        <v>207.4</v>
      </c>
      <c r="C2022" s="115">
        <v>201.2</v>
      </c>
      <c r="D2022" s="115">
        <v>200.25</v>
      </c>
      <c r="E2022" s="115">
        <v>200.25</v>
      </c>
      <c r="F2022" s="115">
        <v>201.2</v>
      </c>
      <c r="G2022">
        <v>5523</v>
      </c>
      <c r="H2022" s="115"/>
      <c r="I2022" s="115"/>
      <c r="L2022" s="169">
        <v>44979</v>
      </c>
      <c r="M2022" s="115">
        <v>203.85</v>
      </c>
      <c r="N2022" s="115">
        <v>207</v>
      </c>
      <c r="O2022" s="115">
        <v>202</v>
      </c>
      <c r="P2022" s="115">
        <v>207</v>
      </c>
      <c r="Q2022" s="115">
        <v>203.85</v>
      </c>
      <c r="R2022">
        <v>47651</v>
      </c>
    </row>
    <row r="2023" spans="1:18" x14ac:dyDescent="0.25">
      <c r="A2023" s="169">
        <v>44981</v>
      </c>
      <c r="B2023" s="115">
        <v>207.25</v>
      </c>
      <c r="C2023" s="115">
        <v>202.1</v>
      </c>
      <c r="D2023" s="115">
        <v>201.55</v>
      </c>
      <c r="E2023" s="115">
        <v>202</v>
      </c>
      <c r="F2023" s="115">
        <v>202.1</v>
      </c>
      <c r="G2023">
        <v>655</v>
      </c>
      <c r="H2023" s="115"/>
      <c r="I2023" s="115"/>
      <c r="L2023" s="169">
        <v>44980</v>
      </c>
      <c r="M2023" s="115">
        <v>204.4</v>
      </c>
      <c r="N2023" s="115">
        <v>207.6</v>
      </c>
      <c r="O2023" s="115">
        <v>201.55</v>
      </c>
      <c r="P2023" s="115">
        <v>204.7</v>
      </c>
      <c r="Q2023" s="115">
        <v>204.4</v>
      </c>
      <c r="R2023">
        <v>54463</v>
      </c>
    </row>
    <row r="2024" spans="1:18" x14ac:dyDescent="0.25">
      <c r="A2024" s="169">
        <v>44984</v>
      </c>
      <c r="B2024" s="115">
        <v>202.4</v>
      </c>
      <c r="C2024" s="115">
        <v>197</v>
      </c>
      <c r="D2024" s="115">
        <v>195</v>
      </c>
      <c r="E2024" s="115">
        <v>201.9</v>
      </c>
      <c r="F2024" s="115">
        <v>197</v>
      </c>
      <c r="G2024">
        <v>1235</v>
      </c>
      <c r="H2024" s="115"/>
      <c r="I2024" s="115"/>
      <c r="L2024" s="169">
        <v>44981</v>
      </c>
      <c r="M2024" s="115">
        <v>201.9</v>
      </c>
      <c r="N2024" s="115">
        <v>208</v>
      </c>
      <c r="O2024" s="115">
        <v>201.05</v>
      </c>
      <c r="P2024" s="115">
        <v>201.4</v>
      </c>
      <c r="Q2024" s="115">
        <v>201.9</v>
      </c>
      <c r="R2024">
        <v>23599</v>
      </c>
    </row>
    <row r="2025" spans="1:18" x14ac:dyDescent="0.25">
      <c r="A2025" s="169">
        <v>44985</v>
      </c>
      <c r="B2025" s="115">
        <v>198.95</v>
      </c>
      <c r="C2025" s="115">
        <v>197.65</v>
      </c>
      <c r="D2025" s="115">
        <v>194.15</v>
      </c>
      <c r="E2025" s="115">
        <v>197.05</v>
      </c>
      <c r="F2025" s="115">
        <v>197.65</v>
      </c>
      <c r="G2025">
        <v>1680</v>
      </c>
      <c r="H2025" s="115"/>
      <c r="I2025" s="115"/>
      <c r="L2025" s="169">
        <v>44984</v>
      </c>
      <c r="M2025" s="115">
        <v>197.9</v>
      </c>
      <c r="N2025" s="115">
        <v>203.5</v>
      </c>
      <c r="O2025" s="115">
        <v>195.25</v>
      </c>
      <c r="P2025" s="115">
        <v>202</v>
      </c>
      <c r="Q2025" s="115">
        <v>197.9</v>
      </c>
      <c r="R2025">
        <v>41683</v>
      </c>
    </row>
    <row r="2026" spans="1:18" x14ac:dyDescent="0.25">
      <c r="A2026" s="169">
        <v>44986</v>
      </c>
      <c r="B2026" s="115">
        <v>198.5</v>
      </c>
      <c r="C2026" s="115">
        <v>197.85</v>
      </c>
      <c r="D2026" s="115">
        <v>195.15</v>
      </c>
      <c r="E2026" s="115">
        <v>198.2</v>
      </c>
      <c r="F2026" s="115">
        <v>197.85</v>
      </c>
      <c r="G2026">
        <v>1157</v>
      </c>
      <c r="H2026" s="115"/>
      <c r="I2026" s="115"/>
      <c r="L2026" s="169">
        <v>44985</v>
      </c>
      <c r="M2026" s="115">
        <v>197.6</v>
      </c>
      <c r="N2026" s="115">
        <v>199.45</v>
      </c>
      <c r="O2026" s="115">
        <v>196.75</v>
      </c>
      <c r="P2026" s="115">
        <v>197.05</v>
      </c>
      <c r="Q2026" s="115">
        <v>197.6</v>
      </c>
      <c r="R2026">
        <v>36745</v>
      </c>
    </row>
    <row r="2027" spans="1:18" x14ac:dyDescent="0.25">
      <c r="A2027" s="169">
        <v>44987</v>
      </c>
      <c r="B2027" s="115">
        <v>202.5</v>
      </c>
      <c r="C2027" s="115">
        <v>196.8</v>
      </c>
      <c r="D2027" s="115">
        <v>195.5</v>
      </c>
      <c r="E2027" s="115">
        <v>195.5</v>
      </c>
      <c r="F2027" s="115">
        <v>196.8</v>
      </c>
      <c r="G2027">
        <v>997</v>
      </c>
      <c r="H2027" s="115"/>
      <c r="I2027" s="115"/>
      <c r="L2027" s="169">
        <v>44986</v>
      </c>
      <c r="M2027" s="115">
        <v>197.75</v>
      </c>
      <c r="N2027" s="115">
        <v>198.55</v>
      </c>
      <c r="O2027" s="115">
        <v>195.25</v>
      </c>
      <c r="P2027" s="115">
        <v>197</v>
      </c>
      <c r="Q2027" s="115">
        <v>197.75</v>
      </c>
      <c r="R2027">
        <v>27374</v>
      </c>
    </row>
    <row r="2028" spans="1:18" x14ac:dyDescent="0.25">
      <c r="A2028" s="169">
        <v>44988</v>
      </c>
      <c r="B2028" s="115">
        <v>203</v>
      </c>
      <c r="C2028" s="115">
        <v>201.2</v>
      </c>
      <c r="D2028" s="115">
        <v>198.75</v>
      </c>
      <c r="E2028" s="115">
        <v>198.8</v>
      </c>
      <c r="F2028" s="115">
        <v>201.2</v>
      </c>
      <c r="G2028">
        <v>1587</v>
      </c>
      <c r="H2028" s="115"/>
      <c r="I2028" s="115"/>
      <c r="L2028" s="169">
        <v>44987</v>
      </c>
      <c r="M2028" s="115">
        <v>198.15</v>
      </c>
      <c r="N2028" s="115">
        <v>202</v>
      </c>
      <c r="O2028" s="115">
        <v>197.05</v>
      </c>
      <c r="P2028" s="115">
        <v>198.3</v>
      </c>
      <c r="Q2028" s="115">
        <v>198.15</v>
      </c>
      <c r="R2028">
        <v>20562</v>
      </c>
    </row>
    <row r="2029" spans="1:18" x14ac:dyDescent="0.25">
      <c r="A2029" s="169">
        <v>44991</v>
      </c>
      <c r="B2029" s="115">
        <v>202.8</v>
      </c>
      <c r="C2029" s="115">
        <v>199.75</v>
      </c>
      <c r="D2029" s="115">
        <v>198.85</v>
      </c>
      <c r="E2029" s="115">
        <v>202.05</v>
      </c>
      <c r="F2029" s="115">
        <v>199.75</v>
      </c>
      <c r="G2029">
        <v>1378</v>
      </c>
      <c r="H2029" s="115"/>
      <c r="I2029" s="115"/>
      <c r="L2029" s="169">
        <v>44988</v>
      </c>
      <c r="M2029" s="115">
        <v>201.6</v>
      </c>
      <c r="N2029" s="115">
        <v>203.5</v>
      </c>
      <c r="O2029" s="115">
        <v>197.55</v>
      </c>
      <c r="P2029" s="115">
        <v>197.55</v>
      </c>
      <c r="Q2029" s="115">
        <v>201.6</v>
      </c>
      <c r="R2029">
        <v>37822</v>
      </c>
    </row>
    <row r="2030" spans="1:18" x14ac:dyDescent="0.25">
      <c r="A2030" s="169">
        <v>44993</v>
      </c>
      <c r="B2030" s="115">
        <v>200.8</v>
      </c>
      <c r="C2030" s="115">
        <v>197.75</v>
      </c>
      <c r="D2030" s="115">
        <v>196</v>
      </c>
      <c r="E2030" s="115">
        <v>200.25</v>
      </c>
      <c r="F2030" s="115">
        <v>197.75</v>
      </c>
      <c r="G2030">
        <v>3594</v>
      </c>
      <c r="H2030" s="115"/>
      <c r="I2030" s="115"/>
      <c r="L2030" s="169">
        <v>44991</v>
      </c>
      <c r="M2030" s="115">
        <v>200.05</v>
      </c>
      <c r="N2030" s="115">
        <v>203.7</v>
      </c>
      <c r="O2030" s="115">
        <v>198.5</v>
      </c>
      <c r="P2030" s="115">
        <v>199.6</v>
      </c>
      <c r="Q2030" s="115">
        <v>200.05</v>
      </c>
      <c r="R2030">
        <v>33646</v>
      </c>
    </row>
    <row r="2031" spans="1:18" x14ac:dyDescent="0.25">
      <c r="A2031" s="169">
        <v>44994</v>
      </c>
      <c r="B2031" s="115">
        <v>205</v>
      </c>
      <c r="C2031" s="115">
        <v>199.6</v>
      </c>
      <c r="D2031" s="115">
        <v>198.15</v>
      </c>
      <c r="E2031" s="115">
        <v>204</v>
      </c>
      <c r="F2031" s="115">
        <v>199.6</v>
      </c>
      <c r="G2031">
        <v>3829</v>
      </c>
      <c r="H2031" s="115"/>
      <c r="I2031" s="115"/>
      <c r="L2031" s="169">
        <v>44993</v>
      </c>
      <c r="M2031" s="115">
        <v>197.65</v>
      </c>
      <c r="N2031" s="115">
        <v>200.95</v>
      </c>
      <c r="O2031" s="115">
        <v>195.6</v>
      </c>
      <c r="P2031" s="115">
        <v>200.05</v>
      </c>
      <c r="Q2031" s="115">
        <v>197.65</v>
      </c>
      <c r="R2031">
        <v>36559</v>
      </c>
    </row>
    <row r="2032" spans="1:18" x14ac:dyDescent="0.25">
      <c r="A2032" s="169">
        <v>44995</v>
      </c>
      <c r="B2032" s="115">
        <v>199.95</v>
      </c>
      <c r="C2032" s="115">
        <v>199</v>
      </c>
      <c r="D2032" s="115">
        <v>196.95</v>
      </c>
      <c r="E2032" s="115">
        <v>197.9</v>
      </c>
      <c r="F2032" s="115">
        <v>199</v>
      </c>
      <c r="G2032">
        <v>1678</v>
      </c>
      <c r="H2032" s="115"/>
      <c r="I2032" s="115"/>
      <c r="L2032" s="169">
        <v>44994</v>
      </c>
      <c r="M2032" s="115">
        <v>199.4</v>
      </c>
      <c r="N2032" s="115">
        <v>205</v>
      </c>
      <c r="O2032" s="115">
        <v>197.95</v>
      </c>
      <c r="P2032" s="115">
        <v>200</v>
      </c>
      <c r="Q2032" s="115">
        <v>199.4</v>
      </c>
      <c r="R2032">
        <v>41135</v>
      </c>
    </row>
    <row r="2033" spans="1:18" x14ac:dyDescent="0.25">
      <c r="A2033" s="169">
        <v>44998</v>
      </c>
      <c r="B2033" s="115">
        <v>199.25</v>
      </c>
      <c r="C2033" s="115">
        <v>195.95</v>
      </c>
      <c r="D2033" s="115">
        <v>192.85</v>
      </c>
      <c r="E2033" s="115">
        <v>198.85</v>
      </c>
      <c r="F2033" s="115">
        <v>195.95</v>
      </c>
      <c r="G2033">
        <v>12124</v>
      </c>
      <c r="H2033" s="115"/>
      <c r="I2033" s="115"/>
      <c r="L2033" s="169">
        <v>44995</v>
      </c>
      <c r="M2033" s="115">
        <v>199</v>
      </c>
      <c r="N2033" s="115">
        <v>200.45</v>
      </c>
      <c r="O2033" s="115">
        <v>197.05</v>
      </c>
      <c r="P2033" s="115">
        <v>198.4</v>
      </c>
      <c r="Q2033" s="115">
        <v>199</v>
      </c>
      <c r="R2033">
        <v>21860</v>
      </c>
    </row>
    <row r="2034" spans="1:18" x14ac:dyDescent="0.25">
      <c r="A2034" s="169">
        <v>44999</v>
      </c>
      <c r="B2034" s="115">
        <v>197.95</v>
      </c>
      <c r="C2034" s="115">
        <v>196.75</v>
      </c>
      <c r="D2034" s="115">
        <v>194.3</v>
      </c>
      <c r="E2034" s="115">
        <v>197.35</v>
      </c>
      <c r="F2034" s="115">
        <v>196.75</v>
      </c>
      <c r="G2034">
        <v>2823</v>
      </c>
      <c r="H2034" s="115"/>
      <c r="I2034" s="115"/>
      <c r="L2034" s="169">
        <v>44998</v>
      </c>
      <c r="M2034" s="115">
        <v>197.15</v>
      </c>
      <c r="N2034" s="115">
        <v>199</v>
      </c>
      <c r="O2034" s="115">
        <v>195.1</v>
      </c>
      <c r="P2034" s="115">
        <v>199</v>
      </c>
      <c r="Q2034" s="115">
        <v>197.15</v>
      </c>
      <c r="R2034">
        <v>62228</v>
      </c>
    </row>
    <row r="2035" spans="1:18" x14ac:dyDescent="0.25">
      <c r="A2035" s="169">
        <v>45000</v>
      </c>
      <c r="B2035" s="115">
        <v>197.95</v>
      </c>
      <c r="C2035" s="115">
        <v>194.75</v>
      </c>
      <c r="D2035" s="115">
        <v>193.5</v>
      </c>
      <c r="E2035" s="115">
        <v>197.6</v>
      </c>
      <c r="F2035" s="115">
        <v>194.75</v>
      </c>
      <c r="G2035">
        <v>4121</v>
      </c>
      <c r="H2035" s="115"/>
      <c r="I2035" s="115"/>
      <c r="L2035" s="169">
        <v>44999</v>
      </c>
      <c r="M2035" s="115">
        <v>196.3</v>
      </c>
      <c r="N2035" s="115">
        <v>198.85</v>
      </c>
      <c r="O2035" s="115">
        <v>194.35</v>
      </c>
      <c r="P2035" s="115">
        <v>197.15</v>
      </c>
      <c r="Q2035" s="115">
        <v>196.3</v>
      </c>
      <c r="R2035">
        <v>42738</v>
      </c>
    </row>
    <row r="2036" spans="1:18" x14ac:dyDescent="0.25">
      <c r="A2036" s="169">
        <v>45001</v>
      </c>
      <c r="B2036" s="115">
        <v>201.4</v>
      </c>
      <c r="C2036" s="115">
        <v>194.5</v>
      </c>
      <c r="D2036" s="115">
        <v>186</v>
      </c>
      <c r="E2036" s="115">
        <v>186</v>
      </c>
      <c r="F2036" s="115">
        <v>194.5</v>
      </c>
      <c r="G2036">
        <v>5748</v>
      </c>
      <c r="H2036" s="115"/>
      <c r="I2036" s="115"/>
      <c r="L2036" s="169">
        <v>45000</v>
      </c>
      <c r="M2036" s="115">
        <v>193.7</v>
      </c>
      <c r="N2036" s="115">
        <v>198.25</v>
      </c>
      <c r="O2036" s="115">
        <v>193.05</v>
      </c>
      <c r="P2036" s="115">
        <v>198.25</v>
      </c>
      <c r="Q2036" s="115">
        <v>193.7</v>
      </c>
      <c r="R2036">
        <v>59676</v>
      </c>
    </row>
    <row r="2037" spans="1:18" x14ac:dyDescent="0.25">
      <c r="A2037" s="169">
        <v>45002</v>
      </c>
      <c r="B2037" s="115">
        <v>196.3</v>
      </c>
      <c r="C2037" s="115">
        <v>194.5</v>
      </c>
      <c r="D2037" s="115">
        <v>193.1</v>
      </c>
      <c r="E2037" s="115">
        <v>194.3</v>
      </c>
      <c r="F2037" s="115">
        <v>194.5</v>
      </c>
      <c r="G2037">
        <v>1651</v>
      </c>
      <c r="H2037" s="115"/>
      <c r="I2037" s="115"/>
      <c r="L2037" s="169">
        <v>45001</v>
      </c>
      <c r="M2037" s="115">
        <v>195</v>
      </c>
      <c r="N2037" s="115">
        <v>195.75</v>
      </c>
      <c r="O2037" s="115">
        <v>190.05</v>
      </c>
      <c r="P2037" s="115">
        <v>194.15</v>
      </c>
      <c r="Q2037" s="115">
        <v>195</v>
      </c>
      <c r="R2037">
        <v>22924</v>
      </c>
    </row>
    <row r="2038" spans="1:18" x14ac:dyDescent="0.25">
      <c r="A2038" s="169">
        <v>45005</v>
      </c>
      <c r="B2038" s="115">
        <v>198.1</v>
      </c>
      <c r="C2038" s="115">
        <v>192</v>
      </c>
      <c r="D2038" s="115">
        <v>190.45</v>
      </c>
      <c r="E2038" s="115">
        <v>196.65</v>
      </c>
      <c r="F2038" s="115">
        <v>192</v>
      </c>
      <c r="G2038">
        <v>6083</v>
      </c>
      <c r="H2038" s="115"/>
      <c r="I2038" s="115"/>
      <c r="L2038" s="169">
        <v>45002</v>
      </c>
      <c r="M2038" s="115">
        <v>194.5</v>
      </c>
      <c r="N2038" s="115">
        <v>196.45</v>
      </c>
      <c r="O2038" s="115">
        <v>192.5</v>
      </c>
      <c r="P2038" s="115">
        <v>195.05</v>
      </c>
      <c r="Q2038" s="115">
        <v>194.5</v>
      </c>
      <c r="R2038">
        <v>16243</v>
      </c>
    </row>
    <row r="2039" spans="1:18" x14ac:dyDescent="0.25">
      <c r="A2039" s="169">
        <v>45006</v>
      </c>
      <c r="B2039" s="115">
        <v>196.95</v>
      </c>
      <c r="C2039" s="115">
        <v>196.2</v>
      </c>
      <c r="D2039" s="115">
        <v>192.7</v>
      </c>
      <c r="E2039" s="115">
        <v>193.25</v>
      </c>
      <c r="F2039" s="115">
        <v>196.2</v>
      </c>
      <c r="G2039">
        <v>1208</v>
      </c>
      <c r="H2039" s="115"/>
      <c r="I2039" s="115"/>
      <c r="L2039" s="169">
        <v>45005</v>
      </c>
      <c r="M2039" s="115">
        <v>192.7</v>
      </c>
      <c r="N2039" s="115">
        <v>200</v>
      </c>
      <c r="O2039" s="115">
        <v>190.5</v>
      </c>
      <c r="P2039" s="115">
        <v>197.7</v>
      </c>
      <c r="Q2039" s="115">
        <v>192.7</v>
      </c>
      <c r="R2039">
        <v>39088</v>
      </c>
    </row>
    <row r="2040" spans="1:18" x14ac:dyDescent="0.25">
      <c r="A2040" s="169">
        <v>45007</v>
      </c>
      <c r="B2040" s="115">
        <v>201</v>
      </c>
      <c r="C2040" s="115">
        <v>198.3</v>
      </c>
      <c r="D2040" s="115">
        <v>195.45</v>
      </c>
      <c r="E2040" s="115">
        <v>195.45</v>
      </c>
      <c r="F2040" s="115">
        <v>198.3</v>
      </c>
      <c r="G2040">
        <v>2205</v>
      </c>
      <c r="H2040" s="115"/>
      <c r="I2040" s="115"/>
      <c r="L2040" s="169">
        <v>45006</v>
      </c>
      <c r="M2040" s="115">
        <v>196.7</v>
      </c>
      <c r="N2040" s="115">
        <v>197.55</v>
      </c>
      <c r="O2040" s="115">
        <v>192.55</v>
      </c>
      <c r="P2040" s="115">
        <v>194.5</v>
      </c>
      <c r="Q2040" s="115">
        <v>196.7</v>
      </c>
      <c r="R2040">
        <v>39439</v>
      </c>
    </row>
    <row r="2041" spans="1:18" x14ac:dyDescent="0.25">
      <c r="A2041" s="169">
        <v>45008</v>
      </c>
      <c r="B2041" s="115">
        <v>199.2</v>
      </c>
      <c r="C2041" s="115">
        <v>198.95</v>
      </c>
      <c r="D2041" s="115">
        <v>197.2</v>
      </c>
      <c r="E2041" s="115">
        <v>197.25</v>
      </c>
      <c r="F2041" s="115">
        <v>198.95</v>
      </c>
      <c r="G2041">
        <v>1214</v>
      </c>
      <c r="H2041" s="115"/>
      <c r="I2041" s="115"/>
      <c r="L2041" s="169">
        <v>45007</v>
      </c>
      <c r="M2041" s="115">
        <v>198.4</v>
      </c>
      <c r="N2041" s="115">
        <v>201</v>
      </c>
      <c r="O2041" s="115">
        <v>195.4</v>
      </c>
      <c r="P2041" s="115">
        <v>195.85</v>
      </c>
      <c r="Q2041" s="115">
        <v>198.4</v>
      </c>
      <c r="R2041">
        <v>51037</v>
      </c>
    </row>
    <row r="2042" spans="1:18" x14ac:dyDescent="0.25">
      <c r="A2042" s="169">
        <v>45009</v>
      </c>
      <c r="B2042" s="115">
        <v>198.6</v>
      </c>
      <c r="C2042" s="115">
        <v>195</v>
      </c>
      <c r="D2042" s="115">
        <v>193.2</v>
      </c>
      <c r="E2042" s="115">
        <v>198.6</v>
      </c>
      <c r="F2042" s="115">
        <v>195</v>
      </c>
      <c r="G2042">
        <v>957</v>
      </c>
      <c r="H2042" s="115"/>
      <c r="I2042" s="115"/>
      <c r="L2042" s="169">
        <v>45008</v>
      </c>
      <c r="M2042" s="115">
        <v>198.5</v>
      </c>
      <c r="N2042" s="115">
        <v>200</v>
      </c>
      <c r="O2042" s="115">
        <v>196.85</v>
      </c>
      <c r="P2042" s="115">
        <v>198.2</v>
      </c>
      <c r="Q2042" s="115">
        <v>198.5</v>
      </c>
      <c r="R2042">
        <v>24591</v>
      </c>
    </row>
    <row r="2043" spans="1:18" x14ac:dyDescent="0.25">
      <c r="A2043" s="169">
        <v>45012</v>
      </c>
      <c r="B2043" s="115">
        <v>194.1</v>
      </c>
      <c r="C2043" s="115">
        <v>191.9</v>
      </c>
      <c r="D2043" s="115">
        <v>191.3</v>
      </c>
      <c r="E2043" s="115">
        <v>194.1</v>
      </c>
      <c r="F2043" s="115">
        <v>191.9</v>
      </c>
      <c r="G2043">
        <v>1385</v>
      </c>
      <c r="H2043" s="115"/>
      <c r="I2043" s="115"/>
      <c r="L2043" s="169">
        <v>45009</v>
      </c>
      <c r="M2043" s="115">
        <v>193.95</v>
      </c>
      <c r="N2043" s="115">
        <v>199.95</v>
      </c>
      <c r="O2043" s="115">
        <v>193</v>
      </c>
      <c r="P2043" s="115">
        <v>199.95</v>
      </c>
      <c r="Q2043" s="115">
        <v>193.95</v>
      </c>
      <c r="R2043">
        <v>38021</v>
      </c>
    </row>
    <row r="2044" spans="1:18" x14ac:dyDescent="0.25">
      <c r="A2044" s="169">
        <v>45013</v>
      </c>
      <c r="B2044" s="115">
        <v>191.25</v>
      </c>
      <c r="C2044" s="115">
        <v>189.05</v>
      </c>
      <c r="D2044" s="115">
        <v>188.2</v>
      </c>
      <c r="E2044" s="115">
        <v>190.7</v>
      </c>
      <c r="F2044" s="115">
        <v>189.05</v>
      </c>
      <c r="G2044">
        <v>3177</v>
      </c>
      <c r="H2044" s="115"/>
      <c r="I2044" s="115"/>
      <c r="L2044" s="169">
        <v>45012</v>
      </c>
      <c r="M2044" s="115">
        <v>191.8</v>
      </c>
      <c r="N2044" s="115">
        <v>194.85</v>
      </c>
      <c r="O2044" s="115">
        <v>191.5</v>
      </c>
      <c r="P2044" s="115">
        <v>194</v>
      </c>
      <c r="Q2044" s="115">
        <v>191.8</v>
      </c>
      <c r="R2044">
        <v>61105</v>
      </c>
    </row>
    <row r="2045" spans="1:18" x14ac:dyDescent="0.25">
      <c r="A2045" s="169">
        <v>45014</v>
      </c>
      <c r="B2045" s="115">
        <v>188.95</v>
      </c>
      <c r="C2045" s="115">
        <v>188.65</v>
      </c>
      <c r="D2045" s="115">
        <v>187.4</v>
      </c>
      <c r="E2045" s="115">
        <v>188.6</v>
      </c>
      <c r="F2045" s="115">
        <v>188.65</v>
      </c>
      <c r="G2045">
        <v>2768</v>
      </c>
      <c r="H2045" s="115"/>
      <c r="I2045" s="115"/>
      <c r="L2045" s="169">
        <v>45013</v>
      </c>
      <c r="M2045" s="115">
        <v>189.4</v>
      </c>
      <c r="N2045" s="115">
        <v>191.8</v>
      </c>
      <c r="O2045" s="115">
        <v>189.05</v>
      </c>
      <c r="P2045" s="115">
        <v>191.05</v>
      </c>
      <c r="Q2045" s="115">
        <v>189.4</v>
      </c>
      <c r="R2045">
        <v>53303</v>
      </c>
    </row>
    <row r="2046" spans="1:18" x14ac:dyDescent="0.25">
      <c r="A2046" s="169">
        <v>45016</v>
      </c>
      <c r="B2046" s="115">
        <v>192</v>
      </c>
      <c r="C2046" s="115">
        <v>189.8</v>
      </c>
      <c r="D2046" s="115">
        <v>188.55</v>
      </c>
      <c r="E2046" s="115">
        <v>188.55</v>
      </c>
      <c r="F2046" s="115">
        <v>189.8</v>
      </c>
      <c r="G2046">
        <v>10110</v>
      </c>
      <c r="H2046" s="115"/>
      <c r="I2046" s="115"/>
      <c r="L2046" s="169">
        <v>45014</v>
      </c>
      <c r="M2046" s="115">
        <v>188.75</v>
      </c>
      <c r="N2046" s="115">
        <v>189.65</v>
      </c>
      <c r="O2046" s="115">
        <v>187.5</v>
      </c>
      <c r="P2046" s="115">
        <v>189</v>
      </c>
      <c r="Q2046" s="115">
        <v>188.75</v>
      </c>
      <c r="R2046">
        <v>53161</v>
      </c>
    </row>
    <row r="2047" spans="1:18" x14ac:dyDescent="0.25">
      <c r="A2047" s="169">
        <v>45019</v>
      </c>
      <c r="B2047" s="115">
        <v>195.35</v>
      </c>
      <c r="C2047" s="115">
        <v>193</v>
      </c>
      <c r="D2047" s="115">
        <v>189.75</v>
      </c>
      <c r="E2047" s="115">
        <v>194.65</v>
      </c>
      <c r="F2047" s="115">
        <v>193</v>
      </c>
      <c r="G2047">
        <v>1295</v>
      </c>
      <c r="H2047" s="115"/>
      <c r="I2047" s="115"/>
      <c r="L2047" s="169">
        <v>45016</v>
      </c>
      <c r="M2047" s="115">
        <v>189.5</v>
      </c>
      <c r="N2047" s="115">
        <v>192.6</v>
      </c>
      <c r="O2047" s="115">
        <v>189.1</v>
      </c>
      <c r="P2047" s="115">
        <v>190</v>
      </c>
      <c r="Q2047" s="115">
        <v>189.5</v>
      </c>
      <c r="R2047">
        <v>43858</v>
      </c>
    </row>
    <row r="2048" spans="1:18" x14ac:dyDescent="0.25">
      <c r="A2048" s="169">
        <v>45021</v>
      </c>
      <c r="B2048" s="115">
        <v>204.75</v>
      </c>
      <c r="C2048" s="115">
        <v>202.45</v>
      </c>
      <c r="D2048" s="115">
        <v>195.05</v>
      </c>
      <c r="E2048" s="115">
        <v>195.05</v>
      </c>
      <c r="F2048" s="115">
        <v>202.45</v>
      </c>
      <c r="G2048">
        <v>5482</v>
      </c>
      <c r="H2048" s="115"/>
      <c r="I2048" s="115"/>
      <c r="L2048" s="169">
        <v>45019</v>
      </c>
      <c r="M2048" s="115">
        <v>192.6</v>
      </c>
      <c r="N2048" s="115">
        <v>195.9</v>
      </c>
      <c r="O2048" s="115">
        <v>189</v>
      </c>
      <c r="P2048" s="115">
        <v>190</v>
      </c>
      <c r="Q2048" s="115">
        <v>192.6</v>
      </c>
      <c r="R2048">
        <v>38132</v>
      </c>
    </row>
    <row r="2049" spans="1:18" x14ac:dyDescent="0.25">
      <c r="A2049" s="169">
        <v>45022</v>
      </c>
      <c r="B2049" s="115">
        <v>207.05</v>
      </c>
      <c r="C2049" s="115">
        <v>201.7</v>
      </c>
      <c r="D2049" s="115">
        <v>200.5</v>
      </c>
      <c r="E2049" s="115">
        <v>204</v>
      </c>
      <c r="F2049" s="115">
        <v>201.7</v>
      </c>
      <c r="G2049">
        <v>3501</v>
      </c>
      <c r="H2049" s="115"/>
      <c r="I2049" s="115"/>
      <c r="L2049" s="169">
        <v>45021</v>
      </c>
      <c r="M2049" s="115">
        <v>203.55</v>
      </c>
      <c r="N2049" s="115">
        <v>204.55</v>
      </c>
      <c r="O2049" s="115">
        <v>193.55</v>
      </c>
      <c r="P2049" s="115">
        <v>193.55</v>
      </c>
      <c r="Q2049" s="115">
        <v>203.55</v>
      </c>
      <c r="R2049">
        <v>88526</v>
      </c>
    </row>
    <row r="2050" spans="1:18" x14ac:dyDescent="0.25">
      <c r="A2050" s="169">
        <v>45026</v>
      </c>
      <c r="B2050" s="115">
        <v>204.7</v>
      </c>
      <c r="C2050" s="115">
        <v>202.2</v>
      </c>
      <c r="D2050" s="115">
        <v>198.8</v>
      </c>
      <c r="E2050" s="115">
        <v>201.7</v>
      </c>
      <c r="F2050" s="115">
        <v>202.2</v>
      </c>
      <c r="G2050">
        <v>5815</v>
      </c>
      <c r="H2050" s="115"/>
      <c r="I2050" s="115"/>
      <c r="L2050" s="169">
        <v>45022</v>
      </c>
      <c r="M2050" s="115">
        <v>201.4</v>
      </c>
      <c r="N2050" s="115">
        <v>207.05</v>
      </c>
      <c r="O2050" s="115">
        <v>200.15</v>
      </c>
      <c r="P2050" s="115">
        <v>205</v>
      </c>
      <c r="Q2050" s="115">
        <v>201.4</v>
      </c>
      <c r="R2050">
        <v>70185</v>
      </c>
    </row>
    <row r="2051" spans="1:18" x14ac:dyDescent="0.25">
      <c r="A2051" s="169">
        <v>45027</v>
      </c>
      <c r="B2051" s="115">
        <v>208.7</v>
      </c>
      <c r="C2051" s="115">
        <v>200.05</v>
      </c>
      <c r="D2051" s="115">
        <v>199</v>
      </c>
      <c r="E2051" s="115">
        <v>202.4</v>
      </c>
      <c r="F2051" s="115">
        <v>200.05</v>
      </c>
      <c r="G2051">
        <v>3439</v>
      </c>
      <c r="H2051" s="115"/>
      <c r="I2051" s="115"/>
      <c r="L2051" s="169">
        <v>45026</v>
      </c>
      <c r="M2051" s="115">
        <v>203</v>
      </c>
      <c r="N2051" s="115">
        <v>204.7</v>
      </c>
      <c r="O2051" s="115">
        <v>200</v>
      </c>
      <c r="P2051" s="115">
        <v>203.35</v>
      </c>
      <c r="Q2051" s="115">
        <v>203</v>
      </c>
      <c r="R2051">
        <v>25511</v>
      </c>
    </row>
    <row r="2052" spans="1:18" x14ac:dyDescent="0.25">
      <c r="A2052" s="169">
        <v>45028</v>
      </c>
      <c r="B2052" s="115">
        <v>208.4</v>
      </c>
      <c r="C2052" s="115">
        <v>205.5</v>
      </c>
      <c r="D2052" s="115">
        <v>200.8</v>
      </c>
      <c r="E2052" s="115">
        <v>201.7</v>
      </c>
      <c r="F2052" s="115">
        <v>205.5</v>
      </c>
      <c r="G2052">
        <v>11326</v>
      </c>
      <c r="H2052" s="115"/>
      <c r="I2052" s="115"/>
      <c r="L2052" s="169">
        <v>45027</v>
      </c>
      <c r="M2052" s="115">
        <v>200.05</v>
      </c>
      <c r="N2052" s="115">
        <v>205</v>
      </c>
      <c r="O2052" s="115">
        <v>198.15</v>
      </c>
      <c r="P2052" s="115">
        <v>203.55</v>
      </c>
      <c r="Q2052" s="115">
        <v>200.05</v>
      </c>
      <c r="R2052">
        <v>40278</v>
      </c>
    </row>
    <row r="2053" spans="1:18" x14ac:dyDescent="0.25">
      <c r="A2053" s="169">
        <v>45029</v>
      </c>
      <c r="B2053" s="115">
        <v>211.7</v>
      </c>
      <c r="C2053" s="115">
        <v>211.2</v>
      </c>
      <c r="D2053" s="115">
        <v>204.6</v>
      </c>
      <c r="E2053" s="115">
        <v>204.85</v>
      </c>
      <c r="F2053" s="115">
        <v>211.2</v>
      </c>
      <c r="G2053">
        <v>14243</v>
      </c>
      <c r="H2053" s="115"/>
      <c r="I2053" s="115"/>
      <c r="L2053" s="169">
        <v>45028</v>
      </c>
      <c r="M2053" s="115">
        <v>205.95</v>
      </c>
      <c r="N2053" s="115">
        <v>208.75</v>
      </c>
      <c r="O2053" s="115">
        <v>201</v>
      </c>
      <c r="P2053" s="115">
        <v>201.25</v>
      </c>
      <c r="Q2053" s="115">
        <v>205.95</v>
      </c>
      <c r="R2053">
        <v>110636</v>
      </c>
    </row>
    <row r="2054" spans="1:18" x14ac:dyDescent="0.25">
      <c r="A2054" s="169">
        <v>45033</v>
      </c>
      <c r="B2054" s="115">
        <v>216</v>
      </c>
      <c r="C2054" s="115">
        <v>215.05</v>
      </c>
      <c r="D2054" s="115">
        <v>208</v>
      </c>
      <c r="E2054" s="115">
        <v>208</v>
      </c>
      <c r="F2054" s="115">
        <v>215.05</v>
      </c>
      <c r="G2054">
        <v>9949</v>
      </c>
      <c r="H2054" s="115"/>
      <c r="I2054" s="115"/>
      <c r="L2054" s="169">
        <v>45029</v>
      </c>
      <c r="M2054" s="115">
        <v>211.05</v>
      </c>
      <c r="N2054" s="115">
        <v>212.15</v>
      </c>
      <c r="O2054" s="115">
        <v>204.3</v>
      </c>
      <c r="P2054" s="115">
        <v>205.95</v>
      </c>
      <c r="Q2054" s="115">
        <v>211.05</v>
      </c>
      <c r="R2054">
        <v>126767</v>
      </c>
    </row>
    <row r="2055" spans="1:18" x14ac:dyDescent="0.25">
      <c r="A2055" s="169">
        <v>45034</v>
      </c>
      <c r="B2055" s="115">
        <v>220.8</v>
      </c>
      <c r="C2055" s="115">
        <v>218.75</v>
      </c>
      <c r="D2055" s="115">
        <v>211</v>
      </c>
      <c r="E2055" s="115">
        <v>214.5</v>
      </c>
      <c r="F2055" s="115">
        <v>218.75</v>
      </c>
      <c r="G2055">
        <v>9512</v>
      </c>
      <c r="H2055" s="115"/>
      <c r="I2055" s="115"/>
      <c r="L2055" s="169">
        <v>45033</v>
      </c>
      <c r="M2055" s="115">
        <v>214.75</v>
      </c>
      <c r="N2055" s="115">
        <v>215.5</v>
      </c>
      <c r="O2055" s="115">
        <v>208.9</v>
      </c>
      <c r="P2055" s="115">
        <v>210.55</v>
      </c>
      <c r="Q2055" s="115">
        <v>214.75</v>
      </c>
      <c r="R2055">
        <v>152371</v>
      </c>
    </row>
    <row r="2056" spans="1:18" x14ac:dyDescent="0.25">
      <c r="A2056" s="169">
        <v>45035</v>
      </c>
      <c r="B2056" s="115">
        <v>229.1</v>
      </c>
      <c r="C2056" s="115">
        <v>221.85</v>
      </c>
      <c r="D2056" s="115">
        <v>218</v>
      </c>
      <c r="E2056" s="115">
        <v>218.75</v>
      </c>
      <c r="F2056" s="115">
        <v>221.85</v>
      </c>
      <c r="G2056">
        <v>14055</v>
      </c>
      <c r="H2056" s="115"/>
      <c r="I2056" s="115"/>
      <c r="L2056" s="169">
        <v>45034</v>
      </c>
      <c r="M2056" s="115">
        <v>219</v>
      </c>
      <c r="N2056" s="115">
        <v>219.95</v>
      </c>
      <c r="O2056" s="115">
        <v>214.6</v>
      </c>
      <c r="P2056" s="115">
        <v>215</v>
      </c>
      <c r="Q2056" s="115">
        <v>219</v>
      </c>
      <c r="R2056">
        <v>157768</v>
      </c>
    </row>
    <row r="2057" spans="1:18" x14ac:dyDescent="0.25">
      <c r="A2057" s="169">
        <v>45036</v>
      </c>
      <c r="B2057" s="115">
        <v>223.2</v>
      </c>
      <c r="C2057" s="115">
        <v>216.6</v>
      </c>
      <c r="D2057" s="115">
        <v>212.1</v>
      </c>
      <c r="E2057" s="115">
        <v>217.1</v>
      </c>
      <c r="F2057" s="115">
        <v>216.6</v>
      </c>
      <c r="G2057">
        <v>9312</v>
      </c>
      <c r="H2057" s="115"/>
      <c r="I2057" s="115"/>
      <c r="L2057" s="169">
        <v>45035</v>
      </c>
      <c r="M2057" s="115">
        <v>221.7</v>
      </c>
      <c r="N2057" s="115">
        <v>229</v>
      </c>
      <c r="O2057" s="115">
        <v>219</v>
      </c>
      <c r="P2057" s="115">
        <v>219</v>
      </c>
      <c r="Q2057" s="115">
        <v>221.7</v>
      </c>
      <c r="R2057">
        <v>275287</v>
      </c>
    </row>
    <row r="2058" spans="1:18" x14ac:dyDescent="0.25">
      <c r="A2058" s="169">
        <v>45037</v>
      </c>
      <c r="B2058" s="115">
        <v>225</v>
      </c>
      <c r="C2058" s="115">
        <v>219.7</v>
      </c>
      <c r="D2058" s="115">
        <v>211.95</v>
      </c>
      <c r="E2058" s="115">
        <v>216.1</v>
      </c>
      <c r="F2058" s="115">
        <v>219.7</v>
      </c>
      <c r="G2058">
        <v>11706</v>
      </c>
      <c r="H2058" s="115"/>
      <c r="I2058" s="115"/>
      <c r="L2058" s="169">
        <v>45036</v>
      </c>
      <c r="M2058" s="115">
        <v>216.25</v>
      </c>
      <c r="N2058" s="115">
        <v>225</v>
      </c>
      <c r="O2058" s="115">
        <v>212.35</v>
      </c>
      <c r="P2058" s="115">
        <v>222.8</v>
      </c>
      <c r="Q2058" s="115">
        <v>216.25</v>
      </c>
      <c r="R2058">
        <v>147772</v>
      </c>
    </row>
    <row r="2059" spans="1:18" x14ac:dyDescent="0.25">
      <c r="A2059" s="169">
        <v>45040</v>
      </c>
      <c r="B2059" s="115">
        <v>225.05</v>
      </c>
      <c r="C2059" s="115">
        <v>222.95</v>
      </c>
      <c r="D2059" s="115">
        <v>216.15</v>
      </c>
      <c r="E2059" s="115">
        <v>220.55</v>
      </c>
      <c r="F2059" s="115">
        <v>222.95</v>
      </c>
      <c r="G2059">
        <v>3330</v>
      </c>
      <c r="H2059" s="115"/>
      <c r="I2059" s="115"/>
      <c r="L2059" s="169">
        <v>45037</v>
      </c>
      <c r="M2059" s="115">
        <v>220.05</v>
      </c>
      <c r="N2059" s="115">
        <v>222.55</v>
      </c>
      <c r="O2059" s="115">
        <v>213.05</v>
      </c>
      <c r="P2059" s="115">
        <v>216.8</v>
      </c>
      <c r="Q2059" s="115">
        <v>220.05</v>
      </c>
      <c r="R2059">
        <v>68997</v>
      </c>
    </row>
    <row r="2060" spans="1:18" x14ac:dyDescent="0.25">
      <c r="A2060" s="169">
        <v>45041</v>
      </c>
      <c r="B2060" s="115">
        <v>230</v>
      </c>
      <c r="C2060" s="115">
        <v>224.4</v>
      </c>
      <c r="D2060" s="115">
        <v>221</v>
      </c>
      <c r="E2060" s="115">
        <v>221.95</v>
      </c>
      <c r="F2060" s="115">
        <v>224.4</v>
      </c>
      <c r="G2060">
        <v>13624</v>
      </c>
      <c r="H2060" s="115"/>
      <c r="I2060" s="115"/>
      <c r="L2060" s="169">
        <v>45040</v>
      </c>
      <c r="M2060" s="115">
        <v>222.35</v>
      </c>
      <c r="N2060" s="115">
        <v>224</v>
      </c>
      <c r="O2060" s="115">
        <v>216.25</v>
      </c>
      <c r="P2060" s="115">
        <v>219.5</v>
      </c>
      <c r="Q2060" s="115">
        <v>222.35</v>
      </c>
      <c r="R2060">
        <v>45200</v>
      </c>
    </row>
    <row r="2061" spans="1:18" x14ac:dyDescent="0.25">
      <c r="A2061" s="169">
        <v>45042</v>
      </c>
      <c r="B2061" s="115">
        <v>239.65</v>
      </c>
      <c r="C2061" s="115">
        <v>231.25</v>
      </c>
      <c r="D2061" s="115">
        <v>220</v>
      </c>
      <c r="E2061" s="115">
        <v>220</v>
      </c>
      <c r="F2061" s="115">
        <v>231.25</v>
      </c>
      <c r="G2061">
        <v>86137</v>
      </c>
      <c r="H2061" s="115"/>
      <c r="I2061" s="115"/>
      <c r="L2061" s="169">
        <v>45041</v>
      </c>
      <c r="M2061" s="115">
        <v>224.35</v>
      </c>
      <c r="N2061" s="115">
        <v>230.2</v>
      </c>
      <c r="O2061" s="115">
        <v>221</v>
      </c>
      <c r="P2061" s="115">
        <v>221</v>
      </c>
      <c r="Q2061" s="115">
        <v>224.35</v>
      </c>
      <c r="R2061">
        <v>138553</v>
      </c>
    </row>
    <row r="2062" spans="1:18" x14ac:dyDescent="0.25">
      <c r="A2062" s="169">
        <v>45043</v>
      </c>
      <c r="B2062" s="115">
        <v>234.45</v>
      </c>
      <c r="C2062" s="115">
        <v>225</v>
      </c>
      <c r="D2062" s="115">
        <v>224.2</v>
      </c>
      <c r="E2062" s="115">
        <v>231</v>
      </c>
      <c r="F2062" s="115">
        <v>225</v>
      </c>
      <c r="G2062">
        <v>11422</v>
      </c>
      <c r="H2062" s="115"/>
      <c r="I2062" s="115"/>
      <c r="L2062" s="169">
        <v>45042</v>
      </c>
      <c r="M2062" s="115">
        <v>231.3</v>
      </c>
      <c r="N2062" s="115">
        <v>239.9</v>
      </c>
      <c r="O2062" s="115">
        <v>221</v>
      </c>
      <c r="P2062" s="115">
        <v>221</v>
      </c>
      <c r="Q2062" s="115">
        <v>231.3</v>
      </c>
      <c r="R2062">
        <v>891639</v>
      </c>
    </row>
    <row r="2063" spans="1:18" x14ac:dyDescent="0.25">
      <c r="A2063" s="169">
        <v>45044</v>
      </c>
      <c r="B2063" s="115">
        <v>231</v>
      </c>
      <c r="C2063" s="115">
        <v>227.5</v>
      </c>
      <c r="D2063" s="115">
        <v>223.15</v>
      </c>
      <c r="E2063" s="115">
        <v>226.8</v>
      </c>
      <c r="F2063" s="115">
        <v>227.5</v>
      </c>
      <c r="G2063">
        <v>5170</v>
      </c>
      <c r="H2063" s="115"/>
      <c r="I2063" s="115"/>
      <c r="L2063" s="169">
        <v>45043</v>
      </c>
      <c r="M2063" s="115">
        <v>225.15</v>
      </c>
      <c r="N2063" s="115">
        <v>234.55</v>
      </c>
      <c r="O2063" s="115">
        <v>224.4</v>
      </c>
      <c r="P2063" s="115">
        <v>233.35</v>
      </c>
      <c r="Q2063" s="115">
        <v>225.15</v>
      </c>
      <c r="R2063">
        <v>211207</v>
      </c>
    </row>
    <row r="2064" spans="1:18" x14ac:dyDescent="0.25">
      <c r="A2064" s="169">
        <v>45048</v>
      </c>
      <c r="B2064" s="115">
        <v>239.5</v>
      </c>
      <c r="C2064" s="115">
        <v>222.05</v>
      </c>
      <c r="D2064" s="115">
        <v>221.6</v>
      </c>
      <c r="E2064" s="115">
        <v>239.5</v>
      </c>
      <c r="F2064" s="115">
        <v>222.05</v>
      </c>
      <c r="G2064">
        <v>6866</v>
      </c>
      <c r="H2064" s="115"/>
      <c r="I2064" s="115"/>
      <c r="L2064" s="169">
        <v>45044</v>
      </c>
      <c r="M2064" s="115">
        <v>228.15</v>
      </c>
      <c r="N2064" s="115">
        <v>231</v>
      </c>
      <c r="O2064" s="115">
        <v>223.05</v>
      </c>
      <c r="P2064" s="115">
        <v>227</v>
      </c>
      <c r="Q2064" s="115">
        <v>228.15</v>
      </c>
      <c r="R2064">
        <v>192268</v>
      </c>
    </row>
    <row r="2065" spans="1:18" x14ac:dyDescent="0.25">
      <c r="A2065" s="169">
        <v>45049</v>
      </c>
      <c r="B2065" s="115">
        <v>226.8</v>
      </c>
      <c r="C2065" s="115">
        <v>223.2</v>
      </c>
      <c r="D2065" s="115">
        <v>222.15</v>
      </c>
      <c r="E2065" s="115">
        <v>224.7</v>
      </c>
      <c r="F2065" s="115">
        <v>223.2</v>
      </c>
      <c r="G2065">
        <v>8094</v>
      </c>
      <c r="H2065" s="115"/>
      <c r="I2065" s="115"/>
      <c r="L2065" s="169">
        <v>45048</v>
      </c>
      <c r="M2065" s="115">
        <v>221.9</v>
      </c>
      <c r="N2065" s="115">
        <v>228.05</v>
      </c>
      <c r="O2065" s="115">
        <v>221.1</v>
      </c>
      <c r="P2065" s="115">
        <v>228</v>
      </c>
      <c r="Q2065" s="115">
        <v>221.9</v>
      </c>
      <c r="R2065">
        <v>106998</v>
      </c>
    </row>
    <row r="2066" spans="1:18" x14ac:dyDescent="0.25">
      <c r="A2066" s="169">
        <v>45050</v>
      </c>
      <c r="B2066" s="115">
        <v>227.2</v>
      </c>
      <c r="C2066" s="115">
        <v>224.4</v>
      </c>
      <c r="D2066" s="115">
        <v>224.1</v>
      </c>
      <c r="E2066" s="115">
        <v>226.75</v>
      </c>
      <c r="F2066" s="115">
        <v>224.4</v>
      </c>
      <c r="G2066">
        <v>3579</v>
      </c>
      <c r="H2066" s="115"/>
      <c r="I2066" s="115"/>
      <c r="L2066" s="169">
        <v>45049</v>
      </c>
      <c r="M2066" s="115">
        <v>223.8</v>
      </c>
      <c r="N2066" s="115">
        <v>226.75</v>
      </c>
      <c r="O2066" s="115">
        <v>221.9</v>
      </c>
      <c r="P2066" s="115">
        <v>222.15</v>
      </c>
      <c r="Q2066" s="115">
        <v>223.8</v>
      </c>
      <c r="R2066">
        <v>115063</v>
      </c>
    </row>
    <row r="2067" spans="1:18" x14ac:dyDescent="0.25">
      <c r="A2067" s="169">
        <v>45051</v>
      </c>
      <c r="B2067" s="115">
        <v>226.5</v>
      </c>
      <c r="C2067" s="115">
        <v>225.1</v>
      </c>
      <c r="D2067" s="115">
        <v>223.3</v>
      </c>
      <c r="E2067" s="115">
        <v>225.8</v>
      </c>
      <c r="F2067" s="115">
        <v>225.1</v>
      </c>
      <c r="G2067">
        <v>718</v>
      </c>
      <c r="H2067" s="115"/>
      <c r="I2067" s="115"/>
      <c r="L2067" s="169">
        <v>45050</v>
      </c>
      <c r="M2067" s="115">
        <v>224.8</v>
      </c>
      <c r="N2067" s="115">
        <v>227</v>
      </c>
      <c r="O2067" s="115">
        <v>224</v>
      </c>
      <c r="P2067" s="115">
        <v>224.75</v>
      </c>
      <c r="Q2067" s="115">
        <v>224.8</v>
      </c>
      <c r="R2067">
        <v>40325</v>
      </c>
    </row>
    <row r="2068" spans="1:18" x14ac:dyDescent="0.25">
      <c r="A2068" s="169">
        <v>45054</v>
      </c>
      <c r="B2068" s="115">
        <v>228.5</v>
      </c>
      <c r="C2068" s="115">
        <v>226.8</v>
      </c>
      <c r="D2068" s="115">
        <v>224.7</v>
      </c>
      <c r="E2068" s="115">
        <v>226.6</v>
      </c>
      <c r="F2068" s="115">
        <v>226.8</v>
      </c>
      <c r="G2068">
        <v>3916</v>
      </c>
      <c r="H2068" s="115"/>
      <c r="I2068" s="115"/>
      <c r="L2068" s="169">
        <v>45051</v>
      </c>
      <c r="M2068" s="115">
        <v>225.1</v>
      </c>
      <c r="N2068" s="115">
        <v>227</v>
      </c>
      <c r="O2068" s="115">
        <v>223.6</v>
      </c>
      <c r="P2068" s="115">
        <v>226.75</v>
      </c>
      <c r="Q2068" s="115">
        <v>225.1</v>
      </c>
      <c r="R2068">
        <v>50193</v>
      </c>
    </row>
    <row r="2069" spans="1:18" x14ac:dyDescent="0.25">
      <c r="A2069" s="169">
        <v>45055</v>
      </c>
      <c r="B2069" s="115">
        <v>229.6</v>
      </c>
      <c r="C2069" s="115">
        <v>227.4</v>
      </c>
      <c r="D2069" s="115">
        <v>225.55</v>
      </c>
      <c r="E2069" s="115">
        <v>227.65</v>
      </c>
      <c r="F2069" s="115">
        <v>227.4</v>
      </c>
      <c r="G2069">
        <v>1874</v>
      </c>
      <c r="H2069" s="115"/>
      <c r="I2069" s="115"/>
      <c r="L2069" s="169">
        <v>45054</v>
      </c>
      <c r="M2069" s="115">
        <v>226.4</v>
      </c>
      <c r="N2069" s="115">
        <v>229</v>
      </c>
      <c r="O2069" s="115">
        <v>225</v>
      </c>
      <c r="P2069" s="115">
        <v>225.1</v>
      </c>
      <c r="Q2069" s="115">
        <v>226.4</v>
      </c>
      <c r="R2069">
        <v>58500</v>
      </c>
    </row>
    <row r="2070" spans="1:18" x14ac:dyDescent="0.25">
      <c r="A2070" s="169">
        <v>45056</v>
      </c>
      <c r="B2070" s="115">
        <v>232.5</v>
      </c>
      <c r="C2070" s="115">
        <v>228.05</v>
      </c>
      <c r="D2070" s="115">
        <v>226.25</v>
      </c>
      <c r="E2070" s="115">
        <v>226.3</v>
      </c>
      <c r="F2070" s="115">
        <v>228.05</v>
      </c>
      <c r="G2070">
        <v>6332</v>
      </c>
      <c r="H2070" s="115"/>
      <c r="I2070" s="115"/>
      <c r="L2070" s="169">
        <v>45055</v>
      </c>
      <c r="M2070" s="115">
        <v>226.6</v>
      </c>
      <c r="N2070" s="115">
        <v>229.4</v>
      </c>
      <c r="O2070" s="115">
        <v>225.75</v>
      </c>
      <c r="P2070" s="115">
        <v>228</v>
      </c>
      <c r="Q2070" s="115">
        <v>226.6</v>
      </c>
      <c r="R2070">
        <v>46357</v>
      </c>
    </row>
    <row r="2071" spans="1:18" x14ac:dyDescent="0.25">
      <c r="A2071" s="169">
        <v>45057</v>
      </c>
      <c r="B2071" s="115">
        <v>230.5</v>
      </c>
      <c r="C2071" s="115">
        <v>229.6</v>
      </c>
      <c r="D2071" s="115">
        <v>228.05</v>
      </c>
      <c r="E2071" s="115">
        <v>228.9</v>
      </c>
      <c r="F2071" s="115">
        <v>229.6</v>
      </c>
      <c r="G2071">
        <v>1382</v>
      </c>
      <c r="H2071" s="115"/>
      <c r="I2071" s="115"/>
      <c r="L2071" s="169">
        <v>45056</v>
      </c>
      <c r="M2071" s="115">
        <v>228.3</v>
      </c>
      <c r="N2071" s="115">
        <v>232.65</v>
      </c>
      <c r="O2071" s="115">
        <v>226.55</v>
      </c>
      <c r="P2071" s="115">
        <v>226.6</v>
      </c>
      <c r="Q2071" s="115">
        <v>228.3</v>
      </c>
      <c r="R2071">
        <v>91233</v>
      </c>
    </row>
    <row r="2072" spans="1:18" x14ac:dyDescent="0.25">
      <c r="A2072" s="169">
        <v>45058</v>
      </c>
      <c r="B2072" s="115">
        <v>234.95</v>
      </c>
      <c r="C2072" s="115">
        <v>231.7</v>
      </c>
      <c r="D2072" s="115">
        <v>227.75</v>
      </c>
      <c r="E2072" s="115">
        <v>230</v>
      </c>
      <c r="F2072" s="115">
        <v>231.7</v>
      </c>
      <c r="G2072">
        <v>13033</v>
      </c>
      <c r="H2072" s="115"/>
      <c r="I2072" s="115"/>
      <c r="L2072" s="169">
        <v>45057</v>
      </c>
      <c r="M2072" s="115">
        <v>228.65</v>
      </c>
      <c r="N2072" s="115">
        <v>230.55</v>
      </c>
      <c r="O2072" s="115">
        <v>228</v>
      </c>
      <c r="P2072" s="115">
        <v>228.95</v>
      </c>
      <c r="Q2072" s="115">
        <v>228.65</v>
      </c>
      <c r="R2072">
        <v>81709</v>
      </c>
    </row>
    <row r="2073" spans="1:18" x14ac:dyDescent="0.25">
      <c r="A2073" s="169">
        <v>45061</v>
      </c>
      <c r="B2073" s="115">
        <v>235.75</v>
      </c>
      <c r="C2073" s="115">
        <v>229.3</v>
      </c>
      <c r="D2073" s="115">
        <v>227.35</v>
      </c>
      <c r="E2073" s="115">
        <v>227.35</v>
      </c>
      <c r="F2073" s="115">
        <v>229.3</v>
      </c>
      <c r="G2073">
        <v>7295</v>
      </c>
      <c r="H2073" s="115"/>
      <c r="I2073" s="115"/>
      <c r="L2073" s="169">
        <v>45058</v>
      </c>
      <c r="M2073" s="115">
        <v>231.95</v>
      </c>
      <c r="N2073" s="115">
        <v>235</v>
      </c>
      <c r="O2073" s="115">
        <v>228.05</v>
      </c>
      <c r="P2073" s="115">
        <v>229</v>
      </c>
      <c r="Q2073" s="115">
        <v>231.95</v>
      </c>
      <c r="R2073">
        <v>139392</v>
      </c>
    </row>
    <row r="2074" spans="1:18" x14ac:dyDescent="0.25">
      <c r="A2074" s="169">
        <v>45062</v>
      </c>
      <c r="B2074" s="115">
        <v>235.9</v>
      </c>
      <c r="C2074" s="115">
        <v>233.45</v>
      </c>
      <c r="D2074" s="115">
        <v>229.95</v>
      </c>
      <c r="E2074" s="115">
        <v>229.95</v>
      </c>
      <c r="F2074" s="115">
        <v>233.45</v>
      </c>
      <c r="G2074">
        <v>8348</v>
      </c>
      <c r="H2074" s="115"/>
      <c r="I2074" s="115"/>
      <c r="L2074" s="169">
        <v>45061</v>
      </c>
      <c r="M2074" s="115">
        <v>229.7</v>
      </c>
      <c r="N2074" s="115">
        <v>236</v>
      </c>
      <c r="O2074" s="115">
        <v>229</v>
      </c>
      <c r="P2074" s="115">
        <v>232</v>
      </c>
      <c r="Q2074" s="115">
        <v>229.7</v>
      </c>
      <c r="R2074">
        <v>96523</v>
      </c>
    </row>
    <row r="2075" spans="1:18" x14ac:dyDescent="0.25">
      <c r="A2075" s="169">
        <v>45063</v>
      </c>
      <c r="B2075" s="115">
        <v>241.95</v>
      </c>
      <c r="C2075" s="115">
        <v>239.7</v>
      </c>
      <c r="D2075" s="115">
        <v>228.55</v>
      </c>
      <c r="E2075" s="115">
        <v>231.55</v>
      </c>
      <c r="F2075" s="115">
        <v>239.7</v>
      </c>
      <c r="G2075">
        <v>71838</v>
      </c>
      <c r="H2075" s="115"/>
      <c r="I2075" s="115"/>
      <c r="L2075" s="169">
        <v>45062</v>
      </c>
      <c r="M2075" s="115">
        <v>232.6</v>
      </c>
      <c r="N2075" s="115">
        <v>233.85</v>
      </c>
      <c r="O2075" s="115">
        <v>230.05</v>
      </c>
      <c r="P2075" s="115">
        <v>230.05</v>
      </c>
      <c r="Q2075" s="115">
        <v>232.6</v>
      </c>
      <c r="R2075">
        <v>71587</v>
      </c>
    </row>
    <row r="2076" spans="1:18" x14ac:dyDescent="0.25">
      <c r="A2076" s="169">
        <v>45064</v>
      </c>
      <c r="B2076" s="115">
        <v>266</v>
      </c>
      <c r="C2076" s="115">
        <v>257.45</v>
      </c>
      <c r="D2076" s="115">
        <v>236.7</v>
      </c>
      <c r="E2076" s="115">
        <v>241.3</v>
      </c>
      <c r="F2076" s="115">
        <v>257.45</v>
      </c>
      <c r="G2076">
        <v>69416</v>
      </c>
      <c r="H2076" s="115"/>
      <c r="I2076" s="115"/>
      <c r="L2076" s="169">
        <v>45063</v>
      </c>
      <c r="M2076" s="115">
        <v>240</v>
      </c>
      <c r="N2076" s="115">
        <v>241.8</v>
      </c>
      <c r="O2076" s="115">
        <v>229</v>
      </c>
      <c r="P2076" s="115">
        <v>232.6</v>
      </c>
      <c r="Q2076" s="115">
        <v>240</v>
      </c>
      <c r="R2076">
        <v>276675</v>
      </c>
    </row>
    <row r="2077" spans="1:18" x14ac:dyDescent="0.25">
      <c r="A2077" s="169">
        <v>45065</v>
      </c>
      <c r="B2077" s="115">
        <v>272.64999999999998</v>
      </c>
      <c r="C2077" s="115">
        <v>263</v>
      </c>
      <c r="D2077" s="115">
        <v>253.25</v>
      </c>
      <c r="E2077" s="115">
        <v>257.8</v>
      </c>
      <c r="F2077" s="115">
        <v>263</v>
      </c>
      <c r="G2077">
        <v>34628</v>
      </c>
      <c r="H2077" s="115"/>
      <c r="I2077" s="115"/>
      <c r="L2077" s="169">
        <v>45064</v>
      </c>
      <c r="M2077" s="115">
        <v>259</v>
      </c>
      <c r="N2077" s="115">
        <v>266</v>
      </c>
      <c r="O2077" s="115">
        <v>236.25</v>
      </c>
      <c r="P2077" s="115">
        <v>240.7</v>
      </c>
      <c r="Q2077" s="115">
        <v>259</v>
      </c>
      <c r="R2077">
        <v>1386940</v>
      </c>
    </row>
    <row r="2078" spans="1:18" x14ac:dyDescent="0.25">
      <c r="A2078" s="169">
        <v>45068</v>
      </c>
      <c r="B2078" s="115">
        <v>266.5</v>
      </c>
      <c r="C2078" s="115">
        <v>255</v>
      </c>
      <c r="D2078" s="115">
        <v>249.05</v>
      </c>
      <c r="E2078" s="115">
        <v>266.45</v>
      </c>
      <c r="F2078" s="115">
        <v>255</v>
      </c>
      <c r="G2078">
        <v>14945</v>
      </c>
      <c r="H2078" s="115"/>
      <c r="I2078" s="115"/>
      <c r="L2078" s="169">
        <v>45065</v>
      </c>
      <c r="M2078" s="115">
        <v>264</v>
      </c>
      <c r="N2078" s="115">
        <v>272.5</v>
      </c>
      <c r="O2078" s="115">
        <v>253.15</v>
      </c>
      <c r="P2078" s="115">
        <v>259</v>
      </c>
      <c r="Q2078" s="115">
        <v>264</v>
      </c>
      <c r="R2078">
        <v>1161712</v>
      </c>
    </row>
    <row r="2079" spans="1:18" x14ac:dyDescent="0.25">
      <c r="A2079" s="169">
        <v>45069</v>
      </c>
      <c r="B2079" s="115">
        <v>268.45</v>
      </c>
      <c r="C2079" s="115">
        <v>266.3</v>
      </c>
      <c r="D2079" s="115">
        <v>256.89999999999998</v>
      </c>
      <c r="E2079" s="115">
        <v>256.89999999999998</v>
      </c>
      <c r="F2079" s="115">
        <v>266.3</v>
      </c>
      <c r="G2079">
        <v>18213</v>
      </c>
      <c r="H2079" s="115"/>
      <c r="I2079" s="115"/>
      <c r="L2079" s="169">
        <v>45068</v>
      </c>
      <c r="M2079" s="115">
        <v>255.05</v>
      </c>
      <c r="N2079" s="115">
        <v>266.60000000000002</v>
      </c>
      <c r="O2079" s="115">
        <v>248.35</v>
      </c>
      <c r="P2079" s="115">
        <v>264.60000000000002</v>
      </c>
      <c r="Q2079" s="115">
        <v>255.05</v>
      </c>
      <c r="R2079">
        <v>307797</v>
      </c>
    </row>
    <row r="2080" spans="1:18" x14ac:dyDescent="0.25">
      <c r="A2080" s="169">
        <v>45070</v>
      </c>
      <c r="B2080" s="115">
        <v>267.75</v>
      </c>
      <c r="C2080" s="115">
        <v>265.14999999999998</v>
      </c>
      <c r="D2080" s="115">
        <v>263.55</v>
      </c>
      <c r="E2080" s="115">
        <v>265.8</v>
      </c>
      <c r="F2080" s="115">
        <v>265.14999999999998</v>
      </c>
      <c r="G2080">
        <v>11935</v>
      </c>
      <c r="H2080" s="115"/>
      <c r="I2080" s="115"/>
      <c r="L2080" s="169">
        <v>45069</v>
      </c>
      <c r="M2080" s="115">
        <v>266.45</v>
      </c>
      <c r="N2080" s="115">
        <v>268.5</v>
      </c>
      <c r="O2080" s="115">
        <v>256.14999999999998</v>
      </c>
      <c r="P2080" s="115">
        <v>257.8</v>
      </c>
      <c r="Q2080" s="115">
        <v>266.45</v>
      </c>
      <c r="R2080">
        <v>307648</v>
      </c>
    </row>
    <row r="2081" spans="1:18" x14ac:dyDescent="0.25">
      <c r="A2081" s="169">
        <v>45071</v>
      </c>
      <c r="B2081" s="115">
        <v>269.85000000000002</v>
      </c>
      <c r="C2081" s="115">
        <v>265.05</v>
      </c>
      <c r="D2081" s="115">
        <v>262.5</v>
      </c>
      <c r="E2081" s="115">
        <v>265.95</v>
      </c>
      <c r="F2081" s="115">
        <v>265.05</v>
      </c>
      <c r="G2081">
        <v>3534</v>
      </c>
      <c r="H2081" s="115"/>
      <c r="I2081" s="115"/>
      <c r="L2081" s="169">
        <v>45070</v>
      </c>
      <c r="M2081" s="115">
        <v>265.8</v>
      </c>
      <c r="N2081" s="115">
        <v>267.7</v>
      </c>
      <c r="O2081" s="115">
        <v>262.8</v>
      </c>
      <c r="P2081" s="115">
        <v>266.45</v>
      </c>
      <c r="Q2081" s="115">
        <v>265.8</v>
      </c>
      <c r="R2081">
        <v>93589</v>
      </c>
    </row>
    <row r="2082" spans="1:18" x14ac:dyDescent="0.25">
      <c r="A2082" s="169">
        <v>45072</v>
      </c>
      <c r="B2082" s="115">
        <v>266.39999999999998</v>
      </c>
      <c r="C2082" s="115">
        <v>262.55</v>
      </c>
      <c r="D2082" s="115">
        <v>261.14999999999998</v>
      </c>
      <c r="E2082" s="115">
        <v>262</v>
      </c>
      <c r="F2082" s="115">
        <v>262.55</v>
      </c>
      <c r="G2082">
        <v>15761</v>
      </c>
      <c r="H2082" s="115"/>
      <c r="I2082" s="115"/>
      <c r="L2082" s="169">
        <v>45071</v>
      </c>
      <c r="M2082" s="115">
        <v>264.55</v>
      </c>
      <c r="N2082" s="115">
        <v>269.89999999999998</v>
      </c>
      <c r="O2082" s="115">
        <v>262.5</v>
      </c>
      <c r="P2082" s="115">
        <v>266</v>
      </c>
      <c r="Q2082" s="115">
        <v>264.55</v>
      </c>
      <c r="R2082">
        <v>88417</v>
      </c>
    </row>
    <row r="2083" spans="1:18" x14ac:dyDescent="0.25">
      <c r="A2083" s="169">
        <v>45075</v>
      </c>
      <c r="B2083" s="115">
        <v>273.2</v>
      </c>
      <c r="C2083" s="115">
        <v>265</v>
      </c>
      <c r="D2083" s="115">
        <v>257.89999999999998</v>
      </c>
      <c r="E2083" s="115">
        <v>257.95</v>
      </c>
      <c r="F2083" s="115">
        <v>265</v>
      </c>
      <c r="G2083">
        <v>9980</v>
      </c>
      <c r="H2083" s="115"/>
      <c r="I2083" s="115"/>
      <c r="L2083" s="169">
        <v>45072</v>
      </c>
      <c r="M2083" s="115">
        <v>263.14999999999998</v>
      </c>
      <c r="N2083" s="115">
        <v>266.60000000000002</v>
      </c>
      <c r="O2083" s="115">
        <v>261</v>
      </c>
      <c r="P2083" s="115">
        <v>265.7</v>
      </c>
      <c r="Q2083" s="115">
        <v>263.14999999999998</v>
      </c>
      <c r="R2083">
        <v>54746</v>
      </c>
    </row>
    <row r="2084" spans="1:18" x14ac:dyDescent="0.25">
      <c r="A2084" s="169">
        <v>45076</v>
      </c>
      <c r="B2084" s="115">
        <v>300</v>
      </c>
      <c r="C2084" s="115">
        <v>283.14999999999998</v>
      </c>
      <c r="D2084" s="115">
        <v>259.7</v>
      </c>
      <c r="E2084" s="115">
        <v>259.75</v>
      </c>
      <c r="F2084" s="115">
        <v>283.14999999999998</v>
      </c>
      <c r="G2084">
        <v>61428</v>
      </c>
      <c r="H2084" s="115"/>
      <c r="I2084" s="115"/>
      <c r="L2084" s="169">
        <v>45075</v>
      </c>
      <c r="M2084" s="115">
        <v>264.8</v>
      </c>
      <c r="N2084" s="115">
        <v>273.14999999999998</v>
      </c>
      <c r="O2084" s="115">
        <v>260.3</v>
      </c>
      <c r="P2084" s="115">
        <v>262</v>
      </c>
      <c r="Q2084" s="115">
        <v>264.8</v>
      </c>
      <c r="R2084">
        <v>114241</v>
      </c>
    </row>
    <row r="2085" spans="1:18" x14ac:dyDescent="0.25">
      <c r="A2085" s="169">
        <v>45077</v>
      </c>
      <c r="B2085" s="115">
        <v>286.55</v>
      </c>
      <c r="C2085" s="115">
        <v>284.75</v>
      </c>
      <c r="D2085" s="115">
        <v>274.3</v>
      </c>
      <c r="E2085" s="115">
        <v>280</v>
      </c>
      <c r="F2085" s="115">
        <v>284.75</v>
      </c>
      <c r="G2085">
        <v>16595</v>
      </c>
      <c r="H2085" s="115"/>
      <c r="I2085" s="115"/>
      <c r="L2085" s="169">
        <v>45076</v>
      </c>
      <c r="M2085" s="115">
        <v>285.60000000000002</v>
      </c>
      <c r="N2085" s="115">
        <v>298</v>
      </c>
      <c r="O2085" s="115">
        <v>262.75</v>
      </c>
      <c r="P2085" s="115">
        <v>264.7</v>
      </c>
      <c r="Q2085" s="115">
        <v>285.60000000000002</v>
      </c>
      <c r="R2085">
        <v>296345</v>
      </c>
    </row>
    <row r="2086" spans="1:18" x14ac:dyDescent="0.25">
      <c r="A2086" s="169">
        <v>45078</v>
      </c>
      <c r="B2086" s="115">
        <v>286</v>
      </c>
      <c r="C2086" s="115">
        <v>280.7</v>
      </c>
      <c r="D2086" s="115">
        <v>279.05</v>
      </c>
      <c r="E2086" s="115">
        <v>283.60000000000002</v>
      </c>
      <c r="F2086" s="115">
        <v>280.7</v>
      </c>
      <c r="G2086">
        <v>11143</v>
      </c>
      <c r="H2086" s="115"/>
      <c r="I2086" s="115"/>
      <c r="L2086" s="169">
        <v>45077</v>
      </c>
      <c r="M2086" s="115">
        <v>285.2</v>
      </c>
      <c r="N2086" s="115">
        <v>287</v>
      </c>
      <c r="O2086" s="115">
        <v>274.10000000000002</v>
      </c>
      <c r="P2086" s="115">
        <v>280</v>
      </c>
      <c r="Q2086" s="115">
        <v>285.2</v>
      </c>
      <c r="R2086">
        <v>212381</v>
      </c>
    </row>
    <row r="2087" spans="1:18" x14ac:dyDescent="0.25">
      <c r="A2087" s="169">
        <v>45079</v>
      </c>
      <c r="B2087" s="115">
        <v>291.75</v>
      </c>
      <c r="C2087" s="115">
        <v>287.75</v>
      </c>
      <c r="D2087" s="115">
        <v>280.35000000000002</v>
      </c>
      <c r="E2087" s="115">
        <v>282.45</v>
      </c>
      <c r="F2087" s="115">
        <v>287.75</v>
      </c>
      <c r="G2087">
        <v>16145</v>
      </c>
      <c r="H2087" s="115"/>
      <c r="I2087" s="115"/>
      <c r="L2087" s="169">
        <v>45078</v>
      </c>
      <c r="M2087" s="115">
        <v>281.35000000000002</v>
      </c>
      <c r="N2087" s="115">
        <v>285.89999999999998</v>
      </c>
      <c r="O2087" s="115">
        <v>278.39999999999998</v>
      </c>
      <c r="P2087" s="115">
        <v>282.35000000000002</v>
      </c>
      <c r="Q2087" s="115">
        <v>281.35000000000002</v>
      </c>
      <c r="R2087">
        <v>190053</v>
      </c>
    </row>
    <row r="2088" spans="1:18" x14ac:dyDescent="0.25">
      <c r="A2088" s="169">
        <v>45082</v>
      </c>
      <c r="B2088" s="115">
        <v>290.14999999999998</v>
      </c>
      <c r="C2088" s="115">
        <v>276.10000000000002</v>
      </c>
      <c r="D2088" s="115">
        <v>273.89999999999998</v>
      </c>
      <c r="E2088" s="115">
        <v>290</v>
      </c>
      <c r="F2088" s="115">
        <v>276.10000000000002</v>
      </c>
      <c r="G2088">
        <v>10181</v>
      </c>
      <c r="H2088" s="115"/>
      <c r="I2088" s="115"/>
      <c r="L2088" s="169">
        <v>45079</v>
      </c>
      <c r="M2088" s="115">
        <v>287.75</v>
      </c>
      <c r="N2088" s="115">
        <v>291.95</v>
      </c>
      <c r="O2088" s="115">
        <v>280.25</v>
      </c>
      <c r="P2088" s="115">
        <v>281.35000000000002</v>
      </c>
      <c r="Q2088" s="115">
        <v>287.75</v>
      </c>
      <c r="R2088">
        <v>160520</v>
      </c>
    </row>
    <row r="2089" spans="1:18" x14ac:dyDescent="0.25">
      <c r="A2089" s="169">
        <v>45083</v>
      </c>
      <c r="B2089" s="115">
        <v>282.45</v>
      </c>
      <c r="C2089" s="115">
        <v>274.7</v>
      </c>
      <c r="D2089" s="115">
        <v>272.14999999999998</v>
      </c>
      <c r="E2089" s="115">
        <v>279</v>
      </c>
      <c r="F2089" s="115">
        <v>274.7</v>
      </c>
      <c r="G2089">
        <v>10437</v>
      </c>
      <c r="H2089" s="115"/>
      <c r="I2089" s="115"/>
      <c r="L2089" s="169">
        <v>45082</v>
      </c>
      <c r="M2089" s="115">
        <v>276.89999999999998</v>
      </c>
      <c r="N2089" s="115">
        <v>290.55</v>
      </c>
      <c r="O2089" s="115">
        <v>273.95</v>
      </c>
      <c r="P2089" s="115">
        <v>290</v>
      </c>
      <c r="Q2089" s="115">
        <v>276.89999999999998</v>
      </c>
      <c r="R2089">
        <v>93611</v>
      </c>
    </row>
    <row r="2090" spans="1:18" x14ac:dyDescent="0.25">
      <c r="A2090" s="169">
        <v>45084</v>
      </c>
      <c r="B2090" s="115">
        <v>276.10000000000002</v>
      </c>
      <c r="C2090" s="115">
        <v>266.3</v>
      </c>
      <c r="D2090" s="115">
        <v>264.3</v>
      </c>
      <c r="E2090" s="115">
        <v>274.7</v>
      </c>
      <c r="F2090" s="115">
        <v>266.3</v>
      </c>
      <c r="G2090">
        <v>9474</v>
      </c>
      <c r="H2090" s="115"/>
      <c r="I2090" s="115"/>
      <c r="L2090" s="169">
        <v>45083</v>
      </c>
      <c r="M2090" s="115">
        <v>273.2</v>
      </c>
      <c r="N2090" s="115">
        <v>282.3</v>
      </c>
      <c r="O2090" s="115">
        <v>271.89999999999998</v>
      </c>
      <c r="P2090" s="115">
        <v>278.45</v>
      </c>
      <c r="Q2090" s="115">
        <v>273.2</v>
      </c>
      <c r="R2090">
        <v>184616</v>
      </c>
    </row>
    <row r="2091" spans="1:18" x14ac:dyDescent="0.25">
      <c r="A2091" s="169">
        <v>45085</v>
      </c>
      <c r="B2091" s="115">
        <v>273.64999999999998</v>
      </c>
      <c r="C2091" s="115">
        <v>262.85000000000002</v>
      </c>
      <c r="D2091" s="115">
        <v>262.2</v>
      </c>
      <c r="E2091" s="115">
        <v>267.89999999999998</v>
      </c>
      <c r="F2091" s="115">
        <v>262.85000000000002</v>
      </c>
      <c r="G2091">
        <v>27117</v>
      </c>
      <c r="H2091" s="115"/>
      <c r="I2091" s="115"/>
      <c r="L2091" s="169">
        <v>45084</v>
      </c>
      <c r="M2091" s="115">
        <v>266.39999999999998</v>
      </c>
      <c r="N2091" s="115">
        <v>275.89999999999998</v>
      </c>
      <c r="O2091" s="115">
        <v>263.55</v>
      </c>
      <c r="P2091" s="115">
        <v>275.89999999999998</v>
      </c>
      <c r="Q2091" s="115">
        <v>266.39999999999998</v>
      </c>
      <c r="R2091">
        <v>84634</v>
      </c>
    </row>
    <row r="2092" spans="1:18" x14ac:dyDescent="0.25">
      <c r="A2092" s="169">
        <v>45086</v>
      </c>
      <c r="B2092" s="115">
        <v>267.60000000000002</v>
      </c>
      <c r="C2092" s="115">
        <v>261.7</v>
      </c>
      <c r="D2092" s="115">
        <v>261.2</v>
      </c>
      <c r="E2092" s="115">
        <v>265.5</v>
      </c>
      <c r="F2092" s="115">
        <v>261.7</v>
      </c>
      <c r="G2092">
        <v>4239</v>
      </c>
      <c r="H2092" s="115"/>
      <c r="I2092" s="115"/>
      <c r="L2092" s="169">
        <v>45085</v>
      </c>
      <c r="M2092" s="115">
        <v>263.39999999999998</v>
      </c>
      <c r="N2092" s="115">
        <v>273.45</v>
      </c>
      <c r="O2092" s="115">
        <v>262.2</v>
      </c>
      <c r="P2092" s="115">
        <v>267.3</v>
      </c>
      <c r="Q2092" s="115">
        <v>263.39999999999998</v>
      </c>
      <c r="R2092">
        <v>196534</v>
      </c>
    </row>
    <row r="2093" spans="1:18" x14ac:dyDescent="0.25">
      <c r="A2093" s="169">
        <v>45089</v>
      </c>
      <c r="B2093" s="115">
        <v>270.45</v>
      </c>
      <c r="C2093" s="115">
        <v>266.95</v>
      </c>
      <c r="D2093" s="115">
        <v>260.14999999999998</v>
      </c>
      <c r="E2093" s="115">
        <v>260.14999999999998</v>
      </c>
      <c r="F2093" s="115">
        <v>266.95</v>
      </c>
      <c r="G2093">
        <v>40971</v>
      </c>
      <c r="H2093" s="115"/>
      <c r="I2093" s="115"/>
      <c r="L2093" s="169">
        <v>45086</v>
      </c>
      <c r="M2093" s="115">
        <v>261.7</v>
      </c>
      <c r="N2093" s="115">
        <v>267.95</v>
      </c>
      <c r="O2093" s="115">
        <v>261.35000000000002</v>
      </c>
      <c r="P2093" s="115">
        <v>264.5</v>
      </c>
      <c r="Q2093" s="115">
        <v>261.7</v>
      </c>
      <c r="R2093">
        <v>47382</v>
      </c>
    </row>
    <row r="2094" spans="1:18" x14ac:dyDescent="0.25">
      <c r="A2094" s="169">
        <v>45090</v>
      </c>
      <c r="B2094" s="115">
        <v>270.2</v>
      </c>
      <c r="C2094" s="115">
        <v>261.85000000000002</v>
      </c>
      <c r="D2094" s="115">
        <v>260.85000000000002</v>
      </c>
      <c r="E2094" s="115">
        <v>264</v>
      </c>
      <c r="F2094" s="115">
        <v>261.85000000000002</v>
      </c>
      <c r="G2094">
        <v>11473</v>
      </c>
      <c r="H2094" s="115"/>
      <c r="I2094" s="115"/>
      <c r="L2094" s="169">
        <v>45089</v>
      </c>
      <c r="M2094" s="115">
        <v>266.7</v>
      </c>
      <c r="N2094" s="115">
        <v>270.7</v>
      </c>
      <c r="O2094" s="115">
        <v>261.3</v>
      </c>
      <c r="P2094" s="115">
        <v>262.2</v>
      </c>
      <c r="Q2094" s="115">
        <v>266.7</v>
      </c>
      <c r="R2094">
        <v>346254</v>
      </c>
    </row>
    <row r="2095" spans="1:18" x14ac:dyDescent="0.25">
      <c r="A2095" s="169">
        <v>45091</v>
      </c>
      <c r="B2095" s="115">
        <v>273.39999999999998</v>
      </c>
      <c r="C2095" s="115">
        <v>271.75</v>
      </c>
      <c r="D2095" s="115">
        <v>262.39999999999998</v>
      </c>
      <c r="E2095" s="115">
        <v>262.7</v>
      </c>
      <c r="F2095" s="115">
        <v>271.75</v>
      </c>
      <c r="G2095">
        <v>12822</v>
      </c>
      <c r="H2095" s="115"/>
      <c r="I2095" s="115"/>
      <c r="L2095" s="169">
        <v>45090</v>
      </c>
      <c r="M2095" s="115">
        <v>261.85000000000002</v>
      </c>
      <c r="N2095" s="115">
        <v>269</v>
      </c>
      <c r="O2095" s="115">
        <v>260.2</v>
      </c>
      <c r="P2095" s="115">
        <v>269</v>
      </c>
      <c r="Q2095" s="115">
        <v>261.85000000000002</v>
      </c>
      <c r="R2095">
        <v>70773</v>
      </c>
    </row>
    <row r="2096" spans="1:18" x14ac:dyDescent="0.25">
      <c r="A2096" s="169">
        <v>45092</v>
      </c>
      <c r="B2096" s="115">
        <v>282.55</v>
      </c>
      <c r="C2096" s="115">
        <v>279.85000000000002</v>
      </c>
      <c r="D2096" s="115">
        <v>272.39999999999998</v>
      </c>
      <c r="E2096" s="115">
        <v>273.10000000000002</v>
      </c>
      <c r="F2096" s="115">
        <v>279.85000000000002</v>
      </c>
      <c r="G2096">
        <v>21311</v>
      </c>
      <c r="H2096" s="115"/>
      <c r="I2096" s="115"/>
      <c r="L2096" s="169">
        <v>45091</v>
      </c>
      <c r="M2096" s="115">
        <v>271.5</v>
      </c>
      <c r="N2096" s="115">
        <v>273.5</v>
      </c>
      <c r="O2096" s="115">
        <v>262.2</v>
      </c>
      <c r="P2096" s="115">
        <v>262.5</v>
      </c>
      <c r="Q2096" s="115">
        <v>271.5</v>
      </c>
      <c r="R2096">
        <v>129617</v>
      </c>
    </row>
    <row r="2097" spans="1:18" x14ac:dyDescent="0.25">
      <c r="A2097" s="169">
        <v>45093</v>
      </c>
      <c r="B2097" s="115">
        <v>286.60000000000002</v>
      </c>
      <c r="C2097" s="115">
        <v>285</v>
      </c>
      <c r="D2097" s="115">
        <v>279.64999999999998</v>
      </c>
      <c r="E2097" s="115">
        <v>280.5</v>
      </c>
      <c r="F2097" s="115">
        <v>285</v>
      </c>
      <c r="G2097">
        <v>21142</v>
      </c>
      <c r="H2097" s="115"/>
      <c r="I2097" s="115"/>
      <c r="L2097" s="169">
        <v>45092</v>
      </c>
      <c r="M2097" s="115">
        <v>280.25</v>
      </c>
      <c r="N2097" s="115">
        <v>282.60000000000002</v>
      </c>
      <c r="O2097" s="115">
        <v>271.5</v>
      </c>
      <c r="P2097" s="115">
        <v>272.10000000000002</v>
      </c>
      <c r="Q2097" s="115">
        <v>280.25</v>
      </c>
      <c r="R2097">
        <v>161941</v>
      </c>
    </row>
    <row r="2098" spans="1:18" x14ac:dyDescent="0.25">
      <c r="A2098" s="169">
        <v>45096</v>
      </c>
      <c r="B2098" s="115">
        <v>289</v>
      </c>
      <c r="C2098" s="115">
        <v>285.14999999999998</v>
      </c>
      <c r="D2098" s="115">
        <v>272.14999999999998</v>
      </c>
      <c r="E2098" s="115">
        <v>284.75</v>
      </c>
      <c r="F2098" s="115">
        <v>285.14999999999998</v>
      </c>
      <c r="G2098">
        <v>15230</v>
      </c>
      <c r="H2098" s="115"/>
      <c r="I2098" s="115"/>
      <c r="L2098" s="169">
        <v>45093</v>
      </c>
      <c r="M2098" s="115">
        <v>285.05</v>
      </c>
      <c r="N2098" s="115">
        <v>286.5</v>
      </c>
      <c r="O2098" s="115">
        <v>279.3</v>
      </c>
      <c r="P2098" s="115">
        <v>282</v>
      </c>
      <c r="Q2098" s="115">
        <v>285.05</v>
      </c>
      <c r="R2098">
        <v>191753</v>
      </c>
    </row>
    <row r="2099" spans="1:18" x14ac:dyDescent="0.25">
      <c r="A2099" s="169">
        <v>45097</v>
      </c>
      <c r="B2099" s="115">
        <v>287.35000000000002</v>
      </c>
      <c r="C2099" s="115">
        <v>280.64999999999998</v>
      </c>
      <c r="D2099" s="115">
        <v>279.64999999999998</v>
      </c>
      <c r="E2099" s="115">
        <v>284.95</v>
      </c>
      <c r="F2099" s="115">
        <v>280.64999999999998</v>
      </c>
      <c r="G2099">
        <v>8693</v>
      </c>
      <c r="H2099" s="115"/>
      <c r="I2099" s="115"/>
      <c r="L2099" s="169">
        <v>45096</v>
      </c>
      <c r="M2099" s="115">
        <v>285.14999999999998</v>
      </c>
      <c r="N2099" s="115">
        <v>289</v>
      </c>
      <c r="O2099" s="115">
        <v>272</v>
      </c>
      <c r="P2099" s="115">
        <v>286</v>
      </c>
      <c r="Q2099" s="115">
        <v>285.14999999999998</v>
      </c>
      <c r="R2099">
        <v>226892</v>
      </c>
    </row>
    <row r="2100" spans="1:18" x14ac:dyDescent="0.25">
      <c r="A2100" s="169">
        <v>45098</v>
      </c>
      <c r="B2100" s="115">
        <v>289</v>
      </c>
      <c r="C2100" s="115">
        <v>282.64999999999998</v>
      </c>
      <c r="D2100" s="115">
        <v>279.35000000000002</v>
      </c>
      <c r="E2100" s="115">
        <v>279.35000000000002</v>
      </c>
      <c r="F2100" s="115">
        <v>282.64999999999998</v>
      </c>
      <c r="G2100">
        <v>11054</v>
      </c>
      <c r="H2100" s="115"/>
      <c r="I2100" s="115"/>
      <c r="L2100" s="169">
        <v>45097</v>
      </c>
      <c r="M2100" s="115">
        <v>280.55</v>
      </c>
      <c r="N2100" s="115">
        <v>287.60000000000002</v>
      </c>
      <c r="O2100" s="115">
        <v>279.5</v>
      </c>
      <c r="P2100" s="115">
        <v>285.14999999999998</v>
      </c>
      <c r="Q2100" s="115">
        <v>280.55</v>
      </c>
      <c r="R2100">
        <v>50770</v>
      </c>
    </row>
    <row r="2101" spans="1:18" x14ac:dyDescent="0.25">
      <c r="A2101" s="169">
        <v>45099</v>
      </c>
      <c r="B2101" s="115">
        <v>289.85000000000002</v>
      </c>
      <c r="C2101" s="115">
        <v>275.95</v>
      </c>
      <c r="D2101" s="115">
        <v>272</v>
      </c>
      <c r="E2101" s="115">
        <v>289.85000000000002</v>
      </c>
      <c r="F2101" s="115">
        <v>275.95</v>
      </c>
      <c r="G2101">
        <v>8656</v>
      </c>
      <c r="H2101" s="115"/>
      <c r="I2101" s="115"/>
      <c r="L2101" s="169">
        <v>45098</v>
      </c>
      <c r="M2101" s="115">
        <v>284</v>
      </c>
      <c r="N2101" s="115">
        <v>290</v>
      </c>
      <c r="O2101" s="115">
        <v>279.35000000000002</v>
      </c>
      <c r="P2101" s="115">
        <v>279.5</v>
      </c>
      <c r="Q2101" s="115">
        <v>284</v>
      </c>
      <c r="R2101">
        <v>98680</v>
      </c>
    </row>
    <row r="2102" spans="1:18" x14ac:dyDescent="0.25">
      <c r="A2102" s="169">
        <v>45100</v>
      </c>
      <c r="B2102" s="115">
        <v>277.85000000000002</v>
      </c>
      <c r="C2102" s="115">
        <v>273.64999999999998</v>
      </c>
      <c r="D2102" s="115">
        <v>268.14999999999998</v>
      </c>
      <c r="E2102" s="115">
        <v>276.64999999999998</v>
      </c>
      <c r="F2102" s="115">
        <v>273.64999999999998</v>
      </c>
      <c r="G2102">
        <v>14740</v>
      </c>
      <c r="H2102" s="115"/>
      <c r="I2102" s="115"/>
      <c r="L2102" s="169">
        <v>45099</v>
      </c>
      <c r="M2102" s="115">
        <v>275.75</v>
      </c>
      <c r="N2102" s="115">
        <v>287.10000000000002</v>
      </c>
      <c r="O2102" s="115">
        <v>272</v>
      </c>
      <c r="P2102" s="115">
        <v>284</v>
      </c>
      <c r="Q2102" s="115">
        <v>275.75</v>
      </c>
      <c r="R2102">
        <v>96528</v>
      </c>
    </row>
    <row r="2103" spans="1:18" x14ac:dyDescent="0.25">
      <c r="A2103" s="169">
        <v>45103</v>
      </c>
      <c r="B2103" s="115">
        <v>281.7</v>
      </c>
      <c r="C2103" s="115">
        <v>278.10000000000002</v>
      </c>
      <c r="D2103" s="115">
        <v>269</v>
      </c>
      <c r="E2103" s="115">
        <v>269</v>
      </c>
      <c r="F2103" s="115">
        <v>278.10000000000002</v>
      </c>
      <c r="G2103">
        <v>10506</v>
      </c>
      <c r="H2103" s="115"/>
      <c r="I2103" s="115"/>
      <c r="L2103" s="169">
        <v>45100</v>
      </c>
      <c r="M2103" s="115">
        <v>272.89999999999998</v>
      </c>
      <c r="N2103" s="115">
        <v>278.05</v>
      </c>
      <c r="O2103" s="115">
        <v>271.35000000000002</v>
      </c>
      <c r="P2103" s="115">
        <v>278</v>
      </c>
      <c r="Q2103" s="115">
        <v>272.89999999999998</v>
      </c>
      <c r="R2103">
        <v>62230</v>
      </c>
    </row>
    <row r="2104" spans="1:18" x14ac:dyDescent="0.25">
      <c r="A2104" s="169">
        <v>45104</v>
      </c>
      <c r="B2104" s="115">
        <v>281.25</v>
      </c>
      <c r="C2104" s="115">
        <v>275.45</v>
      </c>
      <c r="D2104" s="115">
        <v>274.64999999999998</v>
      </c>
      <c r="E2104" s="115">
        <v>279.10000000000002</v>
      </c>
      <c r="F2104" s="115">
        <v>275.45</v>
      </c>
      <c r="G2104">
        <v>7030</v>
      </c>
      <c r="H2104" s="115"/>
      <c r="I2104" s="115"/>
      <c r="L2104" s="169">
        <v>45103</v>
      </c>
      <c r="M2104" s="115">
        <v>278.64999999999998</v>
      </c>
      <c r="N2104" s="115">
        <v>281.7</v>
      </c>
      <c r="O2104" s="115">
        <v>272.25</v>
      </c>
      <c r="P2104" s="115">
        <v>272.89999999999998</v>
      </c>
      <c r="Q2104" s="115">
        <v>278.64999999999998</v>
      </c>
      <c r="R2104">
        <v>73956</v>
      </c>
    </row>
    <row r="2105" spans="1:18" x14ac:dyDescent="0.25">
      <c r="A2105" s="169">
        <v>45105</v>
      </c>
      <c r="B2105" s="115">
        <v>279.55</v>
      </c>
      <c r="C2105" s="115">
        <v>273.64999999999998</v>
      </c>
      <c r="D2105" s="115">
        <v>272.05</v>
      </c>
      <c r="E2105" s="115">
        <v>277.14999999999998</v>
      </c>
      <c r="F2105" s="115">
        <v>273.64999999999998</v>
      </c>
      <c r="G2105">
        <v>5541</v>
      </c>
      <c r="H2105" s="115"/>
      <c r="I2105" s="115"/>
      <c r="L2105" s="169">
        <v>45104</v>
      </c>
      <c r="M2105" s="115">
        <v>275.89999999999998</v>
      </c>
      <c r="N2105" s="115">
        <v>281.60000000000002</v>
      </c>
      <c r="O2105" s="115">
        <v>274.2</v>
      </c>
      <c r="P2105" s="115">
        <v>281.45</v>
      </c>
      <c r="Q2105" s="115">
        <v>275.89999999999998</v>
      </c>
      <c r="R2105">
        <v>49049</v>
      </c>
    </row>
    <row r="2106" spans="1:18" x14ac:dyDescent="0.25">
      <c r="A2106" s="169">
        <v>45107</v>
      </c>
      <c r="B2106" s="115">
        <v>276.8</v>
      </c>
      <c r="C2106" s="115">
        <v>273</v>
      </c>
      <c r="D2106" s="115">
        <v>272.35000000000002</v>
      </c>
      <c r="E2106" s="115">
        <v>273.05</v>
      </c>
      <c r="F2106" s="115">
        <v>273</v>
      </c>
      <c r="G2106">
        <v>2506</v>
      </c>
      <c r="H2106" s="115"/>
      <c r="I2106" s="115"/>
      <c r="L2106" s="169">
        <v>45105</v>
      </c>
      <c r="M2106" s="115">
        <v>274.25</v>
      </c>
      <c r="N2106" s="115">
        <v>279.8</v>
      </c>
      <c r="O2106" s="115">
        <v>272.05</v>
      </c>
      <c r="P2106" s="115">
        <v>275.89999999999998</v>
      </c>
      <c r="Q2106" s="115">
        <v>274.25</v>
      </c>
      <c r="R2106">
        <v>48835</v>
      </c>
    </row>
    <row r="2107" spans="1:18" x14ac:dyDescent="0.25">
      <c r="A2107" s="169">
        <v>45110</v>
      </c>
      <c r="B2107" s="115">
        <v>277</v>
      </c>
      <c r="C2107" s="115">
        <v>273</v>
      </c>
      <c r="D2107" s="115">
        <v>268.10000000000002</v>
      </c>
      <c r="E2107" s="115">
        <v>268.10000000000002</v>
      </c>
      <c r="F2107" s="115">
        <v>273</v>
      </c>
      <c r="G2107">
        <v>5749</v>
      </c>
      <c r="H2107" s="115"/>
      <c r="I2107" s="115"/>
      <c r="L2107" s="169">
        <v>45107</v>
      </c>
      <c r="M2107" s="115">
        <v>273.10000000000002</v>
      </c>
      <c r="N2107" s="115">
        <v>277.2</v>
      </c>
      <c r="O2107" s="115">
        <v>272</v>
      </c>
      <c r="P2107" s="115">
        <v>274.25</v>
      </c>
      <c r="Q2107" s="115">
        <v>273.10000000000002</v>
      </c>
      <c r="R2107">
        <v>25690</v>
      </c>
    </row>
    <row r="2108" spans="1:18" x14ac:dyDescent="0.25">
      <c r="A2108" s="169">
        <v>45111</v>
      </c>
      <c r="B2108" s="115">
        <v>277.45</v>
      </c>
      <c r="C2108" s="115">
        <v>272.89999999999998</v>
      </c>
      <c r="D2108" s="115">
        <v>270.60000000000002</v>
      </c>
      <c r="E2108" s="115">
        <v>274.8</v>
      </c>
      <c r="F2108" s="115">
        <v>272.89999999999998</v>
      </c>
      <c r="G2108">
        <v>4975</v>
      </c>
      <c r="H2108" s="115"/>
      <c r="I2108" s="115"/>
      <c r="L2108" s="169">
        <v>45110</v>
      </c>
      <c r="M2108" s="115">
        <v>274.39999999999998</v>
      </c>
      <c r="N2108" s="115">
        <v>275.45</v>
      </c>
      <c r="O2108" s="115">
        <v>268.2</v>
      </c>
      <c r="P2108" s="115">
        <v>272.25</v>
      </c>
      <c r="Q2108" s="115">
        <v>274.39999999999998</v>
      </c>
      <c r="R2108">
        <v>43674</v>
      </c>
    </row>
    <row r="2109" spans="1:18" x14ac:dyDescent="0.25">
      <c r="A2109" s="169">
        <v>45112</v>
      </c>
      <c r="B2109" s="115">
        <v>283.39999999999998</v>
      </c>
      <c r="C2109" s="115">
        <v>277.05</v>
      </c>
      <c r="D2109" s="115">
        <v>273.89999999999998</v>
      </c>
      <c r="E2109" s="115">
        <v>273.89999999999998</v>
      </c>
      <c r="F2109" s="115">
        <v>277.05</v>
      </c>
      <c r="G2109">
        <v>8357</v>
      </c>
      <c r="H2109" s="115"/>
      <c r="I2109" s="115"/>
      <c r="L2109" s="169">
        <v>45111</v>
      </c>
      <c r="M2109" s="115">
        <v>273.10000000000002</v>
      </c>
      <c r="N2109" s="115">
        <v>277.10000000000002</v>
      </c>
      <c r="O2109" s="115">
        <v>270.35000000000002</v>
      </c>
      <c r="P2109" s="115">
        <v>275</v>
      </c>
      <c r="Q2109" s="115">
        <v>273.10000000000002</v>
      </c>
      <c r="R2109">
        <v>39326</v>
      </c>
    </row>
    <row r="2110" spans="1:18" x14ac:dyDescent="0.25">
      <c r="A2110" s="169">
        <v>45113</v>
      </c>
      <c r="B2110" s="115">
        <v>279.39999999999998</v>
      </c>
      <c r="C2110" s="115">
        <v>277.05</v>
      </c>
      <c r="D2110" s="115">
        <v>274.95</v>
      </c>
      <c r="E2110" s="115">
        <v>278.25</v>
      </c>
      <c r="F2110" s="115">
        <v>277.05</v>
      </c>
      <c r="G2110">
        <v>4020</v>
      </c>
      <c r="H2110" s="115"/>
      <c r="I2110" s="115"/>
      <c r="L2110" s="169">
        <v>45112</v>
      </c>
      <c r="M2110" s="115">
        <v>276.60000000000002</v>
      </c>
      <c r="N2110" s="115">
        <v>283.05</v>
      </c>
      <c r="O2110" s="115">
        <v>273.10000000000002</v>
      </c>
      <c r="P2110" s="115">
        <v>273.10000000000002</v>
      </c>
      <c r="Q2110" s="115">
        <v>276.60000000000002</v>
      </c>
      <c r="R2110">
        <v>78045</v>
      </c>
    </row>
    <row r="2111" spans="1:18" x14ac:dyDescent="0.25">
      <c r="A2111" s="169">
        <v>45114</v>
      </c>
      <c r="B2111" s="115">
        <v>283.14999999999998</v>
      </c>
      <c r="C2111" s="115">
        <v>277.85000000000002</v>
      </c>
      <c r="D2111" s="115">
        <v>277.14999999999998</v>
      </c>
      <c r="E2111" s="115">
        <v>278.05</v>
      </c>
      <c r="F2111" s="115">
        <v>277.85000000000002</v>
      </c>
      <c r="G2111">
        <v>2305</v>
      </c>
      <c r="H2111" s="115"/>
      <c r="I2111" s="115"/>
      <c r="L2111" s="169">
        <v>45113</v>
      </c>
      <c r="M2111" s="115">
        <v>277.45</v>
      </c>
      <c r="N2111" s="115">
        <v>279.55</v>
      </c>
      <c r="O2111" s="115">
        <v>275.3</v>
      </c>
      <c r="P2111" s="115">
        <v>276.60000000000002</v>
      </c>
      <c r="Q2111" s="115">
        <v>277.45</v>
      </c>
      <c r="R2111">
        <v>30959</v>
      </c>
    </row>
    <row r="2112" spans="1:18" x14ac:dyDescent="0.25">
      <c r="A2112" s="169">
        <v>45117</v>
      </c>
      <c r="B2112" s="115">
        <v>295.85000000000002</v>
      </c>
      <c r="C2112" s="115">
        <v>285.10000000000002</v>
      </c>
      <c r="D2112" s="115">
        <v>277.64999999999998</v>
      </c>
      <c r="E2112" s="115">
        <v>277.64999999999998</v>
      </c>
      <c r="F2112" s="115">
        <v>285.10000000000002</v>
      </c>
      <c r="G2112">
        <v>15640</v>
      </c>
      <c r="H2112" s="115"/>
      <c r="I2112" s="115"/>
      <c r="L2112" s="169">
        <v>45114</v>
      </c>
      <c r="M2112" s="115">
        <v>278</v>
      </c>
      <c r="N2112" s="115">
        <v>283</v>
      </c>
      <c r="O2112" s="115">
        <v>277.10000000000002</v>
      </c>
      <c r="P2112" s="115">
        <v>279</v>
      </c>
      <c r="Q2112" s="115">
        <v>278</v>
      </c>
      <c r="R2112">
        <v>66490</v>
      </c>
    </row>
    <row r="2113" spans="1:18" x14ac:dyDescent="0.25">
      <c r="A2113" s="169">
        <v>45118</v>
      </c>
      <c r="B2113" s="115">
        <v>292.35000000000002</v>
      </c>
      <c r="C2113" s="115">
        <v>286.8</v>
      </c>
      <c r="D2113" s="115">
        <v>286.3</v>
      </c>
      <c r="E2113" s="115">
        <v>287.35000000000002</v>
      </c>
      <c r="F2113" s="115">
        <v>286.8</v>
      </c>
      <c r="G2113">
        <v>5853</v>
      </c>
      <c r="H2113" s="115"/>
      <c r="I2113" s="115"/>
      <c r="L2113" s="169">
        <v>45117</v>
      </c>
      <c r="M2113" s="115">
        <v>286.25</v>
      </c>
      <c r="N2113" s="115">
        <v>295</v>
      </c>
      <c r="O2113" s="115">
        <v>277</v>
      </c>
      <c r="P2113" s="115">
        <v>278</v>
      </c>
      <c r="Q2113" s="115">
        <v>286.25</v>
      </c>
      <c r="R2113">
        <v>275507</v>
      </c>
    </row>
    <row r="2114" spans="1:18" x14ac:dyDescent="0.25">
      <c r="A2114" s="169">
        <v>45119</v>
      </c>
      <c r="B2114" s="115">
        <v>291</v>
      </c>
      <c r="C2114" s="115">
        <v>286.95</v>
      </c>
      <c r="D2114" s="115">
        <v>285.8</v>
      </c>
      <c r="E2114" s="115">
        <v>287.75</v>
      </c>
      <c r="F2114" s="115">
        <v>286.95</v>
      </c>
      <c r="G2114">
        <v>5507</v>
      </c>
      <c r="H2114" s="115"/>
      <c r="I2114" s="115"/>
      <c r="L2114" s="169">
        <v>45118</v>
      </c>
      <c r="M2114" s="115">
        <v>287.05</v>
      </c>
      <c r="N2114" s="115">
        <v>292.95</v>
      </c>
      <c r="O2114" s="115">
        <v>286.5</v>
      </c>
      <c r="P2114" s="115">
        <v>286.89999999999998</v>
      </c>
      <c r="Q2114" s="115">
        <v>287.05</v>
      </c>
      <c r="R2114">
        <v>98288</v>
      </c>
    </row>
    <row r="2115" spans="1:18" x14ac:dyDescent="0.25">
      <c r="A2115" s="169">
        <v>45120</v>
      </c>
      <c r="B2115" s="115">
        <v>294.85000000000002</v>
      </c>
      <c r="C2115" s="115">
        <v>283.8</v>
      </c>
      <c r="D2115" s="115">
        <v>283.2</v>
      </c>
      <c r="E2115" s="115">
        <v>289.14999999999998</v>
      </c>
      <c r="F2115" s="115">
        <v>283.8</v>
      </c>
      <c r="G2115">
        <v>8579</v>
      </c>
      <c r="H2115" s="115"/>
      <c r="I2115" s="115"/>
      <c r="L2115" s="169">
        <v>45119</v>
      </c>
      <c r="M2115" s="115">
        <v>287.39999999999998</v>
      </c>
      <c r="N2115" s="115">
        <v>292</v>
      </c>
      <c r="O2115" s="115">
        <v>285.2</v>
      </c>
      <c r="P2115" s="115">
        <v>285.2</v>
      </c>
      <c r="Q2115" s="115">
        <v>287.39999999999998</v>
      </c>
      <c r="R2115">
        <v>86631</v>
      </c>
    </row>
    <row r="2116" spans="1:18" x14ac:dyDescent="0.25">
      <c r="A2116" s="169">
        <v>45121</v>
      </c>
      <c r="B2116" s="115">
        <v>297.8</v>
      </c>
      <c r="C2116" s="115">
        <v>294</v>
      </c>
      <c r="D2116" s="115">
        <v>283.8</v>
      </c>
      <c r="E2116" s="115">
        <v>283.8</v>
      </c>
      <c r="F2116" s="115">
        <v>294</v>
      </c>
      <c r="G2116">
        <v>29531</v>
      </c>
      <c r="H2116" s="115"/>
      <c r="I2116" s="115"/>
      <c r="L2116" s="169">
        <v>45120</v>
      </c>
      <c r="M2116" s="115">
        <v>283.55</v>
      </c>
      <c r="N2116" s="115">
        <v>294.89999999999998</v>
      </c>
      <c r="O2116" s="115">
        <v>283.05</v>
      </c>
      <c r="P2116" s="115">
        <v>286</v>
      </c>
      <c r="Q2116" s="115">
        <v>283.55</v>
      </c>
      <c r="R2116">
        <v>121853</v>
      </c>
    </row>
    <row r="2117" spans="1:18" x14ac:dyDescent="0.25">
      <c r="A2117" s="169">
        <v>45124</v>
      </c>
      <c r="B2117" s="115">
        <v>297.75</v>
      </c>
      <c r="C2117" s="115">
        <v>292.45</v>
      </c>
      <c r="D2117" s="115">
        <v>283.60000000000002</v>
      </c>
      <c r="E2117" s="115">
        <v>297.75</v>
      </c>
      <c r="F2117" s="115">
        <v>292.45</v>
      </c>
      <c r="G2117">
        <v>23846</v>
      </c>
      <c r="H2117" s="115"/>
      <c r="I2117" s="115"/>
      <c r="L2117" s="169">
        <v>45121</v>
      </c>
      <c r="M2117" s="115">
        <v>294</v>
      </c>
      <c r="N2117" s="115">
        <v>297.95</v>
      </c>
      <c r="O2117" s="115">
        <v>283.55</v>
      </c>
      <c r="P2117" s="115">
        <v>286.35000000000002</v>
      </c>
      <c r="Q2117" s="115">
        <v>294</v>
      </c>
      <c r="R2117">
        <v>250694</v>
      </c>
    </row>
    <row r="2118" spans="1:18" x14ac:dyDescent="0.25">
      <c r="A2118" s="169">
        <v>45125</v>
      </c>
      <c r="B2118" s="115">
        <v>286.05</v>
      </c>
      <c r="C2118" s="115">
        <v>272.2</v>
      </c>
      <c r="D2118" s="115">
        <v>269</v>
      </c>
      <c r="E2118" s="115">
        <v>286.05</v>
      </c>
      <c r="F2118" s="115">
        <v>272.2</v>
      </c>
      <c r="G2118">
        <v>58664</v>
      </c>
      <c r="H2118" s="115"/>
      <c r="I2118" s="115"/>
      <c r="L2118" s="169">
        <v>45124</v>
      </c>
      <c r="M2118" s="115">
        <v>292.7</v>
      </c>
      <c r="N2118" s="115">
        <v>297</v>
      </c>
      <c r="O2118" s="115">
        <v>283</v>
      </c>
      <c r="P2118" s="115">
        <v>294</v>
      </c>
      <c r="Q2118" s="115">
        <v>292.7</v>
      </c>
      <c r="R2118">
        <v>225847</v>
      </c>
    </row>
    <row r="2119" spans="1:18" x14ac:dyDescent="0.25">
      <c r="A2119" s="169">
        <v>45126</v>
      </c>
      <c r="B2119" s="115">
        <v>276.25</v>
      </c>
      <c r="C2119" s="115">
        <v>275.25</v>
      </c>
      <c r="D2119" s="115">
        <v>259.05</v>
      </c>
      <c r="E2119" s="115">
        <v>270.8</v>
      </c>
      <c r="F2119" s="115">
        <v>275.25</v>
      </c>
      <c r="G2119">
        <v>32852</v>
      </c>
      <c r="H2119" s="115"/>
      <c r="I2119" s="115"/>
      <c r="L2119" s="169">
        <v>45125</v>
      </c>
      <c r="M2119" s="115">
        <v>271.75</v>
      </c>
      <c r="N2119" s="115">
        <v>285.45</v>
      </c>
      <c r="O2119" s="115">
        <v>269</v>
      </c>
      <c r="P2119" s="115">
        <v>284.95</v>
      </c>
      <c r="Q2119" s="115">
        <v>271.75</v>
      </c>
      <c r="R2119">
        <v>762201</v>
      </c>
    </row>
    <row r="2120" spans="1:18" x14ac:dyDescent="0.25">
      <c r="A2120" s="169">
        <v>45127</v>
      </c>
      <c r="B2120" s="115">
        <v>275.25</v>
      </c>
      <c r="C2120" s="115">
        <v>270.39999999999998</v>
      </c>
      <c r="D2120" s="115">
        <v>267.14999999999998</v>
      </c>
      <c r="E2120" s="115">
        <v>275.25</v>
      </c>
      <c r="F2120" s="115">
        <v>270.39999999999998</v>
      </c>
      <c r="G2120">
        <v>14159</v>
      </c>
      <c r="H2120" s="115"/>
      <c r="I2120" s="115"/>
      <c r="L2120" s="169">
        <v>45126</v>
      </c>
      <c r="M2120" s="115">
        <v>275.25</v>
      </c>
      <c r="N2120" s="115">
        <v>276.39999999999998</v>
      </c>
      <c r="O2120" s="115">
        <v>259.10000000000002</v>
      </c>
      <c r="P2120" s="115">
        <v>271.60000000000002</v>
      </c>
      <c r="Q2120" s="115">
        <v>275.25</v>
      </c>
      <c r="R2120">
        <v>720360</v>
      </c>
    </row>
    <row r="2121" spans="1:18" x14ac:dyDescent="0.25">
      <c r="A2121" s="169">
        <v>45128</v>
      </c>
      <c r="B2121" s="115">
        <v>271.5</v>
      </c>
      <c r="C2121" s="115">
        <v>266</v>
      </c>
      <c r="D2121" s="115">
        <v>265</v>
      </c>
      <c r="E2121" s="115">
        <v>270.45</v>
      </c>
      <c r="F2121" s="115">
        <v>266</v>
      </c>
      <c r="G2121">
        <v>16061</v>
      </c>
      <c r="H2121" s="115"/>
      <c r="I2121" s="115"/>
      <c r="L2121" s="169">
        <v>45127</v>
      </c>
      <c r="M2121" s="115">
        <v>270.8</v>
      </c>
      <c r="N2121" s="115">
        <v>276.10000000000002</v>
      </c>
      <c r="O2121" s="115">
        <v>270</v>
      </c>
      <c r="P2121" s="115">
        <v>275.25</v>
      </c>
      <c r="Q2121" s="115">
        <v>270.8</v>
      </c>
      <c r="R2121">
        <v>118363</v>
      </c>
    </row>
    <row r="2122" spans="1:18" x14ac:dyDescent="0.25">
      <c r="A2122" s="169">
        <v>45131</v>
      </c>
      <c r="B2122" s="115">
        <v>267.5</v>
      </c>
      <c r="C2122" s="115">
        <v>258.25</v>
      </c>
      <c r="D2122" s="115">
        <v>258</v>
      </c>
      <c r="E2122" s="115">
        <v>264.10000000000002</v>
      </c>
      <c r="F2122" s="115">
        <v>258.25</v>
      </c>
      <c r="G2122">
        <v>14797</v>
      </c>
      <c r="H2122" s="115"/>
      <c r="I2122" s="115"/>
      <c r="L2122" s="169">
        <v>45128</v>
      </c>
      <c r="M2122" s="115">
        <v>265.95</v>
      </c>
      <c r="N2122" s="115">
        <v>271.89999999999998</v>
      </c>
      <c r="O2122" s="115">
        <v>264.7</v>
      </c>
      <c r="P2122" s="115">
        <v>271.89999999999998</v>
      </c>
      <c r="Q2122" s="115">
        <v>265.95</v>
      </c>
      <c r="R2122">
        <v>121741</v>
      </c>
    </row>
    <row r="2123" spans="1:18" x14ac:dyDescent="0.25">
      <c r="A2123" s="169">
        <v>45132</v>
      </c>
      <c r="B2123" s="115">
        <v>263.3</v>
      </c>
      <c r="C2123" s="115">
        <v>259</v>
      </c>
      <c r="D2123" s="115">
        <v>258.89999999999998</v>
      </c>
      <c r="E2123" s="115">
        <v>258.89999999999998</v>
      </c>
      <c r="F2123" s="115">
        <v>259</v>
      </c>
      <c r="G2123">
        <v>2965</v>
      </c>
      <c r="H2123" s="115"/>
      <c r="I2123" s="115"/>
      <c r="L2123" s="169">
        <v>45131</v>
      </c>
      <c r="M2123" s="115">
        <v>258.3</v>
      </c>
      <c r="N2123" s="115">
        <v>268</v>
      </c>
      <c r="O2123" s="115">
        <v>257.89999999999998</v>
      </c>
      <c r="P2123" s="115">
        <v>265</v>
      </c>
      <c r="Q2123" s="115">
        <v>258.3</v>
      </c>
      <c r="R2123">
        <v>133756</v>
      </c>
    </row>
    <row r="2124" spans="1:18" x14ac:dyDescent="0.25">
      <c r="A2124" s="169">
        <v>45133</v>
      </c>
      <c r="B2124" s="115">
        <v>260.75</v>
      </c>
      <c r="C2124" s="115">
        <v>258.45</v>
      </c>
      <c r="D2124" s="115">
        <v>258</v>
      </c>
      <c r="E2124" s="115">
        <v>260.75</v>
      </c>
      <c r="F2124" s="115">
        <v>258.45</v>
      </c>
      <c r="G2124">
        <v>6459</v>
      </c>
      <c r="H2124" s="115"/>
      <c r="I2124" s="115"/>
      <c r="L2124" s="169">
        <v>45132</v>
      </c>
      <c r="M2124" s="115">
        <v>259.14999999999998</v>
      </c>
      <c r="N2124" s="115">
        <v>264</v>
      </c>
      <c r="O2124" s="115">
        <v>258.60000000000002</v>
      </c>
      <c r="P2124" s="115">
        <v>260.89999999999998</v>
      </c>
      <c r="Q2124" s="115">
        <v>259.14999999999998</v>
      </c>
      <c r="R2124">
        <v>75519</v>
      </c>
    </row>
    <row r="2125" spans="1:18" x14ac:dyDescent="0.25">
      <c r="A2125" s="169">
        <v>45134</v>
      </c>
      <c r="B2125" s="115">
        <v>264.55</v>
      </c>
      <c r="C2125" s="115">
        <v>259.60000000000002</v>
      </c>
      <c r="D2125" s="115">
        <v>258</v>
      </c>
      <c r="E2125" s="115">
        <v>259.75</v>
      </c>
      <c r="F2125" s="115">
        <v>259.60000000000002</v>
      </c>
      <c r="G2125">
        <v>5646</v>
      </c>
      <c r="H2125" s="115"/>
      <c r="I2125" s="115"/>
      <c r="L2125" s="169">
        <v>45133</v>
      </c>
      <c r="M2125" s="115">
        <v>258.05</v>
      </c>
      <c r="N2125" s="115">
        <v>261.89999999999998</v>
      </c>
      <c r="O2125" s="115">
        <v>258</v>
      </c>
      <c r="P2125" s="115">
        <v>261.89999999999998</v>
      </c>
      <c r="Q2125" s="115">
        <v>258.05</v>
      </c>
      <c r="R2125">
        <v>48925</v>
      </c>
    </row>
    <row r="2126" spans="1:18" x14ac:dyDescent="0.25">
      <c r="A2126" s="169">
        <v>45135</v>
      </c>
      <c r="B2126" s="115">
        <v>261.5</v>
      </c>
      <c r="C2126" s="115">
        <v>260.14999999999998</v>
      </c>
      <c r="D2126" s="115">
        <v>258.95</v>
      </c>
      <c r="E2126" s="115">
        <v>261.3</v>
      </c>
      <c r="F2126" s="115">
        <v>260.14999999999998</v>
      </c>
      <c r="G2126">
        <v>6643</v>
      </c>
      <c r="H2126" s="115"/>
      <c r="I2126" s="115"/>
      <c r="L2126" s="169">
        <v>45134</v>
      </c>
      <c r="M2126" s="115">
        <v>259.7</v>
      </c>
      <c r="N2126" s="115">
        <v>264.95</v>
      </c>
      <c r="O2126" s="115">
        <v>258.05</v>
      </c>
      <c r="P2126" s="115">
        <v>258.89999999999998</v>
      </c>
      <c r="Q2126" s="115">
        <v>259.7</v>
      </c>
      <c r="R2126">
        <v>67509</v>
      </c>
    </row>
    <row r="2127" spans="1:18" x14ac:dyDescent="0.25">
      <c r="A2127" s="169">
        <v>45138</v>
      </c>
      <c r="B2127" s="115">
        <v>265.2</v>
      </c>
      <c r="C2127" s="115">
        <v>263.95</v>
      </c>
      <c r="D2127" s="115">
        <v>259.8</v>
      </c>
      <c r="E2127" s="115">
        <v>262.8</v>
      </c>
      <c r="F2127" s="115">
        <v>263.95</v>
      </c>
      <c r="G2127">
        <v>6290</v>
      </c>
      <c r="H2127" s="115"/>
      <c r="I2127" s="115"/>
      <c r="L2127" s="169">
        <v>45135</v>
      </c>
      <c r="M2127" s="115">
        <v>260.89999999999998</v>
      </c>
      <c r="N2127" s="115">
        <v>262.8</v>
      </c>
      <c r="O2127" s="115">
        <v>259</v>
      </c>
      <c r="P2127" s="115">
        <v>259.8</v>
      </c>
      <c r="Q2127" s="115">
        <v>260.89999999999998</v>
      </c>
      <c r="R2127">
        <v>30457</v>
      </c>
    </row>
    <row r="2128" spans="1:18" x14ac:dyDescent="0.25">
      <c r="A2128" s="169">
        <v>45139</v>
      </c>
      <c r="B2128" s="115">
        <v>264.3</v>
      </c>
      <c r="C2128" s="115">
        <v>258.75</v>
      </c>
      <c r="D2128" s="115">
        <v>258.25</v>
      </c>
      <c r="E2128" s="115">
        <v>263.45</v>
      </c>
      <c r="F2128" s="115">
        <v>258.75</v>
      </c>
      <c r="G2128">
        <v>7201</v>
      </c>
      <c r="H2128" s="115"/>
      <c r="I2128" s="115"/>
      <c r="L2128" s="169">
        <v>45138</v>
      </c>
      <c r="M2128" s="115">
        <v>263.85000000000002</v>
      </c>
      <c r="N2128" s="115">
        <v>265.7</v>
      </c>
      <c r="O2128" s="115">
        <v>260</v>
      </c>
      <c r="P2128" s="115">
        <v>261.89999999999998</v>
      </c>
      <c r="Q2128" s="115">
        <v>263.85000000000002</v>
      </c>
      <c r="R2128">
        <v>56003</v>
      </c>
    </row>
    <row r="2129" spans="1:18" x14ac:dyDescent="0.25">
      <c r="A2129" s="169">
        <v>45140</v>
      </c>
      <c r="B2129" s="115">
        <v>259.25</v>
      </c>
      <c r="C2129" s="115">
        <v>257.3</v>
      </c>
      <c r="D2129" s="115">
        <v>255</v>
      </c>
      <c r="E2129" s="115">
        <v>258.95</v>
      </c>
      <c r="F2129" s="115">
        <v>257.3</v>
      </c>
      <c r="G2129">
        <v>5079</v>
      </c>
      <c r="H2129" s="115"/>
      <c r="I2129" s="115"/>
      <c r="L2129" s="169">
        <v>45139</v>
      </c>
      <c r="M2129" s="115">
        <v>258.35000000000002</v>
      </c>
      <c r="N2129" s="115">
        <v>264.05</v>
      </c>
      <c r="O2129" s="115">
        <v>258</v>
      </c>
      <c r="P2129" s="115">
        <v>263.85000000000002</v>
      </c>
      <c r="Q2129" s="115">
        <v>258.35000000000002</v>
      </c>
      <c r="R2129">
        <v>63411</v>
      </c>
    </row>
    <row r="2130" spans="1:18" x14ac:dyDescent="0.25">
      <c r="A2130" s="169">
        <v>45141</v>
      </c>
      <c r="B2130" s="115">
        <v>260.05</v>
      </c>
      <c r="C2130" s="115">
        <v>256.05</v>
      </c>
      <c r="D2130" s="115">
        <v>255</v>
      </c>
      <c r="E2130" s="115">
        <v>260.05</v>
      </c>
      <c r="F2130" s="115">
        <v>256.05</v>
      </c>
      <c r="G2130">
        <v>6177</v>
      </c>
      <c r="H2130" s="115"/>
      <c r="I2130" s="115"/>
      <c r="L2130" s="169">
        <v>45140</v>
      </c>
      <c r="M2130" s="115">
        <v>257.7</v>
      </c>
      <c r="N2130" s="115">
        <v>259.85000000000002</v>
      </c>
      <c r="O2130" s="115">
        <v>255.05</v>
      </c>
      <c r="P2130" s="115">
        <v>258.39999999999998</v>
      </c>
      <c r="Q2130" s="115">
        <v>257.7</v>
      </c>
      <c r="R2130">
        <v>66101</v>
      </c>
    </row>
    <row r="2131" spans="1:18" x14ac:dyDescent="0.25">
      <c r="A2131" s="169">
        <v>45142</v>
      </c>
      <c r="B2131" s="115">
        <v>257.10000000000002</v>
      </c>
      <c r="C2131" s="115">
        <v>251.05</v>
      </c>
      <c r="D2131" s="115">
        <v>248.95</v>
      </c>
      <c r="E2131" s="115">
        <v>256.8</v>
      </c>
      <c r="F2131" s="115">
        <v>251.05</v>
      </c>
      <c r="G2131">
        <v>3873</v>
      </c>
      <c r="H2131" s="115"/>
      <c r="I2131" s="115"/>
      <c r="L2131" s="169">
        <v>45141</v>
      </c>
      <c r="M2131" s="115">
        <v>256.5</v>
      </c>
      <c r="N2131" s="115">
        <v>259.2</v>
      </c>
      <c r="O2131" s="115">
        <v>255.05</v>
      </c>
      <c r="P2131" s="115">
        <v>258.3</v>
      </c>
      <c r="Q2131" s="115">
        <v>256.5</v>
      </c>
      <c r="R2131">
        <v>36929</v>
      </c>
    </row>
    <row r="2132" spans="1:18" x14ac:dyDescent="0.25">
      <c r="A2132" s="169">
        <v>45145</v>
      </c>
      <c r="B2132" s="115">
        <v>252.9</v>
      </c>
      <c r="C2132" s="115">
        <v>250.45</v>
      </c>
      <c r="D2132" s="115">
        <v>248.5</v>
      </c>
      <c r="E2132" s="115">
        <v>250.7</v>
      </c>
      <c r="F2132" s="115">
        <v>250.45</v>
      </c>
      <c r="G2132">
        <v>3843</v>
      </c>
      <c r="H2132" s="115"/>
      <c r="I2132" s="115"/>
      <c r="L2132" s="169">
        <v>45142</v>
      </c>
      <c r="M2132" s="115">
        <v>251.45</v>
      </c>
      <c r="N2132" s="115">
        <v>258.75</v>
      </c>
      <c r="O2132" s="115">
        <v>248.3</v>
      </c>
      <c r="P2132" s="115">
        <v>258.75</v>
      </c>
      <c r="Q2132" s="115">
        <v>251.45</v>
      </c>
      <c r="R2132">
        <v>151375</v>
      </c>
    </row>
    <row r="2133" spans="1:18" x14ac:dyDescent="0.25">
      <c r="A2133" s="169">
        <v>45146</v>
      </c>
      <c r="B2133" s="115">
        <v>253.15</v>
      </c>
      <c r="C2133" s="115">
        <v>250.55</v>
      </c>
      <c r="D2133" s="115">
        <v>246.4</v>
      </c>
      <c r="E2133" s="115">
        <v>246.4</v>
      </c>
      <c r="F2133" s="115">
        <v>250.55</v>
      </c>
      <c r="G2133">
        <v>1290</v>
      </c>
      <c r="H2133" s="115"/>
      <c r="I2133" s="115"/>
      <c r="L2133" s="169">
        <v>45145</v>
      </c>
      <c r="M2133" s="115">
        <v>250.95</v>
      </c>
      <c r="N2133" s="115">
        <v>252.75</v>
      </c>
      <c r="O2133" s="115">
        <v>249.9</v>
      </c>
      <c r="P2133" s="115">
        <v>250.25</v>
      </c>
      <c r="Q2133" s="115">
        <v>250.95</v>
      </c>
      <c r="R2133">
        <v>44231</v>
      </c>
    </row>
    <row r="2134" spans="1:18" x14ac:dyDescent="0.25">
      <c r="A2134" s="169">
        <v>45147</v>
      </c>
      <c r="B2134" s="115">
        <v>254.35</v>
      </c>
      <c r="C2134" s="115">
        <v>251.55</v>
      </c>
      <c r="D2134" s="115">
        <v>250</v>
      </c>
      <c r="E2134" s="115">
        <v>251.2</v>
      </c>
      <c r="F2134" s="115">
        <v>251.55</v>
      </c>
      <c r="G2134">
        <v>4729</v>
      </c>
      <c r="H2134" s="115"/>
      <c r="I2134" s="115"/>
      <c r="L2134" s="169">
        <v>45146</v>
      </c>
      <c r="M2134" s="115">
        <v>250.3</v>
      </c>
      <c r="N2134" s="115">
        <v>253.55</v>
      </c>
      <c r="O2134" s="115">
        <v>249.05</v>
      </c>
      <c r="P2134" s="115">
        <v>250.55</v>
      </c>
      <c r="Q2134" s="115">
        <v>250.3</v>
      </c>
      <c r="R2134">
        <v>44707</v>
      </c>
    </row>
    <row r="2135" spans="1:18" x14ac:dyDescent="0.25">
      <c r="A2135" s="169">
        <v>45148</v>
      </c>
      <c r="B2135" s="115">
        <v>253.3</v>
      </c>
      <c r="C2135" s="115">
        <v>250.65</v>
      </c>
      <c r="D2135" s="115">
        <v>249.5</v>
      </c>
      <c r="E2135" s="115">
        <v>253.3</v>
      </c>
      <c r="F2135" s="115">
        <v>250.65</v>
      </c>
      <c r="G2135">
        <v>702</v>
      </c>
      <c r="H2135" s="115"/>
      <c r="I2135" s="115"/>
      <c r="L2135" s="169">
        <v>45147</v>
      </c>
      <c r="M2135" s="115">
        <v>252.15</v>
      </c>
      <c r="N2135" s="115">
        <v>254.35</v>
      </c>
      <c r="O2135" s="115">
        <v>250</v>
      </c>
      <c r="P2135" s="115">
        <v>251</v>
      </c>
      <c r="Q2135" s="115">
        <v>252.15</v>
      </c>
      <c r="R2135">
        <v>72793</v>
      </c>
    </row>
    <row r="2136" spans="1:18" x14ac:dyDescent="0.25">
      <c r="A2136" s="169">
        <v>45149</v>
      </c>
      <c r="B2136" s="115">
        <v>252</v>
      </c>
      <c r="C2136" s="115">
        <v>248.5</v>
      </c>
      <c r="D2136" s="115">
        <v>246.5</v>
      </c>
      <c r="E2136" s="115">
        <v>252</v>
      </c>
      <c r="F2136" s="115">
        <v>248.5</v>
      </c>
      <c r="G2136">
        <v>497</v>
      </c>
      <c r="H2136" s="115"/>
      <c r="I2136" s="115"/>
      <c r="L2136" s="169">
        <v>45148</v>
      </c>
      <c r="M2136" s="115">
        <v>250.95</v>
      </c>
      <c r="N2136" s="115">
        <v>253.7</v>
      </c>
      <c r="O2136" s="115">
        <v>249.75</v>
      </c>
      <c r="P2136" s="115">
        <v>253.7</v>
      </c>
      <c r="Q2136" s="115">
        <v>250.95</v>
      </c>
      <c r="R2136">
        <v>116621</v>
      </c>
    </row>
    <row r="2137" spans="1:18" x14ac:dyDescent="0.25">
      <c r="A2137" s="169">
        <v>45152</v>
      </c>
      <c r="B2137" s="115">
        <v>247.75</v>
      </c>
      <c r="C2137" s="115">
        <v>246</v>
      </c>
      <c r="D2137" s="115">
        <v>244.05</v>
      </c>
      <c r="E2137" s="115">
        <v>247.05</v>
      </c>
      <c r="F2137" s="115">
        <v>246</v>
      </c>
      <c r="G2137">
        <v>4260</v>
      </c>
      <c r="H2137" s="115"/>
      <c r="I2137" s="115"/>
      <c r="L2137" s="169">
        <v>45149</v>
      </c>
      <c r="M2137" s="115">
        <v>249.15</v>
      </c>
      <c r="N2137" s="115">
        <v>252.85</v>
      </c>
      <c r="O2137" s="115">
        <v>246.05</v>
      </c>
      <c r="P2137" s="115">
        <v>252.45</v>
      </c>
      <c r="Q2137" s="115">
        <v>249.15</v>
      </c>
      <c r="R2137">
        <v>54388</v>
      </c>
    </row>
    <row r="2138" spans="1:18" x14ac:dyDescent="0.25">
      <c r="A2138" s="169">
        <v>45154</v>
      </c>
      <c r="B2138" s="115">
        <v>255.1</v>
      </c>
      <c r="C2138" s="115">
        <v>254.4</v>
      </c>
      <c r="D2138" s="115">
        <v>243.9</v>
      </c>
      <c r="E2138" s="115">
        <v>243.9</v>
      </c>
      <c r="F2138" s="115">
        <v>254.4</v>
      </c>
      <c r="G2138">
        <v>3033</v>
      </c>
      <c r="H2138" s="115"/>
      <c r="I2138" s="115"/>
      <c r="L2138" s="169">
        <v>45152</v>
      </c>
      <c r="M2138" s="115">
        <v>245.9</v>
      </c>
      <c r="N2138" s="115">
        <v>248.85</v>
      </c>
      <c r="O2138" s="115">
        <v>244.1</v>
      </c>
      <c r="P2138" s="115">
        <v>246.6</v>
      </c>
      <c r="Q2138" s="115">
        <v>245.9</v>
      </c>
      <c r="R2138">
        <v>57825</v>
      </c>
    </row>
    <row r="2139" spans="1:18" x14ac:dyDescent="0.25">
      <c r="A2139" s="169">
        <v>45155</v>
      </c>
      <c r="B2139" s="115">
        <v>260.2</v>
      </c>
      <c r="C2139" s="115">
        <v>256.25</v>
      </c>
      <c r="D2139" s="115">
        <v>254.4</v>
      </c>
      <c r="E2139" s="115">
        <v>254.4</v>
      </c>
      <c r="F2139" s="115">
        <v>256.25</v>
      </c>
      <c r="G2139">
        <v>1754</v>
      </c>
      <c r="H2139" s="115"/>
      <c r="I2139" s="115"/>
      <c r="L2139" s="169">
        <v>45154</v>
      </c>
      <c r="M2139" s="115">
        <v>254.5</v>
      </c>
      <c r="N2139" s="115">
        <v>255.45</v>
      </c>
      <c r="O2139" s="115">
        <v>244.85</v>
      </c>
      <c r="P2139" s="115">
        <v>246.9</v>
      </c>
      <c r="Q2139" s="115">
        <v>254.5</v>
      </c>
      <c r="R2139">
        <v>53550</v>
      </c>
    </row>
    <row r="2140" spans="1:18" x14ac:dyDescent="0.25">
      <c r="A2140" s="169">
        <v>45156</v>
      </c>
      <c r="B2140" s="115">
        <v>257.8</v>
      </c>
      <c r="C2140" s="115">
        <v>251.7</v>
      </c>
      <c r="D2140" s="115">
        <v>250</v>
      </c>
      <c r="E2140" s="115">
        <v>256.64999999999998</v>
      </c>
      <c r="F2140" s="115">
        <v>251.7</v>
      </c>
      <c r="G2140">
        <v>1588</v>
      </c>
      <c r="H2140" s="115"/>
      <c r="I2140" s="115"/>
      <c r="L2140" s="169">
        <v>45155</v>
      </c>
      <c r="M2140" s="115">
        <v>256.64999999999998</v>
      </c>
      <c r="N2140" s="115">
        <v>261.89999999999998</v>
      </c>
      <c r="O2140" s="115">
        <v>254.6</v>
      </c>
      <c r="P2140" s="115">
        <v>255.75</v>
      </c>
      <c r="Q2140" s="115">
        <v>256.64999999999998</v>
      </c>
      <c r="R2140">
        <v>115272</v>
      </c>
    </row>
    <row r="2141" spans="1:18" x14ac:dyDescent="0.25">
      <c r="A2141" s="169">
        <v>45159</v>
      </c>
      <c r="B2141" s="115">
        <v>253.75</v>
      </c>
      <c r="C2141" s="115">
        <v>249.35</v>
      </c>
      <c r="D2141" s="115">
        <v>248.75</v>
      </c>
      <c r="E2141" s="115">
        <v>252.45</v>
      </c>
      <c r="F2141" s="115">
        <v>249.35</v>
      </c>
      <c r="G2141">
        <v>1385</v>
      </c>
      <c r="H2141" s="115"/>
      <c r="I2141" s="115"/>
      <c r="L2141" s="169">
        <v>45156</v>
      </c>
      <c r="M2141" s="115">
        <v>251</v>
      </c>
      <c r="N2141" s="115">
        <v>258.85000000000002</v>
      </c>
      <c r="O2141" s="115">
        <v>249.55</v>
      </c>
      <c r="P2141" s="115">
        <v>258.55</v>
      </c>
      <c r="Q2141" s="115">
        <v>251</v>
      </c>
      <c r="R2141">
        <v>46647</v>
      </c>
    </row>
    <row r="2142" spans="1:18" x14ac:dyDescent="0.25">
      <c r="A2142" s="169">
        <v>45160</v>
      </c>
      <c r="B2142" s="115">
        <v>260</v>
      </c>
      <c r="C2142" s="115">
        <v>259.39999999999998</v>
      </c>
      <c r="D2142" s="115">
        <v>243.9</v>
      </c>
      <c r="E2142" s="115">
        <v>249.85</v>
      </c>
      <c r="F2142" s="115">
        <v>259.39999999999998</v>
      </c>
      <c r="G2142">
        <v>7508</v>
      </c>
      <c r="H2142" s="115"/>
      <c r="I2142" s="115"/>
      <c r="L2142" s="169">
        <v>45159</v>
      </c>
      <c r="M2142" s="115">
        <v>248.85</v>
      </c>
      <c r="N2142" s="115">
        <v>253.6</v>
      </c>
      <c r="O2142" s="115">
        <v>248</v>
      </c>
      <c r="P2142" s="115">
        <v>253.5</v>
      </c>
      <c r="Q2142" s="115">
        <v>248.85</v>
      </c>
      <c r="R2142">
        <v>57644</v>
      </c>
    </row>
    <row r="2143" spans="1:18" x14ac:dyDescent="0.25">
      <c r="A2143" s="169">
        <v>45161</v>
      </c>
      <c r="B2143" s="115">
        <v>261.85000000000002</v>
      </c>
      <c r="C2143" s="115">
        <v>256.7</v>
      </c>
      <c r="D2143" s="115">
        <v>255.5</v>
      </c>
      <c r="E2143" s="115">
        <v>258.75</v>
      </c>
      <c r="F2143" s="115">
        <v>256.7</v>
      </c>
      <c r="G2143">
        <v>5916</v>
      </c>
      <c r="H2143" s="115"/>
      <c r="I2143" s="115"/>
      <c r="L2143" s="169">
        <v>45160</v>
      </c>
      <c r="M2143" s="115">
        <v>258.95</v>
      </c>
      <c r="N2143" s="115">
        <v>259.7</v>
      </c>
      <c r="O2143" s="115">
        <v>247.95</v>
      </c>
      <c r="P2143" s="115">
        <v>250</v>
      </c>
      <c r="Q2143" s="115">
        <v>258.95</v>
      </c>
      <c r="R2143">
        <v>109218</v>
      </c>
    </row>
    <row r="2144" spans="1:18" x14ac:dyDescent="0.25">
      <c r="A2144" s="169">
        <v>45162</v>
      </c>
      <c r="B2144" s="115">
        <v>259.95</v>
      </c>
      <c r="C2144" s="115">
        <v>253.65</v>
      </c>
      <c r="D2144" s="115">
        <v>252.6</v>
      </c>
      <c r="E2144" s="115">
        <v>258.55</v>
      </c>
      <c r="F2144" s="115">
        <v>253.65</v>
      </c>
      <c r="G2144">
        <v>4664</v>
      </c>
      <c r="H2144" s="115"/>
      <c r="I2144" s="115"/>
      <c r="L2144" s="169">
        <v>45161</v>
      </c>
      <c r="M2144" s="115">
        <v>257.10000000000002</v>
      </c>
      <c r="N2144" s="115">
        <v>262.05</v>
      </c>
      <c r="O2144" s="115">
        <v>255.25</v>
      </c>
      <c r="P2144" s="115">
        <v>259.95</v>
      </c>
      <c r="Q2144" s="115">
        <v>257.10000000000002</v>
      </c>
      <c r="R2144">
        <v>43560</v>
      </c>
    </row>
    <row r="2145" spans="1:18" x14ac:dyDescent="0.25">
      <c r="A2145" s="169">
        <v>45163</v>
      </c>
      <c r="B2145" s="115">
        <v>255</v>
      </c>
      <c r="C2145" s="115">
        <v>250.7</v>
      </c>
      <c r="D2145" s="115">
        <v>248.9</v>
      </c>
      <c r="E2145" s="115">
        <v>254.7</v>
      </c>
      <c r="F2145" s="115">
        <v>250.7</v>
      </c>
      <c r="G2145">
        <v>4888</v>
      </c>
      <c r="H2145" s="115"/>
      <c r="I2145" s="115"/>
      <c r="L2145" s="169">
        <v>45162</v>
      </c>
      <c r="M2145" s="115">
        <v>253.45</v>
      </c>
      <c r="N2145" s="115">
        <v>259.95</v>
      </c>
      <c r="O2145" s="115">
        <v>252.25</v>
      </c>
      <c r="P2145" s="115">
        <v>259.5</v>
      </c>
      <c r="Q2145" s="115">
        <v>253.45</v>
      </c>
      <c r="R2145">
        <v>45405</v>
      </c>
    </row>
    <row r="2146" spans="1:18" x14ac:dyDescent="0.25">
      <c r="A2146" s="169">
        <v>45166</v>
      </c>
      <c r="B2146" s="115">
        <v>254.75</v>
      </c>
      <c r="C2146" s="115">
        <v>251.1</v>
      </c>
      <c r="D2146" s="115">
        <v>249</v>
      </c>
      <c r="E2146" s="115">
        <v>253.1</v>
      </c>
      <c r="F2146" s="115">
        <v>251.1</v>
      </c>
      <c r="G2146">
        <v>2940</v>
      </c>
      <c r="H2146" s="115"/>
      <c r="I2146" s="115"/>
      <c r="L2146" s="169">
        <v>45163</v>
      </c>
      <c r="M2146" s="115">
        <v>250.7</v>
      </c>
      <c r="N2146" s="115">
        <v>255.8</v>
      </c>
      <c r="O2146" s="115">
        <v>250</v>
      </c>
      <c r="P2146" s="115">
        <v>254.95</v>
      </c>
      <c r="Q2146" s="115">
        <v>250.7</v>
      </c>
      <c r="R2146">
        <v>36143</v>
      </c>
    </row>
    <row r="2147" spans="1:18" x14ac:dyDescent="0.25">
      <c r="A2147" s="169">
        <v>45167</v>
      </c>
      <c r="B2147" s="115">
        <v>259.89999999999998</v>
      </c>
      <c r="C2147" s="115">
        <v>251.15</v>
      </c>
      <c r="D2147" s="115">
        <v>250</v>
      </c>
      <c r="E2147" s="115">
        <v>259.89999999999998</v>
      </c>
      <c r="F2147" s="115">
        <v>251.15</v>
      </c>
      <c r="G2147">
        <v>2202</v>
      </c>
      <c r="H2147" s="115"/>
      <c r="I2147" s="115"/>
      <c r="L2147" s="169">
        <v>45166</v>
      </c>
      <c r="M2147" s="115">
        <v>250.95</v>
      </c>
      <c r="N2147" s="115">
        <v>254.35</v>
      </c>
      <c r="O2147" s="115">
        <v>248.2</v>
      </c>
      <c r="P2147" s="115">
        <v>251.25</v>
      </c>
      <c r="Q2147" s="115">
        <v>250.95</v>
      </c>
      <c r="R2147">
        <v>46346</v>
      </c>
    </row>
    <row r="2148" spans="1:18" x14ac:dyDescent="0.25">
      <c r="A2148" s="169">
        <v>45168</v>
      </c>
      <c r="B2148" s="115">
        <v>266</v>
      </c>
      <c r="C2148" s="115">
        <v>261.95</v>
      </c>
      <c r="D2148" s="115">
        <v>251.95</v>
      </c>
      <c r="E2148" s="115">
        <v>253.1</v>
      </c>
      <c r="F2148" s="115">
        <v>261.95</v>
      </c>
      <c r="G2148">
        <v>15079</v>
      </c>
      <c r="H2148" s="115"/>
      <c r="I2148" s="115"/>
      <c r="L2148" s="169">
        <v>45167</v>
      </c>
      <c r="M2148" s="115">
        <v>251.15</v>
      </c>
      <c r="N2148" s="115">
        <v>253.1</v>
      </c>
      <c r="O2148" s="115">
        <v>248.65</v>
      </c>
      <c r="P2148" s="115">
        <v>251</v>
      </c>
      <c r="Q2148" s="115">
        <v>251.15</v>
      </c>
      <c r="R2148">
        <v>46347</v>
      </c>
    </row>
    <row r="2149" spans="1:18" x14ac:dyDescent="0.25">
      <c r="A2149" s="169">
        <v>45169</v>
      </c>
      <c r="B2149" s="115">
        <v>268</v>
      </c>
      <c r="C2149" s="115">
        <v>262.55</v>
      </c>
      <c r="D2149" s="115">
        <v>260.95</v>
      </c>
      <c r="E2149" s="115">
        <v>267.25</v>
      </c>
      <c r="F2149" s="115">
        <v>262.55</v>
      </c>
      <c r="G2149">
        <v>4145</v>
      </c>
      <c r="H2149" s="115"/>
      <c r="I2149" s="115"/>
      <c r="L2149" s="169">
        <v>45168</v>
      </c>
      <c r="M2149" s="115">
        <v>262.10000000000002</v>
      </c>
      <c r="N2149" s="115">
        <v>266.7</v>
      </c>
      <c r="O2149" s="115">
        <v>251.85</v>
      </c>
      <c r="P2149" s="115">
        <v>251.85</v>
      </c>
      <c r="Q2149" s="115">
        <v>262.10000000000002</v>
      </c>
      <c r="R2149">
        <v>244843</v>
      </c>
    </row>
    <row r="2150" spans="1:18" x14ac:dyDescent="0.25">
      <c r="A2150" s="169">
        <v>45170</v>
      </c>
      <c r="B2150" s="115">
        <v>261.35000000000002</v>
      </c>
      <c r="C2150" s="115">
        <v>258.3</v>
      </c>
      <c r="D2150" s="115">
        <v>253.95</v>
      </c>
      <c r="E2150" s="115">
        <v>261.35000000000002</v>
      </c>
      <c r="F2150" s="115">
        <v>258.3</v>
      </c>
      <c r="G2150">
        <v>16278</v>
      </c>
      <c r="H2150" s="115"/>
      <c r="I2150" s="115"/>
      <c r="L2150" s="169">
        <v>45169</v>
      </c>
      <c r="M2150" s="115">
        <v>262.75</v>
      </c>
      <c r="N2150" s="115">
        <v>269.05</v>
      </c>
      <c r="O2150" s="115">
        <v>260.5</v>
      </c>
      <c r="P2150" s="115">
        <v>265</v>
      </c>
      <c r="Q2150" s="115">
        <v>262.75</v>
      </c>
      <c r="R2150">
        <v>110737</v>
      </c>
    </row>
    <row r="2151" spans="1:18" x14ac:dyDescent="0.25">
      <c r="A2151" s="169">
        <v>45173</v>
      </c>
      <c r="B2151" s="115">
        <v>263.5</v>
      </c>
      <c r="C2151" s="115">
        <v>261.10000000000002</v>
      </c>
      <c r="D2151" s="115">
        <v>258.10000000000002</v>
      </c>
      <c r="E2151" s="115">
        <v>258.8</v>
      </c>
      <c r="F2151" s="115">
        <v>261.10000000000002</v>
      </c>
      <c r="G2151">
        <v>1617</v>
      </c>
      <c r="H2151" s="115"/>
      <c r="I2151" s="115"/>
      <c r="L2151" s="169">
        <v>45170</v>
      </c>
      <c r="M2151" s="115">
        <v>259.45</v>
      </c>
      <c r="N2151" s="115">
        <v>264.64999999999998</v>
      </c>
      <c r="O2151" s="115">
        <v>254.45</v>
      </c>
      <c r="P2151" s="115">
        <v>264.64999999999998</v>
      </c>
      <c r="Q2151" s="115">
        <v>259.45</v>
      </c>
      <c r="R2151">
        <v>111036</v>
      </c>
    </row>
    <row r="2152" spans="1:18" x14ac:dyDescent="0.25">
      <c r="A2152" s="169">
        <v>45174</v>
      </c>
      <c r="B2152" s="115">
        <v>262.05</v>
      </c>
      <c r="C2152" s="115">
        <v>257.60000000000002</v>
      </c>
      <c r="D2152" s="115">
        <v>256.95</v>
      </c>
      <c r="E2152" s="115">
        <v>262.05</v>
      </c>
      <c r="F2152" s="115">
        <v>257.60000000000002</v>
      </c>
      <c r="G2152">
        <v>1736</v>
      </c>
      <c r="H2152" s="115"/>
      <c r="I2152" s="115"/>
      <c r="L2152" s="169">
        <v>45173</v>
      </c>
      <c r="M2152" s="115">
        <v>261.10000000000002</v>
      </c>
      <c r="N2152" s="115">
        <v>264</v>
      </c>
      <c r="O2152" s="115">
        <v>257.89999999999998</v>
      </c>
      <c r="P2152" s="115">
        <v>259.45</v>
      </c>
      <c r="Q2152" s="115">
        <v>261.10000000000002</v>
      </c>
      <c r="R2152">
        <v>82888</v>
      </c>
    </row>
    <row r="2153" spans="1:18" x14ac:dyDescent="0.25">
      <c r="A2153" s="169">
        <v>45175</v>
      </c>
      <c r="B2153" s="115">
        <v>268.89999999999998</v>
      </c>
      <c r="C2153" s="115">
        <v>268.10000000000002</v>
      </c>
      <c r="D2153" s="115">
        <v>255.55</v>
      </c>
      <c r="E2153" s="115">
        <v>255.55</v>
      </c>
      <c r="F2153" s="115">
        <v>268.10000000000002</v>
      </c>
      <c r="G2153">
        <v>10666</v>
      </c>
      <c r="H2153" s="115"/>
      <c r="I2153" s="115"/>
      <c r="L2153" s="169">
        <v>45174</v>
      </c>
      <c r="M2153" s="115">
        <v>257.05</v>
      </c>
      <c r="N2153" s="115">
        <v>263.7</v>
      </c>
      <c r="O2153" s="115">
        <v>256.60000000000002</v>
      </c>
      <c r="P2153" s="115">
        <v>261.10000000000002</v>
      </c>
      <c r="Q2153" s="115">
        <v>257.05</v>
      </c>
      <c r="R2153">
        <v>37897</v>
      </c>
    </row>
    <row r="2154" spans="1:18" x14ac:dyDescent="0.25">
      <c r="A2154" s="169">
        <v>45176</v>
      </c>
      <c r="B2154" s="115">
        <v>280</v>
      </c>
      <c r="C2154" s="115">
        <v>268.75</v>
      </c>
      <c r="D2154" s="115">
        <v>267.3</v>
      </c>
      <c r="E2154" s="115">
        <v>268.8</v>
      </c>
      <c r="F2154" s="115">
        <v>268.75</v>
      </c>
      <c r="G2154">
        <v>29011</v>
      </c>
      <c r="H2154" s="115"/>
      <c r="I2154" s="115"/>
      <c r="L2154" s="169">
        <v>45175</v>
      </c>
      <c r="M2154" s="115">
        <v>267.95</v>
      </c>
      <c r="N2154" s="115">
        <v>269</v>
      </c>
      <c r="O2154" s="115">
        <v>257</v>
      </c>
      <c r="P2154" s="115">
        <v>259.95</v>
      </c>
      <c r="Q2154" s="115">
        <v>267.95</v>
      </c>
      <c r="R2154">
        <v>188189</v>
      </c>
    </row>
    <row r="2155" spans="1:18" x14ac:dyDescent="0.25">
      <c r="A2155" s="169">
        <v>45177</v>
      </c>
      <c r="B2155" s="115">
        <v>272.3</v>
      </c>
      <c r="C2155" s="115">
        <v>271.85000000000002</v>
      </c>
      <c r="D2155" s="115">
        <v>267.39999999999998</v>
      </c>
      <c r="E2155" s="115">
        <v>272.10000000000002</v>
      </c>
      <c r="F2155" s="115">
        <v>271.85000000000002</v>
      </c>
      <c r="G2155">
        <v>1020</v>
      </c>
      <c r="H2155" s="115"/>
      <c r="I2155" s="115"/>
      <c r="L2155" s="169">
        <v>45176</v>
      </c>
      <c r="M2155" s="115">
        <v>268.89999999999998</v>
      </c>
      <c r="N2155" s="115">
        <v>280.7</v>
      </c>
      <c r="O2155" s="115">
        <v>267.55</v>
      </c>
      <c r="P2155" s="115">
        <v>269</v>
      </c>
      <c r="Q2155" s="115">
        <v>268.89999999999998</v>
      </c>
      <c r="R2155">
        <v>326360</v>
      </c>
    </row>
    <row r="2156" spans="1:18" x14ac:dyDescent="0.25">
      <c r="A2156" s="169">
        <v>45180</v>
      </c>
      <c r="B2156" s="115">
        <v>279.85000000000002</v>
      </c>
      <c r="C2156" s="115">
        <v>271.35000000000002</v>
      </c>
      <c r="D2156" s="115">
        <v>268.8</v>
      </c>
      <c r="E2156" s="115">
        <v>279.85000000000002</v>
      </c>
      <c r="F2156" s="115">
        <v>271.35000000000002</v>
      </c>
      <c r="G2156">
        <v>6922</v>
      </c>
      <c r="H2156" s="115"/>
      <c r="I2156" s="115"/>
      <c r="L2156" s="169">
        <v>45177</v>
      </c>
      <c r="M2156" s="115">
        <v>271.8</v>
      </c>
      <c r="N2156" s="115">
        <v>273.25</v>
      </c>
      <c r="O2156" s="115">
        <v>267</v>
      </c>
      <c r="P2156" s="115">
        <v>272.89999999999998</v>
      </c>
      <c r="Q2156" s="115">
        <v>271.8</v>
      </c>
      <c r="R2156">
        <v>52797</v>
      </c>
    </row>
    <row r="2157" spans="1:18" x14ac:dyDescent="0.25">
      <c r="A2157" s="169">
        <v>45181</v>
      </c>
      <c r="B2157" s="115">
        <v>270.8</v>
      </c>
      <c r="C2157" s="115">
        <v>261.5</v>
      </c>
      <c r="D2157" s="115">
        <v>260.85000000000002</v>
      </c>
      <c r="E2157" s="115">
        <v>270.14999999999998</v>
      </c>
      <c r="F2157" s="115">
        <v>261.5</v>
      </c>
      <c r="G2157">
        <v>8848</v>
      </c>
      <c r="H2157" s="115"/>
      <c r="I2157" s="115"/>
      <c r="L2157" s="169">
        <v>45180</v>
      </c>
      <c r="M2157" s="115">
        <v>271.3</v>
      </c>
      <c r="N2157" s="115">
        <v>277.2</v>
      </c>
      <c r="O2157" s="115">
        <v>270.3</v>
      </c>
      <c r="P2157" s="115">
        <v>275.95</v>
      </c>
      <c r="Q2157" s="115">
        <v>271.3</v>
      </c>
      <c r="R2157">
        <v>86787</v>
      </c>
    </row>
    <row r="2158" spans="1:18" x14ac:dyDescent="0.25">
      <c r="A2158" s="169">
        <v>45182</v>
      </c>
      <c r="B2158" s="115">
        <v>263</v>
      </c>
      <c r="C2158" s="115">
        <v>260.25</v>
      </c>
      <c r="D2158" s="115">
        <v>254.75</v>
      </c>
      <c r="E2158" s="115">
        <v>260.64999999999998</v>
      </c>
      <c r="F2158" s="115">
        <v>260.25</v>
      </c>
      <c r="G2158">
        <v>3317</v>
      </c>
      <c r="H2158" s="115"/>
      <c r="I2158" s="115"/>
      <c r="L2158" s="169">
        <v>45181</v>
      </c>
      <c r="M2158" s="115">
        <v>262.35000000000002</v>
      </c>
      <c r="N2158" s="115">
        <v>274</v>
      </c>
      <c r="O2158" s="115">
        <v>261</v>
      </c>
      <c r="P2158" s="115">
        <v>274</v>
      </c>
      <c r="Q2158" s="115">
        <v>262.35000000000002</v>
      </c>
      <c r="R2158">
        <v>83425</v>
      </c>
    </row>
    <row r="2159" spans="1:18" x14ac:dyDescent="0.25">
      <c r="A2159" s="169">
        <v>45183</v>
      </c>
      <c r="B2159" s="115">
        <v>264.3</v>
      </c>
      <c r="C2159" s="115">
        <v>259.25</v>
      </c>
      <c r="D2159" s="115">
        <v>255.1</v>
      </c>
      <c r="E2159" s="115">
        <v>255.1</v>
      </c>
      <c r="F2159" s="115">
        <v>259.25</v>
      </c>
      <c r="G2159">
        <v>3434</v>
      </c>
      <c r="H2159" s="115"/>
      <c r="I2159" s="115"/>
      <c r="L2159" s="169">
        <v>45182</v>
      </c>
      <c r="M2159" s="115">
        <v>259.89999999999998</v>
      </c>
      <c r="N2159" s="115">
        <v>264.95</v>
      </c>
      <c r="O2159" s="115">
        <v>256</v>
      </c>
      <c r="P2159" s="115">
        <v>260.25</v>
      </c>
      <c r="Q2159" s="115">
        <v>259.89999999999998</v>
      </c>
      <c r="R2159">
        <v>81090</v>
      </c>
    </row>
    <row r="2160" spans="1:18" x14ac:dyDescent="0.25">
      <c r="A2160" s="169">
        <v>45184</v>
      </c>
      <c r="B2160" s="115">
        <v>263.39999999999998</v>
      </c>
      <c r="C2160" s="115">
        <v>262.35000000000002</v>
      </c>
      <c r="D2160" s="115">
        <v>256.05</v>
      </c>
      <c r="E2160" s="115">
        <v>256.05</v>
      </c>
      <c r="F2160" s="115">
        <v>262.35000000000002</v>
      </c>
      <c r="G2160">
        <v>5408</v>
      </c>
      <c r="H2160" s="115"/>
      <c r="I2160" s="115"/>
      <c r="L2160" s="169">
        <v>45183</v>
      </c>
      <c r="M2160" s="115">
        <v>259.25</v>
      </c>
      <c r="N2160" s="115">
        <v>264.45</v>
      </c>
      <c r="O2160" s="115">
        <v>258</v>
      </c>
      <c r="P2160" s="115">
        <v>258.89999999999998</v>
      </c>
      <c r="Q2160" s="115">
        <v>259.25</v>
      </c>
      <c r="R2160">
        <v>92982</v>
      </c>
    </row>
    <row r="2161" spans="1:18" x14ac:dyDescent="0.25">
      <c r="A2161" s="169">
        <v>45187</v>
      </c>
      <c r="B2161" s="115">
        <v>262.2</v>
      </c>
      <c r="C2161" s="115">
        <v>260.2</v>
      </c>
      <c r="D2161" s="115">
        <v>257.7</v>
      </c>
      <c r="E2161" s="115">
        <v>261</v>
      </c>
      <c r="F2161" s="115">
        <v>260.2</v>
      </c>
      <c r="G2161">
        <v>2186</v>
      </c>
      <c r="H2161" s="115"/>
      <c r="I2161" s="115"/>
      <c r="L2161" s="169">
        <v>45184</v>
      </c>
      <c r="M2161" s="115">
        <v>263.05</v>
      </c>
      <c r="N2161" s="115">
        <v>263.95</v>
      </c>
      <c r="O2161" s="115">
        <v>257</v>
      </c>
      <c r="P2161" s="115">
        <v>258.55</v>
      </c>
      <c r="Q2161" s="115">
        <v>263.05</v>
      </c>
      <c r="R2161">
        <v>49506</v>
      </c>
    </row>
    <row r="2162" spans="1:18" x14ac:dyDescent="0.25">
      <c r="A2162" s="169">
        <v>45189</v>
      </c>
      <c r="B2162" s="115">
        <v>260.05</v>
      </c>
      <c r="C2162" s="115">
        <v>256.35000000000002</v>
      </c>
      <c r="D2162" s="115">
        <v>255</v>
      </c>
      <c r="E2162" s="115">
        <v>255.05</v>
      </c>
      <c r="F2162" s="115">
        <v>256.35000000000002</v>
      </c>
      <c r="G2162">
        <v>2385</v>
      </c>
      <c r="H2162" s="115"/>
      <c r="I2162" s="115"/>
      <c r="L2162" s="169">
        <v>45187</v>
      </c>
      <c r="M2162" s="115">
        <v>260.05</v>
      </c>
      <c r="N2162" s="115">
        <v>263.14999999999998</v>
      </c>
      <c r="O2162" s="115">
        <v>257.25</v>
      </c>
      <c r="P2162" s="115">
        <v>263.14999999999998</v>
      </c>
      <c r="Q2162" s="115">
        <v>260.05</v>
      </c>
      <c r="R2162">
        <v>52974</v>
      </c>
    </row>
    <row r="2163" spans="1:18" x14ac:dyDescent="0.25">
      <c r="A2163" s="169">
        <v>45190</v>
      </c>
      <c r="B2163" s="115">
        <v>256.55</v>
      </c>
      <c r="C2163" s="115">
        <v>253</v>
      </c>
      <c r="D2163" s="115">
        <v>252</v>
      </c>
      <c r="E2163" s="115">
        <v>252</v>
      </c>
      <c r="F2163" s="115">
        <v>253</v>
      </c>
      <c r="G2163">
        <v>2538</v>
      </c>
      <c r="H2163" s="115"/>
      <c r="I2163" s="115"/>
      <c r="L2163" s="169">
        <v>45189</v>
      </c>
      <c r="M2163" s="115">
        <v>256.3</v>
      </c>
      <c r="N2163" s="115">
        <v>259.95</v>
      </c>
      <c r="O2163" s="115">
        <v>254.65</v>
      </c>
      <c r="P2163" s="115">
        <v>257.10000000000002</v>
      </c>
      <c r="Q2163" s="115">
        <v>256.3</v>
      </c>
      <c r="R2163">
        <v>45364</v>
      </c>
    </row>
    <row r="2164" spans="1:18" x14ac:dyDescent="0.25">
      <c r="A2164" s="169">
        <v>45191</v>
      </c>
      <c r="B2164" s="115">
        <v>253.95</v>
      </c>
      <c r="C2164" s="115">
        <v>251.05</v>
      </c>
      <c r="D2164" s="115">
        <v>249.35</v>
      </c>
      <c r="E2164" s="115">
        <v>253.95</v>
      </c>
      <c r="F2164" s="115">
        <v>251.05</v>
      </c>
      <c r="G2164">
        <v>19118</v>
      </c>
      <c r="H2164" s="115"/>
      <c r="I2164" s="115"/>
      <c r="L2164" s="169">
        <v>45190</v>
      </c>
      <c r="M2164" s="115">
        <v>253.85</v>
      </c>
      <c r="N2164" s="115">
        <v>256.8</v>
      </c>
      <c r="O2164" s="115">
        <v>252.05</v>
      </c>
      <c r="P2164" s="115">
        <v>256.3</v>
      </c>
      <c r="Q2164" s="115">
        <v>253.85</v>
      </c>
      <c r="R2164">
        <v>33280</v>
      </c>
    </row>
    <row r="2165" spans="1:18" x14ac:dyDescent="0.25">
      <c r="A2165" s="169">
        <v>45194</v>
      </c>
      <c r="B2165" s="115">
        <v>252.2</v>
      </c>
      <c r="C2165" s="115">
        <v>248.65</v>
      </c>
      <c r="D2165" s="115">
        <v>247.95</v>
      </c>
      <c r="E2165" s="115">
        <v>251.95</v>
      </c>
      <c r="F2165" s="115">
        <v>248.65</v>
      </c>
      <c r="G2165">
        <v>1757</v>
      </c>
      <c r="H2165" s="115"/>
      <c r="I2165" s="115"/>
      <c r="L2165" s="169">
        <v>45191</v>
      </c>
      <c r="M2165" s="115">
        <v>250.9</v>
      </c>
      <c r="N2165" s="115">
        <v>254.75</v>
      </c>
      <c r="O2165" s="115">
        <v>249.6</v>
      </c>
      <c r="P2165" s="115">
        <v>253</v>
      </c>
      <c r="Q2165" s="115">
        <v>250.9</v>
      </c>
      <c r="R2165">
        <v>42069</v>
      </c>
    </row>
    <row r="2166" spans="1:18" x14ac:dyDescent="0.25">
      <c r="A2166" s="169">
        <v>45195</v>
      </c>
      <c r="B2166" s="115">
        <v>253.65</v>
      </c>
      <c r="C2166" s="115">
        <v>249.6</v>
      </c>
      <c r="D2166" s="115">
        <v>248.65</v>
      </c>
      <c r="E2166" s="115">
        <v>253.65</v>
      </c>
      <c r="F2166" s="115">
        <v>249.6</v>
      </c>
      <c r="G2166">
        <v>292</v>
      </c>
      <c r="H2166" s="115"/>
      <c r="I2166" s="115"/>
      <c r="L2166" s="169">
        <v>45194</v>
      </c>
      <c r="M2166" s="115">
        <v>249.7</v>
      </c>
      <c r="N2166" s="115">
        <v>252</v>
      </c>
      <c r="O2166" s="115">
        <v>248.05</v>
      </c>
      <c r="P2166" s="115">
        <v>251.15</v>
      </c>
      <c r="Q2166" s="115">
        <v>249.7</v>
      </c>
      <c r="R2166">
        <v>57859</v>
      </c>
    </row>
    <row r="2167" spans="1:18" x14ac:dyDescent="0.25">
      <c r="A2167" s="169">
        <v>45196</v>
      </c>
      <c r="B2167" s="115">
        <v>254.95</v>
      </c>
      <c r="C2167" s="115">
        <v>253.95</v>
      </c>
      <c r="D2167" s="115">
        <v>250.7</v>
      </c>
      <c r="E2167" s="115">
        <v>254.6</v>
      </c>
      <c r="F2167" s="115">
        <v>253.95</v>
      </c>
      <c r="G2167">
        <v>249</v>
      </c>
      <c r="H2167" s="115"/>
      <c r="I2167" s="115"/>
      <c r="L2167" s="169">
        <v>45195</v>
      </c>
      <c r="M2167" s="115">
        <v>249.65</v>
      </c>
      <c r="N2167" s="115">
        <v>254</v>
      </c>
      <c r="O2167" s="115">
        <v>249</v>
      </c>
      <c r="P2167" s="115">
        <v>249.7</v>
      </c>
      <c r="Q2167" s="115">
        <v>249.65</v>
      </c>
      <c r="R2167">
        <v>42793</v>
      </c>
    </row>
    <row r="2168" spans="1:18" x14ac:dyDescent="0.25">
      <c r="A2168" s="169">
        <v>45197</v>
      </c>
      <c r="B2168" s="115">
        <v>256.85000000000002</v>
      </c>
      <c r="C2168" s="115">
        <v>252.2</v>
      </c>
      <c r="D2168" s="115">
        <v>251.5</v>
      </c>
      <c r="E2168" s="115">
        <v>254.9</v>
      </c>
      <c r="F2168" s="115">
        <v>252.2</v>
      </c>
      <c r="G2168">
        <v>7410</v>
      </c>
      <c r="H2168" s="115"/>
      <c r="I2168" s="115"/>
      <c r="L2168" s="169">
        <v>45196</v>
      </c>
      <c r="M2168" s="115">
        <v>253.9</v>
      </c>
      <c r="N2168" s="115">
        <v>256.14999999999998</v>
      </c>
      <c r="O2168" s="115">
        <v>249.1</v>
      </c>
      <c r="P2168" s="115">
        <v>252.15</v>
      </c>
      <c r="Q2168" s="115">
        <v>253.9</v>
      </c>
      <c r="R2168">
        <v>22942</v>
      </c>
    </row>
    <row r="2169" spans="1:18" x14ac:dyDescent="0.25">
      <c r="A2169" s="169">
        <v>45198</v>
      </c>
      <c r="B2169" s="115">
        <v>257.85000000000002</v>
      </c>
      <c r="C2169" s="115">
        <v>256.55</v>
      </c>
      <c r="D2169" s="115">
        <v>251.4</v>
      </c>
      <c r="E2169" s="115">
        <v>257.3</v>
      </c>
      <c r="F2169" s="115">
        <v>256.55</v>
      </c>
      <c r="G2169">
        <v>1405</v>
      </c>
      <c r="H2169" s="115"/>
      <c r="I2169" s="115"/>
      <c r="L2169" s="169">
        <v>45197</v>
      </c>
      <c r="M2169" s="115">
        <v>252.5</v>
      </c>
      <c r="N2169" s="115">
        <v>257.45</v>
      </c>
      <c r="O2169" s="115">
        <v>251.1</v>
      </c>
      <c r="P2169" s="115">
        <v>253.9</v>
      </c>
      <c r="Q2169" s="115">
        <v>252.5</v>
      </c>
      <c r="R2169">
        <v>33891</v>
      </c>
    </row>
    <row r="2170" spans="1:18" x14ac:dyDescent="0.25">
      <c r="A2170" s="169">
        <v>45202</v>
      </c>
      <c r="B2170" s="115">
        <v>258.64999999999998</v>
      </c>
      <c r="C2170" s="115">
        <v>254.35</v>
      </c>
      <c r="D2170" s="115">
        <v>254.25</v>
      </c>
      <c r="E2170" s="115">
        <v>256.55</v>
      </c>
      <c r="F2170" s="115">
        <v>254.35</v>
      </c>
      <c r="G2170">
        <v>369</v>
      </c>
      <c r="H2170" s="115"/>
      <c r="I2170" s="115"/>
      <c r="L2170" s="169">
        <v>45198</v>
      </c>
      <c r="M2170" s="115">
        <v>257.25</v>
      </c>
      <c r="N2170" s="115">
        <v>259.5</v>
      </c>
      <c r="O2170" s="115">
        <v>251</v>
      </c>
      <c r="P2170" s="115">
        <v>253</v>
      </c>
      <c r="Q2170" s="115">
        <v>257.25</v>
      </c>
      <c r="R2170">
        <v>117448</v>
      </c>
    </row>
    <row r="2171" spans="1:18" x14ac:dyDescent="0.25">
      <c r="A2171" s="169">
        <v>45203</v>
      </c>
      <c r="B2171" s="115">
        <v>259.55</v>
      </c>
      <c r="C2171" s="115">
        <v>255.55</v>
      </c>
      <c r="D2171" s="115">
        <v>251</v>
      </c>
      <c r="E2171" s="115">
        <v>259.3</v>
      </c>
      <c r="F2171" s="115">
        <v>255.55</v>
      </c>
      <c r="G2171">
        <v>3820</v>
      </c>
      <c r="H2171" s="115"/>
      <c r="I2171" s="115"/>
      <c r="L2171" s="169">
        <v>45202</v>
      </c>
      <c r="M2171" s="115">
        <v>254.3</v>
      </c>
      <c r="N2171" s="115">
        <v>258.89999999999998</v>
      </c>
      <c r="O2171" s="115">
        <v>254</v>
      </c>
      <c r="P2171" s="115">
        <v>257</v>
      </c>
      <c r="Q2171" s="115">
        <v>254.3</v>
      </c>
      <c r="R2171">
        <v>27220</v>
      </c>
    </row>
    <row r="2172" spans="1:18" x14ac:dyDescent="0.25">
      <c r="A2172" s="169">
        <v>45204</v>
      </c>
      <c r="B2172" s="115">
        <v>260.95</v>
      </c>
      <c r="C2172" s="115">
        <v>254.7</v>
      </c>
      <c r="D2172" s="115">
        <v>252.9</v>
      </c>
      <c r="E2172" s="115">
        <v>258.89999999999998</v>
      </c>
      <c r="F2172" s="115">
        <v>254.7</v>
      </c>
      <c r="G2172">
        <v>2486</v>
      </c>
      <c r="H2172" s="115"/>
      <c r="I2172" s="115"/>
      <c r="L2172" s="169">
        <v>45203</v>
      </c>
      <c r="M2172" s="115">
        <v>256.89999999999998</v>
      </c>
      <c r="N2172" s="115">
        <v>262</v>
      </c>
      <c r="O2172" s="115">
        <v>251.05</v>
      </c>
      <c r="P2172" s="115">
        <v>254</v>
      </c>
      <c r="Q2172" s="115">
        <v>256.89999999999998</v>
      </c>
      <c r="R2172">
        <v>32397</v>
      </c>
    </row>
    <row r="2173" spans="1:18" x14ac:dyDescent="0.25">
      <c r="A2173" s="169">
        <v>45205</v>
      </c>
      <c r="B2173" s="115">
        <v>259.85000000000002</v>
      </c>
      <c r="C2173" s="115">
        <v>258.25</v>
      </c>
      <c r="D2173" s="115">
        <v>254.1</v>
      </c>
      <c r="E2173" s="115">
        <v>254.15</v>
      </c>
      <c r="F2173" s="115">
        <v>258.25</v>
      </c>
      <c r="G2173">
        <v>2544</v>
      </c>
      <c r="H2173" s="115"/>
      <c r="I2173" s="115"/>
      <c r="L2173" s="169">
        <v>45204</v>
      </c>
      <c r="M2173" s="115">
        <v>254.55</v>
      </c>
      <c r="N2173" s="115">
        <v>258.45</v>
      </c>
      <c r="O2173" s="115">
        <v>252.75</v>
      </c>
      <c r="P2173" s="115">
        <v>256.89999999999998</v>
      </c>
      <c r="Q2173" s="115">
        <v>254.55</v>
      </c>
      <c r="R2173">
        <v>42266</v>
      </c>
    </row>
    <row r="2174" spans="1:18" x14ac:dyDescent="0.25">
      <c r="A2174" s="169">
        <v>45208</v>
      </c>
      <c r="B2174" s="115">
        <v>258.2</v>
      </c>
      <c r="C2174" s="115">
        <v>255.45</v>
      </c>
      <c r="D2174" s="115">
        <v>252</v>
      </c>
      <c r="E2174" s="115">
        <v>253</v>
      </c>
      <c r="F2174" s="115">
        <v>255.45</v>
      </c>
      <c r="G2174">
        <v>731</v>
      </c>
      <c r="H2174" s="115"/>
      <c r="I2174" s="115"/>
      <c r="L2174" s="169">
        <v>45205</v>
      </c>
      <c r="M2174" s="115">
        <v>258.85000000000002</v>
      </c>
      <c r="N2174" s="115">
        <v>259.89999999999998</v>
      </c>
      <c r="O2174" s="115">
        <v>254.1</v>
      </c>
      <c r="P2174" s="115">
        <v>254.45</v>
      </c>
      <c r="Q2174" s="115">
        <v>258.85000000000002</v>
      </c>
      <c r="R2174">
        <v>42570</v>
      </c>
    </row>
    <row r="2175" spans="1:18" x14ac:dyDescent="0.25">
      <c r="A2175" s="169">
        <v>45209</v>
      </c>
      <c r="B2175" s="115">
        <v>257</v>
      </c>
      <c r="C2175" s="115">
        <v>256.05</v>
      </c>
      <c r="D2175" s="115">
        <v>253.7</v>
      </c>
      <c r="E2175" s="115">
        <v>255.15</v>
      </c>
      <c r="F2175" s="115">
        <v>256.05</v>
      </c>
      <c r="G2175">
        <v>2417</v>
      </c>
      <c r="H2175" s="115"/>
      <c r="I2175" s="115"/>
      <c r="L2175" s="169">
        <v>45208</v>
      </c>
      <c r="M2175" s="115">
        <v>254.45</v>
      </c>
      <c r="N2175" s="115">
        <v>258.45</v>
      </c>
      <c r="O2175" s="115">
        <v>251.35</v>
      </c>
      <c r="P2175" s="115">
        <v>251.35</v>
      </c>
      <c r="Q2175" s="115">
        <v>254.45</v>
      </c>
      <c r="R2175">
        <v>32856</v>
      </c>
    </row>
    <row r="2176" spans="1:18" x14ac:dyDescent="0.25">
      <c r="A2176" s="169">
        <v>45210</v>
      </c>
      <c r="B2176" s="115">
        <v>265</v>
      </c>
      <c r="C2176" s="115">
        <v>260.10000000000002</v>
      </c>
      <c r="D2176" s="115">
        <v>258.10000000000002</v>
      </c>
      <c r="E2176" s="115">
        <v>258.75</v>
      </c>
      <c r="F2176" s="115">
        <v>260.10000000000002</v>
      </c>
      <c r="G2176">
        <v>10892</v>
      </c>
      <c r="H2176" s="115"/>
      <c r="I2176" s="115"/>
      <c r="L2176" s="169">
        <v>45209</v>
      </c>
      <c r="M2176" s="115">
        <v>256</v>
      </c>
      <c r="N2176" s="115">
        <v>258</v>
      </c>
      <c r="O2176" s="115">
        <v>253.3</v>
      </c>
      <c r="P2176" s="115">
        <v>255</v>
      </c>
      <c r="Q2176" s="115">
        <v>256</v>
      </c>
      <c r="R2176">
        <v>35152</v>
      </c>
    </row>
    <row r="2177" spans="1:18" x14ac:dyDescent="0.25">
      <c r="A2177" s="169">
        <v>45211</v>
      </c>
      <c r="B2177" s="115">
        <v>267.85000000000002</v>
      </c>
      <c r="C2177" s="115">
        <v>266.14999999999998</v>
      </c>
      <c r="D2177" s="115">
        <v>257.45</v>
      </c>
      <c r="E2177" s="115">
        <v>267.85000000000002</v>
      </c>
      <c r="F2177" s="115">
        <v>266.14999999999998</v>
      </c>
      <c r="G2177">
        <v>10758</v>
      </c>
      <c r="H2177" s="115"/>
      <c r="I2177" s="115"/>
      <c r="L2177" s="169">
        <v>45210</v>
      </c>
      <c r="M2177" s="115">
        <v>259.35000000000002</v>
      </c>
      <c r="N2177" s="115">
        <v>265.5</v>
      </c>
      <c r="O2177" s="115">
        <v>257</v>
      </c>
      <c r="P2177" s="115">
        <v>257</v>
      </c>
      <c r="Q2177" s="115">
        <v>259.35000000000002</v>
      </c>
      <c r="R2177">
        <v>91763</v>
      </c>
    </row>
    <row r="2178" spans="1:18" x14ac:dyDescent="0.25">
      <c r="A2178" s="169">
        <v>45212</v>
      </c>
      <c r="B2178" s="115">
        <v>267</v>
      </c>
      <c r="C2178" s="115">
        <v>264.75</v>
      </c>
      <c r="D2178" s="115">
        <v>263</v>
      </c>
      <c r="E2178" s="115">
        <v>267</v>
      </c>
      <c r="F2178" s="115">
        <v>264.75</v>
      </c>
      <c r="G2178">
        <v>3749</v>
      </c>
      <c r="H2178" s="115"/>
      <c r="I2178" s="115"/>
      <c r="L2178" s="169">
        <v>45211</v>
      </c>
      <c r="M2178" s="115">
        <v>265.60000000000002</v>
      </c>
      <c r="N2178" s="115">
        <v>267.05</v>
      </c>
      <c r="O2178" s="115">
        <v>259.10000000000002</v>
      </c>
      <c r="P2178" s="115">
        <v>264</v>
      </c>
      <c r="Q2178" s="115">
        <v>265.60000000000002</v>
      </c>
      <c r="R2178">
        <v>91913</v>
      </c>
    </row>
    <row r="2179" spans="1:18" x14ac:dyDescent="0.25">
      <c r="A2179" s="169">
        <v>45215</v>
      </c>
      <c r="B2179" s="115">
        <v>282.75</v>
      </c>
      <c r="C2179" s="115">
        <v>281.14999999999998</v>
      </c>
      <c r="D2179" s="115">
        <v>262.3</v>
      </c>
      <c r="E2179" s="115">
        <v>262.3</v>
      </c>
      <c r="F2179" s="115">
        <v>281.14999999999998</v>
      </c>
      <c r="G2179">
        <v>37656</v>
      </c>
      <c r="H2179" s="115"/>
      <c r="I2179" s="115"/>
      <c r="L2179" s="169">
        <v>45212</v>
      </c>
      <c r="M2179" s="115">
        <v>264.5</v>
      </c>
      <c r="N2179" s="115">
        <v>267.75</v>
      </c>
      <c r="O2179" s="115">
        <v>261.89999999999998</v>
      </c>
      <c r="P2179" s="115">
        <v>267.75</v>
      </c>
      <c r="Q2179" s="115">
        <v>264.5</v>
      </c>
      <c r="R2179">
        <v>39361</v>
      </c>
    </row>
    <row r="2180" spans="1:18" x14ac:dyDescent="0.25">
      <c r="A2180" s="169">
        <v>45216</v>
      </c>
      <c r="B2180" s="115">
        <v>284.5</v>
      </c>
      <c r="C2180" s="115">
        <v>283.5</v>
      </c>
      <c r="D2180" s="115">
        <v>273.95</v>
      </c>
      <c r="E2180" s="115">
        <v>280.8</v>
      </c>
      <c r="F2180" s="115">
        <v>283.5</v>
      </c>
      <c r="G2180">
        <v>27199</v>
      </c>
      <c r="H2180" s="115"/>
      <c r="I2180" s="115"/>
      <c r="L2180" s="169">
        <v>45215</v>
      </c>
      <c r="M2180" s="115">
        <v>280.89999999999998</v>
      </c>
      <c r="N2180" s="115">
        <v>282.8</v>
      </c>
      <c r="O2180" s="115">
        <v>263.8</v>
      </c>
      <c r="P2180" s="115">
        <v>265</v>
      </c>
      <c r="Q2180" s="115">
        <v>280.89999999999998</v>
      </c>
      <c r="R2180">
        <v>499400</v>
      </c>
    </row>
    <row r="2181" spans="1:18" x14ac:dyDescent="0.25">
      <c r="A2181" s="169">
        <v>45217</v>
      </c>
      <c r="B2181" s="115">
        <v>323.39999999999998</v>
      </c>
      <c r="C2181" s="115">
        <v>308.55</v>
      </c>
      <c r="D2181" s="115">
        <v>300.05</v>
      </c>
      <c r="E2181" s="115">
        <v>300.05</v>
      </c>
      <c r="F2181" s="115">
        <v>308.55</v>
      </c>
      <c r="G2181">
        <v>166720</v>
      </c>
      <c r="H2181" s="115"/>
      <c r="I2181" s="115"/>
      <c r="L2181" s="169">
        <v>45216</v>
      </c>
      <c r="M2181" s="115">
        <v>283.60000000000002</v>
      </c>
      <c r="N2181" s="115">
        <v>285.8</v>
      </c>
      <c r="O2181" s="115">
        <v>273.05</v>
      </c>
      <c r="P2181" s="115">
        <v>282</v>
      </c>
      <c r="Q2181" s="115">
        <v>283.60000000000002</v>
      </c>
      <c r="R2181">
        <v>226612</v>
      </c>
    </row>
    <row r="2182" spans="1:18" x14ac:dyDescent="0.25">
      <c r="A2182" s="169">
        <v>45218</v>
      </c>
      <c r="B2182" s="115">
        <v>314</v>
      </c>
      <c r="C2182" s="115">
        <v>302.95</v>
      </c>
      <c r="D2182" s="115">
        <v>300.25</v>
      </c>
      <c r="E2182" s="115">
        <v>308.5</v>
      </c>
      <c r="F2182" s="115">
        <v>302.95</v>
      </c>
      <c r="G2182">
        <v>37832</v>
      </c>
      <c r="H2182" s="115"/>
      <c r="I2182" s="115"/>
      <c r="L2182" s="169">
        <v>45217</v>
      </c>
      <c r="M2182" s="115">
        <v>308.39999999999998</v>
      </c>
      <c r="N2182" s="115">
        <v>323.64999999999998</v>
      </c>
      <c r="O2182" s="115">
        <v>300.2</v>
      </c>
      <c r="P2182" s="115">
        <v>305</v>
      </c>
      <c r="Q2182" s="115">
        <v>308.39999999999998</v>
      </c>
      <c r="R2182">
        <v>5361924</v>
      </c>
    </row>
    <row r="2183" spans="1:18" x14ac:dyDescent="0.25">
      <c r="A2183" s="169">
        <v>45219</v>
      </c>
      <c r="B2183" s="115">
        <v>306.7</v>
      </c>
      <c r="C2183" s="115">
        <v>292.5</v>
      </c>
      <c r="D2183" s="115">
        <v>290.60000000000002</v>
      </c>
      <c r="E2183" s="115">
        <v>300.14999999999998</v>
      </c>
      <c r="F2183" s="115">
        <v>292.5</v>
      </c>
      <c r="G2183">
        <v>29491</v>
      </c>
      <c r="H2183" s="115"/>
      <c r="I2183" s="115"/>
      <c r="L2183" s="169">
        <v>45218</v>
      </c>
      <c r="M2183" s="115">
        <v>302.60000000000002</v>
      </c>
      <c r="N2183" s="115">
        <v>314</v>
      </c>
      <c r="O2183" s="115">
        <v>300.60000000000002</v>
      </c>
      <c r="P2183" s="115">
        <v>307.85000000000002</v>
      </c>
      <c r="Q2183" s="115">
        <v>302.60000000000002</v>
      </c>
      <c r="R2183">
        <v>510358</v>
      </c>
    </row>
    <row r="2184" spans="1:18" x14ac:dyDescent="0.25">
      <c r="A2184" s="169">
        <v>45222</v>
      </c>
      <c r="B2184" s="115">
        <v>301.45</v>
      </c>
      <c r="C2184" s="115">
        <v>279.7</v>
      </c>
      <c r="D2184" s="115">
        <v>277.05</v>
      </c>
      <c r="E2184" s="115">
        <v>297</v>
      </c>
      <c r="F2184" s="115">
        <v>279.7</v>
      </c>
      <c r="G2184">
        <v>43700</v>
      </c>
      <c r="H2184" s="115"/>
      <c r="I2184" s="115"/>
      <c r="L2184" s="169">
        <v>45219</v>
      </c>
      <c r="M2184" s="115">
        <v>293</v>
      </c>
      <c r="N2184" s="115">
        <v>306.5</v>
      </c>
      <c r="O2184" s="115">
        <v>290.60000000000002</v>
      </c>
      <c r="P2184" s="115">
        <v>303.55</v>
      </c>
      <c r="Q2184" s="115">
        <v>293</v>
      </c>
      <c r="R2184">
        <v>229699</v>
      </c>
    </row>
    <row r="2185" spans="1:18" x14ac:dyDescent="0.25">
      <c r="A2185" s="169">
        <v>45224</v>
      </c>
      <c r="B2185" s="115">
        <v>284.05</v>
      </c>
      <c r="C2185" s="115">
        <v>281.95</v>
      </c>
      <c r="D2185" s="115">
        <v>276.89999999999998</v>
      </c>
      <c r="E2185" s="115">
        <v>281</v>
      </c>
      <c r="F2185" s="115">
        <v>281.95</v>
      </c>
      <c r="G2185">
        <v>6554</v>
      </c>
      <c r="H2185" s="115"/>
      <c r="I2185" s="115"/>
      <c r="L2185" s="169">
        <v>45222</v>
      </c>
      <c r="M2185" s="115">
        <v>279.75</v>
      </c>
      <c r="N2185" s="115">
        <v>301.60000000000002</v>
      </c>
      <c r="O2185" s="115">
        <v>275.25</v>
      </c>
      <c r="P2185" s="115">
        <v>292.05</v>
      </c>
      <c r="Q2185" s="115">
        <v>279.75</v>
      </c>
      <c r="R2185">
        <v>412984</v>
      </c>
    </row>
    <row r="2186" spans="1:18" x14ac:dyDescent="0.25">
      <c r="A2186" s="169">
        <v>45225</v>
      </c>
      <c r="B2186" s="115">
        <v>297</v>
      </c>
      <c r="C2186" s="115">
        <v>289.3</v>
      </c>
      <c r="D2186" s="115">
        <v>270.10000000000002</v>
      </c>
      <c r="E2186" s="115">
        <v>286.95</v>
      </c>
      <c r="F2186" s="115">
        <v>289.3</v>
      </c>
      <c r="G2186">
        <v>12734</v>
      </c>
      <c r="H2186" s="115"/>
      <c r="I2186" s="115"/>
      <c r="L2186" s="169">
        <v>45224</v>
      </c>
      <c r="M2186" s="115">
        <v>281.25</v>
      </c>
      <c r="N2186" s="115">
        <v>286.45</v>
      </c>
      <c r="O2186" s="115">
        <v>276.35000000000002</v>
      </c>
      <c r="P2186" s="115">
        <v>282</v>
      </c>
      <c r="Q2186" s="115">
        <v>281.25</v>
      </c>
      <c r="R2186">
        <v>145740</v>
      </c>
    </row>
    <row r="2187" spans="1:18" x14ac:dyDescent="0.25">
      <c r="A2187" s="169">
        <v>45226</v>
      </c>
      <c r="B2187" s="115">
        <v>303.3</v>
      </c>
      <c r="C2187" s="115">
        <v>293.64999999999998</v>
      </c>
      <c r="D2187" s="115">
        <v>290.2</v>
      </c>
      <c r="E2187" s="115">
        <v>290.95</v>
      </c>
      <c r="F2187" s="115">
        <v>293.64999999999998</v>
      </c>
      <c r="G2187">
        <v>18256</v>
      </c>
      <c r="H2187" s="115"/>
      <c r="I2187" s="115"/>
      <c r="L2187" s="169">
        <v>45225</v>
      </c>
      <c r="M2187" s="115">
        <v>288.85000000000002</v>
      </c>
      <c r="N2187" s="115">
        <v>297</v>
      </c>
      <c r="O2187" s="115">
        <v>269.64999999999998</v>
      </c>
      <c r="P2187" s="115">
        <v>280.95</v>
      </c>
      <c r="Q2187" s="115">
        <v>288.85000000000002</v>
      </c>
      <c r="R2187">
        <v>294897</v>
      </c>
    </row>
    <row r="2188" spans="1:18" x14ac:dyDescent="0.25">
      <c r="A2188" s="169">
        <v>45229</v>
      </c>
      <c r="B2188" s="115">
        <v>294.8</v>
      </c>
      <c r="C2188" s="115">
        <v>289.05</v>
      </c>
      <c r="D2188" s="115">
        <v>287.14999999999998</v>
      </c>
      <c r="E2188" s="115">
        <v>292.75</v>
      </c>
      <c r="F2188" s="115">
        <v>289.05</v>
      </c>
      <c r="G2188">
        <v>13046</v>
      </c>
      <c r="H2188" s="115"/>
      <c r="I2188" s="115"/>
      <c r="L2188" s="169">
        <v>45226</v>
      </c>
      <c r="M2188" s="115">
        <v>293.2</v>
      </c>
      <c r="N2188" s="115">
        <v>304.5</v>
      </c>
      <c r="O2188" s="115">
        <v>290</v>
      </c>
      <c r="P2188" s="115">
        <v>290</v>
      </c>
      <c r="Q2188" s="115">
        <v>293.2</v>
      </c>
      <c r="R2188">
        <v>381203</v>
      </c>
    </row>
    <row r="2189" spans="1:18" x14ac:dyDescent="0.25">
      <c r="A2189" s="169">
        <v>45230</v>
      </c>
      <c r="B2189" s="115">
        <v>291.25</v>
      </c>
      <c r="C2189" s="115">
        <v>282.05</v>
      </c>
      <c r="D2189" s="115">
        <v>281.39999999999998</v>
      </c>
      <c r="E2189" s="115">
        <v>291.25</v>
      </c>
      <c r="F2189" s="115">
        <v>282.05</v>
      </c>
      <c r="G2189">
        <v>8489</v>
      </c>
      <c r="H2189" s="115"/>
      <c r="I2189" s="115"/>
      <c r="L2189" s="169">
        <v>45229</v>
      </c>
      <c r="M2189" s="115">
        <v>289.64999999999998</v>
      </c>
      <c r="N2189" s="115">
        <v>297.35000000000002</v>
      </c>
      <c r="O2189" s="115">
        <v>287.5</v>
      </c>
      <c r="P2189" s="115">
        <v>294.95</v>
      </c>
      <c r="Q2189" s="115">
        <v>289.64999999999998</v>
      </c>
      <c r="R2189">
        <v>93166</v>
      </c>
    </row>
    <row r="2190" spans="1:18" x14ac:dyDescent="0.25">
      <c r="A2190" s="169">
        <v>45231</v>
      </c>
      <c r="B2190" s="115">
        <v>284.45</v>
      </c>
      <c r="C2190" s="115">
        <v>273.3</v>
      </c>
      <c r="D2190" s="115">
        <v>272.05</v>
      </c>
      <c r="E2190" s="115">
        <v>283</v>
      </c>
      <c r="F2190" s="115">
        <v>273.3</v>
      </c>
      <c r="G2190">
        <v>19007</v>
      </c>
      <c r="H2190" s="115"/>
      <c r="I2190" s="115"/>
      <c r="L2190" s="169">
        <v>45230</v>
      </c>
      <c r="M2190" s="115">
        <v>281.95</v>
      </c>
      <c r="N2190" s="115">
        <v>292.35000000000002</v>
      </c>
      <c r="O2190" s="115">
        <v>281.10000000000002</v>
      </c>
      <c r="P2190" s="115">
        <v>287.3</v>
      </c>
      <c r="Q2190" s="115">
        <v>281.95</v>
      </c>
      <c r="R2190">
        <v>178602</v>
      </c>
    </row>
    <row r="2191" spans="1:18" x14ac:dyDescent="0.25">
      <c r="A2191" s="169">
        <v>45232</v>
      </c>
      <c r="B2191" s="115">
        <v>277.89999999999998</v>
      </c>
      <c r="C2191" s="115">
        <v>273.35000000000002</v>
      </c>
      <c r="D2191" s="115">
        <v>270.7</v>
      </c>
      <c r="E2191" s="115">
        <v>276.10000000000002</v>
      </c>
      <c r="F2191" s="115">
        <v>273.35000000000002</v>
      </c>
      <c r="G2191">
        <v>3757</v>
      </c>
      <c r="H2191" s="115"/>
      <c r="I2191" s="115"/>
      <c r="L2191" s="169">
        <v>45231</v>
      </c>
      <c r="M2191" s="115">
        <v>273.45</v>
      </c>
      <c r="N2191" s="115">
        <v>284.55</v>
      </c>
      <c r="O2191" s="115">
        <v>272.35000000000002</v>
      </c>
      <c r="P2191" s="115">
        <v>283</v>
      </c>
      <c r="Q2191" s="115">
        <v>273.45</v>
      </c>
      <c r="R2191">
        <v>217580</v>
      </c>
    </row>
    <row r="2192" spans="1:18" x14ac:dyDescent="0.25">
      <c r="A2192" s="169">
        <v>45233</v>
      </c>
      <c r="B2192" s="115">
        <v>283.95</v>
      </c>
      <c r="C2192" s="115">
        <v>279.25</v>
      </c>
      <c r="D2192" s="115">
        <v>274.85000000000002</v>
      </c>
      <c r="E2192" s="115">
        <v>275.5</v>
      </c>
      <c r="F2192" s="115">
        <v>279.25</v>
      </c>
      <c r="G2192">
        <v>10851</v>
      </c>
      <c r="H2192" s="115"/>
      <c r="I2192" s="115"/>
      <c r="L2192" s="169">
        <v>45232</v>
      </c>
      <c r="M2192" s="115">
        <v>272.95</v>
      </c>
      <c r="N2192" s="115">
        <v>278.39999999999998</v>
      </c>
      <c r="O2192" s="115">
        <v>270.8</v>
      </c>
      <c r="P2192" s="115">
        <v>276.5</v>
      </c>
      <c r="Q2192" s="115">
        <v>272.95</v>
      </c>
      <c r="R2192">
        <v>101342</v>
      </c>
    </row>
    <row r="2193" spans="1:18" x14ac:dyDescent="0.25">
      <c r="A2193" s="169">
        <v>45236</v>
      </c>
      <c r="B2193" s="115">
        <v>284.95</v>
      </c>
      <c r="C2193" s="115">
        <v>282.2</v>
      </c>
      <c r="D2193" s="115">
        <v>276.64999999999998</v>
      </c>
      <c r="E2193" s="115">
        <v>276.64999999999998</v>
      </c>
      <c r="F2193" s="115">
        <v>282.2</v>
      </c>
      <c r="G2193">
        <v>1933</v>
      </c>
      <c r="H2193" s="115"/>
      <c r="I2193" s="115"/>
      <c r="L2193" s="169">
        <v>45233</v>
      </c>
      <c r="M2193" s="115">
        <v>279.45</v>
      </c>
      <c r="N2193" s="115">
        <v>284.3</v>
      </c>
      <c r="O2193" s="115">
        <v>274.39999999999998</v>
      </c>
      <c r="P2193" s="115">
        <v>274.39999999999998</v>
      </c>
      <c r="Q2193" s="115">
        <v>279.45</v>
      </c>
      <c r="R2193">
        <v>165121</v>
      </c>
    </row>
    <row r="2194" spans="1:18" x14ac:dyDescent="0.25">
      <c r="A2194" s="169">
        <v>45237</v>
      </c>
      <c r="B2194" s="115">
        <v>287.35000000000002</v>
      </c>
      <c r="C2194" s="115">
        <v>284.25</v>
      </c>
      <c r="D2194" s="115">
        <v>284</v>
      </c>
      <c r="E2194" s="115">
        <v>284.25</v>
      </c>
      <c r="F2194" s="115">
        <v>284.25</v>
      </c>
      <c r="G2194">
        <v>3564</v>
      </c>
      <c r="H2194" s="115"/>
      <c r="I2194" s="115"/>
      <c r="L2194" s="169">
        <v>45236</v>
      </c>
      <c r="M2194" s="115">
        <v>282.39999999999998</v>
      </c>
      <c r="N2194" s="115">
        <v>285</v>
      </c>
      <c r="O2194" s="115">
        <v>275.60000000000002</v>
      </c>
      <c r="P2194" s="115">
        <v>276.14999999999998</v>
      </c>
      <c r="Q2194" s="115">
        <v>282.39999999999998</v>
      </c>
      <c r="R2194">
        <v>66774</v>
      </c>
    </row>
    <row r="2195" spans="1:18" x14ac:dyDescent="0.25">
      <c r="A2195" s="169">
        <v>45238</v>
      </c>
      <c r="B2195" s="115">
        <v>287.64999999999998</v>
      </c>
      <c r="C2195" s="115">
        <v>279.25</v>
      </c>
      <c r="D2195" s="115">
        <v>278.55</v>
      </c>
      <c r="E2195" s="115">
        <v>283.05</v>
      </c>
      <c r="F2195" s="115">
        <v>279.25</v>
      </c>
      <c r="G2195">
        <v>1533</v>
      </c>
      <c r="H2195" s="115"/>
      <c r="I2195" s="115"/>
      <c r="L2195" s="169">
        <v>45237</v>
      </c>
      <c r="M2195" s="115">
        <v>284.75</v>
      </c>
      <c r="N2195" s="115">
        <v>287.60000000000002</v>
      </c>
      <c r="O2195" s="115">
        <v>282.35000000000002</v>
      </c>
      <c r="P2195" s="115">
        <v>282.39999999999998</v>
      </c>
      <c r="Q2195" s="115">
        <v>284.75</v>
      </c>
      <c r="R2195">
        <v>88977</v>
      </c>
    </row>
    <row r="2196" spans="1:18" x14ac:dyDescent="0.25">
      <c r="A2196" s="169">
        <v>45239</v>
      </c>
      <c r="B2196" s="115">
        <v>309.89999999999998</v>
      </c>
      <c r="C2196" s="115">
        <v>298.64999999999998</v>
      </c>
      <c r="D2196" s="115">
        <v>290.10000000000002</v>
      </c>
      <c r="E2196" s="115">
        <v>292.2</v>
      </c>
      <c r="F2196" s="115">
        <v>298.64999999999998</v>
      </c>
      <c r="G2196">
        <v>113557</v>
      </c>
      <c r="H2196" s="115"/>
      <c r="I2196" s="115"/>
      <c r="L2196" s="169">
        <v>45238</v>
      </c>
      <c r="M2196" s="115">
        <v>278.89999999999998</v>
      </c>
      <c r="N2196" s="115">
        <v>287.75</v>
      </c>
      <c r="O2196" s="115">
        <v>277.55</v>
      </c>
      <c r="P2196" s="115">
        <v>285.45</v>
      </c>
      <c r="Q2196" s="115">
        <v>278.89999999999998</v>
      </c>
      <c r="R2196">
        <v>76089</v>
      </c>
    </row>
    <row r="2197" spans="1:18" x14ac:dyDescent="0.25">
      <c r="A2197" s="169">
        <v>45240</v>
      </c>
      <c r="B2197" s="115">
        <v>304.2</v>
      </c>
      <c r="C2197" s="115">
        <v>298.45</v>
      </c>
      <c r="D2197" s="115">
        <v>294.10000000000002</v>
      </c>
      <c r="E2197" s="115">
        <v>299</v>
      </c>
      <c r="F2197" s="115">
        <v>298.45</v>
      </c>
      <c r="G2197">
        <v>35394</v>
      </c>
      <c r="H2197" s="115"/>
      <c r="I2197" s="115"/>
      <c r="L2197" s="169">
        <v>45239</v>
      </c>
      <c r="M2197" s="115">
        <v>298.60000000000002</v>
      </c>
      <c r="N2197" s="115">
        <v>309.95</v>
      </c>
      <c r="O2197" s="115">
        <v>286.95</v>
      </c>
      <c r="P2197" s="115">
        <v>287.2</v>
      </c>
      <c r="Q2197" s="115">
        <v>298.60000000000002</v>
      </c>
      <c r="R2197">
        <v>1477350</v>
      </c>
    </row>
    <row r="2198" spans="1:18" x14ac:dyDescent="0.25">
      <c r="A2198" s="169">
        <v>45242</v>
      </c>
      <c r="B2198" s="115">
        <v>306.05</v>
      </c>
      <c r="C2198" s="115">
        <v>305.14999999999998</v>
      </c>
      <c r="D2198" s="115">
        <v>302.05</v>
      </c>
      <c r="E2198" s="115">
        <v>302.05</v>
      </c>
      <c r="F2198" s="115">
        <v>305.14999999999998</v>
      </c>
      <c r="G2198">
        <v>9227</v>
      </c>
      <c r="H2198" s="115"/>
      <c r="I2198" s="115"/>
      <c r="L2198" s="169">
        <v>45240</v>
      </c>
      <c r="M2198" s="115">
        <v>299.25</v>
      </c>
      <c r="N2198" s="115">
        <v>305.64999999999998</v>
      </c>
      <c r="O2198" s="115">
        <v>294.25</v>
      </c>
      <c r="P2198" s="115">
        <v>299.85000000000002</v>
      </c>
      <c r="Q2198" s="115">
        <v>299.25</v>
      </c>
      <c r="R2198">
        <v>227662</v>
      </c>
    </row>
    <row r="2199" spans="1:18" x14ac:dyDescent="0.25">
      <c r="A2199" s="169">
        <v>45243</v>
      </c>
      <c r="B2199" s="115">
        <v>308.85000000000002</v>
      </c>
      <c r="C2199" s="115">
        <v>303.39999999999998</v>
      </c>
      <c r="D2199" s="115">
        <v>298.39999999999998</v>
      </c>
      <c r="E2199" s="115">
        <v>308.85000000000002</v>
      </c>
      <c r="F2199" s="115">
        <v>303.39999999999998</v>
      </c>
      <c r="G2199">
        <v>4013</v>
      </c>
      <c r="H2199" s="115"/>
      <c r="I2199" s="115"/>
      <c r="L2199" s="169">
        <v>45242</v>
      </c>
      <c r="M2199" s="115">
        <v>305.39999999999998</v>
      </c>
      <c r="N2199" s="115">
        <v>305.95</v>
      </c>
      <c r="O2199" s="115">
        <v>302.25</v>
      </c>
      <c r="P2199" s="115">
        <v>304.75</v>
      </c>
      <c r="Q2199" s="115">
        <v>305.39999999999998</v>
      </c>
      <c r="R2199">
        <v>115630</v>
      </c>
    </row>
    <row r="2200" spans="1:18" x14ac:dyDescent="0.25">
      <c r="A2200" s="169">
        <v>45245</v>
      </c>
      <c r="B2200" s="115">
        <v>306.64999999999998</v>
      </c>
      <c r="C2200" s="115">
        <v>304.89999999999998</v>
      </c>
      <c r="D2200" s="115">
        <v>302.35000000000002</v>
      </c>
      <c r="E2200" s="115">
        <v>305</v>
      </c>
      <c r="F2200" s="115">
        <v>304.89999999999998</v>
      </c>
      <c r="G2200">
        <v>5203</v>
      </c>
      <c r="H2200" s="115"/>
      <c r="I2200" s="115"/>
      <c r="L2200" s="169">
        <v>45243</v>
      </c>
      <c r="M2200" s="115">
        <v>303.55</v>
      </c>
      <c r="N2200" s="115">
        <v>307.39999999999998</v>
      </c>
      <c r="O2200" s="115">
        <v>298.35000000000002</v>
      </c>
      <c r="P2200" s="115">
        <v>307</v>
      </c>
      <c r="Q2200" s="115">
        <v>303.55</v>
      </c>
      <c r="R2200">
        <v>147247</v>
      </c>
    </row>
    <row r="2201" spans="1:18" x14ac:dyDescent="0.25">
      <c r="A2201" s="169">
        <v>45246</v>
      </c>
      <c r="B2201" s="115">
        <v>316.89999999999998</v>
      </c>
      <c r="C2201" s="115">
        <v>312</v>
      </c>
      <c r="D2201" s="115">
        <v>305.64999999999998</v>
      </c>
      <c r="E2201" s="115">
        <v>306.95</v>
      </c>
      <c r="F2201" s="115">
        <v>312</v>
      </c>
      <c r="G2201">
        <v>48841</v>
      </c>
      <c r="H2201" s="115"/>
      <c r="I2201" s="115"/>
      <c r="L2201" s="169">
        <v>45245</v>
      </c>
      <c r="M2201" s="115">
        <v>304.75</v>
      </c>
      <c r="N2201" s="115">
        <v>306.60000000000002</v>
      </c>
      <c r="O2201" s="115">
        <v>302.3</v>
      </c>
      <c r="P2201" s="115">
        <v>304.89999999999998</v>
      </c>
      <c r="Q2201" s="115">
        <v>304.75</v>
      </c>
      <c r="R2201">
        <v>127627</v>
      </c>
    </row>
    <row r="2202" spans="1:18" x14ac:dyDescent="0.25">
      <c r="A2202" s="169">
        <v>45247</v>
      </c>
      <c r="B2202" s="115">
        <v>312.5</v>
      </c>
      <c r="C2202" s="115">
        <v>308.7</v>
      </c>
      <c r="D2202" s="115">
        <v>308</v>
      </c>
      <c r="E2202" s="115">
        <v>312.05</v>
      </c>
      <c r="F2202" s="115">
        <v>308.7</v>
      </c>
      <c r="G2202">
        <v>11568</v>
      </c>
      <c r="H2202" s="115"/>
      <c r="I2202" s="115"/>
      <c r="L2202" s="169">
        <v>45246</v>
      </c>
      <c r="M2202" s="115">
        <v>312.7</v>
      </c>
      <c r="N2202" s="115">
        <v>316.95</v>
      </c>
      <c r="O2202" s="115">
        <v>304.75</v>
      </c>
      <c r="P2202" s="115">
        <v>305</v>
      </c>
      <c r="Q2202" s="115">
        <v>312.7</v>
      </c>
      <c r="R2202">
        <v>521912</v>
      </c>
    </row>
    <row r="2203" spans="1:18" x14ac:dyDescent="0.25">
      <c r="A2203" s="169">
        <v>45250</v>
      </c>
      <c r="B2203" s="115">
        <v>313.25</v>
      </c>
      <c r="C2203" s="115">
        <v>310.39999999999998</v>
      </c>
      <c r="D2203" s="115">
        <v>306.3</v>
      </c>
      <c r="E2203" s="115">
        <v>309.8</v>
      </c>
      <c r="F2203" s="115">
        <v>310.39999999999998</v>
      </c>
      <c r="G2203">
        <v>10238</v>
      </c>
      <c r="H2203" s="115"/>
      <c r="I2203" s="115"/>
      <c r="L2203" s="169">
        <v>45247</v>
      </c>
      <c r="M2203" s="115">
        <v>308.75</v>
      </c>
      <c r="N2203" s="115">
        <v>314.3</v>
      </c>
      <c r="O2203" s="115">
        <v>308.05</v>
      </c>
      <c r="P2203" s="115">
        <v>314.3</v>
      </c>
      <c r="Q2203" s="115">
        <v>308.75</v>
      </c>
      <c r="R2203">
        <v>100739</v>
      </c>
    </row>
    <row r="2204" spans="1:18" x14ac:dyDescent="0.25">
      <c r="A2204" s="169">
        <v>45251</v>
      </c>
      <c r="B2204" s="115">
        <v>319.75</v>
      </c>
      <c r="C2204" s="115">
        <v>313</v>
      </c>
      <c r="D2204" s="115">
        <v>310.60000000000002</v>
      </c>
      <c r="E2204" s="115">
        <v>311.95</v>
      </c>
      <c r="F2204" s="115">
        <v>313</v>
      </c>
      <c r="G2204">
        <v>8698</v>
      </c>
      <c r="H2204" s="115"/>
      <c r="I2204" s="115"/>
      <c r="L2204" s="169">
        <v>45250</v>
      </c>
      <c r="M2204" s="115">
        <v>310.39999999999998</v>
      </c>
      <c r="N2204" s="115">
        <v>313.35000000000002</v>
      </c>
      <c r="O2204" s="115">
        <v>306.05</v>
      </c>
      <c r="P2204" s="115">
        <v>312.05</v>
      </c>
      <c r="Q2204" s="115">
        <v>310.39999999999998</v>
      </c>
      <c r="R2204">
        <v>141569</v>
      </c>
    </row>
    <row r="2205" spans="1:18" x14ac:dyDescent="0.25">
      <c r="A2205" s="169">
        <v>45252</v>
      </c>
      <c r="B2205" s="115">
        <v>313.60000000000002</v>
      </c>
      <c r="C2205" s="115">
        <v>309.55</v>
      </c>
      <c r="D2205" s="115">
        <v>305.5</v>
      </c>
      <c r="E2205" s="115">
        <v>310</v>
      </c>
      <c r="F2205" s="115">
        <v>309.55</v>
      </c>
      <c r="G2205">
        <v>9684</v>
      </c>
      <c r="H2205" s="115"/>
      <c r="I2205" s="115"/>
      <c r="L2205" s="169">
        <v>45251</v>
      </c>
      <c r="M2205" s="115">
        <v>312.60000000000002</v>
      </c>
      <c r="N2205" s="115">
        <v>319.7</v>
      </c>
      <c r="O2205" s="115">
        <v>310.14999999999998</v>
      </c>
      <c r="P2205" s="115">
        <v>310.39999999999998</v>
      </c>
      <c r="Q2205" s="115">
        <v>312.60000000000002</v>
      </c>
      <c r="R2205">
        <v>180435</v>
      </c>
    </row>
    <row r="2206" spans="1:18" x14ac:dyDescent="0.25">
      <c r="A2206" s="169">
        <v>45253</v>
      </c>
      <c r="B2206" s="115">
        <v>315.85000000000002</v>
      </c>
      <c r="C2206" s="115">
        <v>311.5</v>
      </c>
      <c r="D2206" s="115">
        <v>309.35000000000002</v>
      </c>
      <c r="E2206" s="115">
        <v>314.95</v>
      </c>
      <c r="F2206" s="115">
        <v>311.5</v>
      </c>
      <c r="G2206">
        <v>13118</v>
      </c>
      <c r="H2206" s="115"/>
      <c r="I2206" s="115"/>
      <c r="L2206" s="169">
        <v>45252</v>
      </c>
      <c r="M2206" s="115">
        <v>309.25</v>
      </c>
      <c r="N2206" s="115">
        <v>313.85000000000002</v>
      </c>
      <c r="O2206" s="115">
        <v>305.05</v>
      </c>
      <c r="P2206" s="115">
        <v>313.5</v>
      </c>
      <c r="Q2206" s="115">
        <v>309.25</v>
      </c>
      <c r="R2206">
        <v>125220</v>
      </c>
    </row>
    <row r="2207" spans="1:18" x14ac:dyDescent="0.25">
      <c r="A2207" s="169">
        <v>45254</v>
      </c>
      <c r="B2207" s="115">
        <v>317</v>
      </c>
      <c r="C2207" s="115">
        <v>311.10000000000002</v>
      </c>
      <c r="D2207" s="115">
        <v>310.7</v>
      </c>
      <c r="E2207" s="115">
        <v>314.89999999999998</v>
      </c>
      <c r="F2207" s="115">
        <v>311.10000000000002</v>
      </c>
      <c r="G2207">
        <v>10991</v>
      </c>
      <c r="H2207" s="115"/>
      <c r="I2207" s="115"/>
      <c r="L2207" s="169">
        <v>45253</v>
      </c>
      <c r="M2207" s="115">
        <v>311.5</v>
      </c>
      <c r="N2207" s="115">
        <v>316</v>
      </c>
      <c r="O2207" s="115">
        <v>310.10000000000002</v>
      </c>
      <c r="P2207" s="115">
        <v>310.8</v>
      </c>
      <c r="Q2207" s="115">
        <v>311.5</v>
      </c>
      <c r="R2207">
        <v>164044</v>
      </c>
    </row>
    <row r="2208" spans="1:18" x14ac:dyDescent="0.25">
      <c r="A2208" s="169">
        <v>45258</v>
      </c>
      <c r="B2208" s="115">
        <v>317.35000000000002</v>
      </c>
      <c r="C2208" s="115">
        <v>308.55</v>
      </c>
      <c r="D2208" s="115">
        <v>308</v>
      </c>
      <c r="E2208" s="115">
        <v>317.35000000000002</v>
      </c>
      <c r="F2208" s="115">
        <v>308.55</v>
      </c>
      <c r="G2208">
        <v>4839</v>
      </c>
      <c r="H2208" s="115"/>
      <c r="I2208" s="115"/>
      <c r="L2208" s="169">
        <v>45254</v>
      </c>
      <c r="M2208" s="115">
        <v>311.2</v>
      </c>
      <c r="N2208" s="115">
        <v>316.95</v>
      </c>
      <c r="O2208" s="115">
        <v>310.89999999999998</v>
      </c>
      <c r="P2208" s="115">
        <v>314.05</v>
      </c>
      <c r="Q2208" s="115">
        <v>311.2</v>
      </c>
      <c r="R2208">
        <v>117546</v>
      </c>
    </row>
    <row r="2209" spans="1:18" x14ac:dyDescent="0.25">
      <c r="A2209" s="169">
        <v>45259</v>
      </c>
      <c r="B2209" s="115">
        <v>310.8</v>
      </c>
      <c r="C2209" s="115">
        <v>305.85000000000002</v>
      </c>
      <c r="D2209" s="115">
        <v>305.05</v>
      </c>
      <c r="E2209" s="115">
        <v>309.7</v>
      </c>
      <c r="F2209" s="115">
        <v>305.85000000000002</v>
      </c>
      <c r="G2209">
        <v>8225</v>
      </c>
      <c r="H2209" s="115"/>
      <c r="I2209" s="115"/>
      <c r="L2209" s="169">
        <v>45258</v>
      </c>
      <c r="M2209" s="115">
        <v>308.55</v>
      </c>
      <c r="N2209" s="115">
        <v>314.25</v>
      </c>
      <c r="O2209" s="115">
        <v>308</v>
      </c>
      <c r="P2209" s="115">
        <v>312.75</v>
      </c>
      <c r="Q2209" s="115">
        <v>308.55</v>
      </c>
      <c r="R2209">
        <v>93847</v>
      </c>
    </row>
    <row r="2210" spans="1:18" x14ac:dyDescent="0.25">
      <c r="A2210" s="169">
        <v>45260</v>
      </c>
      <c r="B2210" s="115">
        <v>306.7</v>
      </c>
      <c r="C2210" s="115">
        <v>301.39999999999998</v>
      </c>
      <c r="D2210" s="115">
        <v>298.89999999999998</v>
      </c>
      <c r="E2210" s="115">
        <v>306.7</v>
      </c>
      <c r="F2210" s="115">
        <v>301.39999999999998</v>
      </c>
      <c r="G2210">
        <v>2489</v>
      </c>
      <c r="H2210" s="115"/>
      <c r="I2210" s="115"/>
      <c r="L2210" s="169">
        <v>45259</v>
      </c>
      <c r="M2210" s="115">
        <v>306.35000000000002</v>
      </c>
      <c r="N2210" s="115">
        <v>311.60000000000002</v>
      </c>
      <c r="O2210" s="115">
        <v>305.05</v>
      </c>
      <c r="P2210" s="115">
        <v>311.60000000000002</v>
      </c>
      <c r="Q2210" s="115">
        <v>306.35000000000002</v>
      </c>
      <c r="R2210">
        <v>86125</v>
      </c>
    </row>
    <row r="2211" spans="1:18" x14ac:dyDescent="0.25">
      <c r="A2211" s="169">
        <v>45261</v>
      </c>
      <c r="B2211" s="115">
        <v>304.64999999999998</v>
      </c>
      <c r="C2211" s="115">
        <v>299.55</v>
      </c>
      <c r="D2211" s="115">
        <v>298.7</v>
      </c>
      <c r="E2211" s="115">
        <v>304.64999999999998</v>
      </c>
      <c r="F2211" s="115">
        <v>299.55</v>
      </c>
      <c r="G2211">
        <v>3360</v>
      </c>
      <c r="H2211" s="115"/>
      <c r="I2211" s="115"/>
      <c r="L2211" s="169">
        <v>45260</v>
      </c>
      <c r="M2211" s="115">
        <v>301.55</v>
      </c>
      <c r="N2211" s="115">
        <v>308</v>
      </c>
      <c r="O2211" s="115">
        <v>298</v>
      </c>
      <c r="P2211" s="115">
        <v>306.35000000000002</v>
      </c>
      <c r="Q2211" s="115">
        <v>301.55</v>
      </c>
      <c r="R2211">
        <v>157508</v>
      </c>
    </row>
    <row r="2212" spans="1:18" x14ac:dyDescent="0.25">
      <c r="A2212" s="169">
        <v>45264</v>
      </c>
      <c r="B2212" s="115">
        <v>304.39999999999998</v>
      </c>
      <c r="C2212" s="115">
        <v>295.35000000000002</v>
      </c>
      <c r="D2212" s="115">
        <v>291.7</v>
      </c>
      <c r="E2212" s="115">
        <v>304.10000000000002</v>
      </c>
      <c r="F2212" s="115">
        <v>295.35000000000002</v>
      </c>
      <c r="G2212">
        <v>7605</v>
      </c>
      <c r="H2212" s="115"/>
      <c r="I2212" s="115"/>
      <c r="L2212" s="169">
        <v>45261</v>
      </c>
      <c r="M2212" s="115">
        <v>299.8</v>
      </c>
      <c r="N2212" s="115">
        <v>304.95</v>
      </c>
      <c r="O2212" s="115">
        <v>298.55</v>
      </c>
      <c r="P2212" s="115">
        <v>301.55</v>
      </c>
      <c r="Q2212" s="115">
        <v>299.8</v>
      </c>
      <c r="R2212">
        <v>145115</v>
      </c>
    </row>
    <row r="2213" spans="1:18" x14ac:dyDescent="0.25">
      <c r="A2213" s="169">
        <v>45265</v>
      </c>
      <c r="B2213" s="115">
        <v>299.3</v>
      </c>
      <c r="C2213" s="115">
        <v>294.10000000000002</v>
      </c>
      <c r="D2213" s="115">
        <v>293.10000000000002</v>
      </c>
      <c r="E2213" s="115">
        <v>295.55</v>
      </c>
      <c r="F2213" s="115">
        <v>294.10000000000002</v>
      </c>
      <c r="G2213">
        <v>9523</v>
      </c>
      <c r="H2213" s="115"/>
      <c r="I2213" s="115"/>
      <c r="L2213" s="169">
        <v>45264</v>
      </c>
      <c r="M2213" s="115">
        <v>295</v>
      </c>
      <c r="N2213" s="115">
        <v>304.25</v>
      </c>
      <c r="O2213" s="115">
        <v>291.60000000000002</v>
      </c>
      <c r="P2213" s="115">
        <v>302.89999999999998</v>
      </c>
      <c r="Q2213" s="115">
        <v>295</v>
      </c>
      <c r="R2213">
        <v>159912</v>
      </c>
    </row>
    <row r="2214" spans="1:18" x14ac:dyDescent="0.25">
      <c r="A2214" s="169">
        <v>45266</v>
      </c>
      <c r="B2214" s="115">
        <v>299.25</v>
      </c>
      <c r="C2214" s="115">
        <v>295.8</v>
      </c>
      <c r="D2214" s="115">
        <v>295.35000000000002</v>
      </c>
      <c r="E2214" s="115">
        <v>298.39999999999998</v>
      </c>
      <c r="F2214" s="115">
        <v>295.8</v>
      </c>
      <c r="G2214">
        <v>4321</v>
      </c>
      <c r="H2214" s="115"/>
      <c r="I2214" s="115"/>
      <c r="L2214" s="169">
        <v>45265</v>
      </c>
      <c r="M2214" s="115">
        <v>294.35000000000002</v>
      </c>
      <c r="N2214" s="115">
        <v>299.64999999999998</v>
      </c>
      <c r="O2214" s="115">
        <v>293.05</v>
      </c>
      <c r="P2214" s="115">
        <v>296.60000000000002</v>
      </c>
      <c r="Q2214" s="115">
        <v>294.35000000000002</v>
      </c>
      <c r="R2214">
        <v>102656</v>
      </c>
    </row>
    <row r="2215" spans="1:18" x14ac:dyDescent="0.25">
      <c r="A2215" s="169">
        <v>45267</v>
      </c>
      <c r="B2215" s="115">
        <v>297</v>
      </c>
      <c r="C2215" s="115">
        <v>292.60000000000002</v>
      </c>
      <c r="D2215" s="115">
        <v>290</v>
      </c>
      <c r="E2215" s="115">
        <v>294.95</v>
      </c>
      <c r="F2215" s="115">
        <v>292.60000000000002</v>
      </c>
      <c r="G2215">
        <v>4979</v>
      </c>
      <c r="H2215" s="115"/>
      <c r="I2215" s="115"/>
      <c r="L2215" s="169">
        <v>45266</v>
      </c>
      <c r="M2215" s="115">
        <v>295.95</v>
      </c>
      <c r="N2215" s="115">
        <v>300</v>
      </c>
      <c r="O2215" s="115">
        <v>295.05</v>
      </c>
      <c r="P2215" s="115">
        <v>295.7</v>
      </c>
      <c r="Q2215" s="115">
        <v>295.95</v>
      </c>
      <c r="R2215">
        <v>73260</v>
      </c>
    </row>
    <row r="2216" spans="1:18" x14ac:dyDescent="0.25">
      <c r="A2216" s="169">
        <v>45268</v>
      </c>
      <c r="B2216" s="115">
        <v>297.25</v>
      </c>
      <c r="C2216" s="115">
        <v>292.2</v>
      </c>
      <c r="D2216" s="115">
        <v>290.05</v>
      </c>
      <c r="E2216" s="115">
        <v>295.75</v>
      </c>
      <c r="F2216" s="115">
        <v>292.2</v>
      </c>
      <c r="G2216">
        <v>8146</v>
      </c>
      <c r="H2216" s="115"/>
      <c r="I2216" s="115"/>
      <c r="L2216" s="169">
        <v>45267</v>
      </c>
      <c r="M2216" s="115">
        <v>292.5</v>
      </c>
      <c r="N2216" s="115">
        <v>297.35000000000002</v>
      </c>
      <c r="O2216" s="115">
        <v>289.55</v>
      </c>
      <c r="P2216" s="115">
        <v>295.64999999999998</v>
      </c>
      <c r="Q2216" s="115">
        <v>292.5</v>
      </c>
      <c r="R2216">
        <v>106357</v>
      </c>
    </row>
    <row r="2217" spans="1:18" x14ac:dyDescent="0.25">
      <c r="A2217" s="169">
        <v>45271</v>
      </c>
      <c r="B2217" s="115">
        <v>294.55</v>
      </c>
      <c r="C2217" s="115">
        <v>293.3</v>
      </c>
      <c r="D2217" s="115">
        <v>292.05</v>
      </c>
      <c r="E2217" s="115">
        <v>292.89999999999998</v>
      </c>
      <c r="F2217" s="115">
        <v>293.3</v>
      </c>
      <c r="G2217">
        <v>6396</v>
      </c>
      <c r="H2217" s="115"/>
      <c r="I2217" s="115"/>
      <c r="L2217" s="169">
        <v>45268</v>
      </c>
      <c r="M2217" s="115">
        <v>291.64999999999998</v>
      </c>
      <c r="N2217" s="115">
        <v>296.89999999999998</v>
      </c>
      <c r="O2217" s="115">
        <v>290.05</v>
      </c>
      <c r="P2217" s="115">
        <v>294.95</v>
      </c>
      <c r="Q2217" s="115">
        <v>291.64999999999998</v>
      </c>
      <c r="R2217">
        <v>59318</v>
      </c>
    </row>
    <row r="2218" spans="1:18" x14ac:dyDescent="0.25">
      <c r="A2218" s="169">
        <v>45272</v>
      </c>
      <c r="B2218" s="115">
        <v>295.25</v>
      </c>
      <c r="C2218" s="115">
        <v>291.45</v>
      </c>
      <c r="D2218" s="115">
        <v>290.60000000000002</v>
      </c>
      <c r="E2218" s="115">
        <v>295.05</v>
      </c>
      <c r="F2218" s="115">
        <v>291.45</v>
      </c>
      <c r="G2218">
        <v>5712</v>
      </c>
      <c r="H2218" s="115"/>
      <c r="I2218" s="115"/>
      <c r="L2218" s="169">
        <v>45271</v>
      </c>
      <c r="M2218" s="115">
        <v>293.35000000000002</v>
      </c>
      <c r="N2218" s="115">
        <v>294.64999999999998</v>
      </c>
      <c r="O2218" s="115">
        <v>291.55</v>
      </c>
      <c r="P2218" s="115">
        <v>293</v>
      </c>
      <c r="Q2218" s="115">
        <v>293.35000000000002</v>
      </c>
      <c r="R2218">
        <v>34716</v>
      </c>
    </row>
    <row r="2219" spans="1:18" x14ac:dyDescent="0.25">
      <c r="A2219" s="169">
        <v>45273</v>
      </c>
      <c r="B2219" s="115">
        <v>293.45</v>
      </c>
      <c r="C2219" s="115">
        <v>293.10000000000002</v>
      </c>
      <c r="D2219" s="115">
        <v>290.39999999999998</v>
      </c>
      <c r="E2219" s="115">
        <v>292.5</v>
      </c>
      <c r="F2219" s="115">
        <v>293.10000000000002</v>
      </c>
      <c r="G2219">
        <v>2602</v>
      </c>
      <c r="H2219" s="115"/>
      <c r="I2219" s="115"/>
      <c r="L2219" s="169">
        <v>45272</v>
      </c>
      <c r="M2219" s="115">
        <v>291.7</v>
      </c>
      <c r="N2219" s="115">
        <v>298.89999999999998</v>
      </c>
      <c r="O2219" s="115">
        <v>290</v>
      </c>
      <c r="P2219" s="115">
        <v>294</v>
      </c>
      <c r="Q2219" s="115">
        <v>291.7</v>
      </c>
      <c r="R2219">
        <v>71051</v>
      </c>
    </row>
    <row r="2220" spans="1:18" x14ac:dyDescent="0.25">
      <c r="A2220" s="169">
        <v>45274</v>
      </c>
      <c r="B2220" s="115">
        <v>294.3</v>
      </c>
      <c r="C2220" s="115">
        <v>293.45</v>
      </c>
      <c r="D2220" s="115">
        <v>292.10000000000002</v>
      </c>
      <c r="E2220" s="115">
        <v>294.25</v>
      </c>
      <c r="F2220" s="115">
        <v>293.45</v>
      </c>
      <c r="G2220">
        <v>2235</v>
      </c>
      <c r="H2220" s="115"/>
      <c r="I2220" s="115"/>
      <c r="L2220" s="169">
        <v>45273</v>
      </c>
      <c r="M2220" s="115">
        <v>293.39999999999998</v>
      </c>
      <c r="N2220" s="115">
        <v>294.8</v>
      </c>
      <c r="O2220" s="115">
        <v>290.39999999999998</v>
      </c>
      <c r="P2220" s="115">
        <v>293.2</v>
      </c>
      <c r="Q2220" s="115">
        <v>293.39999999999998</v>
      </c>
      <c r="R2220">
        <v>34867</v>
      </c>
    </row>
    <row r="2221" spans="1:18" x14ac:dyDescent="0.25">
      <c r="A2221" s="169">
        <v>45275</v>
      </c>
      <c r="B2221" s="115">
        <v>296.5</v>
      </c>
      <c r="C2221" s="115">
        <v>292.60000000000002</v>
      </c>
      <c r="D2221" s="115">
        <v>292.05</v>
      </c>
      <c r="E2221" s="115">
        <v>295.55</v>
      </c>
      <c r="F2221" s="115">
        <v>292.60000000000002</v>
      </c>
      <c r="G2221">
        <v>3472</v>
      </c>
      <c r="H2221" s="115"/>
      <c r="I2221" s="115"/>
      <c r="L2221" s="169">
        <v>45274</v>
      </c>
      <c r="M2221" s="115">
        <v>293.10000000000002</v>
      </c>
      <c r="N2221" s="115">
        <v>294.7</v>
      </c>
      <c r="O2221" s="115">
        <v>292.14999999999998</v>
      </c>
      <c r="P2221" s="115">
        <v>292.3</v>
      </c>
      <c r="Q2221" s="115">
        <v>293.10000000000002</v>
      </c>
      <c r="R2221">
        <v>57350</v>
      </c>
    </row>
    <row r="2222" spans="1:18" x14ac:dyDescent="0.25">
      <c r="A2222" s="169">
        <v>45278</v>
      </c>
      <c r="B2222" s="115">
        <v>296.64999999999998</v>
      </c>
      <c r="C2222" s="115">
        <v>295.55</v>
      </c>
      <c r="D2222" s="115">
        <v>291.75</v>
      </c>
      <c r="E2222" s="115">
        <v>293</v>
      </c>
      <c r="F2222" s="115">
        <v>295.55</v>
      </c>
      <c r="G2222">
        <v>614</v>
      </c>
      <c r="H2222" s="115"/>
      <c r="I2222" s="115"/>
      <c r="L2222" s="169">
        <v>45275</v>
      </c>
      <c r="M2222" s="115">
        <v>292.7</v>
      </c>
      <c r="N2222" s="115">
        <v>296.05</v>
      </c>
      <c r="O2222" s="115">
        <v>292.14999999999998</v>
      </c>
      <c r="P2222" s="115">
        <v>294.60000000000002</v>
      </c>
      <c r="Q2222" s="115">
        <v>292.7</v>
      </c>
      <c r="R2222">
        <v>39909</v>
      </c>
    </row>
    <row r="2223" spans="1:18" x14ac:dyDescent="0.25">
      <c r="A2223" s="169">
        <v>45279</v>
      </c>
      <c r="B2223" s="115">
        <v>297.60000000000002</v>
      </c>
      <c r="C2223" s="115">
        <v>297.45</v>
      </c>
      <c r="D2223" s="115">
        <v>294.45</v>
      </c>
      <c r="E2223" s="115">
        <v>296.2</v>
      </c>
      <c r="F2223" s="115">
        <v>297.45</v>
      </c>
      <c r="G2223">
        <v>2345</v>
      </c>
      <c r="H2223" s="115"/>
      <c r="I2223" s="115"/>
      <c r="L2223" s="169">
        <v>45278</v>
      </c>
      <c r="M2223" s="115">
        <v>295.75</v>
      </c>
      <c r="N2223" s="115">
        <v>296.39999999999998</v>
      </c>
      <c r="O2223" s="115">
        <v>292.05</v>
      </c>
      <c r="P2223" s="115">
        <v>295.89999999999998</v>
      </c>
      <c r="Q2223" s="115">
        <v>295.75</v>
      </c>
      <c r="R2223">
        <v>75411</v>
      </c>
    </row>
    <row r="2224" spans="1:18" x14ac:dyDescent="0.25">
      <c r="A2224" s="169">
        <v>45280</v>
      </c>
      <c r="B2224" s="115">
        <v>300.45</v>
      </c>
      <c r="C2224" s="115">
        <v>286.10000000000002</v>
      </c>
      <c r="D2224" s="115">
        <v>282.7</v>
      </c>
      <c r="E2224" s="115">
        <v>298.64999999999998</v>
      </c>
      <c r="F2224" s="115">
        <v>286.10000000000002</v>
      </c>
      <c r="G2224">
        <v>19925</v>
      </c>
      <c r="H2224" s="115"/>
      <c r="I2224" s="115"/>
      <c r="L2224" s="169">
        <v>45279</v>
      </c>
      <c r="M2224" s="115">
        <v>297.14999999999998</v>
      </c>
      <c r="N2224" s="115">
        <v>298.14999999999998</v>
      </c>
      <c r="O2224" s="115">
        <v>294.39999999999998</v>
      </c>
      <c r="P2224" s="115">
        <v>295.89999999999998</v>
      </c>
      <c r="Q2224" s="115">
        <v>297.14999999999998</v>
      </c>
      <c r="R2224">
        <v>58402</v>
      </c>
    </row>
    <row r="2225" spans="1:18" x14ac:dyDescent="0.25">
      <c r="A2225" s="169">
        <v>45281</v>
      </c>
      <c r="B2225" s="115">
        <v>292.75</v>
      </c>
      <c r="C2225" s="115">
        <v>290.3</v>
      </c>
      <c r="D2225" s="115">
        <v>281.7</v>
      </c>
      <c r="E2225" s="115">
        <v>285.5</v>
      </c>
      <c r="F2225" s="115">
        <v>290.3</v>
      </c>
      <c r="G2225">
        <v>2371</v>
      </c>
      <c r="H2225" s="115"/>
      <c r="I2225" s="115"/>
      <c r="L2225" s="169">
        <v>45280</v>
      </c>
      <c r="M2225" s="115">
        <v>286.55</v>
      </c>
      <c r="N2225" s="115">
        <v>299.75</v>
      </c>
      <c r="O2225" s="115">
        <v>285</v>
      </c>
      <c r="P2225" s="115">
        <v>298</v>
      </c>
      <c r="Q2225" s="115">
        <v>286.55</v>
      </c>
      <c r="R2225">
        <v>109435</v>
      </c>
    </row>
    <row r="2226" spans="1:18" x14ac:dyDescent="0.25">
      <c r="A2226" s="169">
        <v>45282</v>
      </c>
      <c r="B2226" s="115">
        <v>291.25</v>
      </c>
      <c r="C2226" s="115">
        <v>287.89999999999998</v>
      </c>
      <c r="D2226" s="115">
        <v>286.35000000000002</v>
      </c>
      <c r="E2226" s="115">
        <v>290.7</v>
      </c>
      <c r="F2226" s="115">
        <v>287.89999999999998</v>
      </c>
      <c r="G2226">
        <v>2344</v>
      </c>
      <c r="H2226" s="115"/>
      <c r="I2226" s="115"/>
      <c r="L2226" s="169">
        <v>45281</v>
      </c>
      <c r="M2226" s="115">
        <v>290.95</v>
      </c>
      <c r="N2226" s="115">
        <v>292.89999999999998</v>
      </c>
      <c r="O2226" s="115">
        <v>281.3</v>
      </c>
      <c r="P2226" s="115">
        <v>283.7</v>
      </c>
      <c r="Q2226" s="115">
        <v>290.95</v>
      </c>
      <c r="R2226">
        <v>65914</v>
      </c>
    </row>
    <row r="2227" spans="1:18" x14ac:dyDescent="0.25">
      <c r="A2227" s="169">
        <v>45286</v>
      </c>
      <c r="B2227" s="115">
        <v>289.05</v>
      </c>
      <c r="C2227" s="115">
        <v>284.64999999999998</v>
      </c>
      <c r="D2227" s="115">
        <v>283</v>
      </c>
      <c r="E2227" s="115">
        <v>283</v>
      </c>
      <c r="F2227" s="115">
        <v>284.64999999999998</v>
      </c>
      <c r="G2227">
        <v>5742</v>
      </c>
      <c r="H2227" s="115"/>
      <c r="I2227" s="115"/>
      <c r="L2227" s="169">
        <v>45282</v>
      </c>
      <c r="M2227" s="115">
        <v>287.85000000000002</v>
      </c>
      <c r="N2227" s="115">
        <v>293.05</v>
      </c>
      <c r="O2227" s="115">
        <v>286.10000000000002</v>
      </c>
      <c r="P2227" s="115">
        <v>292.39999999999998</v>
      </c>
      <c r="Q2227" s="115">
        <v>287.85000000000002</v>
      </c>
      <c r="R2227">
        <v>258370</v>
      </c>
    </row>
    <row r="2228" spans="1:18" x14ac:dyDescent="0.25">
      <c r="A2228" s="169">
        <v>45287</v>
      </c>
      <c r="B2228" s="115">
        <v>288.89999999999998</v>
      </c>
      <c r="C2228" s="115">
        <v>284.75</v>
      </c>
      <c r="D2228" s="115">
        <v>283.55</v>
      </c>
      <c r="E2228" s="115">
        <v>288.89999999999998</v>
      </c>
      <c r="F2228" s="115">
        <v>284.75</v>
      </c>
      <c r="G2228">
        <v>3296</v>
      </c>
      <c r="H2228" s="115"/>
      <c r="I2228" s="115"/>
      <c r="L2228" s="169">
        <v>45286</v>
      </c>
      <c r="M2228" s="115">
        <v>284.60000000000002</v>
      </c>
      <c r="N2228" s="115">
        <v>289.60000000000002</v>
      </c>
      <c r="O2228" s="115">
        <v>284.2</v>
      </c>
      <c r="P2228" s="115">
        <v>287.85000000000002</v>
      </c>
      <c r="Q2228" s="115">
        <v>284.60000000000002</v>
      </c>
      <c r="R2228">
        <v>148468</v>
      </c>
    </row>
    <row r="2229" spans="1:18" x14ac:dyDescent="0.25">
      <c r="A2229" s="169">
        <v>45288</v>
      </c>
      <c r="B2229" s="115">
        <v>287.8</v>
      </c>
      <c r="C2229" s="115">
        <v>285.85000000000002</v>
      </c>
      <c r="D2229" s="115">
        <v>283.25</v>
      </c>
      <c r="E2229" s="115">
        <v>283.25</v>
      </c>
      <c r="F2229" s="115">
        <v>285.85000000000002</v>
      </c>
      <c r="G2229">
        <v>1592</v>
      </c>
      <c r="H2229" s="115"/>
      <c r="I2229" s="115"/>
      <c r="L2229" s="169">
        <v>45287</v>
      </c>
      <c r="M2229" s="115">
        <v>285</v>
      </c>
      <c r="N2229" s="115">
        <v>287.85000000000002</v>
      </c>
      <c r="O2229" s="115">
        <v>283.75</v>
      </c>
      <c r="P2229" s="115">
        <v>285</v>
      </c>
      <c r="Q2229" s="115">
        <v>285</v>
      </c>
      <c r="R2229">
        <v>103467</v>
      </c>
    </row>
    <row r="2230" spans="1:18" x14ac:dyDescent="0.25">
      <c r="A2230" s="169">
        <v>45289</v>
      </c>
      <c r="B2230" s="115">
        <v>287.95</v>
      </c>
      <c r="C2230" s="115">
        <v>286.60000000000002</v>
      </c>
      <c r="D2230" s="115">
        <v>284.95</v>
      </c>
      <c r="E2230" s="115">
        <v>286.05</v>
      </c>
      <c r="F2230" s="115">
        <v>286.60000000000002</v>
      </c>
      <c r="G2230">
        <v>8954</v>
      </c>
      <c r="H2230" s="115"/>
      <c r="I2230" s="115"/>
      <c r="L2230" s="169">
        <v>45288</v>
      </c>
      <c r="M2230" s="115">
        <v>285.2</v>
      </c>
      <c r="N2230" s="115">
        <v>288.75</v>
      </c>
      <c r="O2230" s="115">
        <v>284.3</v>
      </c>
      <c r="P2230" s="115">
        <v>286.2</v>
      </c>
      <c r="Q2230" s="115">
        <v>285.2</v>
      </c>
      <c r="R2230">
        <v>65571</v>
      </c>
    </row>
    <row r="2231" spans="1:18" x14ac:dyDescent="0.25">
      <c r="A2231" s="169">
        <v>45292</v>
      </c>
      <c r="B2231" s="115">
        <v>296</v>
      </c>
      <c r="C2231" s="115">
        <v>294.35000000000002</v>
      </c>
      <c r="D2231" s="115">
        <v>290.95</v>
      </c>
      <c r="E2231" s="115">
        <v>292.75</v>
      </c>
      <c r="F2231" s="115">
        <v>294.35000000000002</v>
      </c>
      <c r="G2231">
        <v>3600</v>
      </c>
      <c r="H2231" s="115"/>
      <c r="I2231" s="115"/>
      <c r="L2231" s="169">
        <v>45289</v>
      </c>
      <c r="M2231" s="115">
        <v>286.89999999999998</v>
      </c>
      <c r="N2231" s="115">
        <v>287.89999999999998</v>
      </c>
      <c r="O2231" s="115">
        <v>284.89999999999998</v>
      </c>
      <c r="P2231" s="115">
        <v>286.60000000000002</v>
      </c>
      <c r="Q2231" s="115">
        <v>286.89999999999998</v>
      </c>
      <c r="R2231">
        <v>50698</v>
      </c>
    </row>
    <row r="2232" spans="1:18" x14ac:dyDescent="0.25">
      <c r="A2232" s="169">
        <v>45293</v>
      </c>
      <c r="B2232" s="115">
        <v>306.95</v>
      </c>
      <c r="C2232" s="115">
        <v>301.05</v>
      </c>
      <c r="D2232" s="115">
        <v>294.05</v>
      </c>
      <c r="E2232" s="115">
        <v>294.55</v>
      </c>
      <c r="F2232" s="115">
        <v>301.05</v>
      </c>
      <c r="G2232">
        <v>34971</v>
      </c>
      <c r="H2232" s="115"/>
      <c r="I2232" s="115"/>
      <c r="L2232" s="169">
        <v>45292</v>
      </c>
      <c r="M2232" s="115">
        <v>295.14999999999998</v>
      </c>
      <c r="N2232" s="115">
        <v>295.95</v>
      </c>
      <c r="O2232" s="115">
        <v>290.05</v>
      </c>
      <c r="P2232" s="115">
        <v>291</v>
      </c>
      <c r="Q2232" s="115">
        <v>295.14999999999998</v>
      </c>
      <c r="R2232">
        <v>131832</v>
      </c>
    </row>
    <row r="2233" spans="1:18" x14ac:dyDescent="0.25">
      <c r="A2233" s="169">
        <v>45294</v>
      </c>
      <c r="B2233" s="115">
        <v>308.95</v>
      </c>
      <c r="C2233" s="115">
        <v>305.85000000000002</v>
      </c>
      <c r="D2233" s="115">
        <v>300.25</v>
      </c>
      <c r="E2233" s="115">
        <v>303.95</v>
      </c>
      <c r="F2233" s="115">
        <v>305.85000000000002</v>
      </c>
      <c r="G2233">
        <v>7039</v>
      </c>
      <c r="H2233" s="115"/>
      <c r="I2233" s="115"/>
      <c r="L2233" s="169">
        <v>45293</v>
      </c>
      <c r="M2233" s="115">
        <v>301.10000000000002</v>
      </c>
      <c r="N2233" s="115">
        <v>306.85000000000002</v>
      </c>
      <c r="O2233" s="115">
        <v>293.55</v>
      </c>
      <c r="P2233" s="115">
        <v>297</v>
      </c>
      <c r="Q2233" s="115">
        <v>301.10000000000002</v>
      </c>
      <c r="R2233">
        <v>283988</v>
      </c>
    </row>
    <row r="2234" spans="1:18" x14ac:dyDescent="0.25">
      <c r="A2234" s="169">
        <v>45295</v>
      </c>
      <c r="B2234" s="115">
        <v>314</v>
      </c>
      <c r="C2234" s="115">
        <v>307.3</v>
      </c>
      <c r="D2234" s="115">
        <v>304.95</v>
      </c>
      <c r="E2234" s="115">
        <v>311.39999999999998</v>
      </c>
      <c r="F2234" s="115">
        <v>307.3</v>
      </c>
      <c r="G2234">
        <v>9396</v>
      </c>
      <c r="H2234" s="115"/>
      <c r="I2234" s="115"/>
      <c r="L2234" s="169">
        <v>45294</v>
      </c>
      <c r="M2234" s="115">
        <v>305.8</v>
      </c>
      <c r="N2234" s="115">
        <v>309</v>
      </c>
      <c r="O2234" s="115">
        <v>299.89999999999998</v>
      </c>
      <c r="P2234" s="115">
        <v>303</v>
      </c>
      <c r="Q2234" s="115">
        <v>305.8</v>
      </c>
      <c r="R2234">
        <v>162771</v>
      </c>
    </row>
    <row r="2235" spans="1:18" x14ac:dyDescent="0.25">
      <c r="A2235" s="169">
        <v>45296</v>
      </c>
      <c r="B2235" s="115">
        <v>310</v>
      </c>
      <c r="C2235" s="115">
        <v>306.89999999999998</v>
      </c>
      <c r="D2235" s="115">
        <v>301.60000000000002</v>
      </c>
      <c r="E2235" s="115">
        <v>307.5</v>
      </c>
      <c r="F2235" s="115">
        <v>306.89999999999998</v>
      </c>
      <c r="G2235">
        <v>6318</v>
      </c>
      <c r="H2235" s="115"/>
      <c r="I2235" s="115"/>
      <c r="L2235" s="169">
        <v>45295</v>
      </c>
      <c r="M2235" s="115">
        <v>307.64999999999998</v>
      </c>
      <c r="N2235" s="115">
        <v>315</v>
      </c>
      <c r="O2235" s="115">
        <v>304.35000000000002</v>
      </c>
      <c r="P2235" s="115">
        <v>310</v>
      </c>
      <c r="Q2235" s="115">
        <v>307.64999999999998</v>
      </c>
      <c r="R2235">
        <v>144026</v>
      </c>
    </row>
    <row r="2236" spans="1:18" x14ac:dyDescent="0.25">
      <c r="A2236" s="169">
        <v>45299</v>
      </c>
      <c r="B2236" s="115">
        <v>314.05</v>
      </c>
      <c r="C2236" s="115">
        <v>311.64999999999998</v>
      </c>
      <c r="D2236" s="115">
        <v>305</v>
      </c>
      <c r="E2236" s="115">
        <v>308</v>
      </c>
      <c r="F2236" s="115">
        <v>311.64999999999998</v>
      </c>
      <c r="G2236">
        <v>5011</v>
      </c>
      <c r="H2236" s="115"/>
      <c r="I2236" s="115"/>
      <c r="L2236" s="169">
        <v>45296</v>
      </c>
      <c r="M2236" s="115">
        <v>307.39999999999998</v>
      </c>
      <c r="N2236" s="115">
        <v>310.60000000000002</v>
      </c>
      <c r="O2236" s="115">
        <v>300</v>
      </c>
      <c r="P2236" s="115">
        <v>307.64999999999998</v>
      </c>
      <c r="Q2236" s="115">
        <v>307.39999999999998</v>
      </c>
      <c r="R2236">
        <v>186507</v>
      </c>
    </row>
    <row r="2237" spans="1:18" x14ac:dyDescent="0.25">
      <c r="A2237" s="169">
        <v>45300</v>
      </c>
      <c r="B2237" s="115">
        <v>335.85</v>
      </c>
      <c r="C2237" s="115">
        <v>333.95</v>
      </c>
      <c r="D2237" s="115">
        <v>311.60000000000002</v>
      </c>
      <c r="E2237" s="115">
        <v>311.60000000000002</v>
      </c>
      <c r="F2237" s="115">
        <v>333.95</v>
      </c>
      <c r="G2237">
        <v>40746</v>
      </c>
      <c r="H2237" s="115"/>
      <c r="I2237" s="115"/>
      <c r="L2237" s="169">
        <v>45299</v>
      </c>
      <c r="M2237" s="115">
        <v>312.60000000000002</v>
      </c>
      <c r="N2237" s="115">
        <v>314.39999999999998</v>
      </c>
      <c r="O2237" s="115">
        <v>304.14999999999998</v>
      </c>
      <c r="P2237" s="115">
        <v>310</v>
      </c>
      <c r="Q2237" s="115">
        <v>312.60000000000002</v>
      </c>
      <c r="R2237">
        <v>166664</v>
      </c>
    </row>
    <row r="2238" spans="1:18" x14ac:dyDescent="0.25">
      <c r="A2238" s="169">
        <v>45301</v>
      </c>
      <c r="B2238" s="115">
        <v>334.95</v>
      </c>
      <c r="C2238" s="115">
        <v>329.15</v>
      </c>
      <c r="D2238" s="115">
        <v>324.45</v>
      </c>
      <c r="E2238" s="115">
        <v>334.25</v>
      </c>
      <c r="F2238" s="115">
        <v>329.15</v>
      </c>
      <c r="G2238">
        <v>29570</v>
      </c>
      <c r="H2238" s="115"/>
      <c r="I2238" s="115"/>
      <c r="L2238" s="169">
        <v>45300</v>
      </c>
      <c r="M2238" s="115">
        <v>333.4</v>
      </c>
      <c r="N2238" s="115">
        <v>336</v>
      </c>
      <c r="O2238" s="115">
        <v>312</v>
      </c>
      <c r="P2238" s="115">
        <v>314</v>
      </c>
      <c r="Q2238" s="115">
        <v>333.4</v>
      </c>
      <c r="R2238">
        <v>1462035</v>
      </c>
    </row>
    <row r="2239" spans="1:18" x14ac:dyDescent="0.25">
      <c r="A2239" s="169">
        <v>45302</v>
      </c>
      <c r="B2239" s="115">
        <v>334.35</v>
      </c>
      <c r="C2239" s="115">
        <v>327.8</v>
      </c>
      <c r="D2239" s="115">
        <v>325.25</v>
      </c>
      <c r="E2239" s="115">
        <v>327.45</v>
      </c>
      <c r="F2239" s="115">
        <v>327.8</v>
      </c>
      <c r="G2239">
        <v>5771</v>
      </c>
      <c r="H2239" s="115"/>
      <c r="I2239" s="115"/>
      <c r="L2239" s="169">
        <v>45301</v>
      </c>
      <c r="M2239" s="115">
        <v>329.65</v>
      </c>
      <c r="N2239" s="115">
        <v>335.35</v>
      </c>
      <c r="O2239" s="115">
        <v>324.5</v>
      </c>
      <c r="P2239" s="115">
        <v>335.35</v>
      </c>
      <c r="Q2239" s="115">
        <v>329.65</v>
      </c>
      <c r="R2239">
        <v>336696</v>
      </c>
    </row>
    <row r="2240" spans="1:18" x14ac:dyDescent="0.25">
      <c r="A2240" s="169">
        <v>45303</v>
      </c>
      <c r="B2240" s="115">
        <v>333.5</v>
      </c>
      <c r="C2240" s="115">
        <v>329.65</v>
      </c>
      <c r="D2240" s="115">
        <v>323.89999999999998</v>
      </c>
      <c r="E2240" s="115">
        <v>325.05</v>
      </c>
      <c r="F2240" s="115">
        <v>329.65</v>
      </c>
      <c r="G2240">
        <v>10520</v>
      </c>
      <c r="H2240" s="115"/>
      <c r="I2240" s="115"/>
      <c r="L2240" s="169">
        <v>45302</v>
      </c>
      <c r="M2240" s="115">
        <v>327.3</v>
      </c>
      <c r="N2240" s="115">
        <v>335</v>
      </c>
      <c r="O2240" s="115">
        <v>325.25</v>
      </c>
      <c r="P2240" s="115">
        <v>332.95</v>
      </c>
      <c r="Q2240" s="115">
        <v>327.3</v>
      </c>
      <c r="R2240">
        <v>205537</v>
      </c>
    </row>
    <row r="2241" spans="1:18" x14ac:dyDescent="0.25">
      <c r="A2241" s="169">
        <v>45306</v>
      </c>
      <c r="B2241" s="115">
        <v>348</v>
      </c>
      <c r="C2241" s="115">
        <v>341.25</v>
      </c>
      <c r="D2241" s="115">
        <v>328.35</v>
      </c>
      <c r="E2241" s="115">
        <v>328.35</v>
      </c>
      <c r="F2241" s="115">
        <v>341.25</v>
      </c>
      <c r="G2241">
        <v>23331</v>
      </c>
      <c r="H2241" s="115"/>
      <c r="I2241" s="115"/>
      <c r="L2241" s="169">
        <v>45303</v>
      </c>
      <c r="M2241" s="115">
        <v>329.7</v>
      </c>
      <c r="N2241" s="115">
        <v>333.55</v>
      </c>
      <c r="O2241" s="115">
        <v>324.05</v>
      </c>
      <c r="P2241" s="115">
        <v>324.05</v>
      </c>
      <c r="Q2241" s="115">
        <v>329.7</v>
      </c>
      <c r="R2241">
        <v>125853</v>
      </c>
    </row>
    <row r="2242" spans="1:18" x14ac:dyDescent="0.25">
      <c r="A2242" s="169">
        <v>45307</v>
      </c>
      <c r="B2242" s="115">
        <v>355</v>
      </c>
      <c r="C2242" s="115">
        <v>340.9</v>
      </c>
      <c r="D2242" s="115">
        <v>338.9</v>
      </c>
      <c r="E2242" s="115">
        <v>342.95</v>
      </c>
      <c r="F2242" s="115">
        <v>340.9</v>
      </c>
      <c r="G2242">
        <v>40687</v>
      </c>
      <c r="H2242" s="115"/>
      <c r="I2242" s="115"/>
      <c r="L2242" s="169">
        <v>45306</v>
      </c>
      <c r="M2242" s="115">
        <v>341.2</v>
      </c>
      <c r="N2242" s="115">
        <v>348.7</v>
      </c>
      <c r="O2242" s="115">
        <v>329.7</v>
      </c>
      <c r="P2242" s="115">
        <v>333</v>
      </c>
      <c r="Q2242" s="115">
        <v>341.2</v>
      </c>
      <c r="R2242">
        <v>690534</v>
      </c>
    </row>
    <row r="2243" spans="1:18" x14ac:dyDescent="0.25">
      <c r="A2243" s="169">
        <v>45308</v>
      </c>
      <c r="B2243" s="115">
        <v>340</v>
      </c>
      <c r="C2243" s="115">
        <v>331.6</v>
      </c>
      <c r="D2243" s="115">
        <v>330.1</v>
      </c>
      <c r="E2243" s="115">
        <v>340</v>
      </c>
      <c r="F2243" s="115">
        <v>331.6</v>
      </c>
      <c r="G2243">
        <v>9835</v>
      </c>
      <c r="H2243" s="115"/>
      <c r="I2243" s="115"/>
      <c r="L2243" s="169">
        <v>45307</v>
      </c>
      <c r="M2243" s="115">
        <v>341.3</v>
      </c>
      <c r="N2243" s="115">
        <v>355</v>
      </c>
      <c r="O2243" s="115">
        <v>338.5</v>
      </c>
      <c r="P2243" s="115">
        <v>342.6</v>
      </c>
      <c r="Q2243" s="115">
        <v>341.3</v>
      </c>
      <c r="R2243">
        <v>609237</v>
      </c>
    </row>
    <row r="2244" spans="1:18" x14ac:dyDescent="0.25">
      <c r="A2244" s="169">
        <v>45309</v>
      </c>
      <c r="B2244" s="115">
        <v>336.3</v>
      </c>
      <c r="C2244" s="115">
        <v>326.3</v>
      </c>
      <c r="D2244" s="115">
        <v>323.25</v>
      </c>
      <c r="E2244" s="115">
        <v>331.8</v>
      </c>
      <c r="F2244" s="115">
        <v>326.3</v>
      </c>
      <c r="G2244">
        <v>18170</v>
      </c>
      <c r="H2244" s="115"/>
      <c r="I2244" s="115"/>
      <c r="L2244" s="169">
        <v>45308</v>
      </c>
      <c r="M2244" s="115">
        <v>331.25</v>
      </c>
      <c r="N2244" s="115">
        <v>340.15</v>
      </c>
      <c r="O2244" s="115">
        <v>326.75</v>
      </c>
      <c r="P2244" s="115">
        <v>339</v>
      </c>
      <c r="Q2244" s="115">
        <v>331.25</v>
      </c>
      <c r="R2244">
        <v>197708</v>
      </c>
    </row>
    <row r="2245" spans="1:18" x14ac:dyDescent="0.25">
      <c r="A2245" s="169">
        <v>45310</v>
      </c>
      <c r="B2245" s="115">
        <v>335.3</v>
      </c>
      <c r="C2245" s="115">
        <v>328.8</v>
      </c>
      <c r="D2245" s="115">
        <v>324.5</v>
      </c>
      <c r="E2245" s="115">
        <v>324.5</v>
      </c>
      <c r="F2245" s="115">
        <v>328.8</v>
      </c>
      <c r="G2245">
        <v>10280</v>
      </c>
      <c r="H2245" s="115"/>
      <c r="I2245" s="115"/>
      <c r="L2245" s="169">
        <v>45309</v>
      </c>
      <c r="M2245" s="115">
        <v>326.45</v>
      </c>
      <c r="N2245" s="115">
        <v>336.5</v>
      </c>
      <c r="O2245" s="115">
        <v>323</v>
      </c>
      <c r="P2245" s="115">
        <v>331.05</v>
      </c>
      <c r="Q2245" s="115">
        <v>326.45</v>
      </c>
      <c r="R2245">
        <v>237022</v>
      </c>
    </row>
    <row r="2246" spans="1:18" x14ac:dyDescent="0.25">
      <c r="A2246" s="169">
        <v>45311</v>
      </c>
      <c r="B2246" s="115">
        <v>341.05</v>
      </c>
      <c r="C2246" s="115">
        <v>338.75</v>
      </c>
      <c r="D2246" s="115">
        <v>331.6</v>
      </c>
      <c r="E2246" s="115">
        <v>338</v>
      </c>
      <c r="F2246" s="115">
        <v>338.75</v>
      </c>
      <c r="G2246">
        <v>7735</v>
      </c>
      <c r="H2246" s="115"/>
      <c r="I2246" s="115"/>
      <c r="L2246" s="169">
        <v>45310</v>
      </c>
      <c r="M2246" s="115">
        <v>329.3</v>
      </c>
      <c r="N2246" s="115">
        <v>336</v>
      </c>
      <c r="O2246" s="115">
        <v>326.89999999999998</v>
      </c>
      <c r="P2246" s="115">
        <v>329.8</v>
      </c>
      <c r="Q2246" s="115">
        <v>329.3</v>
      </c>
      <c r="R2246">
        <v>224335</v>
      </c>
    </row>
    <row r="2247" spans="1:18" x14ac:dyDescent="0.25">
      <c r="A2247" s="169">
        <v>45314</v>
      </c>
      <c r="B2247" s="115">
        <v>340.65</v>
      </c>
      <c r="C2247" s="115">
        <v>326.25</v>
      </c>
      <c r="D2247" s="115">
        <v>324.5</v>
      </c>
      <c r="E2247" s="115">
        <v>340.65</v>
      </c>
      <c r="F2247" s="115">
        <v>326.25</v>
      </c>
      <c r="G2247">
        <v>17360</v>
      </c>
      <c r="H2247" s="115"/>
      <c r="I2247" s="115"/>
      <c r="L2247" s="169">
        <v>45311</v>
      </c>
      <c r="M2247" s="115">
        <v>337.9</v>
      </c>
      <c r="N2247" s="115">
        <v>341</v>
      </c>
      <c r="O2247" s="115">
        <v>329.35</v>
      </c>
      <c r="P2247" s="115">
        <v>334.25</v>
      </c>
      <c r="Q2247" s="115">
        <v>337.9</v>
      </c>
      <c r="R2247">
        <v>159237</v>
      </c>
    </row>
    <row r="2248" spans="1:18" x14ac:dyDescent="0.25">
      <c r="A2248" s="169">
        <v>45315</v>
      </c>
      <c r="B2248" s="115">
        <v>336.2</v>
      </c>
      <c r="C2248" s="115">
        <v>332.25</v>
      </c>
      <c r="D2248" s="115">
        <v>325.14999999999998</v>
      </c>
      <c r="E2248" s="115">
        <v>326</v>
      </c>
      <c r="F2248" s="115">
        <v>332.25</v>
      </c>
      <c r="G2248">
        <v>9283</v>
      </c>
      <c r="H2248" s="115"/>
      <c r="I2248" s="115"/>
      <c r="L2248" s="169">
        <v>45314</v>
      </c>
      <c r="M2248" s="115">
        <v>326.95</v>
      </c>
      <c r="N2248" s="115">
        <v>342.6</v>
      </c>
      <c r="O2248" s="115">
        <v>325.05</v>
      </c>
      <c r="P2248" s="115">
        <v>340</v>
      </c>
      <c r="Q2248" s="115">
        <v>326.95</v>
      </c>
      <c r="R2248">
        <v>163715</v>
      </c>
    </row>
    <row r="2249" spans="1:18" x14ac:dyDescent="0.25">
      <c r="A2249" s="169">
        <v>45316</v>
      </c>
      <c r="B2249" s="115">
        <v>338.4</v>
      </c>
      <c r="C2249" s="115">
        <v>335</v>
      </c>
      <c r="D2249" s="115">
        <v>330.95</v>
      </c>
      <c r="E2249" s="115">
        <v>334.8</v>
      </c>
      <c r="F2249" s="115">
        <v>335</v>
      </c>
      <c r="G2249">
        <v>5366</v>
      </c>
      <c r="H2249" s="115"/>
      <c r="I2249" s="115"/>
      <c r="L2249" s="169">
        <v>45315</v>
      </c>
      <c r="M2249" s="115">
        <v>333.4</v>
      </c>
      <c r="N2249" s="115">
        <v>336.1</v>
      </c>
      <c r="O2249" s="115">
        <v>324.25</v>
      </c>
      <c r="P2249" s="115">
        <v>325.39999999999998</v>
      </c>
      <c r="Q2249" s="115">
        <v>333.4</v>
      </c>
      <c r="R2249">
        <v>160295</v>
      </c>
    </row>
    <row r="2250" spans="1:18" x14ac:dyDescent="0.25">
      <c r="A2250" s="169">
        <v>45320</v>
      </c>
      <c r="B2250" s="115">
        <v>344.5</v>
      </c>
      <c r="C2250" s="115">
        <v>339.25</v>
      </c>
      <c r="D2250" s="115">
        <v>331</v>
      </c>
      <c r="E2250" s="115">
        <v>335</v>
      </c>
      <c r="F2250" s="115">
        <v>339.25</v>
      </c>
      <c r="G2250">
        <v>18296</v>
      </c>
      <c r="H2250" s="115"/>
      <c r="I2250" s="115"/>
      <c r="L2250" s="169">
        <v>45316</v>
      </c>
      <c r="M2250" s="115">
        <v>334.3</v>
      </c>
      <c r="N2250" s="115">
        <v>339.7</v>
      </c>
      <c r="O2250" s="115">
        <v>329.85</v>
      </c>
      <c r="P2250" s="115">
        <v>334.35</v>
      </c>
      <c r="Q2250" s="115">
        <v>334.3</v>
      </c>
      <c r="R2250">
        <v>145297</v>
      </c>
    </row>
    <row r="2251" spans="1:18" x14ac:dyDescent="0.25">
      <c r="A2251" s="169">
        <v>45321</v>
      </c>
      <c r="B2251" s="115">
        <v>343.7</v>
      </c>
      <c r="C2251" s="115">
        <v>328.6</v>
      </c>
      <c r="D2251" s="115">
        <v>324.14999999999998</v>
      </c>
      <c r="E2251" s="115">
        <v>342.65</v>
      </c>
      <c r="F2251" s="115">
        <v>328.6</v>
      </c>
      <c r="G2251">
        <v>10269</v>
      </c>
      <c r="H2251" s="115"/>
      <c r="I2251" s="115"/>
      <c r="L2251" s="169">
        <v>45320</v>
      </c>
      <c r="M2251" s="115">
        <v>338.85</v>
      </c>
      <c r="N2251" s="115">
        <v>345</v>
      </c>
      <c r="O2251" s="115">
        <v>331.05</v>
      </c>
      <c r="P2251" s="115">
        <v>337.55</v>
      </c>
      <c r="Q2251" s="115">
        <v>338.85</v>
      </c>
      <c r="R2251">
        <v>145435</v>
      </c>
    </row>
    <row r="2252" spans="1:18" x14ac:dyDescent="0.25">
      <c r="A2252" s="169">
        <v>45322</v>
      </c>
      <c r="B2252" s="115">
        <v>332.5</v>
      </c>
      <c r="C2252" s="115">
        <v>322.55</v>
      </c>
      <c r="D2252" s="115">
        <v>322</v>
      </c>
      <c r="E2252" s="115">
        <v>329.75</v>
      </c>
      <c r="F2252" s="115">
        <v>322.55</v>
      </c>
      <c r="G2252">
        <v>14086</v>
      </c>
      <c r="H2252" s="115"/>
      <c r="I2252" s="115"/>
      <c r="L2252" s="169">
        <v>45321</v>
      </c>
      <c r="M2252" s="115">
        <v>327.75</v>
      </c>
      <c r="N2252" s="115">
        <v>344.7</v>
      </c>
      <c r="O2252" s="115">
        <v>324.64999999999998</v>
      </c>
      <c r="P2252" s="115">
        <v>342.65</v>
      </c>
      <c r="Q2252" s="115">
        <v>327.75</v>
      </c>
      <c r="R2252">
        <v>111789</v>
      </c>
    </row>
    <row r="2253" spans="1:18" x14ac:dyDescent="0.25">
      <c r="A2253" s="169">
        <v>45323</v>
      </c>
      <c r="B2253" s="115">
        <v>326.89999999999998</v>
      </c>
      <c r="C2253" s="115">
        <v>319.05</v>
      </c>
      <c r="D2253" s="115">
        <v>318.10000000000002</v>
      </c>
      <c r="E2253" s="115">
        <v>326.8</v>
      </c>
      <c r="F2253" s="115">
        <v>319.05</v>
      </c>
      <c r="G2253">
        <v>3395</v>
      </c>
      <c r="H2253" s="115"/>
      <c r="I2253" s="115"/>
      <c r="L2253" s="169">
        <v>45322</v>
      </c>
      <c r="M2253" s="115">
        <v>323.35000000000002</v>
      </c>
      <c r="N2253" s="115">
        <v>332.9</v>
      </c>
      <c r="O2253" s="115">
        <v>322</v>
      </c>
      <c r="P2253" s="115">
        <v>329.4</v>
      </c>
      <c r="Q2253" s="115">
        <v>323.35000000000002</v>
      </c>
      <c r="R2253">
        <v>213802</v>
      </c>
    </row>
    <row r="2254" spans="1:18" x14ac:dyDescent="0.25">
      <c r="A2254" s="169">
        <v>45324</v>
      </c>
      <c r="B2254" s="115">
        <v>330</v>
      </c>
      <c r="C2254" s="115">
        <v>328.4</v>
      </c>
      <c r="D2254" s="115">
        <v>321.60000000000002</v>
      </c>
      <c r="E2254" s="115">
        <v>322.45</v>
      </c>
      <c r="F2254" s="115">
        <v>328.4</v>
      </c>
      <c r="G2254">
        <v>15531</v>
      </c>
      <c r="H2254" s="115"/>
      <c r="I2254" s="115"/>
      <c r="L2254" s="169">
        <v>45323</v>
      </c>
      <c r="M2254" s="115">
        <v>318.7</v>
      </c>
      <c r="N2254" s="115">
        <v>327.45</v>
      </c>
      <c r="O2254" s="115">
        <v>318.05</v>
      </c>
      <c r="P2254" s="115">
        <v>326.5</v>
      </c>
      <c r="Q2254" s="115">
        <v>318.7</v>
      </c>
      <c r="R2254">
        <v>141409</v>
      </c>
    </row>
    <row r="2255" spans="1:18" x14ac:dyDescent="0.25">
      <c r="A2255" s="169">
        <v>45327</v>
      </c>
      <c r="B2255" s="115">
        <v>336.05</v>
      </c>
      <c r="C2255" s="115">
        <v>333</v>
      </c>
      <c r="D2255" s="115">
        <v>328.55</v>
      </c>
      <c r="E2255" s="115">
        <v>330</v>
      </c>
      <c r="F2255" s="115">
        <v>333</v>
      </c>
      <c r="G2255">
        <v>14966</v>
      </c>
      <c r="H2255" s="115"/>
      <c r="I2255" s="115"/>
      <c r="L2255" s="169">
        <v>45324</v>
      </c>
      <c r="M2255" s="115">
        <v>327.85</v>
      </c>
      <c r="N2255" s="115">
        <v>331.8</v>
      </c>
      <c r="O2255" s="115">
        <v>321.8</v>
      </c>
      <c r="P2255" s="115">
        <v>321.85000000000002</v>
      </c>
      <c r="Q2255" s="115">
        <v>327.85</v>
      </c>
      <c r="R2255">
        <v>123107</v>
      </c>
    </row>
    <row r="2256" spans="1:18" x14ac:dyDescent="0.25">
      <c r="A2256" s="169">
        <v>45328</v>
      </c>
      <c r="B2256" s="115">
        <v>338.85</v>
      </c>
      <c r="C2256" s="115">
        <v>337.2</v>
      </c>
      <c r="D2256" s="115">
        <v>328</v>
      </c>
      <c r="E2256" s="115">
        <v>328</v>
      </c>
      <c r="F2256" s="115">
        <v>337.2</v>
      </c>
      <c r="G2256">
        <v>6892</v>
      </c>
      <c r="H2256" s="115"/>
      <c r="I2256" s="115"/>
      <c r="L2256" s="169">
        <v>45327</v>
      </c>
      <c r="M2256" s="115">
        <v>334.1</v>
      </c>
      <c r="N2256" s="115">
        <v>336.5</v>
      </c>
      <c r="O2256" s="115">
        <v>328.25</v>
      </c>
      <c r="P2256" s="115">
        <v>331</v>
      </c>
      <c r="Q2256" s="115">
        <v>334.1</v>
      </c>
      <c r="R2256">
        <v>125913</v>
      </c>
    </row>
    <row r="2257" spans="1:18" x14ac:dyDescent="0.25">
      <c r="A2257" s="169">
        <v>45329</v>
      </c>
      <c r="B2257" s="115">
        <v>371.3</v>
      </c>
      <c r="C2257" s="115">
        <v>354.85</v>
      </c>
      <c r="D2257" s="115">
        <v>333.85</v>
      </c>
      <c r="E2257" s="115">
        <v>345.25</v>
      </c>
      <c r="F2257" s="115">
        <v>354.85</v>
      </c>
      <c r="G2257">
        <v>82207</v>
      </c>
      <c r="H2257" s="115"/>
      <c r="I2257" s="115"/>
      <c r="L2257" s="169">
        <v>45328</v>
      </c>
      <c r="M2257" s="115">
        <v>337.4</v>
      </c>
      <c r="N2257" s="115">
        <v>340</v>
      </c>
      <c r="O2257" s="115">
        <v>330.8</v>
      </c>
      <c r="P2257" s="115">
        <v>336</v>
      </c>
      <c r="Q2257" s="115">
        <v>337.4</v>
      </c>
      <c r="R2257">
        <v>111902</v>
      </c>
    </row>
    <row r="2258" spans="1:18" x14ac:dyDescent="0.25">
      <c r="A2258" s="169">
        <v>45330</v>
      </c>
      <c r="B2258" s="115">
        <v>360.05</v>
      </c>
      <c r="C2258" s="115">
        <v>347.7</v>
      </c>
      <c r="D2258" s="115">
        <v>347</v>
      </c>
      <c r="E2258" s="115">
        <v>357</v>
      </c>
      <c r="F2258" s="115">
        <v>347.7</v>
      </c>
      <c r="G2258">
        <v>44661</v>
      </c>
      <c r="H2258" s="115"/>
      <c r="I2258" s="115"/>
      <c r="L2258" s="169">
        <v>45329</v>
      </c>
      <c r="M2258" s="115">
        <v>354.45</v>
      </c>
      <c r="N2258" s="115">
        <v>371</v>
      </c>
      <c r="O2258" s="115">
        <v>333.8</v>
      </c>
      <c r="P2258" s="115">
        <v>347.5</v>
      </c>
      <c r="Q2258" s="115">
        <v>354.45</v>
      </c>
      <c r="R2258">
        <v>1666261</v>
      </c>
    </row>
    <row r="2259" spans="1:18" x14ac:dyDescent="0.25">
      <c r="A2259" s="169">
        <v>45331</v>
      </c>
      <c r="B2259" s="115">
        <v>360.65</v>
      </c>
      <c r="C2259" s="115">
        <v>344.5</v>
      </c>
      <c r="D2259" s="115">
        <v>340.85</v>
      </c>
      <c r="E2259" s="115">
        <v>352.5</v>
      </c>
      <c r="F2259" s="115">
        <v>344.5</v>
      </c>
      <c r="G2259">
        <v>23013</v>
      </c>
      <c r="H2259" s="115"/>
      <c r="I2259" s="115"/>
      <c r="L2259" s="169">
        <v>45330</v>
      </c>
      <c r="M2259" s="115">
        <v>348.7</v>
      </c>
      <c r="N2259" s="115">
        <v>361.8</v>
      </c>
      <c r="O2259" s="115">
        <v>347.1</v>
      </c>
      <c r="P2259" s="115">
        <v>357.2</v>
      </c>
      <c r="Q2259" s="115">
        <v>348.7</v>
      </c>
      <c r="R2259">
        <v>465012</v>
      </c>
    </row>
    <row r="2260" spans="1:18" x14ac:dyDescent="0.25">
      <c r="A2260" s="169">
        <v>45334</v>
      </c>
      <c r="B2260" s="115">
        <v>353.85</v>
      </c>
      <c r="C2260" s="115">
        <v>331.05</v>
      </c>
      <c r="D2260" s="115">
        <v>329.25</v>
      </c>
      <c r="E2260" s="115">
        <v>351.95</v>
      </c>
      <c r="F2260" s="115">
        <v>331.05</v>
      </c>
      <c r="G2260">
        <v>8903</v>
      </c>
      <c r="H2260" s="115"/>
      <c r="I2260" s="115"/>
      <c r="L2260" s="169">
        <v>45331</v>
      </c>
      <c r="M2260" s="115">
        <v>344.65</v>
      </c>
      <c r="N2260" s="115">
        <v>361</v>
      </c>
      <c r="O2260" s="115">
        <v>340</v>
      </c>
      <c r="P2260" s="115">
        <v>352.05</v>
      </c>
      <c r="Q2260" s="115">
        <v>344.65</v>
      </c>
      <c r="R2260">
        <v>456803</v>
      </c>
    </row>
    <row r="2261" spans="1:18" x14ac:dyDescent="0.25">
      <c r="A2261" s="169">
        <v>45335</v>
      </c>
      <c r="B2261" s="115">
        <v>334.5</v>
      </c>
      <c r="C2261" s="115">
        <v>322.55</v>
      </c>
      <c r="D2261" s="115">
        <v>319.5</v>
      </c>
      <c r="E2261" s="115">
        <v>331.05</v>
      </c>
      <c r="F2261" s="115">
        <v>322.55</v>
      </c>
      <c r="G2261">
        <v>25567</v>
      </c>
      <c r="H2261" s="115"/>
      <c r="I2261" s="115"/>
      <c r="L2261" s="169">
        <v>45334</v>
      </c>
      <c r="M2261" s="115">
        <v>330.2</v>
      </c>
      <c r="N2261" s="115">
        <v>354</v>
      </c>
      <c r="O2261" s="115">
        <v>329</v>
      </c>
      <c r="P2261" s="115">
        <v>351.85</v>
      </c>
      <c r="Q2261" s="115">
        <v>330.2</v>
      </c>
      <c r="R2261">
        <v>339651</v>
      </c>
    </row>
    <row r="2262" spans="1:18" x14ac:dyDescent="0.25">
      <c r="A2262" s="169">
        <v>45336</v>
      </c>
      <c r="B2262" s="115">
        <v>365.2</v>
      </c>
      <c r="C2262" s="115">
        <v>339.2</v>
      </c>
      <c r="D2262" s="115">
        <v>320.14999999999998</v>
      </c>
      <c r="E2262" s="115">
        <v>320.14999999999998</v>
      </c>
      <c r="F2262" s="115">
        <v>339.2</v>
      </c>
      <c r="G2262">
        <v>45387</v>
      </c>
      <c r="H2262" s="115"/>
      <c r="I2262" s="115"/>
      <c r="L2262" s="169">
        <v>45335</v>
      </c>
      <c r="M2262" s="115">
        <v>322.7</v>
      </c>
      <c r="N2262" s="115">
        <v>335.35</v>
      </c>
      <c r="O2262" s="115">
        <v>319.60000000000002</v>
      </c>
      <c r="P2262" s="115">
        <v>330.2</v>
      </c>
      <c r="Q2262" s="115">
        <v>322.7</v>
      </c>
      <c r="R2262">
        <v>394883</v>
      </c>
    </row>
    <row r="2263" spans="1:18" x14ac:dyDescent="0.25">
      <c r="A2263" s="169">
        <v>45337</v>
      </c>
      <c r="B2263" s="115">
        <v>346.5</v>
      </c>
      <c r="C2263" s="115">
        <v>340.45</v>
      </c>
      <c r="D2263" s="115">
        <v>339.55</v>
      </c>
      <c r="E2263" s="115">
        <v>342.6</v>
      </c>
      <c r="F2263" s="115">
        <v>340.45</v>
      </c>
      <c r="G2263">
        <v>22024</v>
      </c>
      <c r="H2263" s="115"/>
      <c r="I2263" s="115"/>
      <c r="L2263" s="169">
        <v>45336</v>
      </c>
      <c r="M2263" s="115">
        <v>338.2</v>
      </c>
      <c r="N2263" s="115">
        <v>364</v>
      </c>
      <c r="O2263" s="115">
        <v>322.05</v>
      </c>
      <c r="P2263" s="115">
        <v>322.64999999999998</v>
      </c>
      <c r="Q2263" s="115">
        <v>338.2</v>
      </c>
      <c r="R2263">
        <v>1097059</v>
      </c>
    </row>
    <row r="2264" spans="1:18" x14ac:dyDescent="0.25">
      <c r="A2264" s="169">
        <v>45338</v>
      </c>
      <c r="B2264" s="115">
        <v>345.2</v>
      </c>
      <c r="C2264" s="115">
        <v>338.65</v>
      </c>
      <c r="D2264" s="115">
        <v>337.25</v>
      </c>
      <c r="E2264" s="115">
        <v>343.85</v>
      </c>
      <c r="F2264" s="115">
        <v>338.65</v>
      </c>
      <c r="G2264">
        <v>5501</v>
      </c>
      <c r="H2264" s="115"/>
      <c r="I2264" s="115"/>
      <c r="L2264" s="169">
        <v>45337</v>
      </c>
      <c r="M2264" s="115">
        <v>341</v>
      </c>
      <c r="N2264" s="115">
        <v>346.8</v>
      </c>
      <c r="O2264" s="115">
        <v>339.5</v>
      </c>
      <c r="P2264" s="115">
        <v>342.1</v>
      </c>
      <c r="Q2264" s="115">
        <v>341</v>
      </c>
      <c r="R2264">
        <v>155357</v>
      </c>
    </row>
    <row r="2265" spans="1:18" x14ac:dyDescent="0.25">
      <c r="A2265" s="169">
        <v>45341</v>
      </c>
      <c r="B2265" s="115">
        <v>346.2</v>
      </c>
      <c r="C2265" s="115">
        <v>340.6</v>
      </c>
      <c r="D2265" s="115">
        <v>335.5</v>
      </c>
      <c r="E2265" s="115">
        <v>335.5</v>
      </c>
      <c r="F2265" s="115">
        <v>340.6</v>
      </c>
      <c r="G2265">
        <v>5781</v>
      </c>
      <c r="H2265" s="115"/>
      <c r="I2265" s="115"/>
      <c r="L2265" s="169">
        <v>45338</v>
      </c>
      <c r="M2265" s="115">
        <v>339</v>
      </c>
      <c r="N2265" s="115">
        <v>345.55</v>
      </c>
      <c r="O2265" s="115">
        <v>336.9</v>
      </c>
      <c r="P2265" s="115">
        <v>342</v>
      </c>
      <c r="Q2265" s="115">
        <v>339</v>
      </c>
      <c r="R2265">
        <v>123626</v>
      </c>
    </row>
    <row r="2266" spans="1:18" x14ac:dyDescent="0.25">
      <c r="A2266" s="169">
        <v>45342</v>
      </c>
      <c r="B2266" s="115">
        <v>352.8</v>
      </c>
      <c r="C2266" s="115">
        <v>350.55</v>
      </c>
      <c r="D2266" s="115">
        <v>340.1</v>
      </c>
      <c r="E2266" s="115">
        <v>340.2</v>
      </c>
      <c r="F2266" s="115">
        <v>350.55</v>
      </c>
      <c r="G2266">
        <v>14157</v>
      </c>
      <c r="H2266" s="115"/>
      <c r="I2266" s="115"/>
      <c r="L2266" s="169">
        <v>45341</v>
      </c>
      <c r="M2266" s="115">
        <v>340.9</v>
      </c>
      <c r="N2266" s="115">
        <v>346.2</v>
      </c>
      <c r="O2266" s="115">
        <v>339</v>
      </c>
      <c r="P2266" s="115">
        <v>341.9</v>
      </c>
      <c r="Q2266" s="115">
        <v>340.9</v>
      </c>
      <c r="R2266">
        <v>112804</v>
      </c>
    </row>
    <row r="2267" spans="1:18" x14ac:dyDescent="0.25">
      <c r="A2267" s="169">
        <v>45343</v>
      </c>
      <c r="B2267" s="115">
        <v>356.85</v>
      </c>
      <c r="C2267" s="115">
        <v>346.55</v>
      </c>
      <c r="D2267" s="115">
        <v>345.25</v>
      </c>
      <c r="E2267" s="115">
        <v>354.9</v>
      </c>
      <c r="F2267" s="115">
        <v>346.55</v>
      </c>
      <c r="G2267">
        <v>32146</v>
      </c>
      <c r="H2267" s="115"/>
      <c r="I2267" s="115"/>
      <c r="L2267" s="169">
        <v>45342</v>
      </c>
      <c r="M2267" s="115">
        <v>350.5</v>
      </c>
      <c r="N2267" s="115">
        <v>353</v>
      </c>
      <c r="O2267" s="115">
        <v>340.2</v>
      </c>
      <c r="P2267" s="115">
        <v>342.2</v>
      </c>
      <c r="Q2267" s="115">
        <v>350.5</v>
      </c>
      <c r="R2267">
        <v>299957</v>
      </c>
    </row>
    <row r="2268" spans="1:18" x14ac:dyDescent="0.25">
      <c r="A2268" s="169">
        <v>45344</v>
      </c>
      <c r="B2268" s="115">
        <v>355</v>
      </c>
      <c r="C2268" s="115">
        <v>354.1</v>
      </c>
      <c r="D2268" s="115">
        <v>343.1</v>
      </c>
      <c r="E2268" s="115">
        <v>354.95</v>
      </c>
      <c r="F2268" s="115">
        <v>354.1</v>
      </c>
      <c r="G2268">
        <v>7925</v>
      </c>
      <c r="H2268" s="115"/>
      <c r="I2268" s="115"/>
      <c r="L2268" s="169">
        <v>45343</v>
      </c>
      <c r="M2268" s="115">
        <v>347.15</v>
      </c>
      <c r="N2268" s="115">
        <v>356.95</v>
      </c>
      <c r="O2268" s="115">
        <v>345.55</v>
      </c>
      <c r="P2268" s="115">
        <v>352.9</v>
      </c>
      <c r="Q2268" s="115">
        <v>347.15</v>
      </c>
      <c r="R2268">
        <v>312556</v>
      </c>
    </row>
    <row r="2269" spans="1:18" x14ac:dyDescent="0.25">
      <c r="A2269" s="169">
        <v>45345</v>
      </c>
      <c r="B2269" s="115">
        <v>355.15</v>
      </c>
      <c r="C2269" s="115">
        <v>349.55</v>
      </c>
      <c r="D2269" s="115">
        <v>347</v>
      </c>
      <c r="E2269" s="115">
        <v>354.25</v>
      </c>
      <c r="F2269" s="115">
        <v>349.55</v>
      </c>
      <c r="G2269">
        <v>22164</v>
      </c>
      <c r="H2269" s="115"/>
      <c r="I2269" s="115"/>
      <c r="L2269" s="169">
        <v>45344</v>
      </c>
      <c r="M2269" s="115">
        <v>353.65</v>
      </c>
      <c r="N2269" s="115">
        <v>355.9</v>
      </c>
      <c r="O2269" s="115">
        <v>343</v>
      </c>
      <c r="P2269" s="115">
        <v>348.9</v>
      </c>
      <c r="Q2269" s="115">
        <v>353.65</v>
      </c>
      <c r="R2269">
        <v>201523</v>
      </c>
    </row>
    <row r="2270" spans="1:18" x14ac:dyDescent="0.25">
      <c r="A2270" s="169">
        <v>45348</v>
      </c>
      <c r="B2270" s="115">
        <v>361</v>
      </c>
      <c r="C2270" s="115">
        <v>352.5</v>
      </c>
      <c r="D2270" s="115">
        <v>351.65</v>
      </c>
      <c r="E2270" s="115">
        <v>354.95</v>
      </c>
      <c r="F2270" s="115">
        <v>352.5</v>
      </c>
      <c r="G2270">
        <v>13561</v>
      </c>
      <c r="H2270" s="115"/>
      <c r="I2270" s="115"/>
      <c r="L2270" s="169">
        <v>45345</v>
      </c>
      <c r="M2270" s="115">
        <v>349.75</v>
      </c>
      <c r="N2270" s="115">
        <v>356.7</v>
      </c>
      <c r="O2270" s="115">
        <v>347</v>
      </c>
      <c r="P2270" s="115">
        <v>356</v>
      </c>
      <c r="Q2270" s="115">
        <v>349.75</v>
      </c>
      <c r="R2270">
        <v>139528</v>
      </c>
    </row>
    <row r="2271" spans="1:18" x14ac:dyDescent="0.25">
      <c r="A2271" s="169">
        <v>45349</v>
      </c>
      <c r="B2271" s="115">
        <v>358.1</v>
      </c>
      <c r="C2271" s="115">
        <v>352.75</v>
      </c>
      <c r="D2271" s="115">
        <v>350.5</v>
      </c>
      <c r="E2271" s="115">
        <v>352.05</v>
      </c>
      <c r="F2271" s="115">
        <v>352.75</v>
      </c>
      <c r="G2271">
        <v>11436</v>
      </c>
      <c r="H2271" s="115"/>
      <c r="I2271" s="115"/>
      <c r="L2271" s="169">
        <v>45348</v>
      </c>
      <c r="M2271" s="115">
        <v>352.65</v>
      </c>
      <c r="N2271" s="115">
        <v>362</v>
      </c>
      <c r="O2271" s="115">
        <v>351</v>
      </c>
      <c r="P2271" s="115">
        <v>352.1</v>
      </c>
      <c r="Q2271" s="115">
        <v>352.65</v>
      </c>
      <c r="R2271">
        <v>290443</v>
      </c>
    </row>
    <row r="2272" spans="1:18" x14ac:dyDescent="0.25">
      <c r="A2272" s="169">
        <v>45350</v>
      </c>
      <c r="B2272" s="115">
        <v>354.7</v>
      </c>
      <c r="C2272" s="115">
        <v>339.9</v>
      </c>
      <c r="D2272" s="115">
        <v>337.85</v>
      </c>
      <c r="E2272" s="115">
        <v>354.7</v>
      </c>
      <c r="F2272" s="115">
        <v>339.9</v>
      </c>
      <c r="G2272">
        <v>20667</v>
      </c>
      <c r="H2272" s="115"/>
      <c r="I2272" s="115"/>
      <c r="L2272" s="169">
        <v>45349</v>
      </c>
      <c r="M2272" s="115">
        <v>352.1</v>
      </c>
      <c r="N2272" s="115">
        <v>359.5</v>
      </c>
      <c r="O2272" s="115">
        <v>350</v>
      </c>
      <c r="P2272" s="115">
        <v>353</v>
      </c>
      <c r="Q2272" s="115">
        <v>352.1</v>
      </c>
      <c r="R2272">
        <v>152438</v>
      </c>
    </row>
    <row r="2273" spans="1:18" x14ac:dyDescent="0.25">
      <c r="A2273" s="169">
        <v>45351</v>
      </c>
      <c r="B2273" s="115">
        <v>340.05</v>
      </c>
      <c r="C2273" s="115">
        <v>335.3</v>
      </c>
      <c r="D2273" s="115">
        <v>332.1</v>
      </c>
      <c r="E2273" s="115">
        <v>340.05</v>
      </c>
      <c r="F2273" s="115">
        <v>335.3</v>
      </c>
      <c r="G2273">
        <v>10926</v>
      </c>
      <c r="H2273" s="115"/>
      <c r="I2273" s="115"/>
      <c r="L2273" s="169">
        <v>45350</v>
      </c>
      <c r="M2273" s="115">
        <v>340.45</v>
      </c>
      <c r="N2273" s="115">
        <v>353.8</v>
      </c>
      <c r="O2273" s="115">
        <v>338.05</v>
      </c>
      <c r="P2273" s="115">
        <v>353.8</v>
      </c>
      <c r="Q2273" s="115">
        <v>340.45</v>
      </c>
      <c r="R2273">
        <v>141187</v>
      </c>
    </row>
    <row r="2274" spans="1:18" x14ac:dyDescent="0.25">
      <c r="A2274" s="169">
        <v>45352</v>
      </c>
      <c r="B2274" s="115">
        <v>341.35</v>
      </c>
      <c r="C2274" s="115">
        <v>336.45</v>
      </c>
      <c r="D2274" s="115">
        <v>334.9</v>
      </c>
      <c r="E2274" s="115">
        <v>337.5</v>
      </c>
      <c r="F2274" s="115">
        <v>336.45</v>
      </c>
      <c r="G2274">
        <v>8470</v>
      </c>
      <c r="H2274" s="115"/>
      <c r="I2274" s="115"/>
      <c r="L2274" s="169">
        <v>45351</v>
      </c>
      <c r="M2274" s="115">
        <v>334.75</v>
      </c>
      <c r="N2274" s="115">
        <v>341.2</v>
      </c>
      <c r="O2274" s="115">
        <v>331.55</v>
      </c>
      <c r="P2274" s="115">
        <v>341.2</v>
      </c>
      <c r="Q2274" s="115">
        <v>334.75</v>
      </c>
      <c r="R2274">
        <v>81813</v>
      </c>
    </row>
    <row r="2275" spans="1:18" x14ac:dyDescent="0.25">
      <c r="A2275" s="169">
        <v>45353</v>
      </c>
      <c r="B2275" s="115">
        <v>353.25</v>
      </c>
      <c r="C2275" s="115">
        <v>345.8</v>
      </c>
      <c r="D2275" s="115">
        <v>343.55</v>
      </c>
      <c r="E2275" s="115">
        <v>353.25</v>
      </c>
      <c r="F2275" s="115">
        <v>345.8</v>
      </c>
      <c r="G2275">
        <v>1560</v>
      </c>
      <c r="H2275" s="115"/>
      <c r="I2275" s="115"/>
      <c r="L2275" s="169">
        <v>45352</v>
      </c>
      <c r="M2275" s="115">
        <v>337.2</v>
      </c>
      <c r="N2275" s="115">
        <v>341.35</v>
      </c>
      <c r="O2275" s="115">
        <v>335</v>
      </c>
      <c r="P2275" s="115">
        <v>337</v>
      </c>
      <c r="Q2275" s="115">
        <v>337.2</v>
      </c>
      <c r="R2275">
        <v>75524</v>
      </c>
    </row>
    <row r="2276" spans="1:18" x14ac:dyDescent="0.25">
      <c r="A2276" s="169">
        <v>45355</v>
      </c>
      <c r="B2276" s="115">
        <v>349</v>
      </c>
      <c r="C2276" s="115">
        <v>340.85</v>
      </c>
      <c r="D2276" s="115">
        <v>339.1</v>
      </c>
      <c r="E2276" s="115">
        <v>347.9</v>
      </c>
      <c r="F2276" s="115">
        <v>340.85</v>
      </c>
      <c r="G2276">
        <v>2956</v>
      </c>
      <c r="H2276" s="115"/>
      <c r="I2276" s="115"/>
      <c r="L2276" s="169">
        <v>45353</v>
      </c>
      <c r="M2276" s="115">
        <v>346.4</v>
      </c>
      <c r="N2276" s="115">
        <v>347.95</v>
      </c>
      <c r="O2276" s="115">
        <v>339.5</v>
      </c>
      <c r="P2276" s="115">
        <v>339.5</v>
      </c>
      <c r="Q2276" s="115">
        <v>346.4</v>
      </c>
      <c r="R2276">
        <v>37119</v>
      </c>
    </row>
    <row r="2277" spans="1:18" x14ac:dyDescent="0.25">
      <c r="A2277" s="169">
        <v>45356</v>
      </c>
      <c r="B2277" s="115">
        <v>349.15</v>
      </c>
      <c r="C2277" s="115">
        <v>337.1</v>
      </c>
      <c r="D2277" s="115">
        <v>336.4</v>
      </c>
      <c r="E2277" s="115">
        <v>340.85</v>
      </c>
      <c r="F2277" s="115">
        <v>337.1</v>
      </c>
      <c r="G2277">
        <v>4729</v>
      </c>
      <c r="H2277" s="115"/>
      <c r="I2277" s="115"/>
      <c r="L2277" s="169">
        <v>45355</v>
      </c>
      <c r="M2277" s="115">
        <v>341.6</v>
      </c>
      <c r="N2277" s="115">
        <v>349.65</v>
      </c>
      <c r="O2277" s="115">
        <v>338.9</v>
      </c>
      <c r="P2277" s="115">
        <v>342.95</v>
      </c>
      <c r="Q2277" s="115">
        <v>341.6</v>
      </c>
      <c r="R2277">
        <v>90387</v>
      </c>
    </row>
    <row r="2278" spans="1:18" x14ac:dyDescent="0.25">
      <c r="A2278" s="169">
        <v>45357</v>
      </c>
      <c r="B2278" s="115">
        <v>343.7</v>
      </c>
      <c r="C2278" s="115">
        <v>331.3</v>
      </c>
      <c r="D2278" s="115">
        <v>328.65</v>
      </c>
      <c r="E2278" s="115">
        <v>337.55</v>
      </c>
      <c r="F2278" s="115">
        <v>331.3</v>
      </c>
      <c r="G2278">
        <v>28135</v>
      </c>
      <c r="H2278" s="115"/>
      <c r="I2278" s="115"/>
      <c r="L2278" s="169">
        <v>45356</v>
      </c>
      <c r="M2278" s="115">
        <v>337.05</v>
      </c>
      <c r="N2278" s="115">
        <v>348.9</v>
      </c>
      <c r="O2278" s="115">
        <v>334.6</v>
      </c>
      <c r="P2278" s="115">
        <v>341.6</v>
      </c>
      <c r="Q2278" s="115">
        <v>337.05</v>
      </c>
      <c r="R2278">
        <v>140002</v>
      </c>
    </row>
    <row r="2279" spans="1:18" x14ac:dyDescent="0.25">
      <c r="A2279" s="169">
        <v>45358</v>
      </c>
      <c r="B2279" s="115">
        <v>337.75</v>
      </c>
      <c r="C2279" s="115">
        <v>328.3</v>
      </c>
      <c r="D2279" s="115">
        <v>327.05</v>
      </c>
      <c r="E2279" s="115">
        <v>327.05</v>
      </c>
      <c r="F2279" s="115">
        <v>328.3</v>
      </c>
      <c r="G2279">
        <v>7600</v>
      </c>
      <c r="H2279" s="115"/>
      <c r="I2279" s="115"/>
      <c r="L2279" s="169">
        <v>45357</v>
      </c>
      <c r="M2279" s="115">
        <v>332.95</v>
      </c>
      <c r="N2279" s="115">
        <v>343.5</v>
      </c>
      <c r="O2279" s="115">
        <v>328.8</v>
      </c>
      <c r="P2279" s="115">
        <v>337.05</v>
      </c>
      <c r="Q2279" s="115">
        <v>332.95</v>
      </c>
      <c r="R2279">
        <v>167424</v>
      </c>
    </row>
    <row r="2280" spans="1:18" x14ac:dyDescent="0.25">
      <c r="A2280" s="169">
        <v>45362</v>
      </c>
      <c r="B2280" s="115">
        <v>332.35</v>
      </c>
      <c r="C2280" s="115">
        <v>321.75</v>
      </c>
      <c r="D2280" s="115">
        <v>320</v>
      </c>
      <c r="E2280" s="115">
        <v>328</v>
      </c>
      <c r="F2280" s="115">
        <v>321.75</v>
      </c>
      <c r="G2280">
        <v>3807</v>
      </c>
      <c r="H2280" s="115"/>
      <c r="I2280" s="115"/>
      <c r="L2280" s="169">
        <v>45358</v>
      </c>
      <c r="M2280" s="115">
        <v>328.4</v>
      </c>
      <c r="N2280" s="115">
        <v>338.2</v>
      </c>
      <c r="O2280" s="115">
        <v>326.7</v>
      </c>
      <c r="P2280" s="115">
        <v>332.9</v>
      </c>
      <c r="Q2280" s="115">
        <v>328.4</v>
      </c>
      <c r="R2280">
        <v>119592</v>
      </c>
    </row>
    <row r="2281" spans="1:18" x14ac:dyDescent="0.25">
      <c r="A2281" s="169">
        <v>45363</v>
      </c>
      <c r="B2281" s="115">
        <v>326.89999999999998</v>
      </c>
      <c r="C2281" s="115">
        <v>310.64999999999998</v>
      </c>
      <c r="D2281" s="115">
        <v>305.14999999999998</v>
      </c>
      <c r="E2281" s="115">
        <v>326.89999999999998</v>
      </c>
      <c r="F2281" s="115">
        <v>310.64999999999998</v>
      </c>
      <c r="G2281">
        <v>8103</v>
      </c>
      <c r="H2281" s="115"/>
      <c r="I2281" s="115"/>
      <c r="L2281" s="169">
        <v>45362</v>
      </c>
      <c r="M2281" s="115">
        <v>322.10000000000002</v>
      </c>
      <c r="N2281" s="115">
        <v>332</v>
      </c>
      <c r="O2281" s="115">
        <v>319.8</v>
      </c>
      <c r="P2281" s="115">
        <v>328.4</v>
      </c>
      <c r="Q2281" s="115">
        <v>322.10000000000002</v>
      </c>
      <c r="R2281">
        <v>109881</v>
      </c>
    </row>
    <row r="2282" spans="1:18" x14ac:dyDescent="0.25">
      <c r="A2282" s="169">
        <v>45364</v>
      </c>
      <c r="B2282" s="115">
        <v>313.7</v>
      </c>
      <c r="C2282" s="115">
        <v>294.75</v>
      </c>
      <c r="D2282" s="115">
        <v>288.64999999999998</v>
      </c>
      <c r="E2282" s="115">
        <v>312.55</v>
      </c>
      <c r="F2282" s="115">
        <v>294.75</v>
      </c>
      <c r="G2282">
        <v>20632</v>
      </c>
      <c r="H2282" s="115"/>
      <c r="I2282" s="115"/>
      <c r="L2282" s="169">
        <v>45363</v>
      </c>
      <c r="M2282" s="115">
        <v>310.39999999999998</v>
      </c>
      <c r="N2282" s="115">
        <v>326.10000000000002</v>
      </c>
      <c r="O2282" s="115">
        <v>304.39999999999998</v>
      </c>
      <c r="P2282" s="115">
        <v>322.35000000000002</v>
      </c>
      <c r="Q2282" s="115">
        <v>310.39999999999998</v>
      </c>
      <c r="R2282">
        <v>154946</v>
      </c>
    </row>
    <row r="2283" spans="1:18" x14ac:dyDescent="0.25">
      <c r="A2283" s="169">
        <v>45365</v>
      </c>
      <c r="B2283" s="115">
        <v>309.14999999999998</v>
      </c>
      <c r="C2283" s="115">
        <v>308.64999999999998</v>
      </c>
      <c r="D2283" s="115">
        <v>289.5</v>
      </c>
      <c r="E2283" s="115">
        <v>291.7</v>
      </c>
      <c r="F2283" s="115">
        <v>308.64999999999998</v>
      </c>
      <c r="G2283">
        <v>8673</v>
      </c>
      <c r="H2283" s="115"/>
      <c r="I2283" s="115"/>
      <c r="L2283" s="169">
        <v>45364</v>
      </c>
      <c r="M2283" s="115">
        <v>295</v>
      </c>
      <c r="N2283" s="115">
        <v>314.89999999999998</v>
      </c>
      <c r="O2283" s="115">
        <v>288.55</v>
      </c>
      <c r="P2283" s="115">
        <v>311</v>
      </c>
      <c r="Q2283" s="115">
        <v>295</v>
      </c>
      <c r="R2283">
        <v>205477</v>
      </c>
    </row>
    <row r="2284" spans="1:18" x14ac:dyDescent="0.25">
      <c r="A2284" s="169">
        <v>45366</v>
      </c>
      <c r="B2284" s="115">
        <v>318.14999999999998</v>
      </c>
      <c r="C2284" s="115">
        <v>312.7</v>
      </c>
      <c r="D2284" s="115">
        <v>302.8</v>
      </c>
      <c r="E2284" s="115">
        <v>314.2</v>
      </c>
      <c r="F2284" s="115">
        <v>312.7</v>
      </c>
      <c r="G2284">
        <v>13624</v>
      </c>
      <c r="H2284" s="115"/>
      <c r="I2284" s="115"/>
      <c r="L2284" s="169">
        <v>45365</v>
      </c>
      <c r="M2284" s="115">
        <v>308.60000000000002</v>
      </c>
      <c r="N2284" s="115">
        <v>309.95</v>
      </c>
      <c r="O2284" s="115">
        <v>289.2</v>
      </c>
      <c r="P2284" s="115">
        <v>294</v>
      </c>
      <c r="Q2284" s="115">
        <v>308.60000000000002</v>
      </c>
      <c r="R2284">
        <v>116498</v>
      </c>
    </row>
    <row r="2285" spans="1:18" x14ac:dyDescent="0.25">
      <c r="A2285" s="169">
        <v>45369</v>
      </c>
      <c r="B2285" s="115">
        <v>317.05</v>
      </c>
      <c r="C2285" s="115">
        <v>315.05</v>
      </c>
      <c r="D2285" s="115">
        <v>309.2</v>
      </c>
      <c r="E2285" s="115">
        <v>313.7</v>
      </c>
      <c r="F2285" s="115">
        <v>315.05</v>
      </c>
      <c r="G2285">
        <v>5974</v>
      </c>
      <c r="H2285" s="115"/>
      <c r="I2285" s="115"/>
      <c r="L2285" s="169">
        <v>45366</v>
      </c>
      <c r="M2285" s="115">
        <v>313.3</v>
      </c>
      <c r="N2285" s="115">
        <v>319.39999999999998</v>
      </c>
      <c r="O2285" s="115">
        <v>301.5</v>
      </c>
      <c r="P2285" s="115">
        <v>311.35000000000002</v>
      </c>
      <c r="Q2285" s="115">
        <v>313.3</v>
      </c>
      <c r="R2285">
        <v>119282</v>
      </c>
    </row>
    <row r="2286" spans="1:18" x14ac:dyDescent="0.25">
      <c r="A2286" s="169">
        <v>45370</v>
      </c>
      <c r="B2286" s="115">
        <v>317.95</v>
      </c>
      <c r="C2286" s="115">
        <v>309.5</v>
      </c>
      <c r="D2286" s="115">
        <v>304.8</v>
      </c>
      <c r="E2286" s="115">
        <v>316.75</v>
      </c>
      <c r="F2286" s="115">
        <v>309.5</v>
      </c>
      <c r="G2286">
        <v>10253</v>
      </c>
      <c r="H2286" s="115"/>
      <c r="I2286" s="115"/>
      <c r="L2286" s="169">
        <v>45369</v>
      </c>
      <c r="M2286" s="115">
        <v>315.5</v>
      </c>
      <c r="N2286" s="115">
        <v>318</v>
      </c>
      <c r="O2286" s="115">
        <v>309.05</v>
      </c>
      <c r="P2286" s="115">
        <v>312.5</v>
      </c>
      <c r="Q2286" s="115">
        <v>315.5</v>
      </c>
      <c r="R2286">
        <v>90285</v>
      </c>
    </row>
    <row r="2287" spans="1:18" x14ac:dyDescent="0.25">
      <c r="A2287" s="169">
        <v>45371</v>
      </c>
      <c r="B2287" s="115">
        <v>311.5</v>
      </c>
      <c r="C2287" s="115">
        <v>306.10000000000002</v>
      </c>
      <c r="D2287" s="115">
        <v>303.2</v>
      </c>
      <c r="E2287" s="115">
        <v>304.89999999999998</v>
      </c>
      <c r="F2287" s="115">
        <v>306.10000000000002</v>
      </c>
      <c r="G2287">
        <v>5969</v>
      </c>
      <c r="H2287" s="115"/>
      <c r="I2287" s="115"/>
      <c r="L2287" s="169">
        <v>45370</v>
      </c>
      <c r="M2287" s="115">
        <v>307.75</v>
      </c>
      <c r="N2287" s="115">
        <v>318.5</v>
      </c>
      <c r="O2287" s="115">
        <v>303.3</v>
      </c>
      <c r="P2287" s="115">
        <v>318.39999999999998</v>
      </c>
      <c r="Q2287" s="115">
        <v>307.75</v>
      </c>
      <c r="R2287">
        <v>60381</v>
      </c>
    </row>
    <row r="2288" spans="1:18" x14ac:dyDescent="0.25">
      <c r="A2288" s="169">
        <v>45372</v>
      </c>
      <c r="B2288" s="115">
        <v>311.55</v>
      </c>
      <c r="C2288" s="115">
        <v>308.8</v>
      </c>
      <c r="D2288" s="115">
        <v>306.35000000000002</v>
      </c>
      <c r="E2288" s="115">
        <v>307.05</v>
      </c>
      <c r="F2288" s="115">
        <v>308.8</v>
      </c>
      <c r="G2288">
        <v>1792</v>
      </c>
      <c r="H2288" s="115"/>
      <c r="I2288" s="115"/>
      <c r="L2288" s="169">
        <v>45371</v>
      </c>
      <c r="M2288" s="115">
        <v>306.25</v>
      </c>
      <c r="N2288" s="115">
        <v>311</v>
      </c>
      <c r="O2288" s="115">
        <v>303.05</v>
      </c>
      <c r="P2288" s="115">
        <v>304.39999999999998</v>
      </c>
      <c r="Q2288" s="115">
        <v>306.25</v>
      </c>
      <c r="R2288">
        <v>83852</v>
      </c>
    </row>
    <row r="2289" spans="1:18" x14ac:dyDescent="0.25">
      <c r="A2289" s="169">
        <v>45373</v>
      </c>
      <c r="B2289" s="115">
        <v>313.14999999999998</v>
      </c>
      <c r="C2289" s="115">
        <v>308.85000000000002</v>
      </c>
      <c r="D2289" s="115">
        <v>308.2</v>
      </c>
      <c r="E2289" s="115">
        <v>309.45</v>
      </c>
      <c r="F2289" s="115">
        <v>308.85000000000002</v>
      </c>
      <c r="G2289">
        <v>1270</v>
      </c>
      <c r="H2289" s="115"/>
      <c r="I2289" s="115"/>
      <c r="L2289" s="169">
        <v>45372</v>
      </c>
      <c r="M2289" s="115">
        <v>309.35000000000002</v>
      </c>
      <c r="N2289" s="115">
        <v>311.35000000000002</v>
      </c>
      <c r="O2289" s="115">
        <v>306.45</v>
      </c>
      <c r="P2289" s="115">
        <v>307.8</v>
      </c>
      <c r="Q2289" s="115">
        <v>309.35000000000002</v>
      </c>
      <c r="R2289">
        <v>33730</v>
      </c>
    </row>
    <row r="2290" spans="1:18" x14ac:dyDescent="0.25">
      <c r="A2290" s="169">
        <v>45377</v>
      </c>
      <c r="B2290" s="115">
        <v>310.64999999999998</v>
      </c>
      <c r="C2290" s="115">
        <v>299.10000000000002</v>
      </c>
      <c r="D2290" s="115">
        <v>298</v>
      </c>
      <c r="E2290" s="115">
        <v>302.45</v>
      </c>
      <c r="F2290" s="115">
        <v>299.10000000000002</v>
      </c>
      <c r="G2290">
        <v>14771</v>
      </c>
      <c r="H2290" s="115"/>
      <c r="I2290" s="115"/>
      <c r="L2290" s="169">
        <v>45373</v>
      </c>
      <c r="M2290" s="115">
        <v>308.85000000000002</v>
      </c>
      <c r="N2290" s="115">
        <v>313.95</v>
      </c>
      <c r="O2290" s="115">
        <v>306.5</v>
      </c>
      <c r="P2290" s="115">
        <v>306.5</v>
      </c>
      <c r="Q2290" s="115">
        <v>308.85000000000002</v>
      </c>
      <c r="R2290">
        <v>45335</v>
      </c>
    </row>
    <row r="2291" spans="1:18" x14ac:dyDescent="0.25">
      <c r="A2291" s="169">
        <v>45378</v>
      </c>
      <c r="B2291" s="115">
        <v>308.39999999999998</v>
      </c>
      <c r="C2291" s="115">
        <v>304.64999999999998</v>
      </c>
      <c r="D2291" s="115">
        <v>300</v>
      </c>
      <c r="E2291" s="115">
        <v>300</v>
      </c>
      <c r="F2291" s="115">
        <v>304.64999999999998</v>
      </c>
      <c r="G2291">
        <v>2782</v>
      </c>
      <c r="H2291" s="115"/>
      <c r="I2291" s="115"/>
      <c r="L2291" s="169">
        <v>45377</v>
      </c>
      <c r="M2291" s="115">
        <v>299.14999999999998</v>
      </c>
      <c r="N2291" s="115">
        <v>309.95</v>
      </c>
      <c r="O2291" s="115">
        <v>298.25</v>
      </c>
      <c r="P2291" s="115">
        <v>305.14999999999998</v>
      </c>
      <c r="Q2291" s="115">
        <v>299.14999999999998</v>
      </c>
      <c r="R2291">
        <v>97269</v>
      </c>
    </row>
    <row r="2292" spans="1:18" x14ac:dyDescent="0.25">
      <c r="A2292" s="169">
        <v>45379</v>
      </c>
      <c r="B2292" s="115">
        <v>308.45</v>
      </c>
      <c r="C2292" s="115">
        <v>299.5</v>
      </c>
      <c r="D2292" s="115">
        <v>296.75</v>
      </c>
      <c r="E2292" s="115">
        <v>307.3</v>
      </c>
      <c r="F2292" s="115">
        <v>299.5</v>
      </c>
      <c r="G2292">
        <v>1500</v>
      </c>
      <c r="H2292" s="115"/>
      <c r="I2292" s="115"/>
      <c r="L2292" s="169">
        <v>45378</v>
      </c>
      <c r="M2292" s="115">
        <v>304.7</v>
      </c>
      <c r="N2292" s="115">
        <v>310</v>
      </c>
      <c r="O2292" s="115">
        <v>299.35000000000002</v>
      </c>
      <c r="P2292" s="115">
        <v>299.85000000000002</v>
      </c>
      <c r="Q2292" s="115">
        <v>304.7</v>
      </c>
      <c r="R2292">
        <v>113775</v>
      </c>
    </row>
    <row r="2293" spans="1:18" x14ac:dyDescent="0.25">
      <c r="A2293" s="169">
        <v>45383</v>
      </c>
      <c r="B2293" s="115">
        <v>314.89999999999998</v>
      </c>
      <c r="C2293" s="115">
        <v>313.10000000000002</v>
      </c>
      <c r="D2293" s="115">
        <v>304.85000000000002</v>
      </c>
      <c r="E2293" s="115">
        <v>312.89999999999998</v>
      </c>
      <c r="F2293" s="115">
        <v>313.10000000000002</v>
      </c>
      <c r="G2293">
        <v>8852</v>
      </c>
      <c r="H2293" s="115"/>
      <c r="I2293" s="115"/>
      <c r="L2293" s="169">
        <v>45379</v>
      </c>
      <c r="M2293" s="115">
        <v>299.14999999999998</v>
      </c>
      <c r="N2293" s="115">
        <v>308.5</v>
      </c>
      <c r="O2293" s="115">
        <v>296.10000000000002</v>
      </c>
      <c r="P2293" s="115">
        <v>307.60000000000002</v>
      </c>
      <c r="Q2293" s="115">
        <v>299.14999999999998</v>
      </c>
      <c r="R2293">
        <v>115884</v>
      </c>
    </row>
    <row r="2294" spans="1:18" x14ac:dyDescent="0.25">
      <c r="A2294" s="169">
        <v>45384</v>
      </c>
      <c r="B2294" s="115">
        <v>318.60000000000002</v>
      </c>
      <c r="C2294" s="115">
        <v>318.45</v>
      </c>
      <c r="D2294" s="115">
        <v>313.35000000000002</v>
      </c>
      <c r="E2294" s="115">
        <v>313.35000000000002</v>
      </c>
      <c r="F2294" s="115">
        <v>318.45</v>
      </c>
      <c r="G2294">
        <v>4918</v>
      </c>
      <c r="H2294" s="115"/>
      <c r="I2294" s="115"/>
      <c r="L2294" s="169">
        <v>45383</v>
      </c>
      <c r="M2294" s="115">
        <v>312.60000000000002</v>
      </c>
      <c r="N2294" s="115">
        <v>314</v>
      </c>
      <c r="O2294" s="115">
        <v>302.64999999999998</v>
      </c>
      <c r="P2294" s="115">
        <v>302.64999999999998</v>
      </c>
      <c r="Q2294" s="115">
        <v>312.60000000000002</v>
      </c>
      <c r="R2294">
        <v>74871</v>
      </c>
    </row>
    <row r="2295" spans="1:18" x14ac:dyDescent="0.25">
      <c r="A2295" s="169">
        <v>45385</v>
      </c>
      <c r="B2295" s="115">
        <v>327</v>
      </c>
      <c r="C2295" s="115">
        <v>323.14999999999998</v>
      </c>
      <c r="D2295" s="115">
        <v>318.14999999999998</v>
      </c>
      <c r="E2295" s="115">
        <v>318.55</v>
      </c>
      <c r="F2295" s="115">
        <v>323.14999999999998</v>
      </c>
      <c r="G2295">
        <v>9957</v>
      </c>
      <c r="H2295" s="115"/>
      <c r="I2295" s="115"/>
      <c r="L2295" s="169">
        <v>45384</v>
      </c>
      <c r="M2295" s="115">
        <v>318.2</v>
      </c>
      <c r="N2295" s="115">
        <v>318.95</v>
      </c>
      <c r="O2295" s="115">
        <v>313.75</v>
      </c>
      <c r="P2295" s="115">
        <v>313.75</v>
      </c>
      <c r="Q2295" s="115">
        <v>318.2</v>
      </c>
      <c r="R2295">
        <v>56676</v>
      </c>
    </row>
    <row r="2296" spans="1:18" x14ac:dyDescent="0.25">
      <c r="A2296" s="169">
        <v>45386</v>
      </c>
      <c r="B2296" s="115">
        <v>330.95</v>
      </c>
      <c r="C2296" s="115">
        <v>325.95</v>
      </c>
      <c r="D2296" s="115">
        <v>323.39999999999998</v>
      </c>
      <c r="E2296" s="115">
        <v>330.95</v>
      </c>
      <c r="F2296" s="115">
        <v>325.95</v>
      </c>
      <c r="G2296">
        <v>3409</v>
      </c>
      <c r="H2296" s="115"/>
      <c r="I2296" s="115"/>
      <c r="L2296" s="169">
        <v>45385</v>
      </c>
      <c r="M2296" s="115">
        <v>323.45</v>
      </c>
      <c r="N2296" s="115">
        <v>327.45</v>
      </c>
      <c r="O2296" s="115">
        <v>318.35000000000002</v>
      </c>
      <c r="P2296" s="115">
        <v>318.89999999999998</v>
      </c>
      <c r="Q2296" s="115">
        <v>323.45</v>
      </c>
      <c r="R2296">
        <v>86813</v>
      </c>
    </row>
    <row r="2297" spans="1:18" x14ac:dyDescent="0.25">
      <c r="A2297" s="169">
        <v>45387</v>
      </c>
      <c r="B2297" s="115">
        <v>331.05</v>
      </c>
      <c r="C2297" s="115">
        <v>326.25</v>
      </c>
      <c r="D2297" s="115">
        <v>317</v>
      </c>
      <c r="E2297" s="115">
        <v>321.10000000000002</v>
      </c>
      <c r="F2297" s="115">
        <v>326.25</v>
      </c>
      <c r="G2297">
        <v>14440</v>
      </c>
      <c r="H2297" s="115"/>
      <c r="I2297" s="115"/>
      <c r="L2297" s="169">
        <v>45386</v>
      </c>
      <c r="M2297" s="115">
        <v>325.85000000000002</v>
      </c>
      <c r="N2297" s="115">
        <v>329.75</v>
      </c>
      <c r="O2297" s="115">
        <v>323.5</v>
      </c>
      <c r="P2297" s="115">
        <v>325.2</v>
      </c>
      <c r="Q2297" s="115">
        <v>325.85000000000002</v>
      </c>
      <c r="R2297">
        <v>50906</v>
      </c>
    </row>
    <row r="2298" spans="1:18" x14ac:dyDescent="0.25">
      <c r="A2298" s="169">
        <v>45390</v>
      </c>
      <c r="B2298" s="115">
        <v>332.55</v>
      </c>
      <c r="C2298" s="115">
        <v>326.39999999999998</v>
      </c>
      <c r="D2298" s="115">
        <v>325.95</v>
      </c>
      <c r="E2298" s="115">
        <v>329.5</v>
      </c>
      <c r="F2298" s="115">
        <v>326.39999999999998</v>
      </c>
      <c r="G2298">
        <v>7792</v>
      </c>
      <c r="H2298" s="115"/>
      <c r="I2298" s="115"/>
      <c r="L2298" s="169">
        <v>45387</v>
      </c>
      <c r="M2298" s="115">
        <v>325.64999999999998</v>
      </c>
      <c r="N2298" s="115">
        <v>331.4</v>
      </c>
      <c r="O2298" s="115">
        <v>316.10000000000002</v>
      </c>
      <c r="P2298" s="115">
        <v>325.85000000000002</v>
      </c>
      <c r="Q2298" s="115">
        <v>325.64999999999998</v>
      </c>
      <c r="R2298">
        <v>98637</v>
      </c>
    </row>
    <row r="2299" spans="1:18" x14ac:dyDescent="0.25">
      <c r="A2299" s="169">
        <v>45391</v>
      </c>
      <c r="B2299" s="115">
        <v>332</v>
      </c>
      <c r="C2299" s="115">
        <v>327.8</v>
      </c>
      <c r="D2299" s="115">
        <v>325.85000000000002</v>
      </c>
      <c r="E2299" s="115">
        <v>331.95</v>
      </c>
      <c r="F2299" s="115">
        <v>327.8</v>
      </c>
      <c r="G2299">
        <v>2639</v>
      </c>
      <c r="H2299" s="115"/>
      <c r="I2299" s="115"/>
      <c r="L2299" s="169">
        <v>45390</v>
      </c>
      <c r="M2299" s="115">
        <v>326.89999999999998</v>
      </c>
      <c r="N2299" s="115">
        <v>331.65</v>
      </c>
      <c r="O2299" s="115">
        <v>326</v>
      </c>
      <c r="P2299" s="115">
        <v>328.6</v>
      </c>
      <c r="Q2299" s="115">
        <v>326.89999999999998</v>
      </c>
      <c r="R2299">
        <v>66658</v>
      </c>
    </row>
    <row r="2300" spans="1:18" x14ac:dyDescent="0.25">
      <c r="A2300" s="169">
        <v>45392</v>
      </c>
      <c r="B2300" s="115">
        <v>330.5</v>
      </c>
      <c r="C2300" s="115">
        <v>328</v>
      </c>
      <c r="D2300" s="115">
        <v>326</v>
      </c>
      <c r="E2300" s="115">
        <v>330.45</v>
      </c>
      <c r="F2300" s="115">
        <v>328</v>
      </c>
      <c r="G2300">
        <v>6038</v>
      </c>
      <c r="H2300" s="115"/>
      <c r="I2300" s="115"/>
      <c r="L2300" s="169">
        <v>45391</v>
      </c>
      <c r="M2300" s="115">
        <v>327.3</v>
      </c>
      <c r="N2300" s="115">
        <v>333.15</v>
      </c>
      <c r="O2300" s="115">
        <v>324.25</v>
      </c>
      <c r="P2300" s="115">
        <v>328.6</v>
      </c>
      <c r="Q2300" s="115">
        <v>327.3</v>
      </c>
      <c r="R2300">
        <v>71479</v>
      </c>
    </row>
    <row r="2301" spans="1:18" x14ac:dyDescent="0.25">
      <c r="A2301" s="169">
        <v>45394</v>
      </c>
      <c r="B2301" s="115">
        <v>336.2</v>
      </c>
      <c r="C2301" s="115">
        <v>332.85</v>
      </c>
      <c r="D2301" s="115">
        <v>325</v>
      </c>
      <c r="E2301" s="115">
        <v>329</v>
      </c>
      <c r="F2301" s="115">
        <v>332.85</v>
      </c>
      <c r="G2301">
        <v>19392</v>
      </c>
      <c r="H2301" s="115"/>
      <c r="I2301" s="115"/>
      <c r="L2301" s="169">
        <v>45392</v>
      </c>
      <c r="M2301" s="115">
        <v>327.9</v>
      </c>
      <c r="N2301" s="115">
        <v>333</v>
      </c>
      <c r="O2301" s="115">
        <v>326.39999999999998</v>
      </c>
      <c r="P2301" s="115">
        <v>330.55</v>
      </c>
      <c r="Q2301" s="115">
        <v>327.9</v>
      </c>
      <c r="R2301">
        <v>40012</v>
      </c>
    </row>
    <row r="2302" spans="1:18" x14ac:dyDescent="0.25">
      <c r="A2302" s="169">
        <v>45397</v>
      </c>
      <c r="B2302" s="115">
        <v>329.75</v>
      </c>
      <c r="C2302" s="115">
        <v>319.89999999999998</v>
      </c>
      <c r="D2302" s="115">
        <v>300.35000000000002</v>
      </c>
      <c r="E2302" s="115">
        <v>300.35000000000002</v>
      </c>
      <c r="F2302" s="115">
        <v>319.89999999999998</v>
      </c>
      <c r="G2302">
        <v>13975</v>
      </c>
      <c r="H2302" s="115"/>
      <c r="I2302" s="115"/>
      <c r="L2302" s="169">
        <v>45394</v>
      </c>
      <c r="M2302" s="115">
        <v>332.25</v>
      </c>
      <c r="N2302" s="115">
        <v>336.45</v>
      </c>
      <c r="O2302" s="115">
        <v>327.95</v>
      </c>
      <c r="P2302" s="115">
        <v>327.95</v>
      </c>
      <c r="Q2302" s="115">
        <v>332.25</v>
      </c>
      <c r="R2302">
        <v>108754</v>
      </c>
    </row>
    <row r="2303" spans="1:18" x14ac:dyDescent="0.25">
      <c r="A2303" s="169">
        <v>45398</v>
      </c>
      <c r="B2303" s="115">
        <v>333.2</v>
      </c>
      <c r="C2303" s="115">
        <v>330.2</v>
      </c>
      <c r="D2303" s="115">
        <v>320</v>
      </c>
      <c r="E2303" s="115">
        <v>330.4</v>
      </c>
      <c r="F2303" s="115">
        <v>330.2</v>
      </c>
      <c r="G2303">
        <v>6489</v>
      </c>
      <c r="H2303" s="115"/>
      <c r="I2303" s="115"/>
      <c r="L2303" s="169">
        <v>45397</v>
      </c>
      <c r="M2303" s="115">
        <v>320.05</v>
      </c>
      <c r="N2303" s="115">
        <v>330</v>
      </c>
      <c r="O2303" s="115">
        <v>316.7</v>
      </c>
      <c r="P2303" s="115">
        <v>322.2</v>
      </c>
      <c r="Q2303" s="115">
        <v>320.05</v>
      </c>
      <c r="R2303">
        <v>154117</v>
      </c>
    </row>
    <row r="2304" spans="1:18" x14ac:dyDescent="0.25">
      <c r="A2304" s="169">
        <v>45400</v>
      </c>
      <c r="B2304" s="115">
        <v>336.5</v>
      </c>
      <c r="C2304" s="115">
        <v>328.6</v>
      </c>
      <c r="D2304" s="115">
        <v>327.5</v>
      </c>
      <c r="E2304" s="115">
        <v>334.75</v>
      </c>
      <c r="F2304" s="115">
        <v>328.6</v>
      </c>
      <c r="G2304">
        <v>6586</v>
      </c>
      <c r="H2304" s="115"/>
      <c r="I2304" s="115"/>
      <c r="L2304" s="169">
        <v>45398</v>
      </c>
      <c r="M2304" s="115">
        <v>330.7</v>
      </c>
      <c r="N2304" s="115">
        <v>333.15</v>
      </c>
      <c r="O2304" s="115">
        <v>319</v>
      </c>
      <c r="P2304" s="115">
        <v>319</v>
      </c>
      <c r="Q2304" s="115">
        <v>330.7</v>
      </c>
      <c r="R2304">
        <v>84485</v>
      </c>
    </row>
    <row r="2305" spans="1:18" x14ac:dyDescent="0.25">
      <c r="A2305" s="169">
        <v>45401</v>
      </c>
      <c r="B2305" s="115">
        <v>335.65</v>
      </c>
      <c r="C2305" s="115">
        <v>329.3</v>
      </c>
      <c r="D2305" s="115">
        <v>321.85000000000002</v>
      </c>
      <c r="E2305" s="115">
        <v>326.35000000000002</v>
      </c>
      <c r="F2305" s="115">
        <v>329.3</v>
      </c>
      <c r="G2305">
        <v>10259</v>
      </c>
      <c r="H2305" s="115"/>
      <c r="I2305" s="115"/>
      <c r="L2305" s="169">
        <v>45400</v>
      </c>
      <c r="M2305" s="115">
        <v>328.55</v>
      </c>
      <c r="N2305" s="115">
        <v>337</v>
      </c>
      <c r="O2305" s="115">
        <v>327.35000000000002</v>
      </c>
      <c r="P2305" s="115">
        <v>334.7</v>
      </c>
      <c r="Q2305" s="115">
        <v>328.55</v>
      </c>
      <c r="R2305">
        <v>52612</v>
      </c>
    </row>
    <row r="2306" spans="1:18" x14ac:dyDescent="0.25">
      <c r="A2306" s="169">
        <v>45404</v>
      </c>
      <c r="B2306" s="115">
        <v>355.95</v>
      </c>
      <c r="C2306" s="115">
        <v>345.25</v>
      </c>
      <c r="D2306" s="115">
        <v>333.1</v>
      </c>
      <c r="E2306" s="115">
        <v>335.9</v>
      </c>
      <c r="F2306" s="115">
        <v>345.25</v>
      </c>
      <c r="G2306">
        <v>49237</v>
      </c>
      <c r="H2306" s="115"/>
      <c r="I2306" s="115"/>
      <c r="L2306" s="169">
        <v>45401</v>
      </c>
      <c r="M2306" s="115">
        <v>329.7</v>
      </c>
      <c r="N2306" s="115">
        <v>333</v>
      </c>
      <c r="O2306" s="115">
        <v>323.3</v>
      </c>
      <c r="P2306" s="115">
        <v>328.55</v>
      </c>
      <c r="Q2306" s="115">
        <v>329.7</v>
      </c>
      <c r="R2306">
        <v>50790</v>
      </c>
    </row>
    <row r="2307" spans="1:18" x14ac:dyDescent="0.25">
      <c r="A2307" s="169">
        <v>45405</v>
      </c>
      <c r="B2307" s="115">
        <v>355.85</v>
      </c>
      <c r="C2307" s="115">
        <v>346.65</v>
      </c>
      <c r="D2307" s="115">
        <v>343.7</v>
      </c>
      <c r="E2307" s="115">
        <v>352.8</v>
      </c>
      <c r="F2307" s="115">
        <v>346.65</v>
      </c>
      <c r="G2307">
        <v>42811</v>
      </c>
      <c r="H2307" s="115"/>
      <c r="I2307" s="115"/>
      <c r="L2307" s="169">
        <v>45404</v>
      </c>
      <c r="M2307" s="115">
        <v>344.65</v>
      </c>
      <c r="N2307" s="115">
        <v>356.4</v>
      </c>
      <c r="O2307" s="115">
        <v>333.15</v>
      </c>
      <c r="P2307" s="115">
        <v>333.15</v>
      </c>
      <c r="Q2307" s="115">
        <v>344.65</v>
      </c>
      <c r="R2307">
        <v>1064513</v>
      </c>
    </row>
    <row r="2308" spans="1:18" x14ac:dyDescent="0.25">
      <c r="A2308" s="169">
        <v>45406</v>
      </c>
      <c r="B2308" s="115">
        <v>334.05</v>
      </c>
      <c r="C2308" s="115">
        <v>318.25</v>
      </c>
      <c r="D2308" s="115">
        <v>316</v>
      </c>
      <c r="E2308" s="115">
        <v>334.05</v>
      </c>
      <c r="F2308" s="115">
        <v>318.25</v>
      </c>
      <c r="G2308">
        <v>70304</v>
      </c>
      <c r="H2308" s="115"/>
      <c r="I2308" s="115"/>
      <c r="L2308" s="169">
        <v>45405</v>
      </c>
      <c r="M2308" s="115">
        <v>346.35</v>
      </c>
      <c r="N2308" s="115">
        <v>356</v>
      </c>
      <c r="O2308" s="115">
        <v>343.6</v>
      </c>
      <c r="P2308" s="115">
        <v>352</v>
      </c>
      <c r="Q2308" s="115">
        <v>346.35</v>
      </c>
      <c r="R2308">
        <v>353532</v>
      </c>
    </row>
    <row r="2309" spans="1:18" x14ac:dyDescent="0.25">
      <c r="A2309" s="169">
        <v>45407</v>
      </c>
      <c r="B2309" s="115">
        <v>321.2</v>
      </c>
      <c r="C2309" s="115">
        <v>309.89999999999998</v>
      </c>
      <c r="D2309" s="115">
        <v>308.25</v>
      </c>
      <c r="E2309" s="115">
        <v>321</v>
      </c>
      <c r="F2309" s="115">
        <v>309.89999999999998</v>
      </c>
      <c r="G2309">
        <v>29358</v>
      </c>
      <c r="H2309" s="115"/>
      <c r="I2309" s="115"/>
      <c r="L2309" s="169">
        <v>45406</v>
      </c>
      <c r="M2309" s="115">
        <v>318</v>
      </c>
      <c r="N2309" s="115">
        <v>335</v>
      </c>
      <c r="O2309" s="115">
        <v>316.10000000000002</v>
      </c>
      <c r="P2309" s="115">
        <v>334.95</v>
      </c>
      <c r="Q2309" s="115">
        <v>318</v>
      </c>
      <c r="R2309">
        <v>651681</v>
      </c>
    </row>
    <row r="2310" spans="1:18" x14ac:dyDescent="0.25">
      <c r="A2310" s="169">
        <v>45408</v>
      </c>
      <c r="B2310" s="115">
        <v>314.14999999999998</v>
      </c>
      <c r="C2310" s="115">
        <v>307.39999999999998</v>
      </c>
      <c r="D2310" s="115">
        <v>306.5</v>
      </c>
      <c r="E2310" s="115">
        <v>308.05</v>
      </c>
      <c r="F2310" s="115">
        <v>307.39999999999998</v>
      </c>
      <c r="G2310">
        <v>17958</v>
      </c>
      <c r="H2310" s="115"/>
      <c r="I2310" s="115"/>
      <c r="L2310" s="169">
        <v>45407</v>
      </c>
      <c r="M2310" s="115">
        <v>309.75</v>
      </c>
      <c r="N2310" s="115">
        <v>321.95</v>
      </c>
      <c r="O2310" s="115">
        <v>308.10000000000002</v>
      </c>
      <c r="P2310" s="115">
        <v>321.35000000000002</v>
      </c>
      <c r="Q2310" s="115">
        <v>309.75</v>
      </c>
      <c r="R2310">
        <v>243569</v>
      </c>
    </row>
    <row r="2311" spans="1:18" x14ac:dyDescent="0.25">
      <c r="A2311" s="169">
        <v>45411</v>
      </c>
      <c r="B2311" s="115">
        <v>313.95</v>
      </c>
      <c r="C2311" s="115">
        <v>306.89999999999998</v>
      </c>
      <c r="D2311" s="115">
        <v>304.10000000000002</v>
      </c>
      <c r="E2311" s="115">
        <v>307.55</v>
      </c>
      <c r="F2311" s="115">
        <v>306.89999999999998</v>
      </c>
      <c r="G2311">
        <v>4619</v>
      </c>
      <c r="H2311" s="115"/>
      <c r="I2311" s="115"/>
      <c r="L2311" s="169">
        <v>45408</v>
      </c>
      <c r="M2311" s="115">
        <v>307.85000000000002</v>
      </c>
      <c r="N2311" s="115">
        <v>314.45</v>
      </c>
      <c r="O2311" s="115">
        <v>306.8</v>
      </c>
      <c r="P2311" s="115">
        <v>309.89999999999998</v>
      </c>
      <c r="Q2311" s="115">
        <v>307.85000000000002</v>
      </c>
      <c r="R2311">
        <v>117126</v>
      </c>
    </row>
    <row r="2312" spans="1:18" x14ac:dyDescent="0.25">
      <c r="A2312" s="169">
        <v>45412</v>
      </c>
      <c r="B2312" s="115">
        <v>311.55</v>
      </c>
      <c r="C2312" s="115">
        <v>308.8</v>
      </c>
      <c r="D2312" s="115">
        <v>307.3</v>
      </c>
      <c r="E2312" s="115">
        <v>308.05</v>
      </c>
      <c r="F2312" s="115">
        <v>308.8</v>
      </c>
      <c r="G2312">
        <v>11884</v>
      </c>
      <c r="H2312" s="115"/>
      <c r="I2312" s="115"/>
      <c r="L2312" s="169">
        <v>45411</v>
      </c>
      <c r="M2312" s="115">
        <v>306.8</v>
      </c>
      <c r="N2312" s="115">
        <v>313.95</v>
      </c>
      <c r="O2312" s="115">
        <v>303.55</v>
      </c>
      <c r="P2312" s="115">
        <v>308</v>
      </c>
      <c r="Q2312" s="115">
        <v>306.8</v>
      </c>
      <c r="R2312">
        <v>165490</v>
      </c>
    </row>
    <row r="2313" spans="1:18" x14ac:dyDescent="0.25">
      <c r="A2313" s="169">
        <v>45414</v>
      </c>
      <c r="B2313" s="115">
        <v>311.2</v>
      </c>
      <c r="C2313" s="115">
        <v>304.75</v>
      </c>
      <c r="D2313" s="115">
        <v>304.39999999999998</v>
      </c>
      <c r="E2313" s="115">
        <v>309</v>
      </c>
      <c r="F2313" s="115">
        <v>304.75</v>
      </c>
      <c r="G2313">
        <v>5199</v>
      </c>
      <c r="H2313" s="115"/>
      <c r="I2313" s="115"/>
      <c r="L2313" s="169">
        <v>45412</v>
      </c>
      <c r="M2313" s="115">
        <v>309.14999999999998</v>
      </c>
      <c r="N2313" s="115">
        <v>312</v>
      </c>
      <c r="O2313" s="115">
        <v>307.45</v>
      </c>
      <c r="P2313" s="115">
        <v>309.45</v>
      </c>
      <c r="Q2313" s="115">
        <v>309.14999999999998</v>
      </c>
      <c r="R2313">
        <v>125965</v>
      </c>
    </row>
    <row r="2314" spans="1:18" x14ac:dyDescent="0.25">
      <c r="A2314" s="169">
        <v>45415</v>
      </c>
      <c r="B2314" s="115">
        <v>307.60000000000002</v>
      </c>
      <c r="C2314" s="115">
        <v>303.39999999999998</v>
      </c>
      <c r="D2314" s="115">
        <v>301.35000000000002</v>
      </c>
      <c r="E2314" s="115">
        <v>306.39999999999998</v>
      </c>
      <c r="F2314" s="115">
        <v>303.39999999999998</v>
      </c>
      <c r="G2314">
        <v>5922</v>
      </c>
      <c r="H2314" s="115"/>
      <c r="I2314" s="115"/>
      <c r="L2314" s="169">
        <v>45414</v>
      </c>
      <c r="M2314" s="115">
        <v>304.95</v>
      </c>
      <c r="N2314" s="115">
        <v>310.89999999999998</v>
      </c>
      <c r="O2314" s="115">
        <v>304.45</v>
      </c>
      <c r="P2314" s="115">
        <v>308</v>
      </c>
      <c r="Q2314" s="115">
        <v>304.95</v>
      </c>
      <c r="R2314">
        <v>130914</v>
      </c>
    </row>
    <row r="2315" spans="1:18" x14ac:dyDescent="0.25">
      <c r="A2315" s="169">
        <v>45418</v>
      </c>
      <c r="B2315" s="115">
        <v>306.8</v>
      </c>
      <c r="C2315" s="115">
        <v>301.14999999999998</v>
      </c>
      <c r="D2315" s="115">
        <v>300.7</v>
      </c>
      <c r="E2315" s="115">
        <v>301.45</v>
      </c>
      <c r="F2315" s="115">
        <v>301.14999999999998</v>
      </c>
      <c r="G2315">
        <v>9163</v>
      </c>
      <c r="H2315" s="115"/>
      <c r="I2315" s="115"/>
      <c r="L2315" s="169">
        <v>45415</v>
      </c>
      <c r="M2315" s="115">
        <v>303.05</v>
      </c>
      <c r="N2315" s="115">
        <v>308</v>
      </c>
      <c r="O2315" s="115">
        <v>301.10000000000002</v>
      </c>
      <c r="P2315" s="115">
        <v>307.39999999999998</v>
      </c>
      <c r="Q2315" s="115">
        <v>303.05</v>
      </c>
      <c r="R2315">
        <v>120860</v>
      </c>
    </row>
    <row r="2316" spans="1:18" x14ac:dyDescent="0.25">
      <c r="A2316" s="169">
        <v>45419</v>
      </c>
      <c r="B2316" s="115">
        <v>307.5</v>
      </c>
      <c r="C2316" s="115">
        <v>301</v>
      </c>
      <c r="D2316" s="115">
        <v>300.05</v>
      </c>
      <c r="E2316" s="115">
        <v>304.7</v>
      </c>
      <c r="F2316" s="115">
        <v>301</v>
      </c>
      <c r="G2316">
        <v>3605</v>
      </c>
      <c r="H2316" s="115"/>
      <c r="I2316" s="115"/>
      <c r="L2316" s="169">
        <v>45418</v>
      </c>
      <c r="M2316" s="115">
        <v>302.25</v>
      </c>
      <c r="N2316" s="115">
        <v>307.45</v>
      </c>
      <c r="O2316" s="115">
        <v>301</v>
      </c>
      <c r="P2316" s="115">
        <v>307</v>
      </c>
      <c r="Q2316" s="115">
        <v>302.25</v>
      </c>
      <c r="R2316">
        <v>72535</v>
      </c>
    </row>
    <row r="2317" spans="1:18" x14ac:dyDescent="0.25">
      <c r="A2317" s="169">
        <v>45420</v>
      </c>
      <c r="B2317" s="115">
        <v>306.10000000000002</v>
      </c>
      <c r="C2317" s="115">
        <v>304.89999999999998</v>
      </c>
      <c r="D2317" s="115">
        <v>301.25</v>
      </c>
      <c r="E2317" s="115">
        <v>301.25</v>
      </c>
      <c r="F2317" s="115">
        <v>304.89999999999998</v>
      </c>
      <c r="G2317">
        <v>6114</v>
      </c>
      <c r="H2317" s="115"/>
      <c r="I2317" s="115"/>
      <c r="L2317" s="169">
        <v>45419</v>
      </c>
      <c r="M2317" s="115">
        <v>301.85000000000002</v>
      </c>
      <c r="N2317" s="115">
        <v>307.45</v>
      </c>
      <c r="O2317" s="115">
        <v>300.05</v>
      </c>
      <c r="P2317" s="115">
        <v>304.8</v>
      </c>
      <c r="Q2317" s="115">
        <v>301.85000000000002</v>
      </c>
      <c r="R2317">
        <v>108478</v>
      </c>
    </row>
    <row r="2318" spans="1:18" x14ac:dyDescent="0.25">
      <c r="A2318" s="169">
        <v>45421</v>
      </c>
      <c r="B2318" s="115">
        <v>305.8</v>
      </c>
      <c r="C2318" s="115">
        <v>299.2</v>
      </c>
      <c r="D2318" s="115">
        <v>297.05</v>
      </c>
      <c r="E2318" s="115">
        <v>305.8</v>
      </c>
      <c r="F2318" s="115">
        <v>299.2</v>
      </c>
      <c r="G2318">
        <v>4889</v>
      </c>
      <c r="H2318" s="115"/>
      <c r="I2318" s="115"/>
      <c r="L2318" s="169">
        <v>45420</v>
      </c>
      <c r="M2318" s="115">
        <v>304.60000000000002</v>
      </c>
      <c r="N2318" s="115">
        <v>305.95</v>
      </c>
      <c r="O2318" s="115">
        <v>301.10000000000002</v>
      </c>
      <c r="P2318" s="115">
        <v>301.60000000000002</v>
      </c>
      <c r="Q2318" s="115">
        <v>304.60000000000002</v>
      </c>
      <c r="R2318">
        <v>47873</v>
      </c>
    </row>
    <row r="2319" spans="1:18" x14ac:dyDescent="0.25">
      <c r="A2319" s="169">
        <v>45422</v>
      </c>
      <c r="B2319" s="115">
        <v>299.64999999999998</v>
      </c>
      <c r="C2319" s="115">
        <v>298</v>
      </c>
      <c r="D2319" s="115">
        <v>294.8</v>
      </c>
      <c r="E2319" s="115">
        <v>299.45</v>
      </c>
      <c r="F2319" s="115">
        <v>298</v>
      </c>
      <c r="G2319">
        <v>3273</v>
      </c>
      <c r="H2319" s="115"/>
      <c r="I2319" s="115"/>
      <c r="L2319" s="169">
        <v>45421</v>
      </c>
      <c r="M2319" s="115">
        <v>298.2</v>
      </c>
      <c r="N2319" s="115">
        <v>305.95</v>
      </c>
      <c r="O2319" s="115">
        <v>297</v>
      </c>
      <c r="P2319" s="115">
        <v>305.95</v>
      </c>
      <c r="Q2319" s="115">
        <v>298.2</v>
      </c>
      <c r="R2319">
        <v>48708</v>
      </c>
    </row>
    <row r="2320" spans="1:18" x14ac:dyDescent="0.25">
      <c r="A2320" s="169">
        <v>45425</v>
      </c>
      <c r="B2320" s="115">
        <v>297.95</v>
      </c>
      <c r="C2320" s="115">
        <v>293</v>
      </c>
      <c r="D2320" s="115">
        <v>291.85000000000002</v>
      </c>
      <c r="E2320" s="115">
        <v>293.55</v>
      </c>
      <c r="F2320" s="115">
        <v>293</v>
      </c>
      <c r="G2320">
        <v>9786</v>
      </c>
      <c r="H2320" s="115"/>
      <c r="I2320" s="115"/>
      <c r="L2320" s="169">
        <v>45422</v>
      </c>
      <c r="M2320" s="115">
        <v>297.05</v>
      </c>
      <c r="N2320" s="115">
        <v>300</v>
      </c>
      <c r="O2320" s="115">
        <v>294.64999999999998</v>
      </c>
      <c r="P2320" s="115">
        <v>298</v>
      </c>
      <c r="Q2320" s="115">
        <v>297.05</v>
      </c>
      <c r="R2320">
        <v>104261</v>
      </c>
    </row>
    <row r="2321" spans="1:18" x14ac:dyDescent="0.25">
      <c r="A2321" s="169">
        <v>45426</v>
      </c>
      <c r="B2321" s="115">
        <v>300.8</v>
      </c>
      <c r="C2321" s="115">
        <v>299.3</v>
      </c>
      <c r="D2321" s="115">
        <v>295.60000000000002</v>
      </c>
      <c r="E2321" s="115">
        <v>300.64999999999998</v>
      </c>
      <c r="F2321" s="115">
        <v>299.3</v>
      </c>
      <c r="G2321">
        <v>867</v>
      </c>
      <c r="H2321" s="115"/>
      <c r="I2321" s="115"/>
      <c r="L2321" s="169">
        <v>45425</v>
      </c>
      <c r="M2321" s="115">
        <v>293.05</v>
      </c>
      <c r="N2321" s="115">
        <v>299.39999999999998</v>
      </c>
      <c r="O2321" s="115">
        <v>292</v>
      </c>
      <c r="P2321" s="115">
        <v>299.39999999999998</v>
      </c>
      <c r="Q2321" s="115">
        <v>293.05</v>
      </c>
      <c r="R2321">
        <v>62913</v>
      </c>
    </row>
    <row r="2322" spans="1:18" x14ac:dyDescent="0.25">
      <c r="A2322" s="169">
        <v>45427</v>
      </c>
      <c r="B2322" s="115">
        <v>303.5</v>
      </c>
      <c r="C2322" s="115">
        <v>302.5</v>
      </c>
      <c r="D2322" s="115">
        <v>298</v>
      </c>
      <c r="E2322" s="115">
        <v>299.45</v>
      </c>
      <c r="F2322" s="115">
        <v>302.5</v>
      </c>
      <c r="G2322">
        <v>1427</v>
      </c>
      <c r="H2322" s="115"/>
      <c r="I2322" s="115"/>
      <c r="L2322" s="169">
        <v>45426</v>
      </c>
      <c r="M2322" s="115">
        <v>299.8</v>
      </c>
      <c r="N2322" s="115">
        <v>301.3</v>
      </c>
      <c r="O2322" s="115">
        <v>295.39999999999998</v>
      </c>
      <c r="P2322" s="115">
        <v>295.95</v>
      </c>
      <c r="Q2322" s="115">
        <v>299.8</v>
      </c>
      <c r="R2322">
        <v>31691</v>
      </c>
    </row>
    <row r="2323" spans="1:18" x14ac:dyDescent="0.25">
      <c r="A2323" s="169">
        <v>45428</v>
      </c>
      <c r="B2323" s="115">
        <v>303.5</v>
      </c>
      <c r="C2323" s="115">
        <v>301.64999999999998</v>
      </c>
      <c r="D2323" s="115">
        <v>301</v>
      </c>
      <c r="E2323" s="115">
        <v>303.5</v>
      </c>
      <c r="F2323" s="115">
        <v>301.64999999999998</v>
      </c>
      <c r="G2323">
        <v>2087</v>
      </c>
      <c r="H2323" s="115"/>
      <c r="I2323" s="115"/>
      <c r="L2323" s="169">
        <v>45427</v>
      </c>
      <c r="M2323" s="115">
        <v>302.55</v>
      </c>
      <c r="N2323" s="115">
        <v>304</v>
      </c>
      <c r="O2323" s="115">
        <v>297.85000000000002</v>
      </c>
      <c r="P2323" s="115">
        <v>301.3</v>
      </c>
      <c r="Q2323" s="115">
        <v>302.55</v>
      </c>
      <c r="R2323">
        <v>42787</v>
      </c>
    </row>
    <row r="2324" spans="1:18" x14ac:dyDescent="0.25">
      <c r="A2324" s="169">
        <v>45429</v>
      </c>
      <c r="B2324" s="115">
        <v>306.7</v>
      </c>
      <c r="C2324" s="115">
        <v>304.7</v>
      </c>
      <c r="D2324" s="115">
        <v>301.7</v>
      </c>
      <c r="E2324" s="115">
        <v>303.10000000000002</v>
      </c>
      <c r="F2324" s="115">
        <v>304.7</v>
      </c>
      <c r="G2324">
        <v>1723</v>
      </c>
      <c r="H2324" s="115"/>
      <c r="I2324" s="115"/>
      <c r="L2324" s="169">
        <v>45428</v>
      </c>
      <c r="M2324" s="115">
        <v>302.25</v>
      </c>
      <c r="N2324" s="115">
        <v>304.10000000000002</v>
      </c>
      <c r="O2324" s="115">
        <v>301</v>
      </c>
      <c r="P2324" s="115">
        <v>304.10000000000002</v>
      </c>
      <c r="Q2324" s="115">
        <v>302.25</v>
      </c>
      <c r="R2324">
        <v>22939</v>
      </c>
    </row>
    <row r="2325" spans="1:18" x14ac:dyDescent="0.25">
      <c r="A2325" s="169">
        <v>45430</v>
      </c>
      <c r="B2325" s="115">
        <v>306.60000000000002</v>
      </c>
      <c r="C2325" s="115">
        <v>303.39999999999998</v>
      </c>
      <c r="D2325" s="115">
        <v>301.95</v>
      </c>
      <c r="E2325" s="115">
        <v>302.95</v>
      </c>
      <c r="F2325" s="115">
        <v>303.39999999999998</v>
      </c>
      <c r="G2325">
        <v>940</v>
      </c>
      <c r="H2325" s="115"/>
      <c r="I2325" s="115"/>
      <c r="L2325" s="169">
        <v>45429</v>
      </c>
      <c r="M2325" s="115">
        <v>304.60000000000002</v>
      </c>
      <c r="N2325" s="115">
        <v>306.8</v>
      </c>
      <c r="O2325" s="115">
        <v>301</v>
      </c>
      <c r="P2325" s="115">
        <v>303</v>
      </c>
      <c r="Q2325" s="115">
        <v>304.60000000000002</v>
      </c>
      <c r="R2325">
        <v>40383</v>
      </c>
    </row>
    <row r="2326" spans="1:18" x14ac:dyDescent="0.25">
      <c r="A2326" s="169">
        <v>45433</v>
      </c>
      <c r="B2326" s="115">
        <v>305.2</v>
      </c>
      <c r="C2326" s="115">
        <v>300.45</v>
      </c>
      <c r="D2326" s="115">
        <v>300</v>
      </c>
      <c r="E2326" s="115">
        <v>303.39999999999998</v>
      </c>
      <c r="F2326" s="115">
        <v>300.45</v>
      </c>
      <c r="G2326">
        <v>3792</v>
      </c>
      <c r="H2326" s="115"/>
      <c r="I2326" s="115"/>
      <c r="L2326" s="169">
        <v>45430</v>
      </c>
      <c r="M2326" s="115">
        <v>303.64999999999998</v>
      </c>
      <c r="N2326" s="115">
        <v>307.89999999999998</v>
      </c>
      <c r="O2326" s="115">
        <v>302</v>
      </c>
      <c r="P2326" s="115">
        <v>302.55</v>
      </c>
      <c r="Q2326" s="115">
        <v>303.64999999999998</v>
      </c>
      <c r="R2326">
        <v>13143</v>
      </c>
    </row>
    <row r="2327" spans="1:18" x14ac:dyDescent="0.25">
      <c r="A2327" s="169">
        <v>45434</v>
      </c>
      <c r="B2327" s="115">
        <v>304.14999999999998</v>
      </c>
      <c r="C2327" s="115">
        <v>303.10000000000002</v>
      </c>
      <c r="D2327" s="115">
        <v>300.8</v>
      </c>
      <c r="E2327" s="115">
        <v>300.8</v>
      </c>
      <c r="F2327" s="115">
        <v>303.10000000000002</v>
      </c>
      <c r="G2327">
        <v>2181</v>
      </c>
      <c r="H2327" s="115"/>
      <c r="I2327" s="115"/>
      <c r="L2327" s="169">
        <v>45433</v>
      </c>
      <c r="M2327" s="115">
        <v>300.85000000000002</v>
      </c>
      <c r="N2327" s="115">
        <v>305.55</v>
      </c>
      <c r="O2327" s="115">
        <v>300.05</v>
      </c>
      <c r="P2327" s="115">
        <v>305</v>
      </c>
      <c r="Q2327" s="115">
        <v>300.85000000000002</v>
      </c>
      <c r="R2327">
        <v>48021</v>
      </c>
    </row>
    <row r="2328" spans="1:18" x14ac:dyDescent="0.25">
      <c r="A2328" s="169">
        <v>45435</v>
      </c>
      <c r="B2328" s="115">
        <v>308.60000000000002</v>
      </c>
      <c r="C2328" s="115">
        <v>306.55</v>
      </c>
      <c r="D2328" s="115">
        <v>300.10000000000002</v>
      </c>
      <c r="E2328" s="115">
        <v>303.89999999999998</v>
      </c>
      <c r="F2328" s="115">
        <v>306.55</v>
      </c>
      <c r="G2328">
        <v>3357</v>
      </c>
      <c r="H2328" s="115"/>
      <c r="I2328" s="115"/>
      <c r="L2328" s="169">
        <v>45434</v>
      </c>
      <c r="M2328" s="115">
        <v>303.45</v>
      </c>
      <c r="N2328" s="115">
        <v>304.14999999999998</v>
      </c>
      <c r="O2328" s="115">
        <v>301.2</v>
      </c>
      <c r="P2328" s="115">
        <v>302.35000000000002</v>
      </c>
      <c r="Q2328" s="115">
        <v>303.45</v>
      </c>
      <c r="R2328">
        <v>46307</v>
      </c>
    </row>
    <row r="2329" spans="1:18" x14ac:dyDescent="0.25">
      <c r="A2329" s="169">
        <v>45436</v>
      </c>
      <c r="B2329" s="115">
        <v>311.35000000000002</v>
      </c>
      <c r="C2329" s="115">
        <v>310.64999999999998</v>
      </c>
      <c r="D2329" s="115">
        <v>305.95</v>
      </c>
      <c r="E2329" s="115">
        <v>307.45</v>
      </c>
      <c r="F2329" s="115">
        <v>310.64999999999998</v>
      </c>
      <c r="G2329">
        <v>5620</v>
      </c>
      <c r="H2329" s="115"/>
      <c r="I2329" s="115"/>
      <c r="L2329" s="169">
        <v>45435</v>
      </c>
      <c r="M2329" s="115">
        <v>307.60000000000002</v>
      </c>
      <c r="N2329" s="115">
        <v>309.8</v>
      </c>
      <c r="O2329" s="115">
        <v>300.2</v>
      </c>
      <c r="P2329" s="115">
        <v>305.7</v>
      </c>
      <c r="Q2329" s="115">
        <v>307.60000000000002</v>
      </c>
      <c r="R2329">
        <v>127222</v>
      </c>
    </row>
    <row r="2330" spans="1:18" x14ac:dyDescent="0.25">
      <c r="A2330" s="169">
        <v>45439</v>
      </c>
      <c r="B2330" s="115">
        <v>312.10000000000002</v>
      </c>
      <c r="C2330" s="115">
        <v>306.05</v>
      </c>
      <c r="D2330" s="115">
        <v>304.45</v>
      </c>
      <c r="E2330" s="115">
        <v>312.10000000000002</v>
      </c>
      <c r="F2330" s="115">
        <v>306.05</v>
      </c>
      <c r="G2330">
        <v>7203</v>
      </c>
      <c r="H2330" s="115"/>
      <c r="I2330" s="115"/>
      <c r="L2330" s="169">
        <v>45436</v>
      </c>
      <c r="M2330" s="115">
        <v>310.5</v>
      </c>
      <c r="N2330" s="115">
        <v>311</v>
      </c>
      <c r="O2330" s="115">
        <v>305.64999999999998</v>
      </c>
      <c r="P2330" s="115">
        <v>307.60000000000002</v>
      </c>
      <c r="Q2330" s="115">
        <v>310.5</v>
      </c>
      <c r="R2330">
        <v>130724</v>
      </c>
    </row>
    <row r="2331" spans="1:18" x14ac:dyDescent="0.25">
      <c r="A2331" s="169">
        <v>45440</v>
      </c>
      <c r="B2331" s="115">
        <v>313.75</v>
      </c>
      <c r="C2331" s="115">
        <v>311.25</v>
      </c>
      <c r="D2331" s="115">
        <v>303</v>
      </c>
      <c r="E2331" s="115">
        <v>305.8</v>
      </c>
      <c r="F2331" s="115">
        <v>311.25</v>
      </c>
      <c r="G2331">
        <v>3463</v>
      </c>
      <c r="H2331" s="115"/>
      <c r="I2331" s="115"/>
      <c r="L2331" s="169">
        <v>45439</v>
      </c>
      <c r="M2331" s="115">
        <v>306.55</v>
      </c>
      <c r="N2331" s="115">
        <v>312.5</v>
      </c>
      <c r="O2331" s="115">
        <v>304.45</v>
      </c>
      <c r="P2331" s="115">
        <v>312.5</v>
      </c>
      <c r="Q2331" s="115">
        <v>306.55</v>
      </c>
      <c r="R2331">
        <v>65902</v>
      </c>
    </row>
    <row r="2332" spans="1:18" x14ac:dyDescent="0.25">
      <c r="A2332" s="169">
        <v>45441</v>
      </c>
      <c r="B2332" s="115">
        <v>320.95</v>
      </c>
      <c r="C2332" s="115">
        <v>316.60000000000002</v>
      </c>
      <c r="D2332" s="115">
        <v>306.75</v>
      </c>
      <c r="E2332" s="115">
        <v>308</v>
      </c>
      <c r="F2332" s="115">
        <v>316.60000000000002</v>
      </c>
      <c r="G2332">
        <v>11387</v>
      </c>
      <c r="H2332" s="115"/>
      <c r="I2332" s="115"/>
      <c r="L2332" s="169">
        <v>45440</v>
      </c>
      <c r="M2332" s="115">
        <v>311.25</v>
      </c>
      <c r="N2332" s="115">
        <v>313.60000000000002</v>
      </c>
      <c r="O2332" s="115">
        <v>302.5</v>
      </c>
      <c r="P2332" s="115">
        <v>307</v>
      </c>
      <c r="Q2332" s="115">
        <v>311.25</v>
      </c>
      <c r="R2332">
        <v>104328</v>
      </c>
    </row>
    <row r="2333" spans="1:18" x14ac:dyDescent="0.25">
      <c r="A2333" s="169">
        <v>45442</v>
      </c>
      <c r="B2333" s="115">
        <v>318.60000000000002</v>
      </c>
      <c r="C2333" s="115">
        <v>313.2</v>
      </c>
      <c r="D2333" s="115">
        <v>312.3</v>
      </c>
      <c r="E2333" s="115">
        <v>318.60000000000002</v>
      </c>
      <c r="F2333" s="115">
        <v>313.2</v>
      </c>
      <c r="G2333">
        <v>8491</v>
      </c>
      <c r="H2333" s="115"/>
      <c r="I2333" s="115"/>
      <c r="L2333" s="169">
        <v>45441</v>
      </c>
      <c r="M2333" s="115">
        <v>316.60000000000002</v>
      </c>
      <c r="N2333" s="115">
        <v>321</v>
      </c>
      <c r="O2333" s="115">
        <v>306.5</v>
      </c>
      <c r="P2333" s="115">
        <v>307.85000000000002</v>
      </c>
      <c r="Q2333" s="115">
        <v>316.60000000000002</v>
      </c>
      <c r="R2333">
        <v>149142</v>
      </c>
    </row>
    <row r="2334" spans="1:18" x14ac:dyDescent="0.25">
      <c r="A2334" s="169">
        <v>45443</v>
      </c>
      <c r="B2334" s="115">
        <v>319.5</v>
      </c>
      <c r="C2334" s="115">
        <v>312.3</v>
      </c>
      <c r="D2334" s="115">
        <v>306.89999999999998</v>
      </c>
      <c r="E2334" s="115">
        <v>319.5</v>
      </c>
      <c r="F2334" s="115">
        <v>312.3</v>
      </c>
      <c r="G2334">
        <v>1701</v>
      </c>
      <c r="H2334" s="115"/>
      <c r="I2334" s="115"/>
      <c r="L2334" s="169">
        <v>45442</v>
      </c>
      <c r="M2334" s="115">
        <v>314.55</v>
      </c>
      <c r="N2334" s="115">
        <v>317.85000000000002</v>
      </c>
      <c r="O2334" s="115">
        <v>313</v>
      </c>
      <c r="P2334" s="115">
        <v>317.85000000000002</v>
      </c>
      <c r="Q2334" s="115">
        <v>314.55</v>
      </c>
      <c r="R2334">
        <v>125306</v>
      </c>
    </row>
    <row r="2335" spans="1:18" x14ac:dyDescent="0.25">
      <c r="A2335" s="169">
        <v>45446</v>
      </c>
      <c r="B2335" s="115">
        <v>311</v>
      </c>
      <c r="C2335" s="115">
        <v>306.45</v>
      </c>
      <c r="D2335" s="115">
        <v>302.55</v>
      </c>
      <c r="E2335" s="115">
        <v>311</v>
      </c>
      <c r="F2335" s="115">
        <v>306.45</v>
      </c>
      <c r="G2335">
        <v>12072</v>
      </c>
      <c r="H2335" s="115"/>
      <c r="I2335" s="115"/>
      <c r="L2335" s="169">
        <v>45443</v>
      </c>
      <c r="M2335" s="115">
        <v>310</v>
      </c>
      <c r="N2335" s="115">
        <v>316.2</v>
      </c>
      <c r="O2335" s="115">
        <v>305</v>
      </c>
      <c r="P2335" s="115">
        <v>315.95</v>
      </c>
      <c r="Q2335" s="115">
        <v>310</v>
      </c>
      <c r="R2335">
        <v>52461</v>
      </c>
    </row>
    <row r="2336" spans="1:18" x14ac:dyDescent="0.25">
      <c r="A2336" s="169">
        <v>45447</v>
      </c>
      <c r="B2336" s="115">
        <v>305</v>
      </c>
      <c r="C2336" s="115">
        <v>287.25</v>
      </c>
      <c r="D2336" s="115">
        <v>262.2</v>
      </c>
      <c r="E2336" s="115">
        <v>302.05</v>
      </c>
      <c r="F2336" s="115">
        <v>287.25</v>
      </c>
      <c r="G2336">
        <v>22591</v>
      </c>
      <c r="H2336" s="115"/>
      <c r="I2336" s="115"/>
      <c r="L2336" s="169">
        <v>45446</v>
      </c>
      <c r="M2336" s="115">
        <v>306.2</v>
      </c>
      <c r="N2336" s="115">
        <v>316</v>
      </c>
      <c r="O2336" s="115">
        <v>303</v>
      </c>
      <c r="P2336" s="115">
        <v>313.05</v>
      </c>
      <c r="Q2336" s="115">
        <v>306.2</v>
      </c>
      <c r="R2336">
        <v>74524</v>
      </c>
    </row>
    <row r="2337" spans="1:18" x14ac:dyDescent="0.25">
      <c r="A2337" s="169">
        <v>45448</v>
      </c>
      <c r="B2337" s="115">
        <v>302.7</v>
      </c>
      <c r="C2337" s="115">
        <v>300</v>
      </c>
      <c r="D2337" s="115">
        <v>275</v>
      </c>
      <c r="E2337" s="115">
        <v>275</v>
      </c>
      <c r="F2337" s="115">
        <v>300</v>
      </c>
      <c r="G2337">
        <v>9706</v>
      </c>
      <c r="H2337" s="115"/>
      <c r="I2337" s="115"/>
      <c r="L2337" s="169">
        <v>45447</v>
      </c>
      <c r="M2337" s="115">
        <v>286.64999999999998</v>
      </c>
      <c r="N2337" s="115">
        <v>307.55</v>
      </c>
      <c r="O2337" s="115">
        <v>261.64999999999998</v>
      </c>
      <c r="P2337" s="115">
        <v>306.2</v>
      </c>
      <c r="Q2337" s="115">
        <v>286.64999999999998</v>
      </c>
      <c r="R2337">
        <v>127504</v>
      </c>
    </row>
    <row r="2338" spans="1:18" x14ac:dyDescent="0.25">
      <c r="A2338" s="169">
        <v>45449</v>
      </c>
      <c r="B2338" s="115">
        <v>316</v>
      </c>
      <c r="C2338" s="115">
        <v>314.85000000000002</v>
      </c>
      <c r="D2338" s="115">
        <v>298.95</v>
      </c>
      <c r="E2338" s="115">
        <v>300</v>
      </c>
      <c r="F2338" s="115">
        <v>314.85000000000002</v>
      </c>
      <c r="G2338">
        <v>5714</v>
      </c>
      <c r="H2338" s="115"/>
      <c r="I2338" s="115"/>
      <c r="L2338" s="169">
        <v>45448</v>
      </c>
      <c r="M2338" s="115">
        <v>300.75</v>
      </c>
      <c r="N2338" s="115">
        <v>302.89999999999998</v>
      </c>
      <c r="O2338" s="115">
        <v>281.8</v>
      </c>
      <c r="P2338" s="115">
        <v>287.25</v>
      </c>
      <c r="Q2338" s="115">
        <v>300.75</v>
      </c>
      <c r="R2338">
        <v>64873</v>
      </c>
    </row>
    <row r="2339" spans="1:18" x14ac:dyDescent="0.25">
      <c r="A2339" s="169">
        <v>45450</v>
      </c>
      <c r="B2339" s="115">
        <v>331</v>
      </c>
      <c r="C2339" s="115">
        <v>326.60000000000002</v>
      </c>
      <c r="D2339" s="115">
        <v>312.3</v>
      </c>
      <c r="E2339" s="115">
        <v>313</v>
      </c>
      <c r="F2339" s="115">
        <v>326.60000000000002</v>
      </c>
      <c r="G2339">
        <v>30581</v>
      </c>
      <c r="H2339" s="115"/>
      <c r="I2339" s="115"/>
      <c r="L2339" s="169">
        <v>45449</v>
      </c>
      <c r="M2339" s="115">
        <v>314.10000000000002</v>
      </c>
      <c r="N2339" s="115">
        <v>317</v>
      </c>
      <c r="O2339" s="115">
        <v>298.2</v>
      </c>
      <c r="P2339" s="115">
        <v>300.8</v>
      </c>
      <c r="Q2339" s="115">
        <v>314.10000000000002</v>
      </c>
      <c r="R2339">
        <v>149555</v>
      </c>
    </row>
    <row r="2340" spans="1:18" x14ac:dyDescent="0.25">
      <c r="A2340" s="169">
        <v>45453</v>
      </c>
      <c r="B2340" s="115">
        <v>332.55</v>
      </c>
      <c r="C2340" s="115">
        <v>319.45</v>
      </c>
      <c r="D2340" s="115">
        <v>316.35000000000002</v>
      </c>
      <c r="E2340" s="115">
        <v>330</v>
      </c>
      <c r="F2340" s="115">
        <v>319.45</v>
      </c>
      <c r="G2340">
        <v>5474</v>
      </c>
      <c r="H2340" s="115"/>
      <c r="I2340" s="115"/>
      <c r="L2340" s="169">
        <v>45450</v>
      </c>
      <c r="M2340" s="115">
        <v>327.10000000000002</v>
      </c>
      <c r="N2340" s="115">
        <v>331.8</v>
      </c>
      <c r="O2340" s="115">
        <v>312.05</v>
      </c>
      <c r="P2340" s="115">
        <v>314.89999999999998</v>
      </c>
      <c r="Q2340" s="115">
        <v>327.10000000000002</v>
      </c>
      <c r="R2340">
        <v>488424</v>
      </c>
    </row>
    <row r="2341" spans="1:18" x14ac:dyDescent="0.25">
      <c r="A2341" s="169">
        <v>45454</v>
      </c>
      <c r="B2341" s="115">
        <v>331</v>
      </c>
      <c r="C2341" s="115">
        <v>329.1</v>
      </c>
      <c r="D2341" s="115">
        <v>312.5</v>
      </c>
      <c r="E2341" s="115">
        <v>312.5</v>
      </c>
      <c r="F2341" s="115">
        <v>329.1</v>
      </c>
      <c r="G2341">
        <v>6596</v>
      </c>
      <c r="H2341" s="115"/>
      <c r="I2341" s="115"/>
      <c r="L2341" s="169">
        <v>45453</v>
      </c>
      <c r="M2341" s="115">
        <v>319.64999999999998</v>
      </c>
      <c r="N2341" s="115">
        <v>330</v>
      </c>
      <c r="O2341" s="115">
        <v>316.39999999999998</v>
      </c>
      <c r="P2341" s="115">
        <v>328.3</v>
      </c>
      <c r="Q2341" s="115">
        <v>319.64999999999998</v>
      </c>
      <c r="R2341">
        <v>123034</v>
      </c>
    </row>
    <row r="2342" spans="1:18" x14ac:dyDescent="0.25">
      <c r="A2342" s="169">
        <v>45455</v>
      </c>
      <c r="B2342" s="115">
        <v>336.5</v>
      </c>
      <c r="C2342" s="115">
        <v>333.2</v>
      </c>
      <c r="D2342" s="115">
        <v>322.2</v>
      </c>
      <c r="E2342" s="115">
        <v>322.2</v>
      </c>
      <c r="F2342" s="115">
        <v>333.2</v>
      </c>
      <c r="G2342">
        <v>20973</v>
      </c>
      <c r="H2342" s="115"/>
      <c r="I2342" s="115"/>
      <c r="L2342" s="169">
        <v>45454</v>
      </c>
      <c r="M2342" s="115">
        <v>328.3</v>
      </c>
      <c r="N2342" s="115">
        <v>330.6</v>
      </c>
      <c r="O2342" s="115">
        <v>318.45</v>
      </c>
      <c r="P2342" s="115">
        <v>319.95</v>
      </c>
      <c r="Q2342" s="115">
        <v>328.3</v>
      </c>
      <c r="R2342">
        <v>123763</v>
      </c>
    </row>
    <row r="2343" spans="1:18" x14ac:dyDescent="0.25">
      <c r="A2343" s="169">
        <v>45456</v>
      </c>
      <c r="B2343" s="115">
        <v>334.6</v>
      </c>
      <c r="C2343" s="115">
        <v>332.25</v>
      </c>
      <c r="D2343" s="115">
        <v>327.60000000000002</v>
      </c>
      <c r="E2343" s="115">
        <v>331.95</v>
      </c>
      <c r="F2343" s="115">
        <v>332.25</v>
      </c>
      <c r="G2343">
        <v>8951</v>
      </c>
      <c r="H2343" s="115"/>
      <c r="I2343" s="115"/>
      <c r="L2343" s="169">
        <v>45455</v>
      </c>
      <c r="M2343" s="115">
        <v>332.8</v>
      </c>
      <c r="N2343" s="115">
        <v>336.45</v>
      </c>
      <c r="O2343" s="115">
        <v>323</v>
      </c>
      <c r="P2343" s="115">
        <v>323</v>
      </c>
      <c r="Q2343" s="115">
        <v>332.8</v>
      </c>
      <c r="R2343">
        <v>184001</v>
      </c>
    </row>
    <row r="2344" spans="1:18" x14ac:dyDescent="0.25">
      <c r="A2344" s="169">
        <v>45457</v>
      </c>
      <c r="B2344" s="115">
        <v>340</v>
      </c>
      <c r="C2344" s="115">
        <v>335.9</v>
      </c>
      <c r="D2344" s="115">
        <v>328</v>
      </c>
      <c r="E2344" s="115">
        <v>328</v>
      </c>
      <c r="F2344" s="115">
        <v>335.9</v>
      </c>
      <c r="G2344">
        <v>23840</v>
      </c>
      <c r="H2344" s="115"/>
      <c r="I2344" s="115"/>
      <c r="L2344" s="169">
        <v>45456</v>
      </c>
      <c r="M2344" s="115">
        <v>332</v>
      </c>
      <c r="N2344" s="115">
        <v>335.1</v>
      </c>
      <c r="O2344" s="115">
        <v>327.10000000000002</v>
      </c>
      <c r="P2344" s="115">
        <v>332.8</v>
      </c>
      <c r="Q2344" s="115">
        <v>332</v>
      </c>
      <c r="R2344">
        <v>77498</v>
      </c>
    </row>
    <row r="2345" spans="1:18" x14ac:dyDescent="0.25">
      <c r="A2345" s="169">
        <v>45461</v>
      </c>
      <c r="B2345" s="115">
        <v>350.6</v>
      </c>
      <c r="C2345" s="115">
        <v>336.65</v>
      </c>
      <c r="D2345" s="115">
        <v>334.5</v>
      </c>
      <c r="E2345" s="115">
        <v>349.95</v>
      </c>
      <c r="F2345" s="115">
        <v>336.65</v>
      </c>
      <c r="G2345">
        <v>8887</v>
      </c>
      <c r="H2345" s="115"/>
      <c r="I2345" s="115"/>
      <c r="L2345" s="169">
        <v>45457</v>
      </c>
      <c r="M2345" s="115">
        <v>336</v>
      </c>
      <c r="N2345" s="115">
        <v>340.2</v>
      </c>
      <c r="O2345" s="115">
        <v>329.55</v>
      </c>
      <c r="P2345" s="115">
        <v>332.7</v>
      </c>
      <c r="Q2345" s="115">
        <v>336</v>
      </c>
      <c r="R2345">
        <v>192125</v>
      </c>
    </row>
    <row r="2346" spans="1:18" x14ac:dyDescent="0.25">
      <c r="A2346" s="169">
        <v>45462</v>
      </c>
      <c r="B2346" s="115">
        <v>337</v>
      </c>
      <c r="C2346" s="115">
        <v>333.35</v>
      </c>
      <c r="D2346" s="115">
        <v>328.55</v>
      </c>
      <c r="E2346" s="115">
        <v>336.1</v>
      </c>
      <c r="F2346" s="115">
        <v>333.35</v>
      </c>
      <c r="G2346">
        <v>9409</v>
      </c>
      <c r="H2346" s="115"/>
      <c r="I2346" s="115"/>
      <c r="L2346" s="169">
        <v>45461</v>
      </c>
      <c r="M2346" s="115">
        <v>336.05</v>
      </c>
      <c r="N2346" s="115">
        <v>351</v>
      </c>
      <c r="O2346" s="115">
        <v>334</v>
      </c>
      <c r="P2346" s="115">
        <v>340.1</v>
      </c>
      <c r="Q2346" s="115">
        <v>336.05</v>
      </c>
      <c r="R2346">
        <v>323900</v>
      </c>
    </row>
    <row r="2347" spans="1:18" x14ac:dyDescent="0.25">
      <c r="A2347" s="169">
        <v>45463</v>
      </c>
      <c r="B2347" s="115">
        <v>347</v>
      </c>
      <c r="C2347" s="115">
        <v>345.05</v>
      </c>
      <c r="D2347" s="115">
        <v>328</v>
      </c>
      <c r="E2347" s="115">
        <v>328</v>
      </c>
      <c r="F2347" s="115">
        <v>345.05</v>
      </c>
      <c r="G2347">
        <v>5841</v>
      </c>
      <c r="H2347" s="115"/>
      <c r="I2347" s="115"/>
      <c r="L2347" s="169">
        <v>45462</v>
      </c>
      <c r="M2347" s="115">
        <v>333.4</v>
      </c>
      <c r="N2347" s="115">
        <v>337.75</v>
      </c>
      <c r="O2347" s="115">
        <v>327.75</v>
      </c>
      <c r="P2347" s="115">
        <v>336.25</v>
      </c>
      <c r="Q2347" s="115">
        <v>333.4</v>
      </c>
      <c r="R2347">
        <v>99926</v>
      </c>
    </row>
    <row r="2348" spans="1:18" x14ac:dyDescent="0.25">
      <c r="A2348" s="169">
        <v>45464</v>
      </c>
      <c r="B2348" s="115">
        <v>381</v>
      </c>
      <c r="C2348" s="115">
        <v>372.85</v>
      </c>
      <c r="D2348" s="115">
        <v>349.6</v>
      </c>
      <c r="E2348" s="115">
        <v>349.6</v>
      </c>
      <c r="F2348" s="115">
        <v>372.85</v>
      </c>
      <c r="G2348">
        <v>80372</v>
      </c>
      <c r="H2348" s="115"/>
      <c r="I2348" s="115"/>
      <c r="L2348" s="169">
        <v>45463</v>
      </c>
      <c r="M2348" s="115">
        <v>345.6</v>
      </c>
      <c r="N2348" s="115">
        <v>347.5</v>
      </c>
      <c r="O2348" s="115">
        <v>332.1</v>
      </c>
      <c r="P2348" s="115">
        <v>333.5</v>
      </c>
      <c r="Q2348" s="115">
        <v>345.6</v>
      </c>
      <c r="R2348">
        <v>202872</v>
      </c>
    </row>
    <row r="2349" spans="1:18" x14ac:dyDescent="0.25">
      <c r="A2349" s="169">
        <v>45467</v>
      </c>
      <c r="B2349" s="115">
        <v>398.9</v>
      </c>
      <c r="C2349" s="115">
        <v>382.95</v>
      </c>
      <c r="D2349" s="115">
        <v>379</v>
      </c>
      <c r="E2349" s="115">
        <v>379</v>
      </c>
      <c r="F2349" s="115">
        <v>382.95</v>
      </c>
      <c r="G2349">
        <v>146498</v>
      </c>
      <c r="H2349" s="115"/>
      <c r="I2349" s="115"/>
      <c r="L2349" s="169">
        <v>45464</v>
      </c>
      <c r="M2349" s="115">
        <v>372.55</v>
      </c>
      <c r="N2349" s="115">
        <v>381</v>
      </c>
      <c r="O2349" s="115">
        <v>347.7</v>
      </c>
      <c r="P2349" s="115">
        <v>349</v>
      </c>
      <c r="Q2349" s="115">
        <v>372.55</v>
      </c>
      <c r="R2349">
        <v>2164602</v>
      </c>
    </row>
    <row r="2350" spans="1:18" x14ac:dyDescent="0.25">
      <c r="A2350" s="169">
        <v>45468</v>
      </c>
      <c r="B2350" s="115">
        <v>390</v>
      </c>
      <c r="C2350" s="115">
        <v>384.15</v>
      </c>
      <c r="D2350" s="115">
        <v>378.35</v>
      </c>
      <c r="E2350" s="115">
        <v>383</v>
      </c>
      <c r="F2350" s="115">
        <v>384.15</v>
      </c>
      <c r="G2350">
        <v>41106</v>
      </c>
      <c r="H2350" s="115"/>
      <c r="I2350" s="115"/>
      <c r="L2350" s="169">
        <v>45467</v>
      </c>
      <c r="M2350" s="115">
        <v>382.8</v>
      </c>
      <c r="N2350" s="115">
        <v>399</v>
      </c>
      <c r="O2350" s="115">
        <v>379.3</v>
      </c>
      <c r="P2350" s="115">
        <v>380.05</v>
      </c>
      <c r="Q2350" s="115">
        <v>382.8</v>
      </c>
      <c r="R2350">
        <v>1978462</v>
      </c>
    </row>
    <row r="2351" spans="1:18" x14ac:dyDescent="0.25">
      <c r="A2351" s="169">
        <v>45469</v>
      </c>
      <c r="B2351" s="115">
        <v>390</v>
      </c>
      <c r="C2351" s="115">
        <v>375.2</v>
      </c>
      <c r="D2351" s="115">
        <v>374.25</v>
      </c>
      <c r="E2351" s="115">
        <v>390</v>
      </c>
      <c r="F2351" s="115">
        <v>375.2</v>
      </c>
      <c r="G2351">
        <v>6462</v>
      </c>
      <c r="H2351" s="115"/>
      <c r="I2351" s="115"/>
      <c r="L2351" s="169">
        <v>45468</v>
      </c>
      <c r="M2351" s="115">
        <v>384.55</v>
      </c>
      <c r="N2351" s="115">
        <v>389.95</v>
      </c>
      <c r="O2351" s="115">
        <v>378.3</v>
      </c>
      <c r="P2351" s="115">
        <v>387.7</v>
      </c>
      <c r="Q2351" s="115">
        <v>384.55</v>
      </c>
      <c r="R2351">
        <v>284372</v>
      </c>
    </row>
    <row r="2352" spans="1:18" x14ac:dyDescent="0.25">
      <c r="A2352" s="169">
        <v>45470</v>
      </c>
      <c r="B2352" s="115">
        <v>392.35</v>
      </c>
      <c r="C2352" s="115">
        <v>373.15</v>
      </c>
      <c r="D2352" s="115">
        <v>367</v>
      </c>
      <c r="E2352" s="115">
        <v>382.75</v>
      </c>
      <c r="F2352" s="115">
        <v>373.15</v>
      </c>
      <c r="G2352">
        <v>26887</v>
      </c>
      <c r="H2352" s="115"/>
      <c r="I2352" s="115"/>
      <c r="L2352" s="169">
        <v>45469</v>
      </c>
      <c r="M2352" s="115">
        <v>375.4</v>
      </c>
      <c r="N2352" s="115">
        <v>386.8</v>
      </c>
      <c r="O2352" s="115">
        <v>374.2</v>
      </c>
      <c r="P2352" s="115">
        <v>384.5</v>
      </c>
      <c r="Q2352" s="115">
        <v>375.4</v>
      </c>
      <c r="R2352">
        <v>168045</v>
      </c>
    </row>
    <row r="2353" spans="1:18" x14ac:dyDescent="0.25">
      <c r="A2353" s="169">
        <v>45471</v>
      </c>
      <c r="B2353" s="115">
        <v>380.65</v>
      </c>
      <c r="C2353" s="115">
        <v>360.65</v>
      </c>
      <c r="D2353" s="115">
        <v>359.4</v>
      </c>
      <c r="E2353" s="115">
        <v>374.55</v>
      </c>
      <c r="F2353" s="115">
        <v>360.65</v>
      </c>
      <c r="G2353">
        <v>26001</v>
      </c>
      <c r="H2353" s="115"/>
      <c r="I2353" s="115"/>
      <c r="L2353" s="169">
        <v>45470</v>
      </c>
      <c r="M2353" s="115">
        <v>372.95</v>
      </c>
      <c r="N2353" s="115">
        <v>393</v>
      </c>
      <c r="O2353" s="115">
        <v>366.6</v>
      </c>
      <c r="P2353" s="115">
        <v>377.75</v>
      </c>
      <c r="Q2353" s="115">
        <v>372.95</v>
      </c>
      <c r="R2353">
        <v>632307</v>
      </c>
    </row>
    <row r="2354" spans="1:18" x14ac:dyDescent="0.25">
      <c r="A2354" s="169">
        <v>45474</v>
      </c>
      <c r="B2354" s="115">
        <v>369.4</v>
      </c>
      <c r="C2354" s="115">
        <v>361.05</v>
      </c>
      <c r="D2354" s="115">
        <v>358.2</v>
      </c>
      <c r="E2354" s="115">
        <v>361.05</v>
      </c>
      <c r="F2354" s="115">
        <v>361.05</v>
      </c>
      <c r="G2354">
        <v>22157</v>
      </c>
      <c r="H2354" s="115"/>
      <c r="I2354" s="115"/>
      <c r="L2354" s="169">
        <v>45471</v>
      </c>
      <c r="M2354" s="115">
        <v>360.45</v>
      </c>
      <c r="N2354" s="115">
        <v>379.05</v>
      </c>
      <c r="O2354" s="115">
        <v>359</v>
      </c>
      <c r="P2354" s="115">
        <v>376.4</v>
      </c>
      <c r="Q2354" s="115">
        <v>360.45</v>
      </c>
      <c r="R2354">
        <v>256299</v>
      </c>
    </row>
    <row r="2355" spans="1:18" x14ac:dyDescent="0.25">
      <c r="A2355" s="169">
        <v>45475</v>
      </c>
      <c r="B2355" s="115">
        <v>389.85</v>
      </c>
      <c r="C2355" s="115">
        <v>376.4</v>
      </c>
      <c r="D2355" s="115">
        <v>358.05</v>
      </c>
      <c r="E2355" s="115">
        <v>362.3</v>
      </c>
      <c r="F2355" s="115">
        <v>376.4</v>
      </c>
      <c r="G2355">
        <v>24473</v>
      </c>
      <c r="H2355" s="115"/>
      <c r="I2355" s="115"/>
      <c r="L2355" s="169">
        <v>45474</v>
      </c>
      <c r="M2355" s="115">
        <v>361.35</v>
      </c>
      <c r="N2355" s="115">
        <v>370.95</v>
      </c>
      <c r="O2355" s="115">
        <v>358.55</v>
      </c>
      <c r="P2355" s="115">
        <v>365.4</v>
      </c>
      <c r="Q2355" s="115">
        <v>361.35</v>
      </c>
      <c r="R2355">
        <v>223134</v>
      </c>
    </row>
    <row r="2356" spans="1:18" x14ac:dyDescent="0.25">
      <c r="A2356" s="169">
        <v>45476</v>
      </c>
      <c r="B2356" s="115">
        <v>388.05</v>
      </c>
      <c r="C2356" s="115">
        <v>381.45</v>
      </c>
      <c r="D2356" s="115">
        <v>376.4</v>
      </c>
      <c r="E2356" s="115">
        <v>376.4</v>
      </c>
      <c r="F2356" s="115">
        <v>381.45</v>
      </c>
      <c r="G2356">
        <v>38526</v>
      </c>
      <c r="H2356" s="115"/>
      <c r="I2356" s="115"/>
      <c r="L2356" s="169">
        <v>45475</v>
      </c>
      <c r="M2356" s="115">
        <v>375.85</v>
      </c>
      <c r="N2356" s="115">
        <v>390</v>
      </c>
      <c r="O2356" s="115">
        <v>358.15</v>
      </c>
      <c r="P2356" s="115">
        <v>361.25</v>
      </c>
      <c r="Q2356" s="115">
        <v>375.85</v>
      </c>
      <c r="R2356">
        <v>553025</v>
      </c>
    </row>
    <row r="2357" spans="1:18" x14ac:dyDescent="0.25">
      <c r="A2357" s="169">
        <v>45477</v>
      </c>
      <c r="B2357" s="115">
        <v>398.95</v>
      </c>
      <c r="C2357" s="115">
        <v>392.6</v>
      </c>
      <c r="D2357" s="115">
        <v>382</v>
      </c>
      <c r="E2357" s="115">
        <v>383</v>
      </c>
      <c r="F2357" s="115">
        <v>392.6</v>
      </c>
      <c r="G2357">
        <v>29969</v>
      </c>
      <c r="H2357" s="115"/>
      <c r="I2357" s="115"/>
      <c r="L2357" s="169">
        <v>45476</v>
      </c>
      <c r="M2357" s="115">
        <v>381.6</v>
      </c>
      <c r="N2357" s="115">
        <v>388.85</v>
      </c>
      <c r="O2357" s="115">
        <v>378.15</v>
      </c>
      <c r="P2357" s="115">
        <v>380.05</v>
      </c>
      <c r="Q2357" s="115">
        <v>381.6</v>
      </c>
      <c r="R2357">
        <v>351020</v>
      </c>
    </row>
    <row r="2358" spans="1:18" x14ac:dyDescent="0.25">
      <c r="A2358" s="169">
        <v>45478</v>
      </c>
      <c r="B2358" s="115">
        <v>397.45</v>
      </c>
      <c r="C2358" s="115">
        <v>389.95</v>
      </c>
      <c r="D2358" s="115">
        <v>382.2</v>
      </c>
      <c r="E2358" s="115">
        <v>397.45</v>
      </c>
      <c r="F2358" s="115">
        <v>389.95</v>
      </c>
      <c r="G2358">
        <v>13103</v>
      </c>
      <c r="H2358" s="115"/>
      <c r="I2358" s="115"/>
      <c r="L2358" s="169">
        <v>45477</v>
      </c>
      <c r="M2358" s="115">
        <v>393.05</v>
      </c>
      <c r="N2358" s="115">
        <v>399</v>
      </c>
      <c r="O2358" s="115">
        <v>381.6</v>
      </c>
      <c r="P2358" s="115">
        <v>381.6</v>
      </c>
      <c r="Q2358" s="115">
        <v>393.05</v>
      </c>
      <c r="R2358">
        <v>680039</v>
      </c>
    </row>
    <row r="2359" spans="1:18" x14ac:dyDescent="0.25">
      <c r="A2359" s="169">
        <v>45481</v>
      </c>
      <c r="B2359" s="115">
        <v>394.4</v>
      </c>
      <c r="C2359" s="115">
        <v>389.1</v>
      </c>
      <c r="D2359" s="115">
        <v>377</v>
      </c>
      <c r="E2359" s="115">
        <v>388.75</v>
      </c>
      <c r="F2359" s="115">
        <v>389.1</v>
      </c>
      <c r="G2359">
        <v>45949</v>
      </c>
      <c r="H2359" s="115"/>
      <c r="I2359" s="115"/>
      <c r="L2359" s="169">
        <v>45478</v>
      </c>
      <c r="M2359" s="115">
        <v>389.65</v>
      </c>
      <c r="N2359" s="115">
        <v>397</v>
      </c>
      <c r="O2359" s="115">
        <v>382.55</v>
      </c>
      <c r="P2359" s="115">
        <v>397</v>
      </c>
      <c r="Q2359" s="115">
        <v>389.65</v>
      </c>
      <c r="R2359">
        <v>260792</v>
      </c>
    </row>
    <row r="2360" spans="1:18" x14ac:dyDescent="0.25">
      <c r="A2360" s="169">
        <v>45482</v>
      </c>
      <c r="B2360" s="115">
        <v>406.85</v>
      </c>
      <c r="C2360" s="115">
        <v>388.4</v>
      </c>
      <c r="D2360" s="115">
        <v>383</v>
      </c>
      <c r="E2360" s="115">
        <v>392</v>
      </c>
      <c r="F2360" s="115">
        <v>388.4</v>
      </c>
      <c r="G2360">
        <v>30686</v>
      </c>
      <c r="H2360" s="115"/>
      <c r="I2360" s="115"/>
      <c r="L2360" s="169">
        <v>45481</v>
      </c>
      <c r="M2360" s="115">
        <v>389.7</v>
      </c>
      <c r="N2360" s="115">
        <v>394.9</v>
      </c>
      <c r="O2360" s="115">
        <v>376.85</v>
      </c>
      <c r="P2360" s="115">
        <v>391.35</v>
      </c>
      <c r="Q2360" s="115">
        <v>389.7</v>
      </c>
      <c r="R2360">
        <v>306874</v>
      </c>
    </row>
    <row r="2361" spans="1:18" x14ac:dyDescent="0.25">
      <c r="A2361" s="169">
        <v>45483</v>
      </c>
      <c r="B2361" s="115">
        <v>392.95</v>
      </c>
      <c r="C2361" s="115">
        <v>386.8</v>
      </c>
      <c r="D2361" s="115">
        <v>373.95</v>
      </c>
      <c r="E2361" s="115">
        <v>388.85</v>
      </c>
      <c r="F2361" s="115">
        <v>386.8</v>
      </c>
      <c r="G2361">
        <v>33189</v>
      </c>
      <c r="H2361" s="115"/>
      <c r="I2361" s="115"/>
      <c r="L2361" s="169">
        <v>45482</v>
      </c>
      <c r="M2361" s="115">
        <v>387.85</v>
      </c>
      <c r="N2361" s="115">
        <v>407.2</v>
      </c>
      <c r="O2361" s="115">
        <v>382.55</v>
      </c>
      <c r="P2361" s="115">
        <v>390</v>
      </c>
      <c r="Q2361" s="115">
        <v>387.85</v>
      </c>
      <c r="R2361">
        <v>622637</v>
      </c>
    </row>
    <row r="2362" spans="1:18" x14ac:dyDescent="0.25">
      <c r="A2362" s="169">
        <v>45484</v>
      </c>
      <c r="B2362" s="115">
        <v>398.5</v>
      </c>
      <c r="C2362" s="115">
        <v>387.55</v>
      </c>
      <c r="D2362" s="115">
        <v>381</v>
      </c>
      <c r="E2362" s="115">
        <v>381</v>
      </c>
      <c r="F2362" s="115">
        <v>387.55</v>
      </c>
      <c r="G2362">
        <v>40903</v>
      </c>
      <c r="H2362" s="115"/>
      <c r="I2362" s="115"/>
      <c r="L2362" s="169">
        <v>45483</v>
      </c>
      <c r="M2362" s="115">
        <v>386.2</v>
      </c>
      <c r="N2362" s="115">
        <v>393.25</v>
      </c>
      <c r="O2362" s="115">
        <v>373.3</v>
      </c>
      <c r="P2362" s="115">
        <v>389.55</v>
      </c>
      <c r="Q2362" s="115">
        <v>386.2</v>
      </c>
      <c r="R2362">
        <v>186231</v>
      </c>
    </row>
    <row r="2363" spans="1:18" x14ac:dyDescent="0.25">
      <c r="A2363" s="169">
        <v>45485</v>
      </c>
      <c r="B2363" s="115">
        <v>403.05</v>
      </c>
      <c r="C2363" s="115">
        <v>396.3</v>
      </c>
      <c r="D2363" s="115">
        <v>385.2</v>
      </c>
      <c r="E2363" s="115">
        <v>387.3</v>
      </c>
      <c r="F2363" s="115">
        <v>396.3</v>
      </c>
      <c r="G2363">
        <v>64984</v>
      </c>
      <c r="H2363" s="115"/>
      <c r="I2363" s="115"/>
      <c r="L2363" s="169">
        <v>45484</v>
      </c>
      <c r="M2363" s="115">
        <v>387.4</v>
      </c>
      <c r="N2363" s="115">
        <v>398.7</v>
      </c>
      <c r="O2363" s="115">
        <v>385.1</v>
      </c>
      <c r="P2363" s="115">
        <v>388.9</v>
      </c>
      <c r="Q2363" s="115">
        <v>387.4</v>
      </c>
      <c r="R2363">
        <v>274162</v>
      </c>
    </row>
    <row r="2364" spans="1:18" x14ac:dyDescent="0.25">
      <c r="A2364" s="169">
        <v>45488</v>
      </c>
      <c r="B2364" s="115">
        <v>403.85</v>
      </c>
      <c r="C2364" s="115">
        <v>382.35</v>
      </c>
      <c r="D2364" s="115">
        <v>372.95</v>
      </c>
      <c r="E2364" s="115">
        <v>403.85</v>
      </c>
      <c r="F2364" s="115">
        <v>382.35</v>
      </c>
      <c r="G2364">
        <v>23012</v>
      </c>
      <c r="H2364" s="115"/>
      <c r="I2364" s="115"/>
      <c r="L2364" s="169">
        <v>45485</v>
      </c>
      <c r="M2364" s="115">
        <v>397.55</v>
      </c>
      <c r="N2364" s="115">
        <v>404</v>
      </c>
      <c r="O2364" s="115">
        <v>385.3</v>
      </c>
      <c r="P2364" s="115">
        <v>385.9</v>
      </c>
      <c r="Q2364" s="115">
        <v>397.55</v>
      </c>
      <c r="R2364">
        <v>494241</v>
      </c>
    </row>
    <row r="2365" spans="1:18" x14ac:dyDescent="0.25">
      <c r="A2365" s="169">
        <v>45489</v>
      </c>
      <c r="B2365" s="115">
        <v>388.6</v>
      </c>
      <c r="C2365" s="115">
        <v>382.95</v>
      </c>
      <c r="D2365" s="115">
        <v>375</v>
      </c>
      <c r="E2365" s="115">
        <v>375</v>
      </c>
      <c r="F2365" s="115">
        <v>382.95</v>
      </c>
      <c r="G2365">
        <v>18675</v>
      </c>
      <c r="H2365" s="115"/>
      <c r="I2365" s="115"/>
      <c r="L2365" s="169">
        <v>45488</v>
      </c>
      <c r="M2365" s="115">
        <v>381.7</v>
      </c>
      <c r="N2365" s="115">
        <v>400.5</v>
      </c>
      <c r="O2365" s="115">
        <v>372.15</v>
      </c>
      <c r="P2365" s="115">
        <v>400</v>
      </c>
      <c r="Q2365" s="115">
        <v>381.7</v>
      </c>
      <c r="R2365">
        <v>440979</v>
      </c>
    </row>
    <row r="2366" spans="1:18" x14ac:dyDescent="0.25">
      <c r="A2366" s="169">
        <v>45491</v>
      </c>
      <c r="B2366" s="115">
        <v>392.85</v>
      </c>
      <c r="C2366" s="115">
        <v>382.3</v>
      </c>
      <c r="D2366" s="115">
        <v>379.65</v>
      </c>
      <c r="E2366" s="115">
        <v>382.95</v>
      </c>
      <c r="F2366" s="115">
        <v>382.3</v>
      </c>
      <c r="G2366">
        <v>30818</v>
      </c>
      <c r="H2366" s="115"/>
      <c r="I2366" s="115"/>
      <c r="L2366" s="169">
        <v>45489</v>
      </c>
      <c r="M2366" s="115">
        <v>382.95</v>
      </c>
      <c r="N2366" s="115">
        <v>388.65</v>
      </c>
      <c r="O2366" s="115">
        <v>378.1</v>
      </c>
      <c r="P2366" s="115">
        <v>381.7</v>
      </c>
      <c r="Q2366" s="115">
        <v>382.95</v>
      </c>
      <c r="R2366">
        <v>221389</v>
      </c>
    </row>
    <row r="2367" spans="1:18" x14ac:dyDescent="0.25">
      <c r="A2367" s="169">
        <v>45492</v>
      </c>
      <c r="B2367" s="115">
        <v>382</v>
      </c>
      <c r="C2367" s="115">
        <v>372.3</v>
      </c>
      <c r="D2367" s="115">
        <v>370.45</v>
      </c>
      <c r="E2367" s="115">
        <v>382</v>
      </c>
      <c r="F2367" s="115">
        <v>372.3</v>
      </c>
      <c r="G2367">
        <v>10106</v>
      </c>
      <c r="H2367" s="115"/>
      <c r="I2367" s="115"/>
      <c r="L2367" s="169">
        <v>45491</v>
      </c>
      <c r="M2367" s="115">
        <v>382.6</v>
      </c>
      <c r="N2367" s="115">
        <v>392.9</v>
      </c>
      <c r="O2367" s="115">
        <v>379</v>
      </c>
      <c r="P2367" s="115">
        <v>386.6</v>
      </c>
      <c r="Q2367" s="115">
        <v>382.6</v>
      </c>
      <c r="R2367">
        <v>228695</v>
      </c>
    </row>
    <row r="2368" spans="1:18" x14ac:dyDescent="0.25">
      <c r="A2368" s="169">
        <v>45495</v>
      </c>
      <c r="B2368" s="115">
        <v>382.35</v>
      </c>
      <c r="C2368" s="115">
        <v>376.3</v>
      </c>
      <c r="D2368" s="115">
        <v>361.7</v>
      </c>
      <c r="E2368" s="115">
        <v>368.05</v>
      </c>
      <c r="F2368" s="115">
        <v>376.3</v>
      </c>
      <c r="G2368">
        <v>18206</v>
      </c>
      <c r="H2368" s="115"/>
      <c r="I2368" s="115"/>
      <c r="L2368" s="169">
        <v>45492</v>
      </c>
      <c r="M2368" s="115">
        <v>372.25</v>
      </c>
      <c r="N2368" s="115">
        <v>382.75</v>
      </c>
      <c r="O2368" s="115">
        <v>370</v>
      </c>
      <c r="P2368" s="115">
        <v>382.75</v>
      </c>
      <c r="Q2368" s="115">
        <v>372.25</v>
      </c>
      <c r="R2368">
        <v>111983</v>
      </c>
    </row>
    <row r="2369" spans="1:18" x14ac:dyDescent="0.25">
      <c r="A2369" s="169">
        <v>45496</v>
      </c>
      <c r="B2369" s="115">
        <v>398.85</v>
      </c>
      <c r="C2369" s="115">
        <v>386.75</v>
      </c>
      <c r="D2369" s="115">
        <v>366.2</v>
      </c>
      <c r="E2369" s="115">
        <v>375</v>
      </c>
      <c r="F2369" s="115">
        <v>386.75</v>
      </c>
      <c r="G2369">
        <v>14921</v>
      </c>
      <c r="H2369" s="115"/>
      <c r="I2369" s="115"/>
      <c r="L2369" s="169">
        <v>45495</v>
      </c>
      <c r="M2369" s="115">
        <v>376.35</v>
      </c>
      <c r="N2369" s="115">
        <v>382.45</v>
      </c>
      <c r="O2369" s="115">
        <v>362.2</v>
      </c>
      <c r="P2369" s="115">
        <v>369</v>
      </c>
      <c r="Q2369" s="115">
        <v>376.35</v>
      </c>
      <c r="R2369">
        <v>149557</v>
      </c>
    </row>
    <row r="2370" spans="1:18" x14ac:dyDescent="0.25">
      <c r="A2370" s="169">
        <v>45497</v>
      </c>
      <c r="B2370" s="115">
        <v>382.4</v>
      </c>
      <c r="C2370" s="115">
        <v>372</v>
      </c>
      <c r="D2370" s="115">
        <v>369</v>
      </c>
      <c r="E2370" s="115">
        <v>379</v>
      </c>
      <c r="F2370" s="115">
        <v>372</v>
      </c>
      <c r="G2370">
        <v>41323</v>
      </c>
      <c r="H2370" s="115"/>
      <c r="I2370" s="115"/>
      <c r="L2370" s="169">
        <v>45496</v>
      </c>
      <c r="M2370" s="115">
        <v>386.35</v>
      </c>
      <c r="N2370" s="115">
        <v>401</v>
      </c>
      <c r="O2370" s="115">
        <v>366.15</v>
      </c>
      <c r="P2370" s="115">
        <v>376</v>
      </c>
      <c r="Q2370" s="115">
        <v>386.35</v>
      </c>
      <c r="R2370">
        <v>464618</v>
      </c>
    </row>
    <row r="2371" spans="1:18" x14ac:dyDescent="0.25">
      <c r="A2371" s="169">
        <v>45498</v>
      </c>
      <c r="B2371" s="115">
        <v>382</v>
      </c>
      <c r="C2371" s="115">
        <v>378.6</v>
      </c>
      <c r="D2371" s="115">
        <v>369.5</v>
      </c>
      <c r="E2371" s="115">
        <v>370.9</v>
      </c>
      <c r="F2371" s="115">
        <v>378.6</v>
      </c>
      <c r="G2371">
        <v>15027</v>
      </c>
      <c r="H2371" s="115"/>
      <c r="I2371" s="115"/>
      <c r="L2371" s="169">
        <v>45497</v>
      </c>
      <c r="M2371" s="115">
        <v>371.8</v>
      </c>
      <c r="N2371" s="115">
        <v>385.2</v>
      </c>
      <c r="O2371" s="115">
        <v>367.8</v>
      </c>
      <c r="P2371" s="115">
        <v>375</v>
      </c>
      <c r="Q2371" s="115">
        <v>371.8</v>
      </c>
      <c r="R2371">
        <v>341048</v>
      </c>
    </row>
    <row r="2372" spans="1:18" x14ac:dyDescent="0.25">
      <c r="A2372" s="169">
        <v>45499</v>
      </c>
      <c r="B2372" s="115">
        <v>382.5</v>
      </c>
      <c r="C2372" s="115">
        <v>375.7</v>
      </c>
      <c r="D2372" s="115">
        <v>373.45</v>
      </c>
      <c r="E2372" s="115">
        <v>380.4</v>
      </c>
      <c r="F2372" s="115">
        <v>375.7</v>
      </c>
      <c r="G2372">
        <v>12642</v>
      </c>
      <c r="H2372" s="115"/>
      <c r="I2372" s="115"/>
      <c r="L2372" s="169">
        <v>45498</v>
      </c>
      <c r="M2372" s="115">
        <v>378.4</v>
      </c>
      <c r="N2372" s="115">
        <v>381.9</v>
      </c>
      <c r="O2372" s="115">
        <v>369.65</v>
      </c>
      <c r="P2372" s="115">
        <v>371.8</v>
      </c>
      <c r="Q2372" s="115">
        <v>378.4</v>
      </c>
      <c r="R2372">
        <v>142214</v>
      </c>
    </row>
    <row r="2373" spans="1:18" x14ac:dyDescent="0.25">
      <c r="A2373" s="169">
        <v>45502</v>
      </c>
      <c r="B2373" s="115">
        <v>400</v>
      </c>
      <c r="C2373" s="115">
        <v>376.1</v>
      </c>
      <c r="D2373" s="115">
        <v>374.05</v>
      </c>
      <c r="E2373" s="115">
        <v>393.7</v>
      </c>
      <c r="F2373" s="115">
        <v>376.1</v>
      </c>
      <c r="G2373">
        <v>21257</v>
      </c>
      <c r="H2373" s="115"/>
      <c r="I2373" s="115"/>
      <c r="L2373" s="169">
        <v>45499</v>
      </c>
      <c r="M2373" s="115">
        <v>376.2</v>
      </c>
      <c r="N2373" s="115">
        <v>382.95</v>
      </c>
      <c r="O2373" s="115">
        <v>374</v>
      </c>
      <c r="P2373" s="115">
        <v>378.4</v>
      </c>
      <c r="Q2373" s="115">
        <v>376.2</v>
      </c>
      <c r="R2373">
        <v>194357</v>
      </c>
    </row>
    <row r="2374" spans="1:18" x14ac:dyDescent="0.25">
      <c r="A2374" s="169">
        <v>45503</v>
      </c>
      <c r="B2374" s="115">
        <v>388.25</v>
      </c>
      <c r="C2374" s="115">
        <v>385.3</v>
      </c>
      <c r="D2374" s="115">
        <v>377.8</v>
      </c>
      <c r="E2374" s="115">
        <v>383</v>
      </c>
      <c r="F2374" s="115">
        <v>385.3</v>
      </c>
      <c r="G2374">
        <v>7863</v>
      </c>
      <c r="H2374" s="115"/>
      <c r="I2374" s="115"/>
      <c r="L2374" s="169">
        <v>45502</v>
      </c>
      <c r="M2374" s="115">
        <v>376.15</v>
      </c>
      <c r="N2374" s="115">
        <v>400.95</v>
      </c>
      <c r="O2374" s="115">
        <v>373.65</v>
      </c>
      <c r="P2374" s="115">
        <v>385</v>
      </c>
      <c r="Q2374" s="115">
        <v>376.15</v>
      </c>
      <c r="R2374">
        <v>830104</v>
      </c>
    </row>
    <row r="2375" spans="1:18" x14ac:dyDescent="0.25">
      <c r="A2375" s="169">
        <v>45504</v>
      </c>
      <c r="B2375" s="115">
        <v>387.95</v>
      </c>
      <c r="C2375" s="115">
        <v>383.7</v>
      </c>
      <c r="D2375" s="115">
        <v>380</v>
      </c>
      <c r="E2375" s="115">
        <v>380</v>
      </c>
      <c r="F2375" s="115">
        <v>383.7</v>
      </c>
      <c r="G2375">
        <v>23094</v>
      </c>
      <c r="H2375" s="115"/>
      <c r="I2375" s="115"/>
      <c r="L2375" s="169">
        <v>45503</v>
      </c>
      <c r="M2375" s="115">
        <v>385.05</v>
      </c>
      <c r="N2375" s="115">
        <v>388.5</v>
      </c>
      <c r="O2375" s="115">
        <v>376.35</v>
      </c>
      <c r="P2375" s="115">
        <v>376.6</v>
      </c>
      <c r="Q2375" s="115">
        <v>385.05</v>
      </c>
      <c r="R2375">
        <v>390044</v>
      </c>
    </row>
    <row r="2376" spans="1:18" x14ac:dyDescent="0.25">
      <c r="A2376" s="169">
        <v>45505</v>
      </c>
      <c r="B2376" s="115">
        <v>417.4</v>
      </c>
      <c r="C2376" s="115">
        <v>411.05</v>
      </c>
      <c r="D2376" s="115">
        <v>374.75</v>
      </c>
      <c r="E2376" s="115">
        <v>390.6</v>
      </c>
      <c r="F2376" s="115">
        <v>411.05</v>
      </c>
      <c r="G2376">
        <v>85142</v>
      </c>
      <c r="H2376" s="115"/>
      <c r="I2376" s="115"/>
      <c r="L2376" s="169">
        <v>45504</v>
      </c>
      <c r="M2376" s="115">
        <v>384.05</v>
      </c>
      <c r="N2376" s="115">
        <v>388.5</v>
      </c>
      <c r="O2376" s="115">
        <v>381.3</v>
      </c>
      <c r="P2376" s="115">
        <v>386.2</v>
      </c>
      <c r="Q2376" s="115">
        <v>384.05</v>
      </c>
      <c r="R2376">
        <v>174282</v>
      </c>
    </row>
    <row r="2377" spans="1:18" x14ac:dyDescent="0.25">
      <c r="A2377" s="169">
        <v>45506</v>
      </c>
      <c r="B2377" s="115">
        <v>408.6</v>
      </c>
      <c r="C2377" s="115">
        <v>401.75</v>
      </c>
      <c r="D2377" s="115">
        <v>397.4</v>
      </c>
      <c r="E2377" s="115">
        <v>400.5</v>
      </c>
      <c r="F2377" s="115">
        <v>401.75</v>
      </c>
      <c r="G2377">
        <v>63269</v>
      </c>
      <c r="H2377" s="115"/>
      <c r="I2377" s="115"/>
      <c r="L2377" s="169">
        <v>45505</v>
      </c>
      <c r="M2377" s="115">
        <v>410.45</v>
      </c>
      <c r="N2377" s="115">
        <v>418</v>
      </c>
      <c r="O2377" s="115">
        <v>374.2</v>
      </c>
      <c r="P2377" s="115">
        <v>385.6</v>
      </c>
      <c r="Q2377" s="115">
        <v>410.45</v>
      </c>
      <c r="R2377">
        <v>2204992</v>
      </c>
    </row>
    <row r="2378" spans="1:18" x14ac:dyDescent="0.25">
      <c r="A2378" s="169">
        <v>45509</v>
      </c>
      <c r="B2378" s="115">
        <v>443.1</v>
      </c>
      <c r="C2378" s="115">
        <v>425.3</v>
      </c>
      <c r="D2378" s="115">
        <v>382.05</v>
      </c>
      <c r="E2378" s="115">
        <v>382.05</v>
      </c>
      <c r="F2378" s="115">
        <v>425.3</v>
      </c>
      <c r="G2378">
        <v>178594</v>
      </c>
      <c r="H2378" s="115"/>
      <c r="I2378" s="115"/>
      <c r="L2378" s="169">
        <v>45506</v>
      </c>
      <c r="M2378" s="115">
        <v>400.85</v>
      </c>
      <c r="N2378" s="115">
        <v>409.85</v>
      </c>
      <c r="O2378" s="115">
        <v>397.3</v>
      </c>
      <c r="P2378" s="115">
        <v>401.2</v>
      </c>
      <c r="Q2378" s="115">
        <v>400.85</v>
      </c>
      <c r="R2378">
        <v>573876</v>
      </c>
    </row>
    <row r="2379" spans="1:18" x14ac:dyDescent="0.25">
      <c r="A2379" s="169">
        <v>45510</v>
      </c>
      <c r="B2379" s="115">
        <v>440.25</v>
      </c>
      <c r="C2379" s="115">
        <v>409.5</v>
      </c>
      <c r="D2379" s="115">
        <v>405</v>
      </c>
      <c r="E2379" s="115">
        <v>439.5</v>
      </c>
      <c r="F2379" s="115">
        <v>409.5</v>
      </c>
      <c r="G2379">
        <v>45466</v>
      </c>
      <c r="H2379" s="115"/>
      <c r="I2379" s="115"/>
      <c r="L2379" s="169">
        <v>45509</v>
      </c>
      <c r="M2379" s="115">
        <v>425.65</v>
      </c>
      <c r="N2379" s="115">
        <v>444</v>
      </c>
      <c r="O2379" s="115">
        <v>382.8</v>
      </c>
      <c r="P2379" s="115">
        <v>394</v>
      </c>
      <c r="Q2379" s="115">
        <v>425.65</v>
      </c>
      <c r="R2379">
        <v>2803778</v>
      </c>
    </row>
    <row r="2380" spans="1:18" x14ac:dyDescent="0.25">
      <c r="A2380" s="169">
        <v>45511</v>
      </c>
      <c r="B2380" s="115">
        <v>426.5</v>
      </c>
      <c r="C2380" s="115">
        <v>407.15</v>
      </c>
      <c r="D2380" s="115">
        <v>404</v>
      </c>
      <c r="E2380" s="115">
        <v>420.05</v>
      </c>
      <c r="F2380" s="115">
        <v>407.15</v>
      </c>
      <c r="G2380">
        <v>18341</v>
      </c>
      <c r="H2380" s="115"/>
      <c r="I2380" s="115"/>
      <c r="L2380" s="169">
        <v>45510</v>
      </c>
      <c r="M2380" s="115">
        <v>410.95</v>
      </c>
      <c r="N2380" s="115">
        <v>440</v>
      </c>
      <c r="O2380" s="115">
        <v>403.35</v>
      </c>
      <c r="P2380" s="115">
        <v>434</v>
      </c>
      <c r="Q2380" s="115">
        <v>410.95</v>
      </c>
      <c r="R2380">
        <v>777150</v>
      </c>
    </row>
    <row r="2381" spans="1:18" x14ac:dyDescent="0.25">
      <c r="A2381" s="169">
        <v>45512</v>
      </c>
      <c r="B2381" s="115">
        <v>429</v>
      </c>
      <c r="C2381" s="115">
        <v>413.75</v>
      </c>
      <c r="D2381" s="115">
        <v>406.35</v>
      </c>
      <c r="E2381" s="115">
        <v>408</v>
      </c>
      <c r="F2381" s="115">
        <v>413.75</v>
      </c>
      <c r="G2381">
        <v>62389</v>
      </c>
      <c r="H2381" s="115"/>
      <c r="I2381" s="115"/>
      <c r="L2381" s="169">
        <v>45511</v>
      </c>
      <c r="M2381" s="115">
        <v>407.15</v>
      </c>
      <c r="N2381" s="115">
        <v>425.75</v>
      </c>
      <c r="O2381" s="115">
        <v>404.3</v>
      </c>
      <c r="P2381" s="115">
        <v>416</v>
      </c>
      <c r="Q2381" s="115">
        <v>407.15</v>
      </c>
      <c r="R2381">
        <v>531404</v>
      </c>
    </row>
    <row r="2382" spans="1:18" x14ac:dyDescent="0.25">
      <c r="A2382" s="169">
        <v>45513</v>
      </c>
      <c r="B2382" s="115">
        <v>440</v>
      </c>
      <c r="C2382" s="115">
        <v>432.95</v>
      </c>
      <c r="D2382" s="115">
        <v>413.55</v>
      </c>
      <c r="E2382" s="115">
        <v>422</v>
      </c>
      <c r="F2382" s="115">
        <v>432.95</v>
      </c>
      <c r="G2382">
        <v>43277</v>
      </c>
      <c r="H2382" s="115"/>
      <c r="I2382" s="115"/>
      <c r="L2382" s="169">
        <v>45512</v>
      </c>
      <c r="M2382" s="115">
        <v>414</v>
      </c>
      <c r="N2382" s="115">
        <v>429.6</v>
      </c>
      <c r="O2382" s="115">
        <v>404.55</v>
      </c>
      <c r="P2382" s="115">
        <v>406.7</v>
      </c>
      <c r="Q2382" s="115">
        <v>414</v>
      </c>
      <c r="R2382">
        <v>1154338</v>
      </c>
    </row>
    <row r="2383" spans="1:18" x14ac:dyDescent="0.25">
      <c r="A2383" s="169">
        <v>45516</v>
      </c>
      <c r="B2383" s="115">
        <v>451.5</v>
      </c>
      <c r="C2383" s="115">
        <v>432.2</v>
      </c>
      <c r="D2383" s="115">
        <v>422.65</v>
      </c>
      <c r="E2383" s="115">
        <v>434.95</v>
      </c>
      <c r="F2383" s="115">
        <v>432.2</v>
      </c>
      <c r="G2383">
        <v>31646</v>
      </c>
      <c r="H2383" s="115"/>
      <c r="I2383" s="115"/>
      <c r="L2383" s="169">
        <v>45513</v>
      </c>
      <c r="M2383" s="115">
        <v>433.35</v>
      </c>
      <c r="N2383" s="115">
        <v>437.95</v>
      </c>
      <c r="O2383" s="115">
        <v>413.15</v>
      </c>
      <c r="P2383" s="115">
        <v>416</v>
      </c>
      <c r="Q2383" s="115">
        <v>433.35</v>
      </c>
      <c r="R2383">
        <v>648347</v>
      </c>
    </row>
    <row r="2384" spans="1:18" x14ac:dyDescent="0.25">
      <c r="A2384" s="169">
        <v>45517</v>
      </c>
      <c r="B2384" s="115">
        <v>438.8</v>
      </c>
      <c r="C2384" s="115">
        <v>421.95</v>
      </c>
      <c r="D2384" s="115">
        <v>418.55</v>
      </c>
      <c r="E2384" s="115">
        <v>438.8</v>
      </c>
      <c r="F2384" s="115">
        <v>421.95</v>
      </c>
      <c r="G2384">
        <v>10397</v>
      </c>
      <c r="H2384" s="115"/>
      <c r="I2384" s="115"/>
      <c r="L2384" s="169">
        <v>45516</v>
      </c>
      <c r="M2384" s="115">
        <v>433.4</v>
      </c>
      <c r="N2384" s="115">
        <v>451.85</v>
      </c>
      <c r="O2384" s="115">
        <v>422.8</v>
      </c>
      <c r="P2384" s="115">
        <v>434</v>
      </c>
      <c r="Q2384" s="115">
        <v>433.4</v>
      </c>
      <c r="R2384">
        <v>924381</v>
      </c>
    </row>
    <row r="2385" spans="1:18" x14ac:dyDescent="0.25">
      <c r="A2385" s="169">
        <v>45518</v>
      </c>
      <c r="B2385" s="115">
        <v>428.8</v>
      </c>
      <c r="C2385" s="115">
        <v>423.75</v>
      </c>
      <c r="D2385" s="115">
        <v>412.05</v>
      </c>
      <c r="E2385" s="115">
        <v>428.6</v>
      </c>
      <c r="F2385" s="115">
        <v>423.75</v>
      </c>
      <c r="G2385">
        <v>33648</v>
      </c>
      <c r="H2385" s="115"/>
      <c r="I2385" s="115"/>
      <c r="L2385" s="169">
        <v>45517</v>
      </c>
      <c r="M2385" s="115">
        <v>419.9</v>
      </c>
      <c r="N2385" s="115">
        <v>436.95</v>
      </c>
      <c r="O2385" s="115">
        <v>416</v>
      </c>
      <c r="P2385" s="115">
        <v>433.4</v>
      </c>
      <c r="Q2385" s="115">
        <v>419.9</v>
      </c>
      <c r="R2385">
        <v>218417</v>
      </c>
    </row>
    <row r="2386" spans="1:18" x14ac:dyDescent="0.25">
      <c r="A2386" s="169">
        <v>45520</v>
      </c>
      <c r="B2386" s="115">
        <v>438.05</v>
      </c>
      <c r="C2386" s="115">
        <v>433.65</v>
      </c>
      <c r="D2386" s="115">
        <v>419.95</v>
      </c>
      <c r="E2386" s="115">
        <v>429.8</v>
      </c>
      <c r="F2386" s="115">
        <v>433.65</v>
      </c>
      <c r="G2386">
        <v>28038</v>
      </c>
      <c r="H2386" s="115"/>
      <c r="I2386" s="115"/>
      <c r="L2386" s="169">
        <v>45518</v>
      </c>
      <c r="M2386" s="115">
        <v>423.35</v>
      </c>
      <c r="N2386" s="115">
        <v>428.95</v>
      </c>
      <c r="O2386" s="115">
        <v>412.25</v>
      </c>
      <c r="P2386" s="115">
        <v>421.4</v>
      </c>
      <c r="Q2386" s="115">
        <v>423.35</v>
      </c>
      <c r="R2386">
        <v>203605</v>
      </c>
    </row>
    <row r="2387" spans="1:18" x14ac:dyDescent="0.25">
      <c r="A2387" s="169">
        <v>45523</v>
      </c>
      <c r="B2387" s="115">
        <v>449.6</v>
      </c>
      <c r="C2387" s="115">
        <v>439.7</v>
      </c>
      <c r="D2387" s="115">
        <v>436.45</v>
      </c>
      <c r="E2387" s="115">
        <v>445.3</v>
      </c>
      <c r="F2387" s="115">
        <v>439.7</v>
      </c>
      <c r="G2387">
        <v>31128</v>
      </c>
      <c r="H2387" s="115"/>
      <c r="I2387" s="115"/>
      <c r="L2387" s="169">
        <v>45520</v>
      </c>
      <c r="M2387" s="115">
        <v>433.4</v>
      </c>
      <c r="N2387" s="115">
        <v>438.75</v>
      </c>
      <c r="O2387" s="115">
        <v>419.8</v>
      </c>
      <c r="P2387" s="115">
        <v>423.8</v>
      </c>
      <c r="Q2387" s="115">
        <v>433.4</v>
      </c>
      <c r="R2387">
        <v>213088</v>
      </c>
    </row>
    <row r="2388" spans="1:18" x14ac:dyDescent="0.25">
      <c r="A2388" s="169">
        <v>45524</v>
      </c>
      <c r="B2388" s="115">
        <v>446.5</v>
      </c>
      <c r="C2388" s="115">
        <v>437.05</v>
      </c>
      <c r="D2388" s="115">
        <v>431.65</v>
      </c>
      <c r="E2388" s="115">
        <v>437.05</v>
      </c>
      <c r="F2388" s="115">
        <v>437.05</v>
      </c>
      <c r="G2388">
        <v>31641</v>
      </c>
      <c r="H2388" s="115"/>
      <c r="I2388" s="115"/>
      <c r="L2388" s="169">
        <v>45523</v>
      </c>
      <c r="M2388" s="115">
        <v>439.45</v>
      </c>
      <c r="N2388" s="115">
        <v>447.9</v>
      </c>
      <c r="O2388" s="115">
        <v>436.8</v>
      </c>
      <c r="P2388" s="115">
        <v>436.85</v>
      </c>
      <c r="Q2388" s="115">
        <v>439.45</v>
      </c>
      <c r="R2388">
        <v>314216</v>
      </c>
    </row>
    <row r="2389" spans="1:18" x14ac:dyDescent="0.25">
      <c r="A2389" s="169">
        <v>45525</v>
      </c>
      <c r="B2389" s="115">
        <v>444.7</v>
      </c>
      <c r="C2389" s="115">
        <v>440.4</v>
      </c>
      <c r="D2389" s="115">
        <v>427.9</v>
      </c>
      <c r="E2389" s="115">
        <v>436.65</v>
      </c>
      <c r="F2389" s="115">
        <v>440.4</v>
      </c>
      <c r="G2389">
        <v>13030</v>
      </c>
      <c r="H2389" s="115"/>
      <c r="I2389" s="115"/>
      <c r="L2389" s="169">
        <v>45524</v>
      </c>
      <c r="M2389" s="115">
        <v>437.3</v>
      </c>
      <c r="N2389" s="115">
        <v>447</v>
      </c>
      <c r="O2389" s="115">
        <v>434</v>
      </c>
      <c r="P2389" s="115">
        <v>441.5</v>
      </c>
      <c r="Q2389" s="115">
        <v>437.3</v>
      </c>
      <c r="R2389">
        <v>137064</v>
      </c>
    </row>
    <row r="2390" spans="1:18" x14ac:dyDescent="0.25">
      <c r="A2390" s="169">
        <v>45526</v>
      </c>
      <c r="B2390" s="115">
        <v>446.9</v>
      </c>
      <c r="C2390" s="115">
        <v>434.85</v>
      </c>
      <c r="D2390" s="115">
        <v>432.95</v>
      </c>
      <c r="E2390" s="115">
        <v>440.45</v>
      </c>
      <c r="F2390" s="115">
        <v>434.85</v>
      </c>
      <c r="G2390">
        <v>32608</v>
      </c>
      <c r="H2390" s="115"/>
      <c r="I2390" s="115"/>
      <c r="L2390" s="169">
        <v>45525</v>
      </c>
      <c r="M2390" s="115">
        <v>440.25</v>
      </c>
      <c r="N2390" s="115">
        <v>445</v>
      </c>
      <c r="O2390" s="115">
        <v>428.4</v>
      </c>
      <c r="P2390" s="115">
        <v>435</v>
      </c>
      <c r="Q2390" s="115">
        <v>440.25</v>
      </c>
      <c r="R2390">
        <v>256758</v>
      </c>
    </row>
    <row r="2391" spans="1:18" x14ac:dyDescent="0.25">
      <c r="A2391" s="169">
        <v>45527</v>
      </c>
      <c r="B2391" s="115">
        <v>441.05</v>
      </c>
      <c r="C2391" s="115">
        <v>437.5</v>
      </c>
      <c r="D2391" s="115">
        <v>432</v>
      </c>
      <c r="E2391" s="115">
        <v>435.9</v>
      </c>
      <c r="F2391" s="115">
        <v>437.5</v>
      </c>
      <c r="G2391">
        <v>8211</v>
      </c>
      <c r="H2391" s="115"/>
      <c r="I2391" s="115"/>
      <c r="L2391" s="169">
        <v>45526</v>
      </c>
      <c r="M2391" s="115">
        <v>435.25</v>
      </c>
      <c r="N2391" s="115">
        <v>447</v>
      </c>
      <c r="O2391" s="115">
        <v>433.35</v>
      </c>
      <c r="P2391" s="115">
        <v>444.95</v>
      </c>
      <c r="Q2391" s="115">
        <v>435.25</v>
      </c>
      <c r="R2391">
        <v>182145</v>
      </c>
    </row>
    <row r="2392" spans="1:18" x14ac:dyDescent="0.25">
      <c r="A2392" s="169">
        <v>45530</v>
      </c>
      <c r="B2392" s="115">
        <v>444.95</v>
      </c>
      <c r="C2392" s="115">
        <v>426.6</v>
      </c>
      <c r="D2392" s="115">
        <v>425</v>
      </c>
      <c r="E2392" s="115">
        <v>444.95</v>
      </c>
      <c r="F2392" s="115">
        <v>426.6</v>
      </c>
      <c r="G2392">
        <v>30036</v>
      </c>
      <c r="H2392" s="115"/>
      <c r="I2392" s="115"/>
      <c r="L2392" s="169">
        <v>45527</v>
      </c>
      <c r="M2392" s="115">
        <v>436.85</v>
      </c>
      <c r="N2392" s="115">
        <v>441</v>
      </c>
      <c r="O2392" s="115">
        <v>430.25</v>
      </c>
      <c r="P2392" s="115">
        <v>435.25</v>
      </c>
      <c r="Q2392" s="115">
        <v>436.85</v>
      </c>
      <c r="R2392">
        <v>220299</v>
      </c>
    </row>
    <row r="2393" spans="1:18" x14ac:dyDescent="0.25">
      <c r="A2393" s="169">
        <v>45531</v>
      </c>
      <c r="B2393" s="115">
        <v>429.2</v>
      </c>
      <c r="C2393" s="115">
        <v>417.6</v>
      </c>
      <c r="D2393" s="115">
        <v>416.8</v>
      </c>
      <c r="E2393" s="115">
        <v>428</v>
      </c>
      <c r="F2393" s="115">
        <v>417.6</v>
      </c>
      <c r="G2393">
        <v>9820</v>
      </c>
      <c r="H2393" s="115"/>
      <c r="I2393" s="115"/>
      <c r="L2393" s="169">
        <v>45530</v>
      </c>
      <c r="M2393" s="115">
        <v>427.05</v>
      </c>
      <c r="N2393" s="115">
        <v>442</v>
      </c>
      <c r="O2393" s="115">
        <v>425</v>
      </c>
      <c r="P2393" s="115">
        <v>441.15</v>
      </c>
      <c r="Q2393" s="115">
        <v>427.05</v>
      </c>
      <c r="R2393">
        <v>155159</v>
      </c>
    </row>
    <row r="2394" spans="1:18" x14ac:dyDescent="0.25">
      <c r="A2394" s="169">
        <v>45532</v>
      </c>
      <c r="B2394" s="115">
        <v>425.15</v>
      </c>
      <c r="C2394" s="115">
        <v>410.3</v>
      </c>
      <c r="D2394" s="115">
        <v>408.75</v>
      </c>
      <c r="E2394" s="115">
        <v>425</v>
      </c>
      <c r="F2394" s="115">
        <v>410.3</v>
      </c>
      <c r="G2394">
        <v>14620</v>
      </c>
      <c r="H2394" s="115"/>
      <c r="I2394" s="115"/>
      <c r="L2394" s="169">
        <v>45531</v>
      </c>
      <c r="M2394" s="115">
        <v>417.8</v>
      </c>
      <c r="N2394" s="115">
        <v>431.35</v>
      </c>
      <c r="O2394" s="115">
        <v>415.55</v>
      </c>
      <c r="P2394" s="115">
        <v>431.35</v>
      </c>
      <c r="Q2394" s="115">
        <v>417.8</v>
      </c>
      <c r="R2394">
        <v>190218</v>
      </c>
    </row>
    <row r="2395" spans="1:18" x14ac:dyDescent="0.25">
      <c r="A2395" s="169">
        <v>45533</v>
      </c>
      <c r="B2395" s="115">
        <v>419.4</v>
      </c>
      <c r="C2395" s="115">
        <v>404.9</v>
      </c>
      <c r="D2395" s="115">
        <v>402.85</v>
      </c>
      <c r="E2395" s="115">
        <v>419.4</v>
      </c>
      <c r="F2395" s="115">
        <v>404.9</v>
      </c>
      <c r="G2395">
        <v>17412</v>
      </c>
      <c r="H2395" s="115"/>
      <c r="I2395" s="115"/>
      <c r="L2395" s="169">
        <v>45532</v>
      </c>
      <c r="M2395" s="115">
        <v>409.65</v>
      </c>
      <c r="N2395" s="115">
        <v>425</v>
      </c>
      <c r="O2395" s="115">
        <v>408.05</v>
      </c>
      <c r="P2395" s="115">
        <v>418</v>
      </c>
      <c r="Q2395" s="115">
        <v>409.65</v>
      </c>
      <c r="R2395">
        <v>266637</v>
      </c>
    </row>
    <row r="2396" spans="1:18" x14ac:dyDescent="0.25">
      <c r="A2396" s="169">
        <v>45534</v>
      </c>
      <c r="B2396" s="115">
        <v>416.55</v>
      </c>
      <c r="C2396" s="115">
        <v>407.35</v>
      </c>
      <c r="D2396" s="115">
        <v>403.8</v>
      </c>
      <c r="E2396" s="115">
        <v>408.65</v>
      </c>
      <c r="F2396" s="115">
        <v>407.35</v>
      </c>
      <c r="G2396">
        <v>17599</v>
      </c>
      <c r="H2396" s="115"/>
      <c r="I2396" s="115"/>
      <c r="L2396" s="169">
        <v>45533</v>
      </c>
      <c r="M2396" s="115">
        <v>405</v>
      </c>
      <c r="N2396" s="115">
        <v>411.95</v>
      </c>
      <c r="O2396" s="115">
        <v>403.15</v>
      </c>
      <c r="P2396" s="115">
        <v>411.8</v>
      </c>
      <c r="Q2396" s="115">
        <v>405</v>
      </c>
      <c r="R2396">
        <v>194025</v>
      </c>
    </row>
    <row r="2397" spans="1:18" x14ac:dyDescent="0.25">
      <c r="A2397" s="169">
        <v>45537</v>
      </c>
      <c r="B2397" s="115">
        <v>413.9</v>
      </c>
      <c r="C2397" s="115">
        <v>402.4</v>
      </c>
      <c r="D2397" s="115">
        <v>401</v>
      </c>
      <c r="E2397" s="115">
        <v>408</v>
      </c>
      <c r="F2397" s="115">
        <v>402.4</v>
      </c>
      <c r="G2397">
        <v>18820</v>
      </c>
      <c r="H2397" s="115"/>
      <c r="I2397" s="115"/>
      <c r="L2397" s="169">
        <v>45534</v>
      </c>
      <c r="M2397" s="115">
        <v>407.25</v>
      </c>
      <c r="N2397" s="115">
        <v>417</v>
      </c>
      <c r="O2397" s="115">
        <v>403.05</v>
      </c>
      <c r="P2397" s="115">
        <v>405.15</v>
      </c>
      <c r="Q2397" s="115">
        <v>407.25</v>
      </c>
      <c r="R2397">
        <v>109487</v>
      </c>
    </row>
    <row r="2398" spans="1:18" x14ac:dyDescent="0.25">
      <c r="A2398" s="169">
        <v>45538</v>
      </c>
      <c r="B2398" s="115">
        <v>410</v>
      </c>
      <c r="C2398" s="115">
        <v>399</v>
      </c>
      <c r="D2398" s="115">
        <v>397.5</v>
      </c>
      <c r="E2398" s="115">
        <v>410</v>
      </c>
      <c r="F2398" s="115">
        <v>399</v>
      </c>
      <c r="G2398">
        <v>5602</v>
      </c>
      <c r="H2398" s="115"/>
      <c r="I2398" s="115"/>
      <c r="L2398" s="169">
        <v>45537</v>
      </c>
      <c r="M2398" s="115">
        <v>402.45</v>
      </c>
      <c r="N2398" s="115">
        <v>414.2</v>
      </c>
      <c r="O2398" s="115">
        <v>401</v>
      </c>
      <c r="P2398" s="115">
        <v>411.1</v>
      </c>
      <c r="Q2398" s="115">
        <v>402.45</v>
      </c>
      <c r="R2398">
        <v>120907</v>
      </c>
    </row>
    <row r="2399" spans="1:18" x14ac:dyDescent="0.25">
      <c r="A2399" s="169">
        <v>45539</v>
      </c>
      <c r="B2399" s="115">
        <v>402.25</v>
      </c>
      <c r="C2399" s="115">
        <v>398.85</v>
      </c>
      <c r="D2399" s="115">
        <v>387.5</v>
      </c>
      <c r="E2399" s="115">
        <v>391</v>
      </c>
      <c r="F2399" s="115">
        <v>398.85</v>
      </c>
      <c r="G2399">
        <v>12673</v>
      </c>
      <c r="H2399" s="115"/>
      <c r="I2399" s="115"/>
      <c r="L2399" s="169">
        <v>45538</v>
      </c>
      <c r="M2399" s="115">
        <v>398.85</v>
      </c>
      <c r="N2399" s="115">
        <v>405.3</v>
      </c>
      <c r="O2399" s="115">
        <v>396.35</v>
      </c>
      <c r="P2399" s="115">
        <v>403.5</v>
      </c>
      <c r="Q2399" s="115">
        <v>398.85</v>
      </c>
      <c r="R2399">
        <v>116389</v>
      </c>
    </row>
    <row r="2400" spans="1:18" x14ac:dyDescent="0.25">
      <c r="A2400" s="169">
        <v>45540</v>
      </c>
      <c r="B2400" s="115">
        <v>411.65</v>
      </c>
      <c r="C2400" s="115">
        <v>405.95</v>
      </c>
      <c r="D2400" s="115">
        <v>394.6</v>
      </c>
      <c r="E2400" s="115">
        <v>394.6</v>
      </c>
      <c r="F2400" s="115">
        <v>405.95</v>
      </c>
      <c r="G2400">
        <v>11060</v>
      </c>
      <c r="H2400" s="115"/>
      <c r="I2400" s="115"/>
      <c r="L2400" s="169">
        <v>45539</v>
      </c>
      <c r="M2400" s="115">
        <v>399.25</v>
      </c>
      <c r="N2400" s="115">
        <v>402</v>
      </c>
      <c r="O2400" s="115">
        <v>388.2</v>
      </c>
      <c r="P2400" s="115">
        <v>391.6</v>
      </c>
      <c r="Q2400" s="115">
        <v>399.25</v>
      </c>
      <c r="R2400">
        <v>218435</v>
      </c>
    </row>
    <row r="2401" spans="1:18" x14ac:dyDescent="0.25">
      <c r="A2401" s="169">
        <v>45541</v>
      </c>
      <c r="B2401" s="115">
        <v>419.9</v>
      </c>
      <c r="C2401" s="115">
        <v>400</v>
      </c>
      <c r="D2401" s="115">
        <v>397.1</v>
      </c>
      <c r="E2401" s="115">
        <v>419.9</v>
      </c>
      <c r="F2401" s="115">
        <v>400</v>
      </c>
      <c r="G2401">
        <v>11148</v>
      </c>
      <c r="H2401" s="115"/>
      <c r="I2401" s="115"/>
      <c r="L2401" s="169">
        <v>45540</v>
      </c>
      <c r="M2401" s="115">
        <v>405.45</v>
      </c>
      <c r="N2401" s="115">
        <v>412</v>
      </c>
      <c r="O2401" s="115">
        <v>399</v>
      </c>
      <c r="P2401" s="115">
        <v>400.95</v>
      </c>
      <c r="Q2401" s="115">
        <v>405.45</v>
      </c>
      <c r="R2401">
        <v>366358</v>
      </c>
    </row>
    <row r="2402" spans="1:18" x14ac:dyDescent="0.25">
      <c r="A2402" s="169">
        <v>45544</v>
      </c>
      <c r="B2402" s="115">
        <v>399</v>
      </c>
      <c r="C2402" s="115">
        <v>389.45</v>
      </c>
      <c r="D2402" s="115">
        <v>386.75</v>
      </c>
      <c r="E2402" s="115">
        <v>395.35</v>
      </c>
      <c r="F2402" s="115">
        <v>389.45</v>
      </c>
      <c r="G2402">
        <v>15717</v>
      </c>
      <c r="H2402" s="115"/>
      <c r="I2402" s="115"/>
      <c r="L2402" s="169">
        <v>45541</v>
      </c>
      <c r="M2402" s="115">
        <v>399.5</v>
      </c>
      <c r="N2402" s="115">
        <v>412</v>
      </c>
      <c r="O2402" s="115">
        <v>397</v>
      </c>
      <c r="P2402" s="115">
        <v>406.4</v>
      </c>
      <c r="Q2402" s="115">
        <v>399.5</v>
      </c>
      <c r="R2402">
        <v>149850</v>
      </c>
    </row>
    <row r="2403" spans="1:18" x14ac:dyDescent="0.25">
      <c r="A2403" s="169">
        <v>45545</v>
      </c>
      <c r="B2403" s="115">
        <v>399.15</v>
      </c>
      <c r="C2403" s="115">
        <v>397.7</v>
      </c>
      <c r="D2403" s="115">
        <v>391.1</v>
      </c>
      <c r="E2403" s="115">
        <v>393</v>
      </c>
      <c r="F2403" s="115">
        <v>397.7</v>
      </c>
      <c r="G2403">
        <v>2836</v>
      </c>
      <c r="H2403" s="115"/>
      <c r="I2403" s="115"/>
      <c r="L2403" s="169">
        <v>45544</v>
      </c>
      <c r="M2403" s="115">
        <v>389.85</v>
      </c>
      <c r="N2403" s="115">
        <v>399.6</v>
      </c>
      <c r="O2403" s="115">
        <v>386.3</v>
      </c>
      <c r="P2403" s="115">
        <v>399.5</v>
      </c>
      <c r="Q2403" s="115">
        <v>389.85</v>
      </c>
      <c r="R2403">
        <v>69689</v>
      </c>
    </row>
    <row r="2404" spans="1:18" x14ac:dyDescent="0.25">
      <c r="A2404" s="169">
        <v>45546</v>
      </c>
      <c r="B2404" s="115">
        <v>396.95</v>
      </c>
      <c r="C2404" s="115">
        <v>386.6</v>
      </c>
      <c r="D2404" s="115">
        <v>384.75</v>
      </c>
      <c r="E2404" s="115">
        <v>396.2</v>
      </c>
      <c r="F2404" s="115">
        <v>386.6</v>
      </c>
      <c r="G2404">
        <v>15700</v>
      </c>
      <c r="H2404" s="115"/>
      <c r="I2404" s="115"/>
      <c r="L2404" s="169">
        <v>45545</v>
      </c>
      <c r="M2404" s="115">
        <v>397.65</v>
      </c>
      <c r="N2404" s="115">
        <v>399.95</v>
      </c>
      <c r="O2404" s="115">
        <v>390.8</v>
      </c>
      <c r="P2404" s="115">
        <v>391.9</v>
      </c>
      <c r="Q2404" s="115">
        <v>397.65</v>
      </c>
      <c r="R2404">
        <v>61184</v>
      </c>
    </row>
    <row r="2405" spans="1:18" x14ac:dyDescent="0.25">
      <c r="A2405" s="169">
        <v>45547</v>
      </c>
      <c r="B2405" s="115">
        <v>391.8</v>
      </c>
      <c r="C2405" s="115">
        <v>388</v>
      </c>
      <c r="D2405" s="115">
        <v>383.05</v>
      </c>
      <c r="E2405" s="115">
        <v>383.05</v>
      </c>
      <c r="F2405" s="115">
        <v>388</v>
      </c>
      <c r="G2405">
        <v>3488</v>
      </c>
      <c r="H2405" s="115"/>
      <c r="I2405" s="115"/>
      <c r="L2405" s="169">
        <v>45546</v>
      </c>
      <c r="M2405" s="115">
        <v>386.65</v>
      </c>
      <c r="N2405" s="115">
        <v>398.9</v>
      </c>
      <c r="O2405" s="115">
        <v>385.25</v>
      </c>
      <c r="P2405" s="115">
        <v>398.9</v>
      </c>
      <c r="Q2405" s="115">
        <v>386.65</v>
      </c>
      <c r="R2405">
        <v>67348</v>
      </c>
    </row>
    <row r="2406" spans="1:18" x14ac:dyDescent="0.25">
      <c r="A2406" s="169">
        <v>45548</v>
      </c>
      <c r="B2406" s="115">
        <v>395</v>
      </c>
      <c r="C2406" s="115">
        <v>386.4</v>
      </c>
      <c r="D2406" s="115">
        <v>384.05</v>
      </c>
      <c r="E2406" s="115">
        <v>384.05</v>
      </c>
      <c r="F2406" s="115">
        <v>386.4</v>
      </c>
      <c r="G2406">
        <v>9012</v>
      </c>
      <c r="H2406" s="115"/>
      <c r="I2406" s="115"/>
      <c r="L2406" s="169">
        <v>45547</v>
      </c>
      <c r="M2406" s="115">
        <v>387.2</v>
      </c>
      <c r="N2406" s="115">
        <v>392.9</v>
      </c>
      <c r="O2406" s="115">
        <v>384.75</v>
      </c>
      <c r="P2406" s="115">
        <v>388.7</v>
      </c>
      <c r="Q2406" s="115">
        <v>387.2</v>
      </c>
      <c r="R2406">
        <v>60885</v>
      </c>
    </row>
    <row r="2407" spans="1:18" x14ac:dyDescent="0.25">
      <c r="A2407" s="169">
        <v>45551</v>
      </c>
      <c r="B2407" s="115">
        <v>392.45</v>
      </c>
      <c r="C2407" s="115">
        <v>390.35</v>
      </c>
      <c r="D2407" s="115">
        <v>385.9</v>
      </c>
      <c r="E2407" s="115">
        <v>387.05</v>
      </c>
      <c r="F2407" s="115">
        <v>390.35</v>
      </c>
      <c r="G2407">
        <v>5144</v>
      </c>
      <c r="H2407" s="115"/>
      <c r="I2407" s="115"/>
      <c r="L2407" s="169">
        <v>45548</v>
      </c>
      <c r="M2407" s="115">
        <v>386.45</v>
      </c>
      <c r="N2407" s="115">
        <v>395.75</v>
      </c>
      <c r="O2407" s="115">
        <v>384.7</v>
      </c>
      <c r="P2407" s="115">
        <v>389.95</v>
      </c>
      <c r="Q2407" s="115">
        <v>386.45</v>
      </c>
      <c r="R2407">
        <v>80535</v>
      </c>
    </row>
    <row r="2408" spans="1:18" x14ac:dyDescent="0.25">
      <c r="A2408" s="169">
        <v>45552</v>
      </c>
      <c r="B2408" s="115">
        <v>405</v>
      </c>
      <c r="C2408" s="115">
        <v>400.5</v>
      </c>
      <c r="D2408" s="115">
        <v>378.55</v>
      </c>
      <c r="E2408" s="115">
        <v>390</v>
      </c>
      <c r="F2408" s="115">
        <v>400.5</v>
      </c>
      <c r="G2408">
        <v>21820</v>
      </c>
      <c r="H2408" s="115"/>
      <c r="I2408" s="115"/>
      <c r="L2408" s="169">
        <v>45551</v>
      </c>
      <c r="M2408" s="115">
        <v>389.85</v>
      </c>
      <c r="N2408" s="115">
        <v>393.05</v>
      </c>
      <c r="O2408" s="115">
        <v>386.3</v>
      </c>
      <c r="P2408" s="115">
        <v>390</v>
      </c>
      <c r="Q2408" s="115">
        <v>389.85</v>
      </c>
      <c r="R2408">
        <v>69982</v>
      </c>
    </row>
    <row r="2409" spans="1:18" x14ac:dyDescent="0.25">
      <c r="A2409" s="169">
        <v>45553</v>
      </c>
      <c r="B2409" s="115">
        <v>400</v>
      </c>
      <c r="C2409" s="115">
        <v>380.5</v>
      </c>
      <c r="D2409" s="115">
        <v>380</v>
      </c>
      <c r="E2409" s="115">
        <v>400</v>
      </c>
      <c r="F2409" s="115">
        <v>380.5</v>
      </c>
      <c r="G2409">
        <v>15718</v>
      </c>
      <c r="H2409" s="115"/>
      <c r="I2409" s="115"/>
      <c r="L2409" s="169">
        <v>45552</v>
      </c>
      <c r="M2409" s="115">
        <v>400.15</v>
      </c>
      <c r="N2409" s="115">
        <v>406</v>
      </c>
      <c r="O2409" s="115">
        <v>379</v>
      </c>
      <c r="P2409" s="115">
        <v>390</v>
      </c>
      <c r="Q2409" s="115">
        <v>400.15</v>
      </c>
      <c r="R2409">
        <v>324833</v>
      </c>
    </row>
    <row r="2410" spans="1:18" x14ac:dyDescent="0.25">
      <c r="A2410" s="169">
        <v>45554</v>
      </c>
      <c r="B2410" s="115">
        <v>386.4</v>
      </c>
      <c r="C2410" s="115">
        <v>372.65</v>
      </c>
      <c r="D2410" s="115">
        <v>368</v>
      </c>
      <c r="E2410" s="115">
        <v>381.9</v>
      </c>
      <c r="F2410" s="115">
        <v>372.65</v>
      </c>
      <c r="G2410">
        <v>9654</v>
      </c>
      <c r="H2410" s="115"/>
      <c r="I2410" s="115"/>
      <c r="L2410" s="169">
        <v>45553</v>
      </c>
      <c r="M2410" s="115">
        <v>380.7</v>
      </c>
      <c r="N2410" s="115">
        <v>401</v>
      </c>
      <c r="O2410" s="115">
        <v>380</v>
      </c>
      <c r="P2410" s="115">
        <v>401</v>
      </c>
      <c r="Q2410" s="115">
        <v>380.7</v>
      </c>
      <c r="R2410">
        <v>184711</v>
      </c>
    </row>
    <row r="2411" spans="1:18" x14ac:dyDescent="0.25">
      <c r="A2411" s="169">
        <v>45555</v>
      </c>
      <c r="B2411" s="115">
        <v>389.2</v>
      </c>
      <c r="C2411" s="115">
        <v>384.45</v>
      </c>
      <c r="D2411" s="115">
        <v>366</v>
      </c>
      <c r="E2411" s="115">
        <v>366</v>
      </c>
      <c r="F2411" s="115">
        <v>384.45</v>
      </c>
      <c r="G2411">
        <v>14747</v>
      </c>
      <c r="H2411" s="115"/>
      <c r="I2411" s="115"/>
      <c r="L2411" s="169">
        <v>45554</v>
      </c>
      <c r="M2411" s="115">
        <v>370.75</v>
      </c>
      <c r="N2411" s="115">
        <v>384.95</v>
      </c>
      <c r="O2411" s="115">
        <v>367.75</v>
      </c>
      <c r="P2411" s="115">
        <v>381.35</v>
      </c>
      <c r="Q2411" s="115">
        <v>370.75</v>
      </c>
      <c r="R2411">
        <v>140900</v>
      </c>
    </row>
    <row r="2412" spans="1:18" x14ac:dyDescent="0.25">
      <c r="A2412" s="169">
        <v>45558</v>
      </c>
      <c r="B2412" s="115">
        <v>404.9</v>
      </c>
      <c r="C2412" s="115">
        <v>391.75</v>
      </c>
      <c r="D2412" s="115">
        <v>378.7</v>
      </c>
      <c r="E2412" s="115">
        <v>380</v>
      </c>
      <c r="F2412" s="115">
        <v>391.75</v>
      </c>
      <c r="G2412">
        <v>13608</v>
      </c>
      <c r="H2412" s="115"/>
      <c r="I2412" s="115"/>
      <c r="L2412" s="169">
        <v>45555</v>
      </c>
      <c r="M2412" s="115">
        <v>384.6</v>
      </c>
      <c r="N2412" s="115">
        <v>387.85</v>
      </c>
      <c r="O2412" s="115">
        <v>369.8</v>
      </c>
      <c r="P2412" s="115">
        <v>372.3</v>
      </c>
      <c r="Q2412" s="115">
        <v>384.6</v>
      </c>
      <c r="R2412">
        <v>119208</v>
      </c>
    </row>
    <row r="2413" spans="1:18" x14ac:dyDescent="0.25">
      <c r="A2413" s="169">
        <v>45559</v>
      </c>
      <c r="B2413" s="115">
        <v>401.9</v>
      </c>
      <c r="C2413" s="115">
        <v>400.35</v>
      </c>
      <c r="D2413" s="115">
        <v>390.25</v>
      </c>
      <c r="E2413" s="115">
        <v>391.7</v>
      </c>
      <c r="F2413" s="115">
        <v>400.35</v>
      </c>
      <c r="G2413">
        <v>9542</v>
      </c>
      <c r="H2413" s="115"/>
      <c r="I2413" s="115"/>
      <c r="L2413" s="169">
        <v>45558</v>
      </c>
      <c r="M2413" s="115">
        <v>391.65</v>
      </c>
      <c r="N2413" s="115">
        <v>405</v>
      </c>
      <c r="O2413" s="115">
        <v>378.5</v>
      </c>
      <c r="P2413" s="115">
        <v>384.6</v>
      </c>
      <c r="Q2413" s="115">
        <v>391.65</v>
      </c>
      <c r="R2413">
        <v>489279</v>
      </c>
    </row>
    <row r="2414" spans="1:18" x14ac:dyDescent="0.25">
      <c r="A2414" s="169">
        <v>45560</v>
      </c>
      <c r="B2414" s="115">
        <v>412.15</v>
      </c>
      <c r="C2414" s="115">
        <v>400.15</v>
      </c>
      <c r="D2414" s="115">
        <v>397</v>
      </c>
      <c r="E2414" s="115">
        <v>403.8</v>
      </c>
      <c r="F2414" s="115">
        <v>400.15</v>
      </c>
      <c r="G2414">
        <v>23999</v>
      </c>
      <c r="H2414" s="115"/>
      <c r="I2414" s="115"/>
      <c r="L2414" s="169">
        <v>45559</v>
      </c>
      <c r="M2414" s="115">
        <v>400.3</v>
      </c>
      <c r="N2414" s="115">
        <v>401.7</v>
      </c>
      <c r="O2414" s="115">
        <v>390.05</v>
      </c>
      <c r="P2414" s="115">
        <v>390.05</v>
      </c>
      <c r="Q2414" s="115">
        <v>400.3</v>
      </c>
      <c r="R2414">
        <v>165898</v>
      </c>
    </row>
    <row r="2415" spans="1:18" x14ac:dyDescent="0.25">
      <c r="A2415" s="169">
        <v>45561</v>
      </c>
      <c r="B2415" s="115">
        <v>402.2</v>
      </c>
      <c r="C2415" s="115">
        <v>395.65</v>
      </c>
      <c r="D2415" s="115">
        <v>393.05</v>
      </c>
      <c r="E2415" s="115">
        <v>400.55</v>
      </c>
      <c r="F2415" s="115">
        <v>395.65</v>
      </c>
      <c r="G2415">
        <v>6518</v>
      </c>
      <c r="H2415" s="115"/>
      <c r="I2415" s="115"/>
      <c r="L2415" s="169">
        <v>45560</v>
      </c>
      <c r="M2415" s="115">
        <v>400.15</v>
      </c>
      <c r="N2415" s="115">
        <v>412</v>
      </c>
      <c r="O2415" s="115">
        <v>396.35</v>
      </c>
      <c r="P2415" s="115">
        <v>400.8</v>
      </c>
      <c r="Q2415" s="115">
        <v>400.15</v>
      </c>
      <c r="R2415">
        <v>220671</v>
      </c>
    </row>
    <row r="2416" spans="1:18" x14ac:dyDescent="0.25">
      <c r="A2416" s="169">
        <v>45562</v>
      </c>
      <c r="B2416" s="115">
        <v>399.95</v>
      </c>
      <c r="C2416" s="115">
        <v>389.25</v>
      </c>
      <c r="D2416" s="115">
        <v>387</v>
      </c>
      <c r="E2416" s="115">
        <v>395.6</v>
      </c>
      <c r="F2416" s="115">
        <v>389.25</v>
      </c>
      <c r="G2416">
        <v>2570</v>
      </c>
      <c r="H2416" s="115"/>
      <c r="I2416" s="115"/>
      <c r="L2416" s="169">
        <v>45561</v>
      </c>
      <c r="M2416" s="115">
        <v>395.95</v>
      </c>
      <c r="N2416" s="115">
        <v>402</v>
      </c>
      <c r="O2416" s="115">
        <v>392.7</v>
      </c>
      <c r="P2416" s="115">
        <v>400.15</v>
      </c>
      <c r="Q2416" s="115">
        <v>395.95</v>
      </c>
      <c r="R2416">
        <v>49431</v>
      </c>
    </row>
    <row r="2417" spans="1:18" x14ac:dyDescent="0.25">
      <c r="A2417" s="169">
        <v>45565</v>
      </c>
      <c r="B2417" s="115">
        <v>392.35</v>
      </c>
      <c r="C2417" s="115">
        <v>385</v>
      </c>
      <c r="D2417" s="115">
        <v>378.1</v>
      </c>
      <c r="E2417" s="115">
        <v>389.2</v>
      </c>
      <c r="F2417" s="115">
        <v>385</v>
      </c>
      <c r="G2417">
        <v>15108</v>
      </c>
      <c r="H2417" s="115"/>
      <c r="I2417" s="115"/>
      <c r="L2417" s="169">
        <v>45562</v>
      </c>
      <c r="M2417" s="115">
        <v>389.15</v>
      </c>
      <c r="N2417" s="115">
        <v>399.5</v>
      </c>
      <c r="O2417" s="115">
        <v>386.25</v>
      </c>
      <c r="P2417" s="115">
        <v>396.95</v>
      </c>
      <c r="Q2417" s="115">
        <v>389.15</v>
      </c>
      <c r="R2417">
        <v>72507</v>
      </c>
    </row>
    <row r="2418" spans="1:18" x14ac:dyDescent="0.25">
      <c r="A2418" s="169">
        <v>45566</v>
      </c>
      <c r="B2418" s="115">
        <v>393.5</v>
      </c>
      <c r="C2418" s="115">
        <v>389.15</v>
      </c>
      <c r="D2418" s="115">
        <v>385.35</v>
      </c>
      <c r="E2418" s="115">
        <v>386</v>
      </c>
      <c r="F2418" s="115">
        <v>389.15</v>
      </c>
      <c r="G2418">
        <v>8597</v>
      </c>
      <c r="H2418" s="115"/>
      <c r="I2418" s="115"/>
      <c r="L2418" s="169">
        <v>45565</v>
      </c>
      <c r="M2418" s="115">
        <v>385.45</v>
      </c>
      <c r="N2418" s="115">
        <v>395.65</v>
      </c>
      <c r="O2418" s="115">
        <v>380.05</v>
      </c>
      <c r="P2418" s="115">
        <v>389.15</v>
      </c>
      <c r="Q2418" s="115">
        <v>385.45</v>
      </c>
      <c r="R2418">
        <v>69812</v>
      </c>
    </row>
    <row r="2419" spans="1:18" x14ac:dyDescent="0.25">
      <c r="A2419" s="169">
        <v>45568</v>
      </c>
      <c r="B2419" s="115">
        <v>389.8</v>
      </c>
      <c r="C2419" s="115">
        <v>381.15</v>
      </c>
      <c r="D2419" s="115">
        <v>377</v>
      </c>
      <c r="E2419" s="115">
        <v>378.1</v>
      </c>
      <c r="F2419" s="115">
        <v>381.15</v>
      </c>
      <c r="G2419">
        <v>7124</v>
      </c>
      <c r="H2419" s="115"/>
      <c r="I2419" s="115"/>
      <c r="L2419" s="169">
        <v>45566</v>
      </c>
      <c r="M2419" s="115">
        <v>388.35</v>
      </c>
      <c r="N2419" s="115">
        <v>393.3</v>
      </c>
      <c r="O2419" s="115">
        <v>384.35</v>
      </c>
      <c r="P2419" s="115">
        <v>385.45</v>
      </c>
      <c r="Q2419" s="115">
        <v>388.35</v>
      </c>
      <c r="R2419">
        <v>44927</v>
      </c>
    </row>
    <row r="2420" spans="1:18" x14ac:dyDescent="0.25">
      <c r="A2420" s="169">
        <v>45569</v>
      </c>
      <c r="B2420" s="115">
        <v>382.6</v>
      </c>
      <c r="C2420" s="115">
        <v>374.25</v>
      </c>
      <c r="D2420" s="115">
        <v>371.5</v>
      </c>
      <c r="E2420" s="115">
        <v>380</v>
      </c>
      <c r="F2420" s="115">
        <v>374.25</v>
      </c>
      <c r="G2420">
        <v>11909</v>
      </c>
      <c r="H2420" s="115"/>
      <c r="I2420" s="115"/>
      <c r="L2420" s="169">
        <v>45568</v>
      </c>
      <c r="M2420" s="115">
        <v>380.9</v>
      </c>
      <c r="N2420" s="115">
        <v>390.3</v>
      </c>
      <c r="O2420" s="115">
        <v>377</v>
      </c>
      <c r="P2420" s="115">
        <v>377</v>
      </c>
      <c r="Q2420" s="115">
        <v>380.9</v>
      </c>
      <c r="R2420">
        <v>70471</v>
      </c>
    </row>
    <row r="2421" spans="1:18" x14ac:dyDescent="0.25">
      <c r="A2421" s="169">
        <v>45572</v>
      </c>
      <c r="B2421" s="115">
        <v>385.95</v>
      </c>
      <c r="C2421" s="115">
        <v>371.1</v>
      </c>
      <c r="D2421" s="115">
        <v>360</v>
      </c>
      <c r="E2421" s="115">
        <v>377.5</v>
      </c>
      <c r="F2421" s="115">
        <v>371.1</v>
      </c>
      <c r="G2421">
        <v>5251</v>
      </c>
      <c r="H2421" s="115"/>
      <c r="I2421" s="115"/>
      <c r="L2421" s="169">
        <v>45569</v>
      </c>
      <c r="M2421" s="115">
        <v>374.8</v>
      </c>
      <c r="N2421" s="115">
        <v>383.9</v>
      </c>
      <c r="O2421" s="115">
        <v>371.75</v>
      </c>
      <c r="P2421" s="115">
        <v>380.15</v>
      </c>
      <c r="Q2421" s="115">
        <v>374.8</v>
      </c>
      <c r="R2421">
        <v>60284</v>
      </c>
    </row>
    <row r="2422" spans="1:18" x14ac:dyDescent="0.25">
      <c r="A2422" s="169">
        <v>45573</v>
      </c>
      <c r="B2422" s="115">
        <v>403.8</v>
      </c>
      <c r="C2422" s="115">
        <v>391.15</v>
      </c>
      <c r="D2422" s="115">
        <v>364.05</v>
      </c>
      <c r="E2422" s="115">
        <v>364.05</v>
      </c>
      <c r="F2422" s="115">
        <v>391.15</v>
      </c>
      <c r="G2422">
        <v>9273</v>
      </c>
      <c r="H2422" s="115"/>
      <c r="I2422" s="115"/>
      <c r="L2422" s="169">
        <v>45572</v>
      </c>
      <c r="M2422" s="115">
        <v>371.35</v>
      </c>
      <c r="N2422" s="115">
        <v>389</v>
      </c>
      <c r="O2422" s="115">
        <v>360</v>
      </c>
      <c r="P2422" s="115">
        <v>376.5</v>
      </c>
      <c r="Q2422" s="115">
        <v>371.35</v>
      </c>
      <c r="R2422">
        <v>91364</v>
      </c>
    </row>
    <row r="2423" spans="1:18" x14ac:dyDescent="0.25">
      <c r="A2423" s="169">
        <v>45574</v>
      </c>
      <c r="B2423" s="115">
        <v>402.9</v>
      </c>
      <c r="C2423" s="115">
        <v>399.85</v>
      </c>
      <c r="D2423" s="115">
        <v>388.75</v>
      </c>
      <c r="E2423" s="115">
        <v>392.25</v>
      </c>
      <c r="F2423" s="115">
        <v>399.85</v>
      </c>
      <c r="G2423">
        <v>10934</v>
      </c>
      <c r="H2423" s="115"/>
      <c r="I2423" s="115"/>
      <c r="L2423" s="169">
        <v>45573</v>
      </c>
      <c r="M2423" s="115">
        <v>390.4</v>
      </c>
      <c r="N2423" s="115">
        <v>403.8</v>
      </c>
      <c r="O2423" s="115">
        <v>366</v>
      </c>
      <c r="P2423" s="115">
        <v>366</v>
      </c>
      <c r="Q2423" s="115">
        <v>390.4</v>
      </c>
      <c r="R2423">
        <v>181552</v>
      </c>
    </row>
    <row r="2424" spans="1:18" x14ac:dyDescent="0.25">
      <c r="A2424" s="169">
        <v>45575</v>
      </c>
      <c r="B2424" s="115">
        <v>400.75</v>
      </c>
      <c r="C2424" s="115">
        <v>398.75</v>
      </c>
      <c r="D2424" s="115">
        <v>393.8</v>
      </c>
      <c r="E2424" s="115">
        <v>396.85</v>
      </c>
      <c r="F2424" s="115">
        <v>398.75</v>
      </c>
      <c r="G2424">
        <v>3668</v>
      </c>
      <c r="H2424" s="115"/>
      <c r="I2424" s="115"/>
      <c r="L2424" s="169">
        <v>45574</v>
      </c>
      <c r="M2424" s="115">
        <v>400.05</v>
      </c>
      <c r="N2424" s="115">
        <v>403.4</v>
      </c>
      <c r="O2424" s="115">
        <v>389</v>
      </c>
      <c r="P2424" s="115">
        <v>390.4</v>
      </c>
      <c r="Q2424" s="115">
        <v>400.05</v>
      </c>
      <c r="R2424">
        <v>181426</v>
      </c>
    </row>
    <row r="2425" spans="1:18" x14ac:dyDescent="0.25">
      <c r="A2425" s="169">
        <v>45576</v>
      </c>
      <c r="B2425" s="115">
        <v>406</v>
      </c>
      <c r="C2425" s="115">
        <v>400.25</v>
      </c>
      <c r="D2425" s="115">
        <v>390.45</v>
      </c>
      <c r="E2425" s="115">
        <v>397.5</v>
      </c>
      <c r="F2425" s="115">
        <v>400.25</v>
      </c>
      <c r="G2425">
        <v>9925</v>
      </c>
      <c r="H2425" s="115"/>
      <c r="I2425" s="115"/>
      <c r="L2425" s="169">
        <v>45575</v>
      </c>
      <c r="M2425" s="115">
        <v>397.8</v>
      </c>
      <c r="N2425" s="115">
        <v>400.9</v>
      </c>
      <c r="O2425" s="115">
        <v>394.1</v>
      </c>
      <c r="P2425" s="115">
        <v>400.9</v>
      </c>
      <c r="Q2425" s="115">
        <v>397.8</v>
      </c>
      <c r="R2425">
        <v>45203</v>
      </c>
    </row>
    <row r="2426" spans="1:18" x14ac:dyDescent="0.25">
      <c r="A2426" s="169">
        <v>45579</v>
      </c>
      <c r="B2426" s="115">
        <v>410</v>
      </c>
      <c r="C2426" s="115">
        <v>392.75</v>
      </c>
      <c r="D2426" s="115">
        <v>391.7</v>
      </c>
      <c r="E2426" s="115">
        <v>410</v>
      </c>
      <c r="F2426" s="115">
        <v>392.75</v>
      </c>
      <c r="G2426">
        <v>6779</v>
      </c>
      <c r="H2426" s="115"/>
      <c r="I2426" s="115"/>
      <c r="L2426" s="169">
        <v>45576</v>
      </c>
      <c r="M2426" s="115">
        <v>400.2</v>
      </c>
      <c r="N2426" s="115">
        <v>404.95</v>
      </c>
      <c r="O2426" s="115">
        <v>388.55</v>
      </c>
      <c r="P2426" s="115">
        <v>394.2</v>
      </c>
      <c r="Q2426" s="115">
        <v>400.2</v>
      </c>
      <c r="R2426">
        <v>192136</v>
      </c>
    </row>
    <row r="2427" spans="1:18" x14ac:dyDescent="0.25">
      <c r="A2427" s="169">
        <v>45580</v>
      </c>
      <c r="B2427" s="115">
        <v>396</v>
      </c>
      <c r="C2427" s="115">
        <v>392.15</v>
      </c>
      <c r="D2427" s="115">
        <v>390.75</v>
      </c>
      <c r="E2427" s="115">
        <v>396</v>
      </c>
      <c r="F2427" s="115">
        <v>392.15</v>
      </c>
      <c r="G2427">
        <v>3021</v>
      </c>
      <c r="H2427" s="115"/>
      <c r="I2427" s="115"/>
      <c r="L2427" s="169">
        <v>45579</v>
      </c>
      <c r="M2427" s="115">
        <v>392.9</v>
      </c>
      <c r="N2427" s="115">
        <v>404.3</v>
      </c>
      <c r="O2427" s="115">
        <v>392</v>
      </c>
      <c r="P2427" s="115">
        <v>401.5</v>
      </c>
      <c r="Q2427" s="115">
        <v>392.9</v>
      </c>
      <c r="R2427">
        <v>137264</v>
      </c>
    </row>
    <row r="2428" spans="1:18" x14ac:dyDescent="0.25">
      <c r="A2428" s="169">
        <v>45581</v>
      </c>
      <c r="B2428" s="115">
        <v>395.45</v>
      </c>
      <c r="C2428" s="115">
        <v>392.25</v>
      </c>
      <c r="D2428" s="115">
        <v>390.2</v>
      </c>
      <c r="E2428" s="115">
        <v>392.15</v>
      </c>
      <c r="F2428" s="115">
        <v>392.25</v>
      </c>
      <c r="G2428">
        <v>1289</v>
      </c>
      <c r="H2428" s="115"/>
      <c r="I2428" s="115"/>
      <c r="L2428" s="169">
        <v>45580</v>
      </c>
      <c r="M2428" s="115">
        <v>392.75</v>
      </c>
      <c r="N2428" s="115">
        <v>395.45</v>
      </c>
      <c r="O2428" s="115">
        <v>390</v>
      </c>
      <c r="P2428" s="115">
        <v>394</v>
      </c>
      <c r="Q2428" s="115">
        <v>392.75</v>
      </c>
      <c r="R2428">
        <v>73953</v>
      </c>
    </row>
    <row r="2429" spans="1:18" x14ac:dyDescent="0.25">
      <c r="A2429" s="169">
        <v>45582</v>
      </c>
      <c r="B2429" s="115">
        <v>399.1</v>
      </c>
      <c r="C2429" s="115">
        <v>391.65</v>
      </c>
      <c r="D2429" s="115">
        <v>390.45</v>
      </c>
      <c r="E2429" s="115">
        <v>394.1</v>
      </c>
      <c r="F2429" s="115">
        <v>391.65</v>
      </c>
      <c r="G2429">
        <v>4391</v>
      </c>
      <c r="H2429" s="115"/>
      <c r="I2429" s="115"/>
      <c r="L2429" s="169">
        <v>45581</v>
      </c>
      <c r="M2429" s="115">
        <v>392.25</v>
      </c>
      <c r="N2429" s="115">
        <v>395.9</v>
      </c>
      <c r="O2429" s="115">
        <v>390</v>
      </c>
      <c r="P2429" s="115">
        <v>392.5</v>
      </c>
      <c r="Q2429" s="115">
        <v>392.25</v>
      </c>
      <c r="R2429">
        <v>44382</v>
      </c>
    </row>
    <row r="2430" spans="1:18" x14ac:dyDescent="0.25">
      <c r="A2430" s="169">
        <v>45583</v>
      </c>
      <c r="B2430" s="115">
        <v>398.3</v>
      </c>
      <c r="C2430" s="115">
        <v>393.9</v>
      </c>
      <c r="D2430" s="115">
        <v>380.1</v>
      </c>
      <c r="E2430" s="115">
        <v>390</v>
      </c>
      <c r="F2430" s="115">
        <v>393.9</v>
      </c>
      <c r="G2430">
        <v>2513</v>
      </c>
      <c r="H2430" s="115"/>
      <c r="I2430" s="115"/>
      <c r="L2430" s="169">
        <v>45582</v>
      </c>
      <c r="M2430" s="115">
        <v>392.95</v>
      </c>
      <c r="N2430" s="115">
        <v>399</v>
      </c>
      <c r="O2430" s="115">
        <v>390.85</v>
      </c>
      <c r="P2430" s="115">
        <v>393.25</v>
      </c>
      <c r="Q2430" s="115">
        <v>392.95</v>
      </c>
      <c r="R2430">
        <v>148096</v>
      </c>
    </row>
    <row r="2431" spans="1:18" x14ac:dyDescent="0.25">
      <c r="A2431" s="169">
        <v>45586</v>
      </c>
      <c r="B2431" s="115">
        <v>400</v>
      </c>
      <c r="C2431" s="115">
        <v>395.25</v>
      </c>
      <c r="D2431" s="115">
        <v>388</v>
      </c>
      <c r="E2431" s="115">
        <v>388</v>
      </c>
      <c r="F2431" s="115">
        <v>395.25</v>
      </c>
      <c r="G2431">
        <v>9857</v>
      </c>
      <c r="H2431" s="115"/>
      <c r="I2431" s="115"/>
      <c r="L2431" s="169">
        <v>45583</v>
      </c>
      <c r="M2431" s="115">
        <v>393.2</v>
      </c>
      <c r="N2431" s="115">
        <v>398</v>
      </c>
      <c r="O2431" s="115">
        <v>379</v>
      </c>
      <c r="P2431" s="115">
        <v>388.65</v>
      </c>
      <c r="Q2431" s="115">
        <v>393.2</v>
      </c>
      <c r="R2431">
        <v>59238</v>
      </c>
    </row>
    <row r="2432" spans="1:18" x14ac:dyDescent="0.25">
      <c r="A2432" s="169">
        <v>45587</v>
      </c>
      <c r="B2432" s="115">
        <v>392.65</v>
      </c>
      <c r="C2432" s="115">
        <v>372.2</v>
      </c>
      <c r="D2432" s="115">
        <v>357.3</v>
      </c>
      <c r="E2432" s="115">
        <v>391.85</v>
      </c>
      <c r="F2432" s="115">
        <v>372.2</v>
      </c>
      <c r="G2432">
        <v>15824</v>
      </c>
      <c r="H2432" s="115"/>
      <c r="I2432" s="115"/>
      <c r="L2432" s="169">
        <v>45586</v>
      </c>
      <c r="M2432" s="115">
        <v>395.45</v>
      </c>
      <c r="N2432" s="115">
        <v>402.6</v>
      </c>
      <c r="O2432" s="115">
        <v>390.8</v>
      </c>
      <c r="P2432" s="115">
        <v>395</v>
      </c>
      <c r="Q2432" s="115">
        <v>395.45</v>
      </c>
      <c r="R2432">
        <v>92790</v>
      </c>
    </row>
    <row r="2433" spans="1:18" x14ac:dyDescent="0.25">
      <c r="A2433" s="169">
        <v>45588</v>
      </c>
      <c r="B2433" s="115">
        <v>352.4</v>
      </c>
      <c r="C2433" s="115">
        <v>327.45</v>
      </c>
      <c r="D2433" s="115">
        <v>326</v>
      </c>
      <c r="E2433" s="115">
        <v>349.95</v>
      </c>
      <c r="F2433" s="115">
        <v>327.45</v>
      </c>
      <c r="G2433">
        <v>40125</v>
      </c>
      <c r="H2433" s="115"/>
      <c r="I2433" s="115"/>
      <c r="L2433" s="169">
        <v>45587</v>
      </c>
      <c r="M2433" s="115">
        <v>368.95</v>
      </c>
      <c r="N2433" s="115">
        <v>395.75</v>
      </c>
      <c r="O2433" s="115">
        <v>352.35</v>
      </c>
      <c r="P2433" s="115">
        <v>395.45</v>
      </c>
      <c r="Q2433" s="115">
        <v>368.95</v>
      </c>
      <c r="R2433">
        <v>224894</v>
      </c>
    </row>
    <row r="2434" spans="1:18" x14ac:dyDescent="0.25">
      <c r="A2434" s="169">
        <v>45589</v>
      </c>
      <c r="B2434" s="115">
        <v>327</v>
      </c>
      <c r="C2434" s="115">
        <v>297.3</v>
      </c>
      <c r="D2434" s="115">
        <v>294.25</v>
      </c>
      <c r="E2434" s="115">
        <v>327</v>
      </c>
      <c r="F2434" s="115">
        <v>297.3</v>
      </c>
      <c r="G2434">
        <v>42360</v>
      </c>
      <c r="H2434" s="115"/>
      <c r="I2434" s="115"/>
      <c r="L2434" s="169">
        <v>45588</v>
      </c>
      <c r="M2434" s="115">
        <v>327.25</v>
      </c>
      <c r="N2434" s="115">
        <v>354.9</v>
      </c>
      <c r="O2434" s="115">
        <v>325</v>
      </c>
      <c r="P2434" s="115">
        <v>344.05</v>
      </c>
      <c r="Q2434" s="115">
        <v>327.25</v>
      </c>
      <c r="R2434">
        <v>440587</v>
      </c>
    </row>
    <row r="2435" spans="1:18" x14ac:dyDescent="0.25">
      <c r="A2435" s="169">
        <v>45590</v>
      </c>
      <c r="B2435" s="115">
        <v>299</v>
      </c>
      <c r="C2435" s="115">
        <v>276.3</v>
      </c>
      <c r="D2435" s="115">
        <v>272</v>
      </c>
      <c r="E2435" s="115">
        <v>299</v>
      </c>
      <c r="F2435" s="115">
        <v>276.3</v>
      </c>
      <c r="G2435">
        <v>41217</v>
      </c>
      <c r="H2435" s="115"/>
      <c r="I2435" s="115"/>
      <c r="L2435" s="169">
        <v>45589</v>
      </c>
      <c r="M2435" s="115">
        <v>297.14999999999998</v>
      </c>
      <c r="N2435" s="115">
        <v>329.75</v>
      </c>
      <c r="O2435" s="115">
        <v>294</v>
      </c>
      <c r="P2435" s="115">
        <v>329.75</v>
      </c>
      <c r="Q2435" s="115">
        <v>297.14999999999998</v>
      </c>
      <c r="R2435">
        <v>438816</v>
      </c>
    </row>
    <row r="2436" spans="1:18" x14ac:dyDescent="0.25">
      <c r="A2436" s="169">
        <v>45593</v>
      </c>
      <c r="B2436" s="115">
        <v>289.7</v>
      </c>
      <c r="C2436" s="115">
        <v>284.75</v>
      </c>
      <c r="D2436" s="115">
        <v>272.45</v>
      </c>
      <c r="E2436" s="115">
        <v>274.05</v>
      </c>
      <c r="F2436" s="115">
        <v>284.75</v>
      </c>
      <c r="G2436">
        <v>18890</v>
      </c>
      <c r="H2436" s="115"/>
      <c r="I2436" s="115"/>
      <c r="L2436" s="169">
        <v>45590</v>
      </c>
      <c r="M2436" s="115">
        <v>276.10000000000002</v>
      </c>
      <c r="N2436" s="115">
        <v>298.7</v>
      </c>
      <c r="O2436" s="115">
        <v>270.60000000000002</v>
      </c>
      <c r="P2436" s="115">
        <v>298.7</v>
      </c>
      <c r="Q2436" s="115">
        <v>276.10000000000002</v>
      </c>
      <c r="R2436">
        <v>370369</v>
      </c>
    </row>
    <row r="2437" spans="1:18" x14ac:dyDescent="0.25">
      <c r="A2437" s="169">
        <v>45594</v>
      </c>
      <c r="B2437" s="115">
        <v>290</v>
      </c>
      <c r="C2437" s="115">
        <v>273.35000000000002</v>
      </c>
      <c r="D2437" s="115">
        <v>272.64999999999998</v>
      </c>
      <c r="E2437" s="115">
        <v>290</v>
      </c>
      <c r="F2437" s="115">
        <v>273.35000000000002</v>
      </c>
      <c r="G2437">
        <v>16303</v>
      </c>
      <c r="H2437" s="115"/>
      <c r="I2437" s="115"/>
      <c r="L2437" s="169">
        <v>45593</v>
      </c>
      <c r="M2437" s="115">
        <v>284.89999999999998</v>
      </c>
      <c r="N2437" s="115">
        <v>290</v>
      </c>
      <c r="O2437" s="115">
        <v>273</v>
      </c>
      <c r="P2437" s="115">
        <v>276.05</v>
      </c>
      <c r="Q2437" s="115">
        <v>284.89999999999998</v>
      </c>
      <c r="R2437">
        <v>230265</v>
      </c>
    </row>
    <row r="2438" spans="1:18" x14ac:dyDescent="0.25">
      <c r="A2438" s="169">
        <v>45595</v>
      </c>
      <c r="B2438" s="115">
        <v>285.89999999999998</v>
      </c>
      <c r="C2438" s="115">
        <v>280.89999999999998</v>
      </c>
      <c r="D2438" s="115">
        <v>274</v>
      </c>
      <c r="E2438" s="115">
        <v>283.95</v>
      </c>
      <c r="F2438" s="115">
        <v>280.89999999999998</v>
      </c>
      <c r="G2438">
        <v>4414</v>
      </c>
      <c r="H2438" s="115"/>
      <c r="I2438" s="115"/>
      <c r="L2438" s="169">
        <v>45594</v>
      </c>
      <c r="M2438" s="115">
        <v>273.60000000000002</v>
      </c>
      <c r="N2438" s="115">
        <v>286.05</v>
      </c>
      <c r="O2438" s="115">
        <v>272.2</v>
      </c>
      <c r="P2438" s="115">
        <v>284.89999999999998</v>
      </c>
      <c r="Q2438" s="115">
        <v>273.60000000000002</v>
      </c>
      <c r="R2438">
        <v>98603</v>
      </c>
    </row>
    <row r="2439" spans="1:18" x14ac:dyDescent="0.25">
      <c r="A2439" s="169">
        <v>45596</v>
      </c>
      <c r="B2439" s="115">
        <v>290</v>
      </c>
      <c r="C2439" s="115">
        <v>284.25</v>
      </c>
      <c r="D2439" s="115">
        <v>277</v>
      </c>
      <c r="E2439" s="115">
        <v>285</v>
      </c>
      <c r="F2439" s="115">
        <v>284.25</v>
      </c>
      <c r="G2439">
        <v>8296</v>
      </c>
      <c r="H2439" s="115"/>
      <c r="I2439" s="115"/>
      <c r="L2439" s="169">
        <v>45595</v>
      </c>
      <c r="M2439" s="115">
        <v>280.39999999999998</v>
      </c>
      <c r="N2439" s="115">
        <v>285.95</v>
      </c>
      <c r="O2439" s="115">
        <v>273.8</v>
      </c>
      <c r="P2439" s="115">
        <v>277</v>
      </c>
      <c r="Q2439" s="115">
        <v>280.39999999999998</v>
      </c>
      <c r="R2439">
        <v>109815</v>
      </c>
    </row>
    <row r="2440" spans="1:18" x14ac:dyDescent="0.25">
      <c r="A2440" s="169">
        <v>45597</v>
      </c>
      <c r="B2440" s="115">
        <v>293.95</v>
      </c>
      <c r="C2440" s="115">
        <v>291.89999999999998</v>
      </c>
      <c r="D2440" s="115">
        <v>288.89999999999998</v>
      </c>
      <c r="E2440" s="115">
        <v>288.95</v>
      </c>
      <c r="F2440" s="115">
        <v>291.89999999999998</v>
      </c>
      <c r="G2440">
        <v>2616</v>
      </c>
      <c r="H2440" s="115"/>
      <c r="I2440" s="115"/>
      <c r="L2440" s="169">
        <v>45596</v>
      </c>
      <c r="M2440" s="115">
        <v>285.10000000000002</v>
      </c>
      <c r="N2440" s="115">
        <v>290.25</v>
      </c>
      <c r="O2440" s="115">
        <v>276.25</v>
      </c>
      <c r="P2440" s="115">
        <v>280.39999999999998</v>
      </c>
      <c r="Q2440" s="115">
        <v>285.10000000000002</v>
      </c>
      <c r="R2440">
        <v>85353</v>
      </c>
    </row>
    <row r="2441" spans="1:18" x14ac:dyDescent="0.25">
      <c r="A2441" s="169">
        <v>45600</v>
      </c>
      <c r="B2441" s="115">
        <v>289.2</v>
      </c>
      <c r="C2441" s="115">
        <v>288.39999999999998</v>
      </c>
      <c r="D2441" s="115">
        <v>282.8</v>
      </c>
      <c r="E2441" s="115">
        <v>286.25</v>
      </c>
      <c r="F2441" s="115">
        <v>288.39999999999998</v>
      </c>
      <c r="G2441">
        <v>5094</v>
      </c>
      <c r="H2441" s="115"/>
      <c r="I2441" s="115"/>
      <c r="L2441" s="169">
        <v>45597</v>
      </c>
      <c r="M2441" s="115">
        <v>291.7</v>
      </c>
      <c r="N2441" s="115">
        <v>294.3</v>
      </c>
      <c r="O2441" s="115">
        <v>285.89999999999998</v>
      </c>
      <c r="P2441" s="115">
        <v>285.89999999999998</v>
      </c>
      <c r="Q2441" s="115">
        <v>291.7</v>
      </c>
      <c r="R2441">
        <v>29612</v>
      </c>
    </row>
    <row r="2442" spans="1:18" x14ac:dyDescent="0.25">
      <c r="A2442" s="169">
        <v>45601</v>
      </c>
      <c r="B2442" s="115">
        <v>294.89999999999998</v>
      </c>
      <c r="C2442" s="115">
        <v>284.8</v>
      </c>
      <c r="D2442" s="115">
        <v>279.05</v>
      </c>
      <c r="E2442" s="115">
        <v>294.89999999999998</v>
      </c>
      <c r="F2442" s="115">
        <v>284.8</v>
      </c>
      <c r="G2442">
        <v>19672</v>
      </c>
      <c r="H2442" s="115"/>
      <c r="I2442" s="115"/>
      <c r="L2442" s="169">
        <v>45600</v>
      </c>
      <c r="M2442" s="115">
        <v>287</v>
      </c>
      <c r="N2442" s="115">
        <v>291.55</v>
      </c>
      <c r="O2442" s="115">
        <v>282.7</v>
      </c>
      <c r="P2442" s="115">
        <v>291.55</v>
      </c>
      <c r="Q2442" s="115">
        <v>287</v>
      </c>
      <c r="R2442">
        <v>53223</v>
      </c>
    </row>
    <row r="2443" spans="1:18" x14ac:dyDescent="0.25">
      <c r="A2443" s="169">
        <v>45602</v>
      </c>
      <c r="B2443" s="115">
        <v>296.89999999999998</v>
      </c>
      <c r="C2443" s="115">
        <v>287.60000000000002</v>
      </c>
      <c r="D2443" s="115">
        <v>282.60000000000002</v>
      </c>
      <c r="E2443" s="115">
        <v>296.89999999999998</v>
      </c>
      <c r="F2443" s="115">
        <v>287.60000000000002</v>
      </c>
      <c r="G2443">
        <v>17106</v>
      </c>
      <c r="H2443" s="115"/>
      <c r="I2443" s="115"/>
      <c r="L2443" s="169">
        <v>45601</v>
      </c>
      <c r="M2443" s="115">
        <v>283.8</v>
      </c>
      <c r="N2443" s="115">
        <v>293</v>
      </c>
      <c r="O2443" s="115">
        <v>276.64999999999998</v>
      </c>
      <c r="P2443" s="115">
        <v>287.25</v>
      </c>
      <c r="Q2443" s="115">
        <v>283.8</v>
      </c>
      <c r="R2443">
        <v>104345</v>
      </c>
    </row>
    <row r="2444" spans="1:18" x14ac:dyDescent="0.25">
      <c r="A2444" s="169">
        <v>45603</v>
      </c>
      <c r="B2444" s="115">
        <v>298.35000000000002</v>
      </c>
      <c r="C2444" s="115">
        <v>295.60000000000002</v>
      </c>
      <c r="D2444" s="115">
        <v>288.10000000000002</v>
      </c>
      <c r="E2444" s="115">
        <v>294</v>
      </c>
      <c r="F2444" s="115">
        <v>295.60000000000002</v>
      </c>
      <c r="G2444">
        <v>8912</v>
      </c>
      <c r="H2444" s="115"/>
      <c r="I2444" s="115"/>
      <c r="L2444" s="169">
        <v>45602</v>
      </c>
      <c r="M2444" s="115">
        <v>287.3</v>
      </c>
      <c r="N2444" s="115">
        <v>293</v>
      </c>
      <c r="O2444" s="115">
        <v>281.10000000000002</v>
      </c>
      <c r="P2444" s="115">
        <v>287.89999999999998</v>
      </c>
      <c r="Q2444" s="115">
        <v>287.3</v>
      </c>
      <c r="R2444">
        <v>235847</v>
      </c>
    </row>
    <row r="2445" spans="1:18" x14ac:dyDescent="0.25">
      <c r="A2445" s="169">
        <v>45604</v>
      </c>
      <c r="B2445" s="115">
        <v>300</v>
      </c>
      <c r="C2445" s="115">
        <v>285.10000000000002</v>
      </c>
      <c r="D2445" s="115">
        <v>283.3</v>
      </c>
      <c r="E2445" s="115">
        <v>300</v>
      </c>
      <c r="F2445" s="115">
        <v>285.10000000000002</v>
      </c>
      <c r="G2445">
        <v>6988</v>
      </c>
      <c r="H2445" s="115"/>
      <c r="I2445" s="115"/>
      <c r="L2445" s="169">
        <v>45603</v>
      </c>
      <c r="M2445" s="115">
        <v>294.95</v>
      </c>
      <c r="N2445" s="115">
        <v>298.8</v>
      </c>
      <c r="O2445" s="115">
        <v>288</v>
      </c>
      <c r="P2445" s="115">
        <v>290.60000000000002</v>
      </c>
      <c r="Q2445" s="115">
        <v>294.95</v>
      </c>
      <c r="R2445">
        <v>144374</v>
      </c>
    </row>
    <row r="2446" spans="1:18" x14ac:dyDescent="0.25">
      <c r="A2446" s="169">
        <v>45607</v>
      </c>
      <c r="B2446" s="115">
        <v>289.95</v>
      </c>
      <c r="C2446" s="115">
        <v>285.8</v>
      </c>
      <c r="D2446" s="115">
        <v>277.95</v>
      </c>
      <c r="E2446" s="115">
        <v>286</v>
      </c>
      <c r="F2446" s="115">
        <v>285.8</v>
      </c>
      <c r="G2446">
        <v>2140</v>
      </c>
      <c r="H2446" s="115"/>
      <c r="I2446" s="115"/>
      <c r="L2446" s="169">
        <v>45604</v>
      </c>
      <c r="M2446" s="115">
        <v>285.89999999999998</v>
      </c>
      <c r="N2446" s="115">
        <v>297.10000000000002</v>
      </c>
      <c r="O2446" s="115">
        <v>283.5</v>
      </c>
      <c r="P2446" s="115">
        <v>297.10000000000002</v>
      </c>
      <c r="Q2446" s="115">
        <v>285.89999999999998</v>
      </c>
      <c r="R2446">
        <v>80949</v>
      </c>
    </row>
    <row r="2447" spans="1:18" x14ac:dyDescent="0.25">
      <c r="A2447" s="169">
        <v>45608</v>
      </c>
      <c r="B2447" s="115">
        <v>294.55</v>
      </c>
      <c r="C2447" s="115">
        <v>282.64999999999998</v>
      </c>
      <c r="D2447" s="115">
        <v>281</v>
      </c>
      <c r="E2447" s="115">
        <v>294.55</v>
      </c>
      <c r="F2447" s="115">
        <v>282.64999999999998</v>
      </c>
      <c r="G2447">
        <v>7111</v>
      </c>
      <c r="H2447" s="115"/>
      <c r="I2447" s="115"/>
      <c r="L2447" s="169">
        <v>45607</v>
      </c>
      <c r="M2447" s="115">
        <v>285.05</v>
      </c>
      <c r="N2447" s="115">
        <v>289.95</v>
      </c>
      <c r="O2447" s="115">
        <v>278.2</v>
      </c>
      <c r="P2447" s="115">
        <v>285.89999999999998</v>
      </c>
      <c r="Q2447" s="115">
        <v>285.05</v>
      </c>
      <c r="R2447">
        <v>58804</v>
      </c>
    </row>
    <row r="2448" spans="1:18" x14ac:dyDescent="0.25">
      <c r="A2448" s="169">
        <v>45609</v>
      </c>
      <c r="B2448" s="115">
        <v>288</v>
      </c>
      <c r="C2448" s="115">
        <v>276.89999999999998</v>
      </c>
      <c r="D2448" s="115">
        <v>273.14999999999998</v>
      </c>
      <c r="E2448" s="115">
        <v>288</v>
      </c>
      <c r="F2448" s="115">
        <v>276.89999999999998</v>
      </c>
      <c r="G2448">
        <v>7017</v>
      </c>
      <c r="H2448" s="115"/>
      <c r="I2448" s="115"/>
      <c r="L2448" s="169">
        <v>45608</v>
      </c>
      <c r="M2448" s="115">
        <v>282.45</v>
      </c>
      <c r="N2448" s="115">
        <v>287.7</v>
      </c>
      <c r="O2448" s="115">
        <v>281</v>
      </c>
      <c r="P2448" s="115">
        <v>284.5</v>
      </c>
      <c r="Q2448" s="115">
        <v>282.45</v>
      </c>
      <c r="R2448">
        <v>40355</v>
      </c>
    </row>
    <row r="2449" spans="1:18" x14ac:dyDescent="0.25">
      <c r="A2449" s="169">
        <v>45610</v>
      </c>
      <c r="B2449" s="115">
        <v>287.8</v>
      </c>
      <c r="C2449" s="115">
        <v>268.5</v>
      </c>
      <c r="D2449" s="115">
        <v>267.39999999999998</v>
      </c>
      <c r="E2449" s="115">
        <v>287.8</v>
      </c>
      <c r="F2449" s="115">
        <v>268.5</v>
      </c>
      <c r="G2449">
        <v>10098</v>
      </c>
      <c r="H2449" s="115"/>
      <c r="I2449" s="115"/>
      <c r="L2449" s="169">
        <v>45609</v>
      </c>
      <c r="M2449" s="115">
        <v>276.75</v>
      </c>
      <c r="N2449" s="115">
        <v>283.05</v>
      </c>
      <c r="O2449" s="115">
        <v>273.5</v>
      </c>
      <c r="P2449" s="115">
        <v>282</v>
      </c>
      <c r="Q2449" s="115">
        <v>276.75</v>
      </c>
      <c r="R2449">
        <v>87811</v>
      </c>
    </row>
    <row r="2450" spans="1:18" x14ac:dyDescent="0.25">
      <c r="A2450" s="169">
        <v>45614</v>
      </c>
      <c r="B2450" s="115">
        <v>274</v>
      </c>
      <c r="C2450" s="115">
        <v>260.10000000000002</v>
      </c>
      <c r="D2450" s="115">
        <v>259.95</v>
      </c>
      <c r="E2450" s="115">
        <v>274</v>
      </c>
      <c r="F2450" s="115">
        <v>260.10000000000002</v>
      </c>
      <c r="G2450">
        <v>3276</v>
      </c>
      <c r="H2450" s="115"/>
      <c r="I2450" s="115"/>
      <c r="L2450" s="169">
        <v>45610</v>
      </c>
      <c r="M2450" s="115">
        <v>268.60000000000002</v>
      </c>
      <c r="N2450" s="115">
        <v>279.39999999999998</v>
      </c>
      <c r="O2450" s="115">
        <v>267.10000000000002</v>
      </c>
      <c r="P2450" s="115">
        <v>279.39999999999998</v>
      </c>
      <c r="Q2450" s="115">
        <v>268.60000000000002</v>
      </c>
      <c r="R2450">
        <v>156036</v>
      </c>
    </row>
    <row r="2451" spans="1:18" x14ac:dyDescent="0.25">
      <c r="A2451" s="169">
        <v>45615</v>
      </c>
      <c r="B2451" s="115">
        <v>275.05</v>
      </c>
      <c r="C2451" s="115">
        <v>271.45</v>
      </c>
      <c r="D2451" s="115">
        <v>259.8</v>
      </c>
      <c r="E2451" s="115">
        <v>267</v>
      </c>
      <c r="F2451" s="115">
        <v>271.45</v>
      </c>
      <c r="G2451">
        <v>3288</v>
      </c>
      <c r="H2451" s="115"/>
      <c r="I2451" s="115"/>
      <c r="L2451" s="169">
        <v>45614</v>
      </c>
      <c r="M2451" s="115">
        <v>260.7</v>
      </c>
      <c r="N2451" s="115">
        <v>271.39999999999998</v>
      </c>
      <c r="O2451" s="115">
        <v>259.5</v>
      </c>
      <c r="P2451" s="115">
        <v>268.60000000000002</v>
      </c>
      <c r="Q2451" s="115">
        <v>260.7</v>
      </c>
      <c r="R2451">
        <v>95204</v>
      </c>
    </row>
    <row r="2452" spans="1:18" x14ac:dyDescent="0.25">
      <c r="A2452" s="169">
        <v>45617</v>
      </c>
      <c r="B2452" s="115">
        <v>274.95</v>
      </c>
      <c r="C2452" s="115">
        <v>262.95</v>
      </c>
      <c r="D2452" s="115">
        <v>261.25</v>
      </c>
      <c r="E2452" s="115">
        <v>274.95</v>
      </c>
      <c r="F2452" s="115">
        <v>262.95</v>
      </c>
      <c r="G2452">
        <v>12229</v>
      </c>
      <c r="H2452" s="115"/>
      <c r="I2452" s="115"/>
      <c r="L2452" s="169">
        <v>45615</v>
      </c>
      <c r="M2452" s="115">
        <v>270.2</v>
      </c>
      <c r="N2452" s="115">
        <v>275.85000000000002</v>
      </c>
      <c r="O2452" s="115">
        <v>259.2</v>
      </c>
      <c r="P2452" s="115">
        <v>263.7</v>
      </c>
      <c r="Q2452" s="115">
        <v>270.2</v>
      </c>
      <c r="R2452">
        <v>88979</v>
      </c>
    </row>
    <row r="2453" spans="1:18" x14ac:dyDescent="0.25">
      <c r="A2453" s="169">
        <v>45618</v>
      </c>
      <c r="B2453" s="115">
        <v>275.2</v>
      </c>
      <c r="C2453" s="115">
        <v>266.5</v>
      </c>
      <c r="D2453" s="115">
        <v>261.95</v>
      </c>
      <c r="E2453" s="115">
        <v>275.2</v>
      </c>
      <c r="F2453" s="115">
        <v>266.5</v>
      </c>
      <c r="G2453">
        <v>1450</v>
      </c>
      <c r="H2453" s="115"/>
      <c r="I2453" s="115"/>
      <c r="L2453" s="169">
        <v>45617</v>
      </c>
      <c r="M2453" s="115">
        <v>263.25</v>
      </c>
      <c r="N2453" s="115">
        <v>270.2</v>
      </c>
      <c r="O2453" s="115">
        <v>260.10000000000002</v>
      </c>
      <c r="P2453" s="115">
        <v>270.2</v>
      </c>
      <c r="Q2453" s="115">
        <v>263.25</v>
      </c>
      <c r="R2453">
        <v>77610</v>
      </c>
    </row>
    <row r="2454" spans="1:18" x14ac:dyDescent="0.25">
      <c r="A2454" s="169">
        <v>45621</v>
      </c>
      <c r="B2454" s="115">
        <v>273.75</v>
      </c>
      <c r="C2454" s="115">
        <v>269.3</v>
      </c>
      <c r="D2454" s="115">
        <v>268</v>
      </c>
      <c r="E2454" s="115">
        <v>271.95</v>
      </c>
      <c r="F2454" s="115">
        <v>269.3</v>
      </c>
      <c r="G2454">
        <v>1741</v>
      </c>
      <c r="H2454" s="115"/>
      <c r="I2454" s="115"/>
      <c r="L2454" s="169">
        <v>45618</v>
      </c>
      <c r="M2454" s="115">
        <v>266.60000000000002</v>
      </c>
      <c r="N2454" s="115">
        <v>272.2</v>
      </c>
      <c r="O2454" s="115">
        <v>260.8</v>
      </c>
      <c r="P2454" s="115">
        <v>261.14999999999998</v>
      </c>
      <c r="Q2454" s="115">
        <v>266.60000000000002</v>
      </c>
      <c r="R2454">
        <v>94629</v>
      </c>
    </row>
    <row r="2455" spans="1:18" x14ac:dyDescent="0.25">
      <c r="A2455" s="169">
        <v>45622</v>
      </c>
      <c r="B2455" s="115">
        <v>270.89999999999998</v>
      </c>
      <c r="C2455" s="115">
        <v>267.35000000000002</v>
      </c>
      <c r="D2455" s="115">
        <v>261.55</v>
      </c>
      <c r="E2455" s="115">
        <v>261.55</v>
      </c>
      <c r="F2455" s="115">
        <v>267.35000000000002</v>
      </c>
      <c r="G2455">
        <v>4249</v>
      </c>
      <c r="H2455" s="115"/>
      <c r="I2455" s="115"/>
      <c r="L2455" s="169">
        <v>45621</v>
      </c>
      <c r="M2455" s="115">
        <v>268.55</v>
      </c>
      <c r="N2455" s="115">
        <v>274.8</v>
      </c>
      <c r="O2455" s="115">
        <v>267</v>
      </c>
      <c r="P2455" s="115">
        <v>269.3</v>
      </c>
      <c r="Q2455" s="115">
        <v>268.55</v>
      </c>
      <c r="R2455">
        <v>69246</v>
      </c>
    </row>
    <row r="2456" spans="1:18" x14ac:dyDescent="0.25">
      <c r="A2456" s="169">
        <v>45623</v>
      </c>
      <c r="B2456" s="115">
        <v>292.35000000000002</v>
      </c>
      <c r="C2456" s="115">
        <v>286.7</v>
      </c>
      <c r="D2456" s="115">
        <v>268.25</v>
      </c>
      <c r="E2456" s="115">
        <v>279.7</v>
      </c>
      <c r="F2456" s="115">
        <v>286.7</v>
      </c>
      <c r="G2456">
        <v>6136</v>
      </c>
      <c r="H2456" s="115"/>
      <c r="I2456" s="115"/>
      <c r="L2456" s="169">
        <v>45622</v>
      </c>
      <c r="M2456" s="115">
        <v>267.45</v>
      </c>
      <c r="N2456" s="115">
        <v>271.10000000000002</v>
      </c>
      <c r="O2456" s="115">
        <v>266.3</v>
      </c>
      <c r="P2456" s="115">
        <v>266.3</v>
      </c>
      <c r="Q2456" s="115">
        <v>267.45</v>
      </c>
      <c r="R2456">
        <v>78477</v>
      </c>
    </row>
    <row r="2457" spans="1:18" x14ac:dyDescent="0.25">
      <c r="A2457" s="169">
        <v>45624</v>
      </c>
      <c r="B2457" s="115">
        <v>300.55</v>
      </c>
      <c r="C2457" s="115">
        <v>287.55</v>
      </c>
      <c r="D2457" s="115">
        <v>282.05</v>
      </c>
      <c r="E2457" s="115">
        <v>290.75</v>
      </c>
      <c r="F2457" s="115">
        <v>287.55</v>
      </c>
      <c r="G2457">
        <v>18495</v>
      </c>
      <c r="H2457" s="115"/>
      <c r="I2457" s="115"/>
      <c r="L2457" s="169">
        <v>45623</v>
      </c>
      <c r="M2457" s="115">
        <v>285.45</v>
      </c>
      <c r="N2457" s="115">
        <v>293.25</v>
      </c>
      <c r="O2457" s="115">
        <v>267.35000000000002</v>
      </c>
      <c r="P2457" s="115">
        <v>268.55</v>
      </c>
      <c r="Q2457" s="115">
        <v>285.45</v>
      </c>
      <c r="R2457">
        <v>277673</v>
      </c>
    </row>
    <row r="2458" spans="1:18" x14ac:dyDescent="0.25">
      <c r="A2458" s="169">
        <v>45625</v>
      </c>
      <c r="B2458" s="115">
        <v>289.25</v>
      </c>
      <c r="C2458" s="115">
        <v>284.8</v>
      </c>
      <c r="D2458" s="115">
        <v>283.7</v>
      </c>
      <c r="E2458" s="115">
        <v>288.8</v>
      </c>
      <c r="F2458" s="115">
        <v>284.8</v>
      </c>
      <c r="G2458">
        <v>6856</v>
      </c>
      <c r="H2458" s="115"/>
      <c r="I2458" s="115"/>
      <c r="L2458" s="169">
        <v>45624</v>
      </c>
      <c r="M2458" s="115">
        <v>286.8</v>
      </c>
      <c r="N2458" s="115">
        <v>300</v>
      </c>
      <c r="O2458" s="115">
        <v>282.89999999999998</v>
      </c>
      <c r="P2458" s="115">
        <v>285.45</v>
      </c>
      <c r="Q2458" s="115">
        <v>286.8</v>
      </c>
      <c r="R2458">
        <v>208832</v>
      </c>
    </row>
    <row r="2459" spans="1:18" x14ac:dyDescent="0.25">
      <c r="A2459" s="169">
        <v>45628</v>
      </c>
      <c r="B2459" s="115">
        <v>305.10000000000002</v>
      </c>
      <c r="C2459" s="115">
        <v>298.45</v>
      </c>
      <c r="D2459" s="115">
        <v>283.05</v>
      </c>
      <c r="E2459" s="115">
        <v>285.95</v>
      </c>
      <c r="F2459" s="115">
        <v>298.45</v>
      </c>
      <c r="G2459">
        <v>14436</v>
      </c>
      <c r="H2459" s="115"/>
      <c r="I2459" s="115"/>
      <c r="L2459" s="169">
        <v>45625</v>
      </c>
      <c r="M2459" s="115">
        <v>285.39999999999998</v>
      </c>
      <c r="N2459" s="115">
        <v>292.25</v>
      </c>
      <c r="O2459" s="115">
        <v>283.60000000000002</v>
      </c>
      <c r="P2459" s="115">
        <v>287.05</v>
      </c>
      <c r="Q2459" s="115">
        <v>285.39999999999998</v>
      </c>
      <c r="R2459">
        <v>49219</v>
      </c>
    </row>
    <row r="2460" spans="1:18" x14ac:dyDescent="0.25">
      <c r="A2460" s="169">
        <v>45629</v>
      </c>
      <c r="B2460" s="115">
        <v>306</v>
      </c>
      <c r="C2460" s="115">
        <v>300.2</v>
      </c>
      <c r="D2460" s="115">
        <v>298</v>
      </c>
      <c r="E2460" s="115">
        <v>302</v>
      </c>
      <c r="F2460" s="115">
        <v>300.2</v>
      </c>
      <c r="G2460">
        <v>12456</v>
      </c>
      <c r="H2460" s="115"/>
      <c r="I2460" s="115"/>
      <c r="L2460" s="169">
        <v>45628</v>
      </c>
      <c r="M2460" s="115">
        <v>298.39999999999998</v>
      </c>
      <c r="N2460" s="115">
        <v>304.95</v>
      </c>
      <c r="O2460" s="115">
        <v>282.2</v>
      </c>
      <c r="P2460" s="115">
        <v>285.2</v>
      </c>
      <c r="Q2460" s="115">
        <v>298.39999999999998</v>
      </c>
      <c r="R2460">
        <v>238042</v>
      </c>
    </row>
    <row r="2461" spans="1:18" x14ac:dyDescent="0.25">
      <c r="A2461" s="169">
        <v>45630</v>
      </c>
      <c r="B2461" s="115">
        <v>309.60000000000002</v>
      </c>
      <c r="C2461" s="115">
        <v>305.8</v>
      </c>
      <c r="D2461" s="115">
        <v>296.39999999999998</v>
      </c>
      <c r="E2461" s="115">
        <v>300.60000000000002</v>
      </c>
      <c r="F2461" s="115">
        <v>305.8</v>
      </c>
      <c r="G2461">
        <v>12179</v>
      </c>
      <c r="H2461" s="115"/>
      <c r="I2461" s="115"/>
      <c r="L2461" s="169">
        <v>45629</v>
      </c>
      <c r="M2461" s="115">
        <v>300.55</v>
      </c>
      <c r="N2461" s="115">
        <v>306.5</v>
      </c>
      <c r="O2461" s="115">
        <v>297.3</v>
      </c>
      <c r="P2461" s="115">
        <v>300.35000000000002</v>
      </c>
      <c r="Q2461" s="115">
        <v>300.55</v>
      </c>
      <c r="R2461">
        <v>132584</v>
      </c>
    </row>
    <row r="2462" spans="1:18" x14ac:dyDescent="0.25">
      <c r="A2462" s="169">
        <v>45631</v>
      </c>
      <c r="B2462" s="115">
        <v>310.3</v>
      </c>
      <c r="C2462" s="115">
        <v>304.89999999999998</v>
      </c>
      <c r="D2462" s="115">
        <v>300.45</v>
      </c>
      <c r="E2462" s="115">
        <v>300.45</v>
      </c>
      <c r="F2462" s="115">
        <v>304.89999999999998</v>
      </c>
      <c r="G2462">
        <v>2834</v>
      </c>
      <c r="H2462" s="115"/>
      <c r="I2462" s="115"/>
      <c r="L2462" s="169">
        <v>45630</v>
      </c>
      <c r="M2462" s="115">
        <v>307.55</v>
      </c>
      <c r="N2462" s="115">
        <v>310.10000000000002</v>
      </c>
      <c r="O2462" s="115">
        <v>296</v>
      </c>
      <c r="P2462" s="115">
        <v>300.5</v>
      </c>
      <c r="Q2462" s="115">
        <v>307.55</v>
      </c>
      <c r="R2462">
        <v>176777</v>
      </c>
    </row>
    <row r="2463" spans="1:18" x14ac:dyDescent="0.25">
      <c r="A2463" s="169">
        <v>45632</v>
      </c>
      <c r="B2463" s="115">
        <v>307.14999999999998</v>
      </c>
      <c r="C2463" s="115">
        <v>299.2</v>
      </c>
      <c r="D2463" s="115">
        <v>298.05</v>
      </c>
      <c r="E2463" s="115">
        <v>302.55</v>
      </c>
      <c r="F2463" s="115">
        <v>299.2</v>
      </c>
      <c r="G2463">
        <v>8110</v>
      </c>
      <c r="H2463" s="115"/>
      <c r="I2463" s="115"/>
      <c r="L2463" s="169">
        <v>45631</v>
      </c>
      <c r="M2463" s="115">
        <v>304.64999999999998</v>
      </c>
      <c r="N2463" s="115">
        <v>310.39999999999998</v>
      </c>
      <c r="O2463" s="115">
        <v>301.35000000000002</v>
      </c>
      <c r="P2463" s="115">
        <v>308.75</v>
      </c>
      <c r="Q2463" s="115">
        <v>304.64999999999998</v>
      </c>
      <c r="R2463">
        <v>88009</v>
      </c>
    </row>
    <row r="2464" spans="1:18" x14ac:dyDescent="0.25">
      <c r="A2464" s="169">
        <v>45635</v>
      </c>
      <c r="B2464" s="115">
        <v>305.85000000000002</v>
      </c>
      <c r="C2464" s="115">
        <v>302.35000000000002</v>
      </c>
      <c r="D2464" s="115">
        <v>297.64999999999998</v>
      </c>
      <c r="E2464" s="115">
        <v>299.39999999999998</v>
      </c>
      <c r="F2464" s="115">
        <v>302.35000000000002</v>
      </c>
      <c r="G2464">
        <v>7914</v>
      </c>
      <c r="H2464" s="115"/>
      <c r="I2464" s="115"/>
      <c r="L2464" s="169">
        <v>45632</v>
      </c>
      <c r="M2464" s="115">
        <v>298.89999999999998</v>
      </c>
      <c r="N2464" s="115">
        <v>307</v>
      </c>
      <c r="O2464" s="115">
        <v>298</v>
      </c>
      <c r="P2464" s="115">
        <v>304.64999999999998</v>
      </c>
      <c r="Q2464" s="115">
        <v>298.89999999999998</v>
      </c>
      <c r="R2464">
        <v>85742</v>
      </c>
    </row>
    <row r="2465" spans="1:18" x14ac:dyDescent="0.25">
      <c r="A2465" s="169">
        <v>45636</v>
      </c>
      <c r="B2465" s="115">
        <v>308</v>
      </c>
      <c r="C2465" s="115">
        <v>300.75</v>
      </c>
      <c r="D2465" s="115">
        <v>297</v>
      </c>
      <c r="E2465" s="115">
        <v>302.35000000000002</v>
      </c>
      <c r="F2465" s="115">
        <v>300.75</v>
      </c>
      <c r="G2465">
        <v>17289</v>
      </c>
      <c r="H2465" s="115"/>
      <c r="I2465" s="115"/>
      <c r="L2465" s="169">
        <v>45635</v>
      </c>
      <c r="M2465" s="115">
        <v>302.10000000000002</v>
      </c>
      <c r="N2465" s="115">
        <v>306.95</v>
      </c>
      <c r="O2465" s="115">
        <v>296.5</v>
      </c>
      <c r="P2465" s="115">
        <v>297</v>
      </c>
      <c r="Q2465" s="115">
        <v>302.10000000000002</v>
      </c>
      <c r="R2465">
        <v>74813</v>
      </c>
    </row>
    <row r="2466" spans="1:18" x14ac:dyDescent="0.25">
      <c r="A2466" s="169">
        <v>45637</v>
      </c>
      <c r="B2466" s="115">
        <v>303</v>
      </c>
      <c r="C2466" s="115">
        <v>294.25</v>
      </c>
      <c r="D2466" s="115">
        <v>292.05</v>
      </c>
      <c r="E2466" s="115">
        <v>300</v>
      </c>
      <c r="F2466" s="115">
        <v>294.25</v>
      </c>
      <c r="G2466">
        <v>9194</v>
      </c>
      <c r="H2466" s="115"/>
      <c r="I2466" s="115"/>
      <c r="L2466" s="169">
        <v>45636</v>
      </c>
      <c r="M2466" s="115">
        <v>299.55</v>
      </c>
      <c r="N2466" s="115">
        <v>308</v>
      </c>
      <c r="O2466" s="115">
        <v>296.10000000000002</v>
      </c>
      <c r="P2466" s="115">
        <v>302.55</v>
      </c>
      <c r="Q2466" s="115">
        <v>299.55</v>
      </c>
      <c r="R2466">
        <v>149345</v>
      </c>
    </row>
    <row r="2467" spans="1:18" x14ac:dyDescent="0.25">
      <c r="A2467" s="169">
        <v>45638</v>
      </c>
      <c r="B2467" s="115">
        <v>316.05</v>
      </c>
      <c r="C2467" s="115">
        <v>303.60000000000002</v>
      </c>
      <c r="D2467" s="115">
        <v>294</v>
      </c>
      <c r="E2467" s="115">
        <v>295</v>
      </c>
      <c r="F2467" s="115">
        <v>303.60000000000002</v>
      </c>
      <c r="G2467">
        <v>15602</v>
      </c>
      <c r="H2467" s="115"/>
      <c r="I2467" s="115"/>
      <c r="L2467" s="169">
        <v>45637</v>
      </c>
      <c r="M2467" s="115">
        <v>293.7</v>
      </c>
      <c r="N2467" s="115">
        <v>303.75</v>
      </c>
      <c r="O2467" s="115">
        <v>292.10000000000002</v>
      </c>
      <c r="P2467" s="115">
        <v>299.3</v>
      </c>
      <c r="Q2467" s="115">
        <v>293.7</v>
      </c>
      <c r="R2467">
        <v>74256</v>
      </c>
    </row>
    <row r="2468" spans="1:18" x14ac:dyDescent="0.25">
      <c r="A2468" s="169">
        <v>45639</v>
      </c>
      <c r="B2468" s="115">
        <v>306.60000000000002</v>
      </c>
      <c r="C2468" s="115">
        <v>305.05</v>
      </c>
      <c r="D2468" s="115">
        <v>295.2</v>
      </c>
      <c r="E2468" s="115">
        <v>302.85000000000002</v>
      </c>
      <c r="F2468" s="115">
        <v>305.05</v>
      </c>
      <c r="G2468">
        <v>9044</v>
      </c>
      <c r="H2468" s="115"/>
      <c r="I2468" s="115"/>
      <c r="L2468" s="169">
        <v>45638</v>
      </c>
      <c r="M2468" s="115">
        <v>303</v>
      </c>
      <c r="N2468" s="115">
        <v>316</v>
      </c>
      <c r="O2468" s="115">
        <v>293</v>
      </c>
      <c r="P2468" s="115">
        <v>293.89999999999998</v>
      </c>
      <c r="Q2468" s="115">
        <v>303</v>
      </c>
      <c r="R2468">
        <v>209518</v>
      </c>
    </row>
    <row r="2469" spans="1:18" x14ac:dyDescent="0.25">
      <c r="A2469" s="169">
        <v>45642</v>
      </c>
      <c r="B2469" s="115">
        <v>307.45</v>
      </c>
      <c r="C2469" s="115">
        <v>298.25</v>
      </c>
      <c r="D2469" s="115">
        <v>297.60000000000002</v>
      </c>
      <c r="E2469" s="115">
        <v>300.60000000000002</v>
      </c>
      <c r="F2469" s="115">
        <v>298.25</v>
      </c>
      <c r="G2469">
        <v>7410</v>
      </c>
      <c r="H2469" s="115"/>
      <c r="I2469" s="115"/>
      <c r="L2469" s="169">
        <v>45639</v>
      </c>
      <c r="M2469" s="115">
        <v>305.05</v>
      </c>
      <c r="N2469" s="115">
        <v>306.85000000000002</v>
      </c>
      <c r="O2469" s="115">
        <v>295.10000000000002</v>
      </c>
      <c r="P2469" s="115">
        <v>302.5</v>
      </c>
      <c r="Q2469" s="115">
        <v>305.05</v>
      </c>
      <c r="R2469">
        <v>82650</v>
      </c>
    </row>
    <row r="2470" spans="1:18" x14ac:dyDescent="0.25">
      <c r="A2470" s="169">
        <v>45643</v>
      </c>
      <c r="B2470" s="115">
        <v>299.35000000000002</v>
      </c>
      <c r="C2470" s="115">
        <v>292.5</v>
      </c>
      <c r="D2470" s="115">
        <v>291.75</v>
      </c>
      <c r="E2470" s="115">
        <v>298.25</v>
      </c>
      <c r="F2470" s="115">
        <v>292.5</v>
      </c>
      <c r="G2470">
        <v>6990</v>
      </c>
      <c r="H2470" s="115"/>
      <c r="I2470" s="115"/>
      <c r="L2470" s="169">
        <v>45642</v>
      </c>
      <c r="M2470" s="115">
        <v>298.25</v>
      </c>
      <c r="N2470" s="115">
        <v>305.14999999999998</v>
      </c>
      <c r="O2470" s="115">
        <v>297.60000000000002</v>
      </c>
      <c r="P2470" s="115">
        <v>301.35000000000002</v>
      </c>
      <c r="Q2470" s="115">
        <v>298.25</v>
      </c>
      <c r="R2470">
        <v>63405</v>
      </c>
    </row>
    <row r="2471" spans="1:18" x14ac:dyDescent="0.25">
      <c r="A2471" s="169">
        <v>45644</v>
      </c>
      <c r="B2471" s="115">
        <v>293.10000000000002</v>
      </c>
      <c r="C2471" s="115">
        <v>289.85000000000002</v>
      </c>
      <c r="D2471" s="115">
        <v>287.5</v>
      </c>
      <c r="E2471" s="115">
        <v>293</v>
      </c>
      <c r="F2471" s="115">
        <v>289.85000000000002</v>
      </c>
      <c r="G2471">
        <v>3741</v>
      </c>
      <c r="H2471" s="115"/>
      <c r="I2471" s="115"/>
      <c r="L2471" s="169">
        <v>45643</v>
      </c>
      <c r="M2471" s="115">
        <v>292.64999999999998</v>
      </c>
      <c r="N2471" s="115">
        <v>301.14999999999998</v>
      </c>
      <c r="O2471" s="115">
        <v>291.10000000000002</v>
      </c>
      <c r="P2471" s="115">
        <v>299.45</v>
      </c>
      <c r="Q2471" s="115">
        <v>292.64999999999998</v>
      </c>
      <c r="R2471">
        <v>46904</v>
      </c>
    </row>
    <row r="2472" spans="1:18" x14ac:dyDescent="0.25">
      <c r="A2472" s="169">
        <v>45645</v>
      </c>
      <c r="B2472" s="115">
        <v>293.14999999999998</v>
      </c>
      <c r="C2472" s="115">
        <v>289.60000000000002</v>
      </c>
      <c r="D2472" s="115">
        <v>283</v>
      </c>
      <c r="E2472" s="115">
        <v>285</v>
      </c>
      <c r="F2472" s="115">
        <v>289.60000000000002</v>
      </c>
      <c r="G2472">
        <v>7345</v>
      </c>
      <c r="H2472" s="115"/>
      <c r="I2472" s="115"/>
      <c r="L2472" s="169">
        <v>45644</v>
      </c>
      <c r="M2472" s="115">
        <v>289.3</v>
      </c>
      <c r="N2472" s="115">
        <v>293.5</v>
      </c>
      <c r="O2472" s="115">
        <v>287.10000000000002</v>
      </c>
      <c r="P2472" s="115">
        <v>292.35000000000002</v>
      </c>
      <c r="Q2472" s="115">
        <v>289.3</v>
      </c>
      <c r="R2472">
        <v>43767</v>
      </c>
    </row>
    <row r="2473" spans="1:18" x14ac:dyDescent="0.25">
      <c r="A2473" s="169">
        <v>45646</v>
      </c>
      <c r="B2473" s="115">
        <v>291.89999999999998</v>
      </c>
      <c r="C2473" s="115">
        <v>282.05</v>
      </c>
      <c r="D2473" s="115">
        <v>278.89999999999998</v>
      </c>
      <c r="E2473" s="115">
        <v>289.5</v>
      </c>
      <c r="F2473" s="115">
        <v>282.05</v>
      </c>
      <c r="G2473">
        <v>2859</v>
      </c>
      <c r="H2473" s="115"/>
      <c r="I2473" s="115"/>
      <c r="L2473" s="169">
        <v>45645</v>
      </c>
      <c r="M2473" s="115">
        <v>290.39999999999998</v>
      </c>
      <c r="N2473" s="115">
        <v>295</v>
      </c>
      <c r="O2473" s="115">
        <v>281.10000000000002</v>
      </c>
      <c r="P2473" s="115">
        <v>285.2</v>
      </c>
      <c r="Q2473" s="115">
        <v>290.39999999999998</v>
      </c>
      <c r="R2473">
        <v>33778</v>
      </c>
    </row>
    <row r="2474" spans="1:18" x14ac:dyDescent="0.25">
      <c r="A2474" s="169">
        <v>45649</v>
      </c>
      <c r="B2474" s="115">
        <v>284.10000000000002</v>
      </c>
      <c r="C2474" s="115">
        <v>276.89999999999998</v>
      </c>
      <c r="D2474" s="115">
        <v>275.45</v>
      </c>
      <c r="E2474" s="115">
        <v>282.8</v>
      </c>
      <c r="F2474" s="115">
        <v>276.89999999999998</v>
      </c>
      <c r="G2474">
        <v>3022</v>
      </c>
      <c r="H2474" s="115"/>
      <c r="I2474" s="115"/>
      <c r="L2474" s="169">
        <v>45646</v>
      </c>
      <c r="M2474" s="115">
        <v>281.5</v>
      </c>
      <c r="N2474" s="115">
        <v>291.45</v>
      </c>
      <c r="O2474" s="115">
        <v>279.14999999999998</v>
      </c>
      <c r="P2474" s="115">
        <v>288.05</v>
      </c>
      <c r="Q2474" s="115">
        <v>281.5</v>
      </c>
      <c r="R2474">
        <v>55022</v>
      </c>
    </row>
    <row r="2475" spans="1:18" x14ac:dyDescent="0.25">
      <c r="A2475" s="169">
        <v>45650</v>
      </c>
      <c r="B2475" s="115">
        <v>281.95</v>
      </c>
      <c r="C2475" s="115">
        <v>276.39999999999998</v>
      </c>
      <c r="D2475" s="115">
        <v>276</v>
      </c>
      <c r="E2475" s="115">
        <v>277.60000000000002</v>
      </c>
      <c r="F2475" s="115">
        <v>276.39999999999998</v>
      </c>
      <c r="G2475">
        <v>4979</v>
      </c>
      <c r="H2475" s="115"/>
      <c r="I2475" s="115"/>
      <c r="L2475" s="169">
        <v>45649</v>
      </c>
      <c r="M2475" s="115">
        <v>276.85000000000002</v>
      </c>
      <c r="N2475" s="115">
        <v>283.8</v>
      </c>
      <c r="O2475" s="115">
        <v>275</v>
      </c>
      <c r="P2475" s="115">
        <v>282</v>
      </c>
      <c r="Q2475" s="115">
        <v>276.85000000000002</v>
      </c>
      <c r="R2475">
        <v>51630</v>
      </c>
    </row>
    <row r="2476" spans="1:18" x14ac:dyDescent="0.25">
      <c r="A2476" s="169">
        <v>45652</v>
      </c>
      <c r="B2476" s="115">
        <v>278.95</v>
      </c>
      <c r="C2476" s="115">
        <v>274</v>
      </c>
      <c r="D2476" s="115">
        <v>271</v>
      </c>
      <c r="E2476" s="115">
        <v>271</v>
      </c>
      <c r="F2476" s="115">
        <v>274</v>
      </c>
      <c r="G2476">
        <v>2469</v>
      </c>
      <c r="H2476" s="115"/>
      <c r="I2476" s="115"/>
      <c r="L2476" s="169">
        <v>45650</v>
      </c>
      <c r="M2476" s="115">
        <v>276.95</v>
      </c>
      <c r="N2476" s="115">
        <v>281.95</v>
      </c>
      <c r="O2476" s="115">
        <v>274</v>
      </c>
      <c r="P2476" s="115">
        <v>278.2</v>
      </c>
      <c r="Q2476" s="115">
        <v>276.95</v>
      </c>
      <c r="R2476">
        <v>35313</v>
      </c>
    </row>
    <row r="2477" spans="1:18" x14ac:dyDescent="0.25">
      <c r="A2477" s="169">
        <v>45653</v>
      </c>
      <c r="B2477" s="115">
        <v>279.14999999999998</v>
      </c>
      <c r="C2477" s="115">
        <v>278.3</v>
      </c>
      <c r="D2477" s="115">
        <v>273</v>
      </c>
      <c r="E2477" s="115">
        <v>273</v>
      </c>
      <c r="F2477" s="115">
        <v>278.3</v>
      </c>
      <c r="G2477">
        <v>2794</v>
      </c>
      <c r="H2477" s="115"/>
      <c r="I2477" s="115"/>
      <c r="L2477" s="169">
        <v>45652</v>
      </c>
      <c r="M2477" s="115">
        <v>274.14999999999998</v>
      </c>
      <c r="N2477" s="115">
        <v>279.25</v>
      </c>
      <c r="O2477" s="115">
        <v>273.75</v>
      </c>
      <c r="P2477" s="115">
        <v>275.39999999999998</v>
      </c>
      <c r="Q2477" s="115">
        <v>274.14999999999998</v>
      </c>
      <c r="R2477">
        <v>42365</v>
      </c>
    </row>
    <row r="2478" spans="1:18" x14ac:dyDescent="0.25">
      <c r="A2478" s="169">
        <v>45656</v>
      </c>
      <c r="B2478" s="115">
        <v>278.55</v>
      </c>
      <c r="C2478" s="115">
        <v>270.39999999999998</v>
      </c>
      <c r="D2478" s="115">
        <v>267.14999999999998</v>
      </c>
      <c r="E2478" s="115">
        <v>275</v>
      </c>
      <c r="F2478" s="115">
        <v>270.39999999999998</v>
      </c>
      <c r="G2478">
        <v>10650</v>
      </c>
      <c r="H2478" s="115"/>
      <c r="I2478" s="115"/>
      <c r="L2478" s="169">
        <v>45653</v>
      </c>
      <c r="M2478" s="115">
        <v>278.14999999999998</v>
      </c>
      <c r="N2478" s="115">
        <v>279.14999999999998</v>
      </c>
      <c r="O2478" s="115">
        <v>275.25</v>
      </c>
      <c r="P2478" s="115">
        <v>275.5</v>
      </c>
      <c r="Q2478" s="115">
        <v>278.14999999999998</v>
      </c>
      <c r="R2478">
        <v>27210</v>
      </c>
    </row>
    <row r="2479" spans="1:18" x14ac:dyDescent="0.25">
      <c r="A2479" s="169">
        <v>45657</v>
      </c>
      <c r="B2479" s="115">
        <v>274.7</v>
      </c>
      <c r="C2479" s="115">
        <v>272.39999999999998</v>
      </c>
      <c r="D2479" s="115">
        <v>268.95</v>
      </c>
      <c r="E2479" s="115">
        <v>269.05</v>
      </c>
      <c r="F2479" s="115">
        <v>272.39999999999998</v>
      </c>
      <c r="G2479">
        <v>4973</v>
      </c>
      <c r="H2479" s="115"/>
      <c r="I2479" s="115"/>
      <c r="L2479" s="169">
        <v>45656</v>
      </c>
      <c r="M2479" s="115">
        <v>269.7</v>
      </c>
      <c r="N2479" s="115">
        <v>278.14999999999998</v>
      </c>
      <c r="O2479" s="115">
        <v>267.64999999999998</v>
      </c>
      <c r="P2479" s="115">
        <v>278.14999999999998</v>
      </c>
      <c r="Q2479" s="115">
        <v>269.7</v>
      </c>
      <c r="R2479">
        <v>42345</v>
      </c>
    </row>
    <row r="2480" spans="1:18" x14ac:dyDescent="0.25">
      <c r="A2480" s="169">
        <v>45658</v>
      </c>
      <c r="B2480" s="115">
        <v>276.95</v>
      </c>
      <c r="C2480" s="115">
        <v>275.2</v>
      </c>
      <c r="D2480" s="115">
        <v>273.45</v>
      </c>
      <c r="E2480" s="115">
        <v>276.95</v>
      </c>
      <c r="F2480" s="115">
        <v>275.2</v>
      </c>
      <c r="G2480">
        <v>642</v>
      </c>
      <c r="H2480" s="115"/>
      <c r="I2480" s="115"/>
      <c r="L2480" s="169">
        <v>45657</v>
      </c>
      <c r="M2480" s="115">
        <v>273.60000000000002</v>
      </c>
      <c r="N2480" s="115">
        <v>274.5</v>
      </c>
      <c r="O2480" s="115">
        <v>268.85000000000002</v>
      </c>
      <c r="P2480" s="115">
        <v>271.5</v>
      </c>
      <c r="Q2480" s="115">
        <v>273.60000000000002</v>
      </c>
      <c r="R2480">
        <v>41451</v>
      </c>
    </row>
    <row r="2481" spans="1:18" x14ac:dyDescent="0.25">
      <c r="A2481" s="169">
        <v>45659</v>
      </c>
      <c r="B2481" s="115">
        <v>284.89999999999998</v>
      </c>
      <c r="C2481" s="115">
        <v>277.5</v>
      </c>
      <c r="D2481" s="115">
        <v>275.64999999999998</v>
      </c>
      <c r="E2481" s="115">
        <v>284.89999999999998</v>
      </c>
      <c r="F2481" s="115">
        <v>277.5</v>
      </c>
      <c r="G2481">
        <v>1287</v>
      </c>
      <c r="H2481" s="115"/>
      <c r="I2481" s="115"/>
      <c r="L2481" s="169">
        <v>45658</v>
      </c>
      <c r="M2481" s="115">
        <v>275.25</v>
      </c>
      <c r="N2481" s="115">
        <v>276</v>
      </c>
      <c r="O2481" s="115">
        <v>273</v>
      </c>
      <c r="P2481" s="115">
        <v>273.95</v>
      </c>
      <c r="Q2481" s="115">
        <v>275.25</v>
      </c>
      <c r="R2481">
        <v>20993</v>
      </c>
    </row>
    <row r="2482" spans="1:18" x14ac:dyDescent="0.25">
      <c r="A2482" s="169">
        <v>45660</v>
      </c>
      <c r="B2482" s="115">
        <v>282.45</v>
      </c>
      <c r="C2482" s="115">
        <v>277.05</v>
      </c>
      <c r="D2482" s="115">
        <v>275</v>
      </c>
      <c r="E2482" s="115">
        <v>275</v>
      </c>
      <c r="F2482" s="115">
        <v>277.05</v>
      </c>
      <c r="G2482">
        <v>2660</v>
      </c>
      <c r="H2482" s="115"/>
      <c r="I2482" s="115"/>
      <c r="L2482" s="169">
        <v>45659</v>
      </c>
      <c r="M2482" s="115">
        <v>276.8</v>
      </c>
      <c r="N2482" s="115">
        <v>279.95</v>
      </c>
      <c r="O2482" s="115">
        <v>275</v>
      </c>
      <c r="P2482" s="115">
        <v>275.25</v>
      </c>
      <c r="Q2482" s="115">
        <v>276.8</v>
      </c>
      <c r="R2482">
        <v>39664</v>
      </c>
    </row>
    <row r="2483" spans="1:18" x14ac:dyDescent="0.25">
      <c r="A2483" s="169">
        <v>45663</v>
      </c>
      <c r="B2483" s="115">
        <v>279.89999999999998</v>
      </c>
      <c r="C2483" s="115">
        <v>265.75</v>
      </c>
      <c r="D2483" s="115">
        <v>265</v>
      </c>
      <c r="E2483" s="115">
        <v>276.14999999999998</v>
      </c>
      <c r="F2483" s="115">
        <v>265.75</v>
      </c>
      <c r="G2483">
        <v>11419</v>
      </c>
      <c r="H2483" s="115"/>
      <c r="I2483" s="115"/>
      <c r="L2483" s="169">
        <v>45660</v>
      </c>
      <c r="M2483" s="115">
        <v>276.7</v>
      </c>
      <c r="N2483" s="115">
        <v>282.7</v>
      </c>
      <c r="O2483" s="115">
        <v>276</v>
      </c>
      <c r="P2483" s="115">
        <v>277.55</v>
      </c>
      <c r="Q2483" s="115">
        <v>276.7</v>
      </c>
      <c r="R2483">
        <v>44931</v>
      </c>
    </row>
    <row r="2484" spans="1:18" x14ac:dyDescent="0.25">
      <c r="A2484" s="169">
        <v>45664</v>
      </c>
      <c r="B2484" s="115">
        <v>270.5</v>
      </c>
      <c r="C2484" s="115">
        <v>268.89999999999998</v>
      </c>
      <c r="D2484" s="115">
        <v>263.5</v>
      </c>
      <c r="E2484" s="115">
        <v>263.75</v>
      </c>
      <c r="F2484" s="115">
        <v>268.89999999999998</v>
      </c>
      <c r="G2484">
        <v>6725</v>
      </c>
      <c r="H2484" s="115"/>
      <c r="I2484" s="115"/>
      <c r="L2484" s="169">
        <v>45663</v>
      </c>
      <c r="M2484" s="115">
        <v>265.64999999999998</v>
      </c>
      <c r="N2484" s="115">
        <v>279.7</v>
      </c>
      <c r="O2484" s="115">
        <v>264.8</v>
      </c>
      <c r="P2484" s="115">
        <v>278.60000000000002</v>
      </c>
      <c r="Q2484" s="115">
        <v>265.64999999999998</v>
      </c>
      <c r="R2484">
        <v>65194</v>
      </c>
    </row>
    <row r="2485" spans="1:18" x14ac:dyDescent="0.25">
      <c r="A2485" s="169">
        <v>45665</v>
      </c>
      <c r="B2485" s="115">
        <v>269.14999999999998</v>
      </c>
      <c r="C2485" s="115">
        <v>266.55</v>
      </c>
      <c r="D2485" s="115">
        <v>263.64999999999998</v>
      </c>
      <c r="E2485" s="115">
        <v>269</v>
      </c>
      <c r="F2485" s="115">
        <v>266.55</v>
      </c>
      <c r="G2485">
        <v>1401</v>
      </c>
      <c r="H2485" s="115"/>
      <c r="I2485" s="115"/>
      <c r="L2485" s="169">
        <v>45664</v>
      </c>
      <c r="M2485" s="115">
        <v>269.39999999999998</v>
      </c>
      <c r="N2485" s="115">
        <v>271.14999999999998</v>
      </c>
      <c r="O2485" s="115">
        <v>262.3</v>
      </c>
      <c r="P2485" s="115">
        <v>268.25</v>
      </c>
      <c r="Q2485" s="115">
        <v>269.39999999999998</v>
      </c>
      <c r="R2485">
        <v>38162</v>
      </c>
    </row>
    <row r="2486" spans="1:18" x14ac:dyDescent="0.25">
      <c r="A2486" s="169">
        <v>45666</v>
      </c>
      <c r="B2486" s="115">
        <v>265</v>
      </c>
      <c r="C2486" s="115">
        <v>261.25</v>
      </c>
      <c r="D2486" s="115">
        <v>258.45</v>
      </c>
      <c r="E2486" s="115">
        <v>265</v>
      </c>
      <c r="F2486" s="115">
        <v>261.25</v>
      </c>
      <c r="G2486">
        <v>5069</v>
      </c>
      <c r="H2486" s="115"/>
      <c r="I2486" s="115"/>
      <c r="L2486" s="169">
        <v>45665</v>
      </c>
      <c r="M2486" s="115">
        <v>266.64999999999998</v>
      </c>
      <c r="N2486" s="115">
        <v>269.85000000000002</v>
      </c>
      <c r="O2486" s="115">
        <v>263.75</v>
      </c>
      <c r="P2486" s="115">
        <v>266.64999999999998</v>
      </c>
      <c r="Q2486" s="115">
        <v>266.64999999999998</v>
      </c>
      <c r="R2486">
        <v>28513</v>
      </c>
    </row>
    <row r="2487" spans="1:18" x14ac:dyDescent="0.25">
      <c r="A2487" s="169">
        <v>45667</v>
      </c>
      <c r="B2487" s="115">
        <v>261.05</v>
      </c>
      <c r="C2487" s="115">
        <v>254.15</v>
      </c>
      <c r="D2487" s="115">
        <v>252.6</v>
      </c>
      <c r="E2487" s="115">
        <v>261.05</v>
      </c>
      <c r="F2487" s="115">
        <v>254.15</v>
      </c>
      <c r="G2487">
        <v>6778</v>
      </c>
      <c r="H2487" s="115"/>
      <c r="I2487" s="115"/>
      <c r="L2487" s="169">
        <v>45666</v>
      </c>
      <c r="M2487" s="115">
        <v>261.25</v>
      </c>
      <c r="N2487" s="115">
        <v>266.39999999999998</v>
      </c>
      <c r="O2487" s="115">
        <v>257.10000000000002</v>
      </c>
      <c r="P2487" s="115">
        <v>263</v>
      </c>
      <c r="Q2487" s="115">
        <v>261.25</v>
      </c>
      <c r="R2487">
        <v>62500</v>
      </c>
    </row>
    <row r="2488" spans="1:18" x14ac:dyDescent="0.25">
      <c r="A2488" s="169">
        <v>45670</v>
      </c>
      <c r="B2488" s="115">
        <v>254.65</v>
      </c>
      <c r="C2488" s="115">
        <v>246.3</v>
      </c>
      <c r="D2488" s="115">
        <v>245</v>
      </c>
      <c r="E2488" s="115">
        <v>254.45</v>
      </c>
      <c r="F2488" s="115">
        <v>246.3</v>
      </c>
      <c r="G2488">
        <v>11767</v>
      </c>
      <c r="H2488" s="115"/>
      <c r="I2488" s="115"/>
      <c r="L2488" s="169">
        <v>45667</v>
      </c>
      <c r="M2488" s="115">
        <v>253.7</v>
      </c>
      <c r="N2488" s="115">
        <v>262.55</v>
      </c>
      <c r="O2488" s="115">
        <v>252.45</v>
      </c>
      <c r="P2488" s="115">
        <v>262.55</v>
      </c>
      <c r="Q2488" s="115">
        <v>253.7</v>
      </c>
      <c r="R2488">
        <v>53559</v>
      </c>
    </row>
    <row r="2489" spans="1:18" x14ac:dyDescent="0.25">
      <c r="A2489" s="169">
        <v>45671</v>
      </c>
      <c r="B2489" s="115">
        <v>256.95</v>
      </c>
      <c r="C2489" s="115">
        <v>255.45</v>
      </c>
      <c r="D2489" s="115">
        <v>246.85</v>
      </c>
      <c r="E2489" s="115">
        <v>246.85</v>
      </c>
      <c r="F2489" s="115">
        <v>255.45</v>
      </c>
      <c r="G2489">
        <v>4615</v>
      </c>
      <c r="H2489" s="115"/>
      <c r="I2489" s="115"/>
      <c r="L2489" s="169">
        <v>45670</v>
      </c>
      <c r="M2489" s="115">
        <v>246.15</v>
      </c>
      <c r="N2489" s="115">
        <v>255.15</v>
      </c>
      <c r="O2489" s="115">
        <v>244</v>
      </c>
      <c r="P2489" s="115">
        <v>253</v>
      </c>
      <c r="Q2489" s="115">
        <v>246.15</v>
      </c>
      <c r="R2489">
        <v>46074</v>
      </c>
    </row>
    <row r="2490" spans="1:18" x14ac:dyDescent="0.25">
      <c r="A2490" s="169">
        <v>45672</v>
      </c>
      <c r="B2490" s="115">
        <v>257.35000000000002</v>
      </c>
      <c r="C2490" s="115">
        <v>251.05</v>
      </c>
      <c r="D2490" s="115">
        <v>250</v>
      </c>
      <c r="E2490" s="115">
        <v>256.05</v>
      </c>
      <c r="F2490" s="115">
        <v>251.05</v>
      </c>
      <c r="G2490">
        <v>3509</v>
      </c>
      <c r="H2490" s="115"/>
      <c r="I2490" s="115"/>
      <c r="L2490" s="169">
        <v>45671</v>
      </c>
      <c r="M2490" s="115">
        <v>255.95</v>
      </c>
      <c r="N2490" s="115">
        <v>258.14999999999998</v>
      </c>
      <c r="O2490" s="115">
        <v>246.15</v>
      </c>
      <c r="P2490" s="115">
        <v>246.15</v>
      </c>
      <c r="Q2490" s="115">
        <v>255.95</v>
      </c>
      <c r="R2490">
        <v>51495</v>
      </c>
    </row>
    <row r="2491" spans="1:18" x14ac:dyDescent="0.25">
      <c r="A2491" s="169">
        <v>45673</v>
      </c>
      <c r="B2491" s="115">
        <v>259.95</v>
      </c>
      <c r="C2491" s="115">
        <v>256.85000000000002</v>
      </c>
      <c r="D2491" s="115">
        <v>250.45</v>
      </c>
      <c r="E2491" s="115">
        <v>250.45</v>
      </c>
      <c r="F2491" s="115">
        <v>256.85000000000002</v>
      </c>
      <c r="G2491">
        <v>3660</v>
      </c>
      <c r="H2491" s="115"/>
      <c r="I2491" s="115"/>
      <c r="L2491" s="169">
        <v>45672</v>
      </c>
      <c r="M2491" s="115">
        <v>250.75</v>
      </c>
      <c r="N2491" s="115">
        <v>256.89999999999998</v>
      </c>
      <c r="O2491" s="115">
        <v>249.1</v>
      </c>
      <c r="P2491" s="115">
        <v>256.8</v>
      </c>
      <c r="Q2491" s="115">
        <v>250.75</v>
      </c>
      <c r="R2491">
        <v>61330</v>
      </c>
    </row>
    <row r="2492" spans="1:18" x14ac:dyDescent="0.25">
      <c r="A2492" s="169">
        <v>45674</v>
      </c>
      <c r="B2492" s="115">
        <v>258.35000000000002</v>
      </c>
      <c r="C2492" s="115">
        <v>249.85</v>
      </c>
      <c r="D2492" s="115">
        <v>249.15</v>
      </c>
      <c r="E2492" s="115">
        <v>253</v>
      </c>
      <c r="F2492" s="115">
        <v>249.85</v>
      </c>
      <c r="G2492">
        <v>4180</v>
      </c>
      <c r="H2492" s="115"/>
      <c r="I2492" s="115"/>
      <c r="L2492" s="169">
        <v>45673</v>
      </c>
      <c r="M2492" s="115">
        <v>255.3</v>
      </c>
      <c r="N2492" s="115">
        <v>259.05</v>
      </c>
      <c r="O2492" s="115">
        <v>253.05</v>
      </c>
      <c r="P2492" s="115">
        <v>253.15</v>
      </c>
      <c r="Q2492" s="115">
        <v>255.3</v>
      </c>
      <c r="R2492">
        <v>42527</v>
      </c>
    </row>
    <row r="2493" spans="1:18" x14ac:dyDescent="0.25">
      <c r="A2493" s="169">
        <v>45677</v>
      </c>
      <c r="B2493" s="115">
        <v>254.85</v>
      </c>
      <c r="C2493" s="115">
        <v>248.65</v>
      </c>
      <c r="D2493" s="115">
        <v>247.75</v>
      </c>
      <c r="E2493" s="115">
        <v>254.85</v>
      </c>
      <c r="F2493" s="115">
        <v>248.65</v>
      </c>
      <c r="G2493">
        <v>3355</v>
      </c>
      <c r="H2493" s="115"/>
      <c r="I2493" s="115"/>
      <c r="L2493" s="169">
        <v>45674</v>
      </c>
      <c r="M2493" s="115">
        <v>249.85</v>
      </c>
      <c r="N2493" s="115">
        <v>257.95</v>
      </c>
      <c r="O2493" s="115">
        <v>248.4</v>
      </c>
      <c r="P2493" s="115">
        <v>255</v>
      </c>
      <c r="Q2493" s="115">
        <v>249.85</v>
      </c>
      <c r="R2493">
        <v>57035</v>
      </c>
    </row>
    <row r="2494" spans="1:18" x14ac:dyDescent="0.25">
      <c r="A2494" s="169">
        <v>45678</v>
      </c>
      <c r="B2494" s="115">
        <v>254.15</v>
      </c>
      <c r="C2494" s="115">
        <v>244.65</v>
      </c>
      <c r="D2494" s="115">
        <v>243.45</v>
      </c>
      <c r="E2494" s="115">
        <v>251.45</v>
      </c>
      <c r="F2494" s="115">
        <v>244.65</v>
      </c>
      <c r="G2494">
        <v>5465</v>
      </c>
      <c r="H2494" s="115"/>
      <c r="I2494" s="115"/>
      <c r="L2494" s="169">
        <v>45677</v>
      </c>
      <c r="M2494" s="115">
        <v>248.3</v>
      </c>
      <c r="N2494" s="115">
        <v>251.05</v>
      </c>
      <c r="O2494" s="115">
        <v>246.25</v>
      </c>
      <c r="P2494" s="115">
        <v>250</v>
      </c>
      <c r="Q2494" s="115">
        <v>248.3</v>
      </c>
      <c r="R2494">
        <v>32224</v>
      </c>
    </row>
    <row r="2495" spans="1:18" x14ac:dyDescent="0.25">
      <c r="A2495" s="169">
        <v>45679</v>
      </c>
      <c r="B2495" s="115">
        <v>244.5</v>
      </c>
      <c r="C2495" s="115">
        <v>240.7</v>
      </c>
      <c r="D2495" s="115">
        <v>238.5</v>
      </c>
      <c r="E2495" s="115">
        <v>244.5</v>
      </c>
      <c r="F2495" s="115">
        <v>240.7</v>
      </c>
      <c r="G2495">
        <v>2247</v>
      </c>
      <c r="H2495" s="115"/>
      <c r="I2495" s="115"/>
      <c r="L2495" s="169">
        <v>45678</v>
      </c>
      <c r="M2495" s="115">
        <v>244.9</v>
      </c>
      <c r="N2495" s="115">
        <v>254.85</v>
      </c>
      <c r="O2495" s="115">
        <v>243.55</v>
      </c>
      <c r="P2495" s="115">
        <v>250.75</v>
      </c>
      <c r="Q2495" s="115">
        <v>244.9</v>
      </c>
      <c r="R2495">
        <v>60165</v>
      </c>
    </row>
    <row r="2496" spans="1:18" x14ac:dyDescent="0.25">
      <c r="A2496" s="169">
        <v>45680</v>
      </c>
      <c r="B2496" s="115">
        <v>243.35</v>
      </c>
      <c r="C2496" s="115">
        <v>240.75</v>
      </c>
      <c r="D2496" s="115">
        <v>238.45</v>
      </c>
      <c r="E2496" s="115">
        <v>240.7</v>
      </c>
      <c r="F2496" s="115">
        <v>240.75</v>
      </c>
      <c r="G2496">
        <v>4819</v>
      </c>
      <c r="H2496" s="115"/>
      <c r="I2496" s="115"/>
      <c r="L2496" s="169">
        <v>45679</v>
      </c>
      <c r="M2496" s="115">
        <v>240.5</v>
      </c>
      <c r="N2496" s="115">
        <v>247.4</v>
      </c>
      <c r="O2496" s="115">
        <v>238.6</v>
      </c>
      <c r="P2496" s="115">
        <v>247</v>
      </c>
      <c r="Q2496" s="115">
        <v>240.5</v>
      </c>
      <c r="R2496">
        <v>48528</v>
      </c>
    </row>
    <row r="2497" spans="1:18" x14ac:dyDescent="0.25">
      <c r="A2497" s="169">
        <v>45681</v>
      </c>
      <c r="B2497" s="115">
        <v>243</v>
      </c>
      <c r="C2497" s="115">
        <v>234.5</v>
      </c>
      <c r="D2497" s="115">
        <v>233.3</v>
      </c>
      <c r="E2497" s="115">
        <v>242</v>
      </c>
      <c r="F2497" s="115">
        <v>234.5</v>
      </c>
      <c r="G2497">
        <v>5825</v>
      </c>
      <c r="H2497" s="115"/>
      <c r="I2497" s="115"/>
      <c r="L2497" s="169">
        <v>45680</v>
      </c>
      <c r="M2497" s="115">
        <v>240.45</v>
      </c>
      <c r="N2497" s="115">
        <v>243.6</v>
      </c>
      <c r="O2497" s="115">
        <v>238</v>
      </c>
      <c r="P2497" s="115">
        <v>239.9</v>
      </c>
      <c r="Q2497" s="115">
        <v>240.45</v>
      </c>
      <c r="R2497">
        <v>67238</v>
      </c>
    </row>
    <row r="2498" spans="1:18" x14ac:dyDescent="0.25">
      <c r="A2498" s="169">
        <v>45684</v>
      </c>
      <c r="B2498" s="115">
        <v>235.9</v>
      </c>
      <c r="C2498" s="115">
        <v>222.7</v>
      </c>
      <c r="D2498" s="115">
        <v>220.6</v>
      </c>
      <c r="E2498" s="115">
        <v>235.9</v>
      </c>
      <c r="F2498" s="115">
        <v>222.7</v>
      </c>
      <c r="G2498">
        <v>11354</v>
      </c>
      <c r="H2498" s="115"/>
      <c r="I2498" s="115"/>
      <c r="L2498" s="169">
        <v>45681</v>
      </c>
      <c r="M2498" s="115">
        <v>234.15</v>
      </c>
      <c r="N2498" s="115">
        <v>242.75</v>
      </c>
      <c r="O2498" s="115">
        <v>233</v>
      </c>
      <c r="P2498" s="115">
        <v>241.6</v>
      </c>
      <c r="Q2498" s="115">
        <v>234.15</v>
      </c>
      <c r="R2498">
        <v>46052</v>
      </c>
    </row>
    <row r="2499" spans="1:18" x14ac:dyDescent="0.25">
      <c r="A2499" s="169">
        <v>45685</v>
      </c>
      <c r="B2499" s="115">
        <v>227.7</v>
      </c>
      <c r="C2499" s="115">
        <v>214.7</v>
      </c>
      <c r="D2499" s="115">
        <v>211.1</v>
      </c>
      <c r="E2499" s="115">
        <v>227.1</v>
      </c>
      <c r="F2499" s="115">
        <v>214.7</v>
      </c>
      <c r="G2499">
        <v>11775</v>
      </c>
      <c r="H2499" s="115"/>
      <c r="I2499" s="115"/>
      <c r="L2499" s="169">
        <v>45684</v>
      </c>
      <c r="M2499" s="115">
        <v>222.65</v>
      </c>
      <c r="N2499" s="115">
        <v>235.25</v>
      </c>
      <c r="O2499" s="115">
        <v>221</v>
      </c>
      <c r="P2499" s="115">
        <v>234.1</v>
      </c>
      <c r="Q2499" s="115">
        <v>222.65</v>
      </c>
      <c r="R2499">
        <v>102411</v>
      </c>
    </row>
    <row r="2500" spans="1:18" x14ac:dyDescent="0.25">
      <c r="A2500" s="169">
        <v>45686</v>
      </c>
      <c r="B2500" s="115">
        <v>221.85</v>
      </c>
      <c r="C2500" s="115">
        <v>214.25</v>
      </c>
      <c r="D2500" s="115">
        <v>207.65</v>
      </c>
      <c r="E2500" s="115">
        <v>221.6</v>
      </c>
      <c r="F2500" s="115">
        <v>214.25</v>
      </c>
      <c r="G2500">
        <v>14968</v>
      </c>
      <c r="H2500" s="115"/>
      <c r="I2500" s="115"/>
      <c r="L2500" s="169">
        <v>45685</v>
      </c>
      <c r="M2500" s="115">
        <v>214.15</v>
      </c>
      <c r="N2500" s="115">
        <v>226.9</v>
      </c>
      <c r="O2500" s="115">
        <v>210.3</v>
      </c>
      <c r="P2500" s="115">
        <v>225.95</v>
      </c>
      <c r="Q2500" s="115">
        <v>214.15</v>
      </c>
      <c r="R2500">
        <v>118857</v>
      </c>
    </row>
    <row r="2501" spans="1:18" x14ac:dyDescent="0.25">
      <c r="A2501" s="169">
        <v>45687</v>
      </c>
      <c r="B2501" s="115">
        <v>221.5</v>
      </c>
      <c r="C2501" s="115">
        <v>218.4</v>
      </c>
      <c r="D2501" s="115">
        <v>207.25</v>
      </c>
      <c r="E2501" s="115">
        <v>214.25</v>
      </c>
      <c r="F2501" s="115">
        <v>218.4</v>
      </c>
      <c r="G2501">
        <v>8360</v>
      </c>
      <c r="H2501" s="115"/>
      <c r="I2501" s="115"/>
      <c r="L2501" s="169">
        <v>45686</v>
      </c>
      <c r="M2501" s="115">
        <v>212.3</v>
      </c>
      <c r="N2501" s="115">
        <v>221.95</v>
      </c>
      <c r="O2501" s="115">
        <v>206.7</v>
      </c>
      <c r="P2501" s="115">
        <v>215</v>
      </c>
      <c r="Q2501" s="115">
        <v>212.3</v>
      </c>
      <c r="R2501">
        <v>155290</v>
      </c>
    </row>
    <row r="2502" spans="1:18" x14ac:dyDescent="0.25">
      <c r="A2502" s="169">
        <v>45688</v>
      </c>
      <c r="B2502" s="115">
        <v>226.5</v>
      </c>
      <c r="C2502" s="115">
        <v>225.9</v>
      </c>
      <c r="D2502" s="115">
        <v>217.5</v>
      </c>
      <c r="E2502" s="115">
        <v>222</v>
      </c>
      <c r="F2502" s="115">
        <v>225.9</v>
      </c>
      <c r="G2502">
        <v>7530</v>
      </c>
      <c r="H2502" s="115"/>
      <c r="I2502" s="115"/>
      <c r="L2502" s="169">
        <v>45687</v>
      </c>
      <c r="M2502" s="115">
        <v>218.4</v>
      </c>
      <c r="N2502" s="115">
        <v>222.9</v>
      </c>
      <c r="O2502" s="115">
        <v>207.1</v>
      </c>
      <c r="P2502" s="115">
        <v>210.95</v>
      </c>
      <c r="Q2502" s="115">
        <v>218.4</v>
      </c>
      <c r="R2502">
        <v>93434</v>
      </c>
    </row>
    <row r="2503" spans="1:18" x14ac:dyDescent="0.25">
      <c r="A2503" s="169">
        <v>45689</v>
      </c>
      <c r="B2503" s="115">
        <v>235</v>
      </c>
      <c r="C2503" s="115">
        <v>234</v>
      </c>
      <c r="D2503" s="115">
        <v>224.5</v>
      </c>
      <c r="E2503" s="115">
        <v>227.65</v>
      </c>
      <c r="F2503" s="115">
        <v>234</v>
      </c>
      <c r="G2503">
        <v>1852</v>
      </c>
      <c r="H2503" s="115"/>
      <c r="I2503" s="115"/>
      <c r="L2503" s="169">
        <v>45688</v>
      </c>
      <c r="M2503" s="115">
        <v>225.85</v>
      </c>
      <c r="N2503" s="115">
        <v>226.85</v>
      </c>
      <c r="O2503" s="115">
        <v>215.15</v>
      </c>
      <c r="P2503" s="115">
        <v>218.4</v>
      </c>
      <c r="Q2503" s="115">
        <v>225.85</v>
      </c>
      <c r="R2503">
        <v>71283</v>
      </c>
    </row>
    <row r="2504" spans="1:18" x14ac:dyDescent="0.25">
      <c r="A2504" s="169">
        <v>45691</v>
      </c>
      <c r="B2504" s="115">
        <v>228.85</v>
      </c>
      <c r="C2504" s="115">
        <v>222.6</v>
      </c>
      <c r="D2504" s="115">
        <v>222.4</v>
      </c>
      <c r="E2504" s="115">
        <v>228</v>
      </c>
      <c r="F2504" s="115">
        <v>222.6</v>
      </c>
      <c r="G2504">
        <v>2151</v>
      </c>
      <c r="H2504" s="115"/>
      <c r="I2504" s="115"/>
      <c r="L2504" s="169">
        <v>45689</v>
      </c>
      <c r="M2504" s="115">
        <v>234.08</v>
      </c>
      <c r="N2504" s="115">
        <v>235.02</v>
      </c>
      <c r="O2504" s="115">
        <v>223.99</v>
      </c>
      <c r="P2504" s="115">
        <v>228</v>
      </c>
      <c r="Q2504" s="115">
        <v>234.08</v>
      </c>
      <c r="R2504">
        <v>30132</v>
      </c>
    </row>
    <row r="2505" spans="1:18" x14ac:dyDescent="0.25">
      <c r="A2505" s="169">
        <v>45692</v>
      </c>
      <c r="B2505" s="115">
        <v>233.15</v>
      </c>
      <c r="C2505" s="115">
        <v>229.3</v>
      </c>
      <c r="D2505" s="115">
        <v>225.1</v>
      </c>
      <c r="E2505" s="115">
        <v>226.6</v>
      </c>
      <c r="F2505" s="115">
        <v>229.3</v>
      </c>
      <c r="G2505">
        <v>1958</v>
      </c>
      <c r="H2505" s="115"/>
      <c r="I2505" s="115"/>
      <c r="L2505" s="169">
        <v>45691</v>
      </c>
      <c r="M2505" s="115">
        <v>223.96</v>
      </c>
      <c r="N2505" s="115">
        <v>230.45</v>
      </c>
      <c r="O2505" s="115">
        <v>222.42</v>
      </c>
      <c r="P2505" s="115">
        <v>230.45</v>
      </c>
      <c r="Q2505" s="115">
        <v>223.96</v>
      </c>
      <c r="R2505">
        <v>34873</v>
      </c>
    </row>
    <row r="2506" spans="1:18" x14ac:dyDescent="0.25">
      <c r="A2506" s="169">
        <v>45693</v>
      </c>
      <c r="B2506" s="115">
        <v>238.15</v>
      </c>
      <c r="C2506" s="115">
        <v>236.45</v>
      </c>
      <c r="D2506" s="115">
        <v>231</v>
      </c>
      <c r="E2506" s="115">
        <v>233.8</v>
      </c>
      <c r="F2506" s="115">
        <v>236.45</v>
      </c>
      <c r="G2506">
        <v>2317</v>
      </c>
      <c r="H2506" s="115"/>
      <c r="I2506" s="115"/>
      <c r="L2506" s="169">
        <v>45692</v>
      </c>
      <c r="M2506" s="115">
        <v>230.66</v>
      </c>
      <c r="N2506" s="115">
        <v>232.99</v>
      </c>
      <c r="O2506" s="115">
        <v>225</v>
      </c>
      <c r="P2506" s="115">
        <v>226.5</v>
      </c>
      <c r="Q2506" s="115">
        <v>230.66</v>
      </c>
      <c r="R2506">
        <v>41736</v>
      </c>
    </row>
    <row r="2507" spans="1:18" x14ac:dyDescent="0.25">
      <c r="A2507" s="169">
        <v>45694</v>
      </c>
      <c r="B2507" s="115">
        <v>238.25</v>
      </c>
      <c r="C2507" s="115">
        <v>227.05</v>
      </c>
      <c r="D2507" s="115">
        <v>227</v>
      </c>
      <c r="E2507" s="115">
        <v>237</v>
      </c>
      <c r="F2507" s="115">
        <v>227.05</v>
      </c>
      <c r="G2507">
        <v>4302</v>
      </c>
      <c r="H2507" s="115"/>
      <c r="I2507" s="115"/>
      <c r="L2507" s="169">
        <v>45693</v>
      </c>
      <c r="M2507" s="115">
        <v>236.52</v>
      </c>
      <c r="N2507" s="115">
        <v>238</v>
      </c>
      <c r="O2507" s="115">
        <v>227.61</v>
      </c>
      <c r="P2507" s="115">
        <v>227.61</v>
      </c>
      <c r="Q2507" s="115">
        <v>236.52</v>
      </c>
      <c r="R2507">
        <v>40338</v>
      </c>
    </row>
    <row r="2508" spans="1:18" x14ac:dyDescent="0.25">
      <c r="A2508" s="169">
        <v>45695</v>
      </c>
      <c r="B2508" s="115">
        <v>229.9</v>
      </c>
      <c r="C2508" s="115">
        <v>227.25</v>
      </c>
      <c r="D2508" s="115">
        <v>222.1</v>
      </c>
      <c r="E2508" s="115">
        <v>226</v>
      </c>
      <c r="F2508" s="115">
        <v>227.25</v>
      </c>
      <c r="G2508">
        <v>3404</v>
      </c>
      <c r="H2508" s="115"/>
      <c r="I2508" s="115"/>
      <c r="L2508" s="169">
        <v>45694</v>
      </c>
      <c r="M2508" s="115">
        <v>226.93</v>
      </c>
      <c r="N2508" s="115">
        <v>238.85</v>
      </c>
      <c r="O2508" s="115">
        <v>226</v>
      </c>
      <c r="P2508" s="115">
        <v>236.05</v>
      </c>
      <c r="Q2508" s="115">
        <v>226.93</v>
      </c>
      <c r="R2508">
        <v>54994</v>
      </c>
    </row>
    <row r="2509" spans="1:18" x14ac:dyDescent="0.25">
      <c r="A2509" s="169">
        <v>45698</v>
      </c>
      <c r="B2509" s="115">
        <v>226.15</v>
      </c>
      <c r="C2509" s="115">
        <v>219.4</v>
      </c>
      <c r="D2509" s="115">
        <v>218.3</v>
      </c>
      <c r="E2509" s="115">
        <v>225.6</v>
      </c>
      <c r="F2509" s="115">
        <v>219.4</v>
      </c>
      <c r="G2509">
        <v>4249</v>
      </c>
      <c r="H2509" s="115"/>
      <c r="I2509" s="115"/>
      <c r="L2509" s="169">
        <v>45695</v>
      </c>
      <c r="M2509" s="115">
        <v>228.3</v>
      </c>
      <c r="N2509" s="115">
        <v>229.38</v>
      </c>
      <c r="O2509" s="115">
        <v>222</v>
      </c>
      <c r="P2509" s="115">
        <v>225</v>
      </c>
      <c r="Q2509" s="115">
        <v>228.3</v>
      </c>
      <c r="R2509">
        <v>50352</v>
      </c>
    </row>
    <row r="2510" spans="1:18" x14ac:dyDescent="0.25">
      <c r="A2510" s="169">
        <v>45699</v>
      </c>
      <c r="B2510" s="115">
        <v>225.9</v>
      </c>
      <c r="C2510" s="115">
        <v>215.8</v>
      </c>
      <c r="D2510" s="115">
        <v>210.05</v>
      </c>
      <c r="E2510" s="115">
        <v>210.05</v>
      </c>
      <c r="F2510" s="115">
        <v>215.8</v>
      </c>
      <c r="G2510">
        <v>10038</v>
      </c>
      <c r="H2510" s="115"/>
      <c r="I2510" s="115"/>
      <c r="L2510" s="169">
        <v>45698</v>
      </c>
      <c r="M2510" s="115">
        <v>219.35</v>
      </c>
      <c r="N2510" s="115">
        <v>228.3</v>
      </c>
      <c r="O2510" s="115">
        <v>218.3</v>
      </c>
      <c r="P2510" s="115">
        <v>228.3</v>
      </c>
      <c r="Q2510" s="115">
        <v>219.35</v>
      </c>
      <c r="R2510">
        <v>41955</v>
      </c>
    </row>
    <row r="2511" spans="1:18" x14ac:dyDescent="0.25">
      <c r="A2511" s="169">
        <v>45700</v>
      </c>
      <c r="B2511" s="115">
        <v>211.8</v>
      </c>
      <c r="C2511" s="115">
        <v>198.85</v>
      </c>
      <c r="D2511" s="115">
        <v>194.05</v>
      </c>
      <c r="E2511" s="115">
        <v>210.45</v>
      </c>
      <c r="F2511" s="115">
        <v>198.85</v>
      </c>
      <c r="G2511">
        <v>44616</v>
      </c>
      <c r="H2511" s="115"/>
      <c r="I2511" s="115"/>
      <c r="L2511" s="169">
        <v>45699</v>
      </c>
      <c r="M2511" s="115">
        <v>215.15</v>
      </c>
      <c r="N2511" s="115">
        <v>226.27</v>
      </c>
      <c r="O2511" s="115">
        <v>213.4</v>
      </c>
      <c r="P2511" s="115">
        <v>216.25</v>
      </c>
      <c r="Q2511" s="115">
        <v>215.15</v>
      </c>
      <c r="R2511">
        <v>82651</v>
      </c>
    </row>
    <row r="2512" spans="1:18" x14ac:dyDescent="0.25">
      <c r="A2512" s="169">
        <v>45701</v>
      </c>
      <c r="B2512" s="115">
        <v>206.1</v>
      </c>
      <c r="C2512" s="115">
        <v>201.8</v>
      </c>
      <c r="D2512" s="115">
        <v>199.25</v>
      </c>
      <c r="E2512" s="115">
        <v>201.95</v>
      </c>
      <c r="F2512" s="115">
        <v>201.8</v>
      </c>
      <c r="G2512">
        <v>2818</v>
      </c>
      <c r="H2512" s="115"/>
      <c r="I2512" s="115"/>
      <c r="L2512" s="169">
        <v>45700</v>
      </c>
      <c r="M2512" s="115">
        <v>200.84</v>
      </c>
      <c r="N2512" s="115">
        <v>213</v>
      </c>
      <c r="O2512" s="115">
        <v>193.7</v>
      </c>
      <c r="P2512" s="115">
        <v>210.8</v>
      </c>
      <c r="Q2512" s="115">
        <v>200.84</v>
      </c>
      <c r="R2512">
        <v>316482</v>
      </c>
    </row>
    <row r="2513" spans="1:18" x14ac:dyDescent="0.25">
      <c r="A2513" s="169">
        <v>45702</v>
      </c>
      <c r="B2513" s="115">
        <v>202.95</v>
      </c>
      <c r="C2513" s="115">
        <v>200.95</v>
      </c>
      <c r="D2513" s="115">
        <v>196</v>
      </c>
      <c r="E2513" s="115">
        <v>200.7</v>
      </c>
      <c r="F2513" s="115">
        <v>200.95</v>
      </c>
      <c r="G2513">
        <v>5465</v>
      </c>
      <c r="H2513" s="115"/>
      <c r="I2513" s="115"/>
      <c r="L2513" s="169">
        <v>45701</v>
      </c>
      <c r="M2513" s="115">
        <v>201.45</v>
      </c>
      <c r="N2513" s="115">
        <v>206.85</v>
      </c>
      <c r="O2513" s="115">
        <v>198.02</v>
      </c>
      <c r="P2513" s="115">
        <v>198.55</v>
      </c>
      <c r="Q2513" s="115">
        <v>201.45</v>
      </c>
      <c r="R2513">
        <v>82850</v>
      </c>
    </row>
    <row r="2514" spans="1:18" x14ac:dyDescent="0.25">
      <c r="A2514" s="169">
        <v>45705</v>
      </c>
      <c r="B2514" s="115">
        <v>204.6</v>
      </c>
      <c r="C2514" s="115">
        <v>201.85</v>
      </c>
      <c r="D2514" s="115">
        <v>198.5</v>
      </c>
      <c r="E2514" s="115">
        <v>199.25</v>
      </c>
      <c r="F2514" s="115">
        <v>201.85</v>
      </c>
      <c r="G2514">
        <v>7751</v>
      </c>
      <c r="H2514" s="115"/>
      <c r="I2514" s="115"/>
      <c r="L2514" s="169">
        <v>45702</v>
      </c>
      <c r="M2514" s="115">
        <v>200.8</v>
      </c>
      <c r="N2514" s="115">
        <v>203.75</v>
      </c>
      <c r="O2514" s="115">
        <v>196.26</v>
      </c>
      <c r="P2514" s="115">
        <v>202</v>
      </c>
      <c r="Q2514" s="115">
        <v>200.8</v>
      </c>
      <c r="R2514">
        <v>173818</v>
      </c>
    </row>
    <row r="2515" spans="1:18" x14ac:dyDescent="0.25">
      <c r="A2515" s="169">
        <v>45706</v>
      </c>
      <c r="B2515" s="115">
        <v>204</v>
      </c>
      <c r="C2515" s="115">
        <v>202.7</v>
      </c>
      <c r="D2515" s="115">
        <v>197.55</v>
      </c>
      <c r="E2515" s="115">
        <v>201.9</v>
      </c>
      <c r="F2515" s="115">
        <v>202.7</v>
      </c>
      <c r="G2515">
        <v>12959</v>
      </c>
      <c r="H2515" s="115"/>
      <c r="I2515" s="115"/>
      <c r="L2515" s="169">
        <v>45705</v>
      </c>
      <c r="M2515" s="115">
        <v>201.75</v>
      </c>
      <c r="N2515" s="115">
        <v>204</v>
      </c>
      <c r="O2515" s="115">
        <v>195.21</v>
      </c>
      <c r="P2515" s="115">
        <v>201</v>
      </c>
      <c r="Q2515" s="115">
        <v>201.75</v>
      </c>
      <c r="R2515">
        <v>64028</v>
      </c>
    </row>
    <row r="2516" spans="1:18" x14ac:dyDescent="0.25">
      <c r="A2516" s="169">
        <v>45707</v>
      </c>
      <c r="B2516" s="115">
        <v>204.95</v>
      </c>
      <c r="C2516" s="115">
        <v>200.35</v>
      </c>
      <c r="D2516" s="115">
        <v>198.45</v>
      </c>
      <c r="E2516" s="115">
        <v>200</v>
      </c>
      <c r="F2516" s="115">
        <v>200.35</v>
      </c>
      <c r="G2516">
        <v>2538</v>
      </c>
      <c r="H2516" s="115"/>
      <c r="I2516" s="115"/>
      <c r="L2516" s="169">
        <v>45706</v>
      </c>
      <c r="M2516" s="115">
        <v>202.9</v>
      </c>
      <c r="N2516" s="115">
        <v>204.9</v>
      </c>
      <c r="O2516" s="115">
        <v>197.93</v>
      </c>
      <c r="P2516" s="115">
        <v>203.4</v>
      </c>
      <c r="Q2516" s="115">
        <v>202.9</v>
      </c>
      <c r="R2516">
        <v>79913</v>
      </c>
    </row>
    <row r="2517" spans="1:18" x14ac:dyDescent="0.25">
      <c r="A2517" s="169">
        <v>45708</v>
      </c>
      <c r="B2517" s="115">
        <v>204.4</v>
      </c>
      <c r="C2517" s="115">
        <v>200.8</v>
      </c>
      <c r="D2517" s="115">
        <v>200.15</v>
      </c>
      <c r="E2517" s="115">
        <v>204.4</v>
      </c>
      <c r="F2517" s="115">
        <v>200.8</v>
      </c>
      <c r="G2517">
        <v>3837</v>
      </c>
      <c r="H2517" s="115"/>
      <c r="I2517" s="115"/>
      <c r="L2517" s="169">
        <v>45707</v>
      </c>
      <c r="M2517" s="115">
        <v>200.07</v>
      </c>
      <c r="N2517" s="115">
        <v>205</v>
      </c>
      <c r="O2517" s="115">
        <v>198.05</v>
      </c>
      <c r="P2517" s="115">
        <v>203</v>
      </c>
      <c r="Q2517" s="115">
        <v>200.07</v>
      </c>
      <c r="R2517">
        <v>84287</v>
      </c>
    </row>
    <row r="2518" spans="1:18" x14ac:dyDescent="0.25">
      <c r="A2518" s="169">
        <v>45709</v>
      </c>
      <c r="B2518" s="115">
        <v>205.15</v>
      </c>
      <c r="C2518" s="115">
        <v>197.65</v>
      </c>
      <c r="D2518" s="115">
        <v>197</v>
      </c>
      <c r="E2518" s="115">
        <v>202.1</v>
      </c>
      <c r="F2518" s="115">
        <v>197.65</v>
      </c>
      <c r="G2518">
        <v>7946</v>
      </c>
      <c r="H2518" s="115"/>
      <c r="I2518" s="115"/>
      <c r="L2518" s="169">
        <v>45708</v>
      </c>
      <c r="M2518" s="115">
        <v>200.48</v>
      </c>
      <c r="N2518" s="115">
        <v>202.75</v>
      </c>
      <c r="O2518" s="115">
        <v>200.01</v>
      </c>
      <c r="P2518" s="115">
        <v>202.05</v>
      </c>
      <c r="Q2518" s="115">
        <v>200.48</v>
      </c>
      <c r="R2518">
        <v>69582</v>
      </c>
    </row>
    <row r="2519" spans="1:18" x14ac:dyDescent="0.25">
      <c r="A2519" s="169">
        <v>45712</v>
      </c>
      <c r="B2519" s="115">
        <v>203.3</v>
      </c>
      <c r="C2519" s="115">
        <v>190.65</v>
      </c>
      <c r="D2519" s="115">
        <v>190</v>
      </c>
      <c r="E2519" s="115">
        <v>203.3</v>
      </c>
      <c r="F2519" s="115">
        <v>190.65</v>
      </c>
      <c r="G2519">
        <v>8157</v>
      </c>
      <c r="H2519" s="115"/>
      <c r="I2519" s="115"/>
      <c r="L2519" s="169">
        <v>45709</v>
      </c>
      <c r="M2519" s="115">
        <v>197.43</v>
      </c>
      <c r="N2519" s="115">
        <v>204.47</v>
      </c>
      <c r="O2519" s="115">
        <v>197.1</v>
      </c>
      <c r="P2519" s="115">
        <v>202.6</v>
      </c>
      <c r="Q2519" s="115">
        <v>197.43</v>
      </c>
      <c r="R2519">
        <v>49793</v>
      </c>
    </row>
    <row r="2520" spans="1:18" x14ac:dyDescent="0.25">
      <c r="A2520" s="169">
        <v>45713</v>
      </c>
      <c r="B2520" s="115">
        <v>196.55</v>
      </c>
      <c r="C2520" s="115">
        <v>189.55</v>
      </c>
      <c r="D2520" s="115">
        <v>188.05</v>
      </c>
      <c r="E2520" s="115">
        <v>190.75</v>
      </c>
      <c r="F2520" s="115">
        <v>189.55</v>
      </c>
      <c r="G2520">
        <v>7899</v>
      </c>
      <c r="H2520" s="115"/>
      <c r="I2520" s="115"/>
      <c r="L2520" s="169">
        <v>45712</v>
      </c>
      <c r="M2520" s="115">
        <v>190.39</v>
      </c>
      <c r="N2520" s="115">
        <v>197.53</v>
      </c>
      <c r="O2520" s="115">
        <v>189</v>
      </c>
      <c r="P2520" s="115">
        <v>196.01</v>
      </c>
      <c r="Q2520" s="115">
        <v>190.39</v>
      </c>
      <c r="R2520">
        <v>84963</v>
      </c>
    </row>
    <row r="2521" spans="1:18" x14ac:dyDescent="0.25">
      <c r="A2521" s="169">
        <v>45715</v>
      </c>
      <c r="B2521" s="115">
        <v>194.3</v>
      </c>
      <c r="C2521" s="115">
        <v>183.05</v>
      </c>
      <c r="D2521" s="115">
        <v>182</v>
      </c>
      <c r="E2521" s="115">
        <v>194.3</v>
      </c>
      <c r="F2521" s="115">
        <v>183.05</v>
      </c>
      <c r="G2521">
        <v>6558</v>
      </c>
      <c r="H2521" s="115"/>
      <c r="I2521" s="115"/>
      <c r="L2521" s="169">
        <v>45713</v>
      </c>
      <c r="M2521" s="115">
        <v>189.2</v>
      </c>
      <c r="N2521" s="115">
        <v>196.46</v>
      </c>
      <c r="O2521" s="115">
        <v>188</v>
      </c>
      <c r="P2521" s="115">
        <v>190.39</v>
      </c>
      <c r="Q2521" s="115">
        <v>189.2</v>
      </c>
      <c r="R2521">
        <v>88151</v>
      </c>
    </row>
    <row r="2522" spans="1:18" x14ac:dyDescent="0.25">
      <c r="A2522" s="169">
        <v>45716</v>
      </c>
      <c r="B2522" s="115">
        <v>193.9</v>
      </c>
      <c r="C2522" s="115">
        <v>176.65</v>
      </c>
      <c r="D2522" s="115">
        <v>172.85</v>
      </c>
      <c r="E2522" s="115">
        <v>193.9</v>
      </c>
      <c r="F2522" s="115">
        <v>176.65</v>
      </c>
      <c r="G2522">
        <v>12060</v>
      </c>
      <c r="H2522" s="115"/>
      <c r="I2522" s="115"/>
      <c r="L2522" s="169">
        <v>45715</v>
      </c>
      <c r="M2522" s="115">
        <v>182.42</v>
      </c>
      <c r="N2522" s="115">
        <v>192.69</v>
      </c>
      <c r="O2522" s="115">
        <v>180.01</v>
      </c>
      <c r="P2522" s="115">
        <v>191.55</v>
      </c>
      <c r="Q2522" s="115">
        <v>182.42</v>
      </c>
      <c r="R2522">
        <v>93073</v>
      </c>
    </row>
    <row r="2523" spans="1:18" x14ac:dyDescent="0.25">
      <c r="A2523" s="169">
        <v>45719</v>
      </c>
      <c r="B2523" s="115">
        <v>179.9</v>
      </c>
      <c r="C2523" s="115">
        <v>179</v>
      </c>
      <c r="D2523" s="115">
        <v>170.4</v>
      </c>
      <c r="E2523" s="115">
        <v>177.75</v>
      </c>
      <c r="F2523" s="115">
        <v>179</v>
      </c>
      <c r="G2523">
        <v>17798</v>
      </c>
      <c r="H2523" s="115"/>
      <c r="I2523" s="115"/>
      <c r="L2523" s="169">
        <v>45716</v>
      </c>
      <c r="M2523" s="115">
        <v>176.06</v>
      </c>
      <c r="N2523" s="115">
        <v>184.98</v>
      </c>
      <c r="O2523" s="115">
        <v>172.85</v>
      </c>
      <c r="P2523" s="115">
        <v>184.98</v>
      </c>
      <c r="Q2523" s="115">
        <v>176.06</v>
      </c>
      <c r="R2523">
        <v>138324</v>
      </c>
    </row>
    <row r="2524" spans="1:18" x14ac:dyDescent="0.25">
      <c r="A2524" s="169">
        <v>45720</v>
      </c>
      <c r="B2524" s="115">
        <v>189</v>
      </c>
      <c r="C2524" s="115">
        <v>181.55</v>
      </c>
      <c r="D2524" s="115">
        <v>174</v>
      </c>
      <c r="E2524" s="115">
        <v>182.35</v>
      </c>
      <c r="F2524" s="115">
        <v>181.55</v>
      </c>
      <c r="G2524">
        <v>11260</v>
      </c>
      <c r="H2524" s="115"/>
      <c r="I2524" s="115"/>
      <c r="L2524" s="169">
        <v>45719</v>
      </c>
      <c r="M2524" s="115">
        <v>178.78</v>
      </c>
      <c r="N2524" s="115">
        <v>183.05</v>
      </c>
      <c r="O2524" s="115">
        <v>170.56</v>
      </c>
      <c r="P2524" s="115">
        <v>179.15</v>
      </c>
      <c r="Q2524" s="115">
        <v>178.78</v>
      </c>
      <c r="R2524">
        <v>124921</v>
      </c>
    </row>
    <row r="2525" spans="1:18" x14ac:dyDescent="0.25">
      <c r="A2525" s="169">
        <v>45721</v>
      </c>
      <c r="B2525" s="115">
        <v>214.9</v>
      </c>
      <c r="C2525" s="115">
        <v>203.5</v>
      </c>
      <c r="D2525" s="115">
        <v>178</v>
      </c>
      <c r="E2525" s="115">
        <v>178</v>
      </c>
      <c r="F2525" s="115">
        <v>203.5</v>
      </c>
      <c r="G2525">
        <v>8430</v>
      </c>
      <c r="H2525" s="115"/>
      <c r="I2525" s="115"/>
      <c r="L2525" s="169">
        <v>45720</v>
      </c>
      <c r="M2525" s="115">
        <v>182.01</v>
      </c>
      <c r="N2525" s="115">
        <v>188.55</v>
      </c>
      <c r="O2525" s="115">
        <v>174</v>
      </c>
      <c r="P2525" s="115">
        <v>176.15</v>
      </c>
      <c r="Q2525" s="115">
        <v>182.01</v>
      </c>
      <c r="R2525">
        <v>97845</v>
      </c>
    </row>
    <row r="2526" spans="1:18" x14ac:dyDescent="0.25">
      <c r="A2526" s="169">
        <v>45722</v>
      </c>
      <c r="B2526" s="115">
        <v>213.95</v>
      </c>
      <c r="C2526" s="115">
        <v>202.15</v>
      </c>
      <c r="D2526" s="115">
        <v>201.1</v>
      </c>
      <c r="E2526" s="115">
        <v>213.95</v>
      </c>
      <c r="F2526" s="115">
        <v>202.15</v>
      </c>
      <c r="G2526">
        <v>8226</v>
      </c>
      <c r="H2526" s="115"/>
      <c r="I2526" s="115"/>
      <c r="L2526" s="169">
        <v>45721</v>
      </c>
      <c r="M2526" s="115">
        <v>204.84</v>
      </c>
      <c r="N2526" s="115">
        <v>215.5</v>
      </c>
      <c r="O2526" s="115">
        <v>182</v>
      </c>
      <c r="P2526" s="115">
        <v>182.01</v>
      </c>
      <c r="Q2526" s="115">
        <v>204.84</v>
      </c>
      <c r="R2526">
        <v>212998</v>
      </c>
    </row>
    <row r="2527" spans="1:18" x14ac:dyDescent="0.25">
      <c r="A2527" s="169">
        <v>45723</v>
      </c>
      <c r="B2527" s="115">
        <v>210.2</v>
      </c>
      <c r="C2527" s="115">
        <v>202.2</v>
      </c>
      <c r="D2527" s="115">
        <v>201.3</v>
      </c>
      <c r="E2527" s="115">
        <v>201.75</v>
      </c>
      <c r="F2527" s="115">
        <v>202.2</v>
      </c>
      <c r="G2527">
        <v>8147</v>
      </c>
      <c r="H2527" s="115"/>
      <c r="I2527" s="115"/>
      <c r="L2527" s="169">
        <v>45722</v>
      </c>
      <c r="M2527" s="115">
        <v>201.63</v>
      </c>
      <c r="N2527" s="115">
        <v>209.19</v>
      </c>
      <c r="O2527" s="115">
        <v>200.25</v>
      </c>
      <c r="P2527" s="115">
        <v>206</v>
      </c>
      <c r="Q2527" s="115">
        <v>201.63</v>
      </c>
      <c r="R2527">
        <v>140315</v>
      </c>
    </row>
    <row r="2528" spans="1:18" x14ac:dyDescent="0.25">
      <c r="A2528" s="169">
        <v>45726</v>
      </c>
      <c r="B2528" s="115">
        <v>204.75</v>
      </c>
      <c r="C2528" s="115">
        <v>195.5</v>
      </c>
      <c r="D2528" s="115">
        <v>192</v>
      </c>
      <c r="E2528" s="115">
        <v>202.25</v>
      </c>
      <c r="F2528" s="115">
        <v>195.5</v>
      </c>
      <c r="G2528">
        <v>8060</v>
      </c>
      <c r="H2528" s="115"/>
      <c r="I2528" s="115"/>
      <c r="L2528" s="169">
        <v>45723</v>
      </c>
      <c r="M2528" s="115">
        <v>202.14</v>
      </c>
      <c r="N2528" s="115">
        <v>210.59</v>
      </c>
      <c r="O2528" s="115">
        <v>199.9</v>
      </c>
      <c r="P2528" s="115">
        <v>199.9</v>
      </c>
      <c r="Q2528" s="115">
        <v>202.14</v>
      </c>
      <c r="R2528">
        <v>137410</v>
      </c>
    </row>
    <row r="2529" spans="1:18" x14ac:dyDescent="0.25">
      <c r="A2529" s="169">
        <v>45727</v>
      </c>
      <c r="B2529" s="115">
        <v>197</v>
      </c>
      <c r="C2529" s="115">
        <v>192.55</v>
      </c>
      <c r="D2529" s="115">
        <v>190.5</v>
      </c>
      <c r="E2529" s="115">
        <v>193.3</v>
      </c>
      <c r="F2529" s="115">
        <v>192.55</v>
      </c>
      <c r="G2529">
        <v>57427</v>
      </c>
      <c r="H2529" s="115"/>
      <c r="I2529" s="115"/>
      <c r="L2529" s="169">
        <v>45726</v>
      </c>
      <c r="M2529" s="115">
        <v>194.29</v>
      </c>
      <c r="N2529" s="115">
        <v>204.14</v>
      </c>
      <c r="O2529" s="115">
        <v>191.2</v>
      </c>
      <c r="P2529" s="115">
        <v>204.14</v>
      </c>
      <c r="Q2529" s="115">
        <v>194.29</v>
      </c>
      <c r="R2529">
        <v>58877</v>
      </c>
    </row>
    <row r="2530" spans="1:18" x14ac:dyDescent="0.25">
      <c r="A2530" s="169">
        <v>45728</v>
      </c>
      <c r="B2530" s="115">
        <v>194.55</v>
      </c>
      <c r="C2530" s="115">
        <v>187.4</v>
      </c>
      <c r="D2530" s="115">
        <v>186.15</v>
      </c>
      <c r="E2530" s="115">
        <v>192.1</v>
      </c>
      <c r="F2530" s="115">
        <v>187.4</v>
      </c>
      <c r="G2530">
        <v>37875</v>
      </c>
      <c r="H2530" s="115"/>
      <c r="I2530" s="115"/>
      <c r="L2530" s="169">
        <v>45727</v>
      </c>
      <c r="M2530" s="115">
        <v>193.49</v>
      </c>
      <c r="N2530" s="115">
        <v>197.2</v>
      </c>
      <c r="O2530" s="115">
        <v>190</v>
      </c>
      <c r="P2530" s="115">
        <v>194.29</v>
      </c>
      <c r="Q2530" s="115">
        <v>193.49</v>
      </c>
      <c r="R2530">
        <v>190673</v>
      </c>
    </row>
    <row r="2531" spans="1:18" x14ac:dyDescent="0.25">
      <c r="A2531" s="169">
        <v>45729</v>
      </c>
      <c r="B2531" s="115">
        <v>195.5</v>
      </c>
      <c r="C2531" s="115">
        <v>187.45</v>
      </c>
      <c r="D2531" s="115">
        <v>185.15</v>
      </c>
      <c r="E2531" s="115">
        <v>190.1</v>
      </c>
      <c r="F2531" s="115">
        <v>187.45</v>
      </c>
      <c r="G2531">
        <v>21916</v>
      </c>
      <c r="H2531" s="115"/>
      <c r="I2531" s="115"/>
      <c r="L2531" s="169">
        <v>45728</v>
      </c>
      <c r="M2531" s="115">
        <v>187.36</v>
      </c>
      <c r="N2531" s="115">
        <v>195.3</v>
      </c>
      <c r="O2531" s="115">
        <v>186.38</v>
      </c>
      <c r="P2531" s="115">
        <v>191.35</v>
      </c>
      <c r="Q2531" s="115">
        <v>187.36</v>
      </c>
      <c r="R2531">
        <v>91533</v>
      </c>
    </row>
    <row r="2532" spans="1:18" x14ac:dyDescent="0.25">
      <c r="A2532" s="169">
        <v>45733</v>
      </c>
      <c r="B2532" s="115">
        <v>188.45</v>
      </c>
      <c r="C2532" s="115">
        <v>179.85</v>
      </c>
      <c r="D2532" s="115">
        <v>177.2</v>
      </c>
      <c r="E2532" s="115">
        <v>187.5</v>
      </c>
      <c r="F2532" s="115">
        <v>179.85</v>
      </c>
      <c r="G2532">
        <v>17069</v>
      </c>
      <c r="H2532" s="115"/>
      <c r="I2532" s="115"/>
      <c r="L2532" s="169">
        <v>45729</v>
      </c>
      <c r="M2532" s="115">
        <v>186.91</v>
      </c>
      <c r="N2532" s="115">
        <v>196</v>
      </c>
      <c r="O2532" s="115">
        <v>185.79</v>
      </c>
      <c r="P2532" s="115">
        <v>188.15</v>
      </c>
      <c r="Q2532" s="115">
        <v>186.91</v>
      </c>
      <c r="R2532">
        <v>161412</v>
      </c>
    </row>
    <row r="2533" spans="1:18" x14ac:dyDescent="0.25">
      <c r="A2533" s="169">
        <v>45734</v>
      </c>
      <c r="B2533" s="115">
        <v>186.3</v>
      </c>
      <c r="C2533" s="115">
        <v>181.05</v>
      </c>
      <c r="D2533" s="115">
        <v>179.5</v>
      </c>
      <c r="E2533" s="115">
        <v>179.85</v>
      </c>
      <c r="F2533" s="115">
        <v>181.05</v>
      </c>
      <c r="G2533">
        <v>20174</v>
      </c>
      <c r="H2533" s="115"/>
      <c r="I2533" s="115"/>
      <c r="L2533" s="169">
        <v>45733</v>
      </c>
      <c r="M2533" s="115">
        <v>179.56</v>
      </c>
      <c r="N2533" s="115">
        <v>188.25</v>
      </c>
      <c r="O2533" s="115">
        <v>177.1</v>
      </c>
      <c r="P2533" s="115">
        <v>186.91</v>
      </c>
      <c r="Q2533" s="115">
        <v>179.56</v>
      </c>
      <c r="R2533">
        <v>132453</v>
      </c>
    </row>
    <row r="2534" spans="1:18" x14ac:dyDescent="0.25">
      <c r="A2534" s="169">
        <v>45735</v>
      </c>
      <c r="B2534" s="115">
        <v>189.9</v>
      </c>
      <c r="C2534" s="115">
        <v>184.85</v>
      </c>
      <c r="D2534" s="115">
        <v>181</v>
      </c>
      <c r="E2534" s="115">
        <v>184.95</v>
      </c>
      <c r="F2534" s="115">
        <v>184.85</v>
      </c>
      <c r="G2534">
        <v>11587</v>
      </c>
      <c r="H2534" s="115"/>
      <c r="I2534" s="115"/>
      <c r="L2534" s="169">
        <v>45734</v>
      </c>
      <c r="M2534" s="115">
        <v>180.87</v>
      </c>
      <c r="N2534" s="115">
        <v>186.38</v>
      </c>
      <c r="O2534" s="115">
        <v>179.15</v>
      </c>
      <c r="P2534" s="115">
        <v>181.99</v>
      </c>
      <c r="Q2534" s="115">
        <v>180.87</v>
      </c>
      <c r="R2534">
        <v>203376</v>
      </c>
    </row>
    <row r="2535" spans="1:18" x14ac:dyDescent="0.25">
      <c r="A2535" s="169">
        <v>45736</v>
      </c>
      <c r="B2535" s="115">
        <v>189.85</v>
      </c>
      <c r="C2535" s="115">
        <v>185.75</v>
      </c>
      <c r="D2535" s="115">
        <v>184.3</v>
      </c>
      <c r="E2535" s="115">
        <v>187.35</v>
      </c>
      <c r="F2535" s="115">
        <v>185.75</v>
      </c>
      <c r="G2535">
        <v>14300</v>
      </c>
      <c r="H2535" s="115"/>
      <c r="I2535" s="115"/>
      <c r="L2535" s="169">
        <v>45735</v>
      </c>
      <c r="M2535" s="115">
        <v>184.67</v>
      </c>
      <c r="N2535" s="115">
        <v>190</v>
      </c>
      <c r="O2535" s="115">
        <v>181.8</v>
      </c>
      <c r="P2535" s="115">
        <v>181.8</v>
      </c>
      <c r="Q2535" s="115">
        <v>184.67</v>
      </c>
      <c r="R2535">
        <v>158525</v>
      </c>
    </row>
    <row r="2536" spans="1:18" x14ac:dyDescent="0.25">
      <c r="A2536" s="169">
        <v>45737</v>
      </c>
      <c r="B2536" s="115">
        <v>196.8</v>
      </c>
      <c r="C2536" s="115">
        <v>187.8</v>
      </c>
      <c r="D2536" s="115">
        <v>186.85</v>
      </c>
      <c r="E2536" s="115">
        <v>188.5</v>
      </c>
      <c r="F2536" s="115">
        <v>187.8</v>
      </c>
      <c r="G2536">
        <v>14091</v>
      </c>
      <c r="H2536" s="115"/>
      <c r="I2536" s="115"/>
      <c r="L2536" s="169">
        <v>45736</v>
      </c>
      <c r="M2536" s="115">
        <v>185.63</v>
      </c>
      <c r="N2536" s="115">
        <v>189.8</v>
      </c>
      <c r="O2536" s="115">
        <v>184</v>
      </c>
      <c r="P2536" s="115">
        <v>185.15</v>
      </c>
      <c r="Q2536" s="115">
        <v>185.63</v>
      </c>
      <c r="R2536">
        <v>213295</v>
      </c>
    </row>
    <row r="2537" spans="1:18" x14ac:dyDescent="0.25">
      <c r="A2537" s="169">
        <v>45740</v>
      </c>
      <c r="B2537" s="115">
        <v>197.1</v>
      </c>
      <c r="C2537" s="115">
        <v>193</v>
      </c>
      <c r="D2537" s="115">
        <v>188.05</v>
      </c>
      <c r="E2537" s="115">
        <v>188.05</v>
      </c>
      <c r="F2537" s="115">
        <v>193</v>
      </c>
      <c r="G2537">
        <v>30577</v>
      </c>
      <c r="H2537" s="115"/>
      <c r="I2537" s="115"/>
      <c r="L2537" s="169">
        <v>45737</v>
      </c>
      <c r="M2537" s="115">
        <v>187.7</v>
      </c>
      <c r="N2537" s="115">
        <v>197.51</v>
      </c>
      <c r="O2537" s="115">
        <v>186.45</v>
      </c>
      <c r="P2537" s="115">
        <v>186.7</v>
      </c>
      <c r="Q2537" s="115">
        <v>187.7</v>
      </c>
      <c r="R2537">
        <v>170318</v>
      </c>
    </row>
    <row r="2538" spans="1:18" x14ac:dyDescent="0.25">
      <c r="A2538" s="169">
        <v>45741</v>
      </c>
      <c r="B2538" s="115">
        <v>196.9</v>
      </c>
      <c r="C2538" s="115">
        <v>186.5</v>
      </c>
      <c r="D2538" s="115">
        <v>186</v>
      </c>
      <c r="E2538" s="115">
        <v>193.55</v>
      </c>
      <c r="F2538" s="115">
        <v>186.5</v>
      </c>
      <c r="G2538">
        <v>24462</v>
      </c>
      <c r="H2538" s="115"/>
      <c r="I2538" s="115"/>
      <c r="L2538" s="169">
        <v>45740</v>
      </c>
      <c r="M2538" s="115">
        <v>193.52</v>
      </c>
      <c r="N2538" s="115">
        <v>198</v>
      </c>
      <c r="O2538" s="115">
        <v>189.55</v>
      </c>
      <c r="P2538" s="115">
        <v>189.6</v>
      </c>
      <c r="Q2538" s="115">
        <v>193.52</v>
      </c>
      <c r="R2538">
        <v>208220</v>
      </c>
    </row>
    <row r="2539" spans="1:18" x14ac:dyDescent="0.25">
      <c r="A2539" s="169">
        <v>45742</v>
      </c>
      <c r="B2539" s="115">
        <v>192</v>
      </c>
      <c r="C2539" s="115">
        <v>179.3</v>
      </c>
      <c r="D2539" s="115">
        <v>179.05</v>
      </c>
      <c r="E2539" s="115">
        <v>192</v>
      </c>
      <c r="F2539" s="115">
        <v>179.3</v>
      </c>
      <c r="G2539">
        <v>20354</v>
      </c>
      <c r="H2539" s="115"/>
      <c r="I2539" s="115"/>
      <c r="L2539" s="169">
        <v>45741</v>
      </c>
      <c r="M2539" s="115">
        <v>186.48</v>
      </c>
      <c r="N2539" s="115">
        <v>196.98</v>
      </c>
      <c r="O2539" s="115">
        <v>185.9</v>
      </c>
      <c r="P2539" s="115">
        <v>194.03</v>
      </c>
      <c r="Q2539" s="115">
        <v>186.48</v>
      </c>
      <c r="R2539">
        <v>143203</v>
      </c>
    </row>
    <row r="2540" spans="1:18" x14ac:dyDescent="0.25">
      <c r="A2540" s="169">
        <v>45743</v>
      </c>
      <c r="B2540" s="115">
        <v>185.4</v>
      </c>
      <c r="C2540" s="115">
        <v>183.15</v>
      </c>
      <c r="D2540" s="115">
        <v>176.6</v>
      </c>
      <c r="E2540" s="115">
        <v>176.6</v>
      </c>
      <c r="F2540" s="115">
        <v>183.15</v>
      </c>
      <c r="G2540">
        <v>24287</v>
      </c>
      <c r="H2540" s="115"/>
      <c r="I2540" s="115"/>
      <c r="L2540" s="169">
        <v>45742</v>
      </c>
      <c r="M2540" s="115">
        <v>179.82</v>
      </c>
      <c r="N2540" s="115">
        <v>187.95</v>
      </c>
      <c r="O2540" s="115">
        <v>179.06</v>
      </c>
      <c r="P2540" s="115">
        <v>187.1</v>
      </c>
      <c r="Q2540" s="115">
        <v>179.82</v>
      </c>
      <c r="R2540">
        <v>114041</v>
      </c>
    </row>
    <row r="2541" spans="1:18" x14ac:dyDescent="0.25">
      <c r="A2541" s="169">
        <v>45744</v>
      </c>
      <c r="B2541" s="115">
        <v>191.6</v>
      </c>
      <c r="C2541" s="115">
        <v>180.95</v>
      </c>
      <c r="D2541" s="115">
        <v>179.75</v>
      </c>
      <c r="E2541" s="115">
        <v>191.6</v>
      </c>
      <c r="F2541" s="115">
        <v>180.95</v>
      </c>
      <c r="G2541">
        <v>9094</v>
      </c>
      <c r="H2541" s="115"/>
      <c r="I2541" s="115"/>
      <c r="L2541" s="169">
        <v>45743</v>
      </c>
      <c r="M2541" s="115">
        <v>183.54</v>
      </c>
      <c r="N2541" s="115">
        <v>187.6</v>
      </c>
      <c r="O2541" s="115">
        <v>178.48</v>
      </c>
      <c r="P2541" s="115">
        <v>179.65</v>
      </c>
      <c r="Q2541" s="115">
        <v>183.54</v>
      </c>
      <c r="R2541">
        <v>290739</v>
      </c>
    </row>
    <row r="2542" spans="1:18" x14ac:dyDescent="0.25">
      <c r="A2542" s="169">
        <v>45748</v>
      </c>
      <c r="B2542" s="115">
        <v>191.6</v>
      </c>
      <c r="C2542" s="115">
        <v>190.05</v>
      </c>
      <c r="D2542" s="115">
        <v>178.2</v>
      </c>
      <c r="E2542" s="115">
        <v>178.2</v>
      </c>
      <c r="F2542" s="115">
        <v>190.05</v>
      </c>
      <c r="G2542">
        <v>12485</v>
      </c>
      <c r="H2542" s="115"/>
      <c r="I2542" s="115"/>
      <c r="L2542" s="169">
        <v>45744</v>
      </c>
      <c r="M2542" s="115">
        <v>180.66</v>
      </c>
      <c r="N2542" s="115">
        <v>188.45</v>
      </c>
      <c r="O2542" s="115">
        <v>180</v>
      </c>
      <c r="P2542" s="115">
        <v>182.9</v>
      </c>
      <c r="Q2542" s="115">
        <v>180.66</v>
      </c>
      <c r="R2542">
        <v>135584</v>
      </c>
    </row>
    <row r="2543" spans="1:18" x14ac:dyDescent="0.25">
      <c r="A2543" s="169">
        <v>45749</v>
      </c>
      <c r="B2543" s="115">
        <v>194.35</v>
      </c>
      <c r="C2543" s="115">
        <v>192.65</v>
      </c>
      <c r="D2543" s="115">
        <v>186.5</v>
      </c>
      <c r="E2543" s="115">
        <v>190.05</v>
      </c>
      <c r="F2543" s="115">
        <v>192.65</v>
      </c>
      <c r="G2543">
        <v>2175</v>
      </c>
      <c r="H2543" s="115"/>
      <c r="I2543" s="115"/>
      <c r="L2543" s="169">
        <v>45748</v>
      </c>
      <c r="M2543" s="115">
        <v>190.51</v>
      </c>
      <c r="N2543" s="115">
        <v>191.39</v>
      </c>
      <c r="O2543" s="115">
        <v>181.1</v>
      </c>
      <c r="P2543" s="115">
        <v>182.35</v>
      </c>
      <c r="Q2543" s="115">
        <v>190.51</v>
      </c>
      <c r="R2543">
        <v>96782</v>
      </c>
    </row>
    <row r="2544" spans="1:18" x14ac:dyDescent="0.25">
      <c r="A2544" s="169">
        <v>45750</v>
      </c>
      <c r="B2544" s="115">
        <v>197.5</v>
      </c>
      <c r="C2544" s="115">
        <v>194.95</v>
      </c>
      <c r="D2544" s="115">
        <v>191.6</v>
      </c>
      <c r="E2544" s="115">
        <v>191.6</v>
      </c>
      <c r="F2544" s="115">
        <v>194.95</v>
      </c>
      <c r="G2544">
        <v>8122</v>
      </c>
      <c r="H2544" s="115"/>
      <c r="I2544" s="115"/>
      <c r="L2544" s="169">
        <v>45749</v>
      </c>
      <c r="M2544" s="115">
        <v>192.12</v>
      </c>
      <c r="N2544" s="115">
        <v>194.95</v>
      </c>
      <c r="O2544" s="115">
        <v>185.91</v>
      </c>
      <c r="P2544" s="115">
        <v>190.51</v>
      </c>
      <c r="Q2544" s="115">
        <v>192.12</v>
      </c>
      <c r="R2544">
        <v>67480</v>
      </c>
    </row>
    <row r="2545" spans="1:18" x14ac:dyDescent="0.25">
      <c r="A2545" s="169">
        <v>45751</v>
      </c>
      <c r="B2545" s="115">
        <v>199</v>
      </c>
      <c r="C2545" s="115">
        <v>188</v>
      </c>
      <c r="D2545" s="115">
        <v>185.25</v>
      </c>
      <c r="E2545" s="115">
        <v>199</v>
      </c>
      <c r="F2545" s="115">
        <v>188</v>
      </c>
      <c r="G2545">
        <v>8452</v>
      </c>
      <c r="H2545" s="115"/>
      <c r="I2545" s="115"/>
      <c r="L2545" s="169">
        <v>45750</v>
      </c>
      <c r="M2545" s="115">
        <v>195.19</v>
      </c>
      <c r="N2545" s="115">
        <v>197.39</v>
      </c>
      <c r="O2545" s="115">
        <v>191.01</v>
      </c>
      <c r="P2545" s="115">
        <v>191.05</v>
      </c>
      <c r="Q2545" s="115">
        <v>195.19</v>
      </c>
      <c r="R2545">
        <v>68478</v>
      </c>
    </row>
    <row r="2546" spans="1:18" x14ac:dyDescent="0.25">
      <c r="A2546" s="169">
        <v>45754</v>
      </c>
      <c r="B2546" s="115">
        <v>181.95</v>
      </c>
      <c r="C2546" s="115">
        <v>180.85</v>
      </c>
      <c r="D2546" s="115">
        <v>177.1</v>
      </c>
      <c r="E2546" s="115">
        <v>180.35</v>
      </c>
      <c r="F2546" s="115">
        <v>180.85</v>
      </c>
      <c r="G2546">
        <v>5537</v>
      </c>
      <c r="H2546" s="115"/>
      <c r="I2546" s="115"/>
      <c r="L2546" s="169">
        <v>45751</v>
      </c>
      <c r="M2546" s="115">
        <v>188.35</v>
      </c>
      <c r="N2546" s="115">
        <v>196.38</v>
      </c>
      <c r="O2546" s="115">
        <v>185.1</v>
      </c>
      <c r="P2546" s="115">
        <v>195.9</v>
      </c>
      <c r="Q2546" s="115">
        <v>188.35</v>
      </c>
      <c r="R2546">
        <v>116353</v>
      </c>
    </row>
    <row r="2547" spans="1:18" x14ac:dyDescent="0.25">
      <c r="A2547" s="169">
        <v>45755</v>
      </c>
      <c r="B2547" s="115">
        <v>185</v>
      </c>
      <c r="C2547" s="115">
        <v>183.4</v>
      </c>
      <c r="D2547" s="115">
        <v>180.1</v>
      </c>
      <c r="E2547" s="115">
        <v>185</v>
      </c>
      <c r="F2547" s="115">
        <v>183.4</v>
      </c>
      <c r="G2547">
        <v>7487</v>
      </c>
      <c r="H2547" s="115"/>
      <c r="I2547" s="115"/>
      <c r="L2547" s="169">
        <v>45754</v>
      </c>
      <c r="M2547" s="115">
        <v>180.45</v>
      </c>
      <c r="N2547" s="115">
        <v>183</v>
      </c>
      <c r="O2547" s="115">
        <v>175</v>
      </c>
      <c r="P2547" s="115">
        <v>180</v>
      </c>
      <c r="Q2547" s="115">
        <v>180.45</v>
      </c>
      <c r="R2547">
        <v>110440</v>
      </c>
    </row>
    <row r="2548" spans="1:18" x14ac:dyDescent="0.25">
      <c r="A2548" s="169">
        <v>45756</v>
      </c>
      <c r="B2548" s="115">
        <v>197.9</v>
      </c>
      <c r="C2548" s="115">
        <v>194.4</v>
      </c>
      <c r="D2548" s="115">
        <v>180</v>
      </c>
      <c r="E2548" s="115">
        <v>181.1</v>
      </c>
      <c r="F2548" s="115">
        <v>194.4</v>
      </c>
      <c r="G2548">
        <v>11651</v>
      </c>
      <c r="H2548" s="115"/>
      <c r="I2548" s="115"/>
      <c r="L2548" s="169">
        <v>45755</v>
      </c>
      <c r="M2548" s="115">
        <v>183.29</v>
      </c>
      <c r="N2548" s="115">
        <v>187.25</v>
      </c>
      <c r="O2548" s="115">
        <v>180.81</v>
      </c>
      <c r="P2548" s="115">
        <v>182.4</v>
      </c>
      <c r="Q2548" s="115">
        <v>183.29</v>
      </c>
      <c r="R2548">
        <v>35304</v>
      </c>
    </row>
    <row r="2549" spans="1:18" x14ac:dyDescent="0.25">
      <c r="A2549" s="169">
        <v>45758</v>
      </c>
      <c r="B2549" s="115">
        <v>200.9</v>
      </c>
      <c r="C2549" s="115">
        <v>194.7</v>
      </c>
      <c r="D2549" s="115">
        <v>192.3</v>
      </c>
      <c r="E2549" s="115">
        <v>200.9</v>
      </c>
      <c r="F2549" s="115">
        <v>194.7</v>
      </c>
      <c r="G2549">
        <v>14231</v>
      </c>
      <c r="H2549" s="115"/>
      <c r="I2549" s="115"/>
      <c r="L2549" s="169">
        <v>45756</v>
      </c>
      <c r="M2549" s="115">
        <v>194.36</v>
      </c>
      <c r="N2549" s="115">
        <v>197.63</v>
      </c>
      <c r="O2549" s="115">
        <v>179.79</v>
      </c>
      <c r="P2549" s="115">
        <v>180.65</v>
      </c>
      <c r="Q2549" s="115">
        <v>194.36</v>
      </c>
      <c r="R2549">
        <v>166771</v>
      </c>
    </row>
    <row r="2550" spans="1:18" x14ac:dyDescent="0.25">
      <c r="A2550" s="169">
        <v>45762</v>
      </c>
      <c r="B2550" s="115">
        <v>197.7</v>
      </c>
      <c r="C2550" s="115">
        <v>194.3</v>
      </c>
      <c r="D2550" s="115">
        <v>193.5</v>
      </c>
      <c r="E2550" s="115">
        <v>196.2</v>
      </c>
      <c r="F2550" s="115">
        <v>194.3</v>
      </c>
      <c r="G2550">
        <v>5728</v>
      </c>
      <c r="H2550" s="115"/>
      <c r="I2550" s="115"/>
      <c r="L2550" s="169">
        <v>45758</v>
      </c>
      <c r="M2550" s="115">
        <v>194.43</v>
      </c>
      <c r="N2550" s="115">
        <v>199</v>
      </c>
      <c r="O2550" s="115">
        <v>192.22</v>
      </c>
      <c r="P2550" s="115">
        <v>199</v>
      </c>
      <c r="Q2550" s="115">
        <v>194.43</v>
      </c>
      <c r="R2550">
        <v>92430</v>
      </c>
    </row>
    <row r="2551" spans="1:18" x14ac:dyDescent="0.25">
      <c r="A2551" s="169">
        <v>45763</v>
      </c>
      <c r="B2551" s="115">
        <v>198.5</v>
      </c>
      <c r="C2551" s="115">
        <v>195.4</v>
      </c>
      <c r="D2551" s="115">
        <v>193.55</v>
      </c>
      <c r="E2551" s="115">
        <v>194.55</v>
      </c>
      <c r="F2551" s="115">
        <v>195.4</v>
      </c>
      <c r="G2551">
        <v>2732</v>
      </c>
      <c r="H2551" s="115"/>
      <c r="I2551" s="115"/>
      <c r="L2551" s="169">
        <v>45762</v>
      </c>
      <c r="M2551" s="115">
        <v>194.5</v>
      </c>
      <c r="N2551" s="115">
        <v>197.82</v>
      </c>
      <c r="O2551" s="115">
        <v>193.06</v>
      </c>
      <c r="P2551" s="115">
        <v>195.5</v>
      </c>
      <c r="Q2551" s="115">
        <v>194.5</v>
      </c>
      <c r="R2551">
        <v>104332</v>
      </c>
    </row>
    <row r="2552" spans="1:18" x14ac:dyDescent="0.25">
      <c r="A2552" s="169">
        <v>45764</v>
      </c>
      <c r="B2552" s="115">
        <v>197.35</v>
      </c>
      <c r="C2552" s="115">
        <v>195.25</v>
      </c>
      <c r="D2552" s="115">
        <v>193.1</v>
      </c>
      <c r="E2552" s="115">
        <v>196.35</v>
      </c>
      <c r="F2552" s="115">
        <v>195.25</v>
      </c>
      <c r="G2552">
        <v>6836</v>
      </c>
      <c r="H2552" s="115"/>
      <c r="I2552" s="115"/>
      <c r="L2552" s="169">
        <v>45763</v>
      </c>
      <c r="M2552" s="115">
        <v>195.17</v>
      </c>
      <c r="N2552" s="115">
        <v>198</v>
      </c>
      <c r="O2552" s="115">
        <v>193.57</v>
      </c>
      <c r="P2552" s="115">
        <v>196.5</v>
      </c>
      <c r="Q2552" s="115">
        <v>195.17</v>
      </c>
      <c r="R2552">
        <v>69745</v>
      </c>
    </row>
    <row r="2553" spans="1:18" x14ac:dyDescent="0.25">
      <c r="A2553" s="169">
        <v>45768</v>
      </c>
      <c r="B2553" s="115">
        <v>204.9</v>
      </c>
      <c r="C2553" s="115">
        <v>201.4</v>
      </c>
      <c r="D2553" s="115">
        <v>196.2</v>
      </c>
      <c r="E2553" s="115">
        <v>200.95</v>
      </c>
      <c r="F2553" s="115">
        <v>201.4</v>
      </c>
      <c r="G2553">
        <v>28879</v>
      </c>
      <c r="H2553" s="115"/>
      <c r="I2553" s="115"/>
      <c r="L2553" s="169">
        <v>45764</v>
      </c>
      <c r="M2553" s="115">
        <v>195.02</v>
      </c>
      <c r="N2553" s="115">
        <v>196.29</v>
      </c>
      <c r="O2553" s="115">
        <v>193.2</v>
      </c>
      <c r="P2553" s="115">
        <v>195.17</v>
      </c>
      <c r="Q2553" s="115">
        <v>195.02</v>
      </c>
      <c r="R2553">
        <v>108838</v>
      </c>
    </row>
    <row r="2554" spans="1:18" x14ac:dyDescent="0.25">
      <c r="A2554" s="169">
        <v>45769</v>
      </c>
      <c r="B2554" s="115">
        <v>208</v>
      </c>
      <c r="C2554" s="115">
        <v>199.05</v>
      </c>
      <c r="D2554" s="115">
        <v>198.4</v>
      </c>
      <c r="E2554" s="115">
        <v>208</v>
      </c>
      <c r="F2554" s="115">
        <v>199.05</v>
      </c>
      <c r="G2554">
        <v>27575</v>
      </c>
      <c r="H2554" s="115"/>
      <c r="I2554" s="115"/>
      <c r="L2554" s="169">
        <v>45768</v>
      </c>
      <c r="M2554" s="115">
        <v>200.77</v>
      </c>
      <c r="N2554" s="115">
        <v>205</v>
      </c>
      <c r="O2554" s="115">
        <v>196.9</v>
      </c>
      <c r="P2554" s="115">
        <v>196.9</v>
      </c>
      <c r="Q2554" s="115">
        <v>200.77</v>
      </c>
      <c r="R2554">
        <v>300828</v>
      </c>
    </row>
    <row r="2555" spans="1:18" x14ac:dyDescent="0.25">
      <c r="A2555" s="169">
        <v>45770</v>
      </c>
      <c r="B2555" s="115">
        <v>222</v>
      </c>
      <c r="C2555" s="115">
        <v>208.1</v>
      </c>
      <c r="D2555" s="115">
        <v>204.3</v>
      </c>
      <c r="E2555" s="115">
        <v>209.9</v>
      </c>
      <c r="F2555" s="115">
        <v>208.1</v>
      </c>
      <c r="G2555">
        <v>60054</v>
      </c>
      <c r="H2555" s="115"/>
      <c r="I2555" s="115"/>
      <c r="L2555" s="169">
        <v>45769</v>
      </c>
      <c r="M2555" s="115">
        <v>199.11</v>
      </c>
      <c r="N2555" s="115">
        <v>206</v>
      </c>
      <c r="O2555" s="115">
        <v>197.63</v>
      </c>
      <c r="P2555" s="115">
        <v>202.8</v>
      </c>
      <c r="Q2555" s="115">
        <v>199.11</v>
      </c>
      <c r="R2555">
        <v>376117</v>
      </c>
    </row>
    <row r="2556" spans="1:18" x14ac:dyDescent="0.25">
      <c r="A2556" s="169">
        <v>45771</v>
      </c>
      <c r="B2556" s="115">
        <v>208.8</v>
      </c>
      <c r="C2556" s="115">
        <v>202.1</v>
      </c>
      <c r="D2556" s="115">
        <v>201.65</v>
      </c>
      <c r="E2556" s="115">
        <v>206.6</v>
      </c>
      <c r="F2556" s="115">
        <v>202.1</v>
      </c>
      <c r="G2556">
        <v>38273</v>
      </c>
      <c r="H2556" s="115"/>
      <c r="I2556" s="115"/>
      <c r="L2556" s="169">
        <v>45770</v>
      </c>
      <c r="M2556" s="115">
        <v>207.96</v>
      </c>
      <c r="N2556" s="115">
        <v>222.45</v>
      </c>
      <c r="O2556" s="115">
        <v>204.25</v>
      </c>
      <c r="P2556" s="115">
        <v>210</v>
      </c>
      <c r="Q2556" s="115">
        <v>207.96</v>
      </c>
      <c r="R2556">
        <v>1851379</v>
      </c>
    </row>
    <row r="2557" spans="1:18" x14ac:dyDescent="0.25">
      <c r="A2557" s="169">
        <v>45772</v>
      </c>
      <c r="B2557" s="115">
        <v>205.85</v>
      </c>
      <c r="C2557" s="115">
        <v>196.1</v>
      </c>
      <c r="D2557" s="115">
        <v>191.5</v>
      </c>
      <c r="E2557" s="115">
        <v>205.85</v>
      </c>
      <c r="F2557" s="115">
        <v>196.1</v>
      </c>
      <c r="G2557">
        <v>32258</v>
      </c>
      <c r="H2557" s="115"/>
      <c r="I2557" s="115"/>
      <c r="L2557" s="169">
        <v>45771</v>
      </c>
      <c r="M2557" s="115">
        <v>201.97</v>
      </c>
      <c r="N2557" s="115">
        <v>208</v>
      </c>
      <c r="O2557" s="115">
        <v>201.66</v>
      </c>
      <c r="P2557" s="115">
        <v>208</v>
      </c>
      <c r="Q2557" s="115">
        <v>201.97</v>
      </c>
      <c r="R2557">
        <v>188207</v>
      </c>
    </row>
    <row r="2558" spans="1:18" x14ac:dyDescent="0.25">
      <c r="A2558" s="169">
        <v>45775</v>
      </c>
      <c r="B2558" s="115">
        <v>197</v>
      </c>
      <c r="C2558" s="115">
        <v>196.5</v>
      </c>
      <c r="D2558" s="115">
        <v>191.2</v>
      </c>
      <c r="E2558" s="115">
        <v>191.2</v>
      </c>
      <c r="F2558" s="115">
        <v>196.5</v>
      </c>
      <c r="G2558">
        <v>18082</v>
      </c>
      <c r="H2558" s="115"/>
      <c r="I2558" s="115"/>
      <c r="L2558" s="169">
        <v>45772</v>
      </c>
      <c r="M2558" s="115">
        <v>195.65</v>
      </c>
      <c r="N2558" s="115">
        <v>205.03</v>
      </c>
      <c r="O2558" s="115">
        <v>191.14</v>
      </c>
      <c r="P2558" s="115">
        <v>204</v>
      </c>
      <c r="Q2558" s="115">
        <v>195.65</v>
      </c>
      <c r="R2558">
        <v>191802</v>
      </c>
    </row>
    <row r="2559" spans="1:18" x14ac:dyDescent="0.25">
      <c r="A2559" s="169">
        <v>45776</v>
      </c>
      <c r="B2559" s="115">
        <v>196.75</v>
      </c>
      <c r="C2559" s="115">
        <v>193.55</v>
      </c>
      <c r="D2559" s="115">
        <v>193</v>
      </c>
      <c r="E2559" s="115">
        <v>196.3</v>
      </c>
      <c r="F2559" s="115">
        <v>193.55</v>
      </c>
      <c r="G2559">
        <v>11039</v>
      </c>
      <c r="H2559" s="115"/>
      <c r="I2559" s="115"/>
      <c r="L2559" s="169">
        <v>45775</v>
      </c>
      <c r="M2559" s="115">
        <v>196.49</v>
      </c>
      <c r="N2559" s="115">
        <v>197.49</v>
      </c>
      <c r="O2559" s="115">
        <v>191.17</v>
      </c>
      <c r="P2559" s="115">
        <v>195</v>
      </c>
      <c r="Q2559" s="115">
        <v>196.49</v>
      </c>
      <c r="R2559">
        <v>94270</v>
      </c>
    </row>
    <row r="2560" spans="1:18" x14ac:dyDescent="0.25">
      <c r="A2560" s="169">
        <v>45777</v>
      </c>
      <c r="B2560" s="115">
        <v>197.95</v>
      </c>
      <c r="C2560" s="115">
        <v>190.5</v>
      </c>
      <c r="D2560" s="115">
        <v>189</v>
      </c>
      <c r="E2560" s="115">
        <v>197.95</v>
      </c>
      <c r="F2560" s="115">
        <v>190.5</v>
      </c>
      <c r="G2560">
        <v>17447</v>
      </c>
      <c r="H2560" s="115"/>
      <c r="I2560" s="115"/>
      <c r="L2560" s="169">
        <v>45776</v>
      </c>
      <c r="M2560" s="115">
        <v>193.24</v>
      </c>
      <c r="N2560" s="115">
        <v>197.85</v>
      </c>
      <c r="O2560" s="115">
        <v>192.11</v>
      </c>
      <c r="P2560" s="115">
        <v>197</v>
      </c>
      <c r="Q2560" s="115">
        <v>193.24</v>
      </c>
      <c r="R2560">
        <v>50919</v>
      </c>
    </row>
    <row r="2561" spans="1:18" x14ac:dyDescent="0.25">
      <c r="A2561" s="169">
        <v>45779</v>
      </c>
      <c r="B2561" s="115">
        <v>191.1</v>
      </c>
      <c r="C2561" s="115">
        <v>190.1</v>
      </c>
      <c r="D2561" s="115">
        <v>188.9</v>
      </c>
      <c r="E2561" s="115">
        <v>191.1</v>
      </c>
      <c r="F2561" s="115">
        <v>190.1</v>
      </c>
      <c r="G2561">
        <v>2191</v>
      </c>
      <c r="H2561" s="115"/>
      <c r="I2561" s="115"/>
      <c r="L2561" s="169">
        <v>45777</v>
      </c>
      <c r="M2561" s="115">
        <v>190.56</v>
      </c>
      <c r="N2561" s="115">
        <v>195.1</v>
      </c>
      <c r="O2561" s="115">
        <v>190</v>
      </c>
      <c r="P2561" s="115">
        <v>195.1</v>
      </c>
      <c r="Q2561" s="115">
        <v>190.56</v>
      </c>
      <c r="R2561">
        <v>56940</v>
      </c>
    </row>
    <row r="2562" spans="1:18" x14ac:dyDescent="0.25">
      <c r="A2562" s="169">
        <v>45782</v>
      </c>
      <c r="B2562" s="115">
        <v>191.7</v>
      </c>
      <c r="C2562" s="115">
        <v>190.1</v>
      </c>
      <c r="D2562" s="115">
        <v>189</v>
      </c>
      <c r="E2562" s="115">
        <v>190</v>
      </c>
      <c r="F2562" s="115">
        <v>190.1</v>
      </c>
      <c r="G2562">
        <v>3007</v>
      </c>
      <c r="H2562" s="115"/>
      <c r="I2562" s="115"/>
      <c r="L2562" s="169">
        <v>45779</v>
      </c>
      <c r="M2562" s="115">
        <v>190.19</v>
      </c>
      <c r="N2562" s="115">
        <v>192.37</v>
      </c>
      <c r="O2562" s="115">
        <v>188.6</v>
      </c>
      <c r="P2562" s="115">
        <v>190.3</v>
      </c>
      <c r="Q2562" s="115">
        <v>190.19</v>
      </c>
      <c r="R2562">
        <v>61834</v>
      </c>
    </row>
    <row r="2563" spans="1:18" x14ac:dyDescent="0.25">
      <c r="A2563" s="169">
        <v>45783</v>
      </c>
      <c r="B2563" s="115">
        <v>191.95</v>
      </c>
      <c r="C2563" s="115">
        <v>185.9</v>
      </c>
      <c r="D2563" s="115">
        <v>185.7</v>
      </c>
      <c r="E2563" s="115">
        <v>191.95</v>
      </c>
      <c r="F2563" s="115">
        <v>185.9</v>
      </c>
      <c r="G2563">
        <v>2035</v>
      </c>
      <c r="H2563" s="115"/>
      <c r="I2563" s="115"/>
      <c r="L2563" s="169">
        <v>45782</v>
      </c>
      <c r="M2563" s="115">
        <v>190.52</v>
      </c>
      <c r="N2563" s="115">
        <v>192.2</v>
      </c>
      <c r="O2563" s="115">
        <v>188.72</v>
      </c>
      <c r="P2563" s="115">
        <v>190.19</v>
      </c>
      <c r="Q2563" s="115">
        <v>190.52</v>
      </c>
      <c r="R2563">
        <v>39643</v>
      </c>
    </row>
    <row r="2564" spans="1:18" x14ac:dyDescent="0.25">
      <c r="A2564" s="169">
        <v>45784</v>
      </c>
      <c r="B2564" s="115">
        <v>190.3</v>
      </c>
      <c r="C2564" s="115">
        <v>188.3</v>
      </c>
      <c r="D2564" s="115">
        <v>183.8</v>
      </c>
      <c r="E2564" s="115">
        <v>185.05</v>
      </c>
      <c r="F2564" s="115">
        <v>188.3</v>
      </c>
      <c r="G2564">
        <v>2043</v>
      </c>
      <c r="H2564" s="115"/>
      <c r="I2564" s="115"/>
      <c r="L2564" s="169">
        <v>45783</v>
      </c>
      <c r="M2564" s="115">
        <v>186.27</v>
      </c>
      <c r="N2564" s="115">
        <v>192.85</v>
      </c>
      <c r="O2564" s="115">
        <v>185.4</v>
      </c>
      <c r="P2564" s="115">
        <v>191.1</v>
      </c>
      <c r="Q2564" s="115">
        <v>186.27</v>
      </c>
      <c r="R2564">
        <v>63123</v>
      </c>
    </row>
    <row r="2565" spans="1:18" x14ac:dyDescent="0.25">
      <c r="A2565" s="169">
        <v>45785</v>
      </c>
      <c r="B2565" s="115">
        <v>193.95</v>
      </c>
      <c r="C2565" s="115">
        <v>192.55</v>
      </c>
      <c r="D2565" s="115">
        <v>188.5</v>
      </c>
      <c r="E2565" s="115">
        <v>189.95</v>
      </c>
      <c r="F2565" s="115">
        <v>192.55</v>
      </c>
      <c r="G2565">
        <v>1522</v>
      </c>
      <c r="H2565" s="115"/>
      <c r="I2565" s="115"/>
      <c r="L2565" s="169">
        <v>45784</v>
      </c>
      <c r="M2565" s="115">
        <v>189.07</v>
      </c>
      <c r="N2565" s="115">
        <v>190.01</v>
      </c>
      <c r="O2565" s="115">
        <v>183.41</v>
      </c>
      <c r="P2565" s="115">
        <v>184.64</v>
      </c>
      <c r="Q2565" s="115">
        <v>189.07</v>
      </c>
      <c r="R2565">
        <v>55447</v>
      </c>
    </row>
    <row r="2566" spans="1:18" x14ac:dyDescent="0.25">
      <c r="A2566" s="169">
        <v>45786</v>
      </c>
      <c r="B2566" s="115">
        <v>193.15</v>
      </c>
      <c r="C2566" s="115">
        <v>192.5</v>
      </c>
      <c r="D2566" s="115">
        <v>185.05</v>
      </c>
      <c r="E2566" s="115">
        <v>185.05</v>
      </c>
      <c r="F2566" s="115">
        <v>192.5</v>
      </c>
      <c r="G2566">
        <v>7392</v>
      </c>
      <c r="H2566" s="115"/>
      <c r="I2566" s="115"/>
      <c r="L2566" s="169">
        <v>45785</v>
      </c>
      <c r="M2566" s="115">
        <v>192.25</v>
      </c>
      <c r="N2566" s="115">
        <v>194.71</v>
      </c>
      <c r="O2566" s="115">
        <v>188.25</v>
      </c>
      <c r="P2566" s="115">
        <v>190.5</v>
      </c>
      <c r="Q2566" s="115">
        <v>192.25</v>
      </c>
      <c r="R2566">
        <v>65539</v>
      </c>
    </row>
    <row r="2567" spans="1:18" x14ac:dyDescent="0.25">
      <c r="A2567" s="169">
        <v>45789</v>
      </c>
      <c r="B2567" s="115">
        <v>198.95</v>
      </c>
      <c r="C2567" s="115">
        <v>196.2</v>
      </c>
      <c r="D2567" s="115">
        <v>195</v>
      </c>
      <c r="E2567" s="115">
        <v>198.95</v>
      </c>
      <c r="F2567" s="115">
        <v>196.2</v>
      </c>
      <c r="G2567">
        <v>15478</v>
      </c>
      <c r="H2567" s="115"/>
      <c r="I2567" s="115"/>
      <c r="L2567" s="169">
        <v>45786</v>
      </c>
      <c r="M2567" s="115">
        <v>192.1</v>
      </c>
      <c r="N2567" s="115">
        <v>193</v>
      </c>
      <c r="O2567" s="115">
        <v>186.51</v>
      </c>
      <c r="P2567" s="115">
        <v>187.21</v>
      </c>
      <c r="Q2567" s="115">
        <v>192.1</v>
      </c>
      <c r="R2567">
        <v>66376</v>
      </c>
    </row>
    <row r="2568" spans="1:18" x14ac:dyDescent="0.25">
      <c r="A2568" s="169">
        <v>45790</v>
      </c>
      <c r="B2568" s="115">
        <v>197.2</v>
      </c>
      <c r="C2568" s="115">
        <v>195.7</v>
      </c>
      <c r="D2568" s="115">
        <v>194.3</v>
      </c>
      <c r="E2568" s="115">
        <v>195</v>
      </c>
      <c r="F2568" s="115">
        <v>195.7</v>
      </c>
      <c r="G2568">
        <v>6453</v>
      </c>
      <c r="H2568" s="115"/>
      <c r="I2568" s="115"/>
      <c r="L2568" s="169">
        <v>45789</v>
      </c>
      <c r="M2568" s="115">
        <v>196.17</v>
      </c>
      <c r="N2568" s="115">
        <v>198.75</v>
      </c>
      <c r="O2568" s="115">
        <v>194.6</v>
      </c>
      <c r="P2568" s="115">
        <v>194.75</v>
      </c>
      <c r="Q2568" s="115">
        <v>196.17</v>
      </c>
      <c r="R2568">
        <v>83011</v>
      </c>
    </row>
    <row r="2569" spans="1:18" x14ac:dyDescent="0.25">
      <c r="A2569" s="169">
        <v>45791</v>
      </c>
      <c r="B2569" s="115">
        <v>199.15</v>
      </c>
      <c r="C2569" s="115">
        <v>198.05</v>
      </c>
      <c r="D2569" s="115">
        <v>195.4</v>
      </c>
      <c r="E2569" s="115">
        <v>195.45</v>
      </c>
      <c r="F2569" s="115">
        <v>198.05</v>
      </c>
      <c r="G2569">
        <v>2632</v>
      </c>
      <c r="H2569" s="115"/>
      <c r="I2569" s="115"/>
      <c r="L2569" s="169">
        <v>45790</v>
      </c>
      <c r="M2569" s="115">
        <v>195.9</v>
      </c>
      <c r="N2569" s="115">
        <v>197.1</v>
      </c>
      <c r="O2569" s="115">
        <v>194.51</v>
      </c>
      <c r="P2569" s="115">
        <v>196.5</v>
      </c>
      <c r="Q2569" s="115">
        <v>195.9</v>
      </c>
      <c r="R2569">
        <v>88300</v>
      </c>
    </row>
    <row r="2570" spans="1:18" x14ac:dyDescent="0.25">
      <c r="A2570" s="169">
        <v>45792</v>
      </c>
      <c r="B2570" s="115">
        <v>201.8</v>
      </c>
      <c r="C2570" s="115">
        <v>196.6</v>
      </c>
      <c r="D2570" s="115">
        <v>196</v>
      </c>
      <c r="E2570" s="115">
        <v>199.55</v>
      </c>
      <c r="F2570" s="115">
        <v>196.6</v>
      </c>
      <c r="G2570">
        <v>21961</v>
      </c>
      <c r="H2570" s="115"/>
      <c r="I2570" s="115"/>
      <c r="L2570" s="169">
        <v>45791</v>
      </c>
      <c r="M2570" s="115">
        <v>197.57</v>
      </c>
      <c r="N2570" s="115">
        <v>199.27</v>
      </c>
      <c r="O2570" s="115">
        <v>194.6</v>
      </c>
      <c r="P2570" s="115">
        <v>195.9</v>
      </c>
      <c r="Q2570" s="115">
        <v>197.57</v>
      </c>
      <c r="R2570">
        <v>223546</v>
      </c>
    </row>
    <row r="2571" spans="1:18" x14ac:dyDescent="0.25">
      <c r="A2571" s="169">
        <v>45793</v>
      </c>
      <c r="B2571" s="115">
        <v>200.5</v>
      </c>
      <c r="C2571" s="115">
        <v>199.75</v>
      </c>
      <c r="D2571" s="115">
        <v>195.8</v>
      </c>
      <c r="E2571" s="115">
        <v>199.95</v>
      </c>
      <c r="F2571" s="115">
        <v>199.75</v>
      </c>
      <c r="G2571">
        <v>25142</v>
      </c>
      <c r="H2571" s="115"/>
      <c r="I2571" s="115"/>
      <c r="L2571" s="169">
        <v>45792</v>
      </c>
      <c r="M2571" s="115">
        <v>196.2</v>
      </c>
      <c r="N2571" s="115">
        <v>201.29</v>
      </c>
      <c r="O2571" s="115">
        <v>195.74</v>
      </c>
      <c r="P2571" s="115">
        <v>199.4</v>
      </c>
      <c r="Q2571" s="115">
        <v>196.2</v>
      </c>
      <c r="R2571">
        <v>146193</v>
      </c>
    </row>
    <row r="2572" spans="1:18" x14ac:dyDescent="0.25">
      <c r="A2572" s="169">
        <v>45796</v>
      </c>
      <c r="B2572" s="115">
        <v>206.9</v>
      </c>
      <c r="C2572" s="115">
        <v>203</v>
      </c>
      <c r="D2572" s="115">
        <v>200.75</v>
      </c>
      <c r="E2572" s="115">
        <v>206.9</v>
      </c>
      <c r="F2572" s="115">
        <v>203</v>
      </c>
      <c r="G2572">
        <v>9539</v>
      </c>
      <c r="H2572" s="115"/>
      <c r="I2572" s="115"/>
      <c r="L2572" s="169">
        <v>45793</v>
      </c>
      <c r="M2572" s="115">
        <v>199.56</v>
      </c>
      <c r="N2572" s="115">
        <v>201</v>
      </c>
      <c r="O2572" s="115">
        <v>195.1</v>
      </c>
      <c r="P2572" s="115">
        <v>197.92</v>
      </c>
      <c r="Q2572" s="115">
        <v>199.56</v>
      </c>
      <c r="R2572">
        <v>141501</v>
      </c>
    </row>
    <row r="2573" spans="1:18" x14ac:dyDescent="0.25">
      <c r="A2573" s="169">
        <v>45797</v>
      </c>
      <c r="B2573" s="115">
        <v>205.2</v>
      </c>
      <c r="C2573" s="115">
        <v>198.25</v>
      </c>
      <c r="D2573" s="115">
        <v>197.6</v>
      </c>
      <c r="E2573" s="115">
        <v>200.05</v>
      </c>
      <c r="F2573" s="115">
        <v>198.25</v>
      </c>
      <c r="G2573">
        <v>8893</v>
      </c>
      <c r="H2573" s="115"/>
      <c r="I2573" s="115"/>
      <c r="L2573" s="169">
        <v>45796</v>
      </c>
      <c r="M2573" s="115">
        <v>202.88</v>
      </c>
      <c r="N2573" s="115">
        <v>206.29</v>
      </c>
      <c r="O2573" s="115">
        <v>200.86</v>
      </c>
      <c r="P2573" s="115">
        <v>204</v>
      </c>
      <c r="Q2573" s="115">
        <v>202.88</v>
      </c>
      <c r="R2573">
        <v>126830</v>
      </c>
    </row>
    <row r="2574" spans="1:18" x14ac:dyDescent="0.25">
      <c r="A2574" s="169">
        <v>45798</v>
      </c>
      <c r="B2574" s="115">
        <v>200.15</v>
      </c>
      <c r="C2574" s="115">
        <v>199.5</v>
      </c>
      <c r="D2574" s="115">
        <v>195.85</v>
      </c>
      <c r="E2574" s="115">
        <v>200</v>
      </c>
      <c r="F2574" s="115">
        <v>199.5</v>
      </c>
      <c r="G2574">
        <v>5352</v>
      </c>
      <c r="H2574" s="115"/>
      <c r="I2574" s="115"/>
      <c r="L2574" s="169">
        <v>45797</v>
      </c>
      <c r="M2574" s="115">
        <v>199.2</v>
      </c>
      <c r="N2574" s="115">
        <v>205</v>
      </c>
      <c r="O2574" s="115">
        <v>197.5</v>
      </c>
      <c r="P2574" s="115">
        <v>205</v>
      </c>
      <c r="Q2574" s="115">
        <v>199.2</v>
      </c>
      <c r="R2574">
        <v>91870</v>
      </c>
    </row>
    <row r="2575" spans="1:18" x14ac:dyDescent="0.25">
      <c r="A2575" s="169">
        <v>45799</v>
      </c>
      <c r="B2575" s="115">
        <v>204.3</v>
      </c>
      <c r="C2575" s="115">
        <v>201.75</v>
      </c>
      <c r="D2575" s="115">
        <v>198.35</v>
      </c>
      <c r="E2575" s="115">
        <v>199.95</v>
      </c>
      <c r="F2575" s="115">
        <v>201.75</v>
      </c>
      <c r="G2575">
        <v>4059</v>
      </c>
      <c r="H2575" s="115"/>
      <c r="I2575" s="115"/>
      <c r="L2575" s="169">
        <v>45798</v>
      </c>
      <c r="M2575" s="115">
        <v>199.58</v>
      </c>
      <c r="N2575" s="115">
        <v>200.08</v>
      </c>
      <c r="O2575" s="115">
        <v>195</v>
      </c>
      <c r="P2575" s="115">
        <v>199.2</v>
      </c>
      <c r="Q2575" s="115">
        <v>199.58</v>
      </c>
      <c r="R2575">
        <v>93462</v>
      </c>
    </row>
    <row r="2576" spans="1:18" x14ac:dyDescent="0.25">
      <c r="A2576" s="169">
        <v>45800</v>
      </c>
      <c r="B2576" s="115">
        <v>204.7</v>
      </c>
      <c r="C2576" s="115">
        <v>198.65</v>
      </c>
      <c r="D2576" s="115">
        <v>197.9</v>
      </c>
      <c r="E2576" s="115">
        <v>200.9</v>
      </c>
      <c r="F2576" s="115">
        <v>198.65</v>
      </c>
      <c r="G2576">
        <v>21673</v>
      </c>
      <c r="H2576" s="115"/>
      <c r="I2576" s="115"/>
      <c r="L2576" s="169">
        <v>45799</v>
      </c>
      <c r="M2576" s="115">
        <v>201.29</v>
      </c>
      <c r="N2576" s="115">
        <v>204.1</v>
      </c>
      <c r="O2576" s="115">
        <v>198</v>
      </c>
      <c r="P2576" s="115">
        <v>201.6</v>
      </c>
      <c r="Q2576" s="115">
        <v>201.29</v>
      </c>
      <c r="R2576">
        <v>142349</v>
      </c>
    </row>
    <row r="2577" spans="1:18" x14ac:dyDescent="0.25">
      <c r="A2577" s="169">
        <v>45803</v>
      </c>
      <c r="B2577" s="115">
        <v>213.35</v>
      </c>
      <c r="C2577" s="115">
        <v>208.5</v>
      </c>
      <c r="D2577" s="115">
        <v>200.25</v>
      </c>
      <c r="E2577" s="115">
        <v>200.25</v>
      </c>
      <c r="F2577" s="115">
        <v>208.5</v>
      </c>
      <c r="G2577">
        <v>19037</v>
      </c>
      <c r="H2577" s="115"/>
      <c r="I2577" s="115"/>
      <c r="L2577" s="169">
        <v>45800</v>
      </c>
      <c r="M2577" s="115">
        <v>198.85</v>
      </c>
      <c r="N2577" s="115">
        <v>204.69</v>
      </c>
      <c r="O2577" s="115">
        <v>198</v>
      </c>
      <c r="P2577" s="115">
        <v>203</v>
      </c>
      <c r="Q2577" s="115">
        <v>198.85</v>
      </c>
      <c r="R2577">
        <v>88355</v>
      </c>
    </row>
    <row r="2578" spans="1:18" x14ac:dyDescent="0.25">
      <c r="A2578" s="169">
        <v>45804</v>
      </c>
      <c r="B2578" s="115">
        <v>216.7</v>
      </c>
      <c r="C2578" s="115">
        <v>213.8</v>
      </c>
      <c r="D2578" s="115">
        <v>203.3</v>
      </c>
      <c r="E2578" s="115">
        <v>208</v>
      </c>
      <c r="F2578" s="115">
        <v>213.8</v>
      </c>
      <c r="G2578">
        <v>41324</v>
      </c>
      <c r="H2578" s="115"/>
      <c r="I2578" s="115"/>
      <c r="L2578" s="169">
        <v>45803</v>
      </c>
      <c r="M2578" s="115">
        <v>208.46</v>
      </c>
      <c r="N2578" s="115">
        <v>213</v>
      </c>
      <c r="O2578" s="115">
        <v>199.6</v>
      </c>
      <c r="P2578" s="115">
        <v>200.7</v>
      </c>
      <c r="Q2578" s="115">
        <v>208.46</v>
      </c>
      <c r="R2578">
        <v>342025</v>
      </c>
    </row>
    <row r="2579" spans="1:18" x14ac:dyDescent="0.25">
      <c r="A2579" s="169">
        <v>45805</v>
      </c>
      <c r="B2579" s="115">
        <v>218.2</v>
      </c>
      <c r="C2579" s="115">
        <v>208.65</v>
      </c>
      <c r="D2579" s="115">
        <v>207</v>
      </c>
      <c r="E2579" s="115">
        <v>212.15</v>
      </c>
      <c r="F2579" s="115">
        <v>208.65</v>
      </c>
      <c r="G2579">
        <v>19921</v>
      </c>
      <c r="H2579" s="115"/>
      <c r="I2579" s="115"/>
      <c r="L2579" s="169">
        <v>45804</v>
      </c>
      <c r="M2579" s="115">
        <v>213.37</v>
      </c>
      <c r="N2579" s="115">
        <v>216.4</v>
      </c>
      <c r="O2579" s="115">
        <v>203.24</v>
      </c>
      <c r="P2579" s="115">
        <v>211.6</v>
      </c>
      <c r="Q2579" s="115">
        <v>213.37</v>
      </c>
      <c r="R2579">
        <v>310222</v>
      </c>
    </row>
    <row r="2580" spans="1:18" x14ac:dyDescent="0.25">
      <c r="A2580" s="169">
        <v>45806</v>
      </c>
      <c r="B2580" s="115">
        <v>211.1</v>
      </c>
      <c r="C2580" s="115">
        <v>206.9</v>
      </c>
      <c r="D2580" s="115">
        <v>206.05</v>
      </c>
      <c r="E2580" s="115">
        <v>210.55</v>
      </c>
      <c r="F2580" s="115">
        <v>206.9</v>
      </c>
      <c r="G2580">
        <v>10382</v>
      </c>
      <c r="H2580" s="115"/>
      <c r="I2580" s="115"/>
      <c r="L2580" s="169">
        <v>45805</v>
      </c>
      <c r="M2580" s="115">
        <v>208.64</v>
      </c>
      <c r="N2580" s="115">
        <v>218.6</v>
      </c>
      <c r="O2580" s="115">
        <v>206.83</v>
      </c>
      <c r="P2580" s="115">
        <v>215.5</v>
      </c>
      <c r="Q2580" s="115">
        <v>208.64</v>
      </c>
      <c r="R2580">
        <v>211947</v>
      </c>
    </row>
    <row r="2581" spans="1:18" x14ac:dyDescent="0.25">
      <c r="A2581" s="169">
        <v>45807</v>
      </c>
      <c r="B2581" s="115">
        <v>216</v>
      </c>
      <c r="C2581" s="115">
        <v>204.85</v>
      </c>
      <c r="D2581" s="115">
        <v>203.4</v>
      </c>
      <c r="E2581" s="115">
        <v>216</v>
      </c>
      <c r="F2581" s="115">
        <v>204.85</v>
      </c>
      <c r="G2581">
        <v>5665</v>
      </c>
      <c r="H2581" s="115"/>
      <c r="I2581" s="115"/>
      <c r="L2581" s="169">
        <v>45806</v>
      </c>
      <c r="M2581" s="115">
        <v>206.86</v>
      </c>
      <c r="N2581" s="115">
        <v>212</v>
      </c>
      <c r="O2581" s="115">
        <v>206</v>
      </c>
      <c r="P2581" s="115">
        <v>210</v>
      </c>
      <c r="Q2581" s="115">
        <v>206.86</v>
      </c>
      <c r="R2581">
        <v>127738</v>
      </c>
    </row>
    <row r="2582" spans="1:18" x14ac:dyDescent="0.25">
      <c r="A2582" s="169">
        <v>45810</v>
      </c>
      <c r="B2582" s="115">
        <v>205.1</v>
      </c>
      <c r="C2582" s="115">
        <v>204.35</v>
      </c>
      <c r="D2582" s="115">
        <v>198.25</v>
      </c>
      <c r="E2582" s="115">
        <v>205.1</v>
      </c>
      <c r="F2582" s="115">
        <v>204.35</v>
      </c>
      <c r="G2582">
        <v>12958</v>
      </c>
      <c r="H2582" s="115"/>
      <c r="I2582" s="115"/>
      <c r="L2582" s="169">
        <v>45807</v>
      </c>
      <c r="M2582" s="115">
        <v>205.28</v>
      </c>
      <c r="N2582" s="115">
        <v>208.4</v>
      </c>
      <c r="O2582" s="115">
        <v>203.04</v>
      </c>
      <c r="P2582" s="115">
        <v>208.4</v>
      </c>
      <c r="Q2582" s="115">
        <v>205.28</v>
      </c>
      <c r="R2582">
        <v>83718</v>
      </c>
    </row>
    <row r="2583" spans="1:18" x14ac:dyDescent="0.25">
      <c r="A2583" s="169">
        <v>45811</v>
      </c>
      <c r="B2583" s="115">
        <v>211.7</v>
      </c>
      <c r="C2583" s="115">
        <v>204.6</v>
      </c>
      <c r="D2583" s="115">
        <v>203.15</v>
      </c>
      <c r="E2583" s="115">
        <v>203.2</v>
      </c>
      <c r="F2583" s="115">
        <v>204.6</v>
      </c>
      <c r="G2583">
        <v>14791</v>
      </c>
      <c r="H2583" s="115"/>
      <c r="I2583" s="115"/>
      <c r="L2583" s="169">
        <v>45810</v>
      </c>
      <c r="M2583" s="115">
        <v>204.28</v>
      </c>
      <c r="N2583" s="115">
        <v>207</v>
      </c>
      <c r="O2583" s="115">
        <v>198.02</v>
      </c>
      <c r="P2583" s="115">
        <v>206.3</v>
      </c>
      <c r="Q2583" s="115">
        <v>204.28</v>
      </c>
      <c r="R2583">
        <v>193040</v>
      </c>
    </row>
    <row r="2584" spans="1:18" x14ac:dyDescent="0.25">
      <c r="A2584" s="169">
        <v>45812</v>
      </c>
      <c r="B2584" s="115">
        <v>204.35</v>
      </c>
      <c r="C2584" s="115">
        <v>202.05</v>
      </c>
      <c r="D2584" s="115">
        <v>200.7</v>
      </c>
      <c r="E2584" s="115">
        <v>204.05</v>
      </c>
      <c r="F2584" s="115">
        <v>202.05</v>
      </c>
      <c r="G2584">
        <v>3320</v>
      </c>
      <c r="H2584" s="115"/>
      <c r="I2584" s="115"/>
      <c r="L2584" s="169">
        <v>45811</v>
      </c>
      <c r="M2584" s="115">
        <v>204.99</v>
      </c>
      <c r="N2584" s="115">
        <v>211.5</v>
      </c>
      <c r="O2584" s="115">
        <v>202.05</v>
      </c>
      <c r="P2584" s="115">
        <v>204.28</v>
      </c>
      <c r="Q2584" s="115">
        <v>204.99</v>
      </c>
      <c r="R2584">
        <v>219942</v>
      </c>
    </row>
    <row r="2585" spans="1:18" x14ac:dyDescent="0.25">
      <c r="A2585" s="169">
        <v>45813</v>
      </c>
      <c r="B2585" s="115">
        <v>208.8</v>
      </c>
      <c r="C2585" s="115">
        <v>204</v>
      </c>
      <c r="D2585" s="115">
        <v>202.8</v>
      </c>
      <c r="E2585" s="115">
        <v>203.65</v>
      </c>
      <c r="F2585" s="115">
        <v>204</v>
      </c>
      <c r="G2585">
        <v>4626</v>
      </c>
      <c r="H2585" s="115"/>
      <c r="I2585" s="115"/>
      <c r="L2585" s="169">
        <v>45812</v>
      </c>
      <c r="M2585" s="115">
        <v>202.22</v>
      </c>
      <c r="N2585" s="115">
        <v>207.05</v>
      </c>
      <c r="O2585" s="115">
        <v>200.26</v>
      </c>
      <c r="P2585" s="115">
        <v>207.05</v>
      </c>
      <c r="Q2585" s="115">
        <v>202.22</v>
      </c>
      <c r="R2585">
        <v>112323</v>
      </c>
    </row>
    <row r="2586" spans="1:18" x14ac:dyDescent="0.25">
      <c r="A2586" s="169">
        <v>45814</v>
      </c>
      <c r="B2586" s="115">
        <v>206</v>
      </c>
      <c r="C2586" s="115">
        <v>205.4</v>
      </c>
      <c r="D2586" s="115">
        <v>202.5</v>
      </c>
      <c r="E2586" s="115">
        <v>205</v>
      </c>
      <c r="F2586" s="115">
        <v>205.4</v>
      </c>
      <c r="G2586">
        <v>5181</v>
      </c>
      <c r="H2586" s="115"/>
      <c r="I2586" s="115"/>
      <c r="L2586" s="169">
        <v>45813</v>
      </c>
      <c r="M2586" s="115">
        <v>203.81</v>
      </c>
      <c r="N2586" s="115">
        <v>209</v>
      </c>
      <c r="O2586" s="115">
        <v>202.25</v>
      </c>
      <c r="P2586" s="115">
        <v>204.19</v>
      </c>
      <c r="Q2586" s="115">
        <v>203.81</v>
      </c>
      <c r="R2586">
        <v>101211</v>
      </c>
    </row>
    <row r="2587" spans="1:18" x14ac:dyDescent="0.25">
      <c r="A2587" s="169">
        <v>45817</v>
      </c>
      <c r="B2587" s="115">
        <v>208.45</v>
      </c>
      <c r="C2587" s="115">
        <v>206.2</v>
      </c>
      <c r="D2587" s="115">
        <v>202</v>
      </c>
      <c r="E2587" s="115">
        <v>202</v>
      </c>
      <c r="F2587" s="115">
        <v>206.2</v>
      </c>
      <c r="G2587">
        <v>12885</v>
      </c>
      <c r="H2587" s="115"/>
      <c r="I2587" s="115"/>
      <c r="L2587" s="169">
        <v>45814</v>
      </c>
      <c r="M2587" s="115">
        <v>205.26</v>
      </c>
      <c r="N2587" s="115">
        <v>206.29</v>
      </c>
      <c r="O2587" s="115">
        <v>202.1</v>
      </c>
      <c r="P2587" s="115">
        <v>204.27</v>
      </c>
      <c r="Q2587" s="115">
        <v>205.26</v>
      </c>
      <c r="R2587">
        <v>141815</v>
      </c>
    </row>
    <row r="2588" spans="1:18" x14ac:dyDescent="0.25">
      <c r="A2588" s="169">
        <v>45818</v>
      </c>
      <c r="B2588" s="115">
        <v>208.6</v>
      </c>
      <c r="C2588" s="115">
        <v>206.45</v>
      </c>
      <c r="D2588" s="115">
        <v>204.9</v>
      </c>
      <c r="E2588" s="115">
        <v>207</v>
      </c>
      <c r="F2588" s="115">
        <v>206.45</v>
      </c>
      <c r="G2588">
        <v>9200</v>
      </c>
      <c r="H2588" s="115"/>
      <c r="I2588" s="115"/>
      <c r="L2588" s="169">
        <v>45817</v>
      </c>
      <c r="M2588" s="115">
        <v>206.67</v>
      </c>
      <c r="N2588" s="115">
        <v>208.72</v>
      </c>
      <c r="O2588" s="115">
        <v>205.01</v>
      </c>
      <c r="P2588" s="115">
        <v>205.64</v>
      </c>
      <c r="Q2588" s="115">
        <v>206.67</v>
      </c>
      <c r="R2588">
        <v>83071</v>
      </c>
    </row>
    <row r="2589" spans="1:18" x14ac:dyDescent="0.25">
      <c r="A2589" s="169">
        <v>45819</v>
      </c>
      <c r="B2589" s="115">
        <v>209.95</v>
      </c>
      <c r="C2589" s="115">
        <v>206.5</v>
      </c>
      <c r="D2589" s="115">
        <v>204.9</v>
      </c>
      <c r="E2589" s="115">
        <v>207.4</v>
      </c>
      <c r="F2589" s="115">
        <v>206.5</v>
      </c>
      <c r="G2589">
        <v>8391</v>
      </c>
      <c r="H2589" s="115"/>
      <c r="I2589" s="115"/>
      <c r="L2589" s="169">
        <v>45818</v>
      </c>
      <c r="M2589" s="115">
        <v>206.69</v>
      </c>
      <c r="N2589" s="115">
        <v>209.8</v>
      </c>
      <c r="O2589" s="115">
        <v>204.85</v>
      </c>
      <c r="P2589" s="115">
        <v>206.67</v>
      </c>
      <c r="Q2589" s="115">
        <v>206.69</v>
      </c>
      <c r="R2589">
        <v>133206</v>
      </c>
    </row>
    <row r="2590" spans="1:18" x14ac:dyDescent="0.25">
      <c r="A2590" s="169">
        <v>45820</v>
      </c>
      <c r="B2590" s="115">
        <v>214.5</v>
      </c>
      <c r="C2590" s="115">
        <v>207.7</v>
      </c>
      <c r="D2590" s="115">
        <v>205.8</v>
      </c>
      <c r="E2590" s="115">
        <v>205.8</v>
      </c>
      <c r="F2590" s="115">
        <v>207.7</v>
      </c>
      <c r="G2590">
        <v>13326</v>
      </c>
      <c r="H2590" s="115"/>
      <c r="I2590" s="115"/>
      <c r="L2590" s="169">
        <v>45819</v>
      </c>
      <c r="M2590" s="115">
        <v>206.41</v>
      </c>
      <c r="N2590" s="115">
        <v>209.7</v>
      </c>
      <c r="O2590" s="115">
        <v>205</v>
      </c>
      <c r="P2590" s="115">
        <v>208</v>
      </c>
      <c r="Q2590" s="115">
        <v>206.41</v>
      </c>
      <c r="R2590">
        <v>234718</v>
      </c>
    </row>
    <row r="2591" spans="1:18" x14ac:dyDescent="0.25">
      <c r="A2591" s="169">
        <v>45821</v>
      </c>
      <c r="B2591" s="115">
        <v>208.85</v>
      </c>
      <c r="C2591" s="115">
        <v>206.8</v>
      </c>
      <c r="D2591" s="115">
        <v>202.75</v>
      </c>
      <c r="E2591" s="115">
        <v>204</v>
      </c>
      <c r="F2591" s="115">
        <v>206.8</v>
      </c>
      <c r="G2591">
        <v>5496</v>
      </c>
      <c r="H2591" s="115"/>
      <c r="I2591" s="115"/>
      <c r="L2591" s="169">
        <v>45820</v>
      </c>
      <c r="M2591" s="115">
        <v>207.9</v>
      </c>
      <c r="N2591" s="115">
        <v>214.4</v>
      </c>
      <c r="O2591" s="115">
        <v>204.05</v>
      </c>
      <c r="P2591" s="115">
        <v>207.6</v>
      </c>
      <c r="Q2591" s="115">
        <v>207.9</v>
      </c>
      <c r="R2591">
        <v>276994</v>
      </c>
    </row>
    <row r="2592" spans="1:18" x14ac:dyDescent="0.25">
      <c r="A2592" s="169">
        <v>45824</v>
      </c>
      <c r="B2592" s="115">
        <v>209.05</v>
      </c>
      <c r="C2592" s="115">
        <v>208.35</v>
      </c>
      <c r="D2592" s="115">
        <v>202.65</v>
      </c>
      <c r="E2592" s="115">
        <v>204.05</v>
      </c>
      <c r="F2592" s="115">
        <v>208.35</v>
      </c>
      <c r="G2592">
        <v>2393</v>
      </c>
      <c r="H2592" s="115"/>
      <c r="I2592" s="115"/>
      <c r="L2592" s="169">
        <v>45821</v>
      </c>
      <c r="M2592" s="115">
        <v>207.49</v>
      </c>
      <c r="N2592" s="115">
        <v>209</v>
      </c>
      <c r="O2592" s="115">
        <v>201.71</v>
      </c>
      <c r="P2592" s="115">
        <v>204.06</v>
      </c>
      <c r="Q2592" s="115">
        <v>207.49</v>
      </c>
      <c r="R2592">
        <v>109977</v>
      </c>
    </row>
    <row r="2593" spans="1:18" x14ac:dyDescent="0.25">
      <c r="A2593" s="169">
        <v>45825</v>
      </c>
      <c r="B2593" s="115">
        <v>215</v>
      </c>
      <c r="C2593" s="115">
        <v>209.45</v>
      </c>
      <c r="D2593" s="115">
        <v>208.85</v>
      </c>
      <c r="E2593" s="115">
        <v>212.2</v>
      </c>
      <c r="F2593" s="115">
        <v>209.45</v>
      </c>
      <c r="G2593">
        <v>9225</v>
      </c>
      <c r="H2593" s="115"/>
      <c r="I2593" s="115"/>
      <c r="L2593" s="169">
        <v>45824</v>
      </c>
      <c r="M2593" s="115">
        <v>208.48</v>
      </c>
      <c r="N2593" s="115">
        <v>209.35</v>
      </c>
      <c r="O2593" s="115">
        <v>202.53</v>
      </c>
      <c r="P2593" s="115">
        <v>207.49</v>
      </c>
      <c r="Q2593" s="115">
        <v>208.48</v>
      </c>
      <c r="R2593">
        <v>128069</v>
      </c>
    </row>
    <row r="2594" spans="1:18" x14ac:dyDescent="0.25">
      <c r="A2594" s="169">
        <v>45826</v>
      </c>
      <c r="B2594" s="115">
        <v>213.3</v>
      </c>
      <c r="C2594" s="115">
        <v>210.6</v>
      </c>
      <c r="D2594" s="115">
        <v>207.05</v>
      </c>
      <c r="E2594" s="115">
        <v>207.65</v>
      </c>
      <c r="F2594" s="115">
        <v>210.6</v>
      </c>
      <c r="G2594">
        <v>4013</v>
      </c>
      <c r="H2594" s="115"/>
      <c r="I2594" s="115"/>
      <c r="L2594" s="169">
        <v>45825</v>
      </c>
      <c r="M2594" s="115">
        <v>209.62</v>
      </c>
      <c r="N2594" s="115">
        <v>215.06</v>
      </c>
      <c r="O2594" s="115">
        <v>208.48</v>
      </c>
      <c r="P2594" s="115">
        <v>209.6</v>
      </c>
      <c r="Q2594" s="115">
        <v>209.62</v>
      </c>
      <c r="R2594">
        <v>212859</v>
      </c>
    </row>
    <row r="2595" spans="1:18" x14ac:dyDescent="0.25">
      <c r="A2595" s="169">
        <v>45827</v>
      </c>
      <c r="B2595" s="115">
        <v>219.85</v>
      </c>
      <c r="C2595" s="115">
        <v>211.55</v>
      </c>
      <c r="D2595" s="115">
        <v>208.45</v>
      </c>
      <c r="E2595" s="115">
        <v>213.85</v>
      </c>
      <c r="F2595" s="115">
        <v>211.55</v>
      </c>
      <c r="G2595">
        <v>37190</v>
      </c>
      <c r="H2595" s="115"/>
      <c r="I2595" s="115"/>
      <c r="L2595" s="169">
        <v>45826</v>
      </c>
      <c r="M2595" s="115">
        <v>210.56</v>
      </c>
      <c r="N2595" s="115">
        <v>213.6</v>
      </c>
      <c r="O2595" s="115">
        <v>206.39</v>
      </c>
      <c r="P2595" s="115">
        <v>207.62</v>
      </c>
      <c r="Q2595" s="115">
        <v>210.56</v>
      </c>
      <c r="R2595">
        <v>140076</v>
      </c>
    </row>
    <row r="2596" spans="1:18" x14ac:dyDescent="0.25">
      <c r="A2596" s="169">
        <v>45828</v>
      </c>
      <c r="B2596" s="115">
        <v>217</v>
      </c>
      <c r="C2596" s="115">
        <v>213</v>
      </c>
      <c r="D2596" s="115">
        <v>211.55</v>
      </c>
      <c r="E2596" s="115">
        <v>211.55</v>
      </c>
      <c r="F2596" s="115">
        <v>213</v>
      </c>
      <c r="G2596">
        <v>21832</v>
      </c>
      <c r="H2596" s="115"/>
      <c r="I2596" s="115"/>
      <c r="L2596" s="169">
        <v>45827</v>
      </c>
      <c r="M2596" s="115">
        <v>211.31</v>
      </c>
      <c r="N2596" s="115">
        <v>220</v>
      </c>
      <c r="O2596" s="115">
        <v>209.39</v>
      </c>
      <c r="P2596" s="115">
        <v>210.01</v>
      </c>
      <c r="Q2596" s="115">
        <v>211.31</v>
      </c>
      <c r="R2596">
        <v>490259</v>
      </c>
    </row>
    <row r="2597" spans="1:18" x14ac:dyDescent="0.25">
      <c r="A2597" s="169">
        <v>45831</v>
      </c>
      <c r="B2597" s="115">
        <v>215.4</v>
      </c>
      <c r="C2597" s="115">
        <v>211.8</v>
      </c>
      <c r="D2597" s="115">
        <v>208.95</v>
      </c>
      <c r="E2597" s="115">
        <v>212.95</v>
      </c>
      <c r="F2597" s="115">
        <v>211.8</v>
      </c>
      <c r="G2597">
        <v>5149</v>
      </c>
      <c r="H2597" s="115"/>
      <c r="I2597" s="115"/>
      <c r="L2597" s="169">
        <v>45828</v>
      </c>
      <c r="M2597" s="115">
        <v>213.19</v>
      </c>
      <c r="N2597" s="115">
        <v>216.8</v>
      </c>
      <c r="O2597" s="115">
        <v>211.3</v>
      </c>
      <c r="P2597" s="115">
        <v>211.31</v>
      </c>
      <c r="Q2597" s="115">
        <v>213.19</v>
      </c>
      <c r="R2597">
        <v>205093</v>
      </c>
    </row>
    <row r="2598" spans="1:18" x14ac:dyDescent="0.25">
      <c r="A2598" s="169">
        <v>45832</v>
      </c>
      <c r="B2598" s="115">
        <v>220.5</v>
      </c>
      <c r="C2598" s="115">
        <v>215.65</v>
      </c>
      <c r="D2598" s="115">
        <v>209.55</v>
      </c>
      <c r="E2598" s="115">
        <v>209.55</v>
      </c>
      <c r="F2598" s="115">
        <v>215.65</v>
      </c>
      <c r="G2598">
        <v>20719</v>
      </c>
      <c r="H2598" s="115"/>
      <c r="I2598" s="115"/>
      <c r="L2598" s="169">
        <v>45831</v>
      </c>
      <c r="M2598" s="115">
        <v>211.79</v>
      </c>
      <c r="N2598" s="115">
        <v>216</v>
      </c>
      <c r="O2598" s="115">
        <v>209.35</v>
      </c>
      <c r="P2598" s="115">
        <v>210</v>
      </c>
      <c r="Q2598" s="115">
        <v>211.79</v>
      </c>
      <c r="R2598">
        <v>268180</v>
      </c>
    </row>
    <row r="2599" spans="1:18" x14ac:dyDescent="0.25">
      <c r="A2599" s="169">
        <v>45833</v>
      </c>
      <c r="B2599" s="115">
        <v>220.1</v>
      </c>
      <c r="C2599" s="115">
        <v>219.15</v>
      </c>
      <c r="D2599" s="115">
        <v>215.7</v>
      </c>
      <c r="E2599" s="115">
        <v>215.7</v>
      </c>
      <c r="F2599" s="115">
        <v>219.15</v>
      </c>
      <c r="G2599">
        <v>9486</v>
      </c>
      <c r="H2599" s="115"/>
      <c r="I2599" s="115"/>
      <c r="L2599" s="169">
        <v>45832</v>
      </c>
      <c r="M2599" s="115">
        <v>215.97</v>
      </c>
      <c r="N2599" s="115">
        <v>220.98</v>
      </c>
      <c r="O2599" s="115">
        <v>212.07</v>
      </c>
      <c r="P2599" s="115">
        <v>213.8</v>
      </c>
      <c r="Q2599" s="115">
        <v>215.97</v>
      </c>
      <c r="R2599">
        <v>267214</v>
      </c>
    </row>
    <row r="2600" spans="1:18" x14ac:dyDescent="0.25">
      <c r="A2600" s="169">
        <v>45834</v>
      </c>
      <c r="B2600" s="115">
        <v>222.95</v>
      </c>
      <c r="C2600" s="115">
        <v>218.85</v>
      </c>
      <c r="D2600" s="115">
        <v>216.05</v>
      </c>
      <c r="E2600" s="115">
        <v>220.1</v>
      </c>
      <c r="F2600" s="115">
        <v>218.85</v>
      </c>
      <c r="G2600">
        <v>10084</v>
      </c>
      <c r="H2600" s="115"/>
      <c r="I2600" s="115"/>
      <c r="L2600" s="169">
        <v>45833</v>
      </c>
      <c r="M2600" s="115">
        <v>218.22</v>
      </c>
      <c r="N2600" s="115">
        <v>219</v>
      </c>
      <c r="O2600" s="115">
        <v>215.97</v>
      </c>
      <c r="P2600" s="115">
        <v>216.7</v>
      </c>
      <c r="Q2600" s="115">
        <v>218.22</v>
      </c>
      <c r="R2600">
        <v>181083</v>
      </c>
    </row>
    <row r="2601" spans="1:18" x14ac:dyDescent="0.25">
      <c r="A2601" s="169">
        <v>45835</v>
      </c>
      <c r="B2601" s="115">
        <v>219.3</v>
      </c>
      <c r="C2601" s="115">
        <v>215.15</v>
      </c>
      <c r="D2601" s="115">
        <v>213.2</v>
      </c>
      <c r="E2601" s="115">
        <v>218.9</v>
      </c>
      <c r="F2601" s="115">
        <v>215.15</v>
      </c>
      <c r="G2601">
        <v>2254</v>
      </c>
      <c r="H2601" s="115"/>
      <c r="I2601" s="115"/>
      <c r="L2601" s="169">
        <v>45834</v>
      </c>
      <c r="M2601" s="115">
        <v>219.04</v>
      </c>
      <c r="N2601" s="115">
        <v>222.94</v>
      </c>
      <c r="O2601" s="115">
        <v>216.05</v>
      </c>
      <c r="P2601" s="115">
        <v>220.6</v>
      </c>
      <c r="Q2601" s="115">
        <v>219.04</v>
      </c>
      <c r="R2601">
        <v>285770</v>
      </c>
    </row>
    <row r="2602" spans="1:18" x14ac:dyDescent="0.25">
      <c r="A2602" s="169">
        <v>45838</v>
      </c>
      <c r="B2602" s="115">
        <v>215.75</v>
      </c>
      <c r="C2602" s="115">
        <v>211.6</v>
      </c>
      <c r="D2602" s="115">
        <v>209.85</v>
      </c>
      <c r="E2602" s="115">
        <v>215.2</v>
      </c>
      <c r="F2602" s="115">
        <v>211.6</v>
      </c>
      <c r="G2602">
        <v>15003</v>
      </c>
      <c r="H2602" s="115"/>
      <c r="I2602" s="115"/>
      <c r="L2602" s="169">
        <v>45835</v>
      </c>
      <c r="M2602" s="115">
        <v>215.13</v>
      </c>
      <c r="N2602" s="115">
        <v>221.1</v>
      </c>
      <c r="O2602" s="115">
        <v>213.25</v>
      </c>
      <c r="P2602" s="115">
        <v>219.75</v>
      </c>
      <c r="Q2602" s="115">
        <v>215.13</v>
      </c>
      <c r="R2602">
        <v>110969</v>
      </c>
    </row>
    <row r="2603" spans="1:18" x14ac:dyDescent="0.25">
      <c r="A2603" s="169">
        <v>45839</v>
      </c>
      <c r="B2603" s="115">
        <v>214.15</v>
      </c>
      <c r="C2603" s="115">
        <v>211.6</v>
      </c>
      <c r="D2603" s="115">
        <v>210.9</v>
      </c>
      <c r="E2603" s="115">
        <v>212.5</v>
      </c>
      <c r="F2603" s="115">
        <v>211.6</v>
      </c>
      <c r="G2603">
        <v>8579</v>
      </c>
      <c r="H2603" s="115"/>
      <c r="I2603" s="115"/>
      <c r="L2603" s="169">
        <v>45838</v>
      </c>
      <c r="M2603" s="115">
        <v>211.16</v>
      </c>
      <c r="N2603" s="115">
        <v>217.5</v>
      </c>
      <c r="O2603" s="115">
        <v>209.5</v>
      </c>
      <c r="P2603" s="115">
        <v>217.5</v>
      </c>
      <c r="Q2603" s="115">
        <v>211.16</v>
      </c>
      <c r="R2603">
        <v>201926</v>
      </c>
    </row>
    <row r="2604" spans="1:18" x14ac:dyDescent="0.25">
      <c r="A2604" s="169">
        <v>45840</v>
      </c>
      <c r="B2604" s="115">
        <v>228</v>
      </c>
      <c r="C2604" s="115">
        <v>218.9</v>
      </c>
      <c r="D2604" s="115">
        <v>214.15</v>
      </c>
      <c r="E2604" s="115">
        <v>219</v>
      </c>
      <c r="F2604" s="115">
        <v>218.9</v>
      </c>
      <c r="G2604">
        <v>82633</v>
      </c>
      <c r="H2604" s="115"/>
      <c r="I2604" s="115"/>
      <c r="L2604" s="169">
        <v>45839</v>
      </c>
      <c r="M2604" s="115">
        <v>212.04</v>
      </c>
      <c r="N2604" s="115">
        <v>214.3</v>
      </c>
      <c r="O2604" s="115">
        <v>210.84</v>
      </c>
      <c r="P2604" s="115">
        <v>213.25</v>
      </c>
      <c r="Q2604" s="115">
        <v>212.04</v>
      </c>
      <c r="R2604">
        <v>104988</v>
      </c>
    </row>
    <row r="2605" spans="1:18" x14ac:dyDescent="0.25">
      <c r="A2605" s="169">
        <v>45841</v>
      </c>
      <c r="B2605" s="115">
        <v>224.95</v>
      </c>
      <c r="C2605" s="115">
        <v>217.15</v>
      </c>
      <c r="D2605" s="115">
        <v>216.4</v>
      </c>
      <c r="E2605" s="115">
        <v>224.95</v>
      </c>
      <c r="F2605" s="115">
        <v>217.15</v>
      </c>
      <c r="G2605">
        <v>7829</v>
      </c>
      <c r="H2605" s="115"/>
      <c r="I2605" s="115"/>
      <c r="L2605" s="169">
        <v>45840</v>
      </c>
      <c r="M2605" s="115">
        <v>218.91</v>
      </c>
      <c r="N2605" s="115">
        <v>228</v>
      </c>
      <c r="O2605" s="115">
        <v>213.85</v>
      </c>
      <c r="P2605" s="115">
        <v>213.85</v>
      </c>
      <c r="Q2605" s="115">
        <v>218.91</v>
      </c>
      <c r="R2605">
        <v>1433775</v>
      </c>
    </row>
    <row r="2606" spans="1:18" x14ac:dyDescent="0.25">
      <c r="A2606" s="169">
        <v>45842</v>
      </c>
      <c r="B2606" s="115">
        <v>223.25</v>
      </c>
      <c r="C2606" s="115">
        <v>220.65</v>
      </c>
      <c r="D2606" s="115">
        <v>216.75</v>
      </c>
      <c r="E2606" s="115">
        <v>223.25</v>
      </c>
      <c r="F2606" s="115">
        <v>220.65</v>
      </c>
      <c r="G2606">
        <v>6549</v>
      </c>
      <c r="H2606" s="115"/>
      <c r="I2606" s="115"/>
      <c r="L2606" s="169">
        <v>45841</v>
      </c>
      <c r="M2606" s="115">
        <v>217.55</v>
      </c>
      <c r="N2606" s="115">
        <v>220.9</v>
      </c>
      <c r="O2606" s="115">
        <v>216.08</v>
      </c>
      <c r="P2606" s="115">
        <v>219.1</v>
      </c>
      <c r="Q2606" s="115">
        <v>217.55</v>
      </c>
      <c r="R2606">
        <v>167033</v>
      </c>
    </row>
    <row r="2607" spans="1:18" x14ac:dyDescent="0.25">
      <c r="A2607" s="169">
        <v>45845</v>
      </c>
      <c r="B2607" s="115">
        <v>235</v>
      </c>
      <c r="C2607" s="115">
        <v>231.4</v>
      </c>
      <c r="D2607" s="115">
        <v>219.95</v>
      </c>
      <c r="E2607" s="115">
        <v>220.65</v>
      </c>
      <c r="F2607" s="115">
        <v>231.4</v>
      </c>
      <c r="G2607">
        <v>31466</v>
      </c>
      <c r="H2607" s="115"/>
      <c r="I2607" s="115"/>
      <c r="L2607" s="169">
        <v>45842</v>
      </c>
      <c r="M2607" s="115">
        <v>220.87</v>
      </c>
      <c r="N2607" s="115">
        <v>222.8</v>
      </c>
      <c r="O2607" s="115">
        <v>216.32</v>
      </c>
      <c r="P2607" s="115">
        <v>218</v>
      </c>
      <c r="Q2607" s="115">
        <v>220.87</v>
      </c>
      <c r="R2607">
        <v>183383</v>
      </c>
    </row>
    <row r="2608" spans="1:18" x14ac:dyDescent="0.25">
      <c r="A2608" s="169">
        <v>45846</v>
      </c>
      <c r="B2608" s="115">
        <v>233.7</v>
      </c>
      <c r="C2608" s="115">
        <v>228.45</v>
      </c>
      <c r="D2608" s="115">
        <v>224.5</v>
      </c>
      <c r="E2608" s="115">
        <v>227.4</v>
      </c>
      <c r="F2608" s="115">
        <v>228.45</v>
      </c>
      <c r="G2608">
        <v>13112</v>
      </c>
      <c r="H2608" s="115"/>
      <c r="I2608" s="115"/>
      <c r="L2608" s="169">
        <v>45845</v>
      </c>
      <c r="M2608" s="115">
        <v>231.73</v>
      </c>
      <c r="N2608" s="115">
        <v>235.3</v>
      </c>
      <c r="O2608" s="115">
        <v>219.71</v>
      </c>
      <c r="P2608" s="115">
        <v>221.9</v>
      </c>
      <c r="Q2608" s="115">
        <v>231.73</v>
      </c>
      <c r="R2608">
        <v>1034929</v>
      </c>
    </row>
    <row r="2609" spans="1:18" x14ac:dyDescent="0.25">
      <c r="A2609" s="169">
        <v>45847</v>
      </c>
      <c r="B2609" s="115">
        <v>240.7</v>
      </c>
      <c r="C2609" s="115">
        <v>232.75</v>
      </c>
      <c r="D2609" s="115">
        <v>224</v>
      </c>
      <c r="E2609" s="115">
        <v>224</v>
      </c>
      <c r="F2609" s="115">
        <v>232.75</v>
      </c>
      <c r="G2609">
        <v>45749</v>
      </c>
      <c r="H2609" s="115"/>
      <c r="I2609" s="115"/>
      <c r="L2609" s="169">
        <v>45846</v>
      </c>
      <c r="M2609" s="115">
        <v>228.99</v>
      </c>
      <c r="N2609" s="115">
        <v>233.8</v>
      </c>
      <c r="O2609" s="115">
        <v>224.4</v>
      </c>
      <c r="P2609" s="115">
        <v>233</v>
      </c>
      <c r="Q2609" s="115">
        <v>228.99</v>
      </c>
      <c r="R2609">
        <v>311542</v>
      </c>
    </row>
    <row r="2610" spans="1:18" x14ac:dyDescent="0.25">
      <c r="A2610" s="169">
        <v>45848</v>
      </c>
      <c r="B2610" s="115">
        <v>241</v>
      </c>
      <c r="C2610" s="115">
        <v>236.2</v>
      </c>
      <c r="D2610" s="115">
        <v>234.7</v>
      </c>
      <c r="E2610" s="115">
        <v>241</v>
      </c>
      <c r="F2610" s="115">
        <v>236.2</v>
      </c>
      <c r="G2610">
        <v>22035</v>
      </c>
      <c r="H2610" s="115"/>
      <c r="I2610" s="115"/>
      <c r="L2610" s="169">
        <v>45847</v>
      </c>
      <c r="M2610" s="115">
        <v>233.05</v>
      </c>
      <c r="N2610" s="115">
        <v>241</v>
      </c>
      <c r="O2610" s="115">
        <v>225.68</v>
      </c>
      <c r="P2610" s="115">
        <v>227</v>
      </c>
      <c r="Q2610" s="115">
        <v>233.05</v>
      </c>
      <c r="R2610">
        <v>788021</v>
      </c>
    </row>
    <row r="2611" spans="1:18" x14ac:dyDescent="0.25">
      <c r="A2611" s="169">
        <v>45849</v>
      </c>
      <c r="B2611" s="115">
        <v>235</v>
      </c>
      <c r="C2611" s="115">
        <v>229.85</v>
      </c>
      <c r="D2611" s="115">
        <v>228.95</v>
      </c>
      <c r="E2611" s="115">
        <v>235</v>
      </c>
      <c r="F2611" s="115">
        <v>229.85</v>
      </c>
      <c r="G2611">
        <v>15933</v>
      </c>
      <c r="H2611" s="115"/>
      <c r="I2611" s="115"/>
      <c r="L2611" s="169">
        <v>45848</v>
      </c>
      <c r="M2611" s="115">
        <v>236.12</v>
      </c>
      <c r="N2611" s="115">
        <v>240.21</v>
      </c>
      <c r="O2611" s="115">
        <v>234.51</v>
      </c>
      <c r="P2611" s="115">
        <v>236.01</v>
      </c>
      <c r="Q2611" s="115">
        <v>236.12</v>
      </c>
      <c r="R2611">
        <v>410799</v>
      </c>
    </row>
    <row r="2612" spans="1:18" x14ac:dyDescent="0.25">
      <c r="A2612" s="169">
        <v>45852</v>
      </c>
      <c r="B2612" s="115">
        <v>230</v>
      </c>
      <c r="C2612" s="115">
        <v>228.1</v>
      </c>
      <c r="D2612" s="115">
        <v>225.95</v>
      </c>
      <c r="E2612" s="115">
        <v>230</v>
      </c>
      <c r="F2612" s="115">
        <v>228.1</v>
      </c>
      <c r="G2612">
        <v>23266</v>
      </c>
      <c r="H2612" s="115"/>
      <c r="I2612" s="115"/>
      <c r="L2612" s="169">
        <v>45849</v>
      </c>
      <c r="M2612" s="115">
        <v>229.82</v>
      </c>
      <c r="N2612" s="115">
        <v>235.9</v>
      </c>
      <c r="O2612" s="115">
        <v>229.11</v>
      </c>
      <c r="P2612" s="115">
        <v>235.9</v>
      </c>
      <c r="Q2612" s="115">
        <v>229.82</v>
      </c>
      <c r="R2612">
        <v>174640</v>
      </c>
    </row>
    <row r="2613" spans="1:18" x14ac:dyDescent="0.25">
      <c r="A2613" s="169">
        <v>45853</v>
      </c>
      <c r="B2613" s="115">
        <v>243.1</v>
      </c>
      <c r="C2613" s="115">
        <v>231.3</v>
      </c>
      <c r="D2613" s="115">
        <v>230.45</v>
      </c>
      <c r="E2613" s="115">
        <v>233.85</v>
      </c>
      <c r="F2613" s="115">
        <v>231.3</v>
      </c>
      <c r="G2613">
        <v>26338</v>
      </c>
      <c r="H2613" s="115"/>
      <c r="I2613" s="115"/>
      <c r="L2613" s="169">
        <v>45852</v>
      </c>
      <c r="M2613" s="115">
        <v>228.11</v>
      </c>
      <c r="N2613" s="115">
        <v>229.82</v>
      </c>
      <c r="O2613" s="115">
        <v>225.69</v>
      </c>
      <c r="P2613" s="115">
        <v>229.82</v>
      </c>
      <c r="Q2613" s="115">
        <v>228.11</v>
      </c>
      <c r="R2613">
        <v>94571</v>
      </c>
    </row>
    <row r="2614" spans="1:18" x14ac:dyDescent="0.25">
      <c r="A2614" s="169">
        <v>45854</v>
      </c>
      <c r="B2614" s="115">
        <v>232.45</v>
      </c>
      <c r="C2614" s="115">
        <v>229.8</v>
      </c>
      <c r="D2614" s="115">
        <v>228.2</v>
      </c>
      <c r="E2614" s="115">
        <v>232.45</v>
      </c>
      <c r="F2614" s="115">
        <v>229.8</v>
      </c>
      <c r="G2614">
        <v>9736</v>
      </c>
      <c r="H2614" s="115"/>
      <c r="I2614" s="115"/>
      <c r="L2614" s="169">
        <v>45853</v>
      </c>
      <c r="M2614" s="115">
        <v>231.56</v>
      </c>
      <c r="N2614" s="115">
        <v>242.97</v>
      </c>
      <c r="O2614" s="115">
        <v>230.6</v>
      </c>
      <c r="P2614" s="115">
        <v>230.6</v>
      </c>
      <c r="Q2614" s="115">
        <v>231.56</v>
      </c>
      <c r="R2614">
        <v>586184</v>
      </c>
    </row>
    <row r="2615" spans="1:18" x14ac:dyDescent="0.25">
      <c r="A2615" s="169">
        <v>45855</v>
      </c>
      <c r="B2615" s="115">
        <v>232.05</v>
      </c>
      <c r="C2615" s="115">
        <v>228.8</v>
      </c>
      <c r="D2615" s="115">
        <v>228</v>
      </c>
      <c r="E2615" s="115">
        <v>230.85</v>
      </c>
      <c r="F2615" s="115">
        <v>228.8</v>
      </c>
      <c r="G2615">
        <v>56396</v>
      </c>
      <c r="H2615" s="115"/>
      <c r="I2615" s="115"/>
      <c r="L2615" s="169">
        <v>45854</v>
      </c>
      <c r="M2615" s="115">
        <v>229.82</v>
      </c>
      <c r="N2615" s="115">
        <v>233.2</v>
      </c>
      <c r="O2615" s="115">
        <v>228</v>
      </c>
      <c r="P2615" s="115">
        <v>233.05</v>
      </c>
      <c r="Q2615" s="115">
        <v>229.82</v>
      </c>
      <c r="R2615">
        <v>178294</v>
      </c>
    </row>
    <row r="2616" spans="1:18" x14ac:dyDescent="0.25">
      <c r="A2616" s="169">
        <v>45856</v>
      </c>
      <c r="B2616" s="115">
        <v>231.2</v>
      </c>
      <c r="C2616" s="115">
        <v>227.35</v>
      </c>
      <c r="D2616" s="115">
        <v>226.95</v>
      </c>
      <c r="E2616" s="115">
        <v>229.9</v>
      </c>
      <c r="F2616" s="115">
        <v>227.35</v>
      </c>
      <c r="G2616">
        <v>3544</v>
      </c>
      <c r="H2616" s="115"/>
      <c r="I2616" s="115"/>
      <c r="L2616" s="169">
        <v>45855</v>
      </c>
      <c r="M2616" s="115">
        <v>228.98</v>
      </c>
      <c r="N2616" s="115">
        <v>232.38</v>
      </c>
      <c r="O2616" s="115">
        <v>227.6</v>
      </c>
      <c r="P2616" s="115">
        <v>231.68</v>
      </c>
      <c r="Q2616" s="115">
        <v>228.98</v>
      </c>
      <c r="R2616">
        <v>204181</v>
      </c>
    </row>
    <row r="2617" spans="1:18" x14ac:dyDescent="0.25">
      <c r="A2617" s="169">
        <v>45859</v>
      </c>
      <c r="B2617" s="115">
        <v>228.3</v>
      </c>
      <c r="C2617" s="115">
        <v>225.3</v>
      </c>
      <c r="D2617" s="115">
        <v>223</v>
      </c>
      <c r="E2617" s="115">
        <v>228.3</v>
      </c>
      <c r="F2617" s="115">
        <v>225.3</v>
      </c>
      <c r="G2617">
        <v>10181</v>
      </c>
      <c r="H2617" s="115"/>
      <c r="I2617" s="115"/>
      <c r="L2617" s="169">
        <v>45856</v>
      </c>
      <c r="M2617" s="115">
        <v>227.53</v>
      </c>
      <c r="N2617" s="115">
        <v>231.3</v>
      </c>
      <c r="O2617" s="115">
        <v>226.5</v>
      </c>
      <c r="P2617" s="115">
        <v>228</v>
      </c>
      <c r="Q2617" s="115">
        <v>227.53</v>
      </c>
      <c r="R2617">
        <v>112328</v>
      </c>
    </row>
    <row r="2618" spans="1:18" x14ac:dyDescent="0.25">
      <c r="A2618" s="169">
        <v>45860</v>
      </c>
      <c r="B2618" s="115">
        <v>231.4</v>
      </c>
      <c r="C2618" s="115">
        <v>230.4</v>
      </c>
      <c r="D2618" s="115">
        <v>225</v>
      </c>
      <c r="E2618" s="115">
        <v>226.45</v>
      </c>
      <c r="F2618" s="115">
        <v>230.4</v>
      </c>
      <c r="G2618">
        <v>14131</v>
      </c>
      <c r="H2618" s="115"/>
      <c r="I2618" s="115"/>
      <c r="L2618" s="169">
        <v>45859</v>
      </c>
      <c r="M2618" s="115">
        <v>224.77</v>
      </c>
      <c r="N2618" s="115">
        <v>229</v>
      </c>
      <c r="O2618" s="115">
        <v>222.54</v>
      </c>
      <c r="P2618" s="115">
        <v>228.66</v>
      </c>
      <c r="Q2618" s="115">
        <v>224.77</v>
      </c>
      <c r="R2618">
        <v>130041</v>
      </c>
    </row>
    <row r="2619" spans="1:18" x14ac:dyDescent="0.25">
      <c r="A2619" s="169">
        <v>45861</v>
      </c>
      <c r="B2619" s="115">
        <v>238</v>
      </c>
      <c r="C2619" s="115">
        <v>223.5</v>
      </c>
      <c r="D2619" s="115">
        <v>222.2</v>
      </c>
      <c r="E2619" s="115">
        <v>233</v>
      </c>
      <c r="F2619" s="115">
        <v>223.5</v>
      </c>
      <c r="G2619">
        <v>53506</v>
      </c>
      <c r="H2619" s="115"/>
      <c r="I2619" s="115"/>
      <c r="L2619" s="169">
        <v>45860</v>
      </c>
      <c r="M2619" s="115">
        <v>230.4</v>
      </c>
      <c r="N2619" s="115">
        <v>231.95</v>
      </c>
      <c r="O2619" s="115">
        <v>225</v>
      </c>
      <c r="P2619" s="115">
        <v>226.9</v>
      </c>
      <c r="Q2619" s="115">
        <v>230.4</v>
      </c>
      <c r="R2619">
        <v>162348</v>
      </c>
    </row>
    <row r="2620" spans="1:18" x14ac:dyDescent="0.25">
      <c r="A2620" s="169">
        <v>45862</v>
      </c>
      <c r="B2620" s="115">
        <v>226.15</v>
      </c>
      <c r="C2620" s="115">
        <v>224.55</v>
      </c>
      <c r="D2620" s="115">
        <v>222.75</v>
      </c>
      <c r="E2620" s="115">
        <v>223.45</v>
      </c>
      <c r="F2620" s="115">
        <v>224.55</v>
      </c>
      <c r="G2620">
        <v>13026</v>
      </c>
      <c r="H2620" s="115"/>
      <c r="I2620" s="115"/>
      <c r="L2620" s="169">
        <v>45861</v>
      </c>
      <c r="M2620" s="115">
        <v>223.03</v>
      </c>
      <c r="N2620" s="115">
        <v>238.5</v>
      </c>
      <c r="O2620" s="115">
        <v>221.25</v>
      </c>
      <c r="P2620" s="115">
        <v>236</v>
      </c>
      <c r="Q2620" s="115">
        <v>223.03</v>
      </c>
      <c r="R2620">
        <v>644102</v>
      </c>
    </row>
    <row r="2621" spans="1:18" x14ac:dyDescent="0.25">
      <c r="A2621" s="169">
        <v>45863</v>
      </c>
      <c r="B2621" s="115">
        <v>226</v>
      </c>
      <c r="C2621" s="115">
        <v>218.5</v>
      </c>
      <c r="D2621" s="115">
        <v>218.15</v>
      </c>
      <c r="E2621" s="115">
        <v>226</v>
      </c>
      <c r="F2621" s="115">
        <v>218.5</v>
      </c>
      <c r="G2621">
        <v>19103</v>
      </c>
      <c r="H2621" s="115"/>
      <c r="I2621" s="115"/>
      <c r="L2621" s="169">
        <v>45862</v>
      </c>
      <c r="M2621" s="115">
        <v>224.83</v>
      </c>
      <c r="N2621" s="115">
        <v>226.79</v>
      </c>
      <c r="O2621" s="115">
        <v>222.51</v>
      </c>
      <c r="P2621" s="115">
        <v>224.81</v>
      </c>
      <c r="Q2621" s="115">
        <v>224.83</v>
      </c>
      <c r="R2621">
        <v>136557</v>
      </c>
    </row>
    <row r="2622" spans="1:18" x14ac:dyDescent="0.25">
      <c r="A2622" s="169">
        <v>45866</v>
      </c>
      <c r="B2622" s="115">
        <v>224.8</v>
      </c>
      <c r="C2622" s="115">
        <v>211.55</v>
      </c>
      <c r="D2622" s="115">
        <v>211.05</v>
      </c>
      <c r="E2622" s="115">
        <v>224.8</v>
      </c>
      <c r="F2622" s="115">
        <v>211.55</v>
      </c>
      <c r="G2622">
        <v>11657</v>
      </c>
      <c r="H2622" s="115"/>
      <c r="I2622" s="115"/>
      <c r="L2622" s="169">
        <v>45863</v>
      </c>
      <c r="M2622" s="115">
        <v>218.56</v>
      </c>
      <c r="N2622" s="115">
        <v>225.14</v>
      </c>
      <c r="O2622" s="115">
        <v>218.1</v>
      </c>
      <c r="P2622" s="115">
        <v>224</v>
      </c>
      <c r="Q2622" s="115">
        <v>218.56</v>
      </c>
      <c r="R2622">
        <v>154015</v>
      </c>
    </row>
    <row r="2623" spans="1:18" x14ac:dyDescent="0.25">
      <c r="A2623" s="169">
        <v>45867</v>
      </c>
      <c r="B2623" s="115">
        <v>229.9</v>
      </c>
      <c r="C2623" s="115">
        <v>213.9</v>
      </c>
      <c r="D2623" s="115">
        <v>211.5</v>
      </c>
      <c r="E2623" s="115">
        <v>229.9</v>
      </c>
      <c r="F2623" s="115">
        <v>213.9</v>
      </c>
      <c r="G2623">
        <v>3567</v>
      </c>
      <c r="H2623" s="115"/>
      <c r="I2623" s="115"/>
      <c r="L2623" s="169">
        <v>45866</v>
      </c>
      <c r="M2623" s="115">
        <v>211.82</v>
      </c>
      <c r="N2623" s="115">
        <v>221.48</v>
      </c>
      <c r="O2623" s="115">
        <v>211</v>
      </c>
      <c r="P2623" s="115">
        <v>218.01</v>
      </c>
      <c r="Q2623" s="115">
        <v>211.82</v>
      </c>
      <c r="R2623">
        <v>213451</v>
      </c>
    </row>
    <row r="2624" spans="1:18" x14ac:dyDescent="0.25">
      <c r="A2624" s="169">
        <v>45868</v>
      </c>
      <c r="B2624" s="115">
        <v>215.9</v>
      </c>
      <c r="C2624" s="115">
        <v>213.6</v>
      </c>
      <c r="D2624" s="115">
        <v>213.05</v>
      </c>
      <c r="E2624" s="115">
        <v>213.6</v>
      </c>
      <c r="F2624" s="115">
        <v>213.6</v>
      </c>
      <c r="G2624">
        <v>4410</v>
      </c>
      <c r="H2624" s="115"/>
      <c r="I2624" s="115"/>
      <c r="L2624" s="169">
        <v>45867</v>
      </c>
      <c r="M2624" s="115">
        <v>213.54</v>
      </c>
      <c r="N2624" s="115">
        <v>218.42</v>
      </c>
      <c r="O2624" s="115">
        <v>210</v>
      </c>
      <c r="P2624" s="115">
        <v>210</v>
      </c>
      <c r="Q2624" s="115">
        <v>213.54</v>
      </c>
      <c r="R2624">
        <v>258324</v>
      </c>
    </row>
    <row r="2625" spans="1:18" x14ac:dyDescent="0.25">
      <c r="A2625" s="169">
        <v>45869</v>
      </c>
      <c r="B2625" s="115">
        <v>222.65</v>
      </c>
      <c r="C2625" s="115">
        <v>219.65</v>
      </c>
      <c r="D2625" s="115">
        <v>212.2</v>
      </c>
      <c r="E2625" s="115">
        <v>213.1</v>
      </c>
      <c r="F2625" s="115">
        <v>219.65</v>
      </c>
      <c r="G2625">
        <v>12660</v>
      </c>
      <c r="H2625" s="115"/>
      <c r="I2625" s="115"/>
      <c r="L2625" s="169">
        <v>45868</v>
      </c>
      <c r="M2625" s="115">
        <v>213.84</v>
      </c>
      <c r="N2625" s="115">
        <v>215.99</v>
      </c>
      <c r="O2625" s="115">
        <v>212.98</v>
      </c>
      <c r="P2625" s="115">
        <v>213.99</v>
      </c>
      <c r="Q2625" s="115">
        <v>213.84</v>
      </c>
      <c r="R2625">
        <v>103562</v>
      </c>
    </row>
    <row r="2626" spans="1:18" x14ac:dyDescent="0.25">
      <c r="A2626" s="169">
        <v>45870</v>
      </c>
      <c r="B2626" s="115">
        <v>223.6</v>
      </c>
      <c r="C2626" s="115">
        <v>218.7</v>
      </c>
      <c r="D2626" s="115">
        <v>216.05</v>
      </c>
      <c r="E2626" s="115">
        <v>216.05</v>
      </c>
      <c r="F2626" s="115">
        <v>218.7</v>
      </c>
      <c r="G2626">
        <v>13296</v>
      </c>
      <c r="H2626" s="115"/>
      <c r="I2626" s="115"/>
      <c r="L2626" s="169">
        <v>45869</v>
      </c>
      <c r="M2626" s="115">
        <v>220.22</v>
      </c>
      <c r="N2626" s="115">
        <v>222.74</v>
      </c>
      <c r="O2626" s="115">
        <v>210.41</v>
      </c>
      <c r="P2626" s="115">
        <v>211</v>
      </c>
      <c r="Q2626" s="115">
        <v>220.22</v>
      </c>
      <c r="R2626">
        <v>230102</v>
      </c>
    </row>
    <row r="2627" spans="1:18" x14ac:dyDescent="0.25">
      <c r="A2627" s="169">
        <v>45873</v>
      </c>
      <c r="B2627" s="115">
        <v>219.4</v>
      </c>
      <c r="C2627" s="115">
        <v>217.6</v>
      </c>
      <c r="D2627" s="115">
        <v>215.45</v>
      </c>
      <c r="E2627" s="115">
        <v>219</v>
      </c>
      <c r="F2627" s="115">
        <v>217.6</v>
      </c>
      <c r="G2627">
        <v>3416</v>
      </c>
      <c r="H2627" s="115"/>
      <c r="I2627" s="115"/>
      <c r="L2627" s="169">
        <v>45870</v>
      </c>
      <c r="M2627" s="115">
        <v>218.77</v>
      </c>
      <c r="N2627" s="115">
        <v>223.75</v>
      </c>
      <c r="O2627" s="115">
        <v>217.52</v>
      </c>
      <c r="P2627" s="115">
        <v>221.49</v>
      </c>
      <c r="Q2627" s="115">
        <v>218.77</v>
      </c>
      <c r="R2627">
        <v>117983</v>
      </c>
    </row>
    <row r="2628" spans="1:18" x14ac:dyDescent="0.25">
      <c r="A2628" s="169">
        <v>45874</v>
      </c>
      <c r="B2628" s="115">
        <v>218.95</v>
      </c>
      <c r="C2628" s="115">
        <v>217.65</v>
      </c>
      <c r="D2628" s="115">
        <v>216.85</v>
      </c>
      <c r="E2628" s="115">
        <v>218.85</v>
      </c>
      <c r="F2628" s="115">
        <v>217.65</v>
      </c>
      <c r="G2628">
        <v>3855</v>
      </c>
      <c r="H2628" s="115"/>
      <c r="I2628" s="115"/>
      <c r="L2628" s="169">
        <v>45873</v>
      </c>
      <c r="M2628" s="115">
        <v>217.35</v>
      </c>
      <c r="N2628" s="115">
        <v>219.9</v>
      </c>
      <c r="O2628" s="115">
        <v>215.06</v>
      </c>
      <c r="P2628" s="115">
        <v>216.3</v>
      </c>
      <c r="Q2628" s="115">
        <v>217.35</v>
      </c>
      <c r="R2628">
        <v>69280</v>
      </c>
    </row>
    <row r="2629" spans="1:18" x14ac:dyDescent="0.25">
      <c r="A2629" s="169">
        <v>45875</v>
      </c>
      <c r="B2629" s="115">
        <v>218.2</v>
      </c>
      <c r="C2629" s="115">
        <v>214.65</v>
      </c>
      <c r="D2629" s="115">
        <v>212.15</v>
      </c>
      <c r="E2629" s="115">
        <v>214</v>
      </c>
      <c r="F2629" s="115">
        <v>214.65</v>
      </c>
      <c r="G2629">
        <v>6986</v>
      </c>
      <c r="H2629" s="115"/>
      <c r="I2629" s="115"/>
      <c r="L2629" s="169">
        <v>45874</v>
      </c>
      <c r="M2629" s="115">
        <v>217.72</v>
      </c>
      <c r="N2629" s="115">
        <v>219.21</v>
      </c>
      <c r="O2629" s="115">
        <v>217</v>
      </c>
      <c r="P2629" s="115">
        <v>218</v>
      </c>
      <c r="Q2629" s="115">
        <v>217.72</v>
      </c>
      <c r="R2629">
        <v>34740</v>
      </c>
    </row>
    <row r="2630" spans="1:18" x14ac:dyDescent="0.25">
      <c r="A2630" s="169">
        <v>45876</v>
      </c>
      <c r="B2630" s="115">
        <v>212.3</v>
      </c>
      <c r="C2630" s="115">
        <v>209.7</v>
      </c>
      <c r="D2630" s="115">
        <v>203.1</v>
      </c>
      <c r="E2630" s="115">
        <v>210</v>
      </c>
      <c r="F2630" s="115">
        <v>209.7</v>
      </c>
      <c r="G2630">
        <v>9296</v>
      </c>
      <c r="H2630" s="115"/>
      <c r="I2630" s="115"/>
      <c r="L2630" s="169">
        <v>45875</v>
      </c>
      <c r="M2630" s="115">
        <v>214.48</v>
      </c>
      <c r="N2630" s="115">
        <v>218.27</v>
      </c>
      <c r="O2630" s="115">
        <v>211.9</v>
      </c>
      <c r="P2630" s="115">
        <v>214</v>
      </c>
      <c r="Q2630" s="115">
        <v>214.48</v>
      </c>
      <c r="R2630">
        <v>41730</v>
      </c>
    </row>
    <row r="2631" spans="1:18" x14ac:dyDescent="0.25">
      <c r="A2631" s="169">
        <v>45877</v>
      </c>
      <c r="B2631" s="115">
        <v>218.9</v>
      </c>
      <c r="C2631" s="115">
        <v>207.4</v>
      </c>
      <c r="D2631" s="115">
        <v>206.45</v>
      </c>
      <c r="E2631" s="115">
        <v>218.9</v>
      </c>
      <c r="F2631" s="115">
        <v>207.4</v>
      </c>
      <c r="G2631">
        <v>3630</v>
      </c>
      <c r="H2631" s="115"/>
      <c r="I2631" s="115"/>
      <c r="L2631" s="169">
        <v>45876</v>
      </c>
      <c r="M2631" s="115">
        <v>209.68</v>
      </c>
      <c r="N2631" s="115">
        <v>214</v>
      </c>
      <c r="O2631" s="115">
        <v>203.42</v>
      </c>
      <c r="P2631" s="115">
        <v>214</v>
      </c>
      <c r="Q2631" s="115">
        <v>209.68</v>
      </c>
      <c r="R2631">
        <v>93098</v>
      </c>
    </row>
    <row r="2632" spans="1:18" x14ac:dyDescent="0.25">
      <c r="A2632" s="169">
        <v>45880</v>
      </c>
      <c r="B2632" s="115">
        <v>213</v>
      </c>
      <c r="C2632" s="115">
        <v>211.25</v>
      </c>
      <c r="D2632" s="115">
        <v>205.05</v>
      </c>
      <c r="E2632" s="115">
        <v>205.05</v>
      </c>
      <c r="F2632" s="115">
        <v>211.25</v>
      </c>
      <c r="G2632">
        <v>2681</v>
      </c>
      <c r="H2632" s="115"/>
      <c r="I2632" s="115"/>
      <c r="L2632" s="169">
        <v>45877</v>
      </c>
      <c r="M2632" s="115">
        <v>207.48</v>
      </c>
      <c r="N2632" s="115">
        <v>212.4</v>
      </c>
      <c r="O2632" s="115">
        <v>206.35</v>
      </c>
      <c r="P2632" s="115">
        <v>209</v>
      </c>
      <c r="Q2632" s="115">
        <v>207.48</v>
      </c>
      <c r="R2632">
        <v>37905</v>
      </c>
    </row>
    <row r="2633" spans="1:18" x14ac:dyDescent="0.25">
      <c r="A2633" s="169">
        <v>45881</v>
      </c>
      <c r="B2633" s="115">
        <v>214</v>
      </c>
      <c r="C2633" s="115">
        <v>213.05</v>
      </c>
      <c r="D2633" s="115">
        <v>208.85</v>
      </c>
      <c r="E2633" s="115">
        <v>211.35</v>
      </c>
      <c r="F2633" s="115">
        <v>213.05</v>
      </c>
      <c r="G2633">
        <v>3646</v>
      </c>
      <c r="H2633" s="115"/>
      <c r="I2633" s="115"/>
      <c r="L2633" s="169">
        <v>45880</v>
      </c>
      <c r="M2633" s="115">
        <v>211.07</v>
      </c>
      <c r="N2633" s="115">
        <v>214.01</v>
      </c>
      <c r="O2633" s="115">
        <v>206.35</v>
      </c>
      <c r="P2633" s="115">
        <v>206.5</v>
      </c>
      <c r="Q2633" s="115">
        <v>211.07</v>
      </c>
      <c r="R2633">
        <v>49804</v>
      </c>
    </row>
    <row r="2634" spans="1:18" x14ac:dyDescent="0.25">
      <c r="A2634" s="169">
        <v>45882</v>
      </c>
      <c r="B2634" s="115">
        <v>219</v>
      </c>
      <c r="C2634" s="115">
        <v>215.8</v>
      </c>
      <c r="D2634" s="115">
        <v>211.7</v>
      </c>
      <c r="E2634" s="115">
        <v>212.95</v>
      </c>
      <c r="F2634" s="115">
        <v>215.8</v>
      </c>
      <c r="G2634">
        <v>4938</v>
      </c>
      <c r="H2634" s="115"/>
      <c r="I2634" s="115"/>
      <c r="L2634" s="169">
        <v>45881</v>
      </c>
      <c r="M2634" s="115">
        <v>213.2</v>
      </c>
      <c r="N2634" s="115">
        <v>214.49</v>
      </c>
      <c r="O2634" s="115">
        <v>209.13</v>
      </c>
      <c r="P2634" s="115">
        <v>210</v>
      </c>
      <c r="Q2634" s="115">
        <v>213.2</v>
      </c>
      <c r="R2634">
        <v>44954</v>
      </c>
    </row>
    <row r="2635" spans="1:18" x14ac:dyDescent="0.25">
      <c r="A2635" s="169">
        <v>45883</v>
      </c>
      <c r="B2635" s="115">
        <v>218.35</v>
      </c>
      <c r="C2635" s="115">
        <v>212.65</v>
      </c>
      <c r="D2635" s="115">
        <v>212.05</v>
      </c>
      <c r="E2635" s="115">
        <v>214.65</v>
      </c>
      <c r="F2635" s="115">
        <v>212.65</v>
      </c>
      <c r="G2635">
        <v>2802</v>
      </c>
      <c r="H2635" s="115"/>
      <c r="I2635" s="115"/>
      <c r="L2635" s="169">
        <v>45882</v>
      </c>
      <c r="M2635" s="115">
        <v>215.99</v>
      </c>
      <c r="N2635" s="115">
        <v>218.83</v>
      </c>
      <c r="O2635" s="115">
        <v>210.98</v>
      </c>
      <c r="P2635" s="115">
        <v>213.2</v>
      </c>
      <c r="Q2635" s="115">
        <v>215.99</v>
      </c>
      <c r="R2635">
        <v>72756</v>
      </c>
    </row>
    <row r="2636" spans="1:18" x14ac:dyDescent="0.25">
      <c r="A2636" s="169">
        <v>45887</v>
      </c>
      <c r="B2636" s="115">
        <v>219.5</v>
      </c>
      <c r="C2636" s="115">
        <v>212.65</v>
      </c>
      <c r="D2636" s="115">
        <v>211.4</v>
      </c>
      <c r="E2636" s="115">
        <v>212.65</v>
      </c>
      <c r="F2636" s="115">
        <v>212.65</v>
      </c>
      <c r="G2636">
        <v>10654</v>
      </c>
      <c r="H2636" s="115"/>
      <c r="I2636" s="115"/>
      <c r="L2636" s="169">
        <v>45883</v>
      </c>
      <c r="M2636" s="115">
        <v>212.58</v>
      </c>
      <c r="N2636" s="115">
        <v>218.88</v>
      </c>
      <c r="O2636" s="115">
        <v>211.5</v>
      </c>
      <c r="P2636" s="115">
        <v>212.75</v>
      </c>
      <c r="Q2636" s="115">
        <v>212.58</v>
      </c>
      <c r="R2636">
        <v>65555</v>
      </c>
    </row>
    <row r="2637" spans="1:18" x14ac:dyDescent="0.25">
      <c r="A2637" s="169">
        <v>45888</v>
      </c>
      <c r="B2637" s="115">
        <v>217.65</v>
      </c>
      <c r="C2637" s="115">
        <v>216.15</v>
      </c>
      <c r="D2637" s="115">
        <v>212</v>
      </c>
      <c r="E2637" s="115">
        <v>212</v>
      </c>
      <c r="F2637" s="115">
        <v>216.15</v>
      </c>
      <c r="G2637">
        <v>3646</v>
      </c>
      <c r="H2637" s="115"/>
      <c r="I2637" s="115"/>
      <c r="L2637" s="169">
        <v>45887</v>
      </c>
      <c r="M2637" s="115">
        <v>212.26</v>
      </c>
      <c r="N2637" s="115">
        <v>219.9</v>
      </c>
      <c r="O2637" s="115">
        <v>211.41</v>
      </c>
      <c r="P2637" s="115">
        <v>216.56</v>
      </c>
      <c r="Q2637" s="115">
        <v>212.26</v>
      </c>
      <c r="R2637">
        <v>101668</v>
      </c>
    </row>
    <row r="2638" spans="1:18" x14ac:dyDescent="0.25">
      <c r="A2638" s="169">
        <v>45889</v>
      </c>
      <c r="B2638" s="115">
        <v>221.7</v>
      </c>
      <c r="C2638" s="115">
        <v>219.7</v>
      </c>
      <c r="D2638" s="115">
        <v>215.45</v>
      </c>
      <c r="E2638" s="115">
        <v>216.7</v>
      </c>
      <c r="F2638" s="115">
        <v>219.7</v>
      </c>
      <c r="G2638">
        <v>3169</v>
      </c>
      <c r="H2638" s="115"/>
      <c r="I2638" s="115"/>
      <c r="L2638" s="169">
        <v>45888</v>
      </c>
      <c r="M2638" s="115">
        <v>216.94</v>
      </c>
      <c r="N2638" s="115">
        <v>217.59</v>
      </c>
      <c r="O2638" s="115">
        <v>212.26</v>
      </c>
      <c r="P2638" s="115">
        <v>212.26</v>
      </c>
      <c r="Q2638" s="115">
        <v>216.94</v>
      </c>
      <c r="R2638">
        <v>54922</v>
      </c>
    </row>
    <row r="2639" spans="1:18" x14ac:dyDescent="0.25">
      <c r="A2639" s="169">
        <v>45890</v>
      </c>
      <c r="B2639" s="115">
        <v>220.1</v>
      </c>
      <c r="C2639" s="115">
        <v>217.05</v>
      </c>
      <c r="D2639" s="115">
        <v>216</v>
      </c>
      <c r="E2639" s="115">
        <v>216</v>
      </c>
      <c r="F2639" s="115">
        <v>217.05</v>
      </c>
      <c r="G2639">
        <v>3571</v>
      </c>
      <c r="H2639" s="115"/>
      <c r="I2639" s="115"/>
      <c r="L2639" s="169">
        <v>45889</v>
      </c>
      <c r="M2639" s="115">
        <v>219.63</v>
      </c>
      <c r="N2639" s="115">
        <v>221.49</v>
      </c>
      <c r="O2639" s="115">
        <v>215.05</v>
      </c>
      <c r="P2639" s="115">
        <v>217.5</v>
      </c>
      <c r="Q2639" s="115">
        <v>219.63</v>
      </c>
      <c r="R2639">
        <v>57349</v>
      </c>
    </row>
    <row r="2640" spans="1:18" x14ac:dyDescent="0.25">
      <c r="A2640" s="169">
        <v>45891</v>
      </c>
      <c r="B2640" s="115">
        <v>217.85</v>
      </c>
      <c r="C2640" s="115">
        <v>215.05</v>
      </c>
      <c r="D2640" s="115">
        <v>214.65</v>
      </c>
      <c r="E2640" s="115">
        <v>217.55</v>
      </c>
      <c r="F2640" s="115">
        <v>215.05</v>
      </c>
      <c r="G2640">
        <v>6256</v>
      </c>
      <c r="H2640" s="115"/>
      <c r="I2640" s="115"/>
      <c r="L2640" s="169">
        <v>45890</v>
      </c>
      <c r="M2640" s="115">
        <v>216.93</v>
      </c>
      <c r="N2640" s="115">
        <v>220.5</v>
      </c>
      <c r="O2640" s="115">
        <v>216.01</v>
      </c>
      <c r="P2640" s="115">
        <v>219.63</v>
      </c>
      <c r="Q2640" s="115">
        <v>216.93</v>
      </c>
      <c r="R2640">
        <v>36911</v>
      </c>
    </row>
    <row r="2641" spans="1:18" x14ac:dyDescent="0.25">
      <c r="A2641" s="169">
        <v>45894</v>
      </c>
      <c r="B2641" s="115">
        <v>223.95</v>
      </c>
      <c r="C2641" s="115">
        <v>217.95</v>
      </c>
      <c r="D2641" s="115">
        <v>217</v>
      </c>
      <c r="E2641" s="115">
        <v>218.8</v>
      </c>
      <c r="F2641" s="115">
        <v>217.95</v>
      </c>
      <c r="G2641">
        <v>7564</v>
      </c>
      <c r="H2641" s="115"/>
      <c r="I2641" s="115"/>
      <c r="L2641" s="169">
        <v>45891</v>
      </c>
      <c r="M2641" s="115">
        <v>215.48</v>
      </c>
      <c r="N2641" s="115">
        <v>218.99</v>
      </c>
      <c r="O2641" s="115">
        <v>214.1</v>
      </c>
      <c r="P2641" s="115">
        <v>218.99</v>
      </c>
      <c r="Q2641" s="115">
        <v>215.48</v>
      </c>
      <c r="R2641">
        <v>30840</v>
      </c>
    </row>
    <row r="2642" spans="1:18" x14ac:dyDescent="0.25">
      <c r="A2642" s="169">
        <v>45895</v>
      </c>
      <c r="B2642" s="115">
        <v>226.7</v>
      </c>
      <c r="C2642" s="115">
        <v>213.35</v>
      </c>
      <c r="D2642" s="115">
        <v>212.6</v>
      </c>
      <c r="E2642" s="115">
        <v>226.7</v>
      </c>
      <c r="F2642" s="115">
        <v>213.35</v>
      </c>
      <c r="G2642">
        <v>4256</v>
      </c>
      <c r="H2642" s="115"/>
      <c r="I2642" s="115"/>
      <c r="L2642" s="169">
        <v>45894</v>
      </c>
      <c r="M2642" s="115">
        <v>217.64</v>
      </c>
      <c r="N2642" s="115">
        <v>223.55</v>
      </c>
      <c r="O2642" s="115">
        <v>216.85</v>
      </c>
      <c r="P2642" s="115">
        <v>217.6</v>
      </c>
      <c r="Q2642" s="115">
        <v>217.64</v>
      </c>
      <c r="R2642">
        <v>169652</v>
      </c>
    </row>
    <row r="2643" spans="1:18" x14ac:dyDescent="0.25">
      <c r="A2643" s="169">
        <v>45897</v>
      </c>
      <c r="B2643" s="115">
        <v>212.1</v>
      </c>
      <c r="C2643" s="115">
        <v>211.05</v>
      </c>
      <c r="D2643" s="115">
        <v>209.85</v>
      </c>
      <c r="E2643" s="115">
        <v>211.25</v>
      </c>
      <c r="F2643" s="115">
        <v>211.05</v>
      </c>
      <c r="G2643">
        <v>10486</v>
      </c>
      <c r="H2643" s="115"/>
      <c r="I2643" s="115"/>
      <c r="L2643" s="169">
        <v>45895</v>
      </c>
      <c r="M2643" s="115">
        <v>213.58</v>
      </c>
      <c r="N2643" s="115">
        <v>217.4</v>
      </c>
      <c r="O2643" s="115">
        <v>212.3</v>
      </c>
      <c r="P2643" s="115">
        <v>217.4</v>
      </c>
      <c r="Q2643" s="115">
        <v>213.58</v>
      </c>
      <c r="R2643">
        <v>70896</v>
      </c>
    </row>
    <row r="2644" spans="1:18" x14ac:dyDescent="0.25">
      <c r="A2644" s="169">
        <v>45898</v>
      </c>
      <c r="B2644" s="115">
        <v>217.5</v>
      </c>
      <c r="C2644" s="115">
        <v>215.45</v>
      </c>
      <c r="D2644" s="115">
        <v>209.65</v>
      </c>
      <c r="E2644" s="115">
        <v>210.15</v>
      </c>
      <c r="F2644" s="115">
        <v>215.45</v>
      </c>
      <c r="G2644">
        <v>3669</v>
      </c>
      <c r="H2644" s="115"/>
      <c r="I2644" s="115"/>
      <c r="L2644" s="169">
        <v>45897</v>
      </c>
      <c r="M2644" s="115">
        <v>210.93</v>
      </c>
      <c r="N2644" s="115">
        <v>213.58</v>
      </c>
      <c r="O2644" s="115">
        <v>208.74</v>
      </c>
      <c r="P2644" s="115">
        <v>213</v>
      </c>
      <c r="Q2644" s="115">
        <v>210.93</v>
      </c>
      <c r="R2644">
        <v>37581</v>
      </c>
    </row>
    <row r="2645" spans="1:18" x14ac:dyDescent="0.25">
      <c r="A2645" s="169">
        <v>45901</v>
      </c>
      <c r="B2645" s="115">
        <v>233.6</v>
      </c>
      <c r="C2645" s="115">
        <v>230.85</v>
      </c>
      <c r="D2645" s="115">
        <v>216</v>
      </c>
      <c r="E2645" s="115">
        <v>216</v>
      </c>
      <c r="F2645" s="115">
        <v>230.85</v>
      </c>
      <c r="G2645">
        <v>42787</v>
      </c>
      <c r="H2645" s="115"/>
      <c r="I2645" s="115"/>
      <c r="L2645" s="169">
        <v>45898</v>
      </c>
      <c r="M2645" s="115">
        <v>215.56</v>
      </c>
      <c r="N2645" s="115">
        <v>217</v>
      </c>
      <c r="O2645" s="115">
        <v>209</v>
      </c>
      <c r="P2645" s="115">
        <v>210.05</v>
      </c>
      <c r="Q2645" s="115">
        <v>215.56</v>
      </c>
      <c r="R2645">
        <v>77291</v>
      </c>
    </row>
    <row r="2646" spans="1:18" x14ac:dyDescent="0.25">
      <c r="A2646" s="169">
        <v>45902</v>
      </c>
      <c r="B2646" s="115">
        <v>237.85</v>
      </c>
      <c r="C2646" s="115">
        <v>233.3</v>
      </c>
      <c r="D2646" s="115">
        <v>231.05</v>
      </c>
      <c r="E2646" s="115">
        <v>231.35</v>
      </c>
      <c r="F2646" s="115">
        <v>233.3</v>
      </c>
      <c r="G2646">
        <v>43452</v>
      </c>
      <c r="H2646" s="115"/>
      <c r="I2646" s="115"/>
      <c r="L2646" s="169">
        <v>45901</v>
      </c>
      <c r="M2646" s="115">
        <v>230.8</v>
      </c>
      <c r="N2646" s="115">
        <v>234</v>
      </c>
      <c r="O2646" s="115">
        <v>216.99</v>
      </c>
      <c r="P2646" s="115">
        <v>217</v>
      </c>
      <c r="Q2646" s="115">
        <v>230.8</v>
      </c>
      <c r="R2646">
        <v>713774</v>
      </c>
    </row>
    <row r="2647" spans="1:18" x14ac:dyDescent="0.25">
      <c r="A2647" s="169">
        <v>45903</v>
      </c>
      <c r="B2647" s="115">
        <v>236</v>
      </c>
      <c r="C2647" s="115">
        <v>232.15</v>
      </c>
      <c r="D2647" s="115">
        <v>230.3</v>
      </c>
      <c r="E2647" s="115">
        <v>236</v>
      </c>
      <c r="F2647" s="115">
        <v>232.15</v>
      </c>
      <c r="G2647">
        <v>12169</v>
      </c>
      <c r="H2647" s="115"/>
      <c r="I2647" s="115"/>
      <c r="L2647" s="169">
        <v>45902</v>
      </c>
      <c r="M2647" s="115">
        <v>232.78</v>
      </c>
      <c r="N2647" s="115">
        <v>237.7</v>
      </c>
      <c r="O2647" s="115">
        <v>230.1</v>
      </c>
      <c r="P2647" s="115">
        <v>230.81</v>
      </c>
      <c r="Q2647" s="115">
        <v>232.78</v>
      </c>
      <c r="R2647">
        <v>337448</v>
      </c>
    </row>
    <row r="2648" spans="1:18" x14ac:dyDescent="0.25">
      <c r="A2648" s="169">
        <v>45904</v>
      </c>
      <c r="B2648" s="115">
        <v>237</v>
      </c>
      <c r="C2648" s="115">
        <v>234.6</v>
      </c>
      <c r="D2648" s="115">
        <v>229.3</v>
      </c>
      <c r="E2648" s="115">
        <v>232.15</v>
      </c>
      <c r="F2648" s="115">
        <v>234.6</v>
      </c>
      <c r="G2648">
        <v>28039</v>
      </c>
      <c r="H2648" s="115"/>
      <c r="I2648" s="115"/>
      <c r="L2648" s="169">
        <v>45903</v>
      </c>
      <c r="M2648" s="115">
        <v>232.09</v>
      </c>
      <c r="N2648" s="115">
        <v>236.07</v>
      </c>
      <c r="O2648" s="115">
        <v>230.32</v>
      </c>
      <c r="P2648" s="115">
        <v>232.78</v>
      </c>
      <c r="Q2648" s="115">
        <v>232.09</v>
      </c>
      <c r="R2648">
        <v>163750</v>
      </c>
    </row>
    <row r="2649" spans="1:18" x14ac:dyDescent="0.25">
      <c r="A2649" s="169">
        <v>45905</v>
      </c>
      <c r="B2649" s="115">
        <v>240</v>
      </c>
      <c r="C2649" s="115">
        <v>238.85</v>
      </c>
      <c r="D2649" s="115">
        <v>234.05</v>
      </c>
      <c r="E2649" s="115">
        <v>236.9</v>
      </c>
      <c r="F2649" s="115">
        <v>238.85</v>
      </c>
      <c r="G2649">
        <v>27190</v>
      </c>
      <c r="H2649" s="115"/>
      <c r="I2649" s="115"/>
      <c r="L2649" s="169">
        <v>45904</v>
      </c>
      <c r="M2649" s="115">
        <v>234.42</v>
      </c>
      <c r="N2649" s="115">
        <v>237.39</v>
      </c>
      <c r="O2649" s="115">
        <v>229.4</v>
      </c>
      <c r="P2649" s="115">
        <v>231.5</v>
      </c>
      <c r="Q2649" s="115">
        <v>234.42</v>
      </c>
      <c r="R2649">
        <v>264259</v>
      </c>
    </row>
    <row r="2650" spans="1:18" x14ac:dyDescent="0.25">
      <c r="A2650" s="169">
        <v>45908</v>
      </c>
      <c r="B2650" s="115">
        <v>244.8</v>
      </c>
      <c r="C2650" s="115">
        <v>236.6</v>
      </c>
      <c r="D2650" s="115">
        <v>234</v>
      </c>
      <c r="E2650" s="115">
        <v>238.05</v>
      </c>
      <c r="F2650" s="115">
        <v>236.6</v>
      </c>
      <c r="G2650">
        <v>24378</v>
      </c>
      <c r="H2650" s="115"/>
      <c r="I2650" s="115"/>
      <c r="L2650" s="169">
        <v>45905</v>
      </c>
      <c r="M2650" s="115">
        <v>238.15</v>
      </c>
      <c r="N2650" s="115">
        <v>240</v>
      </c>
      <c r="O2650" s="115">
        <v>234.09</v>
      </c>
      <c r="P2650" s="115">
        <v>235.75</v>
      </c>
      <c r="Q2650" s="115">
        <v>238.15</v>
      </c>
      <c r="R2650">
        <v>311117</v>
      </c>
    </row>
    <row r="2651" spans="1:18" x14ac:dyDescent="0.25">
      <c r="A2651" s="169">
        <v>45909</v>
      </c>
      <c r="B2651" s="115">
        <v>236.6</v>
      </c>
      <c r="C2651" s="115">
        <v>232.75</v>
      </c>
      <c r="D2651" s="115">
        <v>230.7</v>
      </c>
      <c r="E2651" s="115">
        <v>234.05</v>
      </c>
      <c r="F2651" s="115">
        <v>232.75</v>
      </c>
      <c r="G2651">
        <v>5884</v>
      </c>
      <c r="H2651" s="115"/>
      <c r="I2651" s="115"/>
      <c r="L2651" s="169">
        <v>45908</v>
      </c>
      <c r="M2651" s="115">
        <v>235.99</v>
      </c>
      <c r="N2651" s="115">
        <v>245</v>
      </c>
      <c r="O2651" s="115">
        <v>233.72</v>
      </c>
      <c r="P2651" s="115">
        <v>239.45</v>
      </c>
      <c r="Q2651" s="115">
        <v>235.99</v>
      </c>
      <c r="R2651">
        <v>318926</v>
      </c>
    </row>
    <row r="2652" spans="1:18" x14ac:dyDescent="0.25">
      <c r="A2652" s="169">
        <v>45910</v>
      </c>
      <c r="B2652" s="115">
        <v>235.8</v>
      </c>
      <c r="C2652" s="115">
        <v>229</v>
      </c>
      <c r="D2652" s="115">
        <v>228.25</v>
      </c>
      <c r="E2652" s="115">
        <v>233.35</v>
      </c>
      <c r="F2652" s="115">
        <v>229</v>
      </c>
      <c r="G2652">
        <v>7497</v>
      </c>
      <c r="H2652" s="115"/>
      <c r="I2652" s="115"/>
      <c r="L2652" s="169">
        <v>45909</v>
      </c>
      <c r="M2652" s="115">
        <v>232.72</v>
      </c>
      <c r="N2652" s="115">
        <v>237.5</v>
      </c>
      <c r="O2652" s="115">
        <v>230.4</v>
      </c>
      <c r="P2652" s="115">
        <v>235.76</v>
      </c>
      <c r="Q2652" s="115">
        <v>232.72</v>
      </c>
      <c r="R2652">
        <v>105597</v>
      </c>
    </row>
    <row r="2653" spans="1:18" x14ac:dyDescent="0.25">
      <c r="A2653" s="169">
        <v>45911</v>
      </c>
      <c r="B2653" s="115">
        <v>232.55</v>
      </c>
      <c r="C2653" s="115">
        <v>230.7</v>
      </c>
      <c r="D2653" s="115">
        <v>224.8</v>
      </c>
      <c r="E2653" s="115">
        <v>229</v>
      </c>
      <c r="F2653" s="115">
        <v>230.7</v>
      </c>
      <c r="G2653">
        <v>5785</v>
      </c>
      <c r="H2653" s="115"/>
      <c r="I2653" s="115"/>
      <c r="L2653" s="169">
        <v>45910</v>
      </c>
      <c r="M2653" s="115">
        <v>229.1</v>
      </c>
      <c r="N2653" s="115">
        <v>235.91</v>
      </c>
      <c r="O2653" s="115">
        <v>228.16</v>
      </c>
      <c r="P2653" s="115">
        <v>233.6</v>
      </c>
      <c r="Q2653" s="115">
        <v>229.1</v>
      </c>
      <c r="R2653">
        <v>76776</v>
      </c>
    </row>
    <row r="2654" spans="1:18" x14ac:dyDescent="0.25">
      <c r="A2654" s="169">
        <v>45912</v>
      </c>
      <c r="B2654" s="115">
        <v>231.05</v>
      </c>
      <c r="C2654" s="115">
        <v>226.85</v>
      </c>
      <c r="D2654" s="115">
        <v>225.8</v>
      </c>
      <c r="E2654" s="115">
        <v>230.35</v>
      </c>
      <c r="F2654" s="115">
        <v>226.85</v>
      </c>
      <c r="G2654">
        <v>2825</v>
      </c>
      <c r="H2654" s="115"/>
      <c r="I2654" s="115"/>
      <c r="L2654" s="169">
        <v>45911</v>
      </c>
      <c r="M2654" s="115">
        <v>230.85</v>
      </c>
      <c r="N2654" s="115">
        <v>232.9</v>
      </c>
      <c r="O2654" s="115">
        <v>224.9</v>
      </c>
      <c r="P2654" s="115">
        <v>230</v>
      </c>
      <c r="Q2654" s="115">
        <v>230.85</v>
      </c>
      <c r="R2654">
        <v>119126</v>
      </c>
    </row>
    <row r="2655" spans="1:18" x14ac:dyDescent="0.25">
      <c r="A2655" s="169">
        <v>45915</v>
      </c>
      <c r="B2655" s="115">
        <v>235.9</v>
      </c>
      <c r="C2655" s="115">
        <v>229.55</v>
      </c>
      <c r="D2655" s="115">
        <v>226.55</v>
      </c>
      <c r="E2655" s="115">
        <v>235.9</v>
      </c>
      <c r="F2655" s="115">
        <v>229.55</v>
      </c>
      <c r="G2655">
        <v>5256</v>
      </c>
      <c r="H2655" s="115"/>
      <c r="I2655" s="115"/>
      <c r="L2655" s="169">
        <v>45912</v>
      </c>
      <c r="M2655" s="115">
        <v>227.59</v>
      </c>
      <c r="N2655" s="115">
        <v>232.8</v>
      </c>
      <c r="O2655" s="115">
        <v>226</v>
      </c>
      <c r="P2655" s="115">
        <v>232.8</v>
      </c>
      <c r="Q2655" s="115">
        <v>227.59</v>
      </c>
      <c r="R2655">
        <v>75961</v>
      </c>
    </row>
    <row r="2656" spans="1:18" x14ac:dyDescent="0.25">
      <c r="A2656" s="169">
        <v>45916</v>
      </c>
      <c r="B2656" s="115">
        <v>232.95</v>
      </c>
      <c r="C2656" s="115">
        <v>229.65</v>
      </c>
      <c r="D2656" s="115">
        <v>228.5</v>
      </c>
      <c r="E2656" s="115">
        <v>230.1</v>
      </c>
      <c r="F2656" s="115">
        <v>229.65</v>
      </c>
      <c r="G2656">
        <v>6971</v>
      </c>
      <c r="H2656" s="115"/>
      <c r="I2656" s="115"/>
      <c r="L2656" s="169">
        <v>45915</v>
      </c>
      <c r="M2656" s="115">
        <v>229.02</v>
      </c>
      <c r="N2656" s="115">
        <v>231.56</v>
      </c>
      <c r="O2656" s="115">
        <v>226.17</v>
      </c>
      <c r="P2656" s="115">
        <v>227.59</v>
      </c>
      <c r="Q2656" s="115">
        <v>229.02</v>
      </c>
      <c r="R2656">
        <v>110285</v>
      </c>
    </row>
    <row r="2657" spans="1:18" x14ac:dyDescent="0.25">
      <c r="A2657" s="169">
        <v>45917</v>
      </c>
      <c r="B2657" s="115">
        <v>253.25</v>
      </c>
      <c r="C2657" s="115">
        <v>234</v>
      </c>
      <c r="D2657" s="115">
        <v>229</v>
      </c>
      <c r="E2657" s="115">
        <v>229</v>
      </c>
      <c r="F2657" s="115">
        <v>234</v>
      </c>
      <c r="G2657">
        <v>125409</v>
      </c>
      <c r="H2657" s="115"/>
      <c r="I2657" s="115"/>
      <c r="L2657" s="169">
        <v>45916</v>
      </c>
      <c r="M2657" s="115">
        <v>229.72</v>
      </c>
      <c r="N2657" s="115">
        <v>233.1</v>
      </c>
      <c r="O2657" s="115">
        <v>228.6</v>
      </c>
      <c r="P2657" s="115">
        <v>229.1</v>
      </c>
      <c r="Q2657" s="115">
        <v>229.72</v>
      </c>
      <c r="R2657">
        <v>128444</v>
      </c>
    </row>
    <row r="2658" spans="1:18" x14ac:dyDescent="0.25">
      <c r="A2658" s="169">
        <v>45918</v>
      </c>
      <c r="B2658" s="115">
        <v>241.05</v>
      </c>
      <c r="C2658" s="115">
        <v>239.8</v>
      </c>
      <c r="D2658" s="115">
        <v>234.7</v>
      </c>
      <c r="E2658" s="115">
        <v>239.65</v>
      </c>
      <c r="F2658" s="115">
        <v>239.8</v>
      </c>
      <c r="G2658">
        <v>20632</v>
      </c>
      <c r="H2658" s="115"/>
      <c r="I2658" s="115"/>
      <c r="L2658" s="169">
        <v>45917</v>
      </c>
      <c r="M2658" s="115">
        <v>233.36</v>
      </c>
      <c r="N2658" s="115">
        <v>253</v>
      </c>
      <c r="O2658" s="115">
        <v>231.59</v>
      </c>
      <c r="P2658" s="115">
        <v>231.6</v>
      </c>
      <c r="Q2658" s="115">
        <v>233.36</v>
      </c>
      <c r="R2658">
        <v>2279576</v>
      </c>
    </row>
    <row r="2659" spans="1:18" x14ac:dyDescent="0.25">
      <c r="A2659" s="169">
        <v>45919</v>
      </c>
      <c r="B2659" s="115">
        <v>241.05</v>
      </c>
      <c r="C2659" s="115">
        <v>240</v>
      </c>
      <c r="D2659" s="115">
        <v>239.4</v>
      </c>
      <c r="E2659" s="115">
        <v>241</v>
      </c>
      <c r="F2659" s="115">
        <v>240</v>
      </c>
      <c r="G2659">
        <v>6631</v>
      </c>
      <c r="H2659" s="115"/>
      <c r="I2659" s="115"/>
      <c r="L2659" s="169">
        <v>45918</v>
      </c>
      <c r="M2659" s="115">
        <v>239.87</v>
      </c>
      <c r="N2659" s="115">
        <v>242</v>
      </c>
      <c r="O2659" s="115">
        <v>233.15</v>
      </c>
      <c r="P2659" s="115">
        <v>236.8</v>
      </c>
      <c r="Q2659" s="115">
        <v>239.87</v>
      </c>
      <c r="R2659">
        <v>262677</v>
      </c>
    </row>
    <row r="2660" spans="1:18" x14ac:dyDescent="0.25">
      <c r="A2660" s="169">
        <v>45922</v>
      </c>
      <c r="B2660" s="115">
        <v>252.5</v>
      </c>
      <c r="C2660" s="115">
        <v>240.55</v>
      </c>
      <c r="D2660" s="115">
        <v>239.05</v>
      </c>
      <c r="E2660" s="115">
        <v>243.85</v>
      </c>
      <c r="F2660" s="115">
        <v>240.55</v>
      </c>
      <c r="G2660">
        <v>23610</v>
      </c>
      <c r="H2660" s="115"/>
      <c r="I2660" s="115"/>
      <c r="L2660" s="169">
        <v>45919</v>
      </c>
      <c r="M2660" s="115">
        <v>240.01</v>
      </c>
      <c r="N2660" s="115">
        <v>241.7</v>
      </c>
      <c r="O2660" s="115">
        <v>239.5</v>
      </c>
      <c r="P2660" s="115">
        <v>240.35</v>
      </c>
      <c r="Q2660" s="115">
        <v>240.01</v>
      </c>
      <c r="R2660">
        <v>157537</v>
      </c>
    </row>
    <row r="2661" spans="1:18" x14ac:dyDescent="0.25">
      <c r="A2661" s="169">
        <v>45923</v>
      </c>
      <c r="B2661" s="115">
        <v>247.8</v>
      </c>
      <c r="C2661" s="115">
        <v>236.6</v>
      </c>
      <c r="D2661" s="115">
        <v>235.4</v>
      </c>
      <c r="E2661" s="115">
        <v>247.8</v>
      </c>
      <c r="F2661" s="115">
        <v>236.6</v>
      </c>
      <c r="G2661">
        <v>7218</v>
      </c>
      <c r="H2661" s="115"/>
      <c r="I2661" s="115"/>
      <c r="L2661" s="169">
        <v>45922</v>
      </c>
      <c r="M2661" s="115">
        <v>240.31</v>
      </c>
      <c r="N2661" s="115">
        <v>253.7</v>
      </c>
      <c r="O2661" s="115">
        <v>239.05</v>
      </c>
      <c r="P2661" s="115">
        <v>242.5</v>
      </c>
      <c r="Q2661" s="115">
        <v>240.31</v>
      </c>
      <c r="R2661">
        <v>750542</v>
      </c>
    </row>
    <row r="2662" spans="1:18" x14ac:dyDescent="0.25">
      <c r="A2662" s="169">
        <v>45924</v>
      </c>
      <c r="B2662" s="115">
        <v>241.1</v>
      </c>
      <c r="C2662" s="115">
        <v>236.35</v>
      </c>
      <c r="D2662" s="115">
        <v>234.15</v>
      </c>
      <c r="E2662" s="115">
        <v>236.4</v>
      </c>
      <c r="F2662" s="115">
        <v>236.35</v>
      </c>
      <c r="G2662">
        <v>15641</v>
      </c>
      <c r="H2662" s="115"/>
      <c r="I2662" s="115"/>
      <c r="L2662" s="169">
        <v>45923</v>
      </c>
      <c r="M2662" s="115">
        <v>236.39</v>
      </c>
      <c r="N2662" s="115">
        <v>243.8</v>
      </c>
      <c r="O2662" s="115">
        <v>235</v>
      </c>
      <c r="P2662" s="115">
        <v>241.6</v>
      </c>
      <c r="Q2662" s="115">
        <v>236.39</v>
      </c>
      <c r="R2662">
        <v>133177</v>
      </c>
    </row>
    <row r="2663" spans="1:18" x14ac:dyDescent="0.25">
      <c r="A2663" s="169">
        <v>45925</v>
      </c>
      <c r="B2663" s="115">
        <v>238.9</v>
      </c>
      <c r="C2663" s="115">
        <v>236.6</v>
      </c>
      <c r="D2663" s="115">
        <v>232.55</v>
      </c>
      <c r="E2663" s="115">
        <v>232.55</v>
      </c>
      <c r="F2663" s="115">
        <v>236.6</v>
      </c>
      <c r="G2663">
        <v>13831</v>
      </c>
      <c r="H2663" s="115"/>
      <c r="I2663" s="115"/>
      <c r="L2663" s="169">
        <v>45924</v>
      </c>
      <c r="M2663" s="115">
        <v>235.86</v>
      </c>
      <c r="N2663" s="115">
        <v>241.1</v>
      </c>
      <c r="O2663" s="115">
        <v>234.85</v>
      </c>
      <c r="P2663" s="115">
        <v>236.39</v>
      </c>
      <c r="Q2663" s="115">
        <v>235.86</v>
      </c>
      <c r="R2663">
        <v>212232</v>
      </c>
    </row>
    <row r="2664" spans="1:18" x14ac:dyDescent="0.25">
      <c r="A2664" s="169">
        <v>45926</v>
      </c>
      <c r="B2664" s="115">
        <v>245.55</v>
      </c>
      <c r="C2664" s="115">
        <v>229.45</v>
      </c>
      <c r="D2664" s="115">
        <v>228.25</v>
      </c>
      <c r="E2664" s="115">
        <v>237.45</v>
      </c>
      <c r="F2664" s="115">
        <v>229.45</v>
      </c>
      <c r="G2664">
        <v>28751</v>
      </c>
      <c r="H2664" s="115"/>
      <c r="I2664" s="115"/>
      <c r="L2664" s="169">
        <v>45925</v>
      </c>
      <c r="M2664" s="115">
        <v>236.21</v>
      </c>
      <c r="N2664" s="115">
        <v>238.79</v>
      </c>
      <c r="O2664" s="115">
        <v>234.29</v>
      </c>
      <c r="P2664" s="115">
        <v>236</v>
      </c>
      <c r="Q2664" s="115">
        <v>236.21</v>
      </c>
      <c r="R2664">
        <v>122963</v>
      </c>
    </row>
    <row r="2665" spans="1:18" x14ac:dyDescent="0.25">
      <c r="A2665" s="169">
        <v>45929</v>
      </c>
      <c r="B2665" s="115">
        <v>233.2</v>
      </c>
      <c r="C2665" s="115">
        <v>232.1</v>
      </c>
      <c r="D2665" s="115">
        <v>228.85</v>
      </c>
      <c r="E2665" s="115">
        <v>230.45</v>
      </c>
      <c r="F2665" s="115">
        <v>232.1</v>
      </c>
      <c r="G2665">
        <v>2900</v>
      </c>
      <c r="H2665" s="115"/>
      <c r="I2665" s="115"/>
      <c r="L2665" s="169">
        <v>45926</v>
      </c>
      <c r="M2665" s="115">
        <v>229.52</v>
      </c>
      <c r="N2665" s="115">
        <v>246.44</v>
      </c>
      <c r="O2665" s="115">
        <v>228.1</v>
      </c>
      <c r="P2665" s="115">
        <v>236.8</v>
      </c>
      <c r="Q2665" s="115">
        <v>229.52</v>
      </c>
      <c r="R2665">
        <v>372193</v>
      </c>
    </row>
    <row r="2666" spans="1:18" x14ac:dyDescent="0.25">
      <c r="A2666" s="169">
        <v>45930</v>
      </c>
      <c r="B2666" s="115">
        <v>234.7</v>
      </c>
      <c r="C2666" s="115">
        <v>233.9</v>
      </c>
      <c r="D2666" s="115">
        <v>230.8</v>
      </c>
      <c r="E2666" s="115">
        <v>231.45</v>
      </c>
      <c r="F2666" s="115">
        <v>233.9</v>
      </c>
      <c r="G2666">
        <v>5146</v>
      </c>
      <c r="H2666" s="115"/>
      <c r="I2666" s="115"/>
      <c r="L2666" s="169">
        <v>45929</v>
      </c>
      <c r="M2666" s="115">
        <v>231.82</v>
      </c>
      <c r="N2666" s="115">
        <v>234</v>
      </c>
      <c r="O2666" s="115">
        <v>229</v>
      </c>
      <c r="P2666" s="115">
        <v>231</v>
      </c>
      <c r="Q2666" s="115">
        <v>231.82</v>
      </c>
      <c r="R2666">
        <v>104206</v>
      </c>
    </row>
    <row r="2667" spans="1:18" x14ac:dyDescent="0.25">
      <c r="A2667" s="169">
        <v>45931</v>
      </c>
      <c r="B2667" s="115">
        <v>234.95</v>
      </c>
      <c r="C2667" s="115">
        <v>234.05</v>
      </c>
      <c r="D2667" s="115">
        <v>232.7</v>
      </c>
      <c r="E2667" s="115">
        <v>234.3</v>
      </c>
      <c r="F2667" s="115">
        <v>234.05</v>
      </c>
      <c r="G2667">
        <v>1655</v>
      </c>
      <c r="H2667" s="115"/>
      <c r="I2667" s="115"/>
      <c r="L2667" s="169">
        <v>45930</v>
      </c>
      <c r="M2667" s="115">
        <v>234.17</v>
      </c>
      <c r="N2667" s="115">
        <v>235.11</v>
      </c>
      <c r="O2667" s="115">
        <v>231</v>
      </c>
      <c r="P2667" s="115">
        <v>231.97</v>
      </c>
      <c r="Q2667" s="115">
        <v>234.17</v>
      </c>
      <c r="R2667">
        <v>60621</v>
      </c>
    </row>
    <row r="2668" spans="1:18" x14ac:dyDescent="0.25">
      <c r="A2668" s="169">
        <v>45933</v>
      </c>
      <c r="B2668" s="115">
        <v>238.5</v>
      </c>
      <c r="C2668" s="115">
        <v>238.2</v>
      </c>
      <c r="D2668" s="115">
        <v>234.85</v>
      </c>
      <c r="E2668" s="115">
        <v>236.2</v>
      </c>
      <c r="F2668" s="115">
        <v>238.2</v>
      </c>
      <c r="G2668">
        <v>3635</v>
      </c>
      <c r="H2668" s="115"/>
      <c r="I2668" s="115"/>
      <c r="L2668" s="169">
        <v>45931</v>
      </c>
      <c r="M2668" s="115">
        <v>234.29</v>
      </c>
      <c r="N2668" s="115">
        <v>235.11</v>
      </c>
      <c r="O2668" s="115">
        <v>232</v>
      </c>
      <c r="P2668" s="115">
        <v>235.1</v>
      </c>
      <c r="Q2668" s="115">
        <v>234.29</v>
      </c>
      <c r="R2668">
        <v>54571</v>
      </c>
    </row>
    <row r="2669" spans="1:18" x14ac:dyDescent="0.25">
      <c r="A2669" s="169">
        <v>45936</v>
      </c>
      <c r="B2669" s="115">
        <v>238.25</v>
      </c>
      <c r="C2669" s="115">
        <v>234.6</v>
      </c>
      <c r="D2669" s="115">
        <v>233.65</v>
      </c>
      <c r="E2669" s="115">
        <v>238.25</v>
      </c>
      <c r="F2669" s="115">
        <v>234.6</v>
      </c>
      <c r="G2669">
        <v>4586</v>
      </c>
      <c r="H2669" s="115"/>
      <c r="I2669" s="115"/>
      <c r="L2669" s="169">
        <v>45933</v>
      </c>
      <c r="M2669" s="115">
        <v>238.01</v>
      </c>
      <c r="N2669" s="115">
        <v>240</v>
      </c>
      <c r="O2669" s="115">
        <v>233.2</v>
      </c>
      <c r="P2669" s="115">
        <v>233.2</v>
      </c>
      <c r="Q2669" s="115">
        <v>238.01</v>
      </c>
      <c r="R2669">
        <v>111366</v>
      </c>
    </row>
    <row r="2670" spans="1:18" x14ac:dyDescent="0.25">
      <c r="A2670" s="169">
        <v>45937</v>
      </c>
      <c r="B2670" s="115">
        <v>235.2</v>
      </c>
      <c r="C2670" s="115">
        <v>234.15</v>
      </c>
      <c r="D2670" s="115">
        <v>230.5</v>
      </c>
      <c r="E2670" s="115">
        <v>231.1</v>
      </c>
      <c r="F2670" s="115">
        <v>234.15</v>
      </c>
      <c r="G2670">
        <v>4723</v>
      </c>
      <c r="H2670" s="115"/>
      <c r="I2670" s="115"/>
      <c r="L2670" s="169">
        <v>45936</v>
      </c>
      <c r="M2670" s="115">
        <v>234.91</v>
      </c>
      <c r="N2670" s="115">
        <v>239.58</v>
      </c>
      <c r="O2670" s="115">
        <v>233.15</v>
      </c>
      <c r="P2670" s="115">
        <v>239.2</v>
      </c>
      <c r="Q2670" s="115">
        <v>234.91</v>
      </c>
      <c r="R2670">
        <v>108908</v>
      </c>
    </row>
    <row r="2671" spans="1:18" x14ac:dyDescent="0.25">
      <c r="A2671" s="169">
        <v>45938</v>
      </c>
      <c r="B2671" s="115">
        <v>238</v>
      </c>
      <c r="C2671" s="115">
        <v>234.05</v>
      </c>
      <c r="D2671" s="115">
        <v>232.95</v>
      </c>
      <c r="E2671" s="115">
        <v>232.95</v>
      </c>
      <c r="F2671" s="115">
        <v>234.05</v>
      </c>
      <c r="G2671">
        <v>6352</v>
      </c>
      <c r="H2671" s="115"/>
      <c r="I2671" s="115"/>
      <c r="L2671" s="169">
        <v>45937</v>
      </c>
      <c r="M2671" s="115">
        <v>234.7</v>
      </c>
      <c r="N2671" s="115">
        <v>236.99</v>
      </c>
      <c r="O2671" s="115">
        <v>230.1</v>
      </c>
      <c r="P2671" s="115">
        <v>233.2</v>
      </c>
      <c r="Q2671" s="115">
        <v>234.7</v>
      </c>
      <c r="R2671">
        <v>138692</v>
      </c>
    </row>
    <row r="2672" spans="1:18" x14ac:dyDescent="0.25">
      <c r="A2672" s="169">
        <v>45939</v>
      </c>
      <c r="B2672" s="115">
        <v>235.25</v>
      </c>
      <c r="C2672" s="115">
        <v>233.45</v>
      </c>
      <c r="D2672" s="115">
        <v>231</v>
      </c>
      <c r="E2672" s="115">
        <v>233.4</v>
      </c>
      <c r="F2672" s="115">
        <v>233.45</v>
      </c>
      <c r="G2672">
        <v>4833</v>
      </c>
      <c r="H2672" s="115"/>
      <c r="I2672" s="115"/>
      <c r="L2672" s="169">
        <v>45938</v>
      </c>
      <c r="M2672" s="115">
        <v>234.36</v>
      </c>
      <c r="N2672" s="115">
        <v>238.2</v>
      </c>
      <c r="O2672" s="115">
        <v>230.1</v>
      </c>
      <c r="P2672" s="115">
        <v>234.7</v>
      </c>
      <c r="Q2672" s="115">
        <v>234.36</v>
      </c>
      <c r="R2672">
        <v>131450</v>
      </c>
    </row>
    <row r="2673" spans="1:18" x14ac:dyDescent="0.25">
      <c r="A2673" s="169">
        <v>45940</v>
      </c>
      <c r="B2673" s="115">
        <v>236.05</v>
      </c>
      <c r="C2673" s="115">
        <v>235.4</v>
      </c>
      <c r="D2673" s="115">
        <v>232.8</v>
      </c>
      <c r="E2673" s="115">
        <v>233.25</v>
      </c>
      <c r="F2673" s="115">
        <v>235.4</v>
      </c>
      <c r="G2673">
        <v>5846</v>
      </c>
      <c r="H2673" s="115"/>
      <c r="I2673" s="115"/>
      <c r="L2673" s="169">
        <v>45939</v>
      </c>
      <c r="M2673" s="115">
        <v>233.3</v>
      </c>
      <c r="N2673" s="115">
        <v>235.68</v>
      </c>
      <c r="O2673" s="115">
        <v>230.63</v>
      </c>
      <c r="P2673" s="115">
        <v>233.99</v>
      </c>
      <c r="Q2673" s="115">
        <v>233.3</v>
      </c>
      <c r="R2673">
        <v>95715</v>
      </c>
    </row>
    <row r="2674" spans="1:18" x14ac:dyDescent="0.25">
      <c r="A2674" s="169">
        <v>45943</v>
      </c>
      <c r="B2674" s="115">
        <v>237.85</v>
      </c>
      <c r="C2674" s="115">
        <v>234.1</v>
      </c>
      <c r="D2674" s="115">
        <v>233.55</v>
      </c>
      <c r="E2674" s="115">
        <v>234.2</v>
      </c>
      <c r="F2674" s="115">
        <v>234.1</v>
      </c>
      <c r="G2674">
        <v>3316</v>
      </c>
      <c r="H2674" s="115"/>
      <c r="I2674" s="115"/>
      <c r="L2674" s="169">
        <v>45940</v>
      </c>
      <c r="M2674" s="115">
        <v>235.01</v>
      </c>
      <c r="N2674" s="115">
        <v>236.01</v>
      </c>
      <c r="O2674" s="115">
        <v>231.6</v>
      </c>
      <c r="P2674" s="115">
        <v>231.6</v>
      </c>
      <c r="Q2674" s="115">
        <v>235.01</v>
      </c>
      <c r="R2674">
        <v>112896</v>
      </c>
    </row>
    <row r="2675" spans="1:18" x14ac:dyDescent="0.25">
      <c r="A2675" s="169">
        <v>45944</v>
      </c>
      <c r="B2675" s="115">
        <v>235.45</v>
      </c>
      <c r="C2675" s="115">
        <v>230.5</v>
      </c>
      <c r="D2675" s="115">
        <v>229.05</v>
      </c>
      <c r="E2675" s="115">
        <v>234.3</v>
      </c>
      <c r="F2675" s="115">
        <v>230.5</v>
      </c>
      <c r="G2675">
        <v>3983</v>
      </c>
      <c r="H2675" s="115"/>
      <c r="I2675" s="115"/>
      <c r="L2675" s="169">
        <v>45943</v>
      </c>
      <c r="M2675" s="115">
        <v>234.48</v>
      </c>
      <c r="N2675" s="115">
        <v>237.95</v>
      </c>
      <c r="O2675" s="115">
        <v>233.25</v>
      </c>
      <c r="P2675" s="115">
        <v>233.25</v>
      </c>
      <c r="Q2675" s="115">
        <v>234.48</v>
      </c>
      <c r="R2675">
        <v>105500</v>
      </c>
    </row>
    <row r="2676" spans="1:18" x14ac:dyDescent="0.25">
      <c r="A2676" s="169">
        <v>45945</v>
      </c>
      <c r="B2676" s="115">
        <v>232.15</v>
      </c>
      <c r="C2676" s="115">
        <v>228.45</v>
      </c>
      <c r="D2676" s="115">
        <v>226</v>
      </c>
      <c r="E2676" s="115">
        <v>231.6</v>
      </c>
      <c r="F2676" s="115">
        <v>228.45</v>
      </c>
      <c r="G2676">
        <v>3308</v>
      </c>
      <c r="H2676" s="115"/>
      <c r="I2676" s="115"/>
      <c r="L2676" s="169">
        <v>45944</v>
      </c>
      <c r="M2676" s="115">
        <v>230.82</v>
      </c>
      <c r="N2676" s="115">
        <v>235.73</v>
      </c>
      <c r="O2676" s="115">
        <v>229.05</v>
      </c>
      <c r="P2676" s="115">
        <v>235.4</v>
      </c>
      <c r="Q2676" s="115">
        <v>230.82</v>
      </c>
      <c r="R2676">
        <v>90647</v>
      </c>
    </row>
    <row r="2677" spans="1:18" x14ac:dyDescent="0.25">
      <c r="A2677" s="169">
        <v>45946</v>
      </c>
      <c r="B2677" s="115">
        <v>265.89999999999998</v>
      </c>
      <c r="C2677" s="115">
        <v>256.05</v>
      </c>
      <c r="D2677" s="115">
        <v>245.25</v>
      </c>
      <c r="E2677" s="115">
        <v>247.85</v>
      </c>
      <c r="F2677" s="115">
        <v>256.05</v>
      </c>
      <c r="G2677">
        <v>1584017</v>
      </c>
      <c r="H2677" s="115"/>
      <c r="I2677" s="115"/>
      <c r="L2677" s="169">
        <v>45945</v>
      </c>
      <c r="M2677" s="115">
        <v>227.97</v>
      </c>
      <c r="N2677" s="115">
        <v>232.2</v>
      </c>
      <c r="O2677" s="115">
        <v>225.95</v>
      </c>
      <c r="P2677" s="115">
        <v>232</v>
      </c>
      <c r="Q2677" s="115">
        <v>227.97</v>
      </c>
      <c r="R2677">
        <v>115049</v>
      </c>
    </row>
    <row r="2678" spans="1:18" x14ac:dyDescent="0.25">
      <c r="A2678" s="169">
        <v>45947</v>
      </c>
      <c r="B2678" s="115">
        <v>269.3</v>
      </c>
      <c r="C2678" s="115">
        <v>266.89999999999998</v>
      </c>
      <c r="D2678" s="115">
        <v>251</v>
      </c>
      <c r="E2678" s="115">
        <v>254.7</v>
      </c>
      <c r="F2678" s="115">
        <v>266.89999999999998</v>
      </c>
      <c r="G2678">
        <v>141966</v>
      </c>
      <c r="H2678" s="115"/>
      <c r="I2678" s="115"/>
      <c r="L2678" s="169">
        <v>45946</v>
      </c>
      <c r="M2678" s="115">
        <v>256.64999999999998</v>
      </c>
      <c r="N2678" s="115">
        <v>265.89999999999998</v>
      </c>
      <c r="O2678" s="115">
        <v>244.12</v>
      </c>
      <c r="P2678" s="115">
        <v>248</v>
      </c>
      <c r="Q2678" s="115">
        <v>256.64999999999998</v>
      </c>
      <c r="R2678">
        <v>19265519</v>
      </c>
    </row>
    <row r="2679" spans="1:18" x14ac:dyDescent="0.25">
      <c r="A2679" s="169">
        <v>45950</v>
      </c>
      <c r="B2679" s="115">
        <v>271.8</v>
      </c>
      <c r="C2679" s="115">
        <v>264.75</v>
      </c>
      <c r="D2679" s="115">
        <v>261.75</v>
      </c>
      <c r="E2679" s="115">
        <v>271.8</v>
      </c>
      <c r="F2679" s="115">
        <v>264.75</v>
      </c>
      <c r="G2679">
        <v>27679</v>
      </c>
      <c r="H2679" s="115"/>
      <c r="I2679" s="115"/>
      <c r="L2679" s="169">
        <v>45947</v>
      </c>
      <c r="M2679" s="115">
        <v>266.89999999999998</v>
      </c>
      <c r="N2679" s="115">
        <v>269.95</v>
      </c>
      <c r="O2679" s="115">
        <v>251.1</v>
      </c>
      <c r="P2679" s="115">
        <v>255.91</v>
      </c>
      <c r="Q2679" s="115">
        <v>266.89999999999998</v>
      </c>
      <c r="R2679">
        <v>2249818</v>
      </c>
    </row>
    <row r="2680" spans="1:18" x14ac:dyDescent="0.25">
      <c r="A2680" s="169">
        <v>45951</v>
      </c>
      <c r="B2680" s="115">
        <v>270.95</v>
      </c>
      <c r="C2680" s="115">
        <v>268.5</v>
      </c>
      <c r="D2680" s="115">
        <v>264.2</v>
      </c>
      <c r="E2680" s="115">
        <v>265</v>
      </c>
      <c r="F2680" s="115">
        <v>268.5</v>
      </c>
      <c r="G2680">
        <v>14908</v>
      </c>
      <c r="H2680" s="115"/>
      <c r="I2680" s="115"/>
      <c r="L2680" s="169">
        <v>45950</v>
      </c>
      <c r="M2680" s="115">
        <v>264.70999999999998</v>
      </c>
      <c r="N2680" s="115">
        <v>271.8</v>
      </c>
      <c r="O2680" s="115">
        <v>261.97000000000003</v>
      </c>
      <c r="P2680" s="115">
        <v>270.10000000000002</v>
      </c>
      <c r="Q2680" s="115">
        <v>264.70999999999998</v>
      </c>
      <c r="R2680">
        <v>639866</v>
      </c>
    </row>
    <row r="2681" spans="1:18" x14ac:dyDescent="0.25">
      <c r="A2681" s="169">
        <v>45953</v>
      </c>
      <c r="B2681" s="115">
        <v>272.45</v>
      </c>
      <c r="C2681" s="115">
        <v>270.14999999999998</v>
      </c>
      <c r="D2681" s="115">
        <v>265.60000000000002</v>
      </c>
      <c r="E2681" s="115">
        <v>269.05</v>
      </c>
      <c r="F2681" s="115">
        <v>270.14999999999998</v>
      </c>
      <c r="G2681">
        <v>36887</v>
      </c>
      <c r="H2681" s="115"/>
      <c r="I2681" s="115"/>
      <c r="L2681" s="169">
        <v>45951</v>
      </c>
      <c r="M2681" s="115">
        <v>268.22000000000003</v>
      </c>
      <c r="N2681" s="115">
        <v>271</v>
      </c>
      <c r="O2681" s="115">
        <v>260.56</v>
      </c>
      <c r="P2681" s="115">
        <v>264.89999999999998</v>
      </c>
      <c r="Q2681" s="115">
        <v>268.22000000000003</v>
      </c>
      <c r="R2681">
        <v>202276</v>
      </c>
    </row>
    <row r="2682" spans="1:18" x14ac:dyDescent="0.25">
      <c r="A2682" s="169">
        <v>45954</v>
      </c>
      <c r="B2682" s="115">
        <v>270.39999999999998</v>
      </c>
      <c r="C2682" s="115">
        <v>265.25</v>
      </c>
      <c r="D2682" s="115">
        <v>264</v>
      </c>
      <c r="E2682" s="115">
        <v>268.60000000000002</v>
      </c>
      <c r="F2682" s="115">
        <v>265.25</v>
      </c>
      <c r="G2682">
        <v>6646</v>
      </c>
      <c r="H2682" s="115"/>
      <c r="I2682" s="115"/>
      <c r="L2682" s="169">
        <v>45953</v>
      </c>
      <c r="M2682" s="115">
        <v>270.02999999999997</v>
      </c>
      <c r="N2682" s="115">
        <v>272.64999999999998</v>
      </c>
      <c r="O2682" s="115">
        <v>265.38</v>
      </c>
      <c r="P2682" s="115">
        <v>269.89</v>
      </c>
      <c r="Q2682" s="115">
        <v>270.02999999999997</v>
      </c>
      <c r="R2682">
        <v>486722</v>
      </c>
    </row>
    <row r="2683" spans="1:18" x14ac:dyDescent="0.25">
      <c r="A2683" s="169">
        <v>45957</v>
      </c>
      <c r="B2683" s="115">
        <v>266.55</v>
      </c>
      <c r="C2683" s="115">
        <v>260.45</v>
      </c>
      <c r="D2683" s="115">
        <v>257.8</v>
      </c>
      <c r="E2683" s="115">
        <v>265.05</v>
      </c>
      <c r="F2683" s="115">
        <v>260.45</v>
      </c>
      <c r="G2683">
        <v>17656</v>
      </c>
      <c r="H2683" s="115"/>
      <c r="I2683" s="115"/>
      <c r="L2683" s="169">
        <v>45954</v>
      </c>
      <c r="M2683" s="115">
        <v>265.14</v>
      </c>
      <c r="N2683" s="115">
        <v>270.58</v>
      </c>
      <c r="O2683" s="115">
        <v>263.10000000000002</v>
      </c>
      <c r="P2683" s="115">
        <v>269.39999999999998</v>
      </c>
      <c r="Q2683" s="115">
        <v>265.14</v>
      </c>
      <c r="R2683">
        <v>344290</v>
      </c>
    </row>
    <row r="2684" spans="1:18" x14ac:dyDescent="0.25">
      <c r="A2684" s="169">
        <v>45958</v>
      </c>
      <c r="B2684" s="115">
        <v>260.55</v>
      </c>
      <c r="C2684" s="115">
        <v>256.75</v>
      </c>
      <c r="D2684" s="115">
        <v>256.10000000000002</v>
      </c>
      <c r="E2684" s="115">
        <v>259.7</v>
      </c>
      <c r="F2684" s="115">
        <v>256.75</v>
      </c>
      <c r="G2684">
        <v>15638</v>
      </c>
      <c r="H2684" s="115"/>
      <c r="I2684" s="115"/>
      <c r="L2684" s="169">
        <v>45957</v>
      </c>
      <c r="M2684" s="115">
        <v>260.05</v>
      </c>
      <c r="N2684" s="115">
        <v>267.27999999999997</v>
      </c>
      <c r="O2684" s="115">
        <v>257.3</v>
      </c>
      <c r="P2684" s="115">
        <v>266.85000000000002</v>
      </c>
      <c r="Q2684" s="115">
        <v>260.05</v>
      </c>
      <c r="R2684">
        <v>402119</v>
      </c>
    </row>
    <row r="2685" spans="1:18" x14ac:dyDescent="0.25">
      <c r="A2685" s="169">
        <v>45959</v>
      </c>
      <c r="B2685" s="115">
        <v>257</v>
      </c>
      <c r="C2685" s="115">
        <v>253.6</v>
      </c>
      <c r="D2685" s="115">
        <v>251.25</v>
      </c>
      <c r="E2685" s="115">
        <v>255.75</v>
      </c>
      <c r="F2685" s="115">
        <v>253.6</v>
      </c>
      <c r="G2685">
        <v>21870</v>
      </c>
      <c r="H2685" s="115"/>
      <c r="I2685" s="115"/>
      <c r="L2685" s="169">
        <v>45958</v>
      </c>
      <c r="M2685" s="115">
        <v>257.07</v>
      </c>
      <c r="N2685" s="115">
        <v>260.83</v>
      </c>
      <c r="O2685" s="115">
        <v>255.8</v>
      </c>
      <c r="P2685" s="115">
        <v>260.10000000000002</v>
      </c>
      <c r="Q2685" s="115">
        <v>257.07</v>
      </c>
      <c r="R2685">
        <v>265518</v>
      </c>
    </row>
    <row r="2686" spans="1:18" x14ac:dyDescent="0.25">
      <c r="A2686" s="169">
        <v>45960</v>
      </c>
      <c r="B2686" s="115">
        <v>253.95</v>
      </c>
      <c r="C2686" s="115">
        <v>248.8</v>
      </c>
      <c r="D2686" s="115">
        <v>247.55</v>
      </c>
      <c r="E2686" s="115">
        <v>252.9</v>
      </c>
      <c r="F2686" s="115">
        <v>248.8</v>
      </c>
      <c r="G2686">
        <v>8658</v>
      </c>
      <c r="H2686" s="115"/>
      <c r="I2686" s="115"/>
      <c r="L2686" s="169">
        <v>45959</v>
      </c>
      <c r="M2686" s="115">
        <v>252.79</v>
      </c>
      <c r="N2686" s="115">
        <v>259</v>
      </c>
      <c r="O2686" s="115">
        <v>251</v>
      </c>
      <c r="P2686" s="115">
        <v>257.35000000000002</v>
      </c>
      <c r="Q2686" s="115">
        <v>252.79</v>
      </c>
      <c r="R2686">
        <v>338653</v>
      </c>
    </row>
    <row r="2687" spans="1:18" x14ac:dyDescent="0.25">
      <c r="A2687" s="169">
        <v>45961</v>
      </c>
      <c r="B2687" s="115">
        <v>250.3</v>
      </c>
      <c r="C2687" s="115">
        <v>245.1</v>
      </c>
      <c r="D2687" s="115">
        <v>243.75</v>
      </c>
      <c r="E2687" s="115">
        <v>249.15</v>
      </c>
      <c r="F2687" s="115">
        <v>245.1</v>
      </c>
      <c r="G2687">
        <v>11336</v>
      </c>
      <c r="H2687" s="115"/>
      <c r="I2687" s="115"/>
      <c r="L2687" s="169">
        <v>45960</v>
      </c>
      <c r="M2687" s="115">
        <v>249.11</v>
      </c>
      <c r="N2687" s="115">
        <v>254.8</v>
      </c>
      <c r="O2687" s="115">
        <v>247.59</v>
      </c>
      <c r="P2687" s="115">
        <v>254.8</v>
      </c>
      <c r="Q2687" s="115">
        <v>249.11</v>
      </c>
      <c r="R2687">
        <v>235513</v>
      </c>
    </row>
    <row r="2688" spans="1:18" x14ac:dyDescent="0.25">
      <c r="A2688" s="169">
        <v>45964</v>
      </c>
      <c r="B2688" s="115">
        <v>252.75</v>
      </c>
      <c r="C2688" s="115">
        <v>247</v>
      </c>
      <c r="D2688" s="115">
        <v>245.75</v>
      </c>
      <c r="E2688" s="115">
        <v>249.05</v>
      </c>
      <c r="F2688" s="115">
        <v>247</v>
      </c>
      <c r="G2688">
        <v>9913</v>
      </c>
      <c r="H2688" s="115"/>
      <c r="I2688" s="115"/>
      <c r="L2688" s="169">
        <v>45961</v>
      </c>
      <c r="M2688" s="115">
        <v>244.54</v>
      </c>
      <c r="N2688" s="115">
        <v>250.73</v>
      </c>
      <c r="O2688" s="115">
        <v>243.53</v>
      </c>
      <c r="P2688" s="115">
        <v>249</v>
      </c>
      <c r="Q2688" s="115">
        <v>244.54</v>
      </c>
      <c r="R2688">
        <v>124492</v>
      </c>
    </row>
    <row r="2689" spans="1:18" x14ac:dyDescent="0.25">
      <c r="A2689" s="169">
        <v>45965</v>
      </c>
      <c r="B2689" s="115">
        <v>251.05</v>
      </c>
      <c r="C2689" s="115">
        <v>247.05</v>
      </c>
      <c r="D2689" s="115">
        <v>244.1</v>
      </c>
      <c r="E2689" s="115">
        <v>251.05</v>
      </c>
      <c r="F2689" s="115">
        <v>247.05</v>
      </c>
      <c r="G2689">
        <v>5710</v>
      </c>
      <c r="H2689" s="115"/>
      <c r="I2689" s="115"/>
      <c r="L2689" s="169">
        <v>45964</v>
      </c>
      <c r="M2689" s="115">
        <v>246.58</v>
      </c>
      <c r="N2689" s="115">
        <v>252.5</v>
      </c>
      <c r="O2689" s="115">
        <v>245.42</v>
      </c>
      <c r="P2689" s="115">
        <v>245.5</v>
      </c>
      <c r="Q2689" s="115">
        <v>246.58</v>
      </c>
      <c r="R2689">
        <v>253129</v>
      </c>
    </row>
    <row r="2690" spans="1:18" x14ac:dyDescent="0.25">
      <c r="A2690" s="169">
        <v>45967</v>
      </c>
      <c r="B2690" s="115">
        <v>247.1</v>
      </c>
      <c r="C2690" s="115">
        <v>238.9</v>
      </c>
      <c r="D2690" s="115">
        <v>237.5</v>
      </c>
      <c r="E2690" s="115">
        <v>246.95</v>
      </c>
      <c r="F2690" s="115">
        <v>238.9</v>
      </c>
      <c r="G2690">
        <v>5853</v>
      </c>
      <c r="H2690" s="115"/>
      <c r="I2690" s="115"/>
      <c r="L2690" s="169">
        <v>45965</v>
      </c>
      <c r="M2690" s="115">
        <v>247.13</v>
      </c>
      <c r="N2690" s="115">
        <v>248.8</v>
      </c>
      <c r="O2690" s="115">
        <v>244</v>
      </c>
      <c r="P2690" s="115">
        <v>247.28</v>
      </c>
      <c r="Q2690" s="115">
        <v>247.13</v>
      </c>
      <c r="R2690">
        <v>197255</v>
      </c>
    </row>
    <row r="2691" spans="1:18" x14ac:dyDescent="0.25">
      <c r="A2691" s="169">
        <v>45968</v>
      </c>
      <c r="B2691" s="115">
        <v>240.1</v>
      </c>
      <c r="C2691" s="115">
        <v>236</v>
      </c>
      <c r="D2691" s="115">
        <v>234.15</v>
      </c>
      <c r="E2691" s="115">
        <v>238.9</v>
      </c>
      <c r="F2691" s="115">
        <v>236</v>
      </c>
      <c r="G2691">
        <v>7005</v>
      </c>
      <c r="H2691" s="115"/>
      <c r="I2691" s="115"/>
      <c r="L2691" s="169">
        <v>45967</v>
      </c>
      <c r="M2691" s="115">
        <v>238.39</v>
      </c>
      <c r="N2691" s="115">
        <v>247.84</v>
      </c>
      <c r="O2691" s="115">
        <v>237.01</v>
      </c>
      <c r="P2691" s="115">
        <v>247.3</v>
      </c>
      <c r="Q2691" s="115">
        <v>238.39</v>
      </c>
      <c r="R2691">
        <v>173543</v>
      </c>
    </row>
    <row r="2692" spans="1:18" x14ac:dyDescent="0.25">
      <c r="A2692" s="169">
        <v>45971</v>
      </c>
      <c r="B2692" s="115">
        <v>242</v>
      </c>
      <c r="C2692" s="115">
        <v>241.35</v>
      </c>
      <c r="D2692" s="115">
        <v>236.35</v>
      </c>
      <c r="E2692" s="115">
        <v>237.15</v>
      </c>
      <c r="F2692" s="115">
        <v>241.35</v>
      </c>
      <c r="G2692">
        <v>7416</v>
      </c>
      <c r="H2692" s="115"/>
      <c r="I2692" s="115"/>
      <c r="L2692" s="169">
        <v>45968</v>
      </c>
      <c r="M2692" s="115">
        <v>236.03</v>
      </c>
      <c r="N2692" s="115">
        <v>240</v>
      </c>
      <c r="O2692" s="115">
        <v>234</v>
      </c>
      <c r="P2692" s="115">
        <v>239.07</v>
      </c>
      <c r="Q2692" s="115">
        <v>236.03</v>
      </c>
      <c r="R2692">
        <v>169036</v>
      </c>
    </row>
    <row r="2693" spans="1:18" x14ac:dyDescent="0.25">
      <c r="A2693" s="169">
        <v>45972</v>
      </c>
      <c r="B2693" s="115">
        <v>241.1</v>
      </c>
      <c r="C2693" s="115">
        <v>239</v>
      </c>
      <c r="D2693" s="115">
        <v>236.95</v>
      </c>
      <c r="E2693" s="115">
        <v>241.1</v>
      </c>
      <c r="F2693" s="115">
        <v>239</v>
      </c>
      <c r="G2693">
        <v>6002</v>
      </c>
      <c r="H2693" s="115"/>
      <c r="I2693" s="115"/>
      <c r="L2693" s="169">
        <v>45971</v>
      </c>
      <c r="M2693" s="115">
        <v>240.94</v>
      </c>
      <c r="N2693" s="115">
        <v>242.55</v>
      </c>
      <c r="O2693" s="115">
        <v>236.03</v>
      </c>
      <c r="P2693" s="115">
        <v>236.71</v>
      </c>
      <c r="Q2693" s="115">
        <v>240.94</v>
      </c>
      <c r="R2693">
        <v>162266</v>
      </c>
    </row>
    <row r="2694" spans="1:18" x14ac:dyDescent="0.25">
      <c r="A2694" s="169">
        <v>45973</v>
      </c>
      <c r="B2694" s="115">
        <v>244.2</v>
      </c>
      <c r="C2694" s="115">
        <v>240.75</v>
      </c>
      <c r="D2694" s="115">
        <v>238.3</v>
      </c>
      <c r="E2694" s="115">
        <v>238.3</v>
      </c>
      <c r="F2694" s="115">
        <v>240.75</v>
      </c>
      <c r="G2694">
        <v>7986</v>
      </c>
      <c r="H2694" s="115"/>
      <c r="I2694" s="115"/>
      <c r="L2694" s="169">
        <v>45972</v>
      </c>
      <c r="M2694" s="115">
        <v>239.67</v>
      </c>
      <c r="N2694" s="115">
        <v>242.09</v>
      </c>
      <c r="O2694" s="115">
        <v>236.61</v>
      </c>
      <c r="P2694" s="115">
        <v>239.2</v>
      </c>
      <c r="Q2694" s="115">
        <v>239.67</v>
      </c>
      <c r="R2694">
        <v>110519</v>
      </c>
    </row>
    <row r="2695" spans="1:18" x14ac:dyDescent="0.25">
      <c r="A2695" s="169">
        <v>45974</v>
      </c>
      <c r="B2695" s="115">
        <v>244.2</v>
      </c>
      <c r="C2695" s="115">
        <v>242.85</v>
      </c>
      <c r="D2695" s="115">
        <v>240</v>
      </c>
      <c r="E2695" s="115">
        <v>240</v>
      </c>
      <c r="F2695" s="115">
        <v>242.85</v>
      </c>
      <c r="G2695">
        <v>4518</v>
      </c>
      <c r="H2695" s="115"/>
      <c r="I2695" s="115"/>
      <c r="L2695" s="169">
        <v>45973</v>
      </c>
      <c r="M2695" s="115">
        <v>240.83</v>
      </c>
      <c r="N2695" s="115">
        <v>244.79</v>
      </c>
      <c r="O2695" s="115">
        <v>238.73</v>
      </c>
      <c r="P2695" s="115">
        <v>240.36</v>
      </c>
      <c r="Q2695" s="115">
        <v>240.83</v>
      </c>
      <c r="R2695">
        <v>121395</v>
      </c>
    </row>
    <row r="2696" spans="1:18" x14ac:dyDescent="0.25">
      <c r="A2696" s="169">
        <v>45975</v>
      </c>
      <c r="B2696" s="115">
        <v>242.85</v>
      </c>
      <c r="C2696" s="115">
        <v>236.85</v>
      </c>
      <c r="D2696" s="115">
        <v>236</v>
      </c>
      <c r="E2696" s="115">
        <v>242.85</v>
      </c>
      <c r="F2696" s="115">
        <v>236.85</v>
      </c>
      <c r="G2696">
        <v>3055</v>
      </c>
      <c r="H2696" s="115"/>
      <c r="I2696" s="115"/>
      <c r="L2696" s="169">
        <v>45974</v>
      </c>
      <c r="M2696" s="115">
        <v>242.46</v>
      </c>
      <c r="N2696" s="115">
        <v>244.55</v>
      </c>
      <c r="O2696" s="115">
        <v>240.38</v>
      </c>
      <c r="P2696" s="115">
        <v>241.52</v>
      </c>
      <c r="Q2696" s="115">
        <v>242.46</v>
      </c>
      <c r="R2696">
        <v>159250</v>
      </c>
    </row>
    <row r="2697" spans="1:18" x14ac:dyDescent="0.25">
      <c r="A2697" s="169">
        <v>45978</v>
      </c>
      <c r="B2697" s="115">
        <v>240.25</v>
      </c>
      <c r="C2697" s="115">
        <v>234.35</v>
      </c>
      <c r="D2697" s="115">
        <v>231.9</v>
      </c>
      <c r="E2697" s="115">
        <v>234</v>
      </c>
      <c r="F2697" s="115">
        <v>234.35</v>
      </c>
      <c r="G2697">
        <v>9120</v>
      </c>
      <c r="H2697" s="115"/>
      <c r="I2697" s="115"/>
      <c r="L2697" s="169">
        <v>45975</v>
      </c>
      <c r="M2697" s="115">
        <v>236.65</v>
      </c>
      <c r="N2697" s="115">
        <v>242</v>
      </c>
      <c r="O2697" s="115">
        <v>236.06</v>
      </c>
      <c r="P2697" s="115">
        <v>240.5</v>
      </c>
      <c r="Q2697" s="115">
        <v>236.65</v>
      </c>
      <c r="R2697">
        <v>82962</v>
      </c>
    </row>
    <row r="2698" spans="1:18" x14ac:dyDescent="0.25">
      <c r="A2698" s="169">
        <v>45979</v>
      </c>
      <c r="B2698" s="115">
        <v>235.3</v>
      </c>
      <c r="C2698" s="115">
        <v>230.5</v>
      </c>
      <c r="D2698" s="115">
        <v>228.55</v>
      </c>
      <c r="E2698" s="115">
        <v>232.05</v>
      </c>
      <c r="F2698" s="115">
        <v>230.5</v>
      </c>
      <c r="G2698">
        <v>9936</v>
      </c>
      <c r="H2698" s="115"/>
      <c r="I2698" s="115"/>
      <c r="L2698" s="169">
        <v>45978</v>
      </c>
      <c r="M2698" s="115">
        <v>233.58</v>
      </c>
      <c r="N2698" s="115">
        <v>240</v>
      </c>
      <c r="O2698" s="115">
        <v>231.66</v>
      </c>
      <c r="P2698" s="115">
        <v>237.15</v>
      </c>
      <c r="Q2698" s="115">
        <v>233.58</v>
      </c>
      <c r="R2698">
        <v>201852</v>
      </c>
    </row>
    <row r="2699" spans="1:18" x14ac:dyDescent="0.25">
      <c r="A2699" s="169">
        <v>45980</v>
      </c>
      <c r="B2699" s="115">
        <v>236.9</v>
      </c>
      <c r="C2699" s="115">
        <v>232.5</v>
      </c>
      <c r="D2699" s="115">
        <v>228.1</v>
      </c>
      <c r="E2699" s="115">
        <v>233.15</v>
      </c>
      <c r="F2699" s="115">
        <v>232.5</v>
      </c>
      <c r="G2699">
        <v>7249</v>
      </c>
      <c r="H2699" s="115"/>
      <c r="I2699" s="115"/>
      <c r="L2699" s="169">
        <v>45979</v>
      </c>
      <c r="M2699" s="115">
        <v>229.68</v>
      </c>
      <c r="N2699" s="115">
        <v>235.7</v>
      </c>
      <c r="O2699" s="115">
        <v>228.66</v>
      </c>
      <c r="P2699" s="115">
        <v>232</v>
      </c>
      <c r="Q2699" s="115">
        <v>229.68</v>
      </c>
      <c r="R2699">
        <v>189358</v>
      </c>
    </row>
    <row r="2700" spans="1:18" x14ac:dyDescent="0.25">
      <c r="A2700" s="169">
        <v>45981</v>
      </c>
      <c r="B2700" s="115">
        <v>232.1</v>
      </c>
      <c r="C2700" s="115">
        <v>226</v>
      </c>
      <c r="D2700" s="115">
        <v>224.05</v>
      </c>
      <c r="E2700" s="115">
        <v>228.25</v>
      </c>
      <c r="F2700" s="115">
        <v>226</v>
      </c>
      <c r="G2700">
        <v>5049</v>
      </c>
      <c r="H2700" s="115"/>
      <c r="I2700" s="115"/>
      <c r="L2700" s="169">
        <v>45980</v>
      </c>
      <c r="M2700" s="115">
        <v>231.41</v>
      </c>
      <c r="N2700" s="115">
        <v>236.81</v>
      </c>
      <c r="O2700" s="115">
        <v>229.12</v>
      </c>
      <c r="P2700" s="115">
        <v>230.5</v>
      </c>
      <c r="Q2700" s="115">
        <v>231.41</v>
      </c>
      <c r="R2700">
        <v>235835</v>
      </c>
    </row>
    <row r="2701" spans="1:18" x14ac:dyDescent="0.25">
      <c r="A2701" s="169">
        <v>45982</v>
      </c>
      <c r="B2701" s="115">
        <v>226</v>
      </c>
      <c r="C2701" s="115">
        <v>223.85</v>
      </c>
      <c r="D2701" s="115">
        <v>222.75</v>
      </c>
      <c r="E2701" s="115">
        <v>225.9</v>
      </c>
      <c r="F2701" s="115">
        <v>223.85</v>
      </c>
      <c r="G2701">
        <v>4069</v>
      </c>
      <c r="H2701" s="115"/>
      <c r="I2701" s="115"/>
      <c r="L2701" s="169">
        <v>45981</v>
      </c>
      <c r="M2701" s="115">
        <v>225.89</v>
      </c>
      <c r="N2701" s="115">
        <v>232.14</v>
      </c>
      <c r="O2701" s="115">
        <v>223.8</v>
      </c>
      <c r="P2701" s="115">
        <v>231.41</v>
      </c>
      <c r="Q2701" s="115">
        <v>225.89</v>
      </c>
      <c r="R2701">
        <v>209053</v>
      </c>
    </row>
    <row r="2702" spans="1:18" x14ac:dyDescent="0.25">
      <c r="A2702" s="169">
        <v>45985</v>
      </c>
      <c r="B2702" s="115">
        <v>224.25</v>
      </c>
      <c r="C2702" s="115">
        <v>218.7</v>
      </c>
      <c r="D2702" s="115">
        <v>218</v>
      </c>
      <c r="E2702" s="115">
        <v>222.65</v>
      </c>
      <c r="F2702" s="115">
        <v>218.7</v>
      </c>
      <c r="G2702">
        <v>10046</v>
      </c>
      <c r="H2702" s="115"/>
      <c r="I2702" s="115"/>
      <c r="L2702" s="169">
        <v>45982</v>
      </c>
      <c r="M2702" s="115">
        <v>223.54</v>
      </c>
      <c r="N2702" s="115">
        <v>226.74</v>
      </c>
      <c r="O2702" s="115">
        <v>222.6</v>
      </c>
      <c r="P2702" s="115">
        <v>224.1</v>
      </c>
      <c r="Q2702" s="115">
        <v>223.54</v>
      </c>
      <c r="R2702">
        <v>62323</v>
      </c>
    </row>
    <row r="2703" spans="1:18" x14ac:dyDescent="0.25">
      <c r="A2703" s="169">
        <v>45986</v>
      </c>
      <c r="B2703" s="115">
        <v>220.35</v>
      </c>
      <c r="C2703" s="115">
        <v>219.25</v>
      </c>
      <c r="D2703" s="115">
        <v>218</v>
      </c>
      <c r="E2703" s="115">
        <v>218</v>
      </c>
      <c r="F2703" s="115">
        <v>219.25</v>
      </c>
      <c r="G2703">
        <v>2782</v>
      </c>
      <c r="H2703" s="115"/>
      <c r="I2703" s="115"/>
      <c r="L2703" s="169">
        <v>45985</v>
      </c>
      <c r="M2703" s="115">
        <v>218.45</v>
      </c>
      <c r="N2703" s="115">
        <v>224.7</v>
      </c>
      <c r="O2703" s="115">
        <v>217.25</v>
      </c>
      <c r="P2703" s="115">
        <v>224.3</v>
      </c>
      <c r="Q2703" s="115">
        <v>218.45</v>
      </c>
      <c r="R2703">
        <v>126870</v>
      </c>
    </row>
    <row r="2704" spans="1:18" x14ac:dyDescent="0.25">
      <c r="A2704" s="169">
        <v>45987</v>
      </c>
      <c r="B2704" s="115">
        <v>224.9</v>
      </c>
      <c r="C2704" s="115">
        <v>223.25</v>
      </c>
      <c r="D2704" s="115">
        <v>219.3</v>
      </c>
      <c r="E2704" s="115">
        <v>219.3</v>
      </c>
      <c r="F2704" s="115">
        <v>223.25</v>
      </c>
      <c r="G2704">
        <v>3806</v>
      </c>
      <c r="H2704" s="115"/>
      <c r="I2704" s="115"/>
      <c r="L2704" s="169">
        <v>45986</v>
      </c>
      <c r="M2704" s="115">
        <v>219.65</v>
      </c>
      <c r="N2704" s="115">
        <v>221.76</v>
      </c>
      <c r="O2704" s="115">
        <v>218.03</v>
      </c>
      <c r="P2704" s="115">
        <v>218.64</v>
      </c>
      <c r="Q2704" s="115">
        <v>219.65</v>
      </c>
      <c r="R2704">
        <v>108849</v>
      </c>
    </row>
    <row r="2705" spans="1:18" x14ac:dyDescent="0.25">
      <c r="A2705" s="169">
        <v>45988</v>
      </c>
      <c r="B2705" s="115">
        <v>225.7</v>
      </c>
      <c r="C2705" s="115">
        <v>221.75</v>
      </c>
      <c r="D2705" s="115">
        <v>220.95</v>
      </c>
      <c r="E2705" s="115">
        <v>223.3</v>
      </c>
      <c r="F2705" s="115">
        <v>221.75</v>
      </c>
      <c r="G2705">
        <v>2280</v>
      </c>
      <c r="H2705" s="115"/>
      <c r="I2705" s="115"/>
      <c r="L2705" s="169">
        <v>45987</v>
      </c>
      <c r="M2705" s="115">
        <v>223.06</v>
      </c>
      <c r="N2705" s="115">
        <v>225</v>
      </c>
      <c r="O2705" s="115">
        <v>218.6</v>
      </c>
      <c r="P2705" s="115">
        <v>219.65</v>
      </c>
      <c r="Q2705" s="115">
        <v>223.06</v>
      </c>
      <c r="R2705">
        <v>165286</v>
      </c>
    </row>
    <row r="2706" spans="1:18" x14ac:dyDescent="0.25">
      <c r="A2706" s="169">
        <v>45989</v>
      </c>
      <c r="B2706" s="115">
        <v>221.1</v>
      </c>
      <c r="C2706" s="115">
        <v>218.85</v>
      </c>
      <c r="D2706" s="115">
        <v>217.25</v>
      </c>
      <c r="E2706" s="115">
        <v>221.1</v>
      </c>
      <c r="F2706" s="115">
        <v>218.85</v>
      </c>
      <c r="G2706">
        <v>3304</v>
      </c>
      <c r="H2706" s="115"/>
      <c r="I2706" s="115"/>
      <c r="L2706" s="169">
        <v>45988</v>
      </c>
      <c r="M2706" s="115">
        <v>221.87</v>
      </c>
      <c r="N2706" s="115">
        <v>226</v>
      </c>
      <c r="O2706" s="115">
        <v>221.1</v>
      </c>
      <c r="P2706" s="115">
        <v>224.57</v>
      </c>
      <c r="Q2706" s="115">
        <v>221.87</v>
      </c>
      <c r="R2706">
        <v>68040</v>
      </c>
    </row>
    <row r="2707" spans="1:18" x14ac:dyDescent="0.25">
      <c r="A2707" s="169">
        <v>45992</v>
      </c>
      <c r="B2707" s="115">
        <v>224.4</v>
      </c>
      <c r="C2707" s="115">
        <v>217.55</v>
      </c>
      <c r="D2707" s="115">
        <v>217.45</v>
      </c>
      <c r="E2707" s="115">
        <v>220.05</v>
      </c>
      <c r="F2707" s="115">
        <v>217.55</v>
      </c>
      <c r="G2707">
        <v>4310</v>
      </c>
      <c r="H2707" s="115"/>
      <c r="I2707" s="115"/>
      <c r="L2707" s="169">
        <v>45989</v>
      </c>
      <c r="M2707" s="115">
        <v>219.14</v>
      </c>
      <c r="N2707" s="115">
        <v>223.88</v>
      </c>
      <c r="O2707" s="115">
        <v>217</v>
      </c>
      <c r="P2707" s="115">
        <v>223.88</v>
      </c>
      <c r="Q2707" s="115">
        <v>219.14</v>
      </c>
      <c r="R2707">
        <v>88529</v>
      </c>
    </row>
    <row r="2708" spans="1:18" x14ac:dyDescent="0.25">
      <c r="A2708" s="169">
        <v>45993</v>
      </c>
      <c r="B2708" s="115">
        <v>218.45</v>
      </c>
      <c r="C2708" s="115">
        <v>217.5</v>
      </c>
      <c r="D2708" s="115">
        <v>215</v>
      </c>
      <c r="E2708" s="115">
        <v>216.2</v>
      </c>
      <c r="F2708" s="115">
        <v>217.5</v>
      </c>
      <c r="G2708">
        <v>4825</v>
      </c>
      <c r="H2708" s="115"/>
      <c r="I2708" s="115"/>
      <c r="L2708" s="169">
        <v>45992</v>
      </c>
      <c r="M2708" s="115">
        <v>217.93</v>
      </c>
      <c r="N2708" s="115">
        <v>225.01</v>
      </c>
      <c r="O2708" s="115">
        <v>217.35</v>
      </c>
      <c r="P2708" s="115">
        <v>221.36</v>
      </c>
      <c r="Q2708" s="115">
        <v>217.93</v>
      </c>
      <c r="R2708">
        <v>131746</v>
      </c>
    </row>
    <row r="2709" spans="1:18" x14ac:dyDescent="0.25">
      <c r="A2709" s="169">
        <v>45994</v>
      </c>
      <c r="B2709">
        <v>217.35</v>
      </c>
      <c r="C2709">
        <v>215.85</v>
      </c>
      <c r="D2709">
        <v>211.4</v>
      </c>
      <c r="E2709">
        <v>217.35</v>
      </c>
      <c r="F2709">
        <v>215.85</v>
      </c>
      <c r="G2709">
        <v>4803</v>
      </c>
      <c r="H2709" s="115"/>
      <c r="I2709" s="115"/>
      <c r="L2709" s="169">
        <v>45993</v>
      </c>
      <c r="M2709" s="115">
        <v>217.3</v>
      </c>
      <c r="N2709" s="115">
        <v>218.52</v>
      </c>
      <c r="O2709" s="115">
        <v>215</v>
      </c>
      <c r="P2709" s="115">
        <v>217.45</v>
      </c>
      <c r="Q2709" s="115">
        <v>217.3</v>
      </c>
      <c r="R2709">
        <v>102395</v>
      </c>
    </row>
    <row r="2710" spans="1:18" x14ac:dyDescent="0.25">
      <c r="A2710" s="169">
        <v>45995</v>
      </c>
      <c r="B2710">
        <v>216.2</v>
      </c>
      <c r="C2710">
        <v>213.6</v>
      </c>
      <c r="D2710">
        <v>213.3</v>
      </c>
      <c r="E2710">
        <v>216.1</v>
      </c>
      <c r="F2710">
        <v>213.6</v>
      </c>
      <c r="G2710">
        <v>3522</v>
      </c>
      <c r="H2710" s="115"/>
      <c r="I2710" s="115"/>
      <c r="L2710" s="169">
        <v>45994</v>
      </c>
      <c r="M2710" s="115">
        <v>215.98</v>
      </c>
      <c r="N2710" s="115">
        <v>218.44</v>
      </c>
      <c r="O2710" s="115">
        <v>211.45</v>
      </c>
      <c r="P2710" s="115">
        <v>218.4</v>
      </c>
      <c r="Q2710" s="115">
        <v>215.98</v>
      </c>
      <c r="R2710">
        <v>157477</v>
      </c>
    </row>
    <row r="2711" spans="1:18" x14ac:dyDescent="0.25">
      <c r="A2711" s="169">
        <v>45996</v>
      </c>
      <c r="B2711">
        <v>216.1</v>
      </c>
      <c r="C2711">
        <v>212.45</v>
      </c>
      <c r="D2711">
        <v>210</v>
      </c>
      <c r="E2711">
        <v>213.8</v>
      </c>
      <c r="F2711">
        <v>212.45</v>
      </c>
      <c r="G2711">
        <v>6815</v>
      </c>
      <c r="H2711" s="115"/>
      <c r="I2711" s="115"/>
      <c r="L2711" s="169">
        <v>45995</v>
      </c>
      <c r="M2711" s="115">
        <v>213.63</v>
      </c>
      <c r="N2711" s="115">
        <v>216.61</v>
      </c>
      <c r="O2711" s="115">
        <v>213.11</v>
      </c>
      <c r="P2711" s="115">
        <v>216.61</v>
      </c>
      <c r="Q2711" s="115">
        <v>213.63</v>
      </c>
      <c r="R2711">
        <v>45458</v>
      </c>
    </row>
    <row r="2712" spans="1:18" x14ac:dyDescent="0.25">
      <c r="A2712" s="169">
        <v>45999</v>
      </c>
      <c r="B2712">
        <v>215</v>
      </c>
      <c r="C2712">
        <v>208.45</v>
      </c>
      <c r="D2712">
        <v>208.3</v>
      </c>
      <c r="E2712">
        <v>212.15</v>
      </c>
      <c r="F2712">
        <v>208.45</v>
      </c>
      <c r="G2712">
        <v>2055</v>
      </c>
      <c r="H2712" s="115"/>
      <c r="I2712" s="115"/>
      <c r="L2712" s="169">
        <v>45996</v>
      </c>
      <c r="M2712" s="115">
        <v>213.93</v>
      </c>
      <c r="N2712" s="115">
        <v>217.55</v>
      </c>
      <c r="O2712" s="115">
        <v>209.91</v>
      </c>
      <c r="P2712" s="115">
        <v>213.73</v>
      </c>
      <c r="Q2712" s="115">
        <v>213.93</v>
      </c>
      <c r="R2712">
        <v>108265</v>
      </c>
    </row>
    <row r="2713" spans="1:18" x14ac:dyDescent="0.25">
      <c r="A2713" s="169">
        <v>46000</v>
      </c>
      <c r="B2713">
        <v>213.9</v>
      </c>
      <c r="C2713">
        <v>212.95</v>
      </c>
      <c r="D2713">
        <v>203</v>
      </c>
      <c r="E2713">
        <v>208.3</v>
      </c>
      <c r="F2713">
        <v>212.95</v>
      </c>
      <c r="G2713">
        <v>2084</v>
      </c>
      <c r="H2713" s="115"/>
      <c r="I2713" s="115"/>
      <c r="L2713" s="169">
        <v>45999</v>
      </c>
      <c r="M2713" s="115">
        <v>209.02</v>
      </c>
      <c r="N2713" s="115">
        <v>215.5</v>
      </c>
      <c r="O2713" s="115">
        <v>208.15</v>
      </c>
      <c r="P2713" s="115">
        <v>215.5</v>
      </c>
      <c r="Q2713" s="115">
        <v>209.02</v>
      </c>
      <c r="R2713">
        <v>60014</v>
      </c>
    </row>
    <row r="2714" spans="1:18" x14ac:dyDescent="0.25">
      <c r="A2714" s="169">
        <v>46001</v>
      </c>
      <c r="B2714">
        <v>214.65</v>
      </c>
      <c r="C2714">
        <v>211.75</v>
      </c>
      <c r="D2714">
        <v>211</v>
      </c>
      <c r="E2714">
        <v>211.95</v>
      </c>
      <c r="F2714">
        <v>211.75</v>
      </c>
      <c r="G2714">
        <v>1723</v>
      </c>
      <c r="H2714" s="115"/>
      <c r="I2714" s="115"/>
      <c r="L2714" s="169">
        <v>46000</v>
      </c>
      <c r="M2714" s="115">
        <v>213.07</v>
      </c>
      <c r="N2714" s="115">
        <v>215.2</v>
      </c>
      <c r="O2714" s="115">
        <v>203</v>
      </c>
      <c r="P2714" s="115">
        <v>209.02</v>
      </c>
      <c r="Q2714" s="115">
        <v>213.07</v>
      </c>
      <c r="R2714">
        <v>142669</v>
      </c>
    </row>
    <row r="2715" spans="1:18" x14ac:dyDescent="0.25">
      <c r="A2715" s="169">
        <v>46002</v>
      </c>
      <c r="B2715">
        <v>216.1</v>
      </c>
      <c r="C2715">
        <v>214.45</v>
      </c>
      <c r="D2715">
        <v>208.4</v>
      </c>
      <c r="E2715">
        <v>210.8</v>
      </c>
      <c r="F2715">
        <v>214.45</v>
      </c>
      <c r="G2715">
        <v>3074</v>
      </c>
      <c r="H2715" s="115"/>
      <c r="I2715" s="115"/>
      <c r="L2715" s="169">
        <v>46001</v>
      </c>
      <c r="M2715" s="115">
        <v>211.78</v>
      </c>
      <c r="N2715" s="115">
        <v>214.4</v>
      </c>
      <c r="O2715" s="115">
        <v>210.55</v>
      </c>
      <c r="P2715" s="115">
        <v>211.15</v>
      </c>
      <c r="Q2715" s="115">
        <v>211.78</v>
      </c>
      <c r="R2715">
        <v>45107</v>
      </c>
    </row>
    <row r="2716" spans="1:18" x14ac:dyDescent="0.25">
      <c r="A2716" s="169">
        <v>46003</v>
      </c>
      <c r="B2716">
        <v>215.65</v>
      </c>
      <c r="C2716">
        <v>212.5</v>
      </c>
      <c r="D2716">
        <v>212</v>
      </c>
      <c r="E2716">
        <v>214.55</v>
      </c>
      <c r="F2716">
        <v>212.5</v>
      </c>
      <c r="G2716">
        <v>2529</v>
      </c>
      <c r="H2716" s="115"/>
      <c r="I2716" s="115"/>
      <c r="L2716" s="169">
        <v>46002</v>
      </c>
      <c r="M2716" s="115">
        <v>214.91</v>
      </c>
      <c r="N2716" s="115">
        <v>218</v>
      </c>
      <c r="O2716" s="115">
        <v>208.29</v>
      </c>
      <c r="P2716" s="115">
        <v>210.86</v>
      </c>
      <c r="Q2716" s="115">
        <v>214.91</v>
      </c>
      <c r="R2716">
        <v>186482</v>
      </c>
    </row>
    <row r="2717" spans="1:18" x14ac:dyDescent="0.25">
      <c r="A2717" s="169">
        <v>46006</v>
      </c>
      <c r="B2717">
        <v>213</v>
      </c>
      <c r="C2717">
        <v>211.55</v>
      </c>
      <c r="D2717">
        <v>209</v>
      </c>
      <c r="E2717">
        <v>211.9</v>
      </c>
      <c r="F2717">
        <v>211.55</v>
      </c>
      <c r="G2717">
        <v>5232</v>
      </c>
      <c r="H2717" s="115"/>
      <c r="I2717" s="115"/>
      <c r="L2717" s="169">
        <v>46003</v>
      </c>
      <c r="M2717" s="115">
        <v>212.69</v>
      </c>
      <c r="N2717" s="115">
        <v>216.22</v>
      </c>
      <c r="O2717" s="115">
        <v>211.5</v>
      </c>
      <c r="P2717" s="115">
        <v>215.45</v>
      </c>
      <c r="Q2717" s="115">
        <v>212.69</v>
      </c>
      <c r="R2717">
        <v>133233</v>
      </c>
    </row>
    <row r="2718" spans="1:18" x14ac:dyDescent="0.25">
      <c r="A2718" s="169">
        <v>46007</v>
      </c>
      <c r="B2718">
        <v>212</v>
      </c>
      <c r="C2718">
        <v>210.15</v>
      </c>
      <c r="D2718">
        <v>209.45</v>
      </c>
      <c r="E2718">
        <v>209.9</v>
      </c>
      <c r="F2718">
        <v>210.15</v>
      </c>
      <c r="G2718">
        <v>1589</v>
      </c>
      <c r="H2718" s="115"/>
      <c r="I2718" s="115"/>
      <c r="L2718" s="169">
        <v>46006</v>
      </c>
      <c r="M2718" s="115">
        <v>211.24</v>
      </c>
      <c r="N2718" s="115">
        <v>213.25</v>
      </c>
      <c r="O2718" s="115">
        <v>208.8</v>
      </c>
      <c r="P2718" s="115">
        <v>213.25</v>
      </c>
      <c r="Q2718" s="115">
        <v>211.24</v>
      </c>
      <c r="R2718">
        <v>103736</v>
      </c>
    </row>
    <row r="2719" spans="1:18" x14ac:dyDescent="0.25">
      <c r="A2719" s="169">
        <v>46008</v>
      </c>
      <c r="B2719">
        <v>210.15</v>
      </c>
      <c r="C2719">
        <v>207.35</v>
      </c>
      <c r="D2719">
        <v>206.05</v>
      </c>
      <c r="E2719">
        <v>209.6</v>
      </c>
      <c r="F2719">
        <v>207.35</v>
      </c>
      <c r="G2719">
        <v>2374</v>
      </c>
      <c r="H2719" s="115"/>
      <c r="I2719" s="115"/>
      <c r="L2719" s="169">
        <v>46007</v>
      </c>
      <c r="M2719" s="115">
        <v>210.34</v>
      </c>
      <c r="N2719" s="115">
        <v>211.87</v>
      </c>
      <c r="O2719" s="115">
        <v>209.6</v>
      </c>
      <c r="P2719" s="115">
        <v>209.76</v>
      </c>
      <c r="Q2719" s="115">
        <v>210.34</v>
      </c>
      <c r="R2719">
        <v>31115</v>
      </c>
    </row>
    <row r="2720" spans="1:18" x14ac:dyDescent="0.25">
      <c r="A2720" s="169">
        <v>46009</v>
      </c>
      <c r="B2720">
        <v>206.6</v>
      </c>
      <c r="C2720">
        <v>205</v>
      </c>
      <c r="D2720">
        <v>202.55</v>
      </c>
      <c r="E2720">
        <v>203.05</v>
      </c>
      <c r="F2720">
        <v>205</v>
      </c>
      <c r="G2720">
        <v>1428</v>
      </c>
      <c r="H2720" s="115"/>
      <c r="I2720" s="115"/>
      <c r="L2720" s="169">
        <v>46008</v>
      </c>
      <c r="M2720" s="115">
        <v>206.46</v>
      </c>
      <c r="N2720" s="115">
        <v>210.08</v>
      </c>
      <c r="O2720" s="115">
        <v>206.02</v>
      </c>
      <c r="P2720" s="115">
        <v>209.34</v>
      </c>
      <c r="Q2720" s="115">
        <v>206.46</v>
      </c>
      <c r="R2720">
        <v>56341</v>
      </c>
    </row>
    <row r="2721" spans="1:18" x14ac:dyDescent="0.25">
      <c r="A2721" s="169">
        <v>46010</v>
      </c>
      <c r="B2721">
        <v>210.4</v>
      </c>
      <c r="C2721">
        <v>208.8</v>
      </c>
      <c r="D2721">
        <v>206.15</v>
      </c>
      <c r="E2721">
        <v>206.75</v>
      </c>
      <c r="F2721">
        <v>208.8</v>
      </c>
      <c r="G2721">
        <v>2491</v>
      </c>
      <c r="H2721" s="115"/>
      <c r="I2721" s="115"/>
      <c r="L2721" s="169">
        <v>46009</v>
      </c>
      <c r="M2721" s="115">
        <v>205.51</v>
      </c>
      <c r="N2721" s="115">
        <v>206.39</v>
      </c>
      <c r="O2721" s="115">
        <v>202.1</v>
      </c>
      <c r="P2721" s="115">
        <v>206.01</v>
      </c>
      <c r="Q2721" s="115">
        <v>205.51</v>
      </c>
      <c r="R2721">
        <v>81997</v>
      </c>
    </row>
    <row r="2722" spans="1:18" x14ac:dyDescent="0.25">
      <c r="A2722" s="169">
        <v>46013</v>
      </c>
      <c r="B2722">
        <v>211.55</v>
      </c>
      <c r="C2722">
        <v>211</v>
      </c>
      <c r="D2722">
        <v>208.85</v>
      </c>
      <c r="E2722">
        <v>208.85</v>
      </c>
      <c r="F2722">
        <v>211</v>
      </c>
      <c r="G2722">
        <v>2590</v>
      </c>
      <c r="H2722" s="115"/>
      <c r="I2722" s="115"/>
      <c r="L2722" s="169">
        <v>46010</v>
      </c>
      <c r="M2722" s="115">
        <v>208.84</v>
      </c>
      <c r="N2722" s="115">
        <v>209.89</v>
      </c>
      <c r="O2722" s="115">
        <v>205.01</v>
      </c>
      <c r="P2722" s="115">
        <v>205.01</v>
      </c>
      <c r="Q2722" s="115">
        <v>208.84</v>
      </c>
      <c r="R2722">
        <v>76953</v>
      </c>
    </row>
    <row r="2723" spans="1:18" x14ac:dyDescent="0.25">
      <c r="A2723" s="169">
        <v>46014</v>
      </c>
      <c r="B2723">
        <v>212.15</v>
      </c>
      <c r="C2723">
        <v>211.65</v>
      </c>
      <c r="D2723">
        <v>209.05</v>
      </c>
      <c r="E2723">
        <v>211</v>
      </c>
      <c r="F2723">
        <v>211.65</v>
      </c>
      <c r="G2723">
        <v>1446</v>
      </c>
      <c r="H2723" s="115"/>
      <c r="I2723" s="115"/>
      <c r="L2723" s="169">
        <v>46013</v>
      </c>
      <c r="M2723" s="115">
        <v>211.1</v>
      </c>
      <c r="N2723" s="115">
        <v>212</v>
      </c>
      <c r="O2723" s="115">
        <v>208.81</v>
      </c>
      <c r="P2723" s="115">
        <v>210.16</v>
      </c>
      <c r="Q2723" s="115">
        <v>211.1</v>
      </c>
      <c r="R2723">
        <v>57090</v>
      </c>
    </row>
    <row r="2724" spans="1:18" x14ac:dyDescent="0.25">
      <c r="A2724" s="169">
        <v>46015</v>
      </c>
      <c r="B2724">
        <v>213.95</v>
      </c>
      <c r="C2724">
        <v>210.75</v>
      </c>
      <c r="D2724">
        <v>209</v>
      </c>
      <c r="E2724">
        <v>209</v>
      </c>
      <c r="F2724">
        <v>210.75</v>
      </c>
      <c r="G2724">
        <v>1801</v>
      </c>
      <c r="H2724" s="115"/>
      <c r="I2724" s="115"/>
      <c r="L2724" s="169">
        <v>46014</v>
      </c>
      <c r="M2724" s="115">
        <v>211.64</v>
      </c>
      <c r="N2724" s="115">
        <v>213</v>
      </c>
      <c r="O2724" s="115">
        <v>209</v>
      </c>
      <c r="P2724" s="115">
        <v>211.99</v>
      </c>
      <c r="Q2724" s="115">
        <v>211.64</v>
      </c>
      <c r="R2724">
        <v>59221</v>
      </c>
    </row>
    <row r="2725" spans="1:18" x14ac:dyDescent="0.25">
      <c r="A2725" s="169">
        <v>46017</v>
      </c>
      <c r="B2725">
        <v>211.45</v>
      </c>
      <c r="C2725">
        <v>208.4</v>
      </c>
      <c r="D2725">
        <v>208.05</v>
      </c>
      <c r="E2725">
        <v>208.05</v>
      </c>
      <c r="F2725">
        <v>208.4</v>
      </c>
      <c r="G2725">
        <v>547</v>
      </c>
      <c r="H2725" s="115"/>
      <c r="I2725" s="115"/>
      <c r="L2725" s="169">
        <v>46015</v>
      </c>
      <c r="M2725" s="115">
        <v>210.64</v>
      </c>
      <c r="N2725" s="115">
        <v>214.58</v>
      </c>
      <c r="O2725" s="115">
        <v>209.1</v>
      </c>
      <c r="P2725" s="115">
        <v>211</v>
      </c>
      <c r="Q2725" s="115">
        <v>210.64</v>
      </c>
      <c r="R2725">
        <v>66456</v>
      </c>
    </row>
    <row r="2726" spans="1:18" x14ac:dyDescent="0.25">
      <c r="A2726" s="169">
        <v>46020</v>
      </c>
      <c r="B2726">
        <v>209.25</v>
      </c>
      <c r="C2726">
        <v>205.9</v>
      </c>
      <c r="D2726">
        <v>205.35</v>
      </c>
      <c r="E2726">
        <v>208.55</v>
      </c>
      <c r="F2726">
        <v>205.9</v>
      </c>
      <c r="G2726">
        <v>2616</v>
      </c>
      <c r="H2726" s="115"/>
      <c r="I2726" s="115"/>
      <c r="L2726" s="169">
        <v>46017</v>
      </c>
      <c r="M2726" s="115">
        <v>208.66</v>
      </c>
      <c r="N2726" s="115">
        <v>211.5</v>
      </c>
      <c r="O2726" s="115">
        <v>208.3</v>
      </c>
      <c r="P2726" s="115">
        <v>209.6</v>
      </c>
      <c r="Q2726" s="115">
        <v>208.66</v>
      </c>
      <c r="R2726">
        <v>47613</v>
      </c>
    </row>
    <row r="2727" spans="1:18" x14ac:dyDescent="0.25">
      <c r="A2727" s="169">
        <v>46021</v>
      </c>
      <c r="B2727">
        <v>208.4</v>
      </c>
      <c r="C2727">
        <v>207.35</v>
      </c>
      <c r="D2727">
        <v>205.35</v>
      </c>
      <c r="E2727">
        <v>207</v>
      </c>
      <c r="F2727">
        <v>207.35</v>
      </c>
      <c r="G2727">
        <v>6695</v>
      </c>
      <c r="H2727" s="115"/>
      <c r="I2727" s="115"/>
      <c r="L2727" s="169">
        <v>46020</v>
      </c>
      <c r="M2727" s="115">
        <v>206.15</v>
      </c>
      <c r="N2727" s="115">
        <v>209.76</v>
      </c>
      <c r="O2727" s="115">
        <v>205.26</v>
      </c>
      <c r="P2727" s="115">
        <v>209.17</v>
      </c>
      <c r="Q2727" s="115">
        <v>206.15</v>
      </c>
      <c r="R2727">
        <v>61044</v>
      </c>
    </row>
    <row r="2728" spans="1:18" x14ac:dyDescent="0.25">
      <c r="A2728" s="169">
        <v>46022</v>
      </c>
      <c r="B2728">
        <v>212</v>
      </c>
      <c r="C2728">
        <v>211.65</v>
      </c>
      <c r="D2728">
        <v>207.05</v>
      </c>
      <c r="E2728">
        <v>207.35</v>
      </c>
      <c r="F2728">
        <v>211.65</v>
      </c>
      <c r="G2728">
        <v>1782</v>
      </c>
      <c r="H2728" s="115"/>
      <c r="I2728" s="115"/>
      <c r="L2728" s="169">
        <v>46021</v>
      </c>
      <c r="M2728" s="115">
        <v>207.31</v>
      </c>
      <c r="N2728" s="115">
        <v>209.49</v>
      </c>
      <c r="O2728" s="115">
        <v>205.12</v>
      </c>
      <c r="P2728" s="115">
        <v>205.28</v>
      </c>
      <c r="Q2728" s="115">
        <v>207.31</v>
      </c>
      <c r="R2728">
        <v>31725</v>
      </c>
    </row>
    <row r="2729" spans="1:18" x14ac:dyDescent="0.25">
      <c r="A2729" s="169">
        <v>46023</v>
      </c>
      <c r="B2729">
        <v>211.4</v>
      </c>
      <c r="C2729">
        <v>210.25</v>
      </c>
      <c r="D2729">
        <v>209.55</v>
      </c>
      <c r="E2729">
        <v>211.3</v>
      </c>
      <c r="F2729">
        <v>210.25</v>
      </c>
      <c r="G2729">
        <v>442</v>
      </c>
      <c r="H2729" s="115"/>
      <c r="I2729" s="115"/>
      <c r="L2729" s="169">
        <v>46022</v>
      </c>
      <c r="M2729" s="115">
        <v>211.7</v>
      </c>
      <c r="N2729" s="115">
        <v>212.5</v>
      </c>
      <c r="O2729" s="115">
        <v>206.35</v>
      </c>
      <c r="P2729" s="115">
        <v>206.35</v>
      </c>
      <c r="Q2729" s="115">
        <v>211.7</v>
      </c>
      <c r="R2729">
        <v>40459</v>
      </c>
    </row>
    <row r="2730" spans="1:18" x14ac:dyDescent="0.25">
      <c r="A2730" s="169">
        <v>46024</v>
      </c>
      <c r="B2730">
        <v>213.35</v>
      </c>
      <c r="C2730">
        <v>212.65</v>
      </c>
      <c r="D2730">
        <v>210.05</v>
      </c>
      <c r="E2730">
        <v>210.5</v>
      </c>
      <c r="F2730">
        <v>212.65</v>
      </c>
      <c r="G2730">
        <v>1579</v>
      </c>
      <c r="H2730" s="115"/>
      <c r="I2730" s="115"/>
      <c r="L2730" s="169">
        <v>46023</v>
      </c>
      <c r="M2730" s="115">
        <v>210.36</v>
      </c>
      <c r="N2730" s="115">
        <v>211.83</v>
      </c>
      <c r="O2730" s="115">
        <v>209</v>
      </c>
      <c r="P2730" s="115">
        <v>211</v>
      </c>
      <c r="Q2730" s="115">
        <v>210.36</v>
      </c>
      <c r="R2730">
        <v>26578</v>
      </c>
    </row>
    <row r="2731" spans="1:18" x14ac:dyDescent="0.25">
      <c r="A2731" s="169">
        <v>46027</v>
      </c>
      <c r="B2731">
        <v>212.35</v>
      </c>
      <c r="C2731">
        <v>209.95</v>
      </c>
      <c r="D2731">
        <v>209</v>
      </c>
      <c r="E2731">
        <v>210</v>
      </c>
      <c r="F2731">
        <v>209.95</v>
      </c>
      <c r="G2731">
        <v>1768</v>
      </c>
      <c r="H2731" s="115"/>
      <c r="I2731" s="115"/>
      <c r="L2731" s="169">
        <v>46024</v>
      </c>
      <c r="M2731" s="115">
        <v>212.6</v>
      </c>
      <c r="N2731" s="115">
        <v>213.95</v>
      </c>
      <c r="O2731" s="115">
        <v>209.3</v>
      </c>
      <c r="P2731" s="115">
        <v>209.3</v>
      </c>
      <c r="Q2731" s="115">
        <v>212.6</v>
      </c>
      <c r="R2731">
        <v>47913</v>
      </c>
    </row>
    <row r="2732" spans="1:18" x14ac:dyDescent="0.25">
      <c r="A2732" s="169">
        <v>46028</v>
      </c>
      <c r="B2732">
        <v>208.5</v>
      </c>
      <c r="C2732">
        <v>206.45</v>
      </c>
      <c r="D2732">
        <v>204.95</v>
      </c>
      <c r="E2732">
        <v>208.5</v>
      </c>
      <c r="F2732">
        <v>206.45</v>
      </c>
      <c r="G2732">
        <v>1651</v>
      </c>
      <c r="H2732" s="115"/>
      <c r="I2732" s="115"/>
      <c r="L2732" s="169">
        <v>46027</v>
      </c>
      <c r="M2732" s="115">
        <v>209.79</v>
      </c>
      <c r="N2732" s="115">
        <v>212.9</v>
      </c>
      <c r="O2732" s="115">
        <v>208.82</v>
      </c>
      <c r="P2732" s="115">
        <v>210.5</v>
      </c>
      <c r="Q2732" s="115">
        <v>209.79</v>
      </c>
      <c r="R2732">
        <v>31375</v>
      </c>
    </row>
    <row r="2733" spans="1:18" x14ac:dyDescent="0.25">
      <c r="A2733" s="169">
        <v>46029</v>
      </c>
      <c r="B2733">
        <v>207.2</v>
      </c>
      <c r="C2733">
        <v>205.8</v>
      </c>
      <c r="D2733">
        <v>204.1</v>
      </c>
      <c r="E2733">
        <v>204.1</v>
      </c>
      <c r="F2733">
        <v>205.8</v>
      </c>
      <c r="G2733">
        <v>1153</v>
      </c>
      <c r="H2733" s="115"/>
      <c r="I2733" s="115"/>
      <c r="L2733" s="169">
        <v>46028</v>
      </c>
      <c r="M2733" s="115">
        <v>206.51</v>
      </c>
      <c r="N2733" s="115">
        <v>209.01</v>
      </c>
      <c r="O2733" s="115">
        <v>204.8</v>
      </c>
      <c r="P2733" s="115">
        <v>207.18</v>
      </c>
      <c r="Q2733" s="115">
        <v>206.51</v>
      </c>
      <c r="R2733">
        <v>56420</v>
      </c>
    </row>
    <row r="2734" spans="1:18" x14ac:dyDescent="0.25">
      <c r="A2734" s="169">
        <v>46030</v>
      </c>
      <c r="B2734">
        <v>206.2</v>
      </c>
      <c r="C2734">
        <v>201.35</v>
      </c>
      <c r="D2734">
        <v>200.6</v>
      </c>
      <c r="E2734">
        <v>206.2</v>
      </c>
      <c r="F2734">
        <v>201.35</v>
      </c>
      <c r="G2734">
        <v>1136</v>
      </c>
      <c r="H2734" s="115"/>
      <c r="I2734" s="115"/>
      <c r="L2734" s="169">
        <v>46029</v>
      </c>
      <c r="M2734" s="115">
        <v>205.9</v>
      </c>
      <c r="N2734" s="115">
        <v>207.04</v>
      </c>
      <c r="O2734" s="115">
        <v>205</v>
      </c>
      <c r="P2734" s="115">
        <v>205.11</v>
      </c>
      <c r="Q2734" s="115">
        <v>205.9</v>
      </c>
      <c r="R2734">
        <v>20321</v>
      </c>
    </row>
    <row r="2735" spans="1:18" x14ac:dyDescent="0.25">
      <c r="A2735" s="169">
        <v>46031</v>
      </c>
      <c r="B2735">
        <v>202.65</v>
      </c>
      <c r="C2735">
        <v>200.85</v>
      </c>
      <c r="D2735">
        <v>198.05</v>
      </c>
      <c r="E2735">
        <v>201.1</v>
      </c>
      <c r="F2735">
        <v>200.85</v>
      </c>
      <c r="G2735">
        <v>1601</v>
      </c>
      <c r="H2735" s="115"/>
      <c r="I2735" s="115"/>
      <c r="L2735" s="169">
        <v>46030</v>
      </c>
      <c r="M2735" s="115">
        <v>201.38</v>
      </c>
      <c r="N2735" s="115">
        <v>206.98</v>
      </c>
      <c r="O2735" s="115">
        <v>200.02</v>
      </c>
      <c r="P2735" s="115">
        <v>204.62</v>
      </c>
      <c r="Q2735" s="115">
        <v>201.38</v>
      </c>
      <c r="R2735">
        <v>71673</v>
      </c>
    </row>
    <row r="2736" spans="1:18" x14ac:dyDescent="0.25">
      <c r="A2736" s="169">
        <v>46034</v>
      </c>
      <c r="B2736">
        <v>200</v>
      </c>
      <c r="C2736">
        <v>194.2</v>
      </c>
      <c r="D2736">
        <v>191.65</v>
      </c>
      <c r="E2736">
        <v>200</v>
      </c>
      <c r="F2736">
        <v>194.2</v>
      </c>
      <c r="G2736">
        <v>4260</v>
      </c>
      <c r="H2736" s="115"/>
      <c r="I2736" s="115"/>
      <c r="L2736" s="169">
        <v>46031</v>
      </c>
      <c r="M2736" s="115">
        <v>201.16</v>
      </c>
      <c r="N2736" s="115">
        <v>203.2</v>
      </c>
      <c r="O2736" s="115">
        <v>198.05</v>
      </c>
      <c r="P2736" s="115">
        <v>201.9</v>
      </c>
      <c r="Q2736" s="115">
        <v>201.16</v>
      </c>
      <c r="R2736">
        <v>52288</v>
      </c>
    </row>
    <row r="2737" spans="1:18" x14ac:dyDescent="0.25">
      <c r="A2737" s="169">
        <v>46035</v>
      </c>
      <c r="B2737">
        <v>195.85</v>
      </c>
      <c r="C2737">
        <v>186.2</v>
      </c>
      <c r="D2737">
        <v>185.1</v>
      </c>
      <c r="E2737">
        <v>192.1</v>
      </c>
      <c r="F2737">
        <v>186.2</v>
      </c>
      <c r="G2737">
        <v>9744</v>
      </c>
      <c r="H2737" s="115"/>
      <c r="I2737" s="115"/>
      <c r="L2737" s="169">
        <v>46034</v>
      </c>
      <c r="M2737" s="115">
        <v>195.09</v>
      </c>
      <c r="N2737" s="115">
        <v>200.01</v>
      </c>
      <c r="O2737" s="115">
        <v>191.8</v>
      </c>
      <c r="P2737" s="115">
        <v>198.67</v>
      </c>
      <c r="Q2737" s="115">
        <v>195.09</v>
      </c>
      <c r="R2737">
        <v>133588</v>
      </c>
    </row>
    <row r="2738" spans="1:18" x14ac:dyDescent="0.25">
      <c r="A2738" s="169">
        <v>46036</v>
      </c>
      <c r="B2738">
        <v>191.25</v>
      </c>
      <c r="C2738">
        <v>190.25</v>
      </c>
      <c r="D2738">
        <v>186.35</v>
      </c>
      <c r="E2738">
        <v>186.35</v>
      </c>
      <c r="F2738">
        <v>190.25</v>
      </c>
      <c r="G2738">
        <v>2504</v>
      </c>
      <c r="H2738" s="115"/>
      <c r="I2738" s="115"/>
      <c r="L2738" s="169">
        <v>46035</v>
      </c>
      <c r="M2738" s="115">
        <v>186.49</v>
      </c>
      <c r="N2738" s="115">
        <v>196.61</v>
      </c>
      <c r="O2738" s="115">
        <v>185</v>
      </c>
      <c r="P2738" s="115">
        <v>194.3</v>
      </c>
      <c r="Q2738" s="115">
        <v>186.49</v>
      </c>
      <c r="R2738">
        <v>444502</v>
      </c>
    </row>
    <row r="2739" spans="1:18" x14ac:dyDescent="0.25">
      <c r="A2739" s="169">
        <v>46038</v>
      </c>
      <c r="B2739">
        <v>189.8</v>
      </c>
      <c r="C2739">
        <v>187.3</v>
      </c>
      <c r="D2739">
        <v>186.1</v>
      </c>
      <c r="E2739">
        <v>189.6</v>
      </c>
      <c r="F2739">
        <v>187.3</v>
      </c>
      <c r="G2739">
        <v>4428</v>
      </c>
      <c r="H2739" s="115"/>
      <c r="I2739" s="115"/>
      <c r="L2739" s="169">
        <v>46036</v>
      </c>
      <c r="M2739" s="115">
        <v>190.41</v>
      </c>
      <c r="N2739" s="115">
        <v>192.4</v>
      </c>
      <c r="O2739" s="115">
        <v>186</v>
      </c>
      <c r="P2739" s="115">
        <v>187.4</v>
      </c>
      <c r="Q2739" s="115">
        <v>190.41</v>
      </c>
      <c r="R2739">
        <v>90653</v>
      </c>
    </row>
    <row r="2740" spans="1:18" x14ac:dyDescent="0.25">
      <c r="A2740" s="169">
        <v>46041</v>
      </c>
      <c r="B2740">
        <v>190</v>
      </c>
      <c r="C2740">
        <v>188.55</v>
      </c>
      <c r="D2740">
        <v>185.4</v>
      </c>
      <c r="E2740">
        <v>187.2</v>
      </c>
      <c r="F2740">
        <v>188.55</v>
      </c>
      <c r="G2740">
        <v>6976</v>
      </c>
      <c r="H2740" s="115"/>
      <c r="I2740" s="115"/>
      <c r="L2740" s="169">
        <v>46038</v>
      </c>
      <c r="M2740" s="115">
        <v>187.61</v>
      </c>
      <c r="N2740" s="115">
        <v>190.36</v>
      </c>
      <c r="O2740" s="115">
        <v>186.22</v>
      </c>
      <c r="P2740" s="115">
        <v>189.05</v>
      </c>
      <c r="Q2740" s="115">
        <v>187.61</v>
      </c>
      <c r="R2740">
        <v>116329</v>
      </c>
    </row>
    <row r="2741" spans="1:18" x14ac:dyDescent="0.25">
      <c r="A2741" s="169">
        <v>46042</v>
      </c>
      <c r="B2741">
        <v>188.55</v>
      </c>
      <c r="C2741">
        <v>181.7</v>
      </c>
      <c r="D2741">
        <v>180.6</v>
      </c>
      <c r="E2741">
        <v>188.55</v>
      </c>
      <c r="F2741">
        <v>181.7</v>
      </c>
      <c r="G2741">
        <v>3925</v>
      </c>
      <c r="H2741" s="115"/>
      <c r="I2741" s="115"/>
      <c r="L2741" s="169">
        <v>46041</v>
      </c>
      <c r="M2741" s="115">
        <v>188.62</v>
      </c>
      <c r="N2741" s="115">
        <v>190.41</v>
      </c>
      <c r="O2741" s="115">
        <v>185.1</v>
      </c>
      <c r="P2741" s="115">
        <v>186.15</v>
      </c>
      <c r="Q2741" s="115">
        <v>188.62</v>
      </c>
      <c r="R2741">
        <v>50530</v>
      </c>
    </row>
    <row r="2742" spans="1:18" x14ac:dyDescent="0.25">
      <c r="A2742" s="169">
        <v>46043</v>
      </c>
      <c r="B2742">
        <v>187.55</v>
      </c>
      <c r="C2742">
        <v>184.9</v>
      </c>
      <c r="D2742">
        <v>179</v>
      </c>
      <c r="E2742">
        <v>180.05</v>
      </c>
      <c r="F2742">
        <v>184.9</v>
      </c>
      <c r="G2742">
        <v>2826</v>
      </c>
      <c r="H2742" s="115"/>
      <c r="I2742" s="115"/>
      <c r="L2742" s="169">
        <v>46042</v>
      </c>
      <c r="M2742" s="115">
        <v>181.65</v>
      </c>
      <c r="N2742" s="115">
        <v>189.28</v>
      </c>
      <c r="O2742" s="115">
        <v>180.05</v>
      </c>
      <c r="P2742" s="115">
        <v>188.62</v>
      </c>
      <c r="Q2742" s="115">
        <v>181.65</v>
      </c>
      <c r="R2742">
        <v>61165</v>
      </c>
    </row>
    <row r="2743" spans="1:18" x14ac:dyDescent="0.25">
      <c r="A2743" s="169">
        <v>46044</v>
      </c>
      <c r="B2743">
        <v>187.4</v>
      </c>
      <c r="C2743">
        <v>184.95</v>
      </c>
      <c r="D2743">
        <v>181.45</v>
      </c>
      <c r="E2743">
        <v>181.6</v>
      </c>
      <c r="F2743">
        <v>184.95</v>
      </c>
      <c r="G2743">
        <v>228733</v>
      </c>
      <c r="H2743" s="115"/>
      <c r="I2743" s="115"/>
      <c r="L2743" s="169">
        <v>46043</v>
      </c>
      <c r="M2743" s="115">
        <v>185.23</v>
      </c>
      <c r="N2743" s="115">
        <v>187.1</v>
      </c>
      <c r="O2743" s="115">
        <v>178.99</v>
      </c>
      <c r="P2743" s="115">
        <v>180.05</v>
      </c>
      <c r="Q2743" s="115">
        <v>185.23</v>
      </c>
      <c r="R2743">
        <v>92841</v>
      </c>
    </row>
    <row r="2744" spans="1:18" x14ac:dyDescent="0.25">
      <c r="A2744" s="169">
        <v>46045</v>
      </c>
      <c r="B2744">
        <v>185.85</v>
      </c>
      <c r="C2744">
        <v>181.65</v>
      </c>
      <c r="D2744">
        <v>180.4</v>
      </c>
      <c r="E2744">
        <v>184.95</v>
      </c>
      <c r="F2744">
        <v>181.65</v>
      </c>
      <c r="G2744">
        <v>241145</v>
      </c>
      <c r="H2744" s="115"/>
      <c r="I2744" s="115"/>
      <c r="L2744" s="169">
        <v>46044</v>
      </c>
      <c r="M2744" s="115">
        <v>185.43</v>
      </c>
      <c r="N2744" s="115">
        <v>187.9</v>
      </c>
      <c r="O2744" s="115">
        <v>181.1</v>
      </c>
      <c r="P2744" s="115">
        <v>185.62</v>
      </c>
      <c r="Q2744" s="115">
        <v>185.43</v>
      </c>
      <c r="R2744">
        <v>297270</v>
      </c>
    </row>
    <row r="2745" spans="1:18" x14ac:dyDescent="0.25">
      <c r="A2745" s="169">
        <v>46049</v>
      </c>
      <c r="B2745">
        <v>181.6</v>
      </c>
      <c r="C2745">
        <v>180.25</v>
      </c>
      <c r="D2745">
        <v>178.05</v>
      </c>
      <c r="E2745">
        <v>179.05</v>
      </c>
      <c r="F2745">
        <v>180.25</v>
      </c>
      <c r="G2745">
        <v>304902</v>
      </c>
      <c r="H2745" s="115"/>
      <c r="I2745" s="115"/>
      <c r="L2745" s="169">
        <v>46045</v>
      </c>
      <c r="M2745" s="115">
        <v>181.07</v>
      </c>
      <c r="N2745" s="115">
        <v>186.47</v>
      </c>
      <c r="O2745" s="115">
        <v>180.36</v>
      </c>
      <c r="P2745" s="115">
        <v>184.5</v>
      </c>
      <c r="Q2745" s="115">
        <v>181.07</v>
      </c>
      <c r="R2745">
        <v>254522</v>
      </c>
    </row>
    <row r="2746" spans="1:18" x14ac:dyDescent="0.25">
      <c r="A2746" s="169">
        <v>46050</v>
      </c>
      <c r="B2746">
        <v>190.75</v>
      </c>
      <c r="C2746">
        <v>188.2</v>
      </c>
      <c r="D2746">
        <v>180.3</v>
      </c>
      <c r="E2746">
        <v>180.3</v>
      </c>
      <c r="F2746">
        <v>188.2</v>
      </c>
      <c r="G2746">
        <v>4830</v>
      </c>
      <c r="H2746" s="115"/>
      <c r="I2746" s="115"/>
      <c r="L2746" s="169">
        <v>46049</v>
      </c>
      <c r="M2746" s="115">
        <v>180.41</v>
      </c>
      <c r="N2746" s="115">
        <v>181.99</v>
      </c>
      <c r="O2746" s="115">
        <v>178.31</v>
      </c>
      <c r="P2746" s="115">
        <v>179.25</v>
      </c>
      <c r="Q2746" s="115">
        <v>180.41</v>
      </c>
      <c r="R2746">
        <v>273190</v>
      </c>
    </row>
    <row r="2747" spans="1:18" x14ac:dyDescent="0.25">
      <c r="A2747" s="169">
        <v>46051</v>
      </c>
      <c r="B2747">
        <v>189</v>
      </c>
      <c r="C2747">
        <v>184.85</v>
      </c>
      <c r="D2747">
        <v>183.85</v>
      </c>
      <c r="E2747">
        <v>188.3</v>
      </c>
      <c r="F2747">
        <v>184.85</v>
      </c>
      <c r="G2747">
        <v>4027</v>
      </c>
      <c r="H2747" s="115"/>
      <c r="I2747" s="115"/>
      <c r="L2747" s="169">
        <v>46050</v>
      </c>
      <c r="M2747" s="115">
        <v>189.13</v>
      </c>
      <c r="N2747" s="115">
        <v>190.95</v>
      </c>
      <c r="O2747" s="115">
        <v>180.49</v>
      </c>
      <c r="P2747" s="115">
        <v>180.49</v>
      </c>
      <c r="Q2747" s="115">
        <v>189.13</v>
      </c>
      <c r="R2747">
        <v>79356</v>
      </c>
    </row>
    <row r="2748" spans="1:18" x14ac:dyDescent="0.25">
      <c r="A2748" s="169">
        <v>46052</v>
      </c>
      <c r="B2748">
        <v>188.1</v>
      </c>
      <c r="C2748">
        <v>179.55</v>
      </c>
      <c r="D2748">
        <v>177.55</v>
      </c>
      <c r="E2748">
        <v>182.6</v>
      </c>
      <c r="F2748">
        <v>179.55</v>
      </c>
      <c r="G2748">
        <v>7317</v>
      </c>
      <c r="H2748" s="115"/>
      <c r="I2748" s="115"/>
      <c r="L2748" s="169">
        <v>46051</v>
      </c>
      <c r="M2748" s="115">
        <v>184.83</v>
      </c>
      <c r="N2748" s="115">
        <v>189.1</v>
      </c>
      <c r="O2748" s="115">
        <v>183.81</v>
      </c>
      <c r="P2748" s="115">
        <v>189.1</v>
      </c>
      <c r="Q2748" s="115">
        <v>184.83</v>
      </c>
      <c r="R2748">
        <v>47461</v>
      </c>
    </row>
    <row r="2749" spans="1:18" x14ac:dyDescent="0.25">
      <c r="A2749" s="169">
        <v>46054</v>
      </c>
      <c r="B2749">
        <v>184.7</v>
      </c>
      <c r="C2749">
        <v>183.35</v>
      </c>
      <c r="D2749">
        <v>179.6</v>
      </c>
      <c r="E2749">
        <v>179.6</v>
      </c>
      <c r="F2749">
        <v>183.35</v>
      </c>
      <c r="G2749">
        <v>886</v>
      </c>
      <c r="H2749" s="115"/>
      <c r="I2749" s="115"/>
      <c r="L2749" s="169">
        <v>46052</v>
      </c>
      <c r="M2749" s="115">
        <v>180.19</v>
      </c>
      <c r="N2749" s="115">
        <v>187.99</v>
      </c>
      <c r="O2749" s="115">
        <v>177.52</v>
      </c>
      <c r="P2749" s="115">
        <v>182</v>
      </c>
      <c r="Q2749" s="115">
        <v>180.19</v>
      </c>
      <c r="R2749">
        <v>205685</v>
      </c>
    </row>
    <row r="2750" spans="1:18" x14ac:dyDescent="0.25">
      <c r="A2750" s="169">
        <v>46055</v>
      </c>
      <c r="B2750">
        <v>183.65</v>
      </c>
      <c r="C2750">
        <v>182.3</v>
      </c>
      <c r="D2750">
        <v>176.25</v>
      </c>
      <c r="E2750">
        <v>180.85</v>
      </c>
      <c r="F2750">
        <v>182.3</v>
      </c>
      <c r="G2750">
        <v>8145</v>
      </c>
      <c r="H2750" s="115"/>
      <c r="I2750" s="115"/>
      <c r="L2750" s="169">
        <v>46054</v>
      </c>
      <c r="M2750" s="115">
        <v>183.24</v>
      </c>
      <c r="N2750" s="115">
        <v>185.66</v>
      </c>
      <c r="O2750" s="115">
        <v>179.25</v>
      </c>
      <c r="P2750" s="115">
        <v>179.25</v>
      </c>
      <c r="Q2750" s="115">
        <v>183.24</v>
      </c>
      <c r="R2750">
        <v>44402</v>
      </c>
    </row>
    <row r="2751" spans="1:18" x14ac:dyDescent="0.25">
      <c r="A2751" s="169">
        <v>46056</v>
      </c>
      <c r="B2751">
        <v>189.6</v>
      </c>
      <c r="C2751">
        <v>184.25</v>
      </c>
      <c r="D2751">
        <v>183</v>
      </c>
      <c r="E2751">
        <v>183</v>
      </c>
      <c r="F2751">
        <v>184.25</v>
      </c>
      <c r="G2751">
        <v>11271</v>
      </c>
      <c r="H2751" s="115"/>
      <c r="I2751" s="115"/>
      <c r="L2751" s="169">
        <v>46055</v>
      </c>
      <c r="M2751" s="115">
        <v>181.78</v>
      </c>
      <c r="N2751" s="115">
        <v>183.7</v>
      </c>
      <c r="O2751" s="115">
        <v>176</v>
      </c>
      <c r="P2751" s="115">
        <v>182</v>
      </c>
      <c r="Q2751" s="115">
        <v>181.78</v>
      </c>
      <c r="R2751">
        <v>111233</v>
      </c>
    </row>
    <row r="2752" spans="1:18" x14ac:dyDescent="0.25">
      <c r="A2752" s="169">
        <v>46057</v>
      </c>
      <c r="B2752">
        <v>186.5</v>
      </c>
      <c r="C2752">
        <v>184.7</v>
      </c>
      <c r="D2752">
        <v>183.9</v>
      </c>
      <c r="E2752">
        <v>185</v>
      </c>
      <c r="F2752">
        <v>184.7</v>
      </c>
      <c r="G2752">
        <v>2405</v>
      </c>
      <c r="H2752" s="115"/>
      <c r="I2752" s="115"/>
      <c r="L2752" s="169">
        <v>46056</v>
      </c>
      <c r="M2752" s="115">
        <v>184.36</v>
      </c>
      <c r="N2752" s="115">
        <v>190</v>
      </c>
      <c r="O2752" s="115">
        <v>182.76</v>
      </c>
      <c r="P2752" s="115">
        <v>185.4</v>
      </c>
      <c r="Q2752" s="115">
        <v>184.36</v>
      </c>
      <c r="R2752">
        <v>315610</v>
      </c>
    </row>
    <row r="2753" spans="1:18" x14ac:dyDescent="0.25">
      <c r="A2753" s="169">
        <v>46058</v>
      </c>
      <c r="B2753">
        <v>185.05</v>
      </c>
      <c r="C2753">
        <v>182.1</v>
      </c>
      <c r="D2753">
        <v>180.2</v>
      </c>
      <c r="E2753">
        <v>184.7</v>
      </c>
      <c r="F2753">
        <v>182.1</v>
      </c>
      <c r="G2753">
        <v>3209</v>
      </c>
      <c r="H2753" s="115"/>
      <c r="I2753" s="115"/>
      <c r="L2753" s="169">
        <v>46057</v>
      </c>
      <c r="M2753" s="115">
        <v>184.63</v>
      </c>
      <c r="N2753" s="115">
        <v>186.55</v>
      </c>
      <c r="O2753" s="115">
        <v>184</v>
      </c>
      <c r="P2753" s="115">
        <v>185.99</v>
      </c>
      <c r="Q2753" s="115">
        <v>184.63</v>
      </c>
      <c r="R2753">
        <v>192346</v>
      </c>
    </row>
    <row r="2754" spans="1:18" x14ac:dyDescent="0.25">
      <c r="A2754" s="169">
        <v>46059</v>
      </c>
      <c r="B2754">
        <v>184.5</v>
      </c>
      <c r="C2754">
        <v>183.9</v>
      </c>
      <c r="D2754">
        <v>179.55</v>
      </c>
      <c r="E2754">
        <v>180.95</v>
      </c>
      <c r="F2754">
        <v>183.9</v>
      </c>
      <c r="G2754">
        <v>1768</v>
      </c>
      <c r="H2754" s="115"/>
      <c r="I2754" s="115"/>
      <c r="L2754" s="169">
        <v>46058</v>
      </c>
      <c r="M2754" s="115">
        <v>181.65</v>
      </c>
      <c r="N2754" s="115">
        <v>185</v>
      </c>
      <c r="O2754" s="115">
        <v>180.35</v>
      </c>
      <c r="P2754" s="115">
        <v>184.81</v>
      </c>
      <c r="Q2754" s="115">
        <v>181.65</v>
      </c>
      <c r="R2754">
        <v>104435</v>
      </c>
    </row>
    <row r="2755" spans="1:18" x14ac:dyDescent="0.25">
      <c r="A2755" s="169">
        <v>46062</v>
      </c>
      <c r="B2755">
        <v>192.35</v>
      </c>
      <c r="C2755">
        <v>191</v>
      </c>
      <c r="D2755">
        <v>184</v>
      </c>
      <c r="E2755">
        <v>184</v>
      </c>
      <c r="F2755">
        <v>191</v>
      </c>
      <c r="G2755">
        <v>5108</v>
      </c>
      <c r="H2755" s="115"/>
      <c r="I2755" s="115"/>
      <c r="L2755" s="169">
        <v>46059</v>
      </c>
      <c r="M2755" s="115">
        <v>184.48</v>
      </c>
      <c r="N2755" s="115">
        <v>185</v>
      </c>
      <c r="O2755" s="115">
        <v>180.11</v>
      </c>
      <c r="P2755" s="115">
        <v>181.7</v>
      </c>
      <c r="Q2755" s="115">
        <v>184.48</v>
      </c>
      <c r="R2755">
        <v>276477</v>
      </c>
    </row>
    <row r="2756" spans="1:18" x14ac:dyDescent="0.25">
      <c r="A2756" s="169">
        <v>46063</v>
      </c>
      <c r="B2756">
        <v>194.95</v>
      </c>
      <c r="C2756">
        <v>191.65</v>
      </c>
      <c r="D2756">
        <v>188.35</v>
      </c>
      <c r="E2756">
        <v>194.95</v>
      </c>
      <c r="F2756">
        <v>191.65</v>
      </c>
      <c r="G2756">
        <v>13729</v>
      </c>
      <c r="H2756" s="115"/>
      <c r="I2756" s="115"/>
      <c r="L2756" s="169">
        <v>46062</v>
      </c>
      <c r="M2756" s="115">
        <v>189.96</v>
      </c>
      <c r="N2756" s="115">
        <v>192</v>
      </c>
      <c r="O2756" s="115">
        <v>183.27</v>
      </c>
      <c r="P2756" s="115">
        <v>184.86</v>
      </c>
      <c r="Q2756" s="115">
        <v>189.96</v>
      </c>
      <c r="R2756">
        <v>316765</v>
      </c>
    </row>
    <row r="2757" spans="1:18" x14ac:dyDescent="0.25">
      <c r="A2757" s="169">
        <v>46064</v>
      </c>
      <c r="B2757">
        <v>200.95</v>
      </c>
      <c r="C2757">
        <v>192.1</v>
      </c>
      <c r="D2757">
        <v>191.1</v>
      </c>
      <c r="E2757">
        <v>196</v>
      </c>
      <c r="F2757">
        <v>192.1</v>
      </c>
      <c r="G2757">
        <v>22373</v>
      </c>
      <c r="H2757" s="115"/>
      <c r="I2757" s="115"/>
      <c r="L2757" s="169">
        <v>46063</v>
      </c>
      <c r="M2757" s="115">
        <v>191.43</v>
      </c>
      <c r="N2757" s="115">
        <v>196</v>
      </c>
      <c r="O2757" s="115">
        <v>187.23</v>
      </c>
      <c r="P2757" s="115">
        <v>190.9</v>
      </c>
      <c r="Q2757" s="115">
        <v>191.43</v>
      </c>
      <c r="R2757">
        <v>253844</v>
      </c>
    </row>
    <row r="2758" spans="1:18" x14ac:dyDescent="0.25">
      <c r="A2758" s="169">
        <v>46065</v>
      </c>
      <c r="B2758">
        <v>196.7</v>
      </c>
      <c r="C2758">
        <v>193.2</v>
      </c>
      <c r="D2758">
        <v>189</v>
      </c>
      <c r="E2758">
        <v>190.55</v>
      </c>
      <c r="F2758">
        <v>193.2</v>
      </c>
      <c r="G2758">
        <v>10096</v>
      </c>
      <c r="H2758" s="115"/>
      <c r="I2758" s="115"/>
      <c r="L2758" s="169">
        <v>46064</v>
      </c>
      <c r="M2758" s="115">
        <v>191.68</v>
      </c>
      <c r="N2758" s="115">
        <v>200.69</v>
      </c>
      <c r="O2758" s="115">
        <v>190.9</v>
      </c>
      <c r="P2758" s="115">
        <v>198</v>
      </c>
      <c r="Q2758" s="115">
        <v>191.68</v>
      </c>
      <c r="R2758">
        <v>910636</v>
      </c>
    </row>
    <row r="2759" spans="1:18" x14ac:dyDescent="0.25">
      <c r="A2759" s="169">
        <v>46066</v>
      </c>
      <c r="B2759">
        <v>194.55</v>
      </c>
      <c r="C2759">
        <v>187.85</v>
      </c>
      <c r="D2759">
        <v>187.25</v>
      </c>
      <c r="E2759">
        <v>191.6</v>
      </c>
      <c r="F2759">
        <v>187.85</v>
      </c>
      <c r="G2759">
        <v>5203</v>
      </c>
      <c r="H2759" s="115"/>
      <c r="I2759" s="115"/>
      <c r="L2759" s="169">
        <v>46065</v>
      </c>
      <c r="M2759" s="115">
        <v>193.76</v>
      </c>
      <c r="N2759" s="115">
        <v>196.54</v>
      </c>
      <c r="O2759" s="115">
        <v>188.8</v>
      </c>
      <c r="P2759" s="115">
        <v>191.87</v>
      </c>
      <c r="Q2759" s="115">
        <v>193.76</v>
      </c>
      <c r="R2759">
        <v>246946</v>
      </c>
    </row>
    <row r="2760" spans="1:18" x14ac:dyDescent="0.25">
      <c r="A2760" s="169">
        <v>46069</v>
      </c>
      <c r="B2760">
        <v>188.2</v>
      </c>
      <c r="C2760">
        <v>180.6</v>
      </c>
      <c r="D2760">
        <v>180.05</v>
      </c>
      <c r="E2760">
        <v>187.9</v>
      </c>
      <c r="F2760">
        <v>180.6</v>
      </c>
      <c r="G2760">
        <v>9942</v>
      </c>
      <c r="H2760" s="115"/>
      <c r="I2760" s="115"/>
      <c r="L2760" s="169">
        <v>46066</v>
      </c>
      <c r="M2760" s="115">
        <v>188.27</v>
      </c>
      <c r="N2760" s="115">
        <v>194.6</v>
      </c>
      <c r="O2760" s="115">
        <v>187.6</v>
      </c>
      <c r="P2760" s="115">
        <v>192.5</v>
      </c>
      <c r="Q2760" s="115">
        <v>188.27</v>
      </c>
      <c r="R2760">
        <v>181676</v>
      </c>
    </row>
    <row r="2761" spans="1:18" x14ac:dyDescent="0.25">
      <c r="A2761" s="169">
        <v>46070</v>
      </c>
      <c r="B2761">
        <v>193.95</v>
      </c>
      <c r="C2761">
        <v>189.25</v>
      </c>
      <c r="D2761">
        <v>180</v>
      </c>
      <c r="E2761">
        <v>180</v>
      </c>
      <c r="F2761">
        <v>189.25</v>
      </c>
      <c r="G2761">
        <v>10037</v>
      </c>
      <c r="H2761" s="115"/>
      <c r="I2761" s="115"/>
      <c r="L2761" s="169">
        <v>46069</v>
      </c>
      <c r="M2761" s="115">
        <v>180.55</v>
      </c>
      <c r="N2761" s="115">
        <v>187.6</v>
      </c>
      <c r="O2761" s="115">
        <v>180</v>
      </c>
      <c r="P2761" s="115">
        <v>187.6</v>
      </c>
      <c r="Q2761" s="115">
        <v>180.55</v>
      </c>
      <c r="R2761">
        <v>282398</v>
      </c>
    </row>
    <row r="2762" spans="1:18" x14ac:dyDescent="0.25">
      <c r="A2762" s="169">
        <v>46071</v>
      </c>
      <c r="B2762">
        <v>190</v>
      </c>
      <c r="C2762">
        <v>188.15</v>
      </c>
      <c r="D2762">
        <v>185.4</v>
      </c>
      <c r="E2762">
        <v>189.3</v>
      </c>
      <c r="F2762">
        <v>188.15</v>
      </c>
      <c r="G2762">
        <v>3640</v>
      </c>
      <c r="H2762" s="115"/>
      <c r="I2762" s="115"/>
      <c r="L2762" s="169">
        <v>46070</v>
      </c>
      <c r="M2762" s="115">
        <v>188.79</v>
      </c>
      <c r="N2762" s="115">
        <v>194.4</v>
      </c>
      <c r="O2762" s="115">
        <v>179.67</v>
      </c>
      <c r="P2762" s="115">
        <v>181.89</v>
      </c>
      <c r="Q2762" s="115">
        <v>188.79</v>
      </c>
      <c r="R2762">
        <v>430445</v>
      </c>
    </row>
    <row r="2763" spans="1:18" x14ac:dyDescent="0.25">
      <c r="A2763" s="169">
        <v>46072</v>
      </c>
      <c r="B2763">
        <v>188.35</v>
      </c>
      <c r="C2763">
        <v>183.15</v>
      </c>
      <c r="D2763">
        <v>182.75</v>
      </c>
      <c r="E2763">
        <v>187.9</v>
      </c>
      <c r="F2763">
        <v>183.15</v>
      </c>
      <c r="G2763">
        <v>7363</v>
      </c>
      <c r="H2763" s="115"/>
      <c r="I2763" s="115"/>
      <c r="L2763" s="169">
        <v>46071</v>
      </c>
      <c r="M2763" s="115">
        <v>188.12</v>
      </c>
      <c r="N2763" s="115">
        <v>190.62</v>
      </c>
      <c r="O2763" s="115">
        <v>186</v>
      </c>
      <c r="P2763" s="115">
        <v>190.62</v>
      </c>
      <c r="Q2763" s="115">
        <v>188.12</v>
      </c>
      <c r="R2763">
        <v>139847</v>
      </c>
    </row>
    <row r="2764" spans="1:18" x14ac:dyDescent="0.25">
      <c r="A2764" s="169">
        <v>46073</v>
      </c>
      <c r="B2764">
        <v>183.9</v>
      </c>
      <c r="C2764">
        <v>182.45</v>
      </c>
      <c r="D2764">
        <v>181.4</v>
      </c>
      <c r="E2764">
        <v>183.3</v>
      </c>
      <c r="F2764">
        <v>182.45</v>
      </c>
      <c r="G2764">
        <v>5147</v>
      </c>
      <c r="H2764" s="115"/>
      <c r="I2764" s="115"/>
      <c r="L2764" s="169">
        <v>46072</v>
      </c>
      <c r="M2764" s="115">
        <v>183.18</v>
      </c>
      <c r="N2764" s="115">
        <v>188.59</v>
      </c>
      <c r="O2764" s="115">
        <v>182.6</v>
      </c>
      <c r="P2764" s="115">
        <v>187.27</v>
      </c>
      <c r="Q2764" s="115">
        <v>183.18</v>
      </c>
      <c r="R2764">
        <v>69823</v>
      </c>
    </row>
    <row r="2765" spans="1:18" x14ac:dyDescent="0.25">
      <c r="A2765" s="169">
        <v>46076</v>
      </c>
      <c r="B2765">
        <v>183.85</v>
      </c>
      <c r="C2765">
        <v>179.55</v>
      </c>
      <c r="D2765">
        <v>178</v>
      </c>
      <c r="E2765">
        <v>182.55</v>
      </c>
      <c r="F2765">
        <v>179.55</v>
      </c>
      <c r="G2765">
        <v>6178</v>
      </c>
      <c r="H2765" s="115"/>
      <c r="I2765" s="115"/>
      <c r="L2765" s="169">
        <v>46073</v>
      </c>
      <c r="M2765" s="115">
        <v>182.45</v>
      </c>
      <c r="N2765" s="115">
        <v>184.2</v>
      </c>
      <c r="O2765" s="115">
        <v>181.24</v>
      </c>
      <c r="P2765" s="115">
        <v>184.2</v>
      </c>
      <c r="Q2765" s="115">
        <v>182.45</v>
      </c>
      <c r="R2765">
        <v>63187</v>
      </c>
    </row>
    <row r="2766" spans="1:18" x14ac:dyDescent="0.25">
      <c r="A2766" s="169">
        <v>46077</v>
      </c>
      <c r="B2766">
        <v>178.4</v>
      </c>
      <c r="C2766">
        <v>175.3</v>
      </c>
      <c r="D2766">
        <v>174.85</v>
      </c>
      <c r="E2766">
        <v>177.05</v>
      </c>
      <c r="F2766">
        <v>175.3</v>
      </c>
      <c r="G2766">
        <v>3025</v>
      </c>
      <c r="H2766" s="115"/>
      <c r="I2766" s="115"/>
      <c r="L2766" s="169">
        <v>46076</v>
      </c>
      <c r="M2766" s="115">
        <v>179.14</v>
      </c>
      <c r="N2766" s="115">
        <v>183.55</v>
      </c>
      <c r="O2766" s="115">
        <v>177.9</v>
      </c>
      <c r="P2766" s="115">
        <v>182.5</v>
      </c>
      <c r="Q2766" s="115">
        <v>179.14</v>
      </c>
      <c r="R2766">
        <v>218934</v>
      </c>
    </row>
    <row r="2767" spans="1:18" x14ac:dyDescent="0.25">
      <c r="A2767" s="169">
        <v>46078</v>
      </c>
      <c r="B2767">
        <v>177.4</v>
      </c>
      <c r="C2767">
        <v>173</v>
      </c>
      <c r="D2767">
        <v>172.05</v>
      </c>
      <c r="E2767">
        <v>176</v>
      </c>
      <c r="F2767">
        <v>173</v>
      </c>
      <c r="G2767">
        <v>5106</v>
      </c>
      <c r="H2767" s="115"/>
      <c r="I2767" s="115"/>
      <c r="L2767" s="169">
        <v>46077</v>
      </c>
      <c r="M2767" s="115">
        <v>175.67</v>
      </c>
      <c r="N2767" s="115">
        <v>178.75</v>
      </c>
      <c r="O2767" s="115">
        <v>174.5</v>
      </c>
      <c r="P2767" s="115">
        <v>178.7</v>
      </c>
      <c r="Q2767" s="115">
        <v>175.67</v>
      </c>
      <c r="R2767">
        <v>93520</v>
      </c>
    </row>
    <row r="2768" spans="1:18" x14ac:dyDescent="0.25">
      <c r="A2768" s="169">
        <v>46079</v>
      </c>
      <c r="B2768">
        <v>182.25</v>
      </c>
      <c r="C2768">
        <v>179.05</v>
      </c>
      <c r="D2768">
        <v>171.65</v>
      </c>
      <c r="E2768">
        <v>171.65</v>
      </c>
      <c r="F2768">
        <v>179.05</v>
      </c>
      <c r="G2768">
        <v>7015</v>
      </c>
      <c r="H2768" s="115"/>
      <c r="I2768" s="115"/>
      <c r="L2768" s="169">
        <v>46078</v>
      </c>
      <c r="M2768" s="115">
        <v>172.74</v>
      </c>
      <c r="N2768" s="115">
        <v>177.33</v>
      </c>
      <c r="O2768" s="115">
        <v>172</v>
      </c>
      <c r="P2768" s="115">
        <v>175.85</v>
      </c>
      <c r="Q2768" s="115">
        <v>172.74</v>
      </c>
      <c r="R2768">
        <v>136907</v>
      </c>
    </row>
    <row r="2769" spans="1:18" x14ac:dyDescent="0.25">
      <c r="A2769" s="169">
        <v>46080</v>
      </c>
      <c r="B2769">
        <v>178.7</v>
      </c>
      <c r="C2769">
        <v>176.05</v>
      </c>
      <c r="D2769">
        <v>175.45</v>
      </c>
      <c r="E2769">
        <v>178.7</v>
      </c>
      <c r="F2769">
        <v>176.05</v>
      </c>
      <c r="G2769">
        <v>2979</v>
      </c>
      <c r="H2769" s="115"/>
      <c r="I2769" s="115"/>
      <c r="L2769" s="169">
        <v>46079</v>
      </c>
      <c r="M2769" s="115">
        <v>179.03</v>
      </c>
      <c r="N2769" s="115">
        <v>183</v>
      </c>
      <c r="O2769" s="115">
        <v>172.79</v>
      </c>
      <c r="P2769" s="115">
        <v>172.79</v>
      </c>
      <c r="Q2769" s="115">
        <v>179.03</v>
      </c>
      <c r="R2769">
        <v>160616</v>
      </c>
    </row>
    <row r="2770" spans="1:18" x14ac:dyDescent="0.25">
      <c r="A2770" s="169">
        <v>46083</v>
      </c>
      <c r="B2770">
        <v>173</v>
      </c>
      <c r="C2770">
        <v>171.75</v>
      </c>
      <c r="D2770">
        <v>168.05</v>
      </c>
      <c r="E2770">
        <v>173</v>
      </c>
      <c r="F2770">
        <v>171.75</v>
      </c>
      <c r="G2770">
        <v>19450</v>
      </c>
      <c r="H2770" s="115"/>
      <c r="I2770" s="115"/>
      <c r="L2770" s="169">
        <v>46080</v>
      </c>
      <c r="M2770" s="115">
        <v>176.53</v>
      </c>
      <c r="N2770" s="115">
        <v>181.7</v>
      </c>
      <c r="O2770" s="115">
        <v>175.3</v>
      </c>
      <c r="P2770" s="115">
        <v>181.7</v>
      </c>
      <c r="Q2770" s="115">
        <v>176.53</v>
      </c>
      <c r="R2770">
        <v>86404</v>
      </c>
    </row>
    <row r="2771" spans="1:18" x14ac:dyDescent="0.25">
      <c r="A2771" s="169">
        <v>46085</v>
      </c>
      <c r="B2771">
        <v>172</v>
      </c>
      <c r="C2771">
        <v>169.45</v>
      </c>
      <c r="D2771">
        <v>165.6</v>
      </c>
      <c r="E2771">
        <v>167.55</v>
      </c>
      <c r="F2771">
        <v>169.45</v>
      </c>
      <c r="G2771">
        <v>9412</v>
      </c>
      <c r="H2771" s="115"/>
      <c r="I2771" s="115"/>
      <c r="L2771" s="169">
        <v>46083</v>
      </c>
      <c r="M2771" s="115">
        <v>171.49</v>
      </c>
      <c r="N2771" s="115">
        <v>174.89</v>
      </c>
      <c r="O2771" s="115">
        <v>167.87</v>
      </c>
      <c r="P2771" s="115">
        <v>174.89</v>
      </c>
      <c r="Q2771" s="115">
        <v>171.49</v>
      </c>
      <c r="R2771">
        <v>144451</v>
      </c>
    </row>
    <row r="2772" spans="1:18" x14ac:dyDescent="0.25">
      <c r="A2772" s="169">
        <v>46086</v>
      </c>
      <c r="B2772">
        <v>171.45</v>
      </c>
      <c r="C2772">
        <v>170.35</v>
      </c>
      <c r="D2772">
        <v>166.9</v>
      </c>
      <c r="E2772">
        <v>169.5</v>
      </c>
      <c r="F2772">
        <v>170.35</v>
      </c>
      <c r="G2772">
        <v>7657</v>
      </c>
      <c r="H2772" s="115"/>
      <c r="I2772" s="115"/>
      <c r="L2772" s="169">
        <v>46085</v>
      </c>
      <c r="M2772" s="115">
        <v>169.05</v>
      </c>
      <c r="N2772" s="115">
        <v>170.99</v>
      </c>
      <c r="O2772" s="115">
        <v>165.01</v>
      </c>
      <c r="P2772" s="115">
        <v>170</v>
      </c>
      <c r="Q2772" s="115">
        <v>169.05</v>
      </c>
      <c r="R2772">
        <v>143074</v>
      </c>
    </row>
    <row r="2773" spans="1:18" x14ac:dyDescent="0.25">
      <c r="A2773" s="169">
        <v>46087</v>
      </c>
      <c r="B2773">
        <v>173.8</v>
      </c>
      <c r="C2773">
        <v>172.1</v>
      </c>
      <c r="D2773">
        <v>169.65</v>
      </c>
      <c r="E2773">
        <v>171.95</v>
      </c>
      <c r="F2773">
        <v>172.1</v>
      </c>
      <c r="G2773">
        <v>12469</v>
      </c>
      <c r="H2773" s="115"/>
      <c r="I2773" s="115"/>
      <c r="L2773" s="169">
        <v>46086</v>
      </c>
      <c r="M2773" s="115">
        <v>170.45</v>
      </c>
      <c r="N2773" s="115">
        <v>171.96</v>
      </c>
      <c r="O2773" s="115">
        <v>166.6</v>
      </c>
      <c r="P2773" s="115">
        <v>170.78</v>
      </c>
      <c r="Q2773" s="115">
        <v>170.45</v>
      </c>
      <c r="R2773">
        <v>213157</v>
      </c>
    </row>
    <row r="2774" spans="1:18" x14ac:dyDescent="0.25">
      <c r="A2774" s="169">
        <v>46090</v>
      </c>
      <c r="B2774">
        <v>170.1</v>
      </c>
      <c r="C2774">
        <v>167.35</v>
      </c>
      <c r="D2774">
        <v>164.1</v>
      </c>
      <c r="E2774">
        <v>169</v>
      </c>
      <c r="F2774">
        <v>167.35</v>
      </c>
      <c r="G2774">
        <v>10092</v>
      </c>
      <c r="H2774" s="115"/>
      <c r="I2774" s="115"/>
      <c r="L2774" s="169">
        <v>46087</v>
      </c>
      <c r="M2774" s="115">
        <v>172.16</v>
      </c>
      <c r="N2774" s="115">
        <v>173.9</v>
      </c>
      <c r="O2774" s="115">
        <v>169.33</v>
      </c>
      <c r="P2774" s="115">
        <v>170.01</v>
      </c>
      <c r="Q2774" s="115">
        <v>172.16</v>
      </c>
      <c r="R2774">
        <v>110436</v>
      </c>
    </row>
    <row r="2775" spans="1:18" x14ac:dyDescent="0.25">
      <c r="A2775" s="169">
        <v>46091</v>
      </c>
      <c r="B2775">
        <v>174.5</v>
      </c>
      <c r="C2775">
        <v>173.95</v>
      </c>
      <c r="D2775">
        <v>164.2</v>
      </c>
      <c r="E2775">
        <v>164.2</v>
      </c>
      <c r="F2775">
        <v>173.95</v>
      </c>
      <c r="G2775">
        <v>14281</v>
      </c>
      <c r="H2775" s="115"/>
      <c r="I2775" s="115"/>
      <c r="L2775" s="169">
        <v>46090</v>
      </c>
      <c r="M2775" s="115">
        <v>167.56</v>
      </c>
      <c r="N2775" s="115">
        <v>169.99</v>
      </c>
      <c r="O2775" s="115">
        <v>164</v>
      </c>
      <c r="P2775" s="115">
        <v>169.99</v>
      </c>
      <c r="Q2775" s="115">
        <v>167.56</v>
      </c>
      <c r="R2775">
        <v>113439</v>
      </c>
    </row>
    <row r="2776" spans="1:18" x14ac:dyDescent="0.25">
      <c r="A2776" s="169">
        <v>46092</v>
      </c>
      <c r="B2776">
        <v>173.6</v>
      </c>
      <c r="C2776">
        <v>170.05</v>
      </c>
      <c r="D2776">
        <v>169.45</v>
      </c>
      <c r="E2776">
        <v>172</v>
      </c>
      <c r="F2776">
        <v>170.05</v>
      </c>
      <c r="G2776">
        <v>3875</v>
      </c>
      <c r="H2776" s="115"/>
      <c r="I2776" s="115"/>
      <c r="L2776" s="169">
        <v>46091</v>
      </c>
      <c r="M2776" s="115">
        <v>172.67</v>
      </c>
      <c r="N2776" s="115">
        <v>174</v>
      </c>
      <c r="O2776" s="115">
        <v>168.11</v>
      </c>
      <c r="P2776" s="115">
        <v>168.45</v>
      </c>
      <c r="Q2776" s="115">
        <v>172.67</v>
      </c>
      <c r="R2776">
        <v>128992</v>
      </c>
    </row>
    <row r="2777" spans="1:18" x14ac:dyDescent="0.25">
      <c r="A2777" s="169">
        <v>46093</v>
      </c>
      <c r="B2777">
        <v>170.05</v>
      </c>
      <c r="C2777">
        <v>167.2</v>
      </c>
      <c r="D2777">
        <v>163.55000000000001</v>
      </c>
      <c r="E2777">
        <v>167.1</v>
      </c>
      <c r="F2777">
        <v>167.2</v>
      </c>
      <c r="G2777">
        <v>9542</v>
      </c>
      <c r="H2777" s="115"/>
      <c r="I2777" s="115"/>
      <c r="L2777" s="169">
        <v>46092</v>
      </c>
      <c r="M2777" s="115">
        <v>169.88</v>
      </c>
      <c r="N2777" s="115">
        <v>174</v>
      </c>
      <c r="O2777" s="115">
        <v>169.5</v>
      </c>
      <c r="P2777" s="115">
        <v>172.67</v>
      </c>
      <c r="Q2777" s="115">
        <v>169.88</v>
      </c>
      <c r="R2777">
        <v>177828</v>
      </c>
    </row>
    <row r="2778" spans="1:18" x14ac:dyDescent="0.25">
      <c r="A2778" s="169">
        <v>46094</v>
      </c>
      <c r="B2778">
        <v>167.95</v>
      </c>
      <c r="C2778">
        <v>161.44999999999999</v>
      </c>
      <c r="D2778">
        <v>161</v>
      </c>
      <c r="E2778">
        <v>166.75</v>
      </c>
      <c r="F2778">
        <v>161.44999999999999</v>
      </c>
      <c r="G2778">
        <v>8580</v>
      </c>
      <c r="H2778" s="115"/>
      <c r="I2778" s="115"/>
      <c r="L2778" s="169">
        <v>46093</v>
      </c>
      <c r="M2778" s="115">
        <v>167.26</v>
      </c>
      <c r="N2778" s="115">
        <v>170</v>
      </c>
      <c r="O2778" s="115">
        <v>165.43</v>
      </c>
      <c r="P2778" s="115">
        <v>166</v>
      </c>
      <c r="Q2778" s="115">
        <v>167.26</v>
      </c>
      <c r="R2778">
        <v>153412</v>
      </c>
    </row>
    <row r="2779" spans="1:18" x14ac:dyDescent="0.25">
      <c r="A2779" s="169">
        <v>46097</v>
      </c>
      <c r="B2779">
        <v>162.9</v>
      </c>
      <c r="C2779">
        <v>161.15</v>
      </c>
      <c r="D2779">
        <v>156.94999999999999</v>
      </c>
      <c r="E2779">
        <v>161.5</v>
      </c>
      <c r="F2779">
        <v>161.15</v>
      </c>
      <c r="G2779">
        <v>13572</v>
      </c>
      <c r="H2779" s="115"/>
      <c r="I2779" s="115"/>
      <c r="L2779" s="169">
        <v>46094</v>
      </c>
      <c r="M2779" s="115">
        <v>161.41</v>
      </c>
      <c r="N2779" s="115">
        <v>168.34</v>
      </c>
      <c r="O2779" s="115">
        <v>160.80000000000001</v>
      </c>
      <c r="P2779" s="115">
        <v>167.26</v>
      </c>
      <c r="Q2779" s="115">
        <v>161.41</v>
      </c>
      <c r="R2779">
        <v>163910</v>
      </c>
    </row>
    <row r="2780" spans="1:18" x14ac:dyDescent="0.25">
      <c r="A2780" s="169">
        <v>46098</v>
      </c>
      <c r="B2780">
        <v>163.05000000000001</v>
      </c>
      <c r="C2780">
        <v>162.05000000000001</v>
      </c>
      <c r="D2780">
        <v>159.85</v>
      </c>
      <c r="E2780">
        <v>160</v>
      </c>
      <c r="F2780">
        <v>162.05000000000001</v>
      </c>
      <c r="G2780">
        <v>6500</v>
      </c>
      <c r="H2780" s="115"/>
      <c r="I2780" s="115"/>
      <c r="L2780" s="169">
        <v>46097</v>
      </c>
      <c r="M2780" s="115">
        <v>160.84</v>
      </c>
      <c r="N2780" s="115">
        <v>162.88</v>
      </c>
      <c r="O2780" s="115">
        <v>156.66999999999999</v>
      </c>
      <c r="P2780" s="115">
        <v>161.55000000000001</v>
      </c>
      <c r="Q2780" s="115">
        <v>160.84</v>
      </c>
      <c r="R2780">
        <v>210777</v>
      </c>
    </row>
    <row r="2781" spans="1:18" x14ac:dyDescent="0.25">
      <c r="A2781" s="169">
        <v>46099</v>
      </c>
      <c r="B2781">
        <v>167.95</v>
      </c>
      <c r="C2781">
        <v>166.05</v>
      </c>
      <c r="D2781">
        <v>163.95</v>
      </c>
      <c r="E2781">
        <v>164</v>
      </c>
      <c r="F2781">
        <v>166.05</v>
      </c>
      <c r="G2781">
        <v>6346</v>
      </c>
      <c r="H2781" s="115"/>
      <c r="I2781" s="115"/>
      <c r="L2781" s="169">
        <v>46098</v>
      </c>
      <c r="M2781" s="115">
        <v>162.46</v>
      </c>
      <c r="N2781" s="115">
        <v>163.13999999999999</v>
      </c>
      <c r="O2781" s="115">
        <v>159.49</v>
      </c>
      <c r="P2781" s="115">
        <v>161.80000000000001</v>
      </c>
      <c r="Q2781" s="115">
        <v>162.46</v>
      </c>
      <c r="R2781">
        <v>128922</v>
      </c>
    </row>
    <row r="2782" spans="1:18" x14ac:dyDescent="0.25">
      <c r="A2782" s="169">
        <v>46100</v>
      </c>
      <c r="B2782">
        <v>164.5</v>
      </c>
      <c r="C2782">
        <v>161.35</v>
      </c>
      <c r="D2782">
        <v>160</v>
      </c>
      <c r="E2782">
        <v>163.19999999999999</v>
      </c>
      <c r="F2782">
        <v>161.35</v>
      </c>
      <c r="G2782">
        <v>3108</v>
      </c>
      <c r="H2782" s="115"/>
      <c r="I2782" s="115"/>
      <c r="L2782" s="169">
        <v>46099</v>
      </c>
      <c r="M2782" s="115">
        <v>165.91</v>
      </c>
      <c r="N2782" s="115">
        <v>168.25</v>
      </c>
      <c r="O2782" s="115">
        <v>161.99</v>
      </c>
      <c r="P2782" s="115">
        <v>162</v>
      </c>
      <c r="Q2782" s="115">
        <v>165.91</v>
      </c>
      <c r="R2782">
        <v>152243</v>
      </c>
    </row>
    <row r="2783" spans="1:18" x14ac:dyDescent="0.25">
      <c r="A2783" s="169">
        <v>46101</v>
      </c>
      <c r="B2783">
        <v>166.15</v>
      </c>
      <c r="C2783">
        <v>162.9</v>
      </c>
      <c r="D2783">
        <v>161.5</v>
      </c>
      <c r="E2783">
        <v>161.5</v>
      </c>
      <c r="F2783">
        <v>162.9</v>
      </c>
      <c r="G2783">
        <v>5756</v>
      </c>
      <c r="H2783" s="115"/>
      <c r="I2783" s="115"/>
      <c r="L2783" s="169">
        <v>46100</v>
      </c>
      <c r="M2783" s="115">
        <v>160.9</v>
      </c>
      <c r="N2783" s="115">
        <v>164.67</v>
      </c>
      <c r="O2783" s="115">
        <v>160.08000000000001</v>
      </c>
      <c r="P2783" s="115">
        <v>163.43</v>
      </c>
      <c r="Q2783" s="115">
        <v>160.9</v>
      </c>
      <c r="R2783">
        <v>77011</v>
      </c>
    </row>
    <row r="2784" spans="1:18" x14ac:dyDescent="0.25">
      <c r="A2784" s="169">
        <v>46104</v>
      </c>
      <c r="B2784">
        <v>158.6</v>
      </c>
      <c r="C2784">
        <v>153.69999999999999</v>
      </c>
      <c r="D2784">
        <v>152.30000000000001</v>
      </c>
      <c r="E2784">
        <v>158.19999999999999</v>
      </c>
      <c r="F2784">
        <v>153.69999999999999</v>
      </c>
      <c r="G2784">
        <v>16472</v>
      </c>
      <c r="H2784" s="115"/>
      <c r="I2784" s="115"/>
      <c r="L2784" s="169">
        <v>46101</v>
      </c>
      <c r="M2784" s="115">
        <v>162.93</v>
      </c>
      <c r="N2784" s="115">
        <v>166.18</v>
      </c>
      <c r="O2784" s="115">
        <v>162.16999999999999</v>
      </c>
      <c r="P2784" s="115">
        <v>162.6</v>
      </c>
      <c r="Q2784" s="115">
        <v>162.93</v>
      </c>
      <c r="R2784">
        <v>104840</v>
      </c>
    </row>
    <row r="2785" spans="1:18" x14ac:dyDescent="0.25">
      <c r="A2785" s="169">
        <v>46105</v>
      </c>
      <c r="B2785">
        <v>163.55000000000001</v>
      </c>
      <c r="C2785">
        <v>162</v>
      </c>
      <c r="D2785">
        <v>152.80000000000001</v>
      </c>
      <c r="E2785">
        <v>155</v>
      </c>
      <c r="F2785">
        <v>162</v>
      </c>
      <c r="G2785">
        <v>29643</v>
      </c>
      <c r="H2785" s="115"/>
      <c r="I2785" s="115"/>
      <c r="L2785" s="169">
        <v>46104</v>
      </c>
      <c r="M2785" s="115">
        <v>153.6</v>
      </c>
      <c r="N2785" s="115">
        <v>160.49</v>
      </c>
      <c r="O2785" s="115">
        <v>151.69999999999999</v>
      </c>
      <c r="P2785" s="115">
        <v>160.08000000000001</v>
      </c>
      <c r="Q2785" s="115">
        <v>153.6</v>
      </c>
      <c r="R2785">
        <v>211941</v>
      </c>
    </row>
    <row r="2786" spans="1:18" x14ac:dyDescent="0.25">
      <c r="A2786" s="169">
        <v>46106</v>
      </c>
      <c r="B2786">
        <v>167.5</v>
      </c>
      <c r="C2786">
        <v>165.15</v>
      </c>
      <c r="D2786">
        <v>162.55000000000001</v>
      </c>
      <c r="E2786">
        <v>162.55000000000001</v>
      </c>
      <c r="F2786">
        <v>165.15</v>
      </c>
      <c r="G2786">
        <v>9433</v>
      </c>
      <c r="H2786" s="115"/>
      <c r="I2786" s="115"/>
      <c r="L2786" s="169">
        <v>46105</v>
      </c>
      <c r="M2786" s="115">
        <v>162.33000000000001</v>
      </c>
      <c r="N2786" s="115">
        <v>163.69999999999999</v>
      </c>
      <c r="O2786" s="115">
        <v>154</v>
      </c>
      <c r="P2786" s="115">
        <v>154</v>
      </c>
      <c r="Q2786" s="115">
        <v>162.33000000000001</v>
      </c>
      <c r="R2786">
        <v>205449</v>
      </c>
    </row>
    <row r="2787" spans="1:18" x14ac:dyDescent="0.25">
      <c r="A2787" s="169">
        <v>46108</v>
      </c>
      <c r="B2787">
        <v>166.45</v>
      </c>
      <c r="C2787">
        <v>156.15</v>
      </c>
      <c r="D2787">
        <v>155.19999999999999</v>
      </c>
      <c r="E2787">
        <v>166.45</v>
      </c>
      <c r="F2787">
        <v>156.15</v>
      </c>
      <c r="G2787">
        <v>34117</v>
      </c>
      <c r="H2787" s="115"/>
      <c r="I2787" s="115"/>
      <c r="L2787" s="169">
        <v>46106</v>
      </c>
      <c r="M2787" s="115">
        <v>165.14</v>
      </c>
      <c r="N2787" s="115">
        <v>167.99</v>
      </c>
      <c r="O2787" s="115">
        <v>162.34</v>
      </c>
      <c r="P2787" s="115">
        <v>162.34</v>
      </c>
      <c r="Q2787" s="115">
        <v>165.14</v>
      </c>
      <c r="R2787">
        <v>134736</v>
      </c>
    </row>
    <row r="2788" spans="1:18" x14ac:dyDescent="0.25">
      <c r="A2788" s="169">
        <v>46111</v>
      </c>
      <c r="B2788">
        <v>158.85</v>
      </c>
      <c r="C2788">
        <v>150.15</v>
      </c>
      <c r="D2788">
        <v>148.94999999999999</v>
      </c>
      <c r="E2788">
        <v>156.15</v>
      </c>
      <c r="F2788">
        <v>150.15</v>
      </c>
      <c r="G2788">
        <v>34172</v>
      </c>
      <c r="H2788" s="115"/>
      <c r="I2788" s="115"/>
      <c r="L2788" s="169">
        <v>46108</v>
      </c>
      <c r="M2788" s="115">
        <v>156.19999999999999</v>
      </c>
      <c r="N2788" s="115">
        <v>165.37</v>
      </c>
      <c r="O2788" s="115">
        <v>153.5</v>
      </c>
      <c r="P2788" s="115">
        <v>164</v>
      </c>
      <c r="Q2788" s="115">
        <v>156.19999999999999</v>
      </c>
      <c r="R2788">
        <v>200716</v>
      </c>
    </row>
    <row r="2789" spans="1:18" x14ac:dyDescent="0.25">
      <c r="A2789" s="169">
        <v>46113</v>
      </c>
      <c r="B2789">
        <v>161.9</v>
      </c>
      <c r="C2789">
        <v>161.05000000000001</v>
      </c>
      <c r="D2789">
        <v>150.5</v>
      </c>
      <c r="E2789">
        <v>150.5</v>
      </c>
      <c r="F2789">
        <v>161.05000000000001</v>
      </c>
      <c r="G2789">
        <v>6031</v>
      </c>
      <c r="H2789" s="115"/>
      <c r="I2789" s="115"/>
      <c r="L2789" s="169">
        <v>46111</v>
      </c>
      <c r="M2789" s="115">
        <v>149.9</v>
      </c>
      <c r="N2789" s="115">
        <v>158</v>
      </c>
      <c r="O2789" s="115">
        <v>148.6</v>
      </c>
      <c r="P2789" s="115">
        <v>156</v>
      </c>
      <c r="Q2789" s="115">
        <v>149.9</v>
      </c>
      <c r="R2789">
        <v>838788</v>
      </c>
    </row>
    <row r="2790" spans="1:18" x14ac:dyDescent="0.25">
      <c r="A2790" s="169">
        <v>46114</v>
      </c>
      <c r="B2790">
        <v>164</v>
      </c>
      <c r="C2790">
        <v>163.25</v>
      </c>
      <c r="D2790">
        <v>156</v>
      </c>
      <c r="E2790">
        <v>162.65</v>
      </c>
      <c r="F2790">
        <v>163.25</v>
      </c>
      <c r="G2790">
        <v>8330</v>
      </c>
      <c r="H2790" s="115"/>
      <c r="I2790" s="115"/>
      <c r="L2790" s="169">
        <v>46113</v>
      </c>
      <c r="M2790" s="115">
        <v>161.44999999999999</v>
      </c>
      <c r="N2790" s="115">
        <v>162</v>
      </c>
      <c r="O2790" s="115">
        <v>153.05000000000001</v>
      </c>
      <c r="P2790" s="115">
        <v>153.05000000000001</v>
      </c>
      <c r="Q2790" s="115">
        <v>161.44999999999999</v>
      </c>
      <c r="R2790">
        <v>97100</v>
      </c>
    </row>
    <row r="2791" spans="1:18" x14ac:dyDescent="0.25">
      <c r="A2791" s="169">
        <v>46118</v>
      </c>
      <c r="B2791">
        <v>168.45</v>
      </c>
      <c r="C2791">
        <v>167.45</v>
      </c>
      <c r="D2791">
        <v>161.85</v>
      </c>
      <c r="E2791">
        <v>165.75</v>
      </c>
      <c r="F2791">
        <v>167.45</v>
      </c>
      <c r="G2791">
        <v>9263</v>
      </c>
      <c r="H2791" s="115"/>
      <c r="I2791" s="115"/>
      <c r="L2791" s="169">
        <v>46114</v>
      </c>
      <c r="M2791" s="115">
        <v>163.22</v>
      </c>
      <c r="N2791" s="115">
        <v>164.38</v>
      </c>
      <c r="O2791" s="115">
        <v>156.1</v>
      </c>
      <c r="P2791" s="115">
        <v>161.44999999999999</v>
      </c>
      <c r="Q2791" s="115">
        <v>163.22</v>
      </c>
      <c r="R2791">
        <v>65614</v>
      </c>
    </row>
    <row r="2792" spans="1:18" x14ac:dyDescent="0.25">
      <c r="A2792" s="169">
        <v>46119</v>
      </c>
      <c r="B2792">
        <v>169.9</v>
      </c>
      <c r="C2792">
        <v>168.7</v>
      </c>
      <c r="D2792">
        <v>166.45</v>
      </c>
      <c r="E2792">
        <v>168.8</v>
      </c>
      <c r="F2792">
        <v>168.7</v>
      </c>
      <c r="G2792">
        <v>6013</v>
      </c>
      <c r="H2792" s="115"/>
      <c r="I2792" s="115"/>
      <c r="L2792" s="169">
        <v>46118</v>
      </c>
      <c r="M2792" s="115">
        <v>167.24</v>
      </c>
      <c r="N2792" s="115">
        <v>167.7</v>
      </c>
      <c r="O2792" s="115">
        <v>162</v>
      </c>
      <c r="P2792" s="115">
        <v>164.04</v>
      </c>
      <c r="Q2792" s="115">
        <v>167.24</v>
      </c>
      <c r="R2792">
        <v>108278</v>
      </c>
    </row>
    <row r="2793" spans="1:18" x14ac:dyDescent="0.25">
      <c r="A2793" s="169">
        <v>46120</v>
      </c>
      <c r="B2793">
        <v>177</v>
      </c>
      <c r="C2793">
        <v>175.9</v>
      </c>
      <c r="D2793">
        <v>170.7</v>
      </c>
      <c r="E2793">
        <v>172.95</v>
      </c>
      <c r="F2793">
        <v>175.9</v>
      </c>
      <c r="G2793">
        <v>13270</v>
      </c>
      <c r="H2793" s="115"/>
      <c r="I2793" s="115"/>
      <c r="L2793" s="169">
        <v>46119</v>
      </c>
      <c r="M2793" s="115">
        <v>168.69</v>
      </c>
      <c r="N2793" s="115">
        <v>170.94</v>
      </c>
      <c r="O2793" s="115">
        <v>165.96</v>
      </c>
      <c r="P2793" s="115">
        <v>167.9</v>
      </c>
      <c r="Q2793" s="115">
        <v>168.69</v>
      </c>
      <c r="R2793">
        <v>102027</v>
      </c>
    </row>
    <row r="2794" spans="1:18" x14ac:dyDescent="0.25">
      <c r="A2794" s="169">
        <v>46121</v>
      </c>
      <c r="B2794">
        <v>178.1</v>
      </c>
      <c r="C2794">
        <v>175.15</v>
      </c>
      <c r="D2794">
        <v>172.85</v>
      </c>
      <c r="E2794">
        <v>176.05</v>
      </c>
      <c r="F2794">
        <v>175.15</v>
      </c>
      <c r="G2794">
        <v>4049</v>
      </c>
      <c r="H2794" s="115"/>
      <c r="I2794" s="115"/>
      <c r="L2794" s="169">
        <v>46120</v>
      </c>
      <c r="M2794" s="115">
        <v>175.53</v>
      </c>
      <c r="N2794" s="115">
        <v>178</v>
      </c>
      <c r="O2794" s="115">
        <v>171</v>
      </c>
      <c r="P2794" s="115">
        <v>174.78</v>
      </c>
      <c r="Q2794" s="115">
        <v>175.53</v>
      </c>
      <c r="R2794">
        <v>116545</v>
      </c>
    </row>
    <row r="2795" spans="1:18" x14ac:dyDescent="0.25">
      <c r="A2795" s="169">
        <v>46122</v>
      </c>
      <c r="B2795">
        <v>179.5</v>
      </c>
      <c r="C2795">
        <v>177.5</v>
      </c>
      <c r="D2795">
        <v>174.75</v>
      </c>
      <c r="E2795">
        <v>178.05</v>
      </c>
      <c r="F2795">
        <v>177.5</v>
      </c>
      <c r="G2795">
        <v>5604</v>
      </c>
      <c r="H2795" s="115"/>
      <c r="I2795" s="115"/>
      <c r="L2795" s="169">
        <v>46121</v>
      </c>
      <c r="M2795" s="115">
        <v>175.24</v>
      </c>
      <c r="N2795" s="115">
        <v>180</v>
      </c>
      <c r="O2795" s="115">
        <v>173.01</v>
      </c>
      <c r="P2795" s="115">
        <v>176.64</v>
      </c>
      <c r="Q2795" s="115">
        <v>175.24</v>
      </c>
      <c r="R2795">
        <v>66479</v>
      </c>
    </row>
    <row r="2796" spans="1:18" x14ac:dyDescent="0.25">
      <c r="A2796" s="169">
        <v>46125</v>
      </c>
      <c r="B2796">
        <v>177.5</v>
      </c>
      <c r="C2796">
        <v>175.15</v>
      </c>
      <c r="D2796">
        <v>169.05</v>
      </c>
      <c r="E2796">
        <v>177.5</v>
      </c>
      <c r="F2796">
        <v>175.15</v>
      </c>
      <c r="G2796">
        <v>7340</v>
      </c>
      <c r="H2796" s="115"/>
      <c r="I2796" s="115"/>
      <c r="L2796" s="169">
        <v>46122</v>
      </c>
      <c r="M2796" s="115">
        <v>177.82</v>
      </c>
      <c r="N2796" s="115">
        <v>180</v>
      </c>
      <c r="O2796" s="115">
        <v>174.62</v>
      </c>
      <c r="P2796" s="115">
        <v>175.02</v>
      </c>
      <c r="Q2796" s="115">
        <v>177.82</v>
      </c>
      <c r="R2796">
        <v>152109</v>
      </c>
    </row>
    <row r="2797" spans="1:18" x14ac:dyDescent="0.25">
      <c r="A2797" s="169">
        <v>46127</v>
      </c>
      <c r="B2797">
        <v>186.9</v>
      </c>
      <c r="C2797">
        <v>185.85</v>
      </c>
      <c r="D2797">
        <v>179.6</v>
      </c>
      <c r="E2797">
        <v>179.85</v>
      </c>
      <c r="F2797">
        <v>185.85</v>
      </c>
      <c r="G2797">
        <v>16795</v>
      </c>
      <c r="H2797" s="115"/>
      <c r="I2797" s="115"/>
      <c r="L2797" s="169">
        <v>46125</v>
      </c>
      <c r="M2797" s="115">
        <v>174.69</v>
      </c>
      <c r="N2797" s="115">
        <v>176.52</v>
      </c>
      <c r="O2797" s="115">
        <v>171.62</v>
      </c>
      <c r="P2797" s="115">
        <v>175</v>
      </c>
      <c r="Q2797" s="115">
        <v>174.69</v>
      </c>
      <c r="R2797">
        <v>65318</v>
      </c>
    </row>
    <row r="2798" spans="1:18" x14ac:dyDescent="0.25">
      <c r="A2798" s="169">
        <v>46128</v>
      </c>
      <c r="B2798">
        <v>187.85</v>
      </c>
      <c r="C2798">
        <v>186.4</v>
      </c>
      <c r="D2798">
        <v>183</v>
      </c>
      <c r="E2798">
        <v>187.85</v>
      </c>
      <c r="F2798">
        <v>186.4</v>
      </c>
      <c r="G2798">
        <v>7006</v>
      </c>
      <c r="H2798" s="115"/>
      <c r="I2798" s="115"/>
      <c r="L2798" s="169">
        <v>46127</v>
      </c>
      <c r="M2798" s="115">
        <v>185.46</v>
      </c>
      <c r="N2798" s="115">
        <v>188</v>
      </c>
      <c r="O2798" s="115">
        <v>178.8</v>
      </c>
      <c r="P2798" s="115">
        <v>178.9</v>
      </c>
      <c r="Q2798" s="115">
        <v>185.46</v>
      </c>
      <c r="R2798">
        <v>229279</v>
      </c>
    </row>
    <row r="2799" spans="1:18" x14ac:dyDescent="0.25">
      <c r="A2799" s="169">
        <v>46129</v>
      </c>
      <c r="B2799">
        <v>192.55</v>
      </c>
      <c r="C2799">
        <v>190.4</v>
      </c>
      <c r="D2799">
        <v>186.45</v>
      </c>
      <c r="E2799">
        <v>187.9</v>
      </c>
      <c r="F2799">
        <v>190.4</v>
      </c>
      <c r="G2799">
        <v>5504</v>
      </c>
      <c r="H2799" s="115"/>
      <c r="I2799" s="115"/>
      <c r="L2799" s="169">
        <v>46128</v>
      </c>
      <c r="M2799" s="115">
        <v>186.47</v>
      </c>
      <c r="N2799" s="115">
        <v>187.59</v>
      </c>
      <c r="O2799" s="115">
        <v>182.7</v>
      </c>
      <c r="P2799" s="115">
        <v>186.2</v>
      </c>
      <c r="Q2799" s="115">
        <v>186.47</v>
      </c>
      <c r="R2799">
        <v>118029</v>
      </c>
    </row>
    <row r="2800" spans="1:18" x14ac:dyDescent="0.25">
      <c r="A2800" s="169">
        <v>46132</v>
      </c>
      <c r="B2800">
        <v>193.7</v>
      </c>
      <c r="C2800">
        <v>188.85</v>
      </c>
      <c r="D2800">
        <v>188.1</v>
      </c>
      <c r="E2800">
        <v>191.25</v>
      </c>
      <c r="F2800">
        <v>188.85</v>
      </c>
      <c r="G2800">
        <v>9275</v>
      </c>
      <c r="H2800" s="115"/>
      <c r="I2800" s="115"/>
      <c r="L2800" s="169">
        <v>46129</v>
      </c>
      <c r="M2800" s="115">
        <v>190.31</v>
      </c>
      <c r="N2800" s="115">
        <v>192.1</v>
      </c>
      <c r="O2800" s="115">
        <v>186.2</v>
      </c>
      <c r="P2800" s="115">
        <v>187</v>
      </c>
      <c r="Q2800" s="115">
        <v>190.31</v>
      </c>
      <c r="R2800">
        <v>192190</v>
      </c>
    </row>
    <row r="2801" spans="1:18" x14ac:dyDescent="0.25">
      <c r="A2801" s="169">
        <v>46133</v>
      </c>
      <c r="B2801">
        <v>192.95</v>
      </c>
      <c r="C2801">
        <v>189.6</v>
      </c>
      <c r="D2801">
        <v>188.85</v>
      </c>
      <c r="E2801">
        <v>192.8</v>
      </c>
      <c r="F2801">
        <v>189.6</v>
      </c>
      <c r="G2801">
        <v>18547</v>
      </c>
      <c r="H2801" s="115"/>
      <c r="I2801" s="115"/>
      <c r="L2801" s="169">
        <v>46132</v>
      </c>
      <c r="M2801" s="115">
        <v>188.86</v>
      </c>
      <c r="N2801" s="115">
        <v>193.8</v>
      </c>
      <c r="O2801" s="115">
        <v>188.21</v>
      </c>
      <c r="P2801" s="115">
        <v>191</v>
      </c>
      <c r="Q2801" s="115">
        <v>188.86</v>
      </c>
      <c r="R2801">
        <v>238893</v>
      </c>
    </row>
    <row r="2802" spans="1:18" x14ac:dyDescent="0.25">
      <c r="A2802" s="169">
        <v>46134</v>
      </c>
      <c r="B2802">
        <v>192.65</v>
      </c>
      <c r="C2802">
        <v>189.75</v>
      </c>
      <c r="D2802">
        <v>188.7</v>
      </c>
      <c r="E2802">
        <v>190.05</v>
      </c>
      <c r="F2802">
        <v>189.75</v>
      </c>
      <c r="G2802">
        <v>6836</v>
      </c>
      <c r="H2802" s="115"/>
      <c r="I2802" s="115"/>
      <c r="L2802" s="169">
        <v>46133</v>
      </c>
      <c r="M2802" s="115">
        <v>189.75</v>
      </c>
      <c r="N2802" s="115">
        <v>192</v>
      </c>
      <c r="O2802" s="115">
        <v>188.75</v>
      </c>
      <c r="P2802" s="115">
        <v>191.9</v>
      </c>
      <c r="Q2802" s="115">
        <v>189.75</v>
      </c>
      <c r="R2802">
        <v>146593</v>
      </c>
    </row>
    <row r="2803" spans="1:18" x14ac:dyDescent="0.25">
      <c r="A2803" s="169">
        <v>46135</v>
      </c>
      <c r="B2803">
        <v>189.55</v>
      </c>
      <c r="C2803">
        <v>185.4</v>
      </c>
      <c r="D2803">
        <v>184.5</v>
      </c>
      <c r="E2803">
        <v>188</v>
      </c>
      <c r="F2803">
        <v>185.4</v>
      </c>
      <c r="G2803">
        <v>10050</v>
      </c>
      <c r="H2803" s="115"/>
      <c r="I2803" s="115"/>
      <c r="L2803" s="169">
        <v>46134</v>
      </c>
      <c r="M2803" s="115">
        <v>189.97</v>
      </c>
      <c r="N2803" s="115">
        <v>191.95</v>
      </c>
      <c r="O2803" s="115">
        <v>188.23</v>
      </c>
      <c r="P2803" s="115">
        <v>190.49</v>
      </c>
      <c r="Q2803" s="115">
        <v>189.97</v>
      </c>
      <c r="R2803">
        <v>116426</v>
      </c>
    </row>
    <row r="2804" spans="1:18" x14ac:dyDescent="0.25">
      <c r="A2804" s="169">
        <v>46136</v>
      </c>
      <c r="B2804">
        <v>185.1</v>
      </c>
      <c r="C2804">
        <v>177.8</v>
      </c>
      <c r="D2804">
        <v>176.3</v>
      </c>
      <c r="E2804">
        <v>185.1</v>
      </c>
      <c r="F2804">
        <v>177.8</v>
      </c>
      <c r="G2804">
        <v>11602</v>
      </c>
      <c r="H2804" s="115"/>
      <c r="I2804" s="115"/>
      <c r="L2804" s="169">
        <v>46135</v>
      </c>
      <c r="M2804" s="115">
        <v>184.63</v>
      </c>
      <c r="N2804" s="115">
        <v>189.39</v>
      </c>
      <c r="O2804" s="115">
        <v>183.89</v>
      </c>
      <c r="P2804" s="115">
        <v>189.39</v>
      </c>
      <c r="Q2804" s="115">
        <v>184.63</v>
      </c>
      <c r="R2804">
        <v>118256</v>
      </c>
    </row>
    <row r="2805" spans="1:18" x14ac:dyDescent="0.25">
      <c r="A2805" s="169">
        <v>46139</v>
      </c>
      <c r="B2805">
        <v>182.95</v>
      </c>
      <c r="C2805">
        <v>179.9</v>
      </c>
      <c r="D2805">
        <v>178.65</v>
      </c>
      <c r="E2805">
        <v>180.05</v>
      </c>
      <c r="F2805">
        <v>179.9</v>
      </c>
      <c r="G2805">
        <v>16580</v>
      </c>
      <c r="H2805" s="115"/>
      <c r="I2805" s="115"/>
      <c r="L2805" s="169">
        <v>46136</v>
      </c>
      <c r="M2805" s="115">
        <v>177.24</v>
      </c>
      <c r="N2805" s="115">
        <v>185</v>
      </c>
      <c r="O2805" s="115">
        <v>176.25</v>
      </c>
      <c r="P2805" s="115">
        <v>184.7</v>
      </c>
      <c r="Q2805" s="115">
        <v>177.24</v>
      </c>
      <c r="R2805">
        <v>164396</v>
      </c>
    </row>
    <row r="2806" spans="1:18" x14ac:dyDescent="0.25">
      <c r="A2806" s="169">
        <v>46140</v>
      </c>
      <c r="B2806">
        <v>181.55</v>
      </c>
      <c r="C2806">
        <v>178.35</v>
      </c>
      <c r="D2806">
        <v>176.5</v>
      </c>
      <c r="E2806">
        <v>179.95</v>
      </c>
      <c r="F2806">
        <v>178.35</v>
      </c>
      <c r="G2806">
        <v>4164</v>
      </c>
      <c r="H2806" s="115"/>
      <c r="I2806" s="115"/>
      <c r="L2806" s="169">
        <v>46139</v>
      </c>
      <c r="M2806" s="115">
        <v>179.95</v>
      </c>
      <c r="N2806" s="115">
        <v>183.33</v>
      </c>
      <c r="O2806" s="115">
        <v>178.55</v>
      </c>
      <c r="P2806" s="115">
        <v>182.2</v>
      </c>
      <c r="Q2806" s="115">
        <v>179.95</v>
      </c>
      <c r="R2806">
        <v>290509</v>
      </c>
    </row>
    <row r="2807" spans="1:18" x14ac:dyDescent="0.25">
      <c r="A2807" s="169">
        <v>46141</v>
      </c>
      <c r="B2807">
        <v>181</v>
      </c>
      <c r="C2807">
        <v>179.8</v>
      </c>
      <c r="D2807">
        <v>177</v>
      </c>
      <c r="E2807">
        <v>177</v>
      </c>
      <c r="F2807">
        <v>179.8</v>
      </c>
      <c r="G2807">
        <v>4302</v>
      </c>
      <c r="H2807" s="115"/>
      <c r="I2807" s="115"/>
      <c r="L2807" s="169">
        <v>46140</v>
      </c>
      <c r="M2807" s="115">
        <v>177.96</v>
      </c>
      <c r="N2807" s="115">
        <v>182</v>
      </c>
      <c r="O2807" s="115">
        <v>176.31</v>
      </c>
      <c r="P2807" s="115">
        <v>179.95</v>
      </c>
      <c r="Q2807" s="115">
        <v>177.96</v>
      </c>
      <c r="R2807">
        <v>121677</v>
      </c>
    </row>
    <row r="2808" spans="1:18" x14ac:dyDescent="0.25">
      <c r="A2808" s="169">
        <v>46142</v>
      </c>
      <c r="B2808">
        <v>180</v>
      </c>
      <c r="C2808">
        <v>179.5</v>
      </c>
      <c r="D2808">
        <v>175.8</v>
      </c>
      <c r="E2808">
        <v>179</v>
      </c>
      <c r="F2808">
        <v>179.5</v>
      </c>
      <c r="G2808">
        <v>1597</v>
      </c>
      <c r="H2808" s="115"/>
      <c r="I2808" s="115"/>
      <c r="L2808" s="169">
        <v>46141</v>
      </c>
      <c r="M2808" s="115">
        <v>179.96</v>
      </c>
      <c r="N2808" s="115">
        <v>180.9</v>
      </c>
      <c r="O2808" s="115">
        <v>177.64</v>
      </c>
      <c r="P2808" s="115">
        <v>178</v>
      </c>
      <c r="Q2808" s="115">
        <v>179.96</v>
      </c>
      <c r="R2808">
        <v>134953</v>
      </c>
    </row>
    <row r="2809" spans="1:18" x14ac:dyDescent="0.25">
      <c r="A2809" s="169">
        <v>46146</v>
      </c>
      <c r="B2809">
        <v>180</v>
      </c>
      <c r="C2809">
        <v>179.7</v>
      </c>
      <c r="D2809">
        <v>177.85</v>
      </c>
      <c r="E2809">
        <v>179</v>
      </c>
      <c r="F2809">
        <v>179.7</v>
      </c>
      <c r="G2809">
        <v>1850</v>
      </c>
      <c r="H2809" s="115"/>
      <c r="I2809" s="115"/>
      <c r="L2809" s="169">
        <v>46142</v>
      </c>
      <c r="M2809" s="115">
        <v>179.36</v>
      </c>
      <c r="N2809" s="115">
        <v>180</v>
      </c>
      <c r="O2809" s="115">
        <v>175.11</v>
      </c>
      <c r="P2809" s="115">
        <v>178.61</v>
      </c>
      <c r="Q2809" s="115">
        <v>179.36</v>
      </c>
      <c r="R2809">
        <v>75000</v>
      </c>
    </row>
    <row r="2810" spans="1:18" x14ac:dyDescent="0.25">
      <c r="A2810" s="169">
        <v>46147</v>
      </c>
      <c r="B2810">
        <v>178.9</v>
      </c>
      <c r="C2810">
        <v>177.4</v>
      </c>
      <c r="D2810">
        <v>177</v>
      </c>
      <c r="E2810">
        <v>177.45</v>
      </c>
      <c r="F2810">
        <v>177.4</v>
      </c>
      <c r="G2810">
        <v>2148</v>
      </c>
      <c r="H2810" s="115"/>
      <c r="I2810" s="115"/>
      <c r="L2810" s="169">
        <v>46146</v>
      </c>
      <c r="M2810" s="115">
        <v>179.19</v>
      </c>
      <c r="N2810" s="115">
        <v>180</v>
      </c>
      <c r="O2810" s="115">
        <v>177.93</v>
      </c>
      <c r="P2810" s="115">
        <v>177.99</v>
      </c>
      <c r="Q2810" s="115">
        <v>179.19</v>
      </c>
      <c r="R2810">
        <v>49993</v>
      </c>
    </row>
    <row r="2811" spans="1:18" x14ac:dyDescent="0.25">
      <c r="A2811" s="169">
        <v>46148</v>
      </c>
      <c r="B2811">
        <v>186.1</v>
      </c>
      <c r="C2811">
        <v>184.8</v>
      </c>
      <c r="D2811">
        <v>178.25</v>
      </c>
      <c r="E2811">
        <v>180.9</v>
      </c>
      <c r="F2811">
        <v>184.8</v>
      </c>
      <c r="G2811">
        <v>6000</v>
      </c>
      <c r="H2811" s="115"/>
      <c r="I2811" s="115"/>
      <c r="L2811" s="169">
        <v>46147</v>
      </c>
      <c r="M2811" s="115">
        <v>177.61</v>
      </c>
      <c r="N2811" s="115">
        <v>178.93</v>
      </c>
      <c r="O2811" s="115">
        <v>177.11</v>
      </c>
      <c r="P2811" s="115">
        <v>178</v>
      </c>
      <c r="Q2811" s="115">
        <v>177.61</v>
      </c>
      <c r="R2811">
        <v>40965</v>
      </c>
    </row>
    <row r="2812" spans="1:18" x14ac:dyDescent="0.25">
      <c r="A2812" s="169">
        <v>46149</v>
      </c>
      <c r="B2812">
        <v>191.2</v>
      </c>
      <c r="C2812">
        <v>188.95</v>
      </c>
      <c r="D2812">
        <v>182.1</v>
      </c>
      <c r="E2812">
        <v>184.75</v>
      </c>
      <c r="F2812">
        <v>188.95</v>
      </c>
      <c r="G2812">
        <v>14429</v>
      </c>
      <c r="H2812" s="115"/>
      <c r="I2812" s="115"/>
      <c r="L2812" s="169">
        <v>46148</v>
      </c>
      <c r="M2812" s="115">
        <v>183.77</v>
      </c>
      <c r="N2812" s="115">
        <v>185.89</v>
      </c>
      <c r="O2812" s="115">
        <v>178.1</v>
      </c>
      <c r="P2812" s="115">
        <v>178.1</v>
      </c>
      <c r="Q2812" s="115">
        <v>183.77</v>
      </c>
      <c r="R2812">
        <v>115895</v>
      </c>
    </row>
    <row r="2813" spans="1:18" x14ac:dyDescent="0.25">
      <c r="A2813" s="169">
        <v>46150</v>
      </c>
      <c r="B2813">
        <v>185.3</v>
      </c>
      <c r="C2813">
        <v>182.05</v>
      </c>
      <c r="D2813">
        <v>181.3</v>
      </c>
      <c r="E2813">
        <v>184.05</v>
      </c>
      <c r="F2813">
        <v>182.05</v>
      </c>
      <c r="G2813">
        <v>6958</v>
      </c>
      <c r="H2813" s="115"/>
      <c r="I2813" s="115"/>
      <c r="L2813" s="169">
        <v>46149</v>
      </c>
      <c r="M2813" s="115">
        <v>186.37</v>
      </c>
      <c r="N2813" s="115">
        <v>191</v>
      </c>
      <c r="O2813" s="115">
        <v>181.6</v>
      </c>
      <c r="P2813" s="115">
        <v>184.45</v>
      </c>
      <c r="Q2813" s="115">
        <v>186.37</v>
      </c>
      <c r="R2813">
        <v>335887</v>
      </c>
    </row>
    <row r="2814" spans="1:18" x14ac:dyDescent="0.25">
      <c r="A2814" s="169">
        <v>46153</v>
      </c>
      <c r="B2814">
        <v>181.25</v>
      </c>
      <c r="C2814">
        <v>179.25</v>
      </c>
      <c r="D2814">
        <v>178.05</v>
      </c>
      <c r="E2814">
        <v>180.05</v>
      </c>
      <c r="F2814">
        <v>179.25</v>
      </c>
      <c r="G2814">
        <v>16191</v>
      </c>
      <c r="H2814" s="115"/>
      <c r="I2814" s="115"/>
      <c r="L2814" s="169">
        <v>46150</v>
      </c>
      <c r="M2814" s="115">
        <v>181.83</v>
      </c>
      <c r="N2814" s="115">
        <v>185.8</v>
      </c>
      <c r="O2814" s="115">
        <v>181</v>
      </c>
      <c r="P2814" s="115">
        <v>184.48</v>
      </c>
      <c r="Q2814" s="115">
        <v>181.83</v>
      </c>
      <c r="R2814">
        <v>218585</v>
      </c>
    </row>
    <row r="2815" spans="1:18" x14ac:dyDescent="0.25">
      <c r="A2815" s="169">
        <v>46154</v>
      </c>
      <c r="B2815">
        <v>180</v>
      </c>
      <c r="C2815">
        <v>173.65</v>
      </c>
      <c r="D2815">
        <v>171.2</v>
      </c>
      <c r="E2815">
        <v>180</v>
      </c>
      <c r="F2815">
        <v>173.65</v>
      </c>
      <c r="G2815">
        <v>4860</v>
      </c>
      <c r="H2815" s="115"/>
      <c r="I2815" s="115"/>
      <c r="L2815" s="169">
        <v>46153</v>
      </c>
      <c r="M2815" s="115">
        <v>178.91</v>
      </c>
      <c r="N2815" s="115">
        <v>182.2</v>
      </c>
      <c r="O2815" s="115">
        <v>178</v>
      </c>
      <c r="P2815" s="115">
        <v>182.2</v>
      </c>
      <c r="Q2815" s="115">
        <v>178.91</v>
      </c>
      <c r="R2815">
        <v>103037</v>
      </c>
    </row>
    <row r="2816" spans="1:18" x14ac:dyDescent="0.25">
      <c r="A2816" s="169">
        <v>46155</v>
      </c>
      <c r="B2816">
        <v>174.8</v>
      </c>
      <c r="C2816">
        <v>170</v>
      </c>
      <c r="D2816">
        <v>169.6</v>
      </c>
      <c r="E2816">
        <v>170.55</v>
      </c>
      <c r="F2816">
        <v>170</v>
      </c>
      <c r="G2816">
        <v>13448</v>
      </c>
      <c r="H2816" s="115"/>
      <c r="I2816" s="115"/>
      <c r="L2816" s="169">
        <v>46154</v>
      </c>
      <c r="M2816" s="115">
        <v>172.91</v>
      </c>
      <c r="N2816" s="115">
        <v>180.32</v>
      </c>
      <c r="O2816" s="115">
        <v>171.43</v>
      </c>
      <c r="P2816" s="115">
        <v>177.32</v>
      </c>
      <c r="Q2816" s="115">
        <v>172.91</v>
      </c>
      <c r="R2816">
        <v>114699</v>
      </c>
    </row>
    <row r="2817" spans="1:18" x14ac:dyDescent="0.25">
      <c r="A2817" s="169">
        <v>46156</v>
      </c>
      <c r="B2817">
        <v>172.6</v>
      </c>
      <c r="C2817">
        <v>168.9</v>
      </c>
      <c r="D2817">
        <v>167.15</v>
      </c>
      <c r="E2817">
        <v>171.05</v>
      </c>
      <c r="F2817">
        <v>168.9</v>
      </c>
      <c r="G2817">
        <v>7976</v>
      </c>
      <c r="H2817" s="115"/>
      <c r="I2817" s="115"/>
      <c r="L2817" s="169">
        <v>46155</v>
      </c>
      <c r="M2817" s="115">
        <v>169.84</v>
      </c>
      <c r="N2817" s="115">
        <v>174.6</v>
      </c>
      <c r="O2817" s="115">
        <v>169.32</v>
      </c>
      <c r="P2817" s="115">
        <v>170.1</v>
      </c>
      <c r="Q2817" s="115">
        <v>169.84</v>
      </c>
      <c r="R2817">
        <v>168057</v>
      </c>
    </row>
    <row r="2818" spans="1:18" x14ac:dyDescent="0.25">
      <c r="A2818" s="169">
        <v>46157</v>
      </c>
      <c r="B2818">
        <v>169.5</v>
      </c>
      <c r="C2818">
        <v>165.25</v>
      </c>
      <c r="D2818">
        <v>165.2</v>
      </c>
      <c r="E2818">
        <v>168.9</v>
      </c>
      <c r="F2818">
        <v>165.25</v>
      </c>
      <c r="G2818">
        <v>6041</v>
      </c>
      <c r="H2818" s="115"/>
      <c r="I2818" s="115"/>
      <c r="L2818" s="169">
        <v>46156</v>
      </c>
      <c r="M2818" s="115">
        <v>168.88</v>
      </c>
      <c r="N2818" s="115">
        <v>174.42</v>
      </c>
      <c r="O2818" s="115">
        <v>167.4</v>
      </c>
      <c r="P2818" s="115">
        <v>170.9</v>
      </c>
      <c r="Q2818" s="115">
        <v>168.88</v>
      </c>
      <c r="R2818">
        <v>83563</v>
      </c>
    </row>
    <row r="2819" spans="1:18" x14ac:dyDescent="0.25">
      <c r="A2819" s="169">
        <v>46160</v>
      </c>
      <c r="B2819">
        <v>165.4</v>
      </c>
      <c r="C2819">
        <v>160.9</v>
      </c>
      <c r="D2819">
        <v>159.30000000000001</v>
      </c>
      <c r="E2819">
        <v>165.4</v>
      </c>
      <c r="F2819">
        <v>160.9</v>
      </c>
      <c r="G2819">
        <v>3636</v>
      </c>
      <c r="H2819" s="115"/>
      <c r="I2819" s="115"/>
      <c r="L2819" s="169">
        <v>46157</v>
      </c>
      <c r="M2819" s="115">
        <v>165.38</v>
      </c>
      <c r="N2819" s="115">
        <v>169.66</v>
      </c>
      <c r="O2819" s="115">
        <v>165.01</v>
      </c>
      <c r="P2819" s="115">
        <v>169.2</v>
      </c>
      <c r="Q2819" s="115">
        <v>165.38</v>
      </c>
      <c r="R2819">
        <v>55206</v>
      </c>
    </row>
    <row r="2820" spans="1:18" x14ac:dyDescent="0.25">
      <c r="A2820" s="169">
        <v>46161</v>
      </c>
      <c r="B2820">
        <v>164.5</v>
      </c>
      <c r="C2820">
        <v>163.85</v>
      </c>
      <c r="D2820">
        <v>159.1</v>
      </c>
      <c r="E2820">
        <v>160.19999999999999</v>
      </c>
      <c r="F2820">
        <v>163.85</v>
      </c>
      <c r="G2820">
        <v>9804</v>
      </c>
      <c r="H2820" s="115"/>
      <c r="I2820" s="115"/>
      <c r="L2820" s="169">
        <v>46160</v>
      </c>
      <c r="M2820" s="115">
        <v>160.69999999999999</v>
      </c>
      <c r="N2820" s="115">
        <v>166.26</v>
      </c>
      <c r="O2820" s="115">
        <v>158.91</v>
      </c>
      <c r="P2820" s="115">
        <v>165</v>
      </c>
      <c r="Q2820" s="115">
        <v>160.69999999999999</v>
      </c>
      <c r="R2820">
        <v>102430</v>
      </c>
    </row>
    <row r="2821" spans="1:18" x14ac:dyDescent="0.25">
      <c r="A2821" s="169">
        <v>46162</v>
      </c>
      <c r="B2821">
        <v>166.1</v>
      </c>
      <c r="C2821">
        <v>165.85</v>
      </c>
      <c r="D2821">
        <v>160.85</v>
      </c>
      <c r="E2821">
        <v>161.4</v>
      </c>
      <c r="F2821">
        <v>165.85</v>
      </c>
      <c r="G2821">
        <v>3850</v>
      </c>
      <c r="H2821" s="115"/>
      <c r="I2821" s="115"/>
      <c r="L2821" s="169">
        <v>46161</v>
      </c>
      <c r="M2821" s="115">
        <v>163.72999999999999</v>
      </c>
      <c r="N2821" s="115">
        <v>164.49</v>
      </c>
      <c r="O2821" s="115">
        <v>158.87</v>
      </c>
      <c r="P2821" s="115">
        <v>160.86000000000001</v>
      </c>
      <c r="Q2821" s="115">
        <v>163.72999999999999</v>
      </c>
      <c r="R2821">
        <v>74908</v>
      </c>
    </row>
    <row r="2822" spans="1:18" x14ac:dyDescent="0.25">
      <c r="A2822" s="169">
        <v>46163</v>
      </c>
      <c r="B2822">
        <v>170.05</v>
      </c>
      <c r="C2822">
        <v>169.55</v>
      </c>
      <c r="D2822">
        <v>166</v>
      </c>
      <c r="E2822">
        <v>166</v>
      </c>
      <c r="F2822">
        <v>169.55</v>
      </c>
      <c r="G2822">
        <v>7855</v>
      </c>
      <c r="H2822" s="115"/>
      <c r="I2822" s="115"/>
      <c r="L2822" s="169">
        <v>46162</v>
      </c>
      <c r="M2822" s="115">
        <v>165.27</v>
      </c>
      <c r="N2822" s="115">
        <v>166.58</v>
      </c>
      <c r="O2822" s="115">
        <v>160.55000000000001</v>
      </c>
      <c r="P2822" s="115">
        <v>161</v>
      </c>
      <c r="Q2822" s="115">
        <v>165.27</v>
      </c>
      <c r="R2822">
        <v>116393</v>
      </c>
    </row>
    <row r="2823" spans="1:18" x14ac:dyDescent="0.25">
      <c r="A2823" s="169">
        <v>46164</v>
      </c>
      <c r="B2823">
        <v>169.95</v>
      </c>
      <c r="C2823">
        <v>168.15</v>
      </c>
      <c r="D2823">
        <v>168</v>
      </c>
      <c r="E2823">
        <v>168.35</v>
      </c>
      <c r="F2823">
        <v>168.15</v>
      </c>
      <c r="G2823">
        <v>751</v>
      </c>
      <c r="H2823" s="115"/>
      <c r="I2823" s="115"/>
      <c r="L2823" s="169">
        <v>46163</v>
      </c>
      <c r="M2823" s="115">
        <v>169.64</v>
      </c>
      <c r="N2823" s="115">
        <v>169.9</v>
      </c>
      <c r="O2823" s="115">
        <v>165</v>
      </c>
      <c r="P2823" s="115">
        <v>165.77</v>
      </c>
      <c r="Q2823" s="115">
        <v>169.64</v>
      </c>
      <c r="R2823">
        <v>64250</v>
      </c>
    </row>
    <row r="2824" spans="1:18" x14ac:dyDescent="0.25">
      <c r="A2824" s="169">
        <v>46167</v>
      </c>
      <c r="B2824">
        <v>172.15</v>
      </c>
      <c r="C2824">
        <v>170</v>
      </c>
      <c r="D2824">
        <v>168</v>
      </c>
      <c r="E2824">
        <v>169.85</v>
      </c>
      <c r="F2824">
        <v>170</v>
      </c>
      <c r="G2824">
        <v>2036</v>
      </c>
      <c r="H2824" s="115"/>
      <c r="I2824" s="115"/>
      <c r="L2824" s="169">
        <v>46164</v>
      </c>
      <c r="M2824" s="115">
        <v>168.68</v>
      </c>
      <c r="N2824" s="115">
        <v>170.21</v>
      </c>
      <c r="O2824" s="115">
        <v>167.5</v>
      </c>
      <c r="P2824" s="115">
        <v>169.64</v>
      </c>
      <c r="Q2824" s="115">
        <v>168.68</v>
      </c>
      <c r="R2824">
        <v>36380</v>
      </c>
    </row>
    <row r="2825" spans="1:18" x14ac:dyDescent="0.25">
      <c r="A2825" s="169">
        <v>46168</v>
      </c>
      <c r="B2825">
        <v>174.85</v>
      </c>
      <c r="C2825">
        <v>169</v>
      </c>
      <c r="D2825">
        <v>167.6</v>
      </c>
      <c r="E2825">
        <v>172.4</v>
      </c>
      <c r="F2825">
        <v>169</v>
      </c>
      <c r="G2825">
        <v>4954</v>
      </c>
      <c r="H2825" s="115"/>
      <c r="I2825" s="115"/>
      <c r="L2825" s="169">
        <v>46167</v>
      </c>
      <c r="M2825" s="115">
        <v>170</v>
      </c>
      <c r="N2825" s="115">
        <v>172.15</v>
      </c>
      <c r="O2825" s="115">
        <v>167.21</v>
      </c>
      <c r="P2825" s="115">
        <v>169.18</v>
      </c>
      <c r="Q2825" s="115">
        <v>170</v>
      </c>
      <c r="R2825">
        <v>93444</v>
      </c>
    </row>
    <row r="2826" spans="1:18" x14ac:dyDescent="0.25">
      <c r="A2826" s="169">
        <v>46169</v>
      </c>
      <c r="B2826">
        <v>170.8</v>
      </c>
      <c r="C2826">
        <v>166.6</v>
      </c>
      <c r="D2826">
        <v>166.2</v>
      </c>
      <c r="E2826">
        <v>167.8</v>
      </c>
      <c r="F2826">
        <v>166.6</v>
      </c>
      <c r="G2826">
        <v>9520</v>
      </c>
      <c r="H2826" s="115"/>
      <c r="I2826" s="115"/>
      <c r="L2826" s="169">
        <v>46168</v>
      </c>
      <c r="M2826" s="115">
        <v>168.61</v>
      </c>
      <c r="N2826" s="115">
        <v>176</v>
      </c>
      <c r="O2826" s="115">
        <v>167.78</v>
      </c>
      <c r="P2826" s="115">
        <v>171</v>
      </c>
      <c r="Q2826" s="115">
        <v>168.61</v>
      </c>
      <c r="R2826">
        <v>111025</v>
      </c>
    </row>
    <row r="2827" spans="1:18" x14ac:dyDescent="0.25">
      <c r="A2827" s="169">
        <v>46171</v>
      </c>
      <c r="B2827">
        <v>172</v>
      </c>
      <c r="C2827">
        <v>163.9</v>
      </c>
      <c r="D2827">
        <v>162.94999999999999</v>
      </c>
      <c r="E2827">
        <v>165</v>
      </c>
      <c r="F2827">
        <v>163.9</v>
      </c>
      <c r="G2827">
        <v>9749</v>
      </c>
      <c r="H2827" s="115"/>
      <c r="I2827" s="115"/>
      <c r="L2827" s="169">
        <v>46169</v>
      </c>
      <c r="M2827" s="115">
        <v>166.44</v>
      </c>
      <c r="N2827" s="115">
        <v>171.09</v>
      </c>
      <c r="O2827" s="115">
        <v>166.1</v>
      </c>
      <c r="P2827" s="115">
        <v>168.61</v>
      </c>
      <c r="Q2827" s="115">
        <v>166.44</v>
      </c>
      <c r="R2827">
        <v>149955</v>
      </c>
    </row>
    <row r="2828" spans="1:18" x14ac:dyDescent="0.25">
      <c r="A2828" s="169">
        <v>46174</v>
      </c>
      <c r="B2828">
        <v>164.95</v>
      </c>
      <c r="C2828">
        <v>158.69999999999999</v>
      </c>
      <c r="D2828">
        <v>158.44999999999999</v>
      </c>
      <c r="E2828">
        <v>164.95</v>
      </c>
      <c r="F2828">
        <v>158.69999999999999</v>
      </c>
      <c r="G2828">
        <v>14194</v>
      </c>
      <c r="H2828" s="115"/>
      <c r="I2828" s="115"/>
      <c r="L2828" s="169">
        <v>46171</v>
      </c>
      <c r="M2828" s="115">
        <v>163.43</v>
      </c>
      <c r="N2828" s="115">
        <v>172.49</v>
      </c>
      <c r="O2828" s="115">
        <v>162.65</v>
      </c>
      <c r="P2828" s="115">
        <v>167.4</v>
      </c>
      <c r="Q2828" s="115">
        <v>163.43</v>
      </c>
      <c r="R2828">
        <v>297898</v>
      </c>
    </row>
    <row r="2829" spans="1:18" x14ac:dyDescent="0.25">
      <c r="A2829" s="169">
        <v>46175</v>
      </c>
      <c r="B2829">
        <v>167.85</v>
      </c>
      <c r="C2829">
        <v>167.55</v>
      </c>
      <c r="D2829">
        <v>158.69999999999999</v>
      </c>
      <c r="E2829">
        <v>158.75</v>
      </c>
      <c r="F2829">
        <v>167.55</v>
      </c>
      <c r="G2829">
        <v>4189</v>
      </c>
      <c r="H2829" s="115"/>
      <c r="I2829" s="115"/>
      <c r="L2829" s="169">
        <v>46174</v>
      </c>
      <c r="M2829" s="115">
        <v>160.11000000000001</v>
      </c>
      <c r="N2829" s="115">
        <v>165.99</v>
      </c>
      <c r="O2829" s="115">
        <v>158.15</v>
      </c>
      <c r="P2829" s="115">
        <v>165</v>
      </c>
      <c r="Q2829" s="115">
        <v>160.11000000000001</v>
      </c>
      <c r="R2829">
        <v>369855</v>
      </c>
    </row>
    <row r="2830" spans="1:18" x14ac:dyDescent="0.25">
      <c r="A2830" s="169">
        <v>46176</v>
      </c>
      <c r="B2830">
        <v>166</v>
      </c>
      <c r="C2830">
        <v>165.45</v>
      </c>
      <c r="D2830">
        <v>161.5</v>
      </c>
      <c r="E2830">
        <v>165.05</v>
      </c>
      <c r="F2830">
        <v>165.45</v>
      </c>
      <c r="G2830">
        <v>3939</v>
      </c>
      <c r="H2830" s="115"/>
      <c r="I2830" s="115"/>
      <c r="L2830" s="169">
        <v>46175</v>
      </c>
      <c r="M2830" s="115">
        <v>167.31</v>
      </c>
      <c r="N2830" s="115">
        <v>167.95</v>
      </c>
      <c r="O2830" s="115">
        <v>158.9</v>
      </c>
      <c r="P2830" s="115">
        <v>159.01</v>
      </c>
      <c r="Q2830" s="115">
        <v>167.31</v>
      </c>
      <c r="R2830">
        <v>134701</v>
      </c>
    </row>
    <row r="2831" spans="1:18" x14ac:dyDescent="0.25">
      <c r="A2831" s="169">
        <v>46177</v>
      </c>
      <c r="B2831">
        <v>166.9</v>
      </c>
      <c r="C2831">
        <v>165.4</v>
      </c>
      <c r="D2831">
        <v>164.25</v>
      </c>
      <c r="E2831">
        <v>166.3</v>
      </c>
      <c r="F2831">
        <v>165.4</v>
      </c>
      <c r="G2831">
        <v>1359</v>
      </c>
      <c r="H2831" s="115"/>
      <c r="I2831" s="115"/>
      <c r="L2831" s="169">
        <v>46176</v>
      </c>
      <c r="M2831" s="115">
        <v>165.54</v>
      </c>
      <c r="N2831" s="115">
        <v>167.25</v>
      </c>
      <c r="O2831" s="115">
        <v>161.1</v>
      </c>
      <c r="P2831" s="115">
        <v>167.25</v>
      </c>
      <c r="Q2831" s="115">
        <v>165.54</v>
      </c>
      <c r="R2831">
        <v>112437</v>
      </c>
    </row>
    <row r="2832" spans="1:18" x14ac:dyDescent="0.25">
      <c r="A2832" s="169">
        <v>46178</v>
      </c>
      <c r="B2832">
        <v>171.8</v>
      </c>
      <c r="C2832">
        <v>170.7</v>
      </c>
      <c r="D2832">
        <v>164.25</v>
      </c>
      <c r="E2832">
        <v>164.25</v>
      </c>
      <c r="F2832">
        <v>170.7</v>
      </c>
      <c r="G2832">
        <v>4894</v>
      </c>
      <c r="H2832" s="115"/>
      <c r="I2832" s="115"/>
      <c r="L2832" s="169">
        <v>46177</v>
      </c>
      <c r="M2832" s="115">
        <v>164.7</v>
      </c>
      <c r="N2832" s="115">
        <v>166.93</v>
      </c>
      <c r="O2832" s="115">
        <v>163.30000000000001</v>
      </c>
      <c r="P2832" s="115">
        <v>163.30000000000001</v>
      </c>
      <c r="Q2832" s="115">
        <v>164.7</v>
      </c>
      <c r="R2832">
        <v>41301</v>
      </c>
    </row>
    <row r="2833" spans="1:18" x14ac:dyDescent="0.25">
      <c r="A2833" s="169">
        <v>46181</v>
      </c>
      <c r="B2833">
        <v>170.75</v>
      </c>
      <c r="C2833">
        <v>165.65</v>
      </c>
      <c r="D2833">
        <v>164.45</v>
      </c>
      <c r="E2833">
        <v>170.75</v>
      </c>
      <c r="F2833">
        <v>165.65</v>
      </c>
      <c r="G2833">
        <v>3503</v>
      </c>
      <c r="H2833" s="115"/>
      <c r="I2833" s="115"/>
      <c r="L2833" s="169">
        <v>46178</v>
      </c>
      <c r="M2833" s="115">
        <v>170.09</v>
      </c>
      <c r="N2833" s="115">
        <v>171.94</v>
      </c>
      <c r="O2833" s="115">
        <v>164.02</v>
      </c>
      <c r="P2833" s="115">
        <v>165.65</v>
      </c>
      <c r="Q2833" s="115">
        <v>170.09</v>
      </c>
      <c r="R2833">
        <v>506027</v>
      </c>
    </row>
    <row r="2834" spans="1:18" x14ac:dyDescent="0.25">
      <c r="A2834" s="169">
        <v>46182</v>
      </c>
      <c r="B2834">
        <v>174</v>
      </c>
      <c r="C2834">
        <v>170.8</v>
      </c>
      <c r="D2834">
        <v>169.05</v>
      </c>
      <c r="E2834">
        <v>170.05</v>
      </c>
      <c r="F2834">
        <v>170.8</v>
      </c>
      <c r="G2834">
        <v>9838</v>
      </c>
      <c r="H2834" s="115"/>
      <c r="I2834" s="115"/>
      <c r="L2834" s="169">
        <v>46181</v>
      </c>
      <c r="M2834" s="115">
        <v>165.89</v>
      </c>
      <c r="N2834" s="115">
        <v>169.88</v>
      </c>
      <c r="O2834" s="115">
        <v>164.49</v>
      </c>
      <c r="P2834" s="115">
        <v>169.5</v>
      </c>
      <c r="Q2834" s="115">
        <v>165.89</v>
      </c>
      <c r="R2834">
        <v>56191</v>
      </c>
    </row>
    <row r="2835" spans="1:18" x14ac:dyDescent="0.25">
      <c r="A2835" s="169">
        <v>46183</v>
      </c>
      <c r="B2835">
        <v>173.9</v>
      </c>
      <c r="C2835">
        <v>170.7</v>
      </c>
      <c r="D2835">
        <v>169.6</v>
      </c>
      <c r="E2835">
        <v>171.6</v>
      </c>
      <c r="F2835">
        <v>170.7</v>
      </c>
      <c r="G2835">
        <v>8819</v>
      </c>
      <c r="H2835" s="115"/>
      <c r="I2835" s="115"/>
      <c r="L2835" s="169">
        <v>46182</v>
      </c>
      <c r="M2835" s="115">
        <v>171.14</v>
      </c>
      <c r="N2835" s="115">
        <v>174.5</v>
      </c>
      <c r="O2835" s="115">
        <v>168.23</v>
      </c>
      <c r="P2835" s="115">
        <v>168.23</v>
      </c>
      <c r="Q2835" s="115">
        <v>171.14</v>
      </c>
      <c r="R2835">
        <v>216753</v>
      </c>
    </row>
    <row r="2836" spans="1:18" x14ac:dyDescent="0.25">
      <c r="A2836" s="169">
        <v>46184</v>
      </c>
      <c r="B2836">
        <v>171.45</v>
      </c>
      <c r="C2836">
        <v>169.1</v>
      </c>
      <c r="D2836">
        <v>168</v>
      </c>
      <c r="E2836">
        <v>171</v>
      </c>
      <c r="F2836">
        <v>169.1</v>
      </c>
      <c r="G2836">
        <v>2352</v>
      </c>
      <c r="H2836" s="115"/>
      <c r="I2836" s="115"/>
      <c r="L2836" s="169">
        <v>46183</v>
      </c>
      <c r="M2836" s="115">
        <v>170.91</v>
      </c>
      <c r="N2836" s="115">
        <v>173.97</v>
      </c>
      <c r="O2836" s="115">
        <v>169.8</v>
      </c>
      <c r="P2836" s="115">
        <v>172.34</v>
      </c>
      <c r="Q2836" s="115">
        <v>170.91</v>
      </c>
      <c r="R2836">
        <v>124247</v>
      </c>
    </row>
    <row r="2837" spans="1:18" x14ac:dyDescent="0.25">
      <c r="A2837" s="169">
        <v>46185</v>
      </c>
      <c r="B2837">
        <v>174.45</v>
      </c>
      <c r="C2837">
        <v>173.9</v>
      </c>
      <c r="D2837">
        <v>169.25</v>
      </c>
      <c r="E2837">
        <v>170.4</v>
      </c>
      <c r="F2837">
        <v>173.9</v>
      </c>
      <c r="G2837">
        <v>8528</v>
      </c>
      <c r="H2837" s="115"/>
      <c r="I2837" s="115"/>
      <c r="L2837" s="169">
        <v>46184</v>
      </c>
      <c r="M2837" s="115">
        <v>168.96</v>
      </c>
      <c r="N2837" s="115">
        <v>172.38</v>
      </c>
      <c r="O2837" s="115">
        <v>167.86</v>
      </c>
      <c r="P2837" s="115">
        <v>170.92</v>
      </c>
      <c r="Q2837" s="115">
        <v>168.96</v>
      </c>
      <c r="R2837">
        <v>112321</v>
      </c>
    </row>
    <row r="2838" spans="1:18" x14ac:dyDescent="0.25">
      <c r="H2838" s="115"/>
      <c r="I2838" s="115"/>
      <c r="L2838" s="169">
        <v>46185</v>
      </c>
      <c r="M2838" s="115">
        <v>173.95</v>
      </c>
      <c r="N2838" s="115">
        <v>175</v>
      </c>
      <c r="O2838" s="115">
        <v>169.1</v>
      </c>
      <c r="P2838" s="115">
        <v>170</v>
      </c>
      <c r="Q2838" s="115">
        <v>173.95</v>
      </c>
      <c r="R2838">
        <v>131850</v>
      </c>
    </row>
    <row r="2839" spans="1:18" x14ac:dyDescent="0.25">
      <c r="H2839" s="115"/>
      <c r="I2839" s="115"/>
    </row>
    <row r="2840" spans="1:18" x14ac:dyDescent="0.25">
      <c r="H2840" s="115"/>
      <c r="I2840" s="115"/>
    </row>
    <row r="2841" spans="1:18" x14ac:dyDescent="0.25">
      <c r="H2841" s="115"/>
      <c r="I2841" s="115"/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2026-06-15T10:20:58Z</dcterms:modified>
  <cp:category/>
  <cp:contentStatus/>
</cp:coreProperties>
</file>