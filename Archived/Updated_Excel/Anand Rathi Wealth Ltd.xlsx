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BF643A4-0349-4101-8044-F5C7639D008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1" i="1" l="1"/>
  <c r="CL251" i="1"/>
  <c r="CL6" i="1"/>
  <c r="CL5" i="1"/>
  <c r="CL7" i="1" s="1"/>
  <c r="CL9" i="1"/>
  <c r="CL10" i="1"/>
  <c r="CK148" i="1"/>
  <c r="CN9" i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BT10" i="1"/>
  <c r="BS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CK10" i="1"/>
  <c r="CK9" i="1"/>
  <c r="V6" i="1" l="1"/>
  <c r="W6" i="1"/>
  <c r="X6" i="1"/>
  <c r="V7" i="1"/>
  <c r="W7" i="1"/>
  <c r="X7" i="1"/>
  <c r="W5" i="1"/>
  <c r="X5" i="1"/>
  <c r="V5" i="1"/>
  <c r="CK7" i="1"/>
  <c r="CK5" i="1"/>
  <c r="CK6" i="1"/>
  <c r="CJ7" i="1"/>
  <c r="CI7" i="1"/>
  <c r="CH7" i="1"/>
  <c r="Z7" i="1" s="1"/>
  <c r="CG7" i="1"/>
  <c r="CF7" i="1"/>
  <c r="CE7" i="1"/>
  <c r="CD7" i="1"/>
  <c r="Y7" i="1" s="1"/>
  <c r="CC7" i="1"/>
  <c r="CJ6" i="1"/>
  <c r="CI6" i="1"/>
  <c r="CH6" i="1"/>
  <c r="Z6" i="1" s="1"/>
  <c r="CG6" i="1"/>
  <c r="CF6" i="1"/>
  <c r="CE6" i="1"/>
  <c r="CD6" i="1"/>
  <c r="Y6" i="1" s="1"/>
  <c r="CC6" i="1"/>
  <c r="CJ5" i="1"/>
  <c r="CI5" i="1"/>
  <c r="CH5" i="1"/>
  <c r="Z5" i="1" s="1"/>
  <c r="CG5" i="1"/>
  <c r="CF5" i="1"/>
  <c r="CE5" i="1"/>
  <c r="CC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8" i="1"/>
  <c r="AB21" i="1"/>
  <c r="AC21" i="1"/>
  <c r="AD21" i="1"/>
  <c r="AE21" i="1"/>
  <c r="AB34" i="1"/>
  <c r="AC34" i="1"/>
  <c r="AD34" i="1"/>
  <c r="AE34" i="1"/>
  <c r="AE33" i="1"/>
  <c r="AD33" i="1"/>
  <c r="AC33" i="1"/>
  <c r="AB33" i="1"/>
  <c r="AJ221" i="1"/>
  <c r="Z8" i="1" l="1"/>
  <c r="CD5" i="1"/>
  <c r="Y5" i="1" s="1"/>
  <c r="Y8" i="1" s="1"/>
  <c r="V8" i="1"/>
  <c r="X8" i="1"/>
  <c r="W8" i="1"/>
  <c r="W9" i="1" s="1"/>
  <c r="B1" i="9"/>
  <c r="AD87" i="2"/>
  <c r="AB68" i="2"/>
  <c r="AA148" i="1" s="1"/>
  <c r="AB78" i="2"/>
  <c r="AA172" i="1" s="1"/>
  <c r="AE53" i="2"/>
  <c r="AB89" i="2"/>
  <c r="AC30" i="2"/>
  <c r="AC86" i="2"/>
  <c r="AF17" i="2"/>
  <c r="AF6" i="2"/>
  <c r="AB108" i="2"/>
  <c r="AA91" i="1" s="1"/>
  <c r="AE79" i="2"/>
  <c r="AC88" i="2"/>
  <c r="AE43" i="2"/>
  <c r="AB85" i="2"/>
  <c r="AA182" i="1" s="1"/>
  <c r="AC7" i="2"/>
  <c r="AF77" i="2"/>
  <c r="AB80" i="2"/>
  <c r="AA159" i="1" s="1"/>
  <c r="AB98" i="2"/>
  <c r="AD21" i="2"/>
  <c r="AB44" i="2"/>
  <c r="AE50" i="2"/>
  <c r="AD23" i="2"/>
  <c r="AD70" i="2"/>
  <c r="AE5" i="2"/>
  <c r="AE113" i="2"/>
  <c r="AB24" i="2"/>
  <c r="AB54" i="2"/>
  <c r="AA165" i="1" s="1"/>
  <c r="AB10" i="2"/>
  <c r="AE105" i="2"/>
  <c r="AC73" i="2"/>
  <c r="AC11" i="2"/>
  <c r="AF85" i="2"/>
  <c r="AF109" i="2"/>
  <c r="AF7" i="2"/>
  <c r="AC54" i="2"/>
  <c r="AE82" i="2"/>
  <c r="AF107" i="2"/>
  <c r="AB14" i="2"/>
  <c r="AA32" i="1" s="1"/>
  <c r="AE96" i="2"/>
  <c r="AE62" i="2"/>
  <c r="AB45" i="2"/>
  <c r="AA134" i="1" s="1"/>
  <c r="AC20" i="2"/>
  <c r="AD18" i="2"/>
  <c r="AB73" i="2"/>
  <c r="AC5" i="2"/>
  <c r="AB46" i="2"/>
  <c r="AD7" i="2"/>
  <c r="AD57" i="2"/>
  <c r="AD96" i="2"/>
  <c r="AE40" i="2"/>
  <c r="AD107" i="2"/>
  <c r="AC75" i="2"/>
  <c r="AD90" i="2"/>
  <c r="AD88" i="2"/>
  <c r="AD64" i="2"/>
  <c r="AF32" i="2"/>
  <c r="AF54" i="2"/>
  <c r="AD71" i="2"/>
  <c r="AC21" i="2"/>
  <c r="AD80" i="2"/>
  <c r="AF105" i="2"/>
  <c r="AB27" i="2"/>
  <c r="AA44" i="1" s="1"/>
  <c r="AE76" i="2"/>
  <c r="AE21" i="2"/>
  <c r="AF75" i="2"/>
  <c r="AB26" i="2"/>
  <c r="AD41" i="2"/>
  <c r="AE87" i="2"/>
  <c r="AE66" i="2"/>
  <c r="AD43" i="2"/>
  <c r="AD67" i="2"/>
  <c r="AD44" i="2"/>
  <c r="AF76" i="2"/>
  <c r="AE6" i="2"/>
  <c r="AC106" i="2"/>
  <c r="AB60" i="2"/>
  <c r="AB53" i="2"/>
  <c r="AB55" i="2"/>
  <c r="AC12" i="2"/>
  <c r="AE11" i="2"/>
  <c r="AD74" i="2"/>
  <c r="AD56" i="2"/>
  <c r="AF8" i="2"/>
  <c r="AD72" i="2"/>
  <c r="AE30" i="2"/>
  <c r="AD28" i="2"/>
  <c r="AC109" i="2"/>
  <c r="AC60" i="2"/>
  <c r="AE90" i="2"/>
  <c r="AB105" i="2"/>
  <c r="AF20" i="2"/>
  <c r="AD110" i="2"/>
  <c r="AD33" i="2"/>
  <c r="AB8" i="2"/>
  <c r="AD46" i="2"/>
  <c r="AF45" i="2"/>
  <c r="AD20" i="2"/>
  <c r="AE78" i="2"/>
  <c r="AF86" i="2"/>
  <c r="AE68" i="2"/>
  <c r="AD12" i="2"/>
  <c r="AE8" i="2"/>
  <c r="AB88" i="2"/>
  <c r="AB96" i="2"/>
  <c r="AF73" i="2"/>
  <c r="AE9" i="2"/>
  <c r="AB97" i="2"/>
  <c r="AD45" i="2"/>
  <c r="AB94" i="2"/>
  <c r="AB67" i="2"/>
  <c r="AC77" i="2"/>
  <c r="AE86" i="2"/>
  <c r="AC22" i="2"/>
  <c r="AF58" i="2"/>
  <c r="AE63" i="2"/>
  <c r="AE58" i="2"/>
  <c r="AF33" i="2"/>
  <c r="AC41" i="2"/>
  <c r="AD48" i="2"/>
  <c r="AB21" i="2"/>
  <c r="AF83" i="2"/>
  <c r="AB72" i="2"/>
  <c r="AA154" i="1" s="1"/>
  <c r="AF19" i="2"/>
  <c r="AC61" i="2"/>
  <c r="AF55" i="2"/>
  <c r="AF36" i="2"/>
  <c r="AB12" i="2"/>
  <c r="AA27" i="1" s="1"/>
  <c r="AB65" i="2"/>
  <c r="AD59" i="2"/>
  <c r="AE93" i="2"/>
  <c r="AD79" i="2"/>
  <c r="AD86" i="2"/>
  <c r="AB18" i="2"/>
  <c r="AA37" i="1" s="1"/>
  <c r="AD62" i="2"/>
  <c r="AC63" i="2"/>
  <c r="AD42" i="2"/>
  <c r="AE106" i="2"/>
  <c r="AC80" i="2"/>
  <c r="AC6" i="2"/>
  <c r="AC48" i="2"/>
  <c r="AD68" i="2"/>
  <c r="AB17" i="2"/>
  <c r="AA33" i="1" s="1"/>
  <c r="AE46" i="2"/>
  <c r="AC68" i="2"/>
  <c r="AB6" i="2"/>
  <c r="AA20" i="1" s="1"/>
  <c r="AC36" i="2"/>
  <c r="AF42" i="2"/>
  <c r="AE29" i="2"/>
  <c r="AF80" i="2"/>
  <c r="AE17" i="2"/>
  <c r="AD106" i="2"/>
  <c r="AC65" i="2"/>
  <c r="AE109" i="2"/>
  <c r="AD36" i="2"/>
  <c r="AD15" i="2"/>
  <c r="AC79" i="2"/>
  <c r="AE28" i="2"/>
  <c r="AE57" i="2"/>
  <c r="AE48" i="2"/>
  <c r="AB35" i="2"/>
  <c r="AA63" i="1" s="1"/>
  <c r="AF72" i="2"/>
  <c r="AC25" i="2"/>
  <c r="AD105" i="2"/>
  <c r="AF108" i="2"/>
  <c r="AD27" i="2"/>
  <c r="AE80" i="2"/>
  <c r="AF93" i="2"/>
  <c r="AF78" i="2"/>
  <c r="AF104" i="2"/>
  <c r="AF21" i="2"/>
  <c r="AC13" i="2"/>
  <c r="AF57" i="2"/>
  <c r="AD53" i="2"/>
  <c r="AF82" i="2"/>
  <c r="AD60" i="2"/>
  <c r="AB34" i="2"/>
  <c r="AC82" i="2"/>
  <c r="AD83" i="2"/>
  <c r="AF30" i="2"/>
  <c r="AC108" i="2"/>
  <c r="AF99" i="2"/>
  <c r="AF84" i="2"/>
  <c r="AB15" i="2"/>
  <c r="AE36" i="2"/>
  <c r="AB61" i="2"/>
  <c r="AB79" i="2"/>
  <c r="AA158" i="1" s="1"/>
  <c r="AE99" i="2"/>
  <c r="AB22" i="2"/>
  <c r="AF88" i="2"/>
  <c r="AE73" i="2"/>
  <c r="AF94" i="2"/>
  <c r="AF50" i="2"/>
  <c r="AE18" i="2"/>
  <c r="AC47" i="2"/>
  <c r="AB58" i="2"/>
  <c r="AD35" i="2"/>
  <c r="AE69" i="2"/>
  <c r="AF14" i="2"/>
  <c r="AF25" i="2"/>
  <c r="AD78" i="2"/>
  <c r="AD13" i="2"/>
  <c r="AC89" i="2"/>
  <c r="AF44" i="2"/>
  <c r="AD55" i="2"/>
  <c r="AE20" i="2"/>
  <c r="AF96" i="2"/>
  <c r="AD26" i="2"/>
  <c r="AB104" i="2"/>
  <c r="AB51" i="2"/>
  <c r="AA162" i="1" s="1"/>
  <c r="AB47" i="2"/>
  <c r="AA136" i="1" s="1"/>
  <c r="AB107" i="2"/>
  <c r="AA90" i="1" s="1"/>
  <c r="AD10" i="2"/>
  <c r="AE94" i="2"/>
  <c r="AE70" i="2"/>
  <c r="AE10" i="2"/>
  <c r="AC42" i="2"/>
  <c r="AF23" i="2"/>
  <c r="AD61" i="2"/>
  <c r="AD16" i="2"/>
  <c r="AF35" i="2"/>
  <c r="AE35" i="2"/>
  <c r="AC71" i="2"/>
  <c r="AE77" i="2"/>
  <c r="AC55" i="2"/>
  <c r="AD19" i="2"/>
  <c r="AB50" i="2"/>
  <c r="AB30" i="2"/>
  <c r="AA51" i="1" s="1"/>
  <c r="AF10" i="2"/>
  <c r="AD11" i="2"/>
  <c r="AF13" i="2"/>
  <c r="AC78" i="2"/>
  <c r="AC110" i="2"/>
  <c r="AC28" i="2"/>
  <c r="AC95" i="2"/>
  <c r="AB11" i="2"/>
  <c r="AA25" i="1" s="1"/>
  <c r="AB56" i="2"/>
  <c r="AA139" i="1" s="1"/>
  <c r="AC107" i="2"/>
  <c r="AD14" i="2"/>
  <c r="AC26" i="2"/>
  <c r="AE22" i="2"/>
  <c r="AD95" i="2"/>
  <c r="AE97" i="2"/>
  <c r="AC59" i="2"/>
  <c r="AF26" i="2"/>
  <c r="AE92" i="2"/>
  <c r="L1" i="9"/>
  <c r="AD22" i="2"/>
  <c r="AE19" i="2"/>
  <c r="AF60" i="2"/>
  <c r="AE49" i="2"/>
  <c r="AF41" i="2"/>
  <c r="AC85" i="2"/>
  <c r="AF110" i="2"/>
  <c r="AB74" i="2"/>
  <c r="AF74" i="2"/>
  <c r="AB57" i="2"/>
  <c r="AA167" i="1" s="1"/>
  <c r="AD104" i="2"/>
  <c r="AE45" i="2"/>
  <c r="AF53" i="2"/>
  <c r="AD9" i="2"/>
  <c r="AF29" i="2"/>
  <c r="AE71" i="2"/>
  <c r="AC87" i="2"/>
  <c r="AE59" i="2"/>
  <c r="AC57" i="2"/>
  <c r="AC90" i="2"/>
  <c r="AE51" i="2"/>
  <c r="AE27" i="2"/>
  <c r="AB48" i="2"/>
  <c r="AA137" i="1" s="1"/>
  <c r="AD99" i="2"/>
  <c r="AB66" i="2"/>
  <c r="AF90" i="2"/>
  <c r="AF69" i="2"/>
  <c r="AC23" i="2"/>
  <c r="AB5" i="2"/>
  <c r="AF106" i="2"/>
  <c r="AE23" i="2"/>
  <c r="AC96" i="2"/>
  <c r="AD8" i="2"/>
  <c r="AE88" i="2"/>
  <c r="AD58" i="2"/>
  <c r="AC33" i="2"/>
  <c r="AF63" i="2"/>
  <c r="AD65" i="2"/>
  <c r="AF98" i="2"/>
  <c r="AD93" i="2"/>
  <c r="AE107" i="2"/>
  <c r="AD81" i="2"/>
  <c r="AC27" i="2"/>
  <c r="AF34" i="2"/>
  <c r="AC14" i="2"/>
  <c r="AD24" i="2"/>
  <c r="AF12" i="2"/>
  <c r="AC8" i="2"/>
  <c r="AC98" i="2"/>
  <c r="AE47" i="2"/>
  <c r="AB41" i="2"/>
  <c r="AA129" i="1" s="1"/>
  <c r="AD92" i="2"/>
  <c r="AD97" i="2"/>
  <c r="AB23" i="2"/>
  <c r="AA47" i="1" s="1"/>
  <c r="AD77" i="2"/>
  <c r="AE95" i="2"/>
  <c r="AD84" i="2"/>
  <c r="AB42" i="2"/>
  <c r="AA130" i="1" s="1"/>
  <c r="AD109" i="2"/>
  <c r="AC67" i="2"/>
  <c r="AB93" i="2"/>
  <c r="AA184" i="1" s="1"/>
  <c r="AB69" i="2"/>
  <c r="AD29" i="2"/>
  <c r="AB20" i="2"/>
  <c r="AC24" i="2"/>
  <c r="AC74" i="2"/>
  <c r="AB52" i="2"/>
  <c r="AA163" i="1" s="1"/>
  <c r="AC29" i="2"/>
  <c r="AD82" i="2"/>
  <c r="AF64" i="2"/>
  <c r="AB40" i="2"/>
  <c r="AC94" i="2"/>
  <c r="AD31" i="2"/>
  <c r="AF56" i="2"/>
  <c r="AF22" i="2"/>
  <c r="AC9" i="2"/>
  <c r="AE31" i="2"/>
  <c r="AD108" i="2"/>
  <c r="AF27" i="2"/>
  <c r="AC32" i="2"/>
  <c r="AB7" i="2"/>
  <c r="AC58" i="2"/>
  <c r="AF89" i="2"/>
  <c r="AE64" i="2"/>
  <c r="AF59" i="2"/>
  <c r="AB82" i="2"/>
  <c r="AF70" i="2"/>
  <c r="AD94" i="2"/>
  <c r="AD63" i="2"/>
  <c r="AB62" i="2"/>
  <c r="AB77" i="2"/>
  <c r="AA157" i="1" s="1"/>
  <c r="AA192" i="1" s="1"/>
  <c r="AB110" i="2"/>
  <c r="AA79" i="1" s="1"/>
  <c r="AE60" i="2"/>
  <c r="AC53" i="2"/>
  <c r="AE25" i="2"/>
  <c r="AF79" i="2"/>
  <c r="AE54" i="2"/>
  <c r="AE52" i="2"/>
  <c r="AC52" i="2"/>
  <c r="AC105" i="2"/>
  <c r="AB32" i="2"/>
  <c r="AA57" i="1" s="1"/>
  <c r="AE104" i="2"/>
  <c r="AB49" i="2"/>
  <c r="AA175" i="1" s="1"/>
  <c r="AB28" i="2"/>
  <c r="A1" i="9"/>
  <c r="AD98" i="2"/>
  <c r="AD73" i="2"/>
  <c r="AB16" i="2"/>
  <c r="AE74" i="2"/>
  <c r="AD91" i="2"/>
  <c r="AF92" i="2"/>
  <c r="AD50" i="2"/>
  <c r="AE61" i="2"/>
  <c r="AE84" i="2"/>
  <c r="AF48" i="2"/>
  <c r="AE55" i="2"/>
  <c r="AC43" i="2"/>
  <c r="AF62" i="2"/>
  <c r="AE16" i="2"/>
  <c r="AF95" i="2"/>
  <c r="AE24" i="2"/>
  <c r="AE33" i="2"/>
  <c r="AC44" i="2"/>
  <c r="AF65" i="2"/>
  <c r="AF11" i="2"/>
  <c r="AB36" i="2"/>
  <c r="AE83" i="2"/>
  <c r="AC70" i="2"/>
  <c r="AB9" i="2"/>
  <c r="AF52" i="2"/>
  <c r="AC18" i="2"/>
  <c r="AD6" i="2"/>
  <c r="AC19" i="2"/>
  <c r="AE41" i="2"/>
  <c r="AF66" i="2"/>
  <c r="AB43" i="2"/>
  <c r="AA131" i="1" s="1"/>
  <c r="AC104" i="2"/>
  <c r="AC17" i="2"/>
  <c r="AD40" i="2"/>
  <c r="AE14" i="2"/>
  <c r="AC84" i="2"/>
  <c r="AB76" i="2"/>
  <c r="AA156" i="1" s="1"/>
  <c r="AE56" i="2"/>
  <c r="AE44" i="2"/>
  <c r="AE108" i="2"/>
  <c r="AC81" i="2"/>
  <c r="AB71" i="2"/>
  <c r="AA152" i="1" s="1"/>
  <c r="AD25" i="2"/>
  <c r="AF61" i="2"/>
  <c r="AB92" i="2"/>
  <c r="AD75" i="2"/>
  <c r="AD85" i="2"/>
  <c r="AF9" i="2"/>
  <c r="AD30" i="2"/>
  <c r="AB33" i="2"/>
  <c r="AF28" i="2"/>
  <c r="AC40" i="2"/>
  <c r="AB63" i="2"/>
  <c r="AA144" i="1" s="1"/>
  <c r="AB59" i="2"/>
  <c r="AB91" i="2"/>
  <c r="AF16" i="2"/>
  <c r="AE75" i="2"/>
  <c r="AF91" i="2"/>
  <c r="AF15" i="2"/>
  <c r="AD52" i="2"/>
  <c r="AF97" i="2"/>
  <c r="AE34" i="2"/>
  <c r="AD89" i="2"/>
  <c r="AD76" i="2"/>
  <c r="AC93" i="2"/>
  <c r="AB29" i="2"/>
  <c r="AC97" i="2"/>
  <c r="AC51" i="2"/>
  <c r="AC31" i="2"/>
  <c r="AC66" i="2"/>
  <c r="AB109" i="2"/>
  <c r="AE91" i="2"/>
  <c r="AC76" i="2"/>
  <c r="AE89" i="2"/>
  <c r="AD17" i="2"/>
  <c r="AF81" i="2"/>
  <c r="AF46" i="2"/>
  <c r="AB75" i="2"/>
  <c r="AA171" i="1" s="1"/>
  <c r="AA173" i="1" s="1"/>
  <c r="AE7" i="2"/>
  <c r="AF40" i="2"/>
  <c r="AE110" i="2"/>
  <c r="AC69" i="2"/>
  <c r="AB84" i="2"/>
  <c r="AF18" i="2"/>
  <c r="AE85" i="2"/>
  <c r="AF49" i="2"/>
  <c r="AC49" i="2"/>
  <c r="AC35" i="2"/>
  <c r="AC50" i="2"/>
  <c r="AD54" i="2"/>
  <c r="AB31" i="2"/>
  <c r="AE42" i="2"/>
  <c r="AF5" i="2"/>
  <c r="AE98" i="2"/>
  <c r="AE72" i="2"/>
  <c r="AF47" i="2"/>
  <c r="AB87" i="2"/>
  <c r="AB19" i="2"/>
  <c r="AF43" i="2"/>
  <c r="AB86" i="2"/>
  <c r="AA147" i="1" s="1"/>
  <c r="AF87" i="2"/>
  <c r="AB90" i="2"/>
  <c r="AC91" i="2"/>
  <c r="AC64" i="2"/>
  <c r="AC62" i="2"/>
  <c r="AF31" i="2"/>
  <c r="AC46" i="2"/>
  <c r="AB83" i="2"/>
  <c r="AA176" i="1" s="1"/>
  <c r="AF67" i="2"/>
  <c r="AD47" i="2"/>
  <c r="AD32" i="2"/>
  <c r="AD34" i="2"/>
  <c r="AC16" i="2"/>
  <c r="AB106" i="2"/>
  <c r="AA89" i="1" s="1"/>
  <c r="AE13" i="2"/>
  <c r="AC92" i="2"/>
  <c r="AB13" i="2"/>
  <c r="AA36" i="1" s="1"/>
  <c r="AB95" i="2"/>
  <c r="AA183" i="1" s="1"/>
  <c r="AD51" i="2"/>
  <c r="AC83" i="2"/>
  <c r="AF24" i="2"/>
  <c r="AE26" i="2"/>
  <c r="AE12" i="2"/>
  <c r="AC10" i="2"/>
  <c r="AB25" i="2"/>
  <c r="AA48" i="1" s="1"/>
  <c r="AD5" i="2"/>
  <c r="AC34" i="2"/>
  <c r="AC72" i="2"/>
  <c r="AC15" i="2"/>
  <c r="AE65" i="2"/>
  <c r="AB70" i="2"/>
  <c r="AE81" i="2"/>
  <c r="AE15" i="2"/>
  <c r="AF68" i="2"/>
  <c r="AD69" i="2"/>
  <c r="AB64" i="2"/>
  <c r="AA145" i="1" s="1"/>
  <c r="AD49" i="2"/>
  <c r="AF51" i="2"/>
  <c r="AC56" i="2"/>
  <c r="AC45" i="2"/>
  <c r="AB81" i="2"/>
  <c r="AF71" i="2"/>
  <c r="AD66" i="2"/>
  <c r="AE67" i="2"/>
  <c r="AC99" i="2"/>
  <c r="AB99" i="2"/>
  <c r="AE32" i="2"/>
  <c r="AD111" i="2"/>
  <c r="AD113" i="2"/>
  <c r="AA155" i="1" l="1"/>
  <c r="AA149" i="1"/>
  <c r="AA35" i="1"/>
  <c r="AA21" i="1"/>
  <c r="AA143" i="1"/>
  <c r="AA146" i="1" s="1"/>
  <c r="AA150" i="1" s="1"/>
  <c r="AA58" i="1"/>
  <c r="AA138" i="1"/>
  <c r="AA166" i="1" s="1"/>
  <c r="AA34" i="1"/>
  <c r="AA161" i="1"/>
  <c r="AA59" i="1"/>
  <c r="AA185" i="1"/>
  <c r="AA45" i="1"/>
  <c r="AA206" i="1"/>
  <c r="AA265" i="1"/>
  <c r="AA22" i="1"/>
  <c r="AA243" i="1"/>
  <c r="AA264" i="1"/>
  <c r="AA191" i="1"/>
  <c r="AA168" i="1"/>
  <c r="AA197" i="1" s="1"/>
  <c r="AA196" i="1" s="1"/>
  <c r="AA195" i="1"/>
  <c r="AA38" i="1"/>
  <c r="AA39" i="1" s="1"/>
  <c r="AA160" i="1"/>
  <c r="AA140" i="1"/>
  <c r="AA132" i="1"/>
  <c r="AF112" i="2"/>
  <c r="AB113" i="2"/>
  <c r="AA86" i="1" s="1"/>
  <c r="AB111" i="2"/>
  <c r="AF113" i="2"/>
  <c r="AF111" i="2"/>
  <c r="AC113" i="2"/>
  <c r="AC111" i="2"/>
  <c r="AC112" i="2"/>
  <c r="Z9" i="1"/>
  <c r="X9" i="1"/>
  <c r="Y9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K251" i="1"/>
  <c r="CM148" i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H164" i="1"/>
  <c r="CJ251" i="1"/>
  <c r="Z251" i="1"/>
  <c r="AB112" i="2"/>
  <c r="AA85" i="1" s="1"/>
  <c r="AE112" i="2"/>
  <c r="AD112" i="2"/>
  <c r="AE111" i="2"/>
  <c r="AA256" i="1" l="1"/>
  <c r="AA110" i="1"/>
  <c r="AA28" i="1"/>
  <c r="AA194" i="1"/>
  <c r="AA169" i="1"/>
  <c r="AA177" i="1" s="1"/>
  <c r="AA180" i="1"/>
  <c r="AA121" i="1" s="1"/>
  <c r="AA141" i="1"/>
  <c r="AA260" i="1"/>
  <c r="AA49" i="1"/>
  <c r="AA187" i="1"/>
  <c r="AA258" i="1"/>
  <c r="CI251" i="1"/>
  <c r="CG148" i="1"/>
  <c r="CG251" i="1"/>
  <c r="CH251" i="1"/>
  <c r="AB25" i="1"/>
  <c r="AC25" i="1"/>
  <c r="AD25" i="1"/>
  <c r="AE25" i="1"/>
  <c r="AB26" i="1"/>
  <c r="AC26" i="1"/>
  <c r="AD26" i="1"/>
  <c r="AE26" i="1"/>
  <c r="AB36" i="1"/>
  <c r="AC36" i="1"/>
  <c r="AD36" i="1"/>
  <c r="AE36" i="1"/>
  <c r="AB37" i="1"/>
  <c r="AC37" i="1"/>
  <c r="AD37" i="1"/>
  <c r="AE37" i="1"/>
  <c r="AB59" i="1"/>
  <c r="AC59" i="1"/>
  <c r="AD59" i="1"/>
  <c r="AE59" i="1"/>
  <c r="AB171" i="1"/>
  <c r="AC171" i="1"/>
  <c r="AD171" i="1"/>
  <c r="AE171" i="1"/>
  <c r="AB185" i="1"/>
  <c r="AC185" i="1"/>
  <c r="AD185" i="1"/>
  <c r="AE185" i="1"/>
  <c r="CE148" i="1"/>
  <c r="CE251" i="1"/>
  <c r="CF251" i="1"/>
  <c r="AI209" i="1"/>
  <c r="AI214" i="1"/>
  <c r="AI218" i="1"/>
  <c r="AI221" i="1"/>
  <c r="AI251" i="1"/>
  <c r="Y251" i="1"/>
  <c r="AM148" i="1"/>
  <c r="AO148" i="1"/>
  <c r="AQ148" i="1"/>
  <c r="AS148" i="1"/>
  <c r="AU148" i="1"/>
  <c r="AW148" i="1"/>
  <c r="AY148" i="1"/>
  <c r="BA148" i="1"/>
  <c r="BC148" i="1"/>
  <c r="BE148" i="1"/>
  <c r="BG148" i="1"/>
  <c r="BI148" i="1"/>
  <c r="BK148" i="1"/>
  <c r="BM148" i="1"/>
  <c r="BO148" i="1"/>
  <c r="BQ148" i="1"/>
  <c r="BS148" i="1"/>
  <c r="BU148" i="1"/>
  <c r="BW148" i="1"/>
  <c r="BY148" i="1"/>
  <c r="CA148" i="1"/>
  <c r="CC148" i="1"/>
  <c r="CD251" i="1"/>
  <c r="CC251" i="1"/>
  <c r="AJ251" i="1"/>
  <c r="AK251" i="1"/>
  <c r="AL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0" i="1" l="1"/>
  <c r="AA29" i="1"/>
  <c r="AA198" i="1"/>
  <c r="AA193" i="1"/>
  <c r="AA178" i="1"/>
  <c r="Y1" i="1"/>
  <c r="Z1" i="1" s="1"/>
  <c r="AA244" i="1" l="1"/>
  <c r="AA245" i="1" s="1"/>
  <c r="AA124" i="1"/>
  <c r="AA46" i="1"/>
  <c r="AA41" i="1"/>
  <c r="AA1" i="1"/>
  <c r="AB1" i="1" s="1"/>
  <c r="AC1" i="1" s="1"/>
  <c r="AD1" i="1" s="1"/>
  <c r="AE1" i="1" s="1"/>
  <c r="AA67" i="1" l="1"/>
  <c r="AA50" i="1"/>
  <c r="A1" i="3"/>
  <c r="AA53" i="1" l="1"/>
  <c r="AA52" i="1"/>
  <c r="A1" i="6"/>
  <c r="A1" i="4"/>
  <c r="AA54" i="1" l="1"/>
  <c r="AA257" i="1" s="1"/>
  <c r="AA246" i="1"/>
  <c r="AA60" i="1"/>
  <c r="AB47" i="1"/>
  <c r="AA205" i="1" l="1"/>
  <c r="AA207" i="1" s="1"/>
  <c r="AA66" i="1"/>
  <c r="AA64" i="1"/>
  <c r="AC47" i="1"/>
  <c r="BN18" i="3"/>
  <c r="BJ7" i="3"/>
  <c r="BH29" i="3"/>
  <c r="BE42" i="3"/>
  <c r="BS18" i="3"/>
  <c r="AA13" i="2"/>
  <c r="Y49" i="2"/>
  <c r="Y106" i="2"/>
  <c r="BM6" i="3"/>
  <c r="BB46" i="3"/>
  <c r="BJ39" i="3"/>
  <c r="BG31" i="3"/>
  <c r="Y29" i="2"/>
  <c r="BO11" i="3"/>
  <c r="BK28" i="3"/>
  <c r="BI10" i="3"/>
  <c r="BQ29" i="3"/>
  <c r="BP26" i="3"/>
  <c r="BR14" i="3"/>
  <c r="Y68" i="2"/>
  <c r="BJ19" i="3"/>
  <c r="BH8" i="3"/>
  <c r="Y52" i="2"/>
  <c r="BH39" i="3"/>
  <c r="AA44" i="2"/>
  <c r="BG29" i="3"/>
  <c r="AA88" i="2"/>
  <c r="AA34" i="2"/>
  <c r="AA75" i="2"/>
  <c r="BV39" i="3"/>
  <c r="BC27" i="3"/>
  <c r="BE36" i="3"/>
  <c r="AA56" i="2"/>
  <c r="X6" i="2"/>
  <c r="Y105" i="2"/>
  <c r="BR33" i="3"/>
  <c r="FC9" i="4" a="1"/>
  <c r="BH40" i="3"/>
  <c r="BV41" i="3"/>
  <c r="BD37" i="3"/>
  <c r="BH5" i="3"/>
  <c r="AA108" i="2"/>
  <c r="BD41" i="3"/>
  <c r="AA95" i="2"/>
  <c r="BR37" i="3"/>
  <c r="EY7" i="4" a="1"/>
  <c r="BK25" i="3"/>
  <c r="BR41" i="3"/>
  <c r="BV45" i="3"/>
  <c r="BC11" i="3"/>
  <c r="BM7" i="3"/>
  <c r="BQ18" i="3"/>
  <c r="BA21" i="3"/>
  <c r="FC6" i="4" a="1"/>
  <c r="BS29" i="3"/>
  <c r="AA86" i="2"/>
  <c r="BI9" i="3"/>
  <c r="BQ22" i="3"/>
  <c r="BC6" i="3"/>
  <c r="FF5" i="4" a="1"/>
  <c r="BE41" i="3"/>
  <c r="FD13" i="4" a="1"/>
  <c r="BN28" i="3"/>
  <c r="BF11" i="3"/>
  <c r="BQ19" i="3"/>
  <c r="BH35" i="3"/>
  <c r="BR28" i="3"/>
  <c r="AA47" i="2"/>
  <c r="BL13" i="3"/>
  <c r="BT9" i="3"/>
  <c r="BS13" i="3"/>
  <c r="Y20" i="2"/>
  <c r="BT46" i="3"/>
  <c r="Y11" i="2"/>
  <c r="Y56" i="2"/>
  <c r="BN19" i="3"/>
  <c r="BG10" i="3"/>
  <c r="BO15" i="3"/>
  <c r="Y17" i="2"/>
  <c r="EZ8" i="4" a="1"/>
  <c r="BH45" i="3"/>
  <c r="BP30" i="3"/>
  <c r="BO9" i="3"/>
  <c r="BU16" i="3"/>
  <c r="BA15" i="3"/>
  <c r="BD21" i="3"/>
  <c r="EZ9" i="4" a="1"/>
  <c r="BV9" i="3"/>
  <c r="BB29" i="3"/>
  <c r="AA24" i="2"/>
  <c r="BK35" i="3"/>
  <c r="BJ15" i="3"/>
  <c r="Y50" i="2"/>
  <c r="BV13" i="3"/>
  <c r="Y75" i="2"/>
  <c r="Y88" i="2"/>
  <c r="FA6" i="4" a="1"/>
  <c r="Y18" i="2"/>
  <c r="FF8" i="4" a="1"/>
  <c r="AA28" i="2"/>
  <c r="Y21" i="2"/>
  <c r="AA5" i="2"/>
  <c r="BA26" i="3"/>
  <c r="Y87" i="2"/>
  <c r="BE38" i="3"/>
  <c r="BQ25" i="3"/>
  <c r="BT45" i="3"/>
  <c r="BJ32" i="3"/>
  <c r="AA14" i="2"/>
  <c r="BE37" i="3"/>
  <c r="BM17" i="3"/>
  <c r="BC5" i="3"/>
  <c r="AA16" i="2"/>
  <c r="BD7" i="3"/>
  <c r="BP37" i="3"/>
  <c r="BU5" i="3"/>
  <c r="BJ20" i="3"/>
  <c r="BS12" i="3"/>
  <c r="FA15" i="4" a="1"/>
  <c r="BM11" i="3"/>
  <c r="BN12" i="3"/>
  <c r="BN7" i="3"/>
  <c r="BR12" i="3"/>
  <c r="BM10" i="3"/>
  <c r="BR38" i="3"/>
  <c r="BA31" i="3"/>
  <c r="Y64" i="2"/>
  <c r="BM28" i="3"/>
  <c r="EX5" i="4" a="1"/>
  <c r="BV37" i="3"/>
  <c r="BC25" i="3"/>
  <c r="BP45" i="3"/>
  <c r="BQ6" i="3"/>
  <c r="Y86" i="2"/>
  <c r="FF12" i="4" a="1"/>
  <c r="BS23" i="3"/>
  <c r="AA79" i="2"/>
  <c r="BP23" i="3"/>
  <c r="BQ10" i="3"/>
  <c r="BC34" i="3"/>
  <c r="EY15" i="4" a="1"/>
  <c r="BT17" i="3"/>
  <c r="EZ15" i="4" a="1"/>
  <c r="BJ29" i="3"/>
  <c r="BS25" i="3"/>
  <c r="Z49" i="2"/>
  <c r="BG6" i="3"/>
  <c r="BQ14" i="3"/>
  <c r="BB42" i="3"/>
  <c r="EY8" i="4" a="1"/>
  <c r="BP10" i="3"/>
  <c r="FA9" i="4" a="1"/>
  <c r="BF30" i="3"/>
  <c r="BM27" i="3"/>
  <c r="BS27" i="3"/>
  <c r="AA91" i="2"/>
  <c r="BE35" i="3"/>
  <c r="BP12" i="3"/>
  <c r="BA38" i="3"/>
  <c r="BF37" i="3"/>
  <c r="BE45" i="3"/>
  <c r="BC7" i="3"/>
  <c r="BK40" i="3"/>
  <c r="BM29" i="3"/>
  <c r="BB28" i="3"/>
  <c r="BE26" i="3"/>
  <c r="BE7" i="3"/>
  <c r="BQ40" i="3"/>
  <c r="Z72" i="2"/>
  <c r="BL5" i="3"/>
  <c r="BQ45" i="3"/>
  <c r="BH22" i="3"/>
  <c r="BO12" i="3"/>
  <c r="BB37" i="3"/>
  <c r="BB17" i="3"/>
  <c r="BD33" i="3"/>
  <c r="BO40" i="3"/>
  <c r="Z95" i="2"/>
  <c r="BM15" i="3"/>
  <c r="BQ38" i="3"/>
  <c r="BB10" i="3"/>
  <c r="BI41" i="3"/>
  <c r="BN9" i="3"/>
  <c r="BM36" i="3"/>
  <c r="Y81" i="2"/>
  <c r="Z9" i="2"/>
  <c r="BV6" i="3"/>
  <c r="BL37" i="3"/>
  <c r="BK16" i="3"/>
  <c r="BO31" i="3"/>
  <c r="EZ16" i="4" a="1"/>
  <c r="BU20" i="3"/>
  <c r="BS22" i="3"/>
  <c r="BS39" i="3"/>
  <c r="BD27" i="3"/>
  <c r="BR8" i="3"/>
  <c r="BF39" i="3"/>
  <c r="BR34" i="3"/>
  <c r="BC37" i="3"/>
  <c r="AA19" i="2"/>
  <c r="BF25" i="3"/>
  <c r="FF16" i="4" a="1"/>
  <c r="AA33" i="2"/>
  <c r="Y40" i="2"/>
  <c r="BG20" i="3"/>
  <c r="BU29" i="3"/>
  <c r="BT25" i="3"/>
  <c r="BF31" i="3"/>
  <c r="FC13" i="4" a="1"/>
  <c r="BM45" i="3"/>
  <c r="BI14" i="3"/>
  <c r="BG35" i="3"/>
  <c r="BH12" i="3"/>
  <c r="Y85" i="2"/>
  <c r="BO22" i="3"/>
  <c r="Y42" i="2"/>
  <c r="Y43" i="2"/>
  <c r="AA8" i="2"/>
  <c r="BU18" i="3"/>
  <c r="BS21" i="3"/>
  <c r="Z14" i="2"/>
  <c r="BG22" i="3"/>
  <c r="BR13" i="3"/>
  <c r="Y107" i="2"/>
  <c r="BT7" i="3"/>
  <c r="BP42" i="3"/>
  <c r="BC28" i="3"/>
  <c r="BM23" i="3"/>
  <c r="BS41" i="3"/>
  <c r="BA25" i="3"/>
  <c r="BP46" i="3"/>
  <c r="BP17" i="3"/>
  <c r="BQ16" i="3"/>
  <c r="Y51" i="2"/>
  <c r="BI29" i="3"/>
  <c r="BA6" i="3"/>
  <c r="BI25" i="3"/>
  <c r="BT29" i="3"/>
  <c r="BB39" i="3"/>
  <c r="BL10" i="3"/>
  <c r="BP39" i="3"/>
  <c r="BQ24" i="3"/>
  <c r="Y26" i="2"/>
  <c r="BP29" i="3"/>
  <c r="BG36" i="3"/>
  <c r="BC19" i="3"/>
  <c r="BK33" i="3"/>
  <c r="BV24" i="3"/>
  <c r="FD14" i="4" a="1"/>
  <c r="BG34" i="3"/>
  <c r="BF26" i="3"/>
  <c r="Y8" i="2"/>
  <c r="BI40" i="3"/>
  <c r="BV28" i="3"/>
  <c r="FA8" i="4" a="1"/>
  <c r="BF23" i="3"/>
  <c r="BE30" i="3"/>
  <c r="BS6" i="3"/>
  <c r="AA85" i="2"/>
  <c r="BG12" i="3"/>
  <c r="BP24" i="3"/>
  <c r="BN22" i="3"/>
  <c r="BO37" i="3"/>
  <c r="AA50" i="2"/>
  <c r="Z19" i="2"/>
  <c r="Z46" i="2"/>
  <c r="BL34" i="3"/>
  <c r="BD35" i="3"/>
  <c r="BN25" i="3"/>
  <c r="BN41" i="3"/>
  <c r="Z51" i="2"/>
  <c r="BC14" i="3"/>
  <c r="Y6" i="2"/>
  <c r="BB30" i="3"/>
  <c r="BA23" i="3"/>
  <c r="BK19" i="3"/>
  <c r="BL36" i="3"/>
  <c r="BE28" i="3"/>
  <c r="BH32" i="3"/>
  <c r="BT30" i="3"/>
  <c r="BR30" i="3"/>
  <c r="BT13" i="3"/>
  <c r="BT18" i="3"/>
  <c r="BL21" i="3"/>
  <c r="BE40" i="3"/>
  <c r="BH11" i="3"/>
  <c r="AA21" i="2"/>
  <c r="BB31" i="3"/>
  <c r="FD6" i="4" a="1"/>
  <c r="BA37" i="3"/>
  <c r="BP14" i="3"/>
  <c r="BB33" i="3"/>
  <c r="BB6" i="3"/>
  <c r="BS37" i="3"/>
  <c r="AA98" i="2"/>
  <c r="BG19" i="3"/>
  <c r="BF6" i="3"/>
  <c r="BM32" i="3"/>
  <c r="FF9" i="4" a="1"/>
  <c r="Z90" i="2"/>
  <c r="BD29" i="3"/>
  <c r="Z17" i="2"/>
  <c r="Z45" i="2"/>
  <c r="HE6" i="4" a="1"/>
  <c r="HC6" i="4" a="1"/>
  <c r="FX5" i="4" a="1"/>
  <c r="HC13" i="4" a="1"/>
  <c r="GX7" i="4" a="1"/>
  <c r="BL88" i="3"/>
  <c r="FK6" i="4" a="1"/>
  <c r="BH55" i="3"/>
  <c r="FM14" i="4" a="1"/>
  <c r="FG9" i="4" a="1"/>
  <c r="BH76" i="3"/>
  <c r="GP8" i="4" a="1"/>
  <c r="FO16" i="4" a="1"/>
  <c r="GC6" i="4" a="1"/>
  <c r="BE39" i="3"/>
  <c r="BK45" i="3"/>
  <c r="BO18" i="3"/>
  <c r="Z20" i="2"/>
  <c r="BD23" i="3"/>
  <c r="Z25" i="2"/>
  <c r="BU10" i="3"/>
  <c r="BD25" i="3"/>
  <c r="EZ7" i="4" a="1"/>
  <c r="BH46" i="3"/>
  <c r="BV12" i="3"/>
  <c r="BL28" i="3"/>
  <c r="BE13" i="3"/>
  <c r="BT5" i="3"/>
  <c r="BA19" i="3"/>
  <c r="Z50" i="2"/>
  <c r="Y13" i="2"/>
  <c r="BJ10" i="3"/>
  <c r="Z22" i="2"/>
  <c r="BP22" i="3"/>
  <c r="Y15" i="2"/>
  <c r="BA28" i="3"/>
  <c r="BD28" i="3"/>
  <c r="BP18" i="3"/>
  <c r="BP16" i="3"/>
  <c r="Z15" i="2"/>
  <c r="BG13" i="3"/>
  <c r="BN24" i="3"/>
  <c r="BB40" i="3"/>
  <c r="BO27" i="3"/>
  <c r="BK27" i="3"/>
  <c r="Y96" i="2"/>
  <c r="BE20" i="3"/>
  <c r="BV16" i="3"/>
  <c r="Y97" i="2"/>
  <c r="BO35" i="3"/>
  <c r="BN29" i="3"/>
  <c r="BV22" i="3"/>
  <c r="BB19" i="3"/>
  <c r="BM34" i="3"/>
  <c r="Y109" i="2"/>
  <c r="BM26" i="3"/>
  <c r="BV20" i="3"/>
  <c r="BB11" i="3"/>
  <c r="BT39" i="3"/>
  <c r="BL42" i="3"/>
  <c r="BV30" i="3"/>
  <c r="BD19" i="3"/>
  <c r="BI16" i="3"/>
  <c r="BK41" i="3"/>
  <c r="Z75" i="2"/>
  <c r="BL25" i="3"/>
  <c r="BS32" i="3"/>
  <c r="FE6" i="4" a="1"/>
  <c r="BG23" i="3"/>
  <c r="BK10" i="3"/>
  <c r="BU17" i="3"/>
  <c r="BF8" i="3"/>
  <c r="BS38" i="3"/>
  <c r="FB12" i="4" a="1"/>
  <c r="BF34" i="3"/>
  <c r="BE29" i="3"/>
  <c r="BG8" i="3"/>
  <c r="BA10" i="3"/>
  <c r="BN11" i="3"/>
  <c r="BM20" i="3"/>
  <c r="AA53" i="2"/>
  <c r="BF29" i="3"/>
  <c r="BA36" i="3"/>
  <c r="AA96" i="2"/>
  <c r="BA34" i="3"/>
  <c r="BT40" i="3"/>
  <c r="AA12" i="2"/>
  <c r="BL7" i="3"/>
  <c r="BV46" i="3"/>
  <c r="BQ21" i="3"/>
  <c r="BP9" i="3"/>
  <c r="AA65" i="2"/>
  <c r="BB13" i="3"/>
  <c r="AA57" i="2"/>
  <c r="BC29" i="3"/>
  <c r="BF13" i="3"/>
  <c r="Z18" i="2"/>
  <c r="AA66" i="2"/>
  <c r="Z110" i="2"/>
  <c r="BV27" i="3"/>
  <c r="BB35" i="3"/>
  <c r="BD8" i="3"/>
  <c r="BA32" i="3"/>
  <c r="BK8" i="3"/>
  <c r="BC30" i="3"/>
  <c r="AA49" i="2"/>
  <c r="FF11" i="4" a="1"/>
  <c r="BF27" i="3"/>
  <c r="FD12" i="4" a="1"/>
  <c r="BD31" i="3"/>
  <c r="FC8" i="4" a="1"/>
  <c r="BI12" i="3"/>
  <c r="BP19" i="3"/>
  <c r="BO14" i="3"/>
  <c r="BG5" i="3"/>
  <c r="BU19" i="3"/>
  <c r="BM18" i="3"/>
  <c r="BR39" i="3"/>
  <c r="EX14" i="4" a="1"/>
  <c r="Z84" i="2"/>
  <c r="Z89" i="2"/>
  <c r="BG67" i="3"/>
  <c r="GB14" i="4" a="1"/>
  <c r="GG7" i="4" a="1"/>
  <c r="FY5" i="4" a="1"/>
  <c r="GN15" i="4" a="1"/>
  <c r="BG66" i="3"/>
  <c r="HA6" i="4" a="1"/>
  <c r="BG41" i="3"/>
  <c r="AA68" i="2"/>
  <c r="BT27" i="3"/>
  <c r="Z70" i="2"/>
  <c r="BD6" i="3"/>
  <c r="Y34" i="2"/>
  <c r="BS42" i="3"/>
  <c r="BB23" i="3"/>
  <c r="BT14" i="3"/>
  <c r="BH25" i="3"/>
  <c r="BL14" i="3"/>
  <c r="BH7" i="3"/>
  <c r="BH15" i="3"/>
  <c r="BS26" i="3"/>
  <c r="Y77" i="2"/>
  <c r="Y33" i="2"/>
  <c r="Y78" i="2"/>
  <c r="BV35" i="3"/>
  <c r="BC16" i="3"/>
  <c r="BM22" i="3"/>
  <c r="BD45" i="3"/>
  <c r="Y82" i="2"/>
  <c r="BD14" i="3"/>
  <c r="BR25" i="3"/>
  <c r="BI20" i="3"/>
  <c r="Y16" i="2"/>
  <c r="BH33" i="3"/>
  <c r="BS20" i="3"/>
  <c r="FB7" i="4" a="1"/>
  <c r="BK24" i="3"/>
  <c r="BM5" i="3"/>
  <c r="BU11" i="3"/>
  <c r="BL39" i="3"/>
  <c r="BS24" i="3"/>
  <c r="FE8" i="4" a="1"/>
  <c r="BH10" i="3"/>
  <c r="BJ30" i="3"/>
  <c r="BH37" i="3"/>
  <c r="Z83" i="2"/>
  <c r="BI7" i="3"/>
  <c r="BU13" i="3"/>
  <c r="BJ46" i="3"/>
  <c r="BS28" i="3"/>
  <c r="EY5" i="4" a="1"/>
  <c r="BN35" i="3"/>
  <c r="BT37" i="3"/>
  <c r="BT32" i="3"/>
  <c r="Z87" i="2"/>
  <c r="BP20" i="3"/>
  <c r="BE9" i="3"/>
  <c r="BU15" i="3"/>
  <c r="BE31" i="3"/>
  <c r="BJ18" i="3"/>
  <c r="EY6" i="4" a="1"/>
  <c r="AA109" i="2"/>
  <c r="BF5" i="3"/>
  <c r="BU41" i="3"/>
  <c r="BM35" i="3"/>
  <c r="BT16" i="3"/>
  <c r="BQ8" i="3"/>
  <c r="AA110" i="2"/>
  <c r="Y22" i="2"/>
  <c r="BG32" i="3"/>
  <c r="EY14" i="4" a="1"/>
  <c r="BF42" i="3"/>
  <c r="BV25" i="3"/>
  <c r="BD42" i="3"/>
  <c r="BT12" i="3"/>
  <c r="Y47" i="2"/>
  <c r="BC9" i="3"/>
  <c r="FC14" i="4" a="1"/>
  <c r="BE17" i="3"/>
  <c r="BU25" i="3"/>
  <c r="BL41" i="3"/>
  <c r="BI39" i="3"/>
  <c r="BG45" i="3"/>
  <c r="Y5" i="2"/>
  <c r="BC22" i="3"/>
  <c r="Z7" i="2"/>
  <c r="FE11" i="4" a="1"/>
  <c r="BB24" i="3"/>
  <c r="BB5" i="3"/>
  <c r="BN27" i="3"/>
  <c r="AA92" i="2"/>
  <c r="BB12" i="3"/>
  <c r="BC18" i="3"/>
  <c r="BU22" i="3"/>
  <c r="BD15" i="3"/>
  <c r="Z56" i="2"/>
  <c r="FF6" i="4" a="1"/>
  <c r="BQ46" i="3"/>
  <c r="FF15" i="4" a="1"/>
  <c r="AA83" i="2"/>
  <c r="BC39" i="3"/>
  <c r="FA7" i="4" a="1"/>
  <c r="BV26" i="3"/>
  <c r="BO42" i="3"/>
  <c r="BA41" i="3"/>
  <c r="Y104" i="2"/>
  <c r="BF36" i="3"/>
  <c r="BN20" i="3"/>
  <c r="BO34" i="3"/>
  <c r="BN36" i="3"/>
  <c r="BG38" i="3"/>
  <c r="BL19" i="3"/>
  <c r="EX9" i="4" a="1"/>
  <c r="BP27" i="3"/>
  <c r="HB15" i="4" a="1"/>
  <c r="FK8" i="4" a="1"/>
  <c r="FQ5" i="4" a="1"/>
  <c r="FV8" i="4" a="1"/>
  <c r="BG54" i="3"/>
  <c r="GT5" i="4" a="1"/>
  <c r="BG73" i="3"/>
  <c r="FZ7" i="4" a="1"/>
  <c r="BL47" i="3"/>
  <c r="GG14" i="4" a="1"/>
  <c r="GV7" i="4" a="1"/>
  <c r="BL66" i="3"/>
  <c r="FY6" i="4" a="1"/>
  <c r="BV31" i="3"/>
  <c r="AY29" i="3"/>
  <c r="BI8" i="3"/>
  <c r="BC42" i="3"/>
  <c r="Y84" i="2"/>
  <c r="Z33" i="2"/>
  <c r="BR17" i="3"/>
  <c r="AA45" i="2"/>
  <c r="BQ27" i="3"/>
  <c r="BT42" i="3"/>
  <c r="BF20" i="3"/>
  <c r="Z104" i="2"/>
  <c r="BL8" i="3"/>
  <c r="BG24" i="3"/>
  <c r="Z28" i="2"/>
  <c r="Z59" i="2"/>
  <c r="BC23" i="3"/>
  <c r="BS19" i="3"/>
  <c r="Y58" i="2"/>
  <c r="BP11" i="3"/>
  <c r="AA84" i="2"/>
  <c r="Z32" i="2"/>
  <c r="FB14" i="4" a="1"/>
  <c r="BO33" i="3"/>
  <c r="BP7" i="3"/>
  <c r="BU9" i="3"/>
  <c r="BP8" i="3"/>
  <c r="BK17" i="3"/>
  <c r="EX12" i="4" a="1"/>
  <c r="BG9" i="3"/>
  <c r="BE25" i="3"/>
  <c r="BU35" i="3"/>
  <c r="BP28" i="3"/>
  <c r="BM30" i="3"/>
  <c r="FF7" i="4" a="1"/>
  <c r="BI30" i="3"/>
  <c r="BJ16" i="3"/>
  <c r="BF32" i="3"/>
  <c r="AA59" i="2"/>
  <c r="BK30" i="3"/>
  <c r="BU37" i="3"/>
  <c r="BM25" i="3"/>
  <c r="BL11" i="3"/>
  <c r="EZ6" i="4" a="1"/>
  <c r="BJ40" i="3"/>
  <c r="BN16" i="3"/>
  <c r="BJ22" i="3"/>
  <c r="AA15" i="2"/>
  <c r="Y60" i="2"/>
  <c r="BM39" i="3"/>
  <c r="BU39" i="3"/>
  <c r="BM16" i="3"/>
  <c r="BI45" i="3"/>
  <c r="BN38" i="3"/>
  <c r="Z21" i="2"/>
  <c r="BN14" i="3"/>
  <c r="BT34" i="3"/>
  <c r="BE22" i="3"/>
  <c r="BF15" i="3"/>
  <c r="BV18" i="3"/>
  <c r="BD11" i="3"/>
  <c r="BA29" i="3"/>
  <c r="BB25" i="3"/>
  <c r="BQ17" i="3"/>
  <c r="BL9" i="3"/>
  <c r="BS9" i="3"/>
  <c r="AA62" i="2"/>
  <c r="BK12" i="3"/>
  <c r="BQ30" i="3"/>
  <c r="AA43" i="2"/>
  <c r="BU12" i="3"/>
  <c r="BJ31" i="3"/>
  <c r="BV8" i="3"/>
  <c r="BL18" i="3"/>
  <c r="BK6" i="3"/>
  <c r="BU23" i="3"/>
  <c r="FB6" i="4" a="1"/>
  <c r="BD20" i="3"/>
  <c r="BV38" i="3"/>
  <c r="BS10" i="3"/>
  <c r="BP13" i="3"/>
  <c r="BB26" i="3"/>
  <c r="BD17" i="3"/>
  <c r="BR27" i="3"/>
  <c r="BM33" i="3"/>
  <c r="BO13" i="3"/>
  <c r="BU32" i="3"/>
  <c r="EY13" i="4" a="1"/>
  <c r="BR23" i="3"/>
  <c r="BC10" i="3"/>
  <c r="FE16" i="4" a="1"/>
  <c r="BQ12" i="3"/>
  <c r="BR26" i="3"/>
  <c r="Z23" i="2"/>
  <c r="AA74" i="2"/>
  <c r="BI15" i="3"/>
  <c r="BC46" i="3"/>
  <c r="Y74" i="2"/>
  <c r="BD13" i="3"/>
  <c r="Z13" i="2"/>
  <c r="BL33" i="3"/>
  <c r="BB20" i="3"/>
  <c r="AA29" i="2"/>
  <c r="BT20" i="3"/>
  <c r="BO7" i="3"/>
  <c r="BH20" i="3"/>
  <c r="HE11" i="4" a="1"/>
  <c r="GX12" i="4" a="1"/>
  <c r="BN37" i="3"/>
  <c r="BV10" i="3"/>
  <c r="BN23" i="3"/>
  <c r="BM9" i="3"/>
  <c r="BR11" i="3"/>
  <c r="BC41" i="3"/>
  <c r="AA90" i="2"/>
  <c r="BJ34" i="3"/>
  <c r="BT21" i="3"/>
  <c r="Y71" i="2"/>
  <c r="BE19" i="3"/>
  <c r="BR5" i="3"/>
  <c r="Z52" i="2"/>
  <c r="BU46" i="3"/>
  <c r="BF18" i="3"/>
  <c r="FD9" i="4" a="1"/>
  <c r="BQ5" i="3"/>
  <c r="BL31" i="3"/>
  <c r="BF21" i="3"/>
  <c r="BF28" i="3"/>
  <c r="BH9" i="3"/>
  <c r="BS34" i="3"/>
  <c r="Y30" i="2"/>
  <c r="BF19" i="3"/>
  <c r="Y14" i="2"/>
  <c r="BO24" i="3"/>
  <c r="Y61" i="2"/>
  <c r="BA35" i="3"/>
  <c r="BA7" i="3"/>
  <c r="BV15" i="3"/>
  <c r="AA105" i="2"/>
  <c r="BI31" i="3"/>
  <c r="Z86" i="2"/>
  <c r="AA73" i="2"/>
  <c r="BA33" i="3"/>
  <c r="BG46" i="3"/>
  <c r="Z60" i="2"/>
  <c r="BK39" i="3"/>
  <c r="BV17" i="3"/>
  <c r="Y12" i="2"/>
  <c r="BM37" i="3"/>
  <c r="Z68" i="2"/>
  <c r="AA42" i="2"/>
  <c r="Y93" i="2"/>
  <c r="BN17" i="3"/>
  <c r="BC35" i="3"/>
  <c r="BR15" i="3"/>
  <c r="BH30" i="3"/>
  <c r="BV19" i="3"/>
  <c r="Y24" i="2"/>
  <c r="BN30" i="3"/>
  <c r="AA20" i="2"/>
  <c r="BA14" i="3"/>
  <c r="Z69" i="2"/>
  <c r="BS5" i="3"/>
  <c r="BS56" i="3" s="1"/>
  <c r="BB15" i="3"/>
  <c r="BF12" i="3"/>
  <c r="Z31" i="2"/>
  <c r="BD9" i="3"/>
  <c r="Y53" i="2"/>
  <c r="BO5" i="3"/>
  <c r="EZ14" i="4" a="1"/>
  <c r="BT36" i="3"/>
  <c r="BS31" i="3"/>
  <c r="Z77" i="2"/>
  <c r="BL29" i="3"/>
  <c r="BK29" i="3"/>
  <c r="Z48" i="2"/>
  <c r="BT31" i="3"/>
  <c r="BP41" i="3"/>
  <c r="BV29" i="3"/>
  <c r="BA20" i="3"/>
  <c r="BN45" i="3"/>
  <c r="BA40" i="3"/>
  <c r="AA70" i="2"/>
  <c r="BU45" i="3"/>
  <c r="BN32" i="3"/>
  <c r="FC15" i="4" a="1"/>
  <c r="BL20" i="3"/>
  <c r="AV10" i="3"/>
  <c r="BK26" i="3"/>
  <c r="Y46" i="2"/>
  <c r="BU6" i="3"/>
  <c r="Z97" i="2"/>
  <c r="BO38" i="3"/>
  <c r="BQ36" i="3"/>
  <c r="EY11" i="4" a="1"/>
  <c r="AA46" i="2"/>
  <c r="BR35" i="3"/>
  <c r="BE11" i="3"/>
  <c r="BL16" i="3"/>
  <c r="BJ9" i="3"/>
  <c r="BJ37" i="3"/>
  <c r="BV42" i="3"/>
  <c r="BG14" i="3"/>
  <c r="BN6" i="3"/>
  <c r="BB45" i="3"/>
  <c r="AA97" i="2"/>
  <c r="Z8" i="2"/>
  <c r="BG39" i="3"/>
  <c r="BK14" i="3"/>
  <c r="AA69" i="2"/>
  <c r="BE21" i="3"/>
  <c r="BF40" i="3"/>
  <c r="EX6" i="4" a="1"/>
  <c r="BJ38" i="3"/>
  <c r="BE24" i="3"/>
  <c r="HH12" i="4" a="1"/>
  <c r="FW6" i="4" a="1"/>
  <c r="BG65" i="3"/>
  <c r="GK15" i="4" a="1"/>
  <c r="GZ6" i="4" a="1"/>
  <c r="BH67" i="3"/>
  <c r="GQ14" i="4" a="1"/>
  <c r="BS15" i="3"/>
  <c r="BL32" i="3"/>
  <c r="FE7" i="4" a="1"/>
  <c r="FD5" i="4" a="1"/>
  <c r="BD22" i="3"/>
  <c r="V6" i="2"/>
  <c r="BT35" i="3"/>
  <c r="BJ23" i="3"/>
  <c r="BE6" i="3"/>
  <c r="EX8" i="4" a="1"/>
  <c r="BI23" i="3"/>
  <c r="Z108" i="2"/>
  <c r="Z79" i="2"/>
  <c r="BJ33" i="3"/>
  <c r="Z54" i="2"/>
  <c r="BA17" i="3"/>
  <c r="BQ35" i="3"/>
  <c r="BO28" i="3"/>
  <c r="BJ21" i="3"/>
  <c r="BB8" i="3"/>
  <c r="BB22" i="3"/>
  <c r="BO6" i="3"/>
  <c r="AA104" i="2"/>
  <c r="BJ11" i="3"/>
  <c r="Z11" i="2"/>
  <c r="AA31" i="2"/>
  <c r="EX16" i="4" a="1"/>
  <c r="BC15" i="3"/>
  <c r="BN8" i="3"/>
  <c r="BQ28" i="3"/>
  <c r="BM41" i="3"/>
  <c r="Z76" i="2"/>
  <c r="EZ13" i="4" a="1"/>
  <c r="Y65" i="2"/>
  <c r="FA5" i="4" a="1"/>
  <c r="BD46" i="3"/>
  <c r="Y62" i="2"/>
  <c r="AA22" i="2"/>
  <c r="AA6" i="2"/>
  <c r="Z24" i="2"/>
  <c r="BQ34" i="3"/>
  <c r="BI46" i="3"/>
  <c r="BL24" i="3"/>
  <c r="BA8" i="3"/>
  <c r="Z65" i="2"/>
  <c r="BK36" i="3"/>
  <c r="BA24" i="3"/>
  <c r="BB64" i="3"/>
  <c r="BG81" i="3"/>
  <c r="FK14" i="4" a="1"/>
  <c r="GW16" i="4" a="1"/>
  <c r="FQ11" i="4" a="1"/>
  <c r="FW15" i="4" a="1"/>
  <c r="BB49" i="3"/>
  <c r="GE8" i="4" a="1"/>
  <c r="BQ74" i="3"/>
  <c r="GN12" i="4" a="1"/>
  <c r="GM15" i="4" a="1"/>
  <c r="BL79" i="3"/>
  <c r="GE12" i="4" a="1"/>
  <c r="BS92" i="3"/>
  <c r="HF14" i="4" a="1"/>
  <c r="FI13" i="4" a="1"/>
  <c r="BL48" i="3"/>
  <c r="GK7" i="4" a="1"/>
  <c r="BH70" i="3"/>
  <c r="GS5" i="4" a="1"/>
  <c r="GT15" i="4" a="1"/>
  <c r="FN6" i="4" a="1"/>
  <c r="GS12" i="4" a="1"/>
  <c r="GP6" i="4" a="1"/>
  <c r="GZ15" i="4" a="1"/>
  <c r="GO12" i="4" a="1"/>
  <c r="GD16" i="4" a="1"/>
  <c r="HB11" i="4" a="1"/>
  <c r="FG13" i="4" a="1"/>
  <c r="HH13" i="4" a="1"/>
  <c r="GX5" i="4" a="1"/>
  <c r="GM12" i="4" a="1"/>
  <c r="FJ9" i="4" a="1"/>
  <c r="FL6" i="4" a="1"/>
  <c r="FQ14" i="4" a="1"/>
  <c r="FQ13" i="4" a="1"/>
  <c r="GO5" i="4" a="1"/>
  <c r="FR15" i="4" a="1"/>
  <c r="GN8" i="4" a="1"/>
  <c r="BL54" i="3"/>
  <c r="FM16" i="4" a="1"/>
  <c r="GP12" i="4" a="1"/>
  <c r="FI14" i="4" a="1"/>
  <c r="FX13" i="4" a="1"/>
  <c r="FL13" i="4" a="1"/>
  <c r="BC55" i="3"/>
  <c r="GY15" i="4" a="1"/>
  <c r="AA112" i="2"/>
  <c r="FK9" i="4" a="1"/>
  <c r="FK15" i="4" a="1"/>
  <c r="BS66" i="3"/>
  <c r="GG12" i="4" a="1"/>
  <c r="FN8" i="4" a="1"/>
  <c r="FH13" i="4" a="1"/>
  <c r="FK13" i="4" a="1"/>
  <c r="GR15" i="4" a="1"/>
  <c r="GM14" i="4" a="1"/>
  <c r="HE8" i="4" a="1"/>
  <c r="BS50" i="3"/>
  <c r="GJ8" i="4" a="1"/>
  <c r="HD13" i="4" a="1"/>
  <c r="FS13" i="4" a="1"/>
  <c r="HG7" i="4" a="1"/>
  <c r="FJ15" i="4" a="1"/>
  <c r="GF14" i="4" a="1"/>
  <c r="GA5" i="4" a="1"/>
  <c r="BS46" i="3"/>
  <c r="BF14" i="3"/>
  <c r="FF14" i="4" a="1"/>
  <c r="BL22" i="3"/>
  <c r="AA9" i="2"/>
  <c r="BD36" i="3"/>
  <c r="BR21" i="3"/>
  <c r="BT10" i="3"/>
  <c r="BN26" i="3"/>
  <c r="BP38" i="3"/>
  <c r="BI18" i="3"/>
  <c r="BB32" i="3"/>
  <c r="Y108" i="2"/>
  <c r="BR18" i="3"/>
  <c r="AA10" i="2"/>
  <c r="AA76" i="2"/>
  <c r="BO45" i="3"/>
  <c r="BG11" i="3"/>
  <c r="BL27" i="3"/>
  <c r="Z71" i="2"/>
  <c r="BQ13" i="3"/>
  <c r="BO30" i="3"/>
  <c r="BK9" i="3"/>
  <c r="BG37" i="3"/>
  <c r="BD10" i="3"/>
  <c r="Z63" i="2"/>
  <c r="BU24" i="3"/>
  <c r="BS33" i="3"/>
  <c r="BL17" i="3"/>
  <c r="BV34" i="3"/>
  <c r="BM42" i="3"/>
  <c r="BA16" i="3"/>
  <c r="FA13" i="4" a="1"/>
  <c r="Y27" i="2"/>
  <c r="BG27" i="3"/>
  <c r="BQ32" i="3"/>
  <c r="Z99" i="2"/>
  <c r="BB36" i="3"/>
  <c r="BS30" i="3"/>
  <c r="BL6" i="3"/>
  <c r="BF46" i="3"/>
  <c r="BM31" i="3"/>
  <c r="BV40" i="3"/>
  <c r="Z96" i="2"/>
  <c r="AA32" i="2"/>
  <c r="BE10" i="3"/>
  <c r="AA60" i="2"/>
  <c r="BG93" i="3"/>
  <c r="BL84" i="3"/>
  <c r="BB74" i="3"/>
  <c r="GF16" i="4" a="1"/>
  <c r="FU14" i="4" a="1"/>
  <c r="BL57" i="3"/>
  <c r="FH7" i="4" a="1"/>
  <c r="GF13" i="4" a="1"/>
  <c r="BL86" i="3"/>
  <c r="BS77" i="3"/>
  <c r="HD12" i="4" a="1"/>
  <c r="GO11" i="4" a="1"/>
  <c r="BS72" i="3"/>
  <c r="GH13" i="4" a="1"/>
  <c r="FM7" i="4" a="1"/>
  <c r="BG78" i="3"/>
  <c r="FP11" i="4" a="1"/>
  <c r="AA113" i="2"/>
  <c r="FU5" i="4" a="1"/>
  <c r="FZ16" i="4" a="1"/>
  <c r="BB86" i="3"/>
  <c r="FZ12" i="4" a="1"/>
  <c r="GC5" i="4" a="1"/>
  <c r="GW15" i="4" a="1"/>
  <c r="GH16" i="4" a="1"/>
  <c r="GP9" i="4" a="1"/>
  <c r="HC7" i="4" a="1"/>
  <c r="GP14" i="4" a="1"/>
  <c r="GT7" i="4" a="1"/>
  <c r="HA12" i="4" a="1"/>
  <c r="HF16" i="4" a="1"/>
  <c r="GH15" i="4" a="1"/>
  <c r="GC14" i="4" a="1"/>
  <c r="GE11" i="4" a="1"/>
  <c r="GX11" i="4" a="1"/>
  <c r="GW12" i="4" a="1"/>
  <c r="GG13" i="4" a="1"/>
  <c r="GU9" i="4" a="1"/>
  <c r="GO16" i="4" a="1"/>
  <c r="HA13" i="4" a="1"/>
  <c r="BJ41" i="3"/>
  <c r="BP6" i="3"/>
  <c r="BU36" i="3"/>
  <c r="BP32" i="3"/>
  <c r="BR36" i="3"/>
  <c r="BD30" i="3"/>
  <c r="BO29" i="3"/>
  <c r="BE14" i="3"/>
  <c r="BT8" i="3"/>
  <c r="BV11" i="3"/>
  <c r="BF38" i="3"/>
  <c r="Y19" i="2"/>
  <c r="BQ9" i="3"/>
  <c r="BR42" i="3"/>
  <c r="BJ35" i="3"/>
  <c r="Y31" i="2"/>
  <c r="BN31" i="3"/>
  <c r="AA55" i="2"/>
  <c r="AA18" i="2"/>
  <c r="Y35" i="2"/>
  <c r="BQ37" i="3"/>
  <c r="BH6" i="3"/>
  <c r="BL15" i="3"/>
  <c r="AA17" i="2"/>
  <c r="BF24" i="3"/>
  <c r="FB11" i="4" a="1"/>
  <c r="BR31" i="3"/>
  <c r="BJ17" i="3"/>
  <c r="BF7" i="3"/>
  <c r="BR19" i="3"/>
  <c r="BR32" i="3"/>
  <c r="BB16" i="3"/>
  <c r="BV14" i="3"/>
  <c r="BO23" i="3"/>
  <c r="BQ20" i="3"/>
  <c r="BE18" i="3"/>
  <c r="Z26" i="2"/>
  <c r="EY9" i="4" a="1"/>
  <c r="BN13" i="3"/>
  <c r="AA93" i="2"/>
  <c r="AA7" i="2"/>
  <c r="BF33" i="3"/>
  <c r="BC8" i="3"/>
  <c r="BT11" i="3"/>
  <c r="Z78" i="2"/>
  <c r="BB9" i="3"/>
  <c r="BM40" i="3"/>
  <c r="BH84" i="3"/>
  <c r="FY8" i="4" a="1"/>
  <c r="FM15" i="4" a="1"/>
  <c r="GD13" i="4" a="1"/>
  <c r="BM72" i="3"/>
  <c r="GT6" i="4" a="1"/>
  <c r="GV16" i="4" a="1"/>
  <c r="FU7" i="4" a="1"/>
  <c r="FZ14" i="4" a="1"/>
  <c r="FI11" i="4" a="1"/>
  <c r="GC15" i="4" a="1"/>
  <c r="BQ87" i="3"/>
  <c r="GN7" i="4" a="1"/>
  <c r="BF83" i="3"/>
  <c r="GF11" i="4" a="1"/>
  <c r="GT14" i="4" a="1"/>
  <c r="GQ5" i="4" a="1"/>
  <c r="AA111" i="2"/>
  <c r="GZ7" i="4" a="1"/>
  <c r="FW14" i="4" a="1"/>
  <c r="HA7" i="4" a="1"/>
  <c r="BS86" i="3"/>
  <c r="HH11" i="4" a="1"/>
  <c r="HD5" i="4" a="1"/>
  <c r="GB15" i="4" a="1"/>
  <c r="FO14" i="4" a="1"/>
  <c r="FR8" i="4" a="1"/>
  <c r="HH8" i="4" a="1"/>
  <c r="FT8" i="4" a="1"/>
  <c r="FU16" i="4" a="1"/>
  <c r="BB90" i="3"/>
  <c r="HC15" i="4" a="1"/>
  <c r="HG12" i="4" a="1"/>
  <c r="FN13" i="4" a="1"/>
  <c r="FI15" i="4" a="1"/>
  <c r="GZ9" i="4" a="1"/>
  <c r="GZ12" i="4" a="1"/>
  <c r="FN15" i="4" a="1"/>
  <c r="HA14" i="4" a="1"/>
  <c r="BL90" i="3"/>
  <c r="GO13" i="4" a="1"/>
  <c r="FM8" i="4" a="1"/>
  <c r="HB14" i="4" a="1"/>
  <c r="HC8" i="4" a="1"/>
  <c r="GR14" i="4" a="1"/>
  <c r="GI14" i="4" a="1"/>
  <c r="GT9" i="4" a="1"/>
  <c r="GZ5" i="4" a="1"/>
  <c r="GG6" i="4" a="1"/>
  <c r="FK12" i="4" a="1"/>
  <c r="BL62" i="3"/>
  <c r="FX15" i="4" a="1"/>
  <c r="GN13" i="4" a="1"/>
  <c r="BC75" i="3"/>
  <c r="BP25" i="3"/>
  <c r="Z94" i="2"/>
  <c r="BR45" i="3"/>
  <c r="BE8" i="3"/>
  <c r="BO20" i="3"/>
  <c r="AA89" i="2"/>
  <c r="BA12" i="3"/>
  <c r="BP35" i="3"/>
  <c r="BF35" i="3"/>
  <c r="BO19" i="3"/>
  <c r="BG30" i="3"/>
  <c r="BI19" i="3"/>
  <c r="BQ33" i="3"/>
  <c r="BO26" i="3"/>
  <c r="BE33" i="3"/>
  <c r="BC21" i="3"/>
  <c r="BE32" i="3"/>
  <c r="Z109" i="2"/>
  <c r="BA39" i="3"/>
  <c r="Z92" i="2"/>
  <c r="BT15" i="3"/>
  <c r="Y94" i="2"/>
  <c r="AA77" i="2"/>
  <c r="Z64" i="2"/>
  <c r="BI34" i="3"/>
  <c r="BU38" i="3"/>
  <c r="BQ41" i="3"/>
  <c r="BH31" i="3"/>
  <c r="BG33" i="3"/>
  <c r="BQ23" i="3"/>
  <c r="BO16" i="3"/>
  <c r="BO41" i="3"/>
  <c r="BN21" i="3"/>
  <c r="BB38" i="3"/>
  <c r="Z62" i="2"/>
  <c r="Y90" i="2"/>
  <c r="BP36" i="3"/>
  <c r="BS11" i="3"/>
  <c r="BB18" i="3"/>
  <c r="BK42" i="3"/>
  <c r="AA25" i="2"/>
  <c r="BL23" i="3"/>
  <c r="EZ11" i="4" a="1"/>
  <c r="AA26" i="2"/>
  <c r="FB16" i="4" a="1"/>
  <c r="AA52" i="2"/>
  <c r="FM9" i="4" a="1"/>
  <c r="BQ92" i="3"/>
  <c r="BH97" i="3"/>
  <c r="BB67" i="3"/>
  <c r="GJ5" i="4" a="1"/>
  <c r="BL82" i="3"/>
  <c r="HA15" i="4" a="1"/>
  <c r="FP14" i="4" a="1"/>
  <c r="FP7" i="4" a="1"/>
  <c r="HE13" i="4" a="1"/>
  <c r="BK18" i="3"/>
  <c r="BQ42" i="3"/>
  <c r="BI5" i="3"/>
  <c r="BR10" i="3"/>
  <c r="BT22" i="3"/>
  <c r="Y67" i="2"/>
  <c r="BA13" i="3"/>
  <c r="BM21" i="3"/>
  <c r="BR9" i="3"/>
  <c r="BG18" i="3"/>
  <c r="BK15" i="3"/>
  <c r="BF22" i="3"/>
  <c r="BO39" i="3"/>
  <c r="BI6" i="3"/>
  <c r="BK21" i="3"/>
  <c r="Y59" i="2"/>
  <c r="BH19" i="3"/>
  <c r="BA9" i="3"/>
  <c r="Z61" i="2"/>
  <c r="BD38" i="3"/>
  <c r="BH38" i="3"/>
  <c r="AA78" i="2"/>
  <c r="BA42" i="3"/>
  <c r="BG15" i="3"/>
  <c r="BC20" i="3"/>
  <c r="BJ45" i="3"/>
  <c r="BT26" i="3"/>
  <c r="BM13" i="3"/>
  <c r="BH16" i="3"/>
  <c r="BR6" i="3"/>
  <c r="BP5" i="3"/>
  <c r="BF16" i="3"/>
  <c r="AA106" i="2"/>
  <c r="AA80" i="2"/>
  <c r="FE13" i="4" a="1"/>
  <c r="BD34" i="3"/>
  <c r="BI33" i="3"/>
  <c r="Z107" i="2"/>
  <c r="BC40" i="3"/>
  <c r="BH13" i="3"/>
  <c r="BV5" i="3"/>
  <c r="C4" i="2"/>
  <c r="BE5" i="3"/>
  <c r="FE12" i="4" a="1"/>
  <c r="Y25" i="2"/>
  <c r="Z93" i="2"/>
  <c r="FX6" i="4" a="1"/>
  <c r="FP8" i="4" a="1"/>
  <c r="FS5" i="4" a="1"/>
  <c r="BB54" i="3"/>
  <c r="GY5" i="4" a="1"/>
  <c r="BV79" i="3"/>
  <c r="FN7" i="4" a="1"/>
  <c r="BL89" i="3"/>
  <c r="HA11" i="4" a="1"/>
  <c r="BS81" i="3"/>
  <c r="BV48" i="3"/>
  <c r="GI5" i="4" a="1"/>
  <c r="BM69" i="3"/>
  <c r="HF6" i="4" a="1"/>
  <c r="FZ11" i="4" a="1"/>
  <c r="BG48" i="3"/>
  <c r="GA12" i="4" a="1"/>
  <c r="BU95" i="3"/>
  <c r="GC12" i="4" a="1"/>
  <c r="BE80" i="3"/>
  <c r="FY13" i="4" a="1"/>
  <c r="FZ9" i="4" a="1"/>
  <c r="FI12" i="4" a="1"/>
  <c r="GI13" i="4" a="1"/>
  <c r="FH9" i="4" a="1"/>
  <c r="GU7" i="4" a="1"/>
  <c r="GZ16" i="4" a="1"/>
  <c r="GP5" i="4" a="1"/>
  <c r="GG5" i="4" a="1"/>
  <c r="GC11" i="4" a="1"/>
  <c r="FM13" i="4" a="1"/>
  <c r="BP97" i="3"/>
  <c r="BV50" i="3"/>
  <c r="GX16" i="4" a="1"/>
  <c r="FJ12" i="4" a="1"/>
  <c r="HE7" i="4" a="1"/>
  <c r="FO15" i="4" a="1"/>
  <c r="BB56" i="3"/>
  <c r="FT13" i="4" a="1"/>
  <c r="BE66" i="3"/>
  <c r="HA16" i="4" a="1"/>
  <c r="GN11" i="4" a="1"/>
  <c r="GX15" i="4" a="1"/>
  <c r="GU6" i="4" a="1"/>
  <c r="GR9" i="4" a="1"/>
  <c r="GO9" i="4" a="1"/>
  <c r="GL11" i="4" a="1"/>
  <c r="HD6" i="4" a="1"/>
  <c r="BH80" i="3"/>
  <c r="BS88" i="3"/>
  <c r="BH61" i="3"/>
  <c r="FJ8" i="4" a="1"/>
  <c r="GW7" i="4" a="1"/>
  <c r="BF64" i="3"/>
  <c r="BL96" i="3"/>
  <c r="GP13" i="4" a="1"/>
  <c r="BC59" i="3"/>
  <c r="FT9" i="4" a="1"/>
  <c r="BC91" i="3"/>
  <c r="FQ7" i="4" a="1"/>
  <c r="BV81" i="3"/>
  <c r="FL14" i="4" a="1"/>
  <c r="FY15" i="4" a="1"/>
  <c r="GC16" i="4" a="1"/>
  <c r="FS14" i="4" a="1"/>
  <c r="HE15" i="4" a="1"/>
  <c r="FS8" i="4" a="1"/>
  <c r="GA6" i="4" a="1"/>
  <c r="BS57" i="3"/>
  <c r="HA8" i="4" a="1"/>
  <c r="GR12" i="4" a="1"/>
  <c r="GM11" i="4" a="1"/>
  <c r="Z40" i="2"/>
  <c r="BG17" i="3"/>
  <c r="BP40" i="3"/>
  <c r="BN5" i="3"/>
  <c r="BE16" i="3"/>
  <c r="BK7" i="3"/>
  <c r="BA46" i="3"/>
  <c r="BK11" i="3"/>
  <c r="BF10" i="3"/>
  <c r="BH26" i="3"/>
  <c r="BU33" i="3"/>
  <c r="BL30" i="3"/>
  <c r="BJ25" i="3"/>
  <c r="Y73" i="2"/>
  <c r="Z66" i="2"/>
  <c r="Y72" i="2"/>
  <c r="BG40" i="3"/>
  <c r="AA36" i="2"/>
  <c r="BB27" i="3"/>
  <c r="FD7" i="4" a="1"/>
  <c r="BM38" i="3"/>
  <c r="BD39" i="3"/>
  <c r="Z58" i="2"/>
  <c r="BR24" i="3"/>
  <c r="Z81" i="2"/>
  <c r="BC17" i="3"/>
  <c r="BK13" i="3"/>
  <c r="BH18" i="3"/>
  <c r="BV36" i="3"/>
  <c r="BK32" i="3"/>
  <c r="BJ8" i="3"/>
  <c r="Y91" i="2"/>
  <c r="Y70" i="2"/>
  <c r="BR7" i="3"/>
  <c r="BM46" i="3"/>
  <c r="BT28" i="3"/>
  <c r="AA30" i="2"/>
  <c r="BI22" i="3"/>
  <c r="BU40" i="3"/>
  <c r="Y89" i="2"/>
  <c r="BO21" i="3"/>
  <c r="BA5" i="3"/>
  <c r="BA61" i="3" s="1"/>
  <c r="Z27" i="2"/>
  <c r="BI11" i="3"/>
  <c r="FD11" i="4" a="1"/>
  <c r="EZ5" i="4" a="1"/>
  <c r="GH8" i="4" a="1"/>
  <c r="FW13" i="4" a="1"/>
  <c r="GY6" i="4" a="1"/>
  <c r="GA13" i="4" a="1"/>
  <c r="BL61" i="3"/>
  <c r="FS11" i="4" a="1"/>
  <c r="BI63" i="3"/>
  <c r="BB50" i="3"/>
  <c r="HD15" i="4" a="1"/>
  <c r="BI59" i="3"/>
  <c r="FX12" i="4" a="1"/>
  <c r="GR5" i="4" a="1"/>
  <c r="BI87" i="3"/>
  <c r="BG75" i="3"/>
  <c r="GE5" i="4" a="1"/>
  <c r="BE87" i="3"/>
  <c r="FW16" i="4" a="1"/>
  <c r="GR8" i="4" a="1"/>
  <c r="BI84" i="3"/>
  <c r="GM16" i="4" a="1"/>
  <c r="BV67" i="3"/>
  <c r="GQ12" i="4" a="1"/>
  <c r="GX13" i="4" a="1"/>
  <c r="BI17" i="3"/>
  <c r="FB8" i="4" a="1"/>
  <c r="FB13" i="4" a="1"/>
  <c r="Y23" i="2"/>
  <c r="Y55" i="2"/>
  <c r="BU14" i="3"/>
  <c r="BS45" i="3"/>
  <c r="BK20" i="3"/>
  <c r="FC5" i="4" a="1"/>
  <c r="BS35" i="3"/>
  <c r="AA40" i="2"/>
  <c r="BL35" i="3"/>
  <c r="BO46" i="3"/>
  <c r="BH42" i="3"/>
  <c r="BU26" i="3"/>
  <c r="BQ11" i="3"/>
  <c r="BR46" i="3"/>
  <c r="BI24" i="3"/>
  <c r="Y45" i="2"/>
  <c r="BU34" i="3"/>
  <c r="BR22" i="3"/>
  <c r="Z44" i="2"/>
  <c r="BH27" i="3"/>
  <c r="BB41" i="3"/>
  <c r="BD16" i="3"/>
  <c r="BD24" i="3"/>
  <c r="BC38" i="3"/>
  <c r="BJ13" i="3"/>
  <c r="EX7" i="4" a="1"/>
  <c r="Z36" i="2"/>
  <c r="BI27" i="3"/>
  <c r="AA82" i="2"/>
  <c r="BJ42" i="3"/>
  <c r="BG42" i="3"/>
  <c r="AA81" i="2"/>
  <c r="BG25" i="3"/>
  <c r="AA54" i="2"/>
  <c r="BO17" i="3"/>
  <c r="BN46" i="3"/>
  <c r="BI36" i="3"/>
  <c r="BV32" i="3"/>
  <c r="AA71" i="2"/>
  <c r="BT6" i="3"/>
  <c r="BI35" i="3"/>
  <c r="Z42" i="2"/>
  <c r="BN10" i="3"/>
  <c r="GG9" i="4" a="1"/>
  <c r="BH68" i="3"/>
  <c r="FP16" i="4" a="1"/>
  <c r="GV13" i="4" a="1"/>
  <c r="BS63" i="3"/>
  <c r="FH12" i="4" a="1"/>
  <c r="FY9" i="4" a="1"/>
  <c r="BE78" i="3"/>
  <c r="BE92" i="3"/>
  <c r="BH57" i="3"/>
  <c r="FO12" i="4" a="1"/>
  <c r="BN94" i="3"/>
  <c r="FV14" i="4" a="1"/>
  <c r="BH58" i="3"/>
  <c r="GW6" i="4" a="1"/>
  <c r="BE94" i="3"/>
  <c r="FR13" i="4" a="1"/>
  <c r="BH74" i="3"/>
  <c r="GC9" i="4" a="1"/>
  <c r="BH95" i="3"/>
  <c r="FQ8" i="4" a="1"/>
  <c r="BB58" i="3"/>
  <c r="FX9" i="4" a="1"/>
  <c r="HF11" i="4" a="1"/>
  <c r="BG94" i="3"/>
  <c r="FH16" i="4" a="1"/>
  <c r="BV87" i="3"/>
  <c r="GV9" i="4" a="1"/>
  <c r="FT11" i="4" a="1"/>
  <c r="FN11" i="4" a="1"/>
  <c r="BI56" i="3"/>
  <c r="GQ6" i="4" a="1"/>
  <c r="GS6" i="4" a="1"/>
  <c r="FL12" i="4" a="1"/>
  <c r="GW9" i="4" a="1"/>
  <c r="GB8" i="4" a="1"/>
  <c r="GL7" i="4" a="1"/>
  <c r="HH15" i="4" a="1"/>
  <c r="BE70" i="3"/>
  <c r="FV6" i="4" a="1"/>
  <c r="FW11" i="4" a="1"/>
  <c r="HD9" i="4" a="1"/>
  <c r="FN14" i="4" a="1"/>
  <c r="FU12" i="4" a="1"/>
  <c r="BB71" i="3"/>
  <c r="BN57" i="3"/>
  <c r="BH60" i="3"/>
  <c r="BE83" i="3"/>
  <c r="GK12" i="4" a="1"/>
  <c r="GM6" i="4" a="1"/>
  <c r="FX14" i="4" a="1"/>
  <c r="GG11" i="4" a="1"/>
  <c r="GS16" i="4" a="1"/>
  <c r="FZ8" i="4" a="1"/>
  <c r="BV62" i="3"/>
  <c r="HE14" i="4" a="1"/>
  <c r="Z91" i="2"/>
  <c r="BE23" i="3"/>
  <c r="BB21" i="3"/>
  <c r="Z73" i="2"/>
  <c r="BQ7" i="3"/>
  <c r="BM24" i="3"/>
  <c r="BC31" i="3"/>
  <c r="BR20" i="3"/>
  <c r="FB15" i="4" a="1"/>
  <c r="BK23" i="3"/>
  <c r="Z106" i="2"/>
  <c r="BF17" i="3"/>
  <c r="EX11" i="4" a="1"/>
  <c r="BJ27" i="3"/>
  <c r="AA99" i="2"/>
  <c r="Y48" i="2"/>
  <c r="Z74" i="2"/>
  <c r="BA22" i="3"/>
  <c r="Z35" i="2"/>
  <c r="Z43" i="2"/>
  <c r="HB5" i="4" a="1"/>
  <c r="BI88" i="3"/>
  <c r="GK11" i="4" a="1"/>
  <c r="BV72" i="3"/>
  <c r="BB88" i="3"/>
  <c r="GL5" i="4" a="1"/>
  <c r="BP69" i="3"/>
  <c r="BM85" i="3"/>
  <c r="BN82" i="3"/>
  <c r="BS59" i="3"/>
  <c r="BH82" i="3"/>
  <c r="GB11" i="4" a="1"/>
  <c r="GB5" i="4" a="1"/>
  <c r="FZ15" i="4" a="1"/>
  <c r="BB87" i="3"/>
  <c r="FS7" i="4" a="1"/>
  <c r="GV14" i="4" a="1"/>
  <c r="HB12" i="4" a="1"/>
  <c r="BL94" i="3"/>
  <c r="BL55" i="3"/>
  <c r="BE47" i="3"/>
  <c r="BN79" i="3"/>
  <c r="GZ8" i="4" a="1"/>
  <c r="GR6" i="4" a="1"/>
  <c r="GI15" i="4" a="1"/>
  <c r="HG9" i="4" a="1"/>
  <c r="GO15" i="4" a="1"/>
  <c r="BN90" i="3"/>
  <c r="GE15" i="4" a="1"/>
  <c r="BE74" i="3"/>
  <c r="GI12" i="4" a="1"/>
  <c r="FK7" i="4" a="1"/>
  <c r="FH11" i="4" a="1"/>
  <c r="GJ13" i="4" a="1"/>
  <c r="BI61" i="3"/>
  <c r="BH56" i="3"/>
  <c r="FV9" i="4" a="1"/>
  <c r="FO5" i="4" a="1"/>
  <c r="BN96" i="3"/>
  <c r="BS68" i="3"/>
  <c r="BV90" i="3"/>
  <c r="GZ13" i="4" a="1"/>
  <c r="HF13" i="4" a="1"/>
  <c r="FL8" i="4" a="1"/>
  <c r="BS47" i="3"/>
  <c r="FY14" i="4" a="1"/>
  <c r="GY7" i="4" a="1"/>
  <c r="GS11" i="4" a="1"/>
  <c r="FQ6" i="4" a="1"/>
  <c r="BV68" i="3"/>
  <c r="GT16" i="4" a="1"/>
  <c r="C5" i="2"/>
  <c r="FX16" i="4" a="1"/>
  <c r="GQ8" i="4" a="1"/>
  <c r="BE75" i="3"/>
  <c r="GI16" i="4" a="1"/>
  <c r="HB6" i="4" a="1"/>
  <c r="HF7" i="4" a="1"/>
  <c r="BS93" i="3"/>
  <c r="GS9" i="4" a="1"/>
  <c r="BN50" i="3"/>
  <c r="GR7" i="4" a="1"/>
  <c r="FN16" i="4" a="1"/>
  <c r="BB34" i="3"/>
  <c r="FA14" i="4" a="1"/>
  <c r="BC12" i="3"/>
  <c r="GO8" i="4" a="1"/>
  <c r="GE16" i="4" a="1"/>
  <c r="GD11" i="4" a="1"/>
  <c r="FN9" i="4" a="1"/>
  <c r="GB6" i="4" a="1"/>
  <c r="BI55" i="3"/>
  <c r="FP9" i="4" a="1"/>
  <c r="GF12" i="4" a="1"/>
  <c r="GJ15" i="4" a="1"/>
  <c r="FT16" i="4" a="1"/>
  <c r="BV93" i="3"/>
  <c r="FY7" i="4" a="1"/>
  <c r="FB9" i="4" a="1"/>
  <c r="Z55" i="2"/>
  <c r="BC45" i="3"/>
  <c r="BA56" i="3"/>
  <c r="BB62" i="3"/>
  <c r="BG63" i="3"/>
  <c r="BL92" i="3"/>
  <c r="BP61" i="3"/>
  <c r="FT14" i="4" a="1"/>
  <c r="GD7" i="4" a="1"/>
  <c r="GO7" i="4" a="1"/>
  <c r="GI8" i="4" a="1"/>
  <c r="GY12" i="4" a="1"/>
  <c r="GH12" i="4" a="1"/>
  <c r="HG11" i="4" a="1"/>
  <c r="BU87" i="3"/>
  <c r="BH49" i="3"/>
  <c r="GA8" i="4" a="1"/>
  <c r="Y44" i="2"/>
  <c r="Z47" i="2"/>
  <c r="FI6" i="4" a="1"/>
  <c r="BE82" i="3"/>
  <c r="GJ7" i="4" a="1"/>
  <c r="BS87" i="3"/>
  <c r="FK16" i="4" a="1"/>
  <c r="BQ96" i="3"/>
  <c r="GS8" i="4" a="1"/>
  <c r="BG82" i="3"/>
  <c r="BN34" i="3"/>
  <c r="Z85" i="2"/>
  <c r="BP94" i="3"/>
  <c r="GK13" i="4" a="1"/>
  <c r="GA14" i="4" a="1"/>
  <c r="GB12" i="4" a="1"/>
  <c r="FI8" i="4" a="1"/>
  <c r="BE57" i="3"/>
  <c r="BE58" i="3"/>
  <c r="BO25" i="3"/>
  <c r="AA58" i="2"/>
  <c r="BO10" i="3"/>
  <c r="FG5" i="4" a="1"/>
  <c r="GU16" i="4" a="1"/>
  <c r="BB91" i="3"/>
  <c r="BV58" i="3"/>
  <c r="HE5" i="4" a="1"/>
  <c r="BA27" i="3"/>
  <c r="BJ36" i="3"/>
  <c r="W6" i="2"/>
  <c r="BU7" i="3"/>
  <c r="BQ31" i="3"/>
  <c r="BL45" i="3"/>
  <c r="BC26" i="3"/>
  <c r="BE27" i="3"/>
  <c r="BC36" i="3"/>
  <c r="Y32" i="2"/>
  <c r="BK37" i="3"/>
  <c r="BI42" i="3"/>
  <c r="BE34" i="3"/>
  <c r="BP34" i="3"/>
  <c r="FB5" i="4" a="1"/>
  <c r="FD15" i="4" a="1"/>
  <c r="Y63" i="2"/>
  <c r="FA11" i="4" a="1"/>
  <c r="AA23" i="2"/>
  <c r="BA45" i="3"/>
  <c r="FW5" i="4" a="1"/>
  <c r="BL70" i="3"/>
  <c r="BP59" i="3"/>
  <c r="BN73" i="3"/>
  <c r="BB61" i="3"/>
  <c r="FJ5" i="4" a="1"/>
  <c r="GH9" i="4" a="1"/>
  <c r="GB7" i="4" a="1"/>
  <c r="GI9" i="4" a="1"/>
  <c r="BS74" i="3"/>
  <c r="BV63" i="3"/>
  <c r="GY11" i="4" a="1"/>
  <c r="HB7" i="4" a="1"/>
  <c r="GU8" i="4" a="1"/>
  <c r="BL85" i="3"/>
  <c r="HB8" i="4" a="1"/>
  <c r="BP89" i="3"/>
  <c r="GD12" i="4" a="1"/>
  <c r="BI93" i="3"/>
  <c r="GS7" i="4" a="1"/>
  <c r="BV59" i="3"/>
  <c r="FT12" i="4" a="1"/>
  <c r="GW8" i="4" a="1"/>
  <c r="GW14" i="4" a="1"/>
  <c r="BB69" i="3"/>
  <c r="FY16" i="4" a="1"/>
  <c r="BE86" i="3"/>
  <c r="BH69" i="3"/>
  <c r="HF9" i="4" a="1"/>
  <c r="BB83" i="3"/>
  <c r="BV84" i="3"/>
  <c r="FV15" i="4" a="1"/>
  <c r="HC12" i="4" a="1"/>
  <c r="BE72" i="3"/>
  <c r="BP91" i="3"/>
  <c r="FH6" i="4" a="1"/>
  <c r="FR9" i="4" a="1"/>
  <c r="GE7" i="4" a="1"/>
  <c r="FO11" i="4" a="1"/>
  <c r="BH23" i="3"/>
  <c r="GL13" i="4" a="1"/>
  <c r="GN16" i="4" a="1"/>
  <c r="FW8" i="4" a="1"/>
  <c r="FT6" i="4" a="1"/>
  <c r="AA48" i="2"/>
  <c r="AA63" i="2"/>
  <c r="FX11" i="4" a="1"/>
  <c r="GL15" i="4" a="1"/>
  <c r="BP54" i="3"/>
  <c r="BB79" i="3"/>
  <c r="GZ11" i="4" a="1"/>
  <c r="BN66" i="3"/>
  <c r="FL16" i="4" a="1"/>
  <c r="GR16" i="4" a="1"/>
  <c r="Y110" i="2"/>
  <c r="BT38" i="3"/>
  <c r="FS12" i="4" a="1"/>
  <c r="BI83" i="3"/>
  <c r="BB77" i="3"/>
  <c r="BS76" i="3"/>
  <c r="FS6" i="4" a="1"/>
  <c r="GH14" i="4" a="1"/>
  <c r="BE60" i="3"/>
  <c r="BE62" i="3"/>
  <c r="GR13" i="4" a="1"/>
  <c r="BB70" i="3"/>
  <c r="BD26" i="3"/>
  <c r="BD18" i="3"/>
  <c r="Y57" i="2"/>
  <c r="BM14" i="3"/>
  <c r="HG6" i="4" a="1"/>
  <c r="BC13" i="3"/>
  <c r="Y95" i="2"/>
  <c r="GF7" i="4" a="1"/>
  <c r="FR11" i="4" a="1"/>
  <c r="AA64" i="2"/>
  <c r="BF45" i="3"/>
  <c r="Z105" i="2"/>
  <c r="BU31" i="3"/>
  <c r="BS40" i="3"/>
  <c r="BK34" i="3"/>
  <c r="FA16" i="4" a="1"/>
  <c r="BJ6" i="3"/>
  <c r="BA30" i="3"/>
  <c r="BQ15" i="3"/>
  <c r="BH41" i="3"/>
  <c r="Y36" i="2"/>
  <c r="BJ12" i="3"/>
  <c r="EZ12" i="4" a="1"/>
  <c r="BC33" i="3"/>
  <c r="BL38" i="3"/>
  <c r="BV7" i="3"/>
  <c r="EX13" i="4" a="1"/>
  <c r="Y41" i="2"/>
  <c r="HD14" i="4" a="1"/>
  <c r="HE9" i="4" a="1"/>
  <c r="BI58" i="3"/>
  <c r="BS70" i="3"/>
  <c r="HH7" i="4" a="1"/>
  <c r="FG11" i="4" a="1"/>
  <c r="GJ9" i="4" a="1"/>
  <c r="HA5" i="4" a="1"/>
  <c r="FL11" i="4" a="1"/>
  <c r="BF69" i="3"/>
  <c r="GV15" i="4" a="1"/>
  <c r="FM12" i="4" a="1"/>
  <c r="GK6" i="4" a="1"/>
  <c r="FT7" i="4" a="1"/>
  <c r="BB75" i="3"/>
  <c r="HH9" i="4" a="1"/>
  <c r="FN5" i="4" a="1"/>
  <c r="GE6" i="4" a="1"/>
  <c r="FJ11" i="4" a="1"/>
  <c r="FP15" i="4" a="1"/>
  <c r="GY14" i="4" a="1"/>
  <c r="BB66" i="3"/>
  <c r="FZ5" i="4" a="1"/>
  <c r="GU13" i="4" a="1"/>
  <c r="BH79" i="3"/>
  <c r="GY16" i="4" a="1"/>
  <c r="HG8" i="4" a="1"/>
  <c r="GF15" i="4" a="1"/>
  <c r="GQ16" i="4" a="1"/>
  <c r="BH71" i="3"/>
  <c r="GL14" i="4" a="1"/>
  <c r="GI7" i="4" a="1"/>
  <c r="FH8" i="4" a="1"/>
  <c r="FO9" i="4" a="1"/>
  <c r="GU5" i="4" a="1"/>
  <c r="BB84" i="3"/>
  <c r="GD5" i="4" a="1"/>
  <c r="GH7" i="4" a="1"/>
  <c r="FS15" i="4" a="1"/>
  <c r="Y83" i="2"/>
  <c r="GU11" i="4" a="1"/>
  <c r="FR16" i="4" a="1"/>
  <c r="FU9" i="4" a="1"/>
  <c r="HE12" i="4" a="1"/>
  <c r="HG14" i="4" a="1"/>
  <c r="GJ14" i="4" a="1"/>
  <c r="GI6" i="4" a="1"/>
  <c r="GC13" i="4" a="1"/>
  <c r="FG14" i="4" a="1"/>
  <c r="FV13" i="4" a="1"/>
  <c r="BV69" i="3"/>
  <c r="GZ14" i="4" a="1"/>
  <c r="FT15" i="4" a="1"/>
  <c r="FG8" i="4" a="1"/>
  <c r="BK5" i="3"/>
  <c r="BC32" i="3"/>
  <c r="BD5" i="3"/>
  <c r="BV21" i="3"/>
  <c r="AA27" i="2"/>
  <c r="BJ28" i="3"/>
  <c r="HB13" i="4" a="1"/>
  <c r="Y10" i="2"/>
  <c r="Z10" i="2"/>
  <c r="HC14" i="4" a="1"/>
  <c r="GQ9" i="4" a="1"/>
  <c r="GA15" i="4" a="1"/>
  <c r="BG97" i="3"/>
  <c r="BI26" i="3"/>
  <c r="BU30" i="3"/>
  <c r="FU11" i="4" a="1"/>
  <c r="FK11" i="4" a="1"/>
  <c r="GG15" i="4" a="1"/>
  <c r="BR78" i="3"/>
  <c r="FD16" i="4" a="1"/>
  <c r="FH5" i="4" a="1"/>
  <c r="FI16" i="4" a="1"/>
  <c r="GM13" i="4" a="1"/>
  <c r="HH16" i="4" a="1"/>
  <c r="Y9" i="2"/>
  <c r="BT23" i="3"/>
  <c r="GG16" i="4" a="1"/>
  <c r="BL78" i="3"/>
  <c r="FI5" i="4" a="1"/>
  <c r="HE16" i="4" a="1"/>
  <c r="BS90" i="3"/>
  <c r="BU27" i="3"/>
  <c r="BJ24" i="3"/>
  <c r="Y79" i="2"/>
  <c r="BS36" i="3"/>
  <c r="BL26" i="3"/>
  <c r="BG21" i="3"/>
  <c r="Z57" i="2"/>
  <c r="BM12" i="3"/>
  <c r="EX15" i="4" a="1"/>
  <c r="BQ39" i="3"/>
  <c r="AA51" i="2"/>
  <c r="AA11" i="2"/>
  <c r="BT19" i="3"/>
  <c r="BH17" i="3"/>
  <c r="FE5" i="4" a="1"/>
  <c r="BA18" i="3"/>
  <c r="BN15" i="3"/>
  <c r="BE12" i="3"/>
  <c r="EY12" i="4" a="1"/>
  <c r="GY13" i="4" a="1"/>
  <c r="GF9" i="4" a="1"/>
  <c r="GT11" i="4" a="1"/>
  <c r="BV47" i="3"/>
  <c r="BI75" i="3"/>
  <c r="GY8" i="4" a="1"/>
  <c r="GI11" i="4" a="1"/>
  <c r="FV7" i="4" a="1"/>
  <c r="FJ6" i="4" a="1"/>
  <c r="GK9" i="4" a="1"/>
  <c r="BK94" i="3"/>
  <c r="BG90" i="3"/>
  <c r="GD8" i="4" a="1"/>
  <c r="FJ16" i="4" a="1"/>
  <c r="GA11" i="4" a="1"/>
  <c r="BN97" i="3"/>
  <c r="BE68" i="3"/>
  <c r="BE81" i="3"/>
  <c r="GB9" i="4" a="1"/>
  <c r="GR11" i="4" a="1"/>
  <c r="FU15" i="4" a="1"/>
  <c r="FV11" i="4" a="1"/>
  <c r="GF8" i="4" a="1"/>
  <c r="FQ16" i="4" a="1"/>
  <c r="FQ15" i="4" a="1"/>
  <c r="BI49" i="3"/>
  <c r="GK16" i="4" a="1"/>
  <c r="BK60" i="3"/>
  <c r="BH92" i="3"/>
  <c r="BE48" i="3"/>
  <c r="FG15" i="4" a="1"/>
  <c r="BB55" i="3"/>
  <c r="BR72" i="3"/>
  <c r="Y112" i="2"/>
  <c r="FL9" i="4" a="1"/>
  <c r="Z98" i="2"/>
  <c r="BQ26" i="3"/>
  <c r="BL56" i="3"/>
  <c r="GP15" i="4" a="1"/>
  <c r="BG16" i="3"/>
  <c r="BU28" i="3"/>
  <c r="GK5" i="4" a="1"/>
  <c r="GS15" i="4" a="1"/>
  <c r="FR14" i="4" a="1"/>
  <c r="FW12" i="4" a="1"/>
  <c r="BE59" i="3"/>
  <c r="BB81" i="3"/>
  <c r="BH94" i="3"/>
  <c r="GH5" i="4" a="1"/>
  <c r="AB39" i="3"/>
  <c r="FE14" i="4" a="1"/>
  <c r="AA67" i="2"/>
  <c r="BD32" i="3"/>
  <c r="BI38" i="3"/>
  <c r="Y28" i="2"/>
  <c r="FL15" i="4" a="1"/>
  <c r="GW13" i="4" a="1"/>
  <c r="BK86" i="3"/>
  <c r="GL16" i="4" a="1"/>
  <c r="BL80" i="3"/>
  <c r="Y54" i="2"/>
  <c r="Y92" i="2"/>
  <c r="Y66" i="2"/>
  <c r="BE96" i="3"/>
  <c r="GX8" i="4" a="1"/>
  <c r="GC7" i="4" a="1"/>
  <c r="HA9" i="4" a="1"/>
  <c r="FT5" i="4" a="1"/>
  <c r="BF9" i="3"/>
  <c r="BH24" i="3"/>
  <c r="BU42" i="3"/>
  <c r="FY11" i="4" a="1"/>
  <c r="BI64" i="3"/>
  <c r="GT12" i="4" a="1"/>
  <c r="BL91" i="3"/>
  <c r="BN62" i="3"/>
  <c r="BV70" i="3"/>
  <c r="FJ14" i="4" a="1"/>
  <c r="HC5" i="4" a="1"/>
  <c r="GM5" i="4" a="1"/>
  <c r="BI37" i="3"/>
  <c r="Y76" i="2"/>
  <c r="BB7" i="3"/>
  <c r="GP7" i="4" a="1"/>
  <c r="HB9" i="4" a="1"/>
  <c r="GQ15" i="4" a="1"/>
  <c r="GU15" i="4" a="1"/>
  <c r="GN14" i="4" a="1"/>
  <c r="FR12" i="4" a="1"/>
  <c r="GL6" i="4" a="1"/>
  <c r="BP33" i="3"/>
  <c r="BV33" i="3"/>
  <c r="FC16" i="4" a="1"/>
  <c r="BS16" i="3"/>
  <c r="BR16" i="3"/>
  <c r="AA61" i="2"/>
  <c r="BA11" i="3"/>
  <c r="Y99" i="2"/>
  <c r="BE46" i="3"/>
  <c r="BT41" i="3"/>
  <c r="Z6" i="2"/>
  <c r="BB14" i="3"/>
  <c r="BN33" i="3"/>
  <c r="BN42" i="3"/>
  <c r="FC11" i="4" a="1"/>
  <c r="BT24" i="3"/>
  <c r="FA12" i="4" a="1"/>
  <c r="BE15" i="3"/>
  <c r="BP21" i="3"/>
  <c r="GT13" i="4" a="1"/>
  <c r="HH14" i="4" a="1"/>
  <c r="GT8" i="4" a="1"/>
  <c r="BL50" i="3"/>
  <c r="FV12" i="4" a="1"/>
  <c r="GG8" i="4" a="1"/>
  <c r="FO6" i="4" a="1"/>
  <c r="FR6" i="4" a="1"/>
  <c r="FL7" i="4" a="1"/>
  <c r="HD8" i="4" a="1"/>
  <c r="GE9" i="4" a="1"/>
  <c r="FM5" i="4" a="1"/>
  <c r="BE55" i="3"/>
  <c r="GL12" i="4" a="1"/>
  <c r="GL9" i="4" a="1"/>
  <c r="FZ13" i="4" a="1"/>
  <c r="GF6" i="4" a="1"/>
  <c r="FG6" i="4" a="1"/>
  <c r="FK5" i="4" a="1"/>
  <c r="GM8" i="4" a="1"/>
  <c r="GF5" i="4" a="1"/>
  <c r="FP13" i="4" a="1"/>
  <c r="HG15" i="4" a="1"/>
  <c r="BB63" i="3"/>
  <c r="BL63" i="3"/>
  <c r="FV5" i="4" a="1"/>
  <c r="BI80" i="3"/>
  <c r="GW5" i="4" a="1"/>
  <c r="BO67" i="3"/>
  <c r="BU56" i="3"/>
  <c r="BP85" i="3"/>
  <c r="BM95" i="3"/>
  <c r="GJ12" i="4" a="1"/>
  <c r="HG5" i="4" a="1"/>
  <c r="FP12" i="4" a="1"/>
  <c r="GN5" i="4" a="1"/>
  <c r="FO8" i="4" a="1"/>
  <c r="FU6" i="4" a="1"/>
  <c r="BL83" i="3"/>
  <c r="BS79" i="3"/>
  <c r="GN9" i="4" a="1"/>
  <c r="GE14" i="4" a="1"/>
  <c r="BS14" i="3"/>
  <c r="GU12" i="4" a="1"/>
  <c r="FP6" i="4" a="1"/>
  <c r="GE13" i="4" a="1"/>
  <c r="FS9" i="4" a="1"/>
  <c r="BH14" i="3"/>
  <c r="FE15" i="4" a="1"/>
  <c r="BK31" i="3"/>
  <c r="BU21" i="3"/>
  <c r="FC12" i="4" a="1"/>
  <c r="GD14" i="4" a="1"/>
  <c r="BV71" i="3"/>
  <c r="FM6" i="4" a="1"/>
  <c r="BN93" i="3"/>
  <c r="BI65" i="3"/>
  <c r="HC9" i="4" a="1"/>
  <c r="FH14" i="4" a="1"/>
  <c r="Z34" i="2"/>
  <c r="BO8" i="3"/>
  <c r="Y69" i="2"/>
  <c r="BM8" i="3"/>
  <c r="Z88" i="2"/>
  <c r="GY9" i="4" a="1"/>
  <c r="BQ83" i="3"/>
  <c r="HH6" i="4" a="1"/>
  <c r="BE64" i="3"/>
  <c r="FR5" i="4" a="1"/>
  <c r="Z12" i="2"/>
  <c r="BB60" i="3"/>
  <c r="GV6" i="4" a="1"/>
  <c r="FO13" i="4" a="1"/>
  <c r="BS8" i="3"/>
  <c r="BS17" i="3"/>
  <c r="FC7" i="4" a="1"/>
  <c r="BL46" i="3"/>
  <c r="BR40" i="3"/>
  <c r="Z30" i="2"/>
  <c r="BC24" i="3"/>
  <c r="Y80" i="2"/>
  <c r="BJ5" i="3"/>
  <c r="BG7" i="3"/>
  <c r="Z16" i="2"/>
  <c r="BN40" i="3"/>
  <c r="BK38" i="3"/>
  <c r="GN6" i="4" a="1"/>
  <c r="BB80" i="3"/>
  <c r="HC11" i="4" a="1"/>
  <c r="GX9" i="4" a="1"/>
  <c r="FZ6" i="4" a="1"/>
  <c r="GD9" i="4" a="1"/>
  <c r="BN72" i="3"/>
  <c r="HD7" i="4" a="1"/>
  <c r="BH54" i="3"/>
  <c r="BL40" i="3"/>
  <c r="AA72" i="2"/>
  <c r="BO36" i="3"/>
  <c r="GX14" i="4" a="1"/>
  <c r="FN12" i="4" a="1"/>
  <c r="GD15" i="4" a="1"/>
  <c r="HD16" i="4" a="1"/>
  <c r="HD11" i="4" a="1"/>
  <c r="HG13" i="4" a="1"/>
  <c r="HF8" i="4" a="1"/>
  <c r="BK88" i="3"/>
  <c r="GV5" i="4" a="1"/>
  <c r="FY12" i="4" a="1"/>
  <c r="FO7" i="4" a="1"/>
  <c r="FV16" i="4" a="1"/>
  <c r="GA16" i="4" a="1"/>
  <c r="Y7" i="2"/>
  <c r="EY16" i="4" a="1"/>
  <c r="BG28" i="3"/>
  <c r="BR29" i="3"/>
  <c r="FG16" i="4" a="1"/>
  <c r="GP16" i="4" a="1"/>
  <c r="FH15" i="4" a="1"/>
  <c r="HH5" i="4" a="1"/>
  <c r="FJ7" i="4" a="1"/>
  <c r="GQ7" i="4" a="1"/>
  <c r="FR7" i="4" a="1"/>
  <c r="FW9" i="4" a="1"/>
  <c r="BP15" i="3"/>
  <c r="GO6" i="4" a="1"/>
  <c r="FM11" i="4" a="1"/>
  <c r="BB89" i="3"/>
  <c r="GJ16" i="4" a="1"/>
  <c r="GV11" i="4" a="1"/>
  <c r="BF84" i="3"/>
  <c r="AA87" i="2"/>
  <c r="BP31" i="3"/>
  <c r="FF13" i="4" a="1"/>
  <c r="BH72" i="3"/>
  <c r="BH81" i="3"/>
  <c r="HG16" i="4" a="1"/>
  <c r="HF12" i="4" a="1"/>
  <c r="GH6" i="4" a="1"/>
  <c r="BH93" i="3"/>
  <c r="FP5" i="4" a="1"/>
  <c r="BE77" i="3"/>
  <c r="BB93" i="3"/>
  <c r="FJ13" i="4" a="1"/>
  <c r="FU13" i="4" a="1"/>
  <c r="BJ26" i="3"/>
  <c r="BF41" i="3"/>
  <c r="AA35" i="2"/>
  <c r="FE9" i="4" a="1"/>
  <c r="BH73" i="3"/>
  <c r="BE85" i="3"/>
  <c r="GK8" i="4" a="1"/>
  <c r="GH11" i="4" a="1"/>
  <c r="FU8" i="4" a="1"/>
  <c r="GU14" i="4" a="1"/>
  <c r="GA7" i="4" a="1"/>
  <c r="BI32" i="3"/>
  <c r="Z80" i="2"/>
  <c r="Z29" i="2"/>
  <c r="BK46" i="3"/>
  <c r="BH34" i="3"/>
  <c r="Z53" i="2"/>
  <c r="BN39" i="3"/>
  <c r="BU8" i="3"/>
  <c r="BJ14" i="3"/>
  <c r="AA94" i="2"/>
  <c r="BS7" i="3"/>
  <c r="BD40" i="3"/>
  <c r="BG26" i="3"/>
  <c r="BI21" i="3"/>
  <c r="BM19" i="3"/>
  <c r="BH36" i="3"/>
  <c r="BH21" i="3"/>
  <c r="FD8" i="4" a="1"/>
  <c r="BH28" i="3"/>
  <c r="BB65" i="3"/>
  <c r="BB59" i="3"/>
  <c r="GM7" i="4" a="1"/>
  <c r="BN88" i="3"/>
  <c r="BP48" i="3"/>
  <c r="BI68" i="3"/>
  <c r="BB57" i="3"/>
  <c r="BH85" i="3"/>
  <c r="BG58" i="3"/>
  <c r="BB76" i="3"/>
  <c r="BA91" i="3"/>
  <c r="BB94" i="3"/>
  <c r="FI7" i="4" a="1"/>
  <c r="FW7" i="4" a="1"/>
  <c r="GO14" i="4" a="1"/>
  <c r="BH83" i="3"/>
  <c r="FG12" i="4" a="1"/>
  <c r="BB95" i="3"/>
  <c r="GM9" i="4" a="1"/>
  <c r="HF15" i="4" a="1"/>
  <c r="BS89" i="3"/>
  <c r="HC16" i="4" a="1"/>
  <c r="GA9" i="4" a="1"/>
  <c r="FQ9" i="4" a="1"/>
  <c r="GS14" i="4" a="1"/>
  <c r="GV8" i="4" a="1"/>
  <c r="GB16" i="4" a="1"/>
  <c r="BH47" i="3"/>
  <c r="FI9" i="4" a="1"/>
  <c r="GK14" i="4" a="1"/>
  <c r="GX6" i="4" a="1"/>
  <c r="GJ6" i="4" a="1"/>
  <c r="FL5" i="4" a="1"/>
  <c r="BF86" i="3"/>
  <c r="GS13" i="4" a="1"/>
  <c r="GQ11" i="4" a="1"/>
  <c r="HB16" i="4" a="1"/>
  <c r="BS71" i="3"/>
  <c r="GW11" i="4" a="1"/>
  <c r="GL8" i="4" a="1"/>
  <c r="BV88" i="3"/>
  <c r="FS16" i="4" a="1"/>
  <c r="FG7" i="4" a="1"/>
  <c r="BK22" i="3"/>
  <c r="BO32" i="3"/>
  <c r="AA107" i="2"/>
  <c r="BI13" i="3"/>
  <c r="BD12" i="3"/>
  <c r="AA41" i="2"/>
  <c r="BP73" i="3"/>
  <c r="BQ65" i="3"/>
  <c r="HF5" i="4" a="1"/>
  <c r="FX7" i="4" a="1"/>
  <c r="BP76" i="3"/>
  <c r="FX8" i="4" a="1"/>
  <c r="Z41" i="2"/>
  <c r="Z67" i="2"/>
  <c r="Z5" i="2"/>
  <c r="BL12" i="3"/>
  <c r="Y98" i="2"/>
  <c r="Z82" i="2"/>
  <c r="GB13" i="4" a="1"/>
  <c r="BB68" i="3"/>
  <c r="BE84" i="3"/>
  <c r="GD6" i="4" a="1"/>
  <c r="BP75" i="3"/>
  <c r="BT33" i="3"/>
  <c r="BV23" i="3"/>
  <c r="BI28" i="3"/>
  <c r="BG79" i="3"/>
  <c r="BH90" i="3"/>
  <c r="BM59" i="3"/>
  <c r="BP96" i="3"/>
  <c r="BE79" i="3"/>
  <c r="GC8" i="4" a="1"/>
  <c r="GJ11" i="4" a="1"/>
  <c r="GP11" i="4" a="1"/>
  <c r="FQ12" i="4" a="1"/>
  <c r="GQ13" i="4" a="1"/>
  <c r="GV12" i="4" a="1"/>
  <c r="BC48" i="3"/>
  <c r="BC54" i="3"/>
  <c r="BU76" i="3"/>
  <c r="BR56" i="3"/>
  <c r="BR59" i="3"/>
  <c r="BT60" i="3"/>
  <c r="BT50" i="3"/>
  <c r="BF80" i="3"/>
  <c r="BF62" i="3"/>
  <c r="BO65" i="3"/>
  <c r="BO92" i="3"/>
  <c r="BO69" i="3"/>
  <c r="BQ95" i="3"/>
  <c r="BQ70" i="3"/>
  <c r="BM77" i="3"/>
  <c r="BM50" i="3"/>
  <c r="BD81" i="3"/>
  <c r="BD93" i="3"/>
  <c r="BB96" i="3"/>
  <c r="BA54" i="3"/>
  <c r="BA82" i="3"/>
  <c r="BG83" i="3"/>
  <c r="BG95" i="3"/>
  <c r="BG64" i="3"/>
  <c r="BI85" i="3"/>
  <c r="BC56" i="3"/>
  <c r="BC86" i="3"/>
  <c r="BN75" i="3"/>
  <c r="BK78" i="3"/>
  <c r="BU82" i="3"/>
  <c r="BU96" i="3"/>
  <c r="BR87" i="3"/>
  <c r="BR75" i="3"/>
  <c r="BT82" i="3"/>
  <c r="BT66" i="3"/>
  <c r="BQ72" i="3"/>
  <c r="BM87" i="3"/>
  <c r="BM56" i="3"/>
  <c r="BH77" i="3"/>
  <c r="BD58" i="3"/>
  <c r="BS85" i="3"/>
  <c r="BS83" i="3"/>
  <c r="BF67" i="3"/>
  <c r="BO70" i="3"/>
  <c r="BO82" i="3"/>
  <c r="BL76" i="3"/>
  <c r="BL97" i="3"/>
  <c r="BP83" i="3"/>
  <c r="BP60" i="3"/>
  <c r="BC66" i="3"/>
  <c r="BC76" i="3"/>
  <c r="BU70" i="3"/>
  <c r="BR47" i="3"/>
  <c r="BT80" i="3"/>
  <c r="BT55" i="3"/>
  <c r="BJ80" i="3"/>
  <c r="BF94" i="3"/>
  <c r="BF61" i="3"/>
  <c r="BO89" i="3"/>
  <c r="BO77" i="3"/>
  <c r="BQ78" i="3"/>
  <c r="BQ67" i="3"/>
  <c r="BM66" i="3"/>
  <c r="BM55" i="3"/>
  <c r="BD83" i="3"/>
  <c r="BD89" i="3"/>
  <c r="BB48" i="3"/>
  <c r="BC47" i="3"/>
  <c r="BC77" i="3"/>
  <c r="BU90" i="3"/>
  <c r="BT78" i="3"/>
  <c r="BT87" i="3"/>
  <c r="BF81" i="3"/>
  <c r="BF79" i="3"/>
  <c r="BO66" i="3"/>
  <c r="BO87" i="3"/>
  <c r="BQ80" i="3"/>
  <c r="BQ76" i="3"/>
  <c r="BM96" i="3"/>
  <c r="BM97" i="3"/>
  <c r="BD56" i="3"/>
  <c r="BB82" i="3"/>
  <c r="BA71" i="3"/>
  <c r="BG49" i="3"/>
  <c r="BG89" i="3"/>
  <c r="BI76" i="3"/>
  <c r="BC88" i="3"/>
  <c r="BC67" i="3"/>
  <c r="BU60" i="3"/>
  <c r="BU66" i="3"/>
  <c r="BU63" i="3"/>
  <c r="BR58" i="3"/>
  <c r="BT70" i="3"/>
  <c r="BT54" i="3"/>
  <c r="BQ69" i="3"/>
  <c r="BM58" i="3"/>
  <c r="BM57" i="3"/>
  <c r="BH50" i="3"/>
  <c r="BD95" i="3"/>
  <c r="BS61" i="3"/>
  <c r="BF78" i="3"/>
  <c r="BO74" i="3"/>
  <c r="BO75" i="3"/>
  <c r="BL71" i="3"/>
  <c r="BC93" i="3"/>
  <c r="BC49" i="3"/>
  <c r="BU85" i="3"/>
  <c r="BT97" i="3"/>
  <c r="BF89" i="3"/>
  <c r="BF77" i="3"/>
  <c r="BO79" i="3"/>
  <c r="BO90" i="3"/>
  <c r="BM60" i="3"/>
  <c r="BM86" i="3"/>
  <c r="BD91" i="3"/>
  <c r="BB85" i="3"/>
  <c r="BA90" i="3"/>
  <c r="BA58" i="3"/>
  <c r="BG87" i="3"/>
  <c r="BG72" i="3"/>
  <c r="BI69" i="3"/>
  <c r="BC68" i="3"/>
  <c r="BC64" i="3"/>
  <c r="BU91" i="3"/>
  <c r="BU54" i="3"/>
  <c r="BR60" i="3"/>
  <c r="BT58" i="3"/>
  <c r="BT57" i="3"/>
  <c r="BM74" i="3"/>
  <c r="BM65" i="3"/>
  <c r="BH86" i="3"/>
  <c r="BD68" i="3"/>
  <c r="BJ76" i="3"/>
  <c r="BF68" i="3"/>
  <c r="BO93" i="3"/>
  <c r="BO59" i="3"/>
  <c r="BL59" i="3"/>
  <c r="BC85" i="3"/>
  <c r="BU61" i="3"/>
  <c r="BU75" i="3"/>
  <c r="BC71" i="3"/>
  <c r="BU67" i="3"/>
  <c r="BU59" i="3"/>
  <c r="BR74" i="3"/>
  <c r="BR89" i="3"/>
  <c r="BT79" i="3"/>
  <c r="BF49" i="3"/>
  <c r="BF47" i="3"/>
  <c r="BO60" i="3"/>
  <c r="BQ93" i="3"/>
  <c r="BQ57" i="3"/>
  <c r="BM61" i="3"/>
  <c r="BM78" i="3"/>
  <c r="BD54" i="3"/>
  <c r="BD64" i="3"/>
  <c r="BB78" i="3"/>
  <c r="BG69" i="3"/>
  <c r="BG86" i="3"/>
  <c r="BC74" i="3"/>
  <c r="BC72" i="3"/>
  <c r="BU88" i="3"/>
  <c r="BU64" i="3"/>
  <c r="BR49" i="3"/>
  <c r="BR95" i="3"/>
  <c r="BT77" i="3"/>
  <c r="BT48" i="3"/>
  <c r="BT83" i="3"/>
  <c r="BM48" i="3"/>
  <c r="BM73" i="3"/>
  <c r="BH87" i="3"/>
  <c r="BD88" i="3"/>
  <c r="BJ81" i="3"/>
  <c r="BF59" i="3"/>
  <c r="BF57" i="3"/>
  <c r="BO76" i="3"/>
  <c r="BL74" i="3"/>
  <c r="BL68" i="3"/>
  <c r="BP90" i="3"/>
  <c r="BP64" i="3"/>
  <c r="BC84" i="3"/>
  <c r="BU78" i="3"/>
  <c r="BU50" i="3"/>
  <c r="BR62" i="3"/>
  <c r="BR48" i="3"/>
  <c r="BT61" i="3"/>
  <c r="BF48" i="3"/>
  <c r="BF55" i="3"/>
  <c r="BO84" i="3"/>
  <c r="BQ86" i="3"/>
  <c r="BQ97" i="3"/>
  <c r="BM68" i="3"/>
  <c r="BD94" i="3"/>
  <c r="BB92" i="3"/>
  <c r="BA85" i="3"/>
  <c r="BG47" i="3"/>
  <c r="BG50" i="3"/>
  <c r="BG80" i="3"/>
  <c r="BC80" i="3"/>
  <c r="BC60" i="3"/>
  <c r="BC63" i="3"/>
  <c r="BU71" i="3"/>
  <c r="BU81" i="3"/>
  <c r="BR82" i="3"/>
  <c r="BT81" i="3"/>
  <c r="BT95" i="3"/>
  <c r="BT85" i="3"/>
  <c r="BQ59" i="3"/>
  <c r="BM89" i="3"/>
  <c r="BH78" i="3"/>
  <c r="BH48" i="3"/>
  <c r="BD59" i="3"/>
  <c r="BF93" i="3"/>
  <c r="BF73" i="3"/>
  <c r="BL72" i="3"/>
  <c r="BL77" i="3"/>
  <c r="BP68" i="3"/>
  <c r="BC97" i="3"/>
  <c r="BU47" i="3"/>
  <c r="BT49" i="3"/>
  <c r="BF65" i="3"/>
  <c r="BO54" i="3"/>
  <c r="BM71" i="3"/>
  <c r="BC58" i="3"/>
  <c r="BU93" i="3"/>
  <c r="BT68" i="3"/>
  <c r="BF90" i="3"/>
  <c r="BQ49" i="3"/>
  <c r="BM93" i="3"/>
  <c r="BD50" i="3"/>
  <c r="BG91" i="3"/>
  <c r="BG60" i="3"/>
  <c r="BC95" i="3"/>
  <c r="BC65" i="3"/>
  <c r="BK74" i="3"/>
  <c r="BU48" i="3"/>
  <c r="BR80" i="3"/>
  <c r="BT67" i="3"/>
  <c r="BT64" i="3"/>
  <c r="BM49" i="3"/>
  <c r="BH91" i="3"/>
  <c r="BS73" i="3"/>
  <c r="BF66" i="3"/>
  <c r="BO56" i="3"/>
  <c r="BL64" i="3"/>
  <c r="AF16" i="3"/>
  <c r="BC90" i="3"/>
  <c r="BU97" i="3"/>
  <c r="BT90" i="3"/>
  <c r="BF91" i="3"/>
  <c r="BM80" i="3"/>
  <c r="BD90" i="3"/>
  <c r="BG62" i="3"/>
  <c r="BG59" i="3"/>
  <c r="BC81" i="3"/>
  <c r="BC92" i="3"/>
  <c r="BU68" i="3"/>
  <c r="BT47" i="3"/>
  <c r="BT69" i="3"/>
  <c r="BM47" i="3"/>
  <c r="BH75" i="3"/>
  <c r="BD87" i="3"/>
  <c r="BS91" i="3"/>
  <c r="BF85" i="3"/>
  <c r="BL58" i="3"/>
  <c r="AZ19" i="3"/>
  <c r="AS31" i="3"/>
  <c r="BC96" i="3"/>
  <c r="BC62" i="3"/>
  <c r="BR85" i="3"/>
  <c r="BT62" i="3"/>
  <c r="BJ92" i="3"/>
  <c r="BF63" i="3"/>
  <c r="BQ82" i="3"/>
  <c r="BM94" i="3"/>
  <c r="BB73" i="3"/>
  <c r="BG88" i="3"/>
  <c r="BC73" i="3"/>
  <c r="BC61" i="3"/>
  <c r="BU79" i="3"/>
  <c r="BT63" i="3"/>
  <c r="BM70" i="3"/>
  <c r="BH96" i="3"/>
  <c r="BS96" i="3"/>
  <c r="BF92" i="3"/>
  <c r="BO71" i="3"/>
  <c r="BL87" i="3"/>
  <c r="ES8" i="4" a="1"/>
  <c r="BU80" i="3"/>
  <c r="BR90" i="3"/>
  <c r="BT93" i="3"/>
  <c r="BF58" i="3"/>
  <c r="BO83" i="3"/>
  <c r="BO68" i="3"/>
  <c r="BQ71" i="3"/>
  <c r="BM67" i="3"/>
  <c r="BB47" i="3"/>
  <c r="BA66" i="3"/>
  <c r="BG61" i="3"/>
  <c r="BI57" i="3"/>
  <c r="BC78" i="3"/>
  <c r="BN67" i="3"/>
  <c r="BU92" i="3"/>
  <c r="BU94" i="3"/>
  <c r="BT91" i="3"/>
  <c r="BM92" i="3"/>
  <c r="BH89" i="3"/>
  <c r="BJ87" i="3"/>
  <c r="BS58" i="3"/>
  <c r="BF96" i="3"/>
  <c r="BL95" i="3"/>
  <c r="BL93" i="3"/>
  <c r="BP72" i="3"/>
  <c r="AW6" i="3"/>
  <c r="O6" i="6" a="1"/>
  <c r="BU86" i="3"/>
  <c r="BT94" i="3"/>
  <c r="BF95" i="3"/>
  <c r="BM63" i="3"/>
  <c r="BD97" i="3"/>
  <c r="BG96" i="3"/>
  <c r="BI73" i="3"/>
  <c r="BC94" i="3"/>
  <c r="BK87" i="3"/>
  <c r="BU58" i="3"/>
  <c r="BR93" i="3"/>
  <c r="BT72" i="3"/>
  <c r="BM88" i="3"/>
  <c r="BF72" i="3"/>
  <c r="BO91" i="3"/>
  <c r="AF26" i="3"/>
  <c r="AS9" i="3"/>
  <c r="AV17" i="3"/>
  <c r="ER13" i="4" a="1"/>
  <c r="AR6" i="3"/>
  <c r="AQ5" i="6" a="1"/>
  <c r="AS27" i="3"/>
  <c r="AU30" i="3"/>
  <c r="AY45" i="3"/>
  <c r="AJ5" i="6" a="1"/>
  <c r="N6" i="6" a="1"/>
  <c r="AF40" i="3"/>
  <c r="AY32" i="3"/>
  <c r="AU9" i="3"/>
  <c r="AS32" i="3"/>
  <c r="AF25" i="3"/>
  <c r="AU25" i="3"/>
  <c r="EW6" i="4" a="1"/>
  <c r="AT18" i="3"/>
  <c r="EQ16" i="4" a="1"/>
  <c r="AS46" i="3"/>
  <c r="AT13" i="3"/>
  <c r="I6" i="6" a="1"/>
  <c r="AY11" i="3"/>
  <c r="EU7" i="4" a="1"/>
  <c r="EO13" i="4" a="1"/>
  <c r="AS13" i="3"/>
  <c r="AT41" i="3"/>
  <c r="AS28" i="3"/>
  <c r="EL9" i="4" a="1"/>
  <c r="AQ6" i="6" a="1"/>
  <c r="AF10" i="3"/>
  <c r="AS14" i="3"/>
  <c r="AX27" i="3"/>
  <c r="AF15" i="3"/>
  <c r="EV5" i="4" a="1"/>
  <c r="EL5" i="4" a="1"/>
  <c r="AW24" i="3"/>
  <c r="AS11" i="3"/>
  <c r="ET16" i="4" a="1"/>
  <c r="X5" i="6" a="1"/>
  <c r="AY19" i="3"/>
  <c r="AZ8" i="3"/>
  <c r="EN12" i="4" a="1"/>
  <c r="AW39" i="3"/>
  <c r="AT20" i="3"/>
  <c r="AT42" i="3"/>
  <c r="D6" i="6" a="1"/>
  <c r="BU84" i="3"/>
  <c r="BT88" i="3"/>
  <c r="BF75" i="3"/>
  <c r="BQ62" i="3"/>
  <c r="BM91" i="3"/>
  <c r="BA48" i="3"/>
  <c r="BG55" i="3"/>
  <c r="BC50" i="3"/>
  <c r="BU77" i="3"/>
  <c r="BR66" i="3"/>
  <c r="BT84" i="3"/>
  <c r="BM54" i="3"/>
  <c r="BF82" i="3"/>
  <c r="BL75" i="3"/>
  <c r="BP70" i="3"/>
  <c r="E5" i="6" a="1"/>
  <c r="AZ5" i="3"/>
  <c r="AV6" i="6" a="1"/>
  <c r="EM6" i="4" a="1"/>
  <c r="AX36" i="3"/>
  <c r="F46" i="3"/>
  <c r="EP9" i="4" a="1"/>
  <c r="EQ12" i="4" a="1"/>
  <c r="AY5" i="3"/>
  <c r="AY25" i="3"/>
  <c r="AW33" i="3"/>
  <c r="AX35" i="3"/>
  <c r="AG5" i="6" a="1"/>
  <c r="AX16" i="3"/>
  <c r="AY6" i="3"/>
  <c r="AV38" i="3"/>
  <c r="AI6" i="6" a="1"/>
  <c r="AB6" i="6" a="1"/>
  <c r="AR5" i="6" a="1"/>
  <c r="EO11" i="4" a="1"/>
  <c r="AY28" i="3"/>
  <c r="AT37" i="3"/>
  <c r="Z5" i="6" a="1"/>
  <c r="AX11" i="3"/>
  <c r="AW11" i="3"/>
  <c r="AT11" i="3"/>
  <c r="AT6" i="6" a="1"/>
  <c r="V6" i="6" a="1"/>
  <c r="EP5" i="4" a="1"/>
  <c r="AW5" i="6" a="1"/>
  <c r="AF18" i="3"/>
  <c r="AW42" i="3"/>
  <c r="M6" i="6" a="1"/>
  <c r="EV15" i="4" a="1"/>
  <c r="AY39" i="3"/>
  <c r="AV40" i="3"/>
  <c r="EV11" i="4" a="1"/>
  <c r="AS42" i="3"/>
  <c r="AZ21" i="3"/>
  <c r="ES6" i="4" a="1"/>
  <c r="EP12" i="4" a="1"/>
  <c r="AX13" i="3"/>
  <c r="AT19" i="3"/>
  <c r="AW41" i="3"/>
  <c r="AF30" i="3"/>
  <c r="N5" i="6" a="1"/>
  <c r="AF35" i="3"/>
  <c r="EO16" i="4" a="1"/>
  <c r="AU8" i="3"/>
  <c r="AW30" i="3"/>
  <c r="ET6" i="4" a="1"/>
  <c r="AL6" i="6" a="1"/>
  <c r="AT40" i="3"/>
  <c r="AV28" i="3"/>
  <c r="AX22" i="3"/>
  <c r="EP7" i="4" a="1"/>
  <c r="ET8" i="4" a="1"/>
  <c r="AY46" i="3"/>
  <c r="EQ7" i="4" a="1"/>
  <c r="AX15" i="3"/>
  <c r="AX5" i="3"/>
  <c r="AW27" i="3"/>
  <c r="AY26" i="3"/>
  <c r="AY40" i="3"/>
  <c r="AZ34" i="3"/>
  <c r="AS37" i="3"/>
  <c r="AV6" i="3"/>
  <c r="AT22" i="3"/>
  <c r="AW26" i="3"/>
  <c r="BU73" i="3"/>
  <c r="BT76" i="3"/>
  <c r="BF87" i="3"/>
  <c r="BQ90" i="3"/>
  <c r="BM82" i="3"/>
  <c r="BD67" i="3"/>
  <c r="BG68" i="3"/>
  <c r="BI96" i="3"/>
  <c r="BC70" i="3"/>
  <c r="BU83" i="3"/>
  <c r="BR83" i="3"/>
  <c r="BT65" i="3"/>
  <c r="BM84" i="3"/>
  <c r="BF60" i="3"/>
  <c r="BL69" i="3"/>
  <c r="AV29" i="3"/>
  <c r="AN5" i="6" a="1"/>
  <c r="ER7" i="4" a="1"/>
  <c r="AZ14" i="3"/>
  <c r="AT25" i="3"/>
  <c r="EP6" i="4" a="1"/>
  <c r="ES14" i="4" a="1"/>
  <c r="ES16" i="4" a="1"/>
  <c r="F6" i="6" a="1"/>
  <c r="AX14" i="3"/>
  <c r="AF14" i="3"/>
  <c r="AT5" i="6" a="1"/>
  <c r="AB5" i="3"/>
  <c r="AW40" i="3"/>
  <c r="AO6" i="6" a="1"/>
  <c r="AX38" i="3"/>
  <c r="AS45" i="3"/>
  <c r="AU28" i="3"/>
  <c r="EO6" i="4" a="1"/>
  <c r="AS29" i="3"/>
  <c r="AY23" i="3"/>
  <c r="AX17" i="3"/>
  <c r="AF46" i="3"/>
  <c r="EP13" i="4" a="1"/>
  <c r="AZ41" i="3"/>
  <c r="AY27" i="3"/>
  <c r="AV12" i="3"/>
  <c r="AS6" i="6" a="1"/>
  <c r="EL7" i="4" a="1"/>
  <c r="AV39" i="3"/>
  <c r="G6" i="6" a="1"/>
  <c r="AW18" i="3"/>
  <c r="AX5" i="6" a="1"/>
  <c r="ER12" i="4" a="1"/>
  <c r="EV6" i="4" a="1"/>
  <c r="AZ27" i="3"/>
  <c r="EP15" i="4" a="1"/>
  <c r="H6" i="6" a="1"/>
  <c r="BU49" i="3"/>
  <c r="BT89" i="3"/>
  <c r="BF71" i="3"/>
  <c r="BQ64" i="3"/>
  <c r="BM83" i="3"/>
  <c r="BB72" i="3"/>
  <c r="BA97" i="3"/>
  <c r="BG71" i="3"/>
  <c r="BC89" i="3"/>
  <c r="BU89" i="3"/>
  <c r="BT74" i="3"/>
  <c r="BQ73" i="3"/>
  <c r="BH59" i="3"/>
  <c r="BS48" i="3"/>
  <c r="BF70" i="3"/>
  <c r="BL73" i="3"/>
  <c r="AU23" i="3"/>
  <c r="AS16" i="3"/>
  <c r="AK5" i="6" a="1"/>
  <c r="AY22" i="3"/>
  <c r="EU9" i="4" a="1"/>
  <c r="R5" i="6" a="1"/>
  <c r="EP14" i="4" a="1"/>
  <c r="EV9" i="4" a="1"/>
  <c r="AT35" i="3"/>
  <c r="AS5" i="3"/>
  <c r="AY37" i="3"/>
  <c r="AS41" i="3"/>
  <c r="AU24" i="3"/>
  <c r="AY5" i="6" a="1"/>
  <c r="EM13" i="4" a="1"/>
  <c r="F45" i="3"/>
  <c r="AZ42" i="3"/>
  <c r="AF45" i="3"/>
  <c r="AT28" i="3"/>
  <c r="EO9" i="4" a="1"/>
  <c r="AV14" i="3"/>
  <c r="AV26" i="3"/>
  <c r="BU62" i="3"/>
  <c r="BO49" i="3"/>
  <c r="BQ56" i="3"/>
  <c r="BM81" i="3"/>
  <c r="BB97" i="3"/>
  <c r="BG56" i="3"/>
  <c r="BI71" i="3"/>
  <c r="BC87" i="3"/>
  <c r="BK90" i="3"/>
  <c r="BU74" i="3"/>
  <c r="BT56" i="3"/>
  <c r="BH88" i="3"/>
  <c r="BF76" i="3"/>
  <c r="BL65" i="3"/>
  <c r="AY13" i="3"/>
  <c r="EN5" i="4" a="1"/>
  <c r="AX6" i="3"/>
  <c r="AW23" i="3"/>
  <c r="O5" i="6" a="1"/>
  <c r="P6" i="6" a="1"/>
  <c r="AU41" i="3"/>
  <c r="AU5" i="6" a="1"/>
  <c r="Y6" i="6" a="1"/>
  <c r="EL13" i="4" a="1"/>
  <c r="ER15" i="4" a="1"/>
  <c r="AS22" i="3"/>
  <c r="AF8" i="3"/>
  <c r="AU45" i="3"/>
  <c r="ER5" i="4" a="1"/>
  <c r="AU6" i="6" a="1"/>
  <c r="AX23" i="3"/>
  <c r="AV33" i="3"/>
  <c r="AF7" i="3"/>
  <c r="AU46" i="3"/>
  <c r="AU11" i="3"/>
  <c r="AW7" i="3"/>
  <c r="AM5" i="6" a="1"/>
  <c r="C6" i="6" a="1"/>
  <c r="AS33" i="3"/>
  <c r="AU26" i="3"/>
  <c r="EN16" i="4" a="1"/>
  <c r="EQ13" i="4" a="1"/>
  <c r="AF20" i="3"/>
  <c r="AT9" i="3"/>
  <c r="EM5" i="4" a="1"/>
  <c r="AF39" i="3"/>
  <c r="AT31" i="3"/>
  <c r="AY24" i="3"/>
  <c r="ES9" i="4" a="1"/>
  <c r="EW9" i="4" a="1"/>
  <c r="EU11" i="4" a="1"/>
  <c r="AW35" i="3"/>
  <c r="AX7" i="3"/>
  <c r="AT38" i="3"/>
  <c r="AS12" i="3"/>
  <c r="AZ38" i="3"/>
  <c r="AW32" i="3"/>
  <c r="AX12" i="3"/>
  <c r="AZ37" i="3"/>
  <c r="AF22" i="3"/>
  <c r="AX34" i="3"/>
  <c r="AS23" i="3"/>
  <c r="AY12" i="3"/>
  <c r="AY20" i="3"/>
  <c r="AV5" i="3"/>
  <c r="AZ12" i="3"/>
  <c r="AT45" i="3"/>
  <c r="ER16" i="4" a="1"/>
  <c r="EN15" i="4" a="1"/>
  <c r="EO5" i="4" a="1"/>
  <c r="AV9" i="3"/>
  <c r="AX42" i="3"/>
  <c r="AV18" i="3"/>
  <c r="I5" i="6" a="1"/>
  <c r="AV25" i="3"/>
  <c r="Y5" i="6" a="1"/>
  <c r="AW34" i="3"/>
  <c r="AY16" i="3"/>
  <c r="AY33" i="3"/>
  <c r="AF29" i="3"/>
  <c r="ES13" i="4" a="1"/>
  <c r="AW22" i="3"/>
  <c r="AF23" i="3"/>
  <c r="EV12" i="4" a="1"/>
  <c r="AF5" i="3"/>
  <c r="S6" i="6" a="1"/>
  <c r="AS35" i="3"/>
  <c r="BA72" i="3"/>
  <c r="BC79" i="3"/>
  <c r="BU55" i="3"/>
  <c r="BM64" i="3"/>
  <c r="BL49" i="3"/>
  <c r="BU72" i="3"/>
  <c r="BO97" i="3"/>
  <c r="BQ79" i="3"/>
  <c r="BD75" i="3"/>
  <c r="BA86" i="3"/>
  <c r="BA76" i="3"/>
  <c r="BG92" i="3"/>
  <c r="BI95" i="3"/>
  <c r="BN68" i="3"/>
  <c r="BK54" i="3"/>
  <c r="BR57" i="3"/>
  <c r="BT96" i="3"/>
  <c r="BQ47" i="3"/>
  <c r="BH66" i="3"/>
  <c r="BS75" i="3"/>
  <c r="BF97" i="3"/>
  <c r="BL60" i="3"/>
  <c r="BP86" i="3"/>
  <c r="AS34" i="3"/>
  <c r="EN6" i="4" a="1"/>
  <c r="AU19" i="3"/>
  <c r="AX9" i="3"/>
  <c r="AT30" i="3"/>
  <c r="AF21" i="3"/>
  <c r="AS24" i="3"/>
  <c r="AS7" i="3"/>
  <c r="EU13" i="4" a="1"/>
  <c r="ES7" i="4" a="1"/>
  <c r="EV8" i="4" a="1"/>
  <c r="AD6" i="6" a="1"/>
  <c r="AV37" i="3"/>
  <c r="X6" i="6" a="1"/>
  <c r="AT14" i="3"/>
  <c r="AY35" i="3"/>
  <c r="AW31" i="3"/>
  <c r="AC5" i="6" a="1"/>
  <c r="EL16" i="4" a="1"/>
  <c r="AY9" i="3"/>
  <c r="W6" i="6" a="1"/>
  <c r="EU5" i="4" a="1"/>
  <c r="AV42" i="3"/>
  <c r="AW25" i="3"/>
  <c r="AF41" i="3"/>
  <c r="AF9" i="3"/>
  <c r="AF24" i="3"/>
  <c r="AW10" i="3"/>
  <c r="EN14" i="4" a="1"/>
  <c r="AC6" i="6" a="1"/>
  <c r="AU13" i="3"/>
  <c r="AB5" i="6" a="1"/>
  <c r="AM6" i="6" a="1"/>
  <c r="AU36" i="3"/>
  <c r="BO73" i="3"/>
  <c r="BQ81" i="3"/>
  <c r="BD47" i="3"/>
  <c r="BG57" i="3"/>
  <c r="BR86" i="3"/>
  <c r="BT92" i="3"/>
  <c r="BS69" i="3"/>
  <c r="BR67" i="3"/>
  <c r="BO50" i="3"/>
  <c r="BQ68" i="3"/>
  <c r="BD69" i="3"/>
  <c r="BA84" i="3"/>
  <c r="BA47" i="3"/>
  <c r="BG84" i="3"/>
  <c r="BI48" i="3"/>
  <c r="BN64" i="3"/>
  <c r="BK77" i="3"/>
  <c r="BR97" i="3"/>
  <c r="BT86" i="3"/>
  <c r="BQ50" i="3"/>
  <c r="BH64" i="3"/>
  <c r="BS55" i="3"/>
  <c r="BF74" i="3"/>
  <c r="BL81" i="3"/>
  <c r="BP57" i="3"/>
  <c r="AV23" i="3"/>
  <c r="EO15" i="4" a="1"/>
  <c r="AP5" i="6" a="1"/>
  <c r="AZ13" i="3"/>
  <c r="EM11" i="4" a="1"/>
  <c r="AZ35" i="3"/>
  <c r="AF6" i="6" a="1"/>
  <c r="Q5" i="6" a="1"/>
  <c r="AU29" i="3"/>
  <c r="AX32" i="3"/>
  <c r="AU27" i="3"/>
  <c r="AV13" i="3"/>
  <c r="AU32" i="3"/>
  <c r="EU15" i="4" a="1"/>
  <c r="ES5" i="4" a="1"/>
  <c r="AV45" i="3"/>
  <c r="AV34" i="3"/>
  <c r="AS30" i="3"/>
  <c r="EW12" i="4" a="1"/>
  <c r="AA6" i="6" a="1"/>
  <c r="AG6" i="6" a="1"/>
  <c r="AV36" i="3"/>
  <c r="EM14" i="4" a="1"/>
  <c r="J6" i="6" a="1"/>
  <c r="ET12" i="4" a="1"/>
  <c r="AW37" i="3"/>
  <c r="K6" i="6" a="1"/>
  <c r="EL15" i="4" a="1"/>
  <c r="AU12" i="3"/>
  <c r="C6" i="4" a="1"/>
  <c r="AW12" i="3"/>
  <c r="J5" i="6" a="1"/>
  <c r="AZ31" i="3"/>
  <c r="AW21" i="3"/>
  <c r="AX26" i="3"/>
  <c r="AF6" i="3"/>
  <c r="AU10" i="3"/>
  <c r="EM16" i="4" a="1"/>
  <c r="AS36" i="3"/>
  <c r="AX24" i="3"/>
  <c r="AX6" i="6" a="1"/>
  <c r="AS5" i="6" a="1"/>
  <c r="AS18" i="3"/>
  <c r="EQ5" i="4" a="1"/>
  <c r="AU40" i="3"/>
  <c r="AT15" i="3"/>
  <c r="AZ30" i="3"/>
  <c r="AS26" i="3"/>
  <c r="AF17" i="3"/>
  <c r="AS10" i="3"/>
  <c r="AZ11" i="3"/>
  <c r="AR5" i="3"/>
  <c r="AV41" i="3"/>
  <c r="AU14" i="3"/>
  <c r="H5" i="6" a="1"/>
  <c r="AU33" i="3"/>
  <c r="BR76" i="3"/>
  <c r="BA49" i="3"/>
  <c r="BN69" i="3"/>
  <c r="BH62" i="3"/>
  <c r="BO63" i="3"/>
  <c r="BR94" i="3"/>
  <c r="BO85" i="3"/>
  <c r="BQ60" i="3"/>
  <c r="BD60" i="3"/>
  <c r="BA50" i="3"/>
  <c r="BA73" i="3"/>
  <c r="BG85" i="3"/>
  <c r="BC82" i="3"/>
  <c r="BN81" i="3"/>
  <c r="BK57" i="3"/>
  <c r="BR91" i="3"/>
  <c r="BT75" i="3"/>
  <c r="BQ94" i="3"/>
  <c r="BH65" i="3"/>
  <c r="BS65" i="3"/>
  <c r="BF56" i="3"/>
  <c r="BL67" i="3"/>
  <c r="EM9" i="4" a="1"/>
  <c r="AZ17" i="3"/>
  <c r="M5" i="6" a="1"/>
  <c r="ES15" i="4" a="1"/>
  <c r="AT23" i="3"/>
  <c r="AS19" i="3"/>
  <c r="AW17" i="3"/>
  <c r="AS20" i="3"/>
  <c r="W5" i="6" a="1"/>
  <c r="AW29" i="3"/>
  <c r="U6" i="6" a="1"/>
  <c r="AF5" i="6" a="1"/>
  <c r="AU31" i="3"/>
  <c r="L6" i="6" a="1"/>
  <c r="AX21" i="3"/>
  <c r="AY8" i="3"/>
  <c r="AF38" i="3"/>
  <c r="AT33" i="3"/>
  <c r="AV5" i="6" a="1"/>
  <c r="AV20" i="3"/>
  <c r="AP5" i="3"/>
  <c r="AX8" i="3"/>
  <c r="EL14" i="4" a="1"/>
  <c r="EW16" i="4" a="1"/>
  <c r="EQ8" i="4" a="1"/>
  <c r="AZ16" i="3"/>
  <c r="AX33" i="3"/>
  <c r="AU18" i="3"/>
  <c r="EQ9" i="4" a="1"/>
  <c r="EV14" i="4" a="1"/>
  <c r="AU38" i="3"/>
  <c r="AX41" i="3"/>
  <c r="AW46" i="3"/>
  <c r="C5" i="6" a="1"/>
  <c r="AV11" i="3"/>
  <c r="BR69" i="3"/>
  <c r="BD57" i="3"/>
  <c r="BC69" i="3"/>
  <c r="BT73" i="3"/>
  <c r="BS62" i="3"/>
  <c r="AT7" i="3"/>
  <c r="EW8" i="4" a="1"/>
  <c r="AX39" i="3"/>
  <c r="ER8" i="4" a="1"/>
  <c r="EN8" i="4" a="1"/>
  <c r="AU37" i="3"/>
  <c r="AX19" i="3"/>
  <c r="EM15" i="4" a="1"/>
  <c r="Z6" i="6" a="1"/>
  <c r="AT21" i="3"/>
  <c r="ER6" i="4" a="1"/>
  <c r="AZ23" i="3"/>
  <c r="EO12" i="4" a="1"/>
  <c r="AS38" i="3"/>
  <c r="L5" i="6" a="1"/>
  <c r="AX31" i="3"/>
  <c r="EU14" i="4" a="1"/>
  <c r="AX30" i="3"/>
  <c r="AY41" i="3"/>
  <c r="AT17" i="3"/>
  <c r="AZ46" i="3"/>
  <c r="AX45" i="3"/>
  <c r="ER11" i="4" a="1"/>
  <c r="AV32" i="3"/>
  <c r="AZ26" i="3"/>
  <c r="EL12" i="4" a="1"/>
  <c r="AV7" i="3"/>
  <c r="EU6" i="4" a="1"/>
  <c r="EW5" i="4" a="1"/>
  <c r="AV19" i="3"/>
  <c r="ET5" i="4" a="1"/>
  <c r="AZ15" i="3"/>
  <c r="AZ33" i="3"/>
  <c r="EU16" i="4" a="1"/>
  <c r="AF33" i="3"/>
  <c r="EV16" i="4" a="1"/>
  <c r="BA89" i="3"/>
  <c r="EQ6" i="4" a="1"/>
  <c r="C5" i="3"/>
  <c r="BO88" i="3"/>
  <c r="BP78" i="3"/>
  <c r="AZ18" i="3"/>
  <c r="AJ6" i="6" a="1"/>
  <c r="AF28" i="3"/>
  <c r="Q6" i="6" a="1"/>
  <c r="P5" i="6" a="1"/>
  <c r="BG76" i="3"/>
  <c r="T5" i="6" a="1"/>
  <c r="AT46" i="3"/>
  <c r="AT29" i="3"/>
  <c r="BR61" i="3"/>
  <c r="BD79" i="3"/>
  <c r="BC57" i="3"/>
  <c r="BT71" i="3"/>
  <c r="BS78" i="3"/>
  <c r="AU17" i="3"/>
  <c r="AF19" i="3"/>
  <c r="AT32" i="3"/>
  <c r="ES11" i="4" a="1"/>
  <c r="ET7" i="4" a="1"/>
  <c r="ET11" i="4" a="1"/>
  <c r="AU5" i="3"/>
  <c r="EL11" i="4" a="1"/>
  <c r="AT8" i="3"/>
  <c r="EV7" i="4" a="1"/>
  <c r="EP11" i="4" a="1"/>
  <c r="EO14" i="4" a="1"/>
  <c r="EM12" i="4" a="1"/>
  <c r="EW14" i="4" a="1"/>
  <c r="EU8" i="4" a="1"/>
  <c r="AS40" i="3"/>
  <c r="AW16" i="3"/>
  <c r="AZ39" i="3"/>
  <c r="BG70" i="3"/>
  <c r="AK6" i="6" a="1"/>
  <c r="BR55" i="3"/>
  <c r="BD78" i="3"/>
  <c r="BC83" i="3"/>
  <c r="BT59" i="3"/>
  <c r="BS54" i="3"/>
  <c r="AL5" i="6" a="1"/>
  <c r="AU35" i="3"/>
  <c r="AZ32" i="3"/>
  <c r="AS17" i="3"/>
  <c r="AZ6" i="3"/>
  <c r="EV13" i="4" a="1"/>
  <c r="EN9" i="4" a="1"/>
  <c r="EN7" i="4" a="1"/>
  <c r="BO58" i="3"/>
  <c r="AZ28" i="3"/>
  <c r="AY42" i="3"/>
  <c r="AS6" i="3"/>
  <c r="G5" i="6" a="1"/>
  <c r="EW11" i="4" a="1"/>
  <c r="AV21" i="3"/>
  <c r="AU16" i="3"/>
  <c r="AY34" i="3"/>
  <c r="AE6" i="6" a="1"/>
  <c r="AU34" i="3"/>
  <c r="BR70" i="3"/>
  <c r="AZ29" i="3"/>
  <c r="AU7" i="3"/>
  <c r="AY14" i="3"/>
  <c r="AF27" i="3"/>
  <c r="BF88" i="3"/>
  <c r="BA78" i="3"/>
  <c r="BN71" i="3"/>
  <c r="BM62" i="3"/>
  <c r="BO86" i="3"/>
  <c r="AX20" i="3"/>
  <c r="AZ20" i="3"/>
  <c r="AY18" i="3"/>
  <c r="AD5" i="6" a="1"/>
  <c r="S5" i="6" a="1"/>
  <c r="AX18" i="3"/>
  <c r="AU21" i="3"/>
  <c r="AA5" i="6" a="1"/>
  <c r="AU22" i="3"/>
  <c r="EQ14" i="4" a="1"/>
  <c r="ET13" i="4" a="1"/>
  <c r="ET14" i="4" a="1"/>
  <c r="AX29" i="3"/>
  <c r="AS8" i="3"/>
  <c r="AF36" i="3"/>
  <c r="AF11" i="3"/>
  <c r="AR7" i="3"/>
  <c r="AZ45" i="3"/>
  <c r="AT6" i="3"/>
  <c r="AV27" i="3"/>
  <c r="AZ24" i="3"/>
  <c r="BF54" i="3"/>
  <c r="BM90" i="3"/>
  <c r="AZ7" i="3"/>
  <c r="AT34" i="3"/>
  <c r="AT39" i="3"/>
  <c r="AY38" i="3"/>
  <c r="EU12" i="4" a="1"/>
  <c r="AW15" i="3"/>
  <c r="AV30" i="3"/>
  <c r="AY30" i="3"/>
  <c r="AW9" i="3"/>
  <c r="AY15" i="3"/>
  <c r="V5" i="6" a="1"/>
  <c r="BG77" i="3"/>
  <c r="ER9" i="4" a="1"/>
  <c r="AS39" i="3"/>
  <c r="AX10" i="3"/>
  <c r="AS25" i="3"/>
  <c r="AT36" i="3"/>
  <c r="BM75" i="3"/>
  <c r="AW14" i="3"/>
  <c r="AX46" i="3"/>
  <c r="EN11" i="4" a="1"/>
  <c r="BF50" i="3"/>
  <c r="BA96" i="3"/>
  <c r="BN63" i="3"/>
  <c r="BM79" i="3"/>
  <c r="BO72" i="3"/>
  <c r="AZ22" i="3"/>
  <c r="AT12" i="3"/>
  <c r="AH5" i="6" a="1"/>
  <c r="AF34" i="3"/>
  <c r="AF12" i="3"/>
  <c r="D5" i="6" a="1"/>
  <c r="AW28" i="3"/>
  <c r="AF32" i="3"/>
  <c r="AY17" i="3"/>
  <c r="AF37" i="3"/>
  <c r="AF42" i="3"/>
  <c r="AW20" i="3"/>
  <c r="AX37" i="3"/>
  <c r="AW6" i="6" a="1"/>
  <c r="U5" i="6" a="1"/>
  <c r="BA77" i="3"/>
  <c r="BO78" i="3"/>
  <c r="AZ10" i="3"/>
  <c r="T6" i="6" a="1"/>
  <c r="AW13" i="3"/>
  <c r="AW36" i="3"/>
  <c r="EW15" i="4" a="1"/>
  <c r="EQ11" i="4" a="1"/>
  <c r="BH63" i="3"/>
  <c r="AN6" i="6" a="1"/>
  <c r="AX40" i="3"/>
  <c r="AV16" i="3"/>
  <c r="AH6" i="6" a="1"/>
  <c r="BU69" i="3"/>
  <c r="AU6" i="3"/>
  <c r="EL6" i="4" a="1"/>
  <c r="R6" i="6" a="1"/>
  <c r="AU42" i="3"/>
  <c r="BR73" i="3"/>
  <c r="AW8" i="3"/>
  <c r="AT10" i="3"/>
  <c r="AV31" i="3"/>
  <c r="AV22" i="3"/>
  <c r="AT16" i="3"/>
  <c r="AR6" i="6" a="1"/>
  <c r="BN70" i="3"/>
  <c r="ER14" i="4" a="1"/>
  <c r="AP6" i="6" a="1"/>
  <c r="K5" i="6" a="1"/>
  <c r="AT26" i="3"/>
  <c r="AV46" i="3"/>
  <c r="AZ40" i="3"/>
  <c r="C5" i="4" a="1"/>
  <c r="BU57" i="3"/>
  <c r="AO5" i="6" a="1"/>
  <c r="AV35" i="3"/>
  <c r="AU20" i="3"/>
  <c r="EW13" i="4" a="1"/>
  <c r="BD84" i="3"/>
  <c r="E6" i="6" a="1"/>
  <c r="EO8" i="4" a="1"/>
  <c r="AE5" i="6" a="1"/>
  <c r="AP6" i="3"/>
  <c r="AU39" i="3"/>
  <c r="AV8" i="3"/>
  <c r="AT27" i="3"/>
  <c r="BO94" i="3"/>
  <c r="BA63" i="3"/>
  <c r="BU65" i="3"/>
  <c r="BD77" i="3"/>
  <c r="BP80" i="3"/>
  <c r="ET15" i="4" a="1"/>
  <c r="AY36" i="3"/>
  <c r="AV15" i="3"/>
  <c r="EO7" i="4" a="1"/>
  <c r="AV24" i="3"/>
  <c r="ES12" i="4" a="1"/>
  <c r="EQ15" i="4" a="1"/>
  <c r="EW7" i="4" a="1"/>
  <c r="AX28" i="3"/>
  <c r="BM76" i="3"/>
  <c r="BG74" i="3"/>
  <c r="BR71" i="3"/>
  <c r="EP16" i="4" a="1"/>
  <c r="EM7" i="4" a="1"/>
  <c r="AY21" i="3"/>
  <c r="AZ25" i="3"/>
  <c r="EP8" i="4" a="1"/>
  <c r="AF31" i="3"/>
  <c r="AW5" i="3"/>
  <c r="AF13" i="3"/>
  <c r="F5" i="6" a="1"/>
  <c r="AZ36" i="3"/>
  <c r="AY10" i="3"/>
  <c r="AI5" i="6" a="1"/>
  <c r="AW19" i="3"/>
  <c r="AS21" i="3"/>
  <c r="AZ9" i="3"/>
  <c r="ET9" i="4" a="1"/>
  <c r="AP7" i="3"/>
  <c r="AX25" i="3"/>
  <c r="AT24" i="3"/>
  <c r="BP50" i="3"/>
  <c r="AY7" i="3"/>
  <c r="AS15" i="3"/>
  <c r="EL8" i="4" a="1"/>
  <c r="AY31" i="3"/>
  <c r="EM8" i="4" a="1"/>
  <c r="AT5" i="3"/>
  <c r="AW45" i="3"/>
  <c r="AW38" i="3"/>
  <c r="BQ54" i="3"/>
  <c r="AU15" i="3"/>
  <c r="AY6" i="6" a="1"/>
  <c r="EN13" i="4" a="1"/>
  <c r="BQ85" i="3"/>
  <c r="BQ63" i="3"/>
  <c r="BI78" i="3"/>
  <c r="BI91" i="3"/>
  <c r="BI89" i="3"/>
  <c r="BI97" i="3"/>
  <c r="BI82" i="3"/>
  <c r="BI74" i="3"/>
  <c r="BI66" i="3"/>
  <c r="BI77" i="3"/>
  <c r="BI70" i="3"/>
  <c r="BI67" i="3"/>
  <c r="BP82" i="3"/>
  <c r="BP63" i="3"/>
  <c r="BP71" i="3"/>
  <c r="BP92" i="3"/>
  <c r="BV77" i="3"/>
  <c r="BV65" i="3"/>
  <c r="BV89" i="3"/>
  <c r="BV80" i="3"/>
  <c r="BV91" i="3"/>
  <c r="BV78" i="3"/>
  <c r="BV61" i="3"/>
  <c r="BV57" i="3"/>
  <c r="BV73" i="3"/>
  <c r="BV92" i="3"/>
  <c r="BV74" i="3"/>
  <c r="BV83" i="3"/>
  <c r="BV97" i="3"/>
  <c r="BV66" i="3"/>
  <c r="BV75" i="3"/>
  <c r="BV94" i="3"/>
  <c r="BV49" i="3"/>
  <c r="BV55" i="3"/>
  <c r="BV60" i="3"/>
  <c r="BV85" i="3"/>
  <c r="BE54" i="3"/>
  <c r="BE97" i="3"/>
  <c r="BE76" i="3"/>
  <c r="BE89" i="3"/>
  <c r="BE90" i="3"/>
  <c r="BE63" i="3"/>
  <c r="BE95" i="3"/>
  <c r="BE65" i="3"/>
  <c r="BE56" i="3"/>
  <c r="BE69" i="3"/>
  <c r="BE91" i="3"/>
  <c r="BE71" i="3"/>
  <c r="BE93" i="3"/>
  <c r="BE88" i="3"/>
  <c r="BN87" i="3"/>
  <c r="BN58" i="3"/>
  <c r="BN76" i="3"/>
  <c r="BN55" i="3"/>
  <c r="BN48" i="3"/>
  <c r="BN92" i="3"/>
  <c r="BK93" i="3"/>
  <c r="BK70" i="3"/>
  <c r="BK92" i="3"/>
  <c r="BK97" i="3"/>
  <c r="BK75" i="3"/>
  <c r="BK68" i="3"/>
  <c r="BK66" i="3"/>
  <c r="BK76" i="3"/>
  <c r="BD71" i="3"/>
  <c r="BI79" i="3" l="1"/>
  <c r="BS82" i="3"/>
  <c r="BP95" i="3"/>
  <c r="BV86" i="3"/>
  <c r="BP55" i="3"/>
  <c r="BI90" i="3"/>
  <c r="BI62" i="3"/>
  <c r="BN86" i="3"/>
  <c r="BI50" i="3"/>
  <c r="BS94" i="3"/>
  <c r="BS49" i="3"/>
  <c r="BK95" i="3"/>
  <c r="BK69" i="3"/>
  <c r="BV64" i="3"/>
  <c r="BS95" i="3"/>
  <c r="BR79" i="3"/>
  <c r="BO80" i="3"/>
  <c r="BA93" i="3"/>
  <c r="BI54" i="3"/>
  <c r="BN54" i="3"/>
  <c r="BR50" i="3"/>
  <c r="BP87" i="3"/>
  <c r="BR88" i="3"/>
  <c r="BR68" i="3"/>
  <c r="BQ77" i="3"/>
  <c r="BQ58" i="3"/>
  <c r="BI94" i="3"/>
  <c r="BK58" i="3"/>
  <c r="BR77" i="3"/>
  <c r="BS80" i="3"/>
  <c r="BS84" i="3"/>
  <c r="BP81" i="3"/>
  <c r="BO81" i="3"/>
  <c r="BI60" i="3"/>
  <c r="BN59" i="3"/>
  <c r="BS67" i="3"/>
  <c r="BQ75" i="3"/>
  <c r="BA74" i="3"/>
  <c r="BN89" i="3"/>
  <c r="BR63" i="3"/>
  <c r="BO48" i="3"/>
  <c r="BP49" i="3"/>
  <c r="BR96" i="3"/>
  <c r="BN78" i="3"/>
  <c r="BR65" i="3"/>
  <c r="BK72" i="3"/>
  <c r="BR64" i="3"/>
  <c r="BQ84" i="3"/>
  <c r="BA80" i="3"/>
  <c r="BJ78" i="3"/>
  <c r="BP56" i="3"/>
  <c r="BI92" i="3"/>
  <c r="BK65" i="3"/>
  <c r="BQ48" i="3"/>
  <c r="BP67" i="3"/>
  <c r="Y113" i="2"/>
  <c r="Y111" i="2"/>
  <c r="BV76" i="3"/>
  <c r="BP84" i="3"/>
  <c r="BE61" i="3"/>
  <c r="BE50" i="3"/>
  <c r="BE67" i="3"/>
  <c r="BE73" i="3"/>
  <c r="BV95" i="3"/>
  <c r="BP77" i="3"/>
  <c r="BE49" i="3"/>
  <c r="BV54" i="3"/>
  <c r="BP58" i="3"/>
  <c r="BV96" i="3"/>
  <c r="BV82" i="3"/>
  <c r="BV56" i="3"/>
  <c r="BA57" i="3"/>
  <c r="BA62" i="3"/>
  <c r="BN65" i="3"/>
  <c r="BK71" i="3"/>
  <c r="BA68" i="3"/>
  <c r="BK82" i="3"/>
  <c r="BP79" i="3"/>
  <c r="BN91" i="3"/>
  <c r="BJ47" i="3"/>
  <c r="BP47" i="3"/>
  <c r="BA55" i="3"/>
  <c r="BA59" i="3"/>
  <c r="BK79" i="3"/>
  <c r="BJ54" i="3"/>
  <c r="BA87" i="3"/>
  <c r="BA92" i="3"/>
  <c r="BJ58" i="3"/>
  <c r="BP88" i="3"/>
  <c r="BP66" i="3"/>
  <c r="BJ68" i="3"/>
  <c r="BJ49" i="3"/>
  <c r="BJ85" i="3"/>
  <c r="BJ94" i="3"/>
  <c r="BJ66" i="3"/>
  <c r="BJ57" i="3"/>
  <c r="BJ59" i="3"/>
  <c r="BJ77" i="3"/>
  <c r="BJ89" i="3"/>
  <c r="BJ84" i="3"/>
  <c r="BJ48" i="3"/>
  <c r="BJ60" i="3"/>
  <c r="BJ63" i="3"/>
  <c r="BJ64" i="3"/>
  <c r="BJ65" i="3"/>
  <c r="BJ62" i="3"/>
  <c r="BK85" i="3"/>
  <c r="BK59" i="3"/>
  <c r="Z111" i="2"/>
  <c r="BD92" i="3"/>
  <c r="BR54" i="3"/>
  <c r="BO96" i="3"/>
  <c r="BR81" i="3"/>
  <c r="BJ83" i="3"/>
  <c r="BS97" i="3"/>
  <c r="BO57" i="3"/>
  <c r="BD72" i="3"/>
  <c r="BA64" i="3"/>
  <c r="BR84" i="3"/>
  <c r="BQ66" i="3"/>
  <c r="BQ89" i="3"/>
  <c r="BA79" i="3"/>
  <c r="BA70" i="3"/>
  <c r="BA65" i="3"/>
  <c r="BI47" i="3"/>
  <c r="BK63" i="3"/>
  <c r="BQ88" i="3"/>
  <c r="BJ96" i="3"/>
  <c r="BO95" i="3"/>
  <c r="BQ55" i="3"/>
  <c r="BD66" i="3"/>
  <c r="BA94" i="3"/>
  <c r="BI81" i="3"/>
  <c r="BR92" i="3"/>
  <c r="BS64" i="3"/>
  <c r="BO62" i="3"/>
  <c r="BP74" i="3"/>
  <c r="BJ72" i="3"/>
  <c r="BQ91" i="3"/>
  <c r="BO64" i="3"/>
  <c r="BD55" i="3"/>
  <c r="BD76" i="3"/>
  <c r="BP65" i="3"/>
  <c r="BO55" i="3"/>
  <c r="BA88" i="3"/>
  <c r="BK96" i="3"/>
  <c r="BO47" i="3"/>
  <c r="BD74" i="3"/>
  <c r="BA69" i="3"/>
  <c r="BI72" i="3"/>
  <c r="BK49" i="3"/>
  <c r="BQ61" i="3"/>
  <c r="BD80" i="3"/>
  <c r="BP62" i="3"/>
  <c r="BD86" i="3"/>
  <c r="BO61" i="3"/>
  <c r="BK67" i="3"/>
  <c r="BD65" i="3"/>
  <c r="BI86" i="3"/>
  <c r="BJ75" i="3"/>
  <c r="BS60" i="3"/>
  <c r="BP93" i="3"/>
  <c r="BN74" i="3"/>
  <c r="BN83" i="3"/>
  <c r="BN47" i="3"/>
  <c r="BK47" i="3"/>
  <c r="BK62" i="3"/>
  <c r="BK89" i="3"/>
  <c r="BK50" i="3"/>
  <c r="BK83" i="3"/>
  <c r="BK64" i="3"/>
  <c r="BK73" i="3"/>
  <c r="BK91" i="3"/>
  <c r="BD62" i="3"/>
  <c r="BJ88" i="3"/>
  <c r="Z113" i="2"/>
  <c r="BD70" i="3"/>
  <c r="BA67" i="3"/>
  <c r="BN61" i="3"/>
  <c r="BD82" i="3"/>
  <c r="BA60" i="3"/>
  <c r="BN95" i="3"/>
  <c r="BD85" i="3"/>
  <c r="BJ86" i="3"/>
  <c r="BN85" i="3"/>
  <c r="BJ74" i="3"/>
  <c r="BJ95" i="3"/>
  <c r="BD73" i="3"/>
  <c r="BN80" i="3"/>
  <c r="BK80" i="3"/>
  <c r="BJ79" i="3"/>
  <c r="BA81" i="3"/>
  <c r="BN49" i="3"/>
  <c r="BJ61" i="3"/>
  <c r="BD63" i="3"/>
  <c r="BJ90" i="3"/>
  <c r="BA95" i="3"/>
  <c r="BJ93" i="3"/>
  <c r="BD96" i="3"/>
  <c r="BD61" i="3"/>
  <c r="BJ56" i="3"/>
  <c r="BA75" i="3"/>
  <c r="BD49" i="3"/>
  <c r="BK56" i="3"/>
  <c r="BD48" i="3"/>
  <c r="BA83" i="3"/>
  <c r="BN56" i="3"/>
  <c r="BN60" i="3"/>
  <c r="BN77" i="3"/>
  <c r="BK84" i="3"/>
  <c r="BK81" i="3"/>
  <c r="BK61" i="3"/>
  <c r="BK55" i="3"/>
  <c r="BK48" i="3"/>
  <c r="BJ73" i="3"/>
  <c r="BJ82" i="3"/>
  <c r="BJ91" i="3"/>
  <c r="BJ97" i="3"/>
  <c r="BJ55" i="3"/>
  <c r="BJ70" i="3"/>
  <c r="BJ50" i="3"/>
  <c r="BJ69" i="3"/>
  <c r="BJ67" i="3"/>
  <c r="BJ71" i="3"/>
  <c r="Z112" i="2"/>
  <c r="BN84" i="3"/>
  <c r="CJ152" i="1"/>
  <c r="CK152" i="1" s="1"/>
  <c r="CJ158" i="1"/>
  <c r="CL86" i="1"/>
  <c r="CL139" i="1"/>
  <c r="CJ154" i="1"/>
  <c r="CJ130" i="1"/>
  <c r="CL129" i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G86" i="1"/>
  <c r="CJ134" i="1"/>
  <c r="CG85" i="1"/>
  <c r="CL149" i="1"/>
  <c r="CL145" i="1"/>
  <c r="CL134" i="1"/>
  <c r="CL164" i="1"/>
  <c r="CL157" i="1"/>
  <c r="CI86" i="1"/>
  <c r="CL147" i="1"/>
  <c r="CL176" i="1"/>
  <c r="CL175" i="1"/>
  <c r="CL131" i="1"/>
  <c r="CL167" i="1"/>
  <c r="CL137" i="1"/>
  <c r="CL159" i="1"/>
  <c r="CJ164" i="1"/>
  <c r="CJ138" i="1"/>
  <c r="CL166" i="1"/>
  <c r="CL163" i="1"/>
  <c r="CJ86" i="1"/>
  <c r="CL138" i="1"/>
  <c r="CL162" i="1"/>
  <c r="CL130" i="1"/>
  <c r="CJ139" i="1"/>
  <c r="CJ161" i="1"/>
  <c r="CL85" i="1"/>
  <c r="CL146" i="1"/>
  <c r="CJ146" i="1"/>
  <c r="CJ166" i="1"/>
  <c r="CL152" i="1"/>
  <c r="CL165" i="1"/>
  <c r="CI85" i="1"/>
  <c r="CL154" i="1"/>
  <c r="CJ176" i="1"/>
  <c r="CJ129" i="1"/>
  <c r="CK129" i="1" s="1"/>
  <c r="CL155" i="1"/>
  <c r="CL156" i="1"/>
  <c r="CJ165" i="1"/>
  <c r="CJ172" i="1"/>
  <c r="CJ131" i="1"/>
  <c r="CJ156" i="1"/>
  <c r="CL136" i="1"/>
  <c r="CL171" i="1"/>
  <c r="Y149" i="1"/>
  <c r="Y129" i="1"/>
  <c r="Z129" i="1"/>
  <c r="CH129" i="1" s="1"/>
  <c r="CJ26" i="1"/>
  <c r="Z90" i="1"/>
  <c r="KF16" i="4" s="1"/>
  <c r="JQ9" i="4" s="1"/>
  <c r="JW9" i="4" s="1"/>
  <c r="KA9" i="4" s="1"/>
  <c r="Y59" i="1"/>
  <c r="Y159" i="1"/>
  <c r="Z63" i="1"/>
  <c r="Z138" i="1"/>
  <c r="CH138" i="1" s="1"/>
  <c r="CI138" i="1" s="1"/>
  <c r="CL158" i="1"/>
  <c r="JZ16" i="4" s="1"/>
  <c r="KB16" i="4" s="1"/>
  <c r="X21" i="1"/>
  <c r="JW16" i="4" s="1"/>
  <c r="JW21" i="4" s="1"/>
  <c r="Z154" i="1"/>
  <c r="CH154" i="1" s="1"/>
  <c r="JX9" i="4" s="1"/>
  <c r="X159" i="1"/>
  <c r="Y51" i="1"/>
  <c r="Y27" i="1"/>
  <c r="KE9" i="4" s="1"/>
  <c r="CK36" i="1"/>
  <c r="CH35" i="1"/>
  <c r="Y20" i="1"/>
  <c r="CK76" i="1"/>
  <c r="CG27" i="1"/>
  <c r="JO16" i="4" s="1"/>
  <c r="X156" i="1"/>
  <c r="X165" i="1"/>
  <c r="Z149" i="1"/>
  <c r="CH149" i="1" s="1"/>
  <c r="CI149" i="1" s="1"/>
  <c r="JR9" i="4" s="1"/>
  <c r="X85" i="1"/>
  <c r="CK26" i="1"/>
  <c r="CG37" i="1"/>
  <c r="Z25" i="1"/>
  <c r="Z162" i="1"/>
  <c r="CH162" i="1" s="1"/>
  <c r="Y167" i="1"/>
  <c r="X158" i="1"/>
  <c r="KG16" i="4" s="1"/>
  <c r="JY16" i="4" s="1"/>
  <c r="KH16" i="4" s="1"/>
  <c r="JQ16" i="4" s="1"/>
  <c r="Z44" i="1"/>
  <c r="Z206" i="1" s="1"/>
  <c r="JU9" i="4" s="1"/>
  <c r="JT16" i="4" s="1"/>
  <c r="X176" i="1"/>
  <c r="JU15" i="4" s="1"/>
  <c r="JS9" i="4" s="1"/>
  <c r="KE16" i="4" s="1"/>
  <c r="KH9" i="4" s="1"/>
  <c r="X129" i="1"/>
  <c r="CL75" i="1"/>
  <c r="Z145" i="1"/>
  <c r="CH145" i="1" s="1"/>
  <c r="CI145" i="1" s="1"/>
  <c r="X183" i="1"/>
  <c r="X167" i="1"/>
  <c r="CJ37" i="1"/>
  <c r="CJ59" i="1"/>
  <c r="X79" i="1"/>
  <c r="JR16" i="4" s="1"/>
  <c r="Z144" i="1"/>
  <c r="CH144" i="1" s="1"/>
  <c r="Z137" i="1"/>
  <c r="CH137" i="1" s="1"/>
  <c r="CI137" i="1" s="1"/>
  <c r="JT9" i="4" s="1"/>
  <c r="Z47" i="1"/>
  <c r="X144" i="1"/>
  <c r="CK57" i="1"/>
  <c r="X57" i="1"/>
  <c r="CI59" i="1"/>
  <c r="Y182" i="1"/>
  <c r="Y136" i="1"/>
  <c r="CI26" i="1"/>
  <c r="CH57" i="1"/>
  <c r="KC9" i="4" s="1"/>
  <c r="JV16" i="4" s="1"/>
  <c r="Y131" i="1"/>
  <c r="Y63" i="1"/>
  <c r="X137" i="1"/>
  <c r="CL33" i="1"/>
  <c r="Y89" i="1"/>
  <c r="Y155" i="1"/>
  <c r="CH34" i="1"/>
  <c r="CK47" i="1"/>
  <c r="KC16" i="4" s="1"/>
  <c r="KD9" i="4" s="1"/>
  <c r="JV9" i="4" s="1"/>
  <c r="JV14" i="4" s="1"/>
  <c r="JY9" i="4" s="1"/>
  <c r="Y130" i="1"/>
  <c r="Z152" i="1"/>
  <c r="AA214" i="1" s="1"/>
  <c r="Z165" i="1"/>
  <c r="CH165" i="1" s="1"/>
  <c r="CJ32" i="1"/>
  <c r="CN32" i="1" s="1"/>
  <c r="CR32" i="1" s="1"/>
  <c r="CV32" i="1" s="1"/>
  <c r="CZ32" i="1" s="1"/>
  <c r="X134" i="1"/>
  <c r="X47" i="1"/>
  <c r="KA16" i="4" s="1"/>
  <c r="CH86" i="1"/>
  <c r="Y44" i="1"/>
  <c r="Y206" i="1" s="1"/>
  <c r="Z51" i="1"/>
  <c r="CI33" i="1"/>
  <c r="X154" i="1"/>
  <c r="X155" i="1"/>
  <c r="CL25" i="1"/>
  <c r="CK32" i="1"/>
  <c r="JU14" i="4" s="1"/>
  <c r="CL161" i="1"/>
  <c r="Y184" i="1"/>
  <c r="X48" i="1"/>
  <c r="Y90" i="1"/>
  <c r="CJ57" i="1"/>
  <c r="Z159" i="1"/>
  <c r="CH159" i="1" s="1"/>
  <c r="Z89" i="1"/>
  <c r="CL32" i="1"/>
  <c r="CI21" i="1"/>
  <c r="CG63" i="1"/>
  <c r="Z172" i="1"/>
  <c r="CH172" i="1" s="1"/>
  <c r="X149" i="1"/>
  <c r="Z163" i="1"/>
  <c r="CH163" i="1" s="1"/>
  <c r="Z48" i="1"/>
  <c r="CH37" i="1"/>
  <c r="Y145" i="1"/>
  <c r="Z157" i="1"/>
  <c r="CH157" i="1" s="1"/>
  <c r="CI34" i="1"/>
  <c r="CL58" i="1"/>
  <c r="CG26" i="1"/>
  <c r="CL172" i="1"/>
  <c r="KD16" i="4" s="1"/>
  <c r="Y172" i="1"/>
  <c r="Z21" i="1"/>
  <c r="Z184" i="1"/>
  <c r="CK37" i="1"/>
  <c r="CH32" i="1"/>
  <c r="Z33" i="1"/>
  <c r="X63" i="1"/>
  <c r="Z37" i="1"/>
  <c r="X34" i="1"/>
  <c r="CK35" i="1"/>
  <c r="KB9" i="4" s="1"/>
  <c r="Z86" i="1"/>
  <c r="CK25" i="1"/>
  <c r="Z57" i="1"/>
  <c r="CL76" i="1"/>
  <c r="X44" i="1"/>
  <c r="X206" i="1" s="1"/>
  <c r="CG32" i="1"/>
  <c r="Y144" i="1"/>
  <c r="CJ25" i="1"/>
  <c r="Y152" i="1"/>
  <c r="Z156" i="1"/>
  <c r="X91" i="1"/>
  <c r="CL35" i="1"/>
  <c r="Z85" i="1"/>
  <c r="JX16" i="4" s="1"/>
  <c r="CH85" i="1"/>
  <c r="Z20" i="1"/>
  <c r="Z243" i="1" s="1"/>
  <c r="CJ76" i="1"/>
  <c r="CI76" i="1" s="1"/>
  <c r="CH76" i="1" s="1"/>
  <c r="CG76" i="1" s="1"/>
  <c r="CF76" i="1" s="1"/>
  <c r="CE76" i="1" s="1"/>
  <c r="CD76" i="1" s="1"/>
  <c r="CC76" i="1" s="1"/>
  <c r="CB76" i="1" s="1"/>
  <c r="CA76" i="1" s="1"/>
  <c r="BZ76" i="1" s="1"/>
  <c r="BY76" i="1" s="1"/>
  <c r="BX76" i="1" s="1"/>
  <c r="BW76" i="1" s="1"/>
  <c r="BV76" i="1" s="1"/>
  <c r="BU76" i="1" s="1"/>
  <c r="BT76" i="1" s="1"/>
  <c r="BS76" i="1" s="1"/>
  <c r="BR76" i="1" s="1"/>
  <c r="BQ76" i="1" s="1"/>
  <c r="BP76" i="1" s="1"/>
  <c r="BO76" i="1" s="1"/>
  <c r="BN76" i="1" s="1"/>
  <c r="BM76" i="1" s="1"/>
  <c r="BL76" i="1" s="1"/>
  <c r="BK76" i="1" s="1"/>
  <c r="BJ76" i="1" s="1"/>
  <c r="BI76" i="1" s="1"/>
  <c r="BH76" i="1" s="1"/>
  <c r="BG76" i="1" s="1"/>
  <c r="BF76" i="1" s="1"/>
  <c r="BE76" i="1" s="1"/>
  <c r="BD76" i="1" s="1"/>
  <c r="BC76" i="1" s="1"/>
  <c r="BB76" i="1" s="1"/>
  <c r="BA76" i="1" s="1"/>
  <c r="AZ76" i="1" s="1"/>
  <c r="AY76" i="1" s="1"/>
  <c r="AX76" i="1" s="1"/>
  <c r="AW76" i="1" s="1"/>
  <c r="AV76" i="1" s="1"/>
  <c r="AU76" i="1" s="1"/>
  <c r="AT76" i="1" s="1"/>
  <c r="AS76" i="1" s="1"/>
  <c r="AR76" i="1" s="1"/>
  <c r="AQ76" i="1" s="1"/>
  <c r="AP76" i="1" s="1"/>
  <c r="AO76" i="1" s="1"/>
  <c r="AN76" i="1" s="1"/>
  <c r="AM76" i="1" s="1"/>
  <c r="AL76" i="1" s="1"/>
  <c r="AK76" i="1" s="1"/>
  <c r="AJ76" i="1" s="1"/>
  <c r="AI76" i="1" s="1"/>
  <c r="Y156" i="1"/>
  <c r="CI36" i="1"/>
  <c r="Y25" i="1"/>
  <c r="CG33" i="1"/>
  <c r="Y165" i="1"/>
  <c r="Y158" i="1"/>
  <c r="Y91" i="1"/>
  <c r="CK20" i="1"/>
  <c r="CK34" i="1"/>
  <c r="CK27" i="1"/>
  <c r="CB25" i="1"/>
  <c r="CG21" i="1"/>
  <c r="Y137" i="1"/>
  <c r="Y157" i="1"/>
  <c r="CL26" i="1"/>
  <c r="CH36" i="1"/>
  <c r="CG35" i="1"/>
  <c r="CI58" i="1"/>
  <c r="X184" i="1"/>
  <c r="Z130" i="1"/>
  <c r="CH130" i="1" s="1"/>
  <c r="CI130" i="1" s="1"/>
  <c r="Y148" i="1"/>
  <c r="X27" i="1"/>
  <c r="Z155" i="1"/>
  <c r="CH155" i="1" s="1"/>
  <c r="Y147" i="1"/>
  <c r="Y143" i="1" s="1"/>
  <c r="Y146" i="1" s="1"/>
  <c r="CG58" i="1"/>
  <c r="X32" i="1"/>
  <c r="X51" i="1"/>
  <c r="CL44" i="1"/>
  <c r="CL34" i="1"/>
  <c r="CL37" i="1"/>
  <c r="Y163" i="1"/>
  <c r="X152" i="1"/>
  <c r="Z59" i="1"/>
  <c r="CH21" i="1"/>
  <c r="Y36" i="1"/>
  <c r="Y47" i="1"/>
  <c r="CI25" i="1"/>
  <c r="CJ33" i="1"/>
  <c r="CH59" i="1"/>
  <c r="CJ21" i="1"/>
  <c r="Z131" i="1"/>
  <c r="CH131" i="1" s="1"/>
  <c r="CH48" i="1"/>
  <c r="CG51" i="1"/>
  <c r="CJ27" i="1"/>
  <c r="CL36" i="1"/>
  <c r="Z35" i="1"/>
  <c r="CK48" i="1"/>
  <c r="Y57" i="1"/>
  <c r="CI47" i="1"/>
  <c r="CL21" i="1"/>
  <c r="Z134" i="1"/>
  <c r="CH134" i="1" s="1"/>
  <c r="CI134" i="1" s="1"/>
  <c r="Y58" i="1"/>
  <c r="CI63" i="1"/>
  <c r="CE51" i="1"/>
  <c r="Z176" i="1"/>
  <c r="CH176" i="1" s="1"/>
  <c r="CI176" i="1" s="1"/>
  <c r="Y139" i="1"/>
  <c r="CJ36" i="1"/>
  <c r="CI37" i="1"/>
  <c r="CH26" i="1"/>
  <c r="Y21" i="1"/>
  <c r="CK33" i="1"/>
  <c r="X136" i="1"/>
  <c r="CJ63" i="1"/>
  <c r="CL63" i="1"/>
  <c r="Z79" i="1"/>
  <c r="Y138" i="1"/>
  <c r="Y166" i="1" s="1"/>
  <c r="Y176" i="1"/>
  <c r="CJ35" i="1"/>
  <c r="CJ75" i="1"/>
  <c r="CI75" i="1" s="1"/>
  <c r="CI32" i="1"/>
  <c r="CM32" i="1" s="1"/>
  <c r="CQ32" i="1" s="1"/>
  <c r="CU32" i="1" s="1"/>
  <c r="CY32" i="1" s="1"/>
  <c r="X172" i="1"/>
  <c r="X58" i="1"/>
  <c r="X157" i="1"/>
  <c r="CH47" i="1"/>
  <c r="CJ20" i="1"/>
  <c r="Z148" i="1"/>
  <c r="CH148" i="1" s="1"/>
  <c r="CI148" i="1" s="1"/>
  <c r="Z175" i="1"/>
  <c r="CH175" i="1" s="1"/>
  <c r="CH58" i="1"/>
  <c r="Y79" i="1"/>
  <c r="Y37" i="1"/>
  <c r="CI51" i="1"/>
  <c r="Z167" i="1"/>
  <c r="CH167" i="1" s="1"/>
  <c r="Z27" i="1"/>
  <c r="CG57" i="1"/>
  <c r="CL51" i="1"/>
  <c r="CG25" i="1"/>
  <c r="CK51" i="1"/>
  <c r="CL57" i="1"/>
  <c r="Y171" i="1"/>
  <c r="CH27" i="1"/>
  <c r="CK21" i="1"/>
  <c r="Y35" i="1"/>
  <c r="CJ44" i="1"/>
  <c r="CG44" i="1"/>
  <c r="CG206" i="1" s="1"/>
  <c r="X35" i="1"/>
  <c r="X36" i="1"/>
  <c r="Y161" i="1"/>
  <c r="CJ48" i="1"/>
  <c r="Y48" i="1"/>
  <c r="CJ47" i="1"/>
  <c r="JS16" i="4" s="1"/>
  <c r="Y134" i="1"/>
  <c r="Y33" i="1"/>
  <c r="CJ51" i="1"/>
  <c r="JP9" i="4" s="1"/>
  <c r="CL20" i="1"/>
  <c r="CH20" i="1"/>
  <c r="CH13" i="1" s="1"/>
  <c r="CK44" i="1"/>
  <c r="CK206" i="1" s="1"/>
  <c r="CG47" i="1"/>
  <c r="X20" i="1"/>
  <c r="X13" i="1" s="1"/>
  <c r="CI35" i="1"/>
  <c r="Y162" i="1"/>
  <c r="CJ58" i="1"/>
  <c r="Y34" i="1"/>
  <c r="Z161" i="1"/>
  <c r="CH161" i="1" s="1"/>
  <c r="Z182" i="1"/>
  <c r="CL47" i="1"/>
  <c r="CL59" i="1"/>
  <c r="CG20" i="1"/>
  <c r="CG13" i="1" s="1"/>
  <c r="X162" i="1"/>
  <c r="CG48" i="1"/>
  <c r="CI44" i="1"/>
  <c r="X90" i="1"/>
  <c r="Y32" i="1"/>
  <c r="X131" i="1"/>
  <c r="X130" i="1"/>
  <c r="X182" i="1"/>
  <c r="Z58" i="1"/>
  <c r="JP16" i="4" s="1"/>
  <c r="JP21" i="4" s="1"/>
  <c r="CJ89" i="1" s="1"/>
  <c r="CL48" i="1"/>
  <c r="Z34" i="1"/>
  <c r="JN16" i="4" s="1"/>
  <c r="CH25" i="1"/>
  <c r="Y183" i="1"/>
  <c r="CH33" i="1"/>
  <c r="Y154" i="1"/>
  <c r="CK59" i="1"/>
  <c r="CH44" i="1"/>
  <c r="CH206" i="1" s="1"/>
  <c r="CK75" i="1"/>
  <c r="CK58" i="1"/>
  <c r="CH63" i="1"/>
  <c r="Y175" i="1"/>
  <c r="CI57" i="1"/>
  <c r="Z158" i="1"/>
  <c r="CH158" i="1" s="1"/>
  <c r="X147" i="1"/>
  <c r="X143" i="1" s="1"/>
  <c r="CI48" i="1"/>
  <c r="X145" i="1"/>
  <c r="Z32" i="1"/>
  <c r="X138" i="1"/>
  <c r="X166" i="1" s="1"/>
  <c r="CG59" i="1"/>
  <c r="X37" i="1"/>
  <c r="X171" i="1"/>
  <c r="X161" i="1"/>
  <c r="CH51" i="1"/>
  <c r="JN9" i="4" s="1"/>
  <c r="CJ34" i="1"/>
  <c r="CG36" i="1"/>
  <c r="X33" i="1"/>
  <c r="X139" i="1"/>
  <c r="X25" i="1"/>
  <c r="Z136" i="1"/>
  <c r="CL27" i="1"/>
  <c r="CI20" i="1"/>
  <c r="Z147" i="1"/>
  <c r="CH147" i="1" s="1"/>
  <c r="CI147" i="1" s="1"/>
  <c r="CG34" i="1"/>
  <c r="CI27" i="1"/>
  <c r="Z183" i="1"/>
  <c r="Z91" i="1"/>
  <c r="JO9" i="4" s="1"/>
  <c r="Z139" i="1"/>
  <c r="CH139" i="1" s="1"/>
  <c r="CI139" i="1" s="1"/>
  <c r="Z171" i="1"/>
  <c r="X163" i="1"/>
  <c r="X148" i="1"/>
  <c r="X59" i="1"/>
  <c r="X89" i="1"/>
  <c r="X175" i="1"/>
  <c r="Z36" i="1"/>
  <c r="CK63" i="1"/>
  <c r="CH171" i="1"/>
  <c r="BY34" i="1"/>
  <c r="CA21" i="1"/>
  <c r="CE34" i="1"/>
  <c r="CA34" i="1"/>
  <c r="CF34" i="1"/>
  <c r="CD34" i="1"/>
  <c r="BZ34" i="1"/>
  <c r="BL34" i="1"/>
  <c r="CC34" i="1"/>
  <c r="CB34" i="1"/>
  <c r="CF21" i="1"/>
  <c r="CD21" i="1"/>
  <c r="BY21" i="1"/>
  <c r="CE21" i="1"/>
  <c r="BZ21" i="1"/>
  <c r="CC21" i="1"/>
  <c r="CB21" i="1"/>
  <c r="BL21" i="1"/>
  <c r="CD37" i="1"/>
  <c r="CC57" i="1"/>
  <c r="CA20" i="1"/>
  <c r="CD51" i="1"/>
  <c r="AH7" i="6" s="1"/>
  <c r="CD47" i="1"/>
  <c r="CF48" i="1"/>
  <c r="BY57" i="1"/>
  <c r="BL57" i="1"/>
  <c r="CD58" i="1"/>
  <c r="AV7" i="6" s="1"/>
  <c r="CB32" i="1"/>
  <c r="R7" i="6" s="1"/>
  <c r="X7" i="6" s="1"/>
  <c r="CD57" i="1"/>
  <c r="CD27" i="1"/>
  <c r="V7" i="6" s="1"/>
  <c r="BY27" i="1"/>
  <c r="CB20" i="1"/>
  <c r="BY63" i="1"/>
  <c r="BL20" i="1"/>
  <c r="AW7" i="6" s="1"/>
  <c r="BY33" i="1"/>
  <c r="CA25" i="1"/>
  <c r="CB35" i="1"/>
  <c r="BZ48" i="1"/>
  <c r="O7" i="6" s="1"/>
  <c r="BL59" i="1"/>
  <c r="AQ7" i="6" s="1"/>
  <c r="CF20" i="1"/>
  <c r="CF13" i="1" s="1"/>
  <c r="JJ9" i="4" s="1"/>
  <c r="BY58" i="1"/>
  <c r="AM7" i="6" s="1"/>
  <c r="JM16" i="4" s="1"/>
  <c r="CF59" i="1"/>
  <c r="CA36" i="1"/>
  <c r="BL35" i="1"/>
  <c r="BL58" i="1"/>
  <c r="CF47" i="1"/>
  <c r="BL48" i="1"/>
  <c r="BZ57" i="1"/>
  <c r="CC37" i="1"/>
  <c r="CC33" i="1"/>
  <c r="JM9" i="4" s="1"/>
  <c r="CA33" i="1"/>
  <c r="JL16" i="4" s="1"/>
  <c r="BZ36" i="1"/>
  <c r="CB33" i="1"/>
  <c r="CC25" i="1"/>
  <c r="JK16" i="4" s="1"/>
  <c r="CA63" i="1"/>
  <c r="BZ26" i="1"/>
  <c r="CE27" i="1"/>
  <c r="CC26" i="1"/>
  <c r="C7" i="6" s="1"/>
  <c r="T7" i="6" s="1"/>
  <c r="BY36" i="1"/>
  <c r="CC58" i="1"/>
  <c r="CC20" i="1"/>
  <c r="CB47" i="1"/>
  <c r="JL9" i="4" s="1"/>
  <c r="CF51" i="1"/>
  <c r="AL7" i="6" s="1"/>
  <c r="BZ44" i="1"/>
  <c r="BZ206" i="1" s="1"/>
  <c r="BZ47" i="1"/>
  <c r="J7" i="6" s="1"/>
  <c r="BY59" i="1"/>
  <c r="Z7" i="6" s="1"/>
  <c r="BL32" i="1"/>
  <c r="CF25" i="1"/>
  <c r="CF35" i="1"/>
  <c r="BZ25" i="1"/>
  <c r="CA27" i="1"/>
  <c r="CD26" i="1"/>
  <c r="BL33" i="1"/>
  <c r="BY26" i="1"/>
  <c r="CE44" i="1"/>
  <c r="CE206" i="1" s="1"/>
  <c r="AD7" i="6" s="1"/>
  <c r="CF37" i="1"/>
  <c r="CE32" i="1"/>
  <c r="CA59" i="1"/>
  <c r="CD48" i="1"/>
  <c r="CB36" i="1"/>
  <c r="CD59" i="1"/>
  <c r="AP7" i="6" s="1"/>
  <c r="Y7" i="6" s="1"/>
  <c r="CA37" i="1"/>
  <c r="AA7" i="6" s="1"/>
  <c r="AJ7" i="6" s="1"/>
  <c r="BY20" i="1"/>
  <c r="BY13" i="1" s="1"/>
  <c r="BY35" i="1"/>
  <c r="CB51" i="1"/>
  <c r="CE37" i="1"/>
  <c r="I7" i="6" s="1"/>
  <c r="AK7" i="6" s="1"/>
  <c r="CE26" i="1"/>
  <c r="K7" i="6" s="1"/>
  <c r="F7" i="6" s="1"/>
  <c r="CB57" i="1"/>
  <c r="CF36" i="1"/>
  <c r="AC7" i="6" s="1"/>
  <c r="AE7" i="6" s="1"/>
  <c r="M7" i="6" s="1"/>
  <c r="Q7" i="6" s="1"/>
  <c r="CA58" i="1"/>
  <c r="BZ58" i="1"/>
  <c r="CA48" i="1"/>
  <c r="CF58" i="1"/>
  <c r="AU7" i="6" s="1"/>
  <c r="BL27" i="1"/>
  <c r="CE36" i="1"/>
  <c r="CB44" i="1"/>
  <c r="CB206" i="1" s="1"/>
  <c r="CC59" i="1"/>
  <c r="CC63" i="1"/>
  <c r="AX7" i="6" s="1"/>
  <c r="BZ35" i="1"/>
  <c r="AT7" i="6" s="1"/>
  <c r="S7" i="6" s="1"/>
  <c r="BY25" i="1"/>
  <c r="CE47" i="1"/>
  <c r="CA57" i="1"/>
  <c r="CB59" i="1"/>
  <c r="CA47" i="1"/>
  <c r="CF63" i="1"/>
  <c r="CF33" i="1"/>
  <c r="CA32" i="1"/>
  <c r="AN7" i="6" s="1"/>
  <c r="CE58" i="1"/>
  <c r="CC27" i="1"/>
  <c r="CE63" i="1"/>
  <c r="CF27" i="1"/>
  <c r="G7" i="6" s="1"/>
  <c r="BL44" i="1"/>
  <c r="AF7" i="6" s="1"/>
  <c r="CC32" i="1"/>
  <c r="CD32" i="1"/>
  <c r="JJ16" i="4" s="1"/>
  <c r="BY37" i="1"/>
  <c r="CB58" i="1"/>
  <c r="CE20" i="1"/>
  <c r="CE13" i="1" s="1"/>
  <c r="AB7" i="6" s="1"/>
  <c r="BL26" i="1"/>
  <c r="CD63" i="1"/>
  <c r="BY32" i="1"/>
  <c r="BZ27" i="1"/>
  <c r="CD33" i="1"/>
  <c r="L7" i="6" s="1"/>
  <c r="BL51" i="1"/>
  <c r="BZ20" i="1"/>
  <c r="CA44" i="1"/>
  <c r="BZ51" i="1"/>
  <c r="BY44" i="1"/>
  <c r="BY206" i="1" s="1"/>
  <c r="AI7" i="6" s="1"/>
  <c r="CC51" i="1"/>
  <c r="D7" i="6" s="1"/>
  <c r="BZ33" i="1"/>
  <c r="AG7" i="6" s="1"/>
  <c r="BZ32" i="1"/>
  <c r="BL63" i="1"/>
  <c r="W7" i="6" s="1"/>
  <c r="CB63" i="1"/>
  <c r="CE59" i="1"/>
  <c r="CF32" i="1"/>
  <c r="CC35" i="1"/>
  <c r="CD35" i="1"/>
  <c r="CE25" i="1"/>
  <c r="BY47" i="1"/>
  <c r="CC47" i="1"/>
  <c r="BZ63" i="1"/>
  <c r="AS7" i="6" s="1"/>
  <c r="BZ59" i="1"/>
  <c r="CE48" i="1"/>
  <c r="CD25" i="1"/>
  <c r="BL47" i="1"/>
  <c r="CB26" i="1"/>
  <c r="CC44" i="1"/>
  <c r="CC206" i="1" s="1"/>
  <c r="BY51" i="1"/>
  <c r="H7" i="6" s="1"/>
  <c r="CA35" i="1"/>
  <c r="BZ37" i="1"/>
  <c r="CD20" i="1"/>
  <c r="AR7" i="6" s="1"/>
  <c r="CF26" i="1"/>
  <c r="BL25" i="1"/>
  <c r="BL36" i="1"/>
  <c r="JK9" i="4" s="1"/>
  <c r="AO7" i="6" s="1"/>
  <c r="CA51" i="1"/>
  <c r="BL37" i="1"/>
  <c r="CA26" i="1"/>
  <c r="CE57" i="1"/>
  <c r="CD36" i="1"/>
  <c r="P7" i="6" s="1"/>
  <c r="E7" i="6" s="1"/>
  <c r="U7" i="6" s="1"/>
  <c r="CC36" i="1"/>
  <c r="AY7" i="6" s="1"/>
  <c r="CD44" i="1"/>
  <c r="CB27" i="1"/>
  <c r="CC48" i="1"/>
  <c r="CB48" i="1"/>
  <c r="CE35" i="1"/>
  <c r="CE33" i="1"/>
  <c r="CF44" i="1"/>
  <c r="CF206" i="1" s="1"/>
  <c r="CB37" i="1"/>
  <c r="BY48" i="1"/>
  <c r="CF57" i="1"/>
  <c r="N7" i="6" s="1"/>
  <c r="AD47" i="1"/>
  <c r="C77" i="3"/>
  <c r="AT93" i="3"/>
  <c r="AX55" i="3"/>
  <c r="AV97" i="3"/>
  <c r="AX95" i="3"/>
  <c r="AV93" i="3"/>
  <c r="AW67" i="3"/>
  <c r="AV74" i="3"/>
  <c r="C58" i="3"/>
  <c r="AY58" i="3"/>
  <c r="AU57" i="3"/>
  <c r="AX77" i="3"/>
  <c r="AV82" i="3"/>
  <c r="AZ84" i="3"/>
  <c r="AW48" i="3"/>
  <c r="C80" i="3"/>
  <c r="AZ48" i="3"/>
  <c r="AZ71" i="3"/>
  <c r="AY72" i="3"/>
  <c r="AY50" i="3"/>
  <c r="AW86" i="3"/>
  <c r="AU69" i="3"/>
  <c r="AZ70" i="3"/>
  <c r="AY54" i="3"/>
  <c r="C82" i="3"/>
  <c r="AU85" i="3"/>
  <c r="AU72" i="3"/>
  <c r="AX97" i="3"/>
  <c r="AX67" i="3"/>
  <c r="AV95" i="3"/>
  <c r="AZ92" i="3"/>
  <c r="AT68" i="3"/>
  <c r="AF64" i="3"/>
  <c r="AV59" i="3"/>
  <c r="AU83" i="3"/>
  <c r="AT58" i="3"/>
  <c r="AZ60" i="3"/>
  <c r="AF95" i="3"/>
  <c r="AZ80" i="3"/>
  <c r="C67" i="3"/>
  <c r="AF78" i="3"/>
  <c r="AT77" i="3"/>
  <c r="AT56" i="3"/>
  <c r="C95" i="3"/>
  <c r="AF97" i="3"/>
  <c r="AZ74" i="3"/>
  <c r="C85" i="3"/>
  <c r="AS54" i="3"/>
  <c r="AT60" i="3"/>
  <c r="AV75" i="3"/>
  <c r="AX91" i="3"/>
  <c r="AZ97" i="3"/>
  <c r="AS97" i="3"/>
  <c r="AU73" i="3"/>
  <c r="AF89" i="3"/>
  <c r="AT95" i="3"/>
  <c r="AW77" i="3"/>
  <c r="AY90" i="3"/>
  <c r="AY75" i="3"/>
  <c r="AS88" i="3"/>
  <c r="AS70" i="3"/>
  <c r="C50" i="3"/>
  <c r="AW64" i="3"/>
  <c r="AU97" i="3"/>
  <c r="AV71" i="3"/>
  <c r="AX89" i="3"/>
  <c r="AF96" i="3"/>
  <c r="AZ49" i="3"/>
  <c r="AZ47" i="3"/>
  <c r="AX54" i="3"/>
  <c r="AF86" i="3"/>
  <c r="AF61" i="3"/>
  <c r="AU60" i="3"/>
  <c r="AF73" i="3"/>
  <c r="AU59" i="3"/>
  <c r="AS78" i="3"/>
  <c r="AS63" i="3"/>
  <c r="AS91" i="3"/>
  <c r="AY65" i="3"/>
  <c r="AV58" i="3"/>
  <c r="AW59" i="3"/>
  <c r="AV62" i="3"/>
  <c r="AZ58" i="3"/>
  <c r="AF66" i="3"/>
  <c r="AX96" i="3"/>
  <c r="AS55" i="3"/>
  <c r="C73" i="3"/>
  <c r="AU96" i="3"/>
  <c r="AZ66" i="3"/>
  <c r="AX59" i="3"/>
  <c r="AV54" i="3"/>
  <c r="AT80" i="3"/>
  <c r="AF54" i="3"/>
  <c r="AW88" i="3"/>
  <c r="AW63" i="3"/>
  <c r="AY91" i="3"/>
  <c r="AT62" i="3"/>
  <c r="AT65" i="3"/>
  <c r="AX56" i="3"/>
  <c r="AY66" i="3"/>
  <c r="AY74" i="3"/>
  <c r="AT50" i="3"/>
  <c r="C72" i="3"/>
  <c r="AS65" i="3"/>
  <c r="AT89" i="3"/>
  <c r="AV72" i="3"/>
  <c r="AV76" i="3"/>
  <c r="AF60" i="3"/>
  <c r="AV73" i="3"/>
  <c r="AW87" i="3"/>
  <c r="AF90" i="3"/>
  <c r="AS76" i="3"/>
  <c r="AW95" i="3"/>
  <c r="AV69" i="3"/>
  <c r="C69" i="3"/>
  <c r="AS81" i="3"/>
  <c r="AV77" i="3"/>
  <c r="AZ77" i="3"/>
  <c r="AZ67" i="3"/>
  <c r="AT90" i="3"/>
  <c r="AW58" i="3"/>
  <c r="AW91" i="3"/>
  <c r="AU63" i="3"/>
  <c r="AX47" i="3"/>
  <c r="AW93" i="3"/>
  <c r="AX75" i="3"/>
  <c r="AZ63" i="3"/>
  <c r="AV83" i="3"/>
  <c r="AS69" i="3"/>
  <c r="AX60" i="3"/>
  <c r="AW78" i="3"/>
  <c r="AU68" i="3"/>
  <c r="AT59" i="3"/>
  <c r="AW96" i="3"/>
  <c r="AF74" i="3"/>
  <c r="AZ86" i="3"/>
  <c r="AZ68" i="3"/>
  <c r="AS61" i="3"/>
  <c r="AV90" i="3"/>
  <c r="AV55" i="3"/>
  <c r="AV48" i="3"/>
  <c r="AY73" i="3"/>
  <c r="AF81" i="3"/>
  <c r="AV57" i="3"/>
  <c r="AS79" i="3"/>
  <c r="AF82" i="3"/>
  <c r="AT86" i="3"/>
  <c r="AV67" i="3"/>
  <c r="C76" i="3"/>
  <c r="AT64" i="3"/>
  <c r="AS64" i="3"/>
  <c r="AZ54" i="3"/>
  <c r="AV78" i="3"/>
  <c r="AV87" i="3"/>
  <c r="AF47" i="3"/>
  <c r="AX71" i="3"/>
  <c r="C92" i="3"/>
  <c r="AY95" i="3"/>
  <c r="AY96" i="3"/>
  <c r="AF70" i="3"/>
  <c r="AY71" i="3"/>
  <c r="AS93" i="3"/>
  <c r="AZ76" i="3"/>
  <c r="AW71" i="3"/>
  <c r="AX49" i="3"/>
  <c r="AX80" i="3"/>
  <c r="AX62" i="3"/>
  <c r="AZ87" i="3"/>
  <c r="AW76" i="3"/>
  <c r="AS94" i="3"/>
  <c r="AY49" i="3"/>
  <c r="C91" i="3"/>
  <c r="AX83" i="3"/>
  <c r="AU71" i="3"/>
  <c r="AX64" i="3"/>
  <c r="AW90" i="3"/>
  <c r="AU50" i="3"/>
  <c r="AX90" i="3"/>
  <c r="AZ50" i="3"/>
  <c r="AT74" i="3"/>
  <c r="AY62" i="3"/>
  <c r="AS60" i="3"/>
  <c r="AY81" i="3"/>
  <c r="AX84" i="3"/>
  <c r="AU49" i="3"/>
  <c r="AU80" i="3"/>
  <c r="AS92" i="3"/>
  <c r="AY63" i="3"/>
  <c r="AS87" i="3"/>
  <c r="AY83" i="3"/>
  <c r="C70" i="3"/>
  <c r="AT94" i="3"/>
  <c r="AX79" i="3"/>
  <c r="AY82" i="3"/>
  <c r="AT76" i="3"/>
  <c r="AV65" i="3"/>
  <c r="AW79" i="3"/>
  <c r="AV68" i="3"/>
  <c r="AW74" i="3"/>
  <c r="AZ61" i="3"/>
  <c r="AZ65" i="3"/>
  <c r="AX69" i="3"/>
  <c r="AX68" i="3"/>
  <c r="AZ94" i="3"/>
  <c r="AW66" i="3"/>
  <c r="AU67" i="3"/>
  <c r="AU82" i="3"/>
  <c r="AF57" i="3"/>
  <c r="AY92" i="3"/>
  <c r="AT81" i="3"/>
  <c r="AX81" i="3"/>
  <c r="AV86" i="3"/>
  <c r="AZ72" i="3"/>
  <c r="AU91" i="3"/>
  <c r="AY47" i="3"/>
  <c r="AU62" i="3"/>
  <c r="C93" i="3"/>
  <c r="C56" i="3"/>
  <c r="AT78" i="3"/>
  <c r="AY78" i="3"/>
  <c r="AS95" i="3"/>
  <c r="AU76" i="3"/>
  <c r="AY84" i="3"/>
  <c r="AU47" i="3"/>
  <c r="AU66" i="3"/>
  <c r="AF79" i="3"/>
  <c r="AY68" i="3"/>
  <c r="C71" i="3"/>
  <c r="AZ79" i="3"/>
  <c r="AU54" i="3"/>
  <c r="AW62" i="3"/>
  <c r="AF88" i="3"/>
  <c r="AS83" i="3"/>
  <c r="AT91" i="3"/>
  <c r="AS71" i="3"/>
  <c r="AY69" i="3"/>
  <c r="AZ93" i="3"/>
  <c r="AU77" i="3"/>
  <c r="AY97" i="3"/>
  <c r="AF80" i="3"/>
  <c r="AY85" i="3"/>
  <c r="AV88" i="3"/>
  <c r="AU87" i="3"/>
  <c r="C55" i="3"/>
  <c r="AF65" i="3"/>
  <c r="C63" i="3"/>
  <c r="AZ59" i="3"/>
  <c r="AT63" i="3"/>
  <c r="AS56" i="3"/>
  <c r="AV80" i="3"/>
  <c r="AT71" i="3"/>
  <c r="AW85" i="3"/>
  <c r="AW70" i="3"/>
  <c r="AV61" i="3"/>
  <c r="AU79" i="3"/>
  <c r="AW81" i="3"/>
  <c r="C97" i="3"/>
  <c r="AT70" i="3"/>
  <c r="AW94" i="3"/>
  <c r="C57" i="3"/>
  <c r="AV56" i="3"/>
  <c r="AZ96" i="3"/>
  <c r="C94" i="3"/>
  <c r="AZ78" i="3"/>
  <c r="AX76" i="3"/>
  <c r="AS72" i="3"/>
  <c r="AU93" i="3"/>
  <c r="AZ69" i="3"/>
  <c r="AX63" i="3"/>
  <c r="C74" i="3"/>
  <c r="AY80" i="3"/>
  <c r="AU94" i="3"/>
  <c r="AF49" i="3"/>
  <c r="AU78" i="3"/>
  <c r="AX48" i="3"/>
  <c r="AY87" i="3"/>
  <c r="AV84" i="3"/>
  <c r="AU56" i="3"/>
  <c r="AS77" i="3"/>
  <c r="AS86" i="3"/>
  <c r="AT84" i="3"/>
  <c r="C61" i="3"/>
  <c r="AV79" i="3"/>
  <c r="AY56" i="3"/>
  <c r="AX58" i="3"/>
  <c r="AU55" i="3"/>
  <c r="AZ82" i="3"/>
  <c r="AX73" i="3"/>
  <c r="AT67" i="3"/>
  <c r="AZ83" i="3"/>
  <c r="AX88" i="3"/>
  <c r="AS73" i="3"/>
  <c r="AT75" i="3"/>
  <c r="AW68" i="3"/>
  <c r="AV91" i="3"/>
  <c r="AT97" i="3"/>
  <c r="AW73" i="3"/>
  <c r="AU90" i="3"/>
  <c r="AF85" i="3"/>
  <c r="AF56" i="3"/>
  <c r="AS58" i="3"/>
  <c r="AW57" i="3"/>
  <c r="AW50" i="3"/>
  <c r="AZ62" i="3"/>
  <c r="AY76" i="3"/>
  <c r="AV70" i="3"/>
  <c r="AF67" i="3"/>
  <c r="AX94" i="3"/>
  <c r="AT87" i="3"/>
  <c r="AZ81" i="3"/>
  <c r="C64" i="3"/>
  <c r="AF91" i="3"/>
  <c r="C89" i="3"/>
  <c r="AW82" i="3"/>
  <c r="AF84" i="3"/>
  <c r="AX50" i="3"/>
  <c r="C62" i="3"/>
  <c r="AV49" i="3"/>
  <c r="AX93" i="3"/>
  <c r="AZ57" i="3"/>
  <c r="AZ73" i="3"/>
  <c r="AX61" i="3"/>
  <c r="AX86" i="3"/>
  <c r="AF77" i="3"/>
  <c r="C54" i="3"/>
  <c r="AY48" i="3"/>
  <c r="AS90" i="3"/>
  <c r="AY93" i="3"/>
  <c r="C65" i="3"/>
  <c r="AX72" i="3"/>
  <c r="AT69" i="3"/>
  <c r="AT82" i="3"/>
  <c r="AU70" i="3"/>
  <c r="AS84" i="3"/>
  <c r="AY61" i="3"/>
  <c r="C66" i="3"/>
  <c r="AZ89" i="3"/>
  <c r="C60" i="3"/>
  <c r="AU88" i="3"/>
  <c r="AU61" i="3"/>
  <c r="AY79" i="3"/>
  <c r="AY70" i="3"/>
  <c r="AF58" i="3"/>
  <c r="AZ91" i="3"/>
  <c r="AZ90" i="3"/>
  <c r="AZ88" i="3"/>
  <c r="AY57" i="3"/>
  <c r="AV81" i="3"/>
  <c r="C84" i="3"/>
  <c r="AW72" i="3"/>
  <c r="AU64" i="3"/>
  <c r="AF63" i="3"/>
  <c r="AT73" i="3"/>
  <c r="AU74" i="3"/>
  <c r="AF68" i="3"/>
  <c r="AS67" i="3"/>
  <c r="AX70" i="3"/>
  <c r="AY60" i="3"/>
  <c r="AS96" i="3"/>
  <c r="AW69" i="3"/>
  <c r="AW92" i="3"/>
  <c r="C79" i="3"/>
  <c r="AV94" i="3"/>
  <c r="AV66" i="3"/>
  <c r="AF94" i="3"/>
  <c r="AW84" i="3"/>
  <c r="AS57" i="3"/>
  <c r="AT66" i="3"/>
  <c r="AW75" i="3"/>
  <c r="AY55" i="3"/>
  <c r="AT49" i="3"/>
  <c r="AF75" i="3"/>
  <c r="AX82" i="3"/>
  <c r="AF93" i="3"/>
  <c r="AV92" i="3"/>
  <c r="C86" i="3"/>
  <c r="AT85" i="3"/>
  <c r="AV96" i="3"/>
  <c r="AS75" i="3"/>
  <c r="AS48" i="3"/>
  <c r="C96" i="3"/>
  <c r="AW61" i="3"/>
  <c r="C90" i="3"/>
  <c r="AF76" i="3"/>
  <c r="AT55" i="3"/>
  <c r="AV47" i="3"/>
  <c r="AF62" i="3"/>
  <c r="AU84" i="3"/>
  <c r="AU86" i="3"/>
  <c r="AX74" i="3"/>
  <c r="AW97" i="3"/>
  <c r="C83" i="3"/>
  <c r="AV85" i="3"/>
  <c r="AS68" i="3"/>
  <c r="AZ75" i="3"/>
  <c r="AW47" i="3"/>
  <c r="AY67" i="3"/>
  <c r="AF59" i="3"/>
  <c r="AY86" i="3"/>
  <c r="AZ95" i="3"/>
  <c r="AX65" i="3"/>
  <c r="C68" i="3"/>
  <c r="AV63" i="3"/>
  <c r="AU48" i="3"/>
  <c r="AW60" i="3"/>
  <c r="AZ64" i="3"/>
  <c r="AF83" i="3"/>
  <c r="AW54" i="3"/>
  <c r="AY59" i="3"/>
  <c r="AW65" i="3"/>
  <c r="AT88" i="3"/>
  <c r="AS59" i="3"/>
  <c r="AY88" i="3"/>
  <c r="AU81" i="3"/>
  <c r="AX92" i="3"/>
  <c r="C87" i="3"/>
  <c r="AU75" i="3"/>
  <c r="AT47" i="3"/>
  <c r="AS82" i="3"/>
  <c r="AZ85" i="3"/>
  <c r="AU95" i="3"/>
  <c r="AF72" i="3"/>
  <c r="AW80" i="3"/>
  <c r="AS85" i="3"/>
  <c r="AF69" i="3"/>
  <c r="AW55" i="3"/>
  <c r="AS80" i="3"/>
  <c r="AW83" i="3"/>
  <c r="AF92" i="3"/>
  <c r="AS74" i="3"/>
  <c r="AX87" i="3"/>
  <c r="AW56" i="3"/>
  <c r="AT72" i="3"/>
  <c r="AY94" i="3"/>
  <c r="C81" i="3"/>
  <c r="AV89" i="3"/>
  <c r="AF71" i="3"/>
  <c r="AF55" i="3"/>
  <c r="AT61" i="3"/>
  <c r="AT57" i="3"/>
  <c r="AS66" i="3"/>
  <c r="AY77" i="3"/>
  <c r="AV60" i="3"/>
  <c r="AT83" i="3"/>
  <c r="C88" i="3"/>
  <c r="AV50" i="3"/>
  <c r="AU89" i="3"/>
  <c r="AS62" i="3"/>
  <c r="AU65" i="3"/>
  <c r="AZ56" i="3"/>
  <c r="AX57" i="3"/>
  <c r="AX78" i="3"/>
  <c r="AX85" i="3"/>
  <c r="AV64" i="3"/>
  <c r="AW49" i="3"/>
  <c r="AS89" i="3"/>
  <c r="AU92" i="3"/>
  <c r="C75" i="3"/>
  <c r="AY64" i="3"/>
  <c r="AT96" i="3"/>
  <c r="AU58" i="3"/>
  <c r="C59" i="3"/>
  <c r="AZ55" i="3"/>
  <c r="AT54" i="3"/>
  <c r="AY89" i="3"/>
  <c r="AT48" i="3"/>
  <c r="AS50" i="3"/>
  <c r="AT92" i="3"/>
  <c r="C78" i="3"/>
  <c r="AW89" i="3"/>
  <c r="AX66" i="3"/>
  <c r="AT79" i="3"/>
  <c r="AF87" i="3"/>
  <c r="CK86" i="1" l="1"/>
  <c r="JZ9" i="4" s="1"/>
  <c r="KG9" i="4" s="1"/>
  <c r="CK85" i="1"/>
  <c r="KF9" i="4" s="1"/>
  <c r="KF21" i="4" s="1"/>
  <c r="X86" i="1"/>
  <c r="JU16" i="4" s="1"/>
  <c r="X173" i="1"/>
  <c r="Y221" i="1" s="1"/>
  <c r="CH136" i="1"/>
  <c r="CI243" i="1"/>
  <c r="CJ206" i="1"/>
  <c r="CJ265" i="1"/>
  <c r="CI206" i="1"/>
  <c r="CJ13" i="1"/>
  <c r="CJ243" i="1"/>
  <c r="CJ22" i="1"/>
  <c r="X243" i="1"/>
  <c r="CM58" i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L110" i="1"/>
  <c r="Z173" i="1"/>
  <c r="AA221" i="1" s="1"/>
  <c r="CI22" i="1"/>
  <c r="CK13" i="1"/>
  <c r="CK22" i="1"/>
  <c r="CH156" i="1"/>
  <c r="Z191" i="1"/>
  <c r="CH173" i="1"/>
  <c r="CP32" i="1"/>
  <c r="CT32" i="1" s="1"/>
  <c r="CX32" i="1" s="1"/>
  <c r="DB32" i="1" s="1"/>
  <c r="JS8" i="4"/>
  <c r="KF14" i="4"/>
  <c r="JU21" i="4"/>
  <c r="JU8" i="4"/>
  <c r="Y191" i="1"/>
  <c r="JY14" i="4"/>
  <c r="JW7" i="4"/>
  <c r="JO14" i="4"/>
  <c r="JP14" i="4"/>
  <c r="KH21" i="4"/>
  <c r="KH14" i="4"/>
  <c r="KG21" i="4"/>
  <c r="KA21" i="4"/>
  <c r="KC15" i="4"/>
  <c r="JZ8" i="4"/>
  <c r="Z140" i="1"/>
  <c r="CM145" i="1"/>
  <c r="CN145" i="1" s="1"/>
  <c r="CO145" i="1" s="1"/>
  <c r="CP145" i="1" s="1"/>
  <c r="JR8" i="4"/>
  <c r="CK77" i="1"/>
  <c r="CI144" i="1"/>
  <c r="CJ195" i="1"/>
  <c r="CK195" i="1" s="1"/>
  <c r="JP8" i="4"/>
  <c r="JY8" i="4"/>
  <c r="JN15" i="4"/>
  <c r="KD15" i="4"/>
  <c r="KE15" i="4"/>
  <c r="JY21" i="4"/>
  <c r="KD8" i="4"/>
  <c r="CO32" i="1"/>
  <c r="CS32" i="1" s="1"/>
  <c r="CW32" i="1" s="1"/>
  <c r="DA32" i="1" s="1"/>
  <c r="KA15" i="4"/>
  <c r="KG15" i="4"/>
  <c r="CI38" i="1"/>
  <c r="JY15" i="4"/>
  <c r="Y86" i="1"/>
  <c r="CJ136" i="1"/>
  <c r="CK136" i="1" s="1"/>
  <c r="CJ162" i="1"/>
  <c r="CJ175" i="1"/>
  <c r="CJ149" i="1"/>
  <c r="CJ137" i="1"/>
  <c r="CJ163" i="1"/>
  <c r="CJ147" i="1"/>
  <c r="CJ157" i="1"/>
  <c r="CJ145" i="1"/>
  <c r="CK145" i="1" s="1"/>
  <c r="JZ21" i="4"/>
  <c r="KG14" i="4"/>
  <c r="Y85" i="1"/>
  <c r="CJ85" i="1"/>
  <c r="CJ171" i="1"/>
  <c r="CJ173" i="1" s="1"/>
  <c r="CJ155" i="1"/>
  <c r="CJ159" i="1"/>
  <c r="CJ167" i="1"/>
  <c r="CJ168" i="1"/>
  <c r="CJ197" i="1" s="1"/>
  <c r="CJ150" i="1"/>
  <c r="CJ192" i="1"/>
  <c r="CK192" i="1" s="1"/>
  <c r="CJ191" i="1"/>
  <c r="CK191" i="1" s="1"/>
  <c r="KA14" i="4"/>
  <c r="KB14" i="4"/>
  <c r="JQ7" i="4"/>
  <c r="KD14" i="4"/>
  <c r="KA8" i="4"/>
  <c r="Y22" i="1"/>
  <c r="JQ15" i="4"/>
  <c r="JZ7" i="4"/>
  <c r="KE21" i="4"/>
  <c r="JV8" i="4"/>
  <c r="KE8" i="4"/>
  <c r="JW14" i="4"/>
  <c r="KC7" i="4"/>
  <c r="KC8" i="4"/>
  <c r="JV21" i="4"/>
  <c r="JW15" i="4"/>
  <c r="JO15" i="4"/>
  <c r="JX8" i="4"/>
  <c r="CH195" i="1"/>
  <c r="CI195" i="1" s="1"/>
  <c r="KF7" i="4"/>
  <c r="KB7" i="4"/>
  <c r="KB19" i="4" s="1"/>
  <c r="Y173" i="1"/>
  <c r="Z166" i="1"/>
  <c r="CH166" i="1" s="1"/>
  <c r="JZ15" i="4"/>
  <c r="KG7" i="4"/>
  <c r="KG19" i="4" s="1"/>
  <c r="JS7" i="4"/>
  <c r="JT15" i="4"/>
  <c r="JV15" i="4"/>
  <c r="JR14" i="4"/>
  <c r="Y140" i="1"/>
  <c r="CJ264" i="1"/>
  <c r="JS21" i="4"/>
  <c r="KE7" i="4"/>
  <c r="X168" i="1"/>
  <c r="JN21" i="4"/>
  <c r="CH89" i="1" s="1"/>
  <c r="Z38" i="1"/>
  <c r="CH152" i="1"/>
  <c r="CI152" i="1" s="1"/>
  <c r="Y150" i="1"/>
  <c r="Y45" i="1"/>
  <c r="CG243" i="1"/>
  <c r="X22" i="1"/>
  <c r="JN7" i="4"/>
  <c r="X38" i="1"/>
  <c r="CG264" i="1"/>
  <c r="Y168" i="1"/>
  <c r="Y197" i="1" s="1"/>
  <c r="JN8" i="4"/>
  <c r="KA7" i="4"/>
  <c r="Z214" i="1"/>
  <c r="JX15" i="4"/>
  <c r="KD21" i="4"/>
  <c r="Y160" i="1"/>
  <c r="Y194" i="1" s="1"/>
  <c r="JR7" i="4"/>
  <c r="KB8" i="4"/>
  <c r="Y185" i="1"/>
  <c r="JP15" i="4"/>
  <c r="JY7" i="4"/>
  <c r="JQ14" i="4"/>
  <c r="CL191" i="1"/>
  <c r="Y195" i="1"/>
  <c r="CG38" i="1"/>
  <c r="JP7" i="4"/>
  <c r="Y13" i="1"/>
  <c r="JN14" i="4"/>
  <c r="CH38" i="1"/>
  <c r="CH14" i="1" s="1"/>
  <c r="KD7" i="4"/>
  <c r="CK38" i="1"/>
  <c r="CK39" i="1" s="1"/>
  <c r="KH8" i="4"/>
  <c r="JQ8" i="4"/>
  <c r="JZ14" i="4"/>
  <c r="CI264" i="1"/>
  <c r="JO8" i="4"/>
  <c r="JS14" i="4"/>
  <c r="JX14" i="4"/>
  <c r="JO7" i="4"/>
  <c r="JR15" i="4"/>
  <c r="JR20" i="4" s="1"/>
  <c r="CL91" i="1" s="1"/>
  <c r="JW8" i="4"/>
  <c r="KG8" i="4"/>
  <c r="JT7" i="4"/>
  <c r="KF8" i="4"/>
  <c r="KH7" i="4"/>
  <c r="KH19" i="4" s="1"/>
  <c r="KE14" i="4"/>
  <c r="JU7" i="4"/>
  <c r="JU19" i="4" s="1"/>
  <c r="JT21" i="4"/>
  <c r="JX7" i="4"/>
  <c r="JV7" i="4"/>
  <c r="JV19" i="4" s="1"/>
  <c r="CL192" i="1"/>
  <c r="CM192" i="1" s="1"/>
  <c r="CN192" i="1" s="1"/>
  <c r="CO192" i="1" s="1"/>
  <c r="CP192" i="1" s="1"/>
  <c r="CQ192" i="1" s="1"/>
  <c r="CR192" i="1" s="1"/>
  <c r="CS192" i="1" s="1"/>
  <c r="Y243" i="1"/>
  <c r="X146" i="1"/>
  <c r="KF15" i="4"/>
  <c r="KC14" i="4"/>
  <c r="CH192" i="1"/>
  <c r="CI192" i="1" s="1"/>
  <c r="X264" i="1"/>
  <c r="X132" i="1"/>
  <c r="X187" i="1" s="1"/>
  <c r="KH15" i="4"/>
  <c r="KH20" i="4" s="1"/>
  <c r="Z160" i="1"/>
  <c r="AA208" i="1" s="1"/>
  <c r="Z49" i="1"/>
  <c r="JT8" i="4"/>
  <c r="CL214" i="1"/>
  <c r="CG22" i="1"/>
  <c r="CL150" i="1"/>
  <c r="CH264" i="1"/>
  <c r="CH191" i="1"/>
  <c r="CI191" i="1" s="1"/>
  <c r="Z132" i="1"/>
  <c r="AA219" i="1" s="1"/>
  <c r="X192" i="1"/>
  <c r="X191" i="1"/>
  <c r="CM175" i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CK175" i="1"/>
  <c r="CJ110" i="1"/>
  <c r="Y214" i="1"/>
  <c r="CK45" i="1"/>
  <c r="CJ77" i="1"/>
  <c r="X265" i="1"/>
  <c r="CL264" i="1"/>
  <c r="X160" i="1"/>
  <c r="CL77" i="1"/>
  <c r="CM137" i="1"/>
  <c r="CN137" i="1" s="1"/>
  <c r="CO137" i="1" s="1"/>
  <c r="CP137" i="1" s="1"/>
  <c r="CQ137" i="1" s="1"/>
  <c r="CR137" i="1" s="1"/>
  <c r="CK137" i="1"/>
  <c r="CL132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K134" i="1"/>
  <c r="Z195" i="1"/>
  <c r="JQ21" i="4"/>
  <c r="CK89" i="1" s="1"/>
  <c r="X195" i="1"/>
  <c r="CM138" i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K138" i="1"/>
  <c r="CM130" i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CK130" i="1"/>
  <c r="CG265" i="1"/>
  <c r="AB58" i="1"/>
  <c r="Y265" i="1"/>
  <c r="CJ38" i="1"/>
  <c r="CJ39" i="1" s="1"/>
  <c r="CI13" i="1"/>
  <c r="CM13" i="1" s="1"/>
  <c r="Z143" i="1"/>
  <c r="Z146" i="1" s="1"/>
  <c r="Z150" i="1" s="1"/>
  <c r="AA215" i="1" s="1"/>
  <c r="AA213" i="1" s="1"/>
  <c r="X185" i="1"/>
  <c r="CL13" i="1"/>
  <c r="CL22" i="1"/>
  <c r="CL24" i="1" s="1"/>
  <c r="CL243" i="1"/>
  <c r="JS15" i="4"/>
  <c r="JS20" i="4" s="1"/>
  <c r="KB21" i="4"/>
  <c r="CL140" i="1"/>
  <c r="CL160" i="1"/>
  <c r="CJ132" i="1"/>
  <c r="Z185" i="1"/>
  <c r="KC21" i="4"/>
  <c r="Y132" i="1"/>
  <c r="Y260" i="1" s="1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K149" i="1"/>
  <c r="JT14" i="4"/>
  <c r="X140" i="1"/>
  <c r="CL173" i="1"/>
  <c r="CM139" i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CK139" i="1"/>
  <c r="AC58" i="1"/>
  <c r="Z22" i="1"/>
  <c r="CH22" i="1"/>
  <c r="CH265" i="1"/>
  <c r="KB15" i="4"/>
  <c r="JX21" i="4"/>
  <c r="CL195" i="1"/>
  <c r="CM176" i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K176" i="1"/>
  <c r="Z13" i="1"/>
  <c r="CH243" i="1"/>
  <c r="Z192" i="1"/>
  <c r="Z264" i="1"/>
  <c r="Z265" i="1"/>
  <c r="Y38" i="1"/>
  <c r="Y14" i="1" s="1"/>
  <c r="CL168" i="1"/>
  <c r="CL197" i="1" s="1"/>
  <c r="CK110" i="1"/>
  <c r="CJ140" i="1"/>
  <c r="Y192" i="1"/>
  <c r="Y264" i="1"/>
  <c r="CJ144" i="1"/>
  <c r="CK144" i="1" s="1"/>
  <c r="CL144" i="1" s="1"/>
  <c r="CL143" i="1" s="1"/>
  <c r="CI265" i="1"/>
  <c r="CM57" i="1"/>
  <c r="CN57" i="1" s="1"/>
  <c r="CO57" i="1" s="1"/>
  <c r="CP57" i="1" s="1"/>
  <c r="CQ57" i="1" s="1"/>
  <c r="CR57" i="1" s="1"/>
  <c r="CS57" i="1" s="1"/>
  <c r="JO21" i="4"/>
  <c r="CI89" i="1" s="1"/>
  <c r="CL265" i="1"/>
  <c r="CL206" i="1"/>
  <c r="KC20" i="4"/>
  <c r="Z168" i="1"/>
  <c r="AA209" i="1" s="1"/>
  <c r="CL38" i="1"/>
  <c r="JR21" i="4"/>
  <c r="CL89" i="1" s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K214" i="1"/>
  <c r="CI129" i="1"/>
  <c r="CH132" i="1"/>
  <c r="CH75" i="1"/>
  <c r="CI77" i="1"/>
  <c r="CJ28" i="1"/>
  <c r="CI175" i="1"/>
  <c r="CI136" i="1"/>
  <c r="CI140" i="1" s="1"/>
  <c r="CH140" i="1"/>
  <c r="CN13" i="1"/>
  <c r="CC243" i="1"/>
  <c r="CC13" i="1"/>
  <c r="CD243" i="1"/>
  <c r="CD13" i="1"/>
  <c r="BZ243" i="1"/>
  <c r="BZ13" i="1"/>
  <c r="CB243" i="1"/>
  <c r="CB13" i="1"/>
  <c r="CA243" i="1"/>
  <c r="CA13" i="1"/>
  <c r="BZ137" i="1"/>
  <c r="CA137" i="1" s="1"/>
  <c r="BL85" i="1"/>
  <c r="CF86" i="1"/>
  <c r="CB158" i="1"/>
  <c r="CC158" i="1" s="1"/>
  <c r="CD165" i="1"/>
  <c r="CD195" i="1" s="1"/>
  <c r="CE195" i="1" s="1"/>
  <c r="CB176" i="1"/>
  <c r="CC176" i="1" s="1"/>
  <c r="BL136" i="1"/>
  <c r="BM136" i="1" s="1"/>
  <c r="CD145" i="1"/>
  <c r="CD136" i="1"/>
  <c r="CE136" i="1" s="1"/>
  <c r="CF139" i="1"/>
  <c r="CG139" i="1" s="1"/>
  <c r="CB139" i="1"/>
  <c r="CC139" i="1" s="1"/>
  <c r="CB164" i="1"/>
  <c r="CC164" i="1" s="1"/>
  <c r="CB156" i="1"/>
  <c r="CB191" i="1" s="1"/>
  <c r="CC191" i="1" s="1"/>
  <c r="BZ165" i="1"/>
  <c r="BZ195" i="1" s="1"/>
  <c r="CA195" i="1" s="1"/>
  <c r="BZ176" i="1"/>
  <c r="CA176" i="1" s="1"/>
  <c r="BZ166" i="1"/>
  <c r="CA166" i="1" s="1"/>
  <c r="BZ172" i="1"/>
  <c r="BZ162" i="1"/>
  <c r="CA162" i="1" s="1"/>
  <c r="BZ144" i="1"/>
  <c r="BL157" i="1"/>
  <c r="BL192" i="1" s="1"/>
  <c r="BM192" i="1" s="1"/>
  <c r="BL165" i="1"/>
  <c r="BL195" i="1" s="1"/>
  <c r="BM195" i="1" s="1"/>
  <c r="BL134" i="1"/>
  <c r="BM134" i="1" s="1"/>
  <c r="CA85" i="1"/>
  <c r="CF85" i="1"/>
  <c r="CF158" i="1"/>
  <c r="CG158" i="1" s="1"/>
  <c r="CF145" i="1"/>
  <c r="CB86" i="1"/>
  <c r="CF156" i="1"/>
  <c r="CF191" i="1" s="1"/>
  <c r="CG191" i="1" s="1"/>
  <c r="CF134" i="1"/>
  <c r="CG134" i="1" s="1"/>
  <c r="CB161" i="1"/>
  <c r="CC161" i="1" s="1"/>
  <c r="CF176" i="1"/>
  <c r="CG176" i="1" s="1"/>
  <c r="CB137" i="1"/>
  <c r="CC137" i="1" s="1"/>
  <c r="CB175" i="1"/>
  <c r="CC175" i="1" s="1"/>
  <c r="CD86" i="1"/>
  <c r="CB171" i="1"/>
  <c r="CD157" i="1"/>
  <c r="CD192" i="1" s="1"/>
  <c r="CE192" i="1" s="1"/>
  <c r="CD134" i="1"/>
  <c r="CE134" i="1" s="1"/>
  <c r="BL137" i="1"/>
  <c r="CD143" i="1"/>
  <c r="CD163" i="1"/>
  <c r="CE163" i="1" s="1"/>
  <c r="CD171" i="1"/>
  <c r="CD154" i="1"/>
  <c r="CE154" i="1" s="1"/>
  <c r="CF152" i="1"/>
  <c r="CF138" i="1"/>
  <c r="CG138" i="1" s="1"/>
  <c r="CB154" i="1"/>
  <c r="CC154" i="1" s="1"/>
  <c r="BL166" i="1"/>
  <c r="BM166" i="1" s="1"/>
  <c r="BL175" i="1"/>
  <c r="BM175" i="1" s="1"/>
  <c r="BL176" i="1"/>
  <c r="CB138" i="1"/>
  <c r="CC138" i="1" s="1"/>
  <c r="CE86" i="1"/>
  <c r="BZ171" i="1"/>
  <c r="BZ175" i="1"/>
  <c r="CA175" i="1" s="1"/>
  <c r="BZ131" i="1"/>
  <c r="BZ139" i="1"/>
  <c r="CA139" i="1" s="1"/>
  <c r="CF157" i="1"/>
  <c r="CF192" i="1" s="1"/>
  <c r="CG192" i="1" s="1"/>
  <c r="CF144" i="1"/>
  <c r="CF161" i="1"/>
  <c r="CB131" i="1"/>
  <c r="CB157" i="1"/>
  <c r="CB192" i="1" s="1"/>
  <c r="CC192" i="1" s="1"/>
  <c r="CD172" i="1"/>
  <c r="CD164" i="1"/>
  <c r="CE164" i="1" s="1"/>
  <c r="CB85" i="1"/>
  <c r="BZ167" i="1"/>
  <c r="CA167" i="1" s="1"/>
  <c r="BZ145" i="1"/>
  <c r="BZ129" i="1"/>
  <c r="BZ159" i="1"/>
  <c r="CA159" i="1" s="1"/>
  <c r="BZ86" i="1"/>
  <c r="BZ136" i="1"/>
  <c r="CA136" i="1" s="1"/>
  <c r="BZ138" i="1"/>
  <c r="CA138" i="1" s="1"/>
  <c r="BZ154" i="1"/>
  <c r="CA154" i="1" s="1"/>
  <c r="BZ143" i="1"/>
  <c r="BL145" i="1"/>
  <c r="BL161" i="1"/>
  <c r="BM161" i="1" s="1"/>
  <c r="CF136" i="1"/>
  <c r="CF165" i="1"/>
  <c r="CF195" i="1" s="1"/>
  <c r="CG195" i="1" s="1"/>
  <c r="CD166" i="1"/>
  <c r="CE166" i="1" s="1"/>
  <c r="CF166" i="1"/>
  <c r="CG166" i="1" s="1"/>
  <c r="CB143" i="1"/>
  <c r="CB166" i="1"/>
  <c r="CC166" i="1" s="1"/>
  <c r="BY86" i="1"/>
  <c r="CD175" i="1"/>
  <c r="CE175" i="1" s="1"/>
  <c r="CD147" i="1"/>
  <c r="CE147" i="1" s="1"/>
  <c r="BL172" i="1"/>
  <c r="CB165" i="1"/>
  <c r="CB195" i="1" s="1"/>
  <c r="CC195" i="1" s="1"/>
  <c r="CB130" i="1"/>
  <c r="CC130" i="1" s="1"/>
  <c r="BL162" i="1"/>
  <c r="BM162" i="1" s="1"/>
  <c r="CD139" i="1"/>
  <c r="CE139" i="1" s="1"/>
  <c r="CD159" i="1"/>
  <c r="CE159" i="1" s="1"/>
  <c r="CD131" i="1"/>
  <c r="CD158" i="1"/>
  <c r="CE158" i="1" s="1"/>
  <c r="CD167" i="1"/>
  <c r="CE167" i="1" s="1"/>
  <c r="CD152" i="1"/>
  <c r="CE152" i="1" s="1"/>
  <c r="CF129" i="1"/>
  <c r="CF130" i="1"/>
  <c r="CG130" i="1" s="1"/>
  <c r="CF163" i="1"/>
  <c r="CG163" i="1" s="1"/>
  <c r="CF175" i="1"/>
  <c r="CG175" i="1" s="1"/>
  <c r="CB172" i="1"/>
  <c r="CB152" i="1"/>
  <c r="AI86" i="1"/>
  <c r="BL159" i="1"/>
  <c r="BM159" i="1" s="1"/>
  <c r="BL147" i="1"/>
  <c r="BM147" i="1" s="1"/>
  <c r="BL138" i="1"/>
  <c r="BM138" i="1" s="1"/>
  <c r="CB136" i="1"/>
  <c r="CC136" i="1" s="1"/>
  <c r="BL158" i="1"/>
  <c r="BM158" i="1" s="1"/>
  <c r="BZ147" i="1"/>
  <c r="CA147" i="1" s="1"/>
  <c r="BZ85" i="1"/>
  <c r="BL164" i="1"/>
  <c r="BM164" i="1" s="1"/>
  <c r="CB144" i="1"/>
  <c r="CF159" i="1"/>
  <c r="CG159" i="1" s="1"/>
  <c r="CB159" i="1"/>
  <c r="CC159" i="1" s="1"/>
  <c r="CD85" i="1"/>
  <c r="CC86" i="1"/>
  <c r="CD130" i="1"/>
  <c r="CE130" i="1" s="1"/>
  <c r="BL131" i="1"/>
  <c r="CD137" i="1"/>
  <c r="CE137" i="1" s="1"/>
  <c r="CF171" i="1"/>
  <c r="CF164" i="1"/>
  <c r="CG164" i="1" s="1"/>
  <c r="CE85" i="1"/>
  <c r="BZ157" i="1"/>
  <c r="BZ192" i="1" s="1"/>
  <c r="CA192" i="1" s="1"/>
  <c r="BZ134" i="1"/>
  <c r="CA134" i="1" s="1"/>
  <c r="BZ156" i="1"/>
  <c r="BZ191" i="1" s="1"/>
  <c r="CA191" i="1" s="1"/>
  <c r="BZ130" i="1"/>
  <c r="CA130" i="1" s="1"/>
  <c r="BZ161" i="1"/>
  <c r="BZ163" i="1"/>
  <c r="CA163" i="1" s="1"/>
  <c r="BZ158" i="1"/>
  <c r="CA158" i="1" s="1"/>
  <c r="BZ152" i="1"/>
  <c r="CA152" i="1" s="1"/>
  <c r="BZ164" i="1"/>
  <c r="CA164" i="1" s="1"/>
  <c r="BL167" i="1"/>
  <c r="BM167" i="1" s="1"/>
  <c r="BL156" i="1"/>
  <c r="BL191" i="1" s="1"/>
  <c r="BM191" i="1" s="1"/>
  <c r="BL143" i="1"/>
  <c r="BL144" i="1"/>
  <c r="CA86" i="1"/>
  <c r="CF167" i="1"/>
  <c r="CG167" i="1" s="1"/>
  <c r="CF162" i="1"/>
  <c r="CG162" i="1" s="1"/>
  <c r="CF172" i="1"/>
  <c r="CB129" i="1"/>
  <c r="CC129" i="1" s="1"/>
  <c r="CF143" i="1"/>
  <c r="CF131" i="1"/>
  <c r="CF137" i="1"/>
  <c r="CG137" i="1" s="1"/>
  <c r="CD138" i="1"/>
  <c r="CE138" i="1" s="1"/>
  <c r="CB167" i="1"/>
  <c r="CC167" i="1" s="1"/>
  <c r="CB147" i="1"/>
  <c r="CC147" i="1" s="1"/>
  <c r="CB163" i="1"/>
  <c r="CC163" i="1" s="1"/>
  <c r="CD129" i="1"/>
  <c r="BL152" i="1"/>
  <c r="CB145" i="1"/>
  <c r="BL139" i="1"/>
  <c r="BM139" i="1" s="1"/>
  <c r="CD144" i="1"/>
  <c r="CD156" i="1"/>
  <c r="CD191" i="1" s="1"/>
  <c r="CE191" i="1" s="1"/>
  <c r="CD162" i="1"/>
  <c r="CE162" i="1" s="1"/>
  <c r="CD161" i="1"/>
  <c r="CE161" i="1" s="1"/>
  <c r="CD176" i="1"/>
  <c r="CE176" i="1" s="1"/>
  <c r="CF147" i="1"/>
  <c r="CG147" i="1" s="1"/>
  <c r="CF154" i="1"/>
  <c r="CG154" i="1" s="1"/>
  <c r="CC85" i="1"/>
  <c r="CB162" i="1"/>
  <c r="CC162" i="1" s="1"/>
  <c r="CB134" i="1"/>
  <c r="CC134" i="1" s="1"/>
  <c r="BL171" i="1"/>
  <c r="BL129" i="1"/>
  <c r="BM129" i="1" s="1"/>
  <c r="BL163" i="1"/>
  <c r="BM163" i="1" s="1"/>
  <c r="BL154" i="1"/>
  <c r="BM154" i="1" s="1"/>
  <c r="BL130" i="1"/>
  <c r="BM130" i="1" s="1"/>
  <c r="BL265" i="1"/>
  <c r="CH110" i="1"/>
  <c r="CB149" i="1"/>
  <c r="CC149" i="1" s="1"/>
  <c r="CF149" i="1"/>
  <c r="CG149" i="1" s="1"/>
  <c r="CD149" i="1"/>
  <c r="CE149" i="1" s="1"/>
  <c r="BL149" i="1"/>
  <c r="BM149" i="1" s="1"/>
  <c r="BZ149" i="1"/>
  <c r="CA149" i="1" s="1"/>
  <c r="BL155" i="1"/>
  <c r="CD155" i="1"/>
  <c r="CB155" i="1"/>
  <c r="CF155" i="1"/>
  <c r="BZ155" i="1"/>
  <c r="CA264" i="1"/>
  <c r="JJ21" i="4"/>
  <c r="CD89" i="1" s="1"/>
  <c r="CA22" i="1"/>
  <c r="CA28" i="1" s="1"/>
  <c r="CA29" i="1" s="1"/>
  <c r="JK14" i="4"/>
  <c r="BL22" i="1"/>
  <c r="BL28" i="1" s="1"/>
  <c r="BY22" i="1"/>
  <c r="BY28" i="1" s="1"/>
  <c r="BL206" i="1"/>
  <c r="CF22" i="1"/>
  <c r="CF264" i="1"/>
  <c r="JL21" i="4"/>
  <c r="CF89" i="1" s="1"/>
  <c r="CF110" i="1"/>
  <c r="CB38" i="1"/>
  <c r="CB14" i="1" s="1"/>
  <c r="CE243" i="1"/>
  <c r="CC265" i="1"/>
  <c r="CA38" i="1"/>
  <c r="CA14" i="1" s="1"/>
  <c r="CE264" i="1"/>
  <c r="CC264" i="1"/>
  <c r="JM7" i="4"/>
  <c r="CA265" i="1"/>
  <c r="JJ8" i="4"/>
  <c r="CF38" i="1"/>
  <c r="CF14" i="1" s="1"/>
  <c r="CF15" i="1" s="1"/>
  <c r="BZ264" i="1"/>
  <c r="BZ22" i="1"/>
  <c r="CA206" i="1"/>
  <c r="CD265" i="1"/>
  <c r="CB110" i="1"/>
  <c r="JK21" i="4"/>
  <c r="CE89" i="1" s="1"/>
  <c r="JK15" i="4"/>
  <c r="CD264" i="1"/>
  <c r="JL14" i="4"/>
  <c r="CC38" i="1"/>
  <c r="CC14" i="1" s="1"/>
  <c r="BY38" i="1"/>
  <c r="BY14" i="1" s="1"/>
  <c r="BY15" i="1" s="1"/>
  <c r="CI110" i="1"/>
  <c r="CF243" i="1"/>
  <c r="BY265" i="1"/>
  <c r="JL8" i="4"/>
  <c r="CE38" i="1"/>
  <c r="CE14" i="1" s="1"/>
  <c r="CE15" i="1" s="1"/>
  <c r="BL264" i="1"/>
  <c r="CE110" i="1"/>
  <c r="CD22" i="1"/>
  <c r="CD28" i="1" s="1"/>
  <c r="CC22" i="1"/>
  <c r="CD206" i="1"/>
  <c r="CE22" i="1"/>
  <c r="CG110" i="1"/>
  <c r="CD110" i="1"/>
  <c r="CB22" i="1"/>
  <c r="CB28" i="1" s="1"/>
  <c r="CB264" i="1"/>
  <c r="CC110" i="1"/>
  <c r="JJ15" i="4"/>
  <c r="CB265" i="1"/>
  <c r="BY264" i="1"/>
  <c r="CD38" i="1"/>
  <c r="CD14" i="1" s="1"/>
  <c r="JM8" i="4"/>
  <c r="JL7" i="4"/>
  <c r="CF265" i="1"/>
  <c r="JJ7" i="4"/>
  <c r="JK8" i="4"/>
  <c r="JM21" i="4"/>
  <c r="CG89" i="1" s="1"/>
  <c r="BZ265" i="1"/>
  <c r="CE265" i="1"/>
  <c r="JK7" i="4"/>
  <c r="BL38" i="1"/>
  <c r="JL15" i="4"/>
  <c r="BZ38" i="1"/>
  <c r="BZ14" i="1" s="1"/>
  <c r="JM14" i="4"/>
  <c r="JM15" i="4"/>
  <c r="JJ14" i="4"/>
  <c r="AD58" i="1"/>
  <c r="CZ58" i="1"/>
  <c r="DA58" i="1" s="1"/>
  <c r="DB58" i="1" s="1"/>
  <c r="AE47" i="1"/>
  <c r="U20" i="1"/>
  <c r="V20" i="1"/>
  <c r="V13" i="1" s="1"/>
  <c r="W20" i="1"/>
  <c r="W13" i="1" s="1"/>
  <c r="CH168" i="1" l="1"/>
  <c r="CH197" i="1" s="1"/>
  <c r="CH196" i="1" s="1"/>
  <c r="CI196" i="1" s="1"/>
  <c r="KA20" i="4"/>
  <c r="Y23" i="1"/>
  <c r="AA210" i="1"/>
  <c r="AA211" i="1" s="1"/>
  <c r="AA225" i="1" s="1"/>
  <c r="AA70" i="1"/>
  <c r="JY19" i="4"/>
  <c r="JQ19" i="4"/>
  <c r="CK90" i="1" s="1"/>
  <c r="CK119" i="1" s="1"/>
  <c r="KD19" i="4"/>
  <c r="CJ160" i="1"/>
  <c r="CJ194" i="1" s="1"/>
  <c r="KC19" i="4"/>
  <c r="JW20" i="4"/>
  <c r="JT20" i="4"/>
  <c r="JU20" i="4"/>
  <c r="CL111" i="1"/>
  <c r="JN20" i="4"/>
  <c r="CH91" i="1" s="1"/>
  <c r="CK147" i="1"/>
  <c r="CK28" i="1"/>
  <c r="CK29" i="1" s="1"/>
  <c r="CK157" i="1"/>
  <c r="CK165" i="1"/>
  <c r="CK156" i="1"/>
  <c r="CJ196" i="1"/>
  <c r="CK196" i="1" s="1"/>
  <c r="JP20" i="4"/>
  <c r="CJ91" i="1" s="1"/>
  <c r="JZ19" i="4"/>
  <c r="JN19" i="4"/>
  <c r="CH90" i="1" s="1"/>
  <c r="KA19" i="4"/>
  <c r="JQ20" i="4"/>
  <c r="CK91" i="1" s="1"/>
  <c r="CK120" i="1" s="1"/>
  <c r="CH160" i="1"/>
  <c r="CH169" i="1" s="1"/>
  <c r="JW19" i="4"/>
  <c r="CI221" i="1"/>
  <c r="CH260" i="1"/>
  <c r="CK221" i="1"/>
  <c r="Y180" i="1"/>
  <c r="Y121" i="1" s="1"/>
  <c r="CO13" i="1"/>
  <c r="Z45" i="1"/>
  <c r="CJ24" i="1"/>
  <c r="CI28" i="1"/>
  <c r="CI164" i="1"/>
  <c r="Z221" i="1"/>
  <c r="AB145" i="1"/>
  <c r="CQ145" i="1"/>
  <c r="CR145" i="1" s="1"/>
  <c r="CS145" i="1" s="1"/>
  <c r="CT145" i="1" s="1"/>
  <c r="Y110" i="1"/>
  <c r="Y28" i="1"/>
  <c r="KE20" i="4"/>
  <c r="JY20" i="4"/>
  <c r="KD20" i="4"/>
  <c r="CI14" i="1"/>
  <c r="CI39" i="1"/>
  <c r="Y49" i="1"/>
  <c r="CK24" i="1"/>
  <c r="Z261" i="1"/>
  <c r="Z180" i="1"/>
  <c r="Z121" i="1" s="1"/>
  <c r="Z218" i="1"/>
  <c r="Z141" i="1"/>
  <c r="X28" i="1"/>
  <c r="X110" i="1"/>
  <c r="AA261" i="1"/>
  <c r="AA218" i="1"/>
  <c r="AA217" i="1" s="1"/>
  <c r="AA222" i="1" s="1"/>
  <c r="AA223" i="1" s="1"/>
  <c r="AA200" i="1"/>
  <c r="AA23" i="1"/>
  <c r="JZ20" i="4"/>
  <c r="CJ104" i="1"/>
  <c r="CH143" i="1"/>
  <c r="CH146" i="1" s="1"/>
  <c r="KF19" i="4"/>
  <c r="CI197" i="1"/>
  <c r="Z28" i="1"/>
  <c r="AA30" i="1" s="1"/>
  <c r="Z200" i="1"/>
  <c r="Z23" i="1"/>
  <c r="CJ260" i="1"/>
  <c r="Y141" i="1"/>
  <c r="AB57" i="1"/>
  <c r="CI24" i="1"/>
  <c r="CH28" i="1"/>
  <c r="Y15" i="1"/>
  <c r="CJ214" i="1"/>
  <c r="CI214" i="1"/>
  <c r="Y196" i="1"/>
  <c r="Y39" i="1"/>
  <c r="JV20" i="4"/>
  <c r="JS19" i="4"/>
  <c r="X45" i="1"/>
  <c r="X150" i="1"/>
  <c r="JO19" i="4"/>
  <c r="CI90" i="1" s="1"/>
  <c r="JR19" i="4"/>
  <c r="CL90" i="1" s="1"/>
  <c r="CL120" i="1"/>
  <c r="KE19" i="4"/>
  <c r="JT19" i="4"/>
  <c r="Y261" i="1"/>
  <c r="KG20" i="4"/>
  <c r="Z258" i="1"/>
  <c r="Y200" i="1"/>
  <c r="JX20" i="4"/>
  <c r="X39" i="1"/>
  <c r="X14" i="1"/>
  <c r="X15" i="1" s="1"/>
  <c r="CK111" i="1"/>
  <c r="X169" i="1"/>
  <c r="X197" i="1"/>
  <c r="Z215" i="1"/>
  <c r="Z213" i="1" s="1"/>
  <c r="Z14" i="1"/>
  <c r="Z39" i="1"/>
  <c r="JO20" i="4"/>
  <c r="CI91" i="1" s="1"/>
  <c r="KF20" i="4"/>
  <c r="CK23" i="1"/>
  <c r="CG28" i="1"/>
  <c r="CJ237" i="1"/>
  <c r="CH24" i="1"/>
  <c r="JP19" i="4"/>
  <c r="CJ90" i="1" s="1"/>
  <c r="CG14" i="1"/>
  <c r="CG15" i="1" s="1"/>
  <c r="CG39" i="1"/>
  <c r="JX19" i="4"/>
  <c r="CG156" i="1"/>
  <c r="CG157" i="1"/>
  <c r="CG165" i="1"/>
  <c r="Z256" i="1"/>
  <c r="Z187" i="1"/>
  <c r="Z110" i="1"/>
  <c r="Z197" i="1"/>
  <c r="Z196" i="1" s="1"/>
  <c r="CJ141" i="1"/>
  <c r="X258" i="1"/>
  <c r="Y256" i="1"/>
  <c r="Y258" i="1"/>
  <c r="CH39" i="1"/>
  <c r="Z208" i="1"/>
  <c r="CL196" i="1"/>
  <c r="CM196" i="1" s="1"/>
  <c r="CN196" i="1" s="1"/>
  <c r="CO196" i="1" s="1"/>
  <c r="CP196" i="1" s="1"/>
  <c r="CQ196" i="1" s="1"/>
  <c r="CR196" i="1" s="1"/>
  <c r="Y209" i="1"/>
  <c r="Y169" i="1"/>
  <c r="Y177" i="1" s="1"/>
  <c r="Z194" i="1"/>
  <c r="Z193" i="1" s="1"/>
  <c r="KB20" i="4"/>
  <c r="CK14" i="1"/>
  <c r="CO14" i="1" s="1"/>
  <c r="CS14" i="1" s="1"/>
  <c r="CW14" i="1" s="1"/>
  <c r="DA14" i="1" s="1"/>
  <c r="X260" i="1"/>
  <c r="CK140" i="1"/>
  <c r="Y187" i="1"/>
  <c r="CJ14" i="1"/>
  <c r="CN14" i="1" s="1"/>
  <c r="CR14" i="1" s="1"/>
  <c r="CV14" i="1" s="1"/>
  <c r="CZ14" i="1" s="1"/>
  <c r="CL260" i="1"/>
  <c r="CL258" i="1"/>
  <c r="Z169" i="1"/>
  <c r="Z177" i="1" s="1"/>
  <c r="X141" i="1"/>
  <c r="X180" i="1"/>
  <c r="X121" i="1" s="1"/>
  <c r="X49" i="1"/>
  <c r="CL261" i="1"/>
  <c r="CL141" i="1"/>
  <c r="CL180" i="1"/>
  <c r="CJ143" i="1"/>
  <c r="CK143" i="1" s="1"/>
  <c r="CK146" i="1" s="1"/>
  <c r="CK150" i="1" s="1"/>
  <c r="CL215" i="1" s="1"/>
  <c r="CL213" i="1" s="1"/>
  <c r="CL256" i="1"/>
  <c r="CL28" i="1"/>
  <c r="CL200" i="1"/>
  <c r="Z209" i="1"/>
  <c r="Z260" i="1"/>
  <c r="CL237" i="1"/>
  <c r="CL23" i="1"/>
  <c r="CL14" i="1"/>
  <c r="CP14" i="1" s="1"/>
  <c r="CT14" i="1" s="1"/>
  <c r="CX14" i="1" s="1"/>
  <c r="DB14" i="1" s="1"/>
  <c r="CL39" i="1"/>
  <c r="CL194" i="1"/>
  <c r="CL169" i="1"/>
  <c r="CL177" i="1" s="1"/>
  <c r="CK197" i="1"/>
  <c r="CJ111" i="1"/>
  <c r="CJ114" i="1" s="1"/>
  <c r="CJ218" i="1"/>
  <c r="Y218" i="1"/>
  <c r="CL114" i="1"/>
  <c r="X194" i="1"/>
  <c r="Y208" i="1"/>
  <c r="Y210" i="1" s="1"/>
  <c r="CT57" i="1"/>
  <c r="CU57" i="1" s="1"/>
  <c r="CV57" i="1" s="1"/>
  <c r="CW57" i="1" s="1"/>
  <c r="CM152" i="1"/>
  <c r="CM191" i="1"/>
  <c r="CH29" i="1"/>
  <c r="CH40" i="1"/>
  <c r="CM143" i="1"/>
  <c r="CN143" i="1" s="1"/>
  <c r="CO143" i="1" s="1"/>
  <c r="CP143" i="1" s="1"/>
  <c r="Y193" i="1"/>
  <c r="Y198" i="1"/>
  <c r="CM195" i="1"/>
  <c r="CK31" i="1"/>
  <c r="CJ29" i="1"/>
  <c r="CJ40" i="1"/>
  <c r="CH15" i="1"/>
  <c r="CP13" i="1"/>
  <c r="CJ261" i="1"/>
  <c r="CU145" i="1"/>
  <c r="CV145" i="1" s="1"/>
  <c r="CW145" i="1" s="1"/>
  <c r="CX145" i="1" s="1"/>
  <c r="AC145" i="1"/>
  <c r="CQ13" i="1"/>
  <c r="Z29" i="1"/>
  <c r="Z40" i="1"/>
  <c r="CR13" i="1"/>
  <c r="CM136" i="1"/>
  <c r="CG75" i="1"/>
  <c r="CH77" i="1"/>
  <c r="CH104" i="1" s="1"/>
  <c r="CI111" i="1"/>
  <c r="CI114" i="1" s="1"/>
  <c r="CH180" i="1"/>
  <c r="CH141" i="1"/>
  <c r="CH30" i="1"/>
  <c r="CI218" i="1"/>
  <c r="CI261" i="1"/>
  <c r="CJ193" i="1"/>
  <c r="CK193" i="1" s="1"/>
  <c r="CK158" i="1" s="1"/>
  <c r="CJ198" i="1"/>
  <c r="CC15" i="1"/>
  <c r="CD15" i="1"/>
  <c r="BZ15" i="1"/>
  <c r="CB15" i="1"/>
  <c r="CA15" i="1"/>
  <c r="CS137" i="1"/>
  <c r="BZ173" i="1"/>
  <c r="BL173" i="1"/>
  <c r="CB214" i="1"/>
  <c r="CA129" i="1"/>
  <c r="BZ132" i="1"/>
  <c r="BL132" i="1"/>
  <c r="CB173" i="1"/>
  <c r="CC221" i="1" s="1"/>
  <c r="CG136" i="1"/>
  <c r="CG140" i="1" s="1"/>
  <c r="CF140" i="1"/>
  <c r="CD146" i="1"/>
  <c r="CE45" i="1" s="1"/>
  <c r="CC152" i="1"/>
  <c r="CE129" i="1"/>
  <c r="CD132" i="1"/>
  <c r="BM152" i="1"/>
  <c r="BM214" i="1" s="1"/>
  <c r="CD173" i="1"/>
  <c r="CF214" i="1"/>
  <c r="CE140" i="1"/>
  <c r="BM137" i="1"/>
  <c r="BM140" i="1" s="1"/>
  <c r="BL140" i="1"/>
  <c r="CG152" i="1"/>
  <c r="CG161" i="1"/>
  <c r="CF168" i="1"/>
  <c r="CF197" i="1" s="1"/>
  <c r="CF196" i="1" s="1"/>
  <c r="CG129" i="1"/>
  <c r="CF132" i="1"/>
  <c r="CA161" i="1"/>
  <c r="BZ168" i="1"/>
  <c r="BZ197" i="1" s="1"/>
  <c r="BZ196" i="1" s="1"/>
  <c r="BZ146" i="1"/>
  <c r="BZ150" i="1" s="1"/>
  <c r="CA140" i="1"/>
  <c r="CB146" i="1"/>
  <c r="CF173" i="1"/>
  <c r="BL146" i="1"/>
  <c r="CF146" i="1"/>
  <c r="CF150" i="1" s="1"/>
  <c r="CC140" i="1"/>
  <c r="CB140" i="1"/>
  <c r="CE214" i="1"/>
  <c r="BZ140" i="1"/>
  <c r="CB168" i="1"/>
  <c r="CB197" i="1" s="1"/>
  <c r="CB196" i="1" s="1"/>
  <c r="BL168" i="1"/>
  <c r="BL197" i="1" s="1"/>
  <c r="BL196" i="1" s="1"/>
  <c r="CD168" i="1"/>
  <c r="CD197" i="1" s="1"/>
  <c r="CD196" i="1" s="1"/>
  <c r="CB132" i="1"/>
  <c r="CD140" i="1"/>
  <c r="BM155" i="1"/>
  <c r="BL160" i="1"/>
  <c r="CE155" i="1"/>
  <c r="CD160" i="1"/>
  <c r="CC155" i="1"/>
  <c r="CB160" i="1"/>
  <c r="CG155" i="1"/>
  <c r="CF160" i="1"/>
  <c r="CA155" i="1"/>
  <c r="BZ160" i="1"/>
  <c r="CA39" i="1"/>
  <c r="CA24" i="1"/>
  <c r="JK19" i="4"/>
  <c r="CE90" i="1" s="1"/>
  <c r="BL39" i="1"/>
  <c r="CC23" i="1"/>
  <c r="CC39" i="1"/>
  <c r="CI237" i="1"/>
  <c r="CF28" i="1"/>
  <c r="CG24" i="1"/>
  <c r="CJ23" i="1"/>
  <c r="BY39" i="1"/>
  <c r="JL20" i="4"/>
  <c r="CF91" i="1" s="1"/>
  <c r="BZ28" i="1"/>
  <c r="CD30" i="1" s="1"/>
  <c r="CF39" i="1"/>
  <c r="Y70" i="1"/>
  <c r="JJ19" i="4"/>
  <c r="CD90" i="1" s="1"/>
  <c r="JM20" i="4"/>
  <c r="CG91" i="1" s="1"/>
  <c r="CD39" i="1"/>
  <c r="JM19" i="4"/>
  <c r="CG90" i="1" s="1"/>
  <c r="CE165" i="1"/>
  <c r="CE168" i="1" s="1"/>
  <c r="CE197" i="1" s="1"/>
  <c r="CE196" i="1" s="1"/>
  <c r="JJ20" i="4"/>
  <c r="CD91" i="1" s="1"/>
  <c r="JL19" i="4"/>
  <c r="CF90" i="1" s="1"/>
  <c r="JK20" i="4"/>
  <c r="CE91" i="1" s="1"/>
  <c r="CA40" i="1"/>
  <c r="CA244" i="1" s="1"/>
  <c r="CA245" i="1" s="1"/>
  <c r="CD200" i="1"/>
  <c r="CD23" i="1"/>
  <c r="BZ24" i="1"/>
  <c r="CD237" i="1"/>
  <c r="BZ39" i="1"/>
  <c r="CE156" i="1"/>
  <c r="CE200" i="1"/>
  <c r="CG200" i="1"/>
  <c r="CF23" i="1"/>
  <c r="CH237" i="1"/>
  <c r="CJ200" i="1"/>
  <c r="CE39" i="1"/>
  <c r="CC28" i="1"/>
  <c r="CC31" i="1" s="1"/>
  <c r="CF237" i="1"/>
  <c r="CB24" i="1"/>
  <c r="Z70" i="1"/>
  <c r="CE23" i="1"/>
  <c r="CG237" i="1"/>
  <c r="CF24" i="1"/>
  <c r="CF200" i="1"/>
  <c r="CE237" i="1"/>
  <c r="CC24" i="1"/>
  <c r="CC237" i="1"/>
  <c r="CE157" i="1"/>
  <c r="CB39" i="1"/>
  <c r="CB29" i="1"/>
  <c r="CB40" i="1"/>
  <c r="CB31" i="1"/>
  <c r="CD40" i="1"/>
  <c r="CD24" i="1"/>
  <c r="CH23" i="1"/>
  <c r="CI200" i="1"/>
  <c r="CE28" i="1"/>
  <c r="CE31" i="1" s="1"/>
  <c r="CI23" i="1"/>
  <c r="CD29" i="1"/>
  <c r="CG23" i="1"/>
  <c r="CE24" i="1"/>
  <c r="CH200" i="1"/>
  <c r="CA214" i="1"/>
  <c r="BL29" i="1"/>
  <c r="BL40" i="1"/>
  <c r="BY29" i="1"/>
  <c r="BY40" i="1"/>
  <c r="CT192" i="1"/>
  <c r="AE58" i="1"/>
  <c r="V243" i="1"/>
  <c r="W243" i="1"/>
  <c r="U243" i="1"/>
  <c r="AA71" i="1" l="1"/>
  <c r="CK160" i="1"/>
  <c r="CK40" i="1"/>
  <c r="CJ258" i="1"/>
  <c r="CJ256" i="1"/>
  <c r="CL116" i="1"/>
  <c r="CJ169" i="1"/>
  <c r="CJ177" i="1" s="1"/>
  <c r="CJ178" i="1" s="1"/>
  <c r="CH194" i="1"/>
  <c r="CJ120" i="1"/>
  <c r="CJ106" i="1"/>
  <c r="CJ108" i="1"/>
  <c r="Z178" i="1"/>
  <c r="CK164" i="1"/>
  <c r="CK168" i="1" s="1"/>
  <c r="CL209" i="1" s="1"/>
  <c r="CM39" i="1"/>
  <c r="CN39" i="1" s="1"/>
  <c r="CM14" i="1"/>
  <c r="CQ14" i="1" s="1"/>
  <c r="CU14" i="1" s="1"/>
  <c r="CY14" i="1" s="1"/>
  <c r="CI15" i="1"/>
  <c r="CI143" i="1"/>
  <c r="CI146" i="1" s="1"/>
  <c r="CJ45" i="1" s="1"/>
  <c r="CS13" i="1"/>
  <c r="CO15" i="1"/>
  <c r="CI31" i="1"/>
  <c r="CI29" i="1"/>
  <c r="CI40" i="1"/>
  <c r="CJ31" i="1"/>
  <c r="CH150" i="1"/>
  <c r="CI45" i="1"/>
  <c r="X40" i="1"/>
  <c r="X29" i="1"/>
  <c r="Y30" i="1"/>
  <c r="Y40" i="1"/>
  <c r="Y29" i="1"/>
  <c r="Z30" i="1"/>
  <c r="AA42" i="1"/>
  <c r="AA262" i="1"/>
  <c r="AA263" i="1" s="1"/>
  <c r="CL218" i="1"/>
  <c r="CK261" i="1"/>
  <c r="CK218" i="1"/>
  <c r="CM15" i="1"/>
  <c r="CJ116" i="1"/>
  <c r="CH193" i="1"/>
  <c r="CI193" i="1" s="1"/>
  <c r="CH198" i="1"/>
  <c r="Y178" i="1"/>
  <c r="CK15" i="1"/>
  <c r="X256" i="1"/>
  <c r="Y215" i="1"/>
  <c r="Y213" i="1" s="1"/>
  <c r="X177" i="1"/>
  <c r="X178" i="1" s="1"/>
  <c r="Z15" i="1"/>
  <c r="CI119" i="1"/>
  <c r="CK114" i="1"/>
  <c r="CL119" i="1"/>
  <c r="CL115" i="1"/>
  <c r="X196" i="1"/>
  <c r="Z210" i="1"/>
  <c r="CK116" i="1"/>
  <c r="CJ119" i="1"/>
  <c r="CJ115" i="1"/>
  <c r="CJ107" i="1"/>
  <c r="CK30" i="1"/>
  <c r="CG29" i="1"/>
  <c r="CG160" i="1"/>
  <c r="CG194" i="1" s="1"/>
  <c r="CG193" i="1" s="1"/>
  <c r="CK115" i="1"/>
  <c r="CG40" i="1"/>
  <c r="CH31" i="1"/>
  <c r="CI120" i="1"/>
  <c r="CG168" i="1"/>
  <c r="CF40" i="1"/>
  <c r="AA72" i="1" s="1"/>
  <c r="CN15" i="1"/>
  <c r="Z198" i="1"/>
  <c r="AA201" i="1" s="1"/>
  <c r="AA202" i="1" s="1"/>
  <c r="CJ15" i="1"/>
  <c r="CI115" i="1"/>
  <c r="AC57" i="1"/>
  <c r="CK169" i="1"/>
  <c r="CL208" i="1"/>
  <c r="CL210" i="1" s="1"/>
  <c r="CL29" i="1"/>
  <c r="CM29" i="1" s="1"/>
  <c r="CL40" i="1"/>
  <c r="CL42" i="1" s="1"/>
  <c r="CL31" i="1"/>
  <c r="CL30" i="1"/>
  <c r="CL198" i="1"/>
  <c r="CL193" i="1"/>
  <c r="X198" i="1"/>
  <c r="Y201" i="1" s="1"/>
  <c r="Y202" i="1" s="1"/>
  <c r="X193" i="1"/>
  <c r="CL15" i="1"/>
  <c r="CH42" i="1"/>
  <c r="CI150" i="1"/>
  <c r="CJ215" i="1" s="1"/>
  <c r="CJ213" i="1" s="1"/>
  <c r="CL178" i="1"/>
  <c r="CK215" i="1"/>
  <c r="CK213" i="1" s="1"/>
  <c r="CL45" i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CX57" i="1"/>
  <c r="CY57" i="1" s="1"/>
  <c r="CZ57" i="1" s="1"/>
  <c r="DA57" i="1" s="1"/>
  <c r="DB57" i="1" s="1"/>
  <c r="AE57" i="1" s="1"/>
  <c r="AD57" i="1"/>
  <c r="CI116" i="1"/>
  <c r="CH106" i="1"/>
  <c r="CH107" i="1"/>
  <c r="CH108" i="1"/>
  <c r="CN195" i="1"/>
  <c r="CM197" i="1"/>
  <c r="CP15" i="1"/>
  <c r="CT13" i="1"/>
  <c r="CH177" i="1"/>
  <c r="CH178" i="1" s="1"/>
  <c r="CH258" i="1"/>
  <c r="CF75" i="1"/>
  <c r="CG77" i="1"/>
  <c r="CG111" i="1" s="1"/>
  <c r="CG114" i="1" s="1"/>
  <c r="CH111" i="1"/>
  <c r="CI41" i="1"/>
  <c r="CI244" i="1"/>
  <c r="CI245" i="1" s="1"/>
  <c r="CI46" i="1"/>
  <c r="CI50" i="1" s="1"/>
  <c r="CI262" i="1"/>
  <c r="CI263" i="1" s="1"/>
  <c r="CJ43" i="1"/>
  <c r="CK194" i="1"/>
  <c r="CK198" i="1" s="1"/>
  <c r="CV13" i="1"/>
  <c r="CR15" i="1"/>
  <c r="CY145" i="1"/>
  <c r="CZ145" i="1" s="1"/>
  <c r="DA145" i="1" s="1"/>
  <c r="DB145" i="1" s="1"/>
  <c r="AE145" i="1" s="1"/>
  <c r="AD145" i="1"/>
  <c r="X46" i="1"/>
  <c r="X124" i="1"/>
  <c r="Y42" i="1"/>
  <c r="X244" i="1"/>
  <c r="X245" i="1" s="1"/>
  <c r="X41" i="1"/>
  <c r="CW13" i="1"/>
  <c r="CS15" i="1"/>
  <c r="CH256" i="1"/>
  <c r="Y46" i="1"/>
  <c r="Y41" i="1"/>
  <c r="Y244" i="1"/>
  <c r="Y245" i="1" s="1"/>
  <c r="Y262" i="1"/>
  <c r="Y263" i="1" s="1"/>
  <c r="Y124" i="1"/>
  <c r="Z42" i="1"/>
  <c r="CI194" i="1"/>
  <c r="CI158" i="1"/>
  <c r="CK43" i="1"/>
  <c r="CJ46" i="1"/>
  <c r="CJ50" i="1" s="1"/>
  <c r="CJ41" i="1"/>
  <c r="CJ262" i="1"/>
  <c r="CJ263" i="1" s="1"/>
  <c r="CJ244" i="1"/>
  <c r="CJ245" i="1" s="1"/>
  <c r="AB143" i="1"/>
  <c r="CQ143" i="1"/>
  <c r="CR143" i="1" s="1"/>
  <c r="CS143" i="1" s="1"/>
  <c r="CT143" i="1" s="1"/>
  <c r="CU13" i="1"/>
  <c r="CQ15" i="1"/>
  <c r="CH121" i="1"/>
  <c r="CI49" i="1"/>
  <c r="Z46" i="1"/>
  <c r="Z41" i="1"/>
  <c r="Z262" i="1"/>
  <c r="Z263" i="1" s="1"/>
  <c r="Z124" i="1"/>
  <c r="Z244" i="1"/>
  <c r="Z245" i="1" s="1"/>
  <c r="CI43" i="1"/>
  <c r="CH244" i="1"/>
  <c r="CH245" i="1" s="1"/>
  <c r="CK124" i="1"/>
  <c r="CH46" i="1"/>
  <c r="CH50" i="1" s="1"/>
  <c r="CH41" i="1"/>
  <c r="CN152" i="1"/>
  <c r="CO152" i="1" s="1"/>
  <c r="CH119" i="1"/>
  <c r="CH120" i="1"/>
  <c r="CN136" i="1"/>
  <c r="CM140" i="1"/>
  <c r="CK42" i="1"/>
  <c r="CG46" i="1"/>
  <c r="CG244" i="1"/>
  <c r="CG245" i="1" s="1"/>
  <c r="CJ238" i="1"/>
  <c r="CG41" i="1"/>
  <c r="CJ124" i="1"/>
  <c r="CH43" i="1"/>
  <c r="CM214" i="1"/>
  <c r="CN191" i="1"/>
  <c r="CS196" i="1"/>
  <c r="CG261" i="1"/>
  <c r="CD214" i="1"/>
  <c r="CC214" i="1"/>
  <c r="CH214" i="1"/>
  <c r="CG214" i="1"/>
  <c r="CA221" i="1"/>
  <c r="BZ260" i="1"/>
  <c r="CT137" i="1"/>
  <c r="CD218" i="1"/>
  <c r="CF261" i="1"/>
  <c r="BM221" i="1"/>
  <c r="BL260" i="1"/>
  <c r="CF218" i="1"/>
  <c r="CF141" i="1"/>
  <c r="BL141" i="1"/>
  <c r="BL180" i="1"/>
  <c r="BL121" i="1" s="1"/>
  <c r="CA45" i="1"/>
  <c r="CA146" i="1"/>
  <c r="CB150" i="1"/>
  <c r="CC45" i="1"/>
  <c r="CC146" i="1"/>
  <c r="BZ180" i="1"/>
  <c r="BZ141" i="1"/>
  <c r="CD150" i="1"/>
  <c r="CE146" i="1"/>
  <c r="CE221" i="1"/>
  <c r="CD260" i="1"/>
  <c r="CA261" i="1"/>
  <c r="CA218" i="1"/>
  <c r="BM218" i="1"/>
  <c r="BM261" i="1"/>
  <c r="CG221" i="1"/>
  <c r="CF180" i="1"/>
  <c r="CF260" i="1"/>
  <c r="BM146" i="1"/>
  <c r="BM150" i="1" s="1"/>
  <c r="BL150" i="1"/>
  <c r="BL258" i="1" s="1"/>
  <c r="CG45" i="1"/>
  <c r="CG146" i="1"/>
  <c r="CH261" i="1"/>
  <c r="CH218" i="1"/>
  <c r="CG218" i="1"/>
  <c r="CB261" i="1"/>
  <c r="CB141" i="1"/>
  <c r="CB180" i="1"/>
  <c r="CB218" i="1"/>
  <c r="CB260" i="1"/>
  <c r="CC261" i="1"/>
  <c r="CC218" i="1"/>
  <c r="CE218" i="1"/>
  <c r="CD261" i="1"/>
  <c r="CD141" i="1"/>
  <c r="CD180" i="1"/>
  <c r="CE261" i="1"/>
  <c r="BL194" i="1"/>
  <c r="BL169" i="1"/>
  <c r="CD194" i="1"/>
  <c r="CD169" i="1"/>
  <c r="CB194" i="1"/>
  <c r="CB169" i="1"/>
  <c r="CF194" i="1"/>
  <c r="CF169" i="1"/>
  <c r="CF177" i="1" s="1"/>
  <c r="BZ194" i="1"/>
  <c r="BZ169" i="1"/>
  <c r="BZ177" i="1" s="1"/>
  <c r="BZ31" i="1"/>
  <c r="BZ40" i="1"/>
  <c r="BZ29" i="1"/>
  <c r="CA31" i="1"/>
  <c r="CG197" i="1"/>
  <c r="CH209" i="1"/>
  <c r="CG209" i="1"/>
  <c r="CJ30" i="1"/>
  <c r="CF29" i="1"/>
  <c r="CG31" i="1"/>
  <c r="CF30" i="1"/>
  <c r="BZ258" i="1"/>
  <c r="CF258" i="1"/>
  <c r="CF256" i="1"/>
  <c r="CG120" i="1"/>
  <c r="CG116" i="1"/>
  <c r="CG115" i="1"/>
  <c r="CG43" i="1"/>
  <c r="CI124" i="1"/>
  <c r="CG30" i="1"/>
  <c r="CC29" i="1"/>
  <c r="Y71" i="1"/>
  <c r="CC40" i="1"/>
  <c r="CC46" i="1" s="1"/>
  <c r="CC50" i="1" s="1"/>
  <c r="CD31" i="1"/>
  <c r="CC30" i="1"/>
  <c r="CE160" i="1"/>
  <c r="CE209" i="1"/>
  <c r="CF209" i="1"/>
  <c r="CA46" i="1"/>
  <c r="CA50" i="1" s="1"/>
  <c r="CA53" i="1" s="1"/>
  <c r="CA60" i="1" s="1"/>
  <c r="CA205" i="1" s="1"/>
  <c r="CA207" i="1" s="1"/>
  <c r="CA41" i="1"/>
  <c r="CF41" i="1"/>
  <c r="CF244" i="1"/>
  <c r="CF245" i="1" s="1"/>
  <c r="CJ42" i="1"/>
  <c r="CF46" i="1"/>
  <c r="CD41" i="1"/>
  <c r="CB41" i="1"/>
  <c r="CB244" i="1"/>
  <c r="CB245" i="1" s="1"/>
  <c r="CB46" i="1"/>
  <c r="CB50" i="1" s="1"/>
  <c r="CB43" i="1"/>
  <c r="CB262" i="1"/>
  <c r="CF42" i="1"/>
  <c r="CD244" i="1"/>
  <c r="CD245" i="1" s="1"/>
  <c r="CD46" i="1"/>
  <c r="CD50" i="1" s="1"/>
  <c r="CD53" i="1" s="1"/>
  <c r="CD246" i="1" s="1"/>
  <c r="CF31" i="1"/>
  <c r="CE30" i="1"/>
  <c r="CI30" i="1"/>
  <c r="Z71" i="1"/>
  <c r="CE40" i="1"/>
  <c r="CE29" i="1"/>
  <c r="BY46" i="1"/>
  <c r="BY50" i="1" s="1"/>
  <c r="BY41" i="1"/>
  <c r="BL46" i="1"/>
  <c r="BL50" i="1" s="1"/>
  <c r="BL41" i="1"/>
  <c r="CU192" i="1"/>
  <c r="AB162" i="1"/>
  <c r="A1" i="1"/>
  <c r="CO39" i="1" l="1"/>
  <c r="CP39" i="1" s="1"/>
  <c r="CQ39" i="1" s="1"/>
  <c r="CI215" i="1"/>
  <c r="CI213" i="1" s="1"/>
  <c r="CK46" i="1"/>
  <c r="CK50" i="1" s="1"/>
  <c r="CK41" i="1"/>
  <c r="CL201" i="1"/>
  <c r="CH262" i="1"/>
  <c r="CG208" i="1"/>
  <c r="CI238" i="1"/>
  <c r="CG262" i="1"/>
  <c r="CG169" i="1"/>
  <c r="CH208" i="1"/>
  <c r="CG238" i="1"/>
  <c r="Z201" i="1"/>
  <c r="Z202" i="1" s="1"/>
  <c r="CL262" i="1"/>
  <c r="CL263" i="1" s="1"/>
  <c r="CL244" i="1"/>
  <c r="CL245" i="1" s="1"/>
  <c r="CL46" i="1"/>
  <c r="CL50" i="1" s="1"/>
  <c r="CL41" i="1"/>
  <c r="CL43" i="1"/>
  <c r="CL124" i="1"/>
  <c r="CL238" i="1"/>
  <c r="CH123" i="1"/>
  <c r="CH122" i="1"/>
  <c r="CH263" i="1"/>
  <c r="CG119" i="1"/>
  <c r="CN29" i="1"/>
  <c r="CN214" i="1"/>
  <c r="Z67" i="1"/>
  <c r="Z50" i="1"/>
  <c r="X50" i="1"/>
  <c r="X67" i="1"/>
  <c r="CR39" i="1"/>
  <c r="CH116" i="1"/>
  <c r="CH115" i="1"/>
  <c r="CH114" i="1"/>
  <c r="CH53" i="1"/>
  <c r="CH52" i="1"/>
  <c r="Y67" i="1"/>
  <c r="Y50" i="1"/>
  <c r="CX13" i="1"/>
  <c r="CT15" i="1"/>
  <c r="CY13" i="1"/>
  <c r="CY15" i="1" s="1"/>
  <c r="CU15" i="1"/>
  <c r="CZ13" i="1"/>
  <c r="CZ15" i="1" s="1"/>
  <c r="CV15" i="1"/>
  <c r="CI53" i="1"/>
  <c r="CI52" i="1"/>
  <c r="CO214" i="1"/>
  <c r="CP152" i="1"/>
  <c r="CG50" i="1"/>
  <c r="CJ67" i="1"/>
  <c r="CO195" i="1"/>
  <c r="CN197" i="1"/>
  <c r="CO136" i="1"/>
  <c r="CN140" i="1"/>
  <c r="AC143" i="1"/>
  <c r="CU143" i="1"/>
  <c r="CV143" i="1" s="1"/>
  <c r="CW143" i="1" s="1"/>
  <c r="CX143" i="1" s="1"/>
  <c r="CE75" i="1"/>
  <c r="CF77" i="1"/>
  <c r="CJ53" i="1"/>
  <c r="CJ52" i="1"/>
  <c r="DA13" i="1"/>
  <c r="DA15" i="1" s="1"/>
  <c r="CW15" i="1"/>
  <c r="CM193" i="1"/>
  <c r="CO191" i="1"/>
  <c r="CM261" i="1"/>
  <c r="CM218" i="1"/>
  <c r="CT196" i="1"/>
  <c r="CF178" i="1"/>
  <c r="CA150" i="1"/>
  <c r="CB45" i="1"/>
  <c r="CB177" i="1"/>
  <c r="CB178" i="1" s="1"/>
  <c r="CD177" i="1"/>
  <c r="CD178" i="1" s="1"/>
  <c r="CU137" i="1"/>
  <c r="CB258" i="1"/>
  <c r="CB256" i="1"/>
  <c r="CE150" i="1"/>
  <c r="CF45" i="1"/>
  <c r="CB263" i="1"/>
  <c r="BZ178" i="1"/>
  <c r="CD45" i="1"/>
  <c r="CC150" i="1"/>
  <c r="BZ121" i="1"/>
  <c r="CA49" i="1"/>
  <c r="CD256" i="1"/>
  <c r="CD258" i="1"/>
  <c r="CF121" i="1"/>
  <c r="CG49" i="1"/>
  <c r="CH45" i="1"/>
  <c r="CG150" i="1"/>
  <c r="CB121" i="1"/>
  <c r="CC49" i="1"/>
  <c r="CD121" i="1"/>
  <c r="CE49" i="1"/>
  <c r="CF193" i="1"/>
  <c r="CF198" i="1"/>
  <c r="CJ201" i="1" s="1"/>
  <c r="BL198" i="1"/>
  <c r="BL193" i="1"/>
  <c r="CD198" i="1"/>
  <c r="CD193" i="1"/>
  <c r="CB198" i="1"/>
  <c r="CB193" i="1"/>
  <c r="BZ193" i="1"/>
  <c r="BZ198" i="1"/>
  <c r="BZ41" i="1"/>
  <c r="BZ46" i="1"/>
  <c r="CA262" i="1"/>
  <c r="CA263" i="1" s="1"/>
  <c r="CA43" i="1"/>
  <c r="BZ244" i="1"/>
  <c r="BZ245" i="1" s="1"/>
  <c r="CD42" i="1"/>
  <c r="BZ43" i="1"/>
  <c r="BZ262" i="1"/>
  <c r="CB124" i="1"/>
  <c r="CD124" i="1"/>
  <c r="CC262" i="1"/>
  <c r="CC263" i="1" s="1"/>
  <c r="CE208" i="1"/>
  <c r="CE210" i="1" s="1"/>
  <c r="CE169" i="1"/>
  <c r="CG196" i="1"/>
  <c r="CG198" i="1"/>
  <c r="CC244" i="1"/>
  <c r="CC245" i="1" s="1"/>
  <c r="CG42" i="1"/>
  <c r="Y72" i="1"/>
  <c r="CC41" i="1"/>
  <c r="CC238" i="1"/>
  <c r="CD262" i="1"/>
  <c r="CD263" i="1" s="1"/>
  <c r="CC124" i="1"/>
  <c r="CD238" i="1"/>
  <c r="CC43" i="1"/>
  <c r="CD43" i="1"/>
  <c r="CC42" i="1"/>
  <c r="CC53" i="1"/>
  <c r="CC52" i="1"/>
  <c r="CF50" i="1"/>
  <c r="CE194" i="1"/>
  <c r="CF208" i="1"/>
  <c r="CF210" i="1" s="1"/>
  <c r="CA52" i="1"/>
  <c r="CA131" i="1"/>
  <c r="CA132" i="1" s="1"/>
  <c r="CD52" i="1"/>
  <c r="CA64" i="1"/>
  <c r="CA246" i="1"/>
  <c r="CA54" i="1"/>
  <c r="CA257" i="1" s="1"/>
  <c r="CD54" i="1"/>
  <c r="CD257" i="1" s="1"/>
  <c r="CF124" i="1"/>
  <c r="CD67" i="1"/>
  <c r="CD60" i="1"/>
  <c r="CD64" i="1" s="1"/>
  <c r="CE43" i="1"/>
  <c r="CE124" i="1"/>
  <c r="CE238" i="1"/>
  <c r="CB52" i="1"/>
  <c r="CB53" i="1"/>
  <c r="CE262" i="1"/>
  <c r="CE263" i="1" s="1"/>
  <c r="CF262" i="1"/>
  <c r="CF263" i="1" s="1"/>
  <c r="CE244" i="1"/>
  <c r="CE245" i="1" s="1"/>
  <c r="Z72" i="1"/>
  <c r="CE42" i="1"/>
  <c r="CH124" i="1"/>
  <c r="CE41" i="1"/>
  <c r="CG124" i="1"/>
  <c r="CE46" i="1"/>
  <c r="CH238" i="1"/>
  <c r="CF43" i="1"/>
  <c r="CI42" i="1"/>
  <c r="CF238" i="1"/>
  <c r="BL53" i="1"/>
  <c r="BL52" i="1"/>
  <c r="BY52" i="1"/>
  <c r="BY53" i="1"/>
  <c r="CV192" i="1"/>
  <c r="AC162" i="1"/>
  <c r="CK52" i="1" l="1"/>
  <c r="CK53" i="1"/>
  <c r="CG263" i="1"/>
  <c r="CG210" i="1"/>
  <c r="CH210" i="1"/>
  <c r="CL53" i="1"/>
  <c r="CL52" i="1"/>
  <c r="CL55" i="1"/>
  <c r="CO29" i="1"/>
  <c r="CP191" i="1"/>
  <c r="CP136" i="1"/>
  <c r="CO140" i="1"/>
  <c r="CI56" i="1"/>
  <c r="CH60" i="1"/>
  <c r="CH54" i="1"/>
  <c r="CH257" i="1" s="1"/>
  <c r="CH246" i="1"/>
  <c r="CN193" i="1"/>
  <c r="CM194" i="1"/>
  <c r="CM198" i="1" s="1"/>
  <c r="CS39" i="1"/>
  <c r="CG53" i="1"/>
  <c r="CG55" i="1" s="1"/>
  <c r="CG52" i="1"/>
  <c r="CX15" i="1"/>
  <c r="DB13" i="1"/>
  <c r="DB15" i="1" s="1"/>
  <c r="CN261" i="1"/>
  <c r="CN218" i="1"/>
  <c r="CP195" i="1"/>
  <c r="CO197" i="1"/>
  <c r="CP214" i="1"/>
  <c r="CQ152" i="1"/>
  <c r="X53" i="1"/>
  <c r="X52" i="1"/>
  <c r="CY143" i="1"/>
  <c r="CZ143" i="1" s="1"/>
  <c r="DA143" i="1" s="1"/>
  <c r="DB143" i="1" s="1"/>
  <c r="AE143" i="1" s="1"/>
  <c r="AD143" i="1"/>
  <c r="CJ54" i="1"/>
  <c r="CJ257" i="1" s="1"/>
  <c r="CJ246" i="1"/>
  <c r="CJ60" i="1"/>
  <c r="Z53" i="1"/>
  <c r="AA55" i="1" s="1"/>
  <c r="Z52" i="1"/>
  <c r="CF111" i="1"/>
  <c r="CF104" i="1"/>
  <c r="CF119" i="1"/>
  <c r="CF122" i="1" s="1"/>
  <c r="CF125" i="1" s="1"/>
  <c r="CF120" i="1"/>
  <c r="CF123" i="1" s="1"/>
  <c r="CF126" i="1" s="1"/>
  <c r="Y53" i="1"/>
  <c r="Y73" i="1" s="1"/>
  <c r="Y52" i="1"/>
  <c r="CH55" i="1"/>
  <c r="CD75" i="1"/>
  <c r="CE77" i="1"/>
  <c r="CI54" i="1"/>
  <c r="CI257" i="1" s="1"/>
  <c r="CI60" i="1"/>
  <c r="CI246" i="1"/>
  <c r="CJ56" i="1"/>
  <c r="CU196" i="1"/>
  <c r="CA215" i="1"/>
  <c r="CA213" i="1" s="1"/>
  <c r="CB215" i="1"/>
  <c r="CB213" i="1" s="1"/>
  <c r="CE215" i="1"/>
  <c r="CE213" i="1" s="1"/>
  <c r="CF215" i="1"/>
  <c r="CF213" i="1" s="1"/>
  <c r="CH215" i="1"/>
  <c r="CH213" i="1" s="1"/>
  <c r="CG215" i="1"/>
  <c r="CG213" i="1" s="1"/>
  <c r="CV137" i="1"/>
  <c r="CD215" i="1"/>
  <c r="CD213" i="1" s="1"/>
  <c r="CC215" i="1"/>
  <c r="CC213" i="1" s="1"/>
  <c r="CF201" i="1"/>
  <c r="CD201" i="1"/>
  <c r="CH201" i="1"/>
  <c r="BZ50" i="1"/>
  <c r="CB67" i="1"/>
  <c r="CD239" i="1"/>
  <c r="CF53" i="1"/>
  <c r="AA73" i="1" s="1"/>
  <c r="CF52" i="1"/>
  <c r="CC55" i="1"/>
  <c r="CC246" i="1"/>
  <c r="CC60" i="1"/>
  <c r="CC54" i="1"/>
  <c r="CC257" i="1" s="1"/>
  <c r="CD56" i="1"/>
  <c r="CE193" i="1"/>
  <c r="CE198" i="1"/>
  <c r="CA219" i="1"/>
  <c r="CA217" i="1" s="1"/>
  <c r="CA141" i="1"/>
  <c r="CC56" i="1"/>
  <c r="CD205" i="1"/>
  <c r="CD207" i="1" s="1"/>
  <c r="CH125" i="1"/>
  <c r="CH126" i="1"/>
  <c r="CF67" i="1"/>
  <c r="CH67" i="1"/>
  <c r="CE50" i="1"/>
  <c r="CB60" i="1"/>
  <c r="CB56" i="1"/>
  <c r="CB246" i="1"/>
  <c r="CB54" i="1"/>
  <c r="CB257" i="1" s="1"/>
  <c r="BL60" i="1"/>
  <c r="BL54" i="1"/>
  <c r="BL257" i="1" s="1"/>
  <c r="CM76" i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BY54" i="1"/>
  <c r="BY257" i="1" s="1"/>
  <c r="BY60" i="1"/>
  <c r="CW192" i="1"/>
  <c r="AE162" i="1"/>
  <c r="AD162" i="1"/>
  <c r="CK54" i="1" l="1"/>
  <c r="CK60" i="1"/>
  <c r="CK56" i="1"/>
  <c r="CF246" i="1"/>
  <c r="CL246" i="1"/>
  <c r="CL54" i="1"/>
  <c r="CL257" i="1" s="1"/>
  <c r="CL60" i="1"/>
  <c r="CL56" i="1"/>
  <c r="CL239" i="1"/>
  <c r="CM52" i="1"/>
  <c r="CP29" i="1"/>
  <c r="CT39" i="1"/>
  <c r="CO193" i="1"/>
  <c r="CN194" i="1"/>
  <c r="CN198" i="1" s="1"/>
  <c r="CF106" i="1"/>
  <c r="CF108" i="1"/>
  <c r="CF107" i="1"/>
  <c r="X246" i="1"/>
  <c r="X54" i="1"/>
  <c r="X257" i="1" s="1"/>
  <c r="Y55" i="1"/>
  <c r="X60" i="1"/>
  <c r="CO261" i="1"/>
  <c r="CO218" i="1"/>
  <c r="Y60" i="1"/>
  <c r="Y54" i="1"/>
  <c r="Y257" i="1" s="1"/>
  <c r="Z55" i="1"/>
  <c r="Y246" i="1"/>
  <c r="CF114" i="1"/>
  <c r="CF116" i="1"/>
  <c r="CF115" i="1"/>
  <c r="CQ214" i="1"/>
  <c r="CR152" i="1"/>
  <c r="CQ136" i="1"/>
  <c r="CP140" i="1"/>
  <c r="CH205" i="1"/>
  <c r="CH207" i="1" s="1"/>
  <c r="CH211" i="1" s="1"/>
  <c r="CH225" i="1" s="1"/>
  <c r="CH78" i="1"/>
  <c r="CH64" i="1"/>
  <c r="CI131" i="1"/>
  <c r="CI132" i="1" s="1"/>
  <c r="CJ219" i="1" s="1"/>
  <c r="CJ217" i="1" s="1"/>
  <c r="CI78" i="1"/>
  <c r="CI64" i="1"/>
  <c r="CI205" i="1"/>
  <c r="CI207" i="1" s="1"/>
  <c r="CQ191" i="1"/>
  <c r="CK55" i="1"/>
  <c r="CJ239" i="1"/>
  <c r="CG54" i="1"/>
  <c r="CG257" i="1" s="1"/>
  <c r="CG246" i="1"/>
  <c r="CG60" i="1"/>
  <c r="CH56" i="1"/>
  <c r="Z60" i="1"/>
  <c r="Z54" i="1"/>
  <c r="Z257" i="1" s="1"/>
  <c r="Z246" i="1"/>
  <c r="CE111" i="1"/>
  <c r="CE120" i="1"/>
  <c r="CE119" i="1"/>
  <c r="CQ195" i="1"/>
  <c r="CP197" i="1"/>
  <c r="CC75" i="1"/>
  <c r="CD77" i="1"/>
  <c r="CJ64" i="1"/>
  <c r="CJ205" i="1"/>
  <c r="CJ207" i="1" s="1"/>
  <c r="CJ78" i="1"/>
  <c r="CV196" i="1"/>
  <c r="CW137" i="1"/>
  <c r="CF55" i="1"/>
  <c r="CF54" i="1"/>
  <c r="CF257" i="1" s="1"/>
  <c r="BZ53" i="1"/>
  <c r="BZ52" i="1"/>
  <c r="CJ55" i="1"/>
  <c r="CG56" i="1"/>
  <c r="CI239" i="1"/>
  <c r="CF60" i="1"/>
  <c r="CD66" i="1"/>
  <c r="CC64" i="1"/>
  <c r="CC131" i="1"/>
  <c r="CC132" i="1" s="1"/>
  <c r="CC205" i="1"/>
  <c r="CC207" i="1" s="1"/>
  <c r="CB64" i="1"/>
  <c r="CB205" i="1"/>
  <c r="CB207" i="1" s="1"/>
  <c r="CB219" i="1"/>
  <c r="CB217" i="1" s="1"/>
  <c r="CE53" i="1"/>
  <c r="CE52" i="1"/>
  <c r="BY205" i="1"/>
  <c r="BY207" i="1" s="1"/>
  <c r="BY64" i="1"/>
  <c r="BL205" i="1"/>
  <c r="BL207" i="1" s="1"/>
  <c r="BL64" i="1"/>
  <c r="CX192" i="1"/>
  <c r="AB138" i="1"/>
  <c r="AB148" i="1"/>
  <c r="AB147" i="1"/>
  <c r="AB139" i="1"/>
  <c r="AB134" i="1"/>
  <c r="AB163" i="1"/>
  <c r="AB155" i="1"/>
  <c r="AB130" i="1"/>
  <c r="CK64" i="1" l="1"/>
  <c r="CK78" i="1"/>
  <c r="CK131" i="1"/>
  <c r="CK132" i="1" s="1"/>
  <c r="CK141" i="1" s="1"/>
  <c r="CL205" i="1"/>
  <c r="CL207" i="1" s="1"/>
  <c r="CL211" i="1" s="1"/>
  <c r="CL225" i="1" s="1"/>
  <c r="CL78" i="1"/>
  <c r="CL81" i="1" s="1"/>
  <c r="CL64" i="1"/>
  <c r="CL219" i="1"/>
  <c r="CL217" i="1" s="1"/>
  <c r="CN52" i="1"/>
  <c r="CQ29" i="1"/>
  <c r="CR29" i="1"/>
  <c r="CK81" i="1"/>
  <c r="CU39" i="1"/>
  <c r="CP261" i="1"/>
  <c r="CP218" i="1"/>
  <c r="CR214" i="1"/>
  <c r="CS152" i="1"/>
  <c r="X205" i="1"/>
  <c r="X207" i="1" s="1"/>
  <c r="X64" i="1"/>
  <c r="X66" i="1"/>
  <c r="Y205" i="1"/>
  <c r="Y207" i="1" s="1"/>
  <c r="Y211" i="1" s="1"/>
  <c r="Y225" i="1" s="1"/>
  <c r="Y219" i="1"/>
  <c r="Y217" i="1" s="1"/>
  <c r="Y222" i="1" s="1"/>
  <c r="Y223" i="1" s="1"/>
  <c r="Y66" i="1"/>
  <c r="Y64" i="1"/>
  <c r="CR191" i="1"/>
  <c r="CD111" i="1"/>
  <c r="CD119" i="1"/>
  <c r="CD122" i="1" s="1"/>
  <c r="CD125" i="1" s="1"/>
  <c r="CD104" i="1"/>
  <c r="CD120" i="1"/>
  <c r="CD123" i="1" s="1"/>
  <c r="CD126" i="1" s="1"/>
  <c r="CD78" i="1"/>
  <c r="CR195" i="1"/>
  <c r="CQ197" i="1"/>
  <c r="CE114" i="1"/>
  <c r="CE116" i="1"/>
  <c r="CE115" i="1"/>
  <c r="CB75" i="1"/>
  <c r="CC77" i="1"/>
  <c r="CC104" i="1" s="1"/>
  <c r="CG205" i="1"/>
  <c r="CG207" i="1" s="1"/>
  <c r="CG211" i="1" s="1"/>
  <c r="CG225" i="1" s="1"/>
  <c r="CG78" i="1"/>
  <c r="CJ81" i="1" s="1"/>
  <c r="CJ66" i="1"/>
  <c r="CG64" i="1"/>
  <c r="CG131" i="1"/>
  <c r="CG132" i="1" s="1"/>
  <c r="CI104" i="1"/>
  <c r="CI219" i="1"/>
  <c r="CI217" i="1" s="1"/>
  <c r="CI141" i="1"/>
  <c r="CI67" i="1" s="1"/>
  <c r="CR136" i="1"/>
  <c r="CQ140" i="1"/>
  <c r="Z205" i="1"/>
  <c r="Z207" i="1" s="1"/>
  <c r="Z211" i="1" s="1"/>
  <c r="Z225" i="1" s="1"/>
  <c r="Z66" i="1"/>
  <c r="Z219" i="1"/>
  <c r="Z217" i="1" s="1"/>
  <c r="Z64" i="1"/>
  <c r="CP193" i="1"/>
  <c r="CO194" i="1"/>
  <c r="CO198" i="1" s="1"/>
  <c r="CW196" i="1"/>
  <c r="CX137" i="1"/>
  <c r="BZ54" i="1"/>
  <c r="BZ257" i="1" s="1"/>
  <c r="BZ56" i="1"/>
  <c r="CC239" i="1"/>
  <c r="BZ60" i="1"/>
  <c r="CC66" i="1" s="1"/>
  <c r="BZ246" i="1"/>
  <c r="CD55" i="1"/>
  <c r="CA56" i="1"/>
  <c r="CF205" i="1"/>
  <c r="CF207" i="1" s="1"/>
  <c r="CF211" i="1" s="1"/>
  <c r="CF225" i="1" s="1"/>
  <c r="CF64" i="1"/>
  <c r="CF78" i="1"/>
  <c r="CI66" i="1"/>
  <c r="CC141" i="1"/>
  <c r="CC67" i="1" s="1"/>
  <c r="CC219" i="1"/>
  <c r="CC217" i="1" s="1"/>
  <c r="CD219" i="1"/>
  <c r="CD217" i="1" s="1"/>
  <c r="CG239" i="1"/>
  <c r="CI55" i="1"/>
  <c r="CH239" i="1"/>
  <c r="CE56" i="1"/>
  <c r="CE54" i="1"/>
  <c r="CE257" i="1" s="1"/>
  <c r="CE55" i="1"/>
  <c r="CF56" i="1"/>
  <c r="CE60" i="1"/>
  <c r="CF239" i="1"/>
  <c r="CE239" i="1"/>
  <c r="Z73" i="1"/>
  <c r="CE246" i="1"/>
  <c r="CY192" i="1"/>
  <c r="AC148" i="1"/>
  <c r="AC138" i="1"/>
  <c r="AB176" i="1"/>
  <c r="AC134" i="1"/>
  <c r="AC163" i="1"/>
  <c r="AB159" i="1"/>
  <c r="AB166" i="1"/>
  <c r="AC155" i="1"/>
  <c r="AC139" i="1"/>
  <c r="AB167" i="1"/>
  <c r="AC130" i="1"/>
  <c r="AC147" i="1"/>
  <c r="CK97" i="1" l="1"/>
  <c r="CK99" i="1"/>
  <c r="CK98" i="1"/>
  <c r="CI81" i="1"/>
  <c r="CL99" i="1"/>
  <c r="CL97" i="1"/>
  <c r="CL98" i="1"/>
  <c r="Z222" i="1"/>
  <c r="Z223" i="1" s="1"/>
  <c r="CO52" i="1"/>
  <c r="CP52" i="1" s="1"/>
  <c r="CQ52" i="1" s="1"/>
  <c r="CS29" i="1"/>
  <c r="CV39" i="1"/>
  <c r="CA75" i="1"/>
  <c r="CB77" i="1"/>
  <c r="CS191" i="1"/>
  <c r="CQ261" i="1"/>
  <c r="CQ218" i="1"/>
  <c r="CS136" i="1"/>
  <c r="CR140" i="1"/>
  <c r="CG104" i="1"/>
  <c r="CG141" i="1"/>
  <c r="CG67" i="1" s="1"/>
  <c r="CG219" i="1"/>
  <c r="CG217" i="1" s="1"/>
  <c r="CG222" i="1" s="1"/>
  <c r="CG172" i="1" s="1"/>
  <c r="CG173" i="1" s="1"/>
  <c r="CH219" i="1"/>
  <c r="CH217" i="1" s="1"/>
  <c r="CD106" i="1"/>
  <c r="CD108" i="1"/>
  <c r="CD107" i="1"/>
  <c r="CS214" i="1"/>
  <c r="CT152" i="1"/>
  <c r="CQ193" i="1"/>
  <c r="CP194" i="1"/>
  <c r="CP198" i="1" s="1"/>
  <c r="CS195" i="1"/>
  <c r="CR197" i="1"/>
  <c r="CD114" i="1"/>
  <c r="CD116" i="1"/>
  <c r="CD115" i="1"/>
  <c r="CI106" i="1"/>
  <c r="CI108" i="1"/>
  <c r="CI107" i="1"/>
  <c r="CJ97" i="1"/>
  <c r="CJ99" i="1"/>
  <c r="CJ98" i="1"/>
  <c r="CC111" i="1"/>
  <c r="CC78" i="1"/>
  <c r="CX196" i="1"/>
  <c r="CY137" i="1"/>
  <c r="CB66" i="1"/>
  <c r="BZ64" i="1"/>
  <c r="BZ205" i="1"/>
  <c r="BZ207" i="1" s="1"/>
  <c r="CE64" i="1"/>
  <c r="CE131" i="1"/>
  <c r="CE132" i="1" s="1"/>
  <c r="CE66" i="1" s="1"/>
  <c r="CE205" i="1"/>
  <c r="CE207" i="1" s="1"/>
  <c r="CE211" i="1" s="1"/>
  <c r="CE225" i="1" s="1"/>
  <c r="CE78" i="1"/>
  <c r="CF66" i="1"/>
  <c r="CG66" i="1"/>
  <c r="CH66" i="1"/>
  <c r="CZ192" i="1"/>
  <c r="AE148" i="1"/>
  <c r="AD148" i="1"/>
  <c r="AE138" i="1"/>
  <c r="AD138" i="1"/>
  <c r="AC176" i="1"/>
  <c r="AE163" i="1"/>
  <c r="AD163" i="1"/>
  <c r="AE155" i="1"/>
  <c r="AD155" i="1"/>
  <c r="AD130" i="1"/>
  <c r="AE130" i="1"/>
  <c r="AC166" i="1"/>
  <c r="AE139" i="1"/>
  <c r="AD139" i="1"/>
  <c r="AE147" i="1"/>
  <c r="AD147" i="1"/>
  <c r="AC167" i="1"/>
  <c r="AC159" i="1"/>
  <c r="AE134" i="1"/>
  <c r="AD134" i="1"/>
  <c r="CI97" i="1" l="1"/>
  <c r="CI98" i="1"/>
  <c r="CL102" i="1" s="1"/>
  <c r="CI99" i="1"/>
  <c r="CW39" i="1"/>
  <c r="CR52" i="1"/>
  <c r="CS52" i="1"/>
  <c r="CT29" i="1"/>
  <c r="CX39" i="1"/>
  <c r="CG223" i="1"/>
  <c r="CG260" i="1"/>
  <c r="CG256" i="1"/>
  <c r="CG258" i="1"/>
  <c r="CG177" i="1"/>
  <c r="CG178" i="1" s="1"/>
  <c r="CH221" i="1"/>
  <c r="CH222" i="1" s="1"/>
  <c r="CH223" i="1" s="1"/>
  <c r="CG180" i="1"/>
  <c r="CT195" i="1"/>
  <c r="CS197" i="1"/>
  <c r="CR261" i="1"/>
  <c r="CR218" i="1"/>
  <c r="CT136" i="1"/>
  <c r="CS140" i="1"/>
  <c r="CT214" i="1"/>
  <c r="CU152" i="1"/>
  <c r="CU214" i="1" s="1"/>
  <c r="CG107" i="1"/>
  <c r="CG106" i="1"/>
  <c r="CG108" i="1"/>
  <c r="CR193" i="1"/>
  <c r="CQ194" i="1"/>
  <c r="CQ198" i="1" s="1"/>
  <c r="CB111" i="1"/>
  <c r="CB104" i="1"/>
  <c r="CB78" i="1"/>
  <c r="CE81" i="1" s="1"/>
  <c r="CT191" i="1"/>
  <c r="BZ75" i="1"/>
  <c r="CA77" i="1"/>
  <c r="CY196" i="1"/>
  <c r="CZ137" i="1"/>
  <c r="CF81" i="1"/>
  <c r="CH81" i="1"/>
  <c r="CL82" i="1" s="1"/>
  <c r="CG81" i="1"/>
  <c r="CK82" i="1" s="1"/>
  <c r="CE104" i="1"/>
  <c r="CF219" i="1"/>
  <c r="CF217" i="1" s="1"/>
  <c r="CE141" i="1"/>
  <c r="CE67" i="1" s="1"/>
  <c r="CE219" i="1"/>
  <c r="CE217" i="1" s="1"/>
  <c r="CE222" i="1" s="1"/>
  <c r="CE172" i="1" s="1"/>
  <c r="CE173" i="1" s="1"/>
  <c r="CE177" i="1" s="1"/>
  <c r="DA192" i="1"/>
  <c r="AE176" i="1"/>
  <c r="AD176" i="1"/>
  <c r="AE166" i="1"/>
  <c r="AD166" i="1"/>
  <c r="AE167" i="1"/>
  <c r="AD167" i="1"/>
  <c r="AE159" i="1"/>
  <c r="AD159" i="1"/>
  <c r="BY243" i="1"/>
  <c r="CT52" i="1" l="1"/>
  <c r="CU52" i="1" s="1"/>
  <c r="CU29" i="1"/>
  <c r="CY39" i="1"/>
  <c r="CZ39" i="1" s="1"/>
  <c r="CS193" i="1"/>
  <c r="CR194" i="1"/>
  <c r="CR198" i="1" s="1"/>
  <c r="CG121" i="1"/>
  <c r="CH49" i="1"/>
  <c r="CV152" i="1"/>
  <c r="CV214" i="1" s="1"/>
  <c r="CU136" i="1"/>
  <c r="CT140" i="1"/>
  <c r="CU195" i="1"/>
  <c r="CT197" i="1"/>
  <c r="CA78" i="1"/>
  <c r="CD81" i="1" s="1"/>
  <c r="CA104" i="1"/>
  <c r="BY75" i="1"/>
  <c r="BZ77" i="1"/>
  <c r="CU191" i="1"/>
  <c r="CS261" i="1"/>
  <c r="CS218" i="1"/>
  <c r="CZ196" i="1"/>
  <c r="DA137" i="1"/>
  <c r="CE106" i="1"/>
  <c r="CE107" i="1"/>
  <c r="CE108" i="1"/>
  <c r="CE256" i="1"/>
  <c r="CE97" i="1"/>
  <c r="CE98" i="1"/>
  <c r="CI82" i="1"/>
  <c r="CE99" i="1"/>
  <c r="CE260" i="1"/>
  <c r="CG97" i="1"/>
  <c r="CG99" i="1"/>
  <c r="CG98" i="1"/>
  <c r="CE180" i="1"/>
  <c r="CE121" i="1" s="1"/>
  <c r="CE123" i="1" s="1"/>
  <c r="CE126" i="1" s="1"/>
  <c r="CF221" i="1"/>
  <c r="CF222" i="1" s="1"/>
  <c r="CF223" i="1" s="1"/>
  <c r="CE258" i="1"/>
  <c r="CH98" i="1"/>
  <c r="CK102" i="1" s="1"/>
  <c r="CH97" i="1"/>
  <c r="CH99" i="1"/>
  <c r="CE223" i="1"/>
  <c r="CJ82" i="1"/>
  <c r="CF99" i="1"/>
  <c r="CF97" i="1"/>
  <c r="CF98" i="1"/>
  <c r="DB192" i="1"/>
  <c r="CE178" i="1"/>
  <c r="AB32" i="1"/>
  <c r="DA39" i="1" l="1"/>
  <c r="DB39" i="1" s="1"/>
  <c r="CV52" i="1"/>
  <c r="CW52" i="1" s="1"/>
  <c r="CV29" i="1"/>
  <c r="CW29" i="1" s="1"/>
  <c r="CV136" i="1"/>
  <c r="CU140" i="1"/>
  <c r="CD98" i="1"/>
  <c r="CD97" i="1"/>
  <c r="CD99" i="1"/>
  <c r="CT261" i="1"/>
  <c r="CT218" i="1"/>
  <c r="CV195" i="1"/>
  <c r="CU197" i="1"/>
  <c r="CH82" i="1"/>
  <c r="CW152" i="1"/>
  <c r="CW214" i="1"/>
  <c r="BZ104" i="1"/>
  <c r="BZ78" i="1"/>
  <c r="CC81" i="1" s="1"/>
  <c r="CG82" i="1" s="1"/>
  <c r="CV191" i="1"/>
  <c r="CG123" i="1"/>
  <c r="CG126" i="1" s="1"/>
  <c r="CG122" i="1"/>
  <c r="CG125" i="1" s="1"/>
  <c r="BX75" i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Y77" i="1"/>
  <c r="BY78" i="1" s="1"/>
  <c r="CT193" i="1"/>
  <c r="CS194" i="1"/>
  <c r="CS198" i="1" s="1"/>
  <c r="DA196" i="1"/>
  <c r="DB137" i="1"/>
  <c r="CJ102" i="1"/>
  <c r="CH102" i="1"/>
  <c r="CF49" i="1"/>
  <c r="CI102" i="1"/>
  <c r="CG102" i="1"/>
  <c r="CE122" i="1"/>
  <c r="CE125" i="1" s="1"/>
  <c r="AC32" i="1"/>
  <c r="BY244" i="1"/>
  <c r="BY245" i="1" s="1"/>
  <c r="CX29" i="1" l="1"/>
  <c r="CX52" i="1"/>
  <c r="CY52" i="1" s="1"/>
  <c r="CZ52" i="1" s="1"/>
  <c r="CY29" i="1"/>
  <c r="CZ29" i="1" s="1"/>
  <c r="CB81" i="1"/>
  <c r="CF82" i="1" s="1"/>
  <c r="CW195" i="1"/>
  <c r="CV197" i="1"/>
  <c r="CU193" i="1"/>
  <c r="CT194" i="1"/>
  <c r="CT198" i="1" s="1"/>
  <c r="BK75" i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BL77" i="1"/>
  <c r="CU261" i="1"/>
  <c r="CU218" i="1"/>
  <c r="CX152" i="1"/>
  <c r="CW191" i="1"/>
  <c r="CW136" i="1"/>
  <c r="CV140" i="1"/>
  <c r="DB196" i="1"/>
  <c r="AD32" i="1"/>
  <c r="BY246" i="1"/>
  <c r="CY152" i="1" l="1"/>
  <c r="CX214" i="1"/>
  <c r="DA52" i="1"/>
  <c r="DB52" i="1" s="1"/>
  <c r="DA29" i="1"/>
  <c r="DB29" i="1" s="1"/>
  <c r="BL104" i="1"/>
  <c r="BL78" i="1"/>
  <c r="CX191" i="1"/>
  <c r="AK75" i="1"/>
  <c r="AJ75" i="1" s="1"/>
  <c r="AI75" i="1" s="1"/>
  <c r="AL77" i="1"/>
  <c r="CV261" i="1"/>
  <c r="CV218" i="1"/>
  <c r="CV193" i="1"/>
  <c r="CU194" i="1"/>
  <c r="CU198" i="1" s="1"/>
  <c r="CX136" i="1"/>
  <c r="CW140" i="1"/>
  <c r="CX195" i="1"/>
  <c r="CW197" i="1"/>
  <c r="AE32" i="1"/>
  <c r="CZ152" i="1" l="1"/>
  <c r="CY214" i="1"/>
  <c r="CW193" i="1"/>
  <c r="CV194" i="1"/>
  <c r="CV198" i="1" s="1"/>
  <c r="CY191" i="1"/>
  <c r="CZ214" i="1"/>
  <c r="CY195" i="1"/>
  <c r="CX197" i="1"/>
  <c r="CW261" i="1"/>
  <c r="CW218" i="1"/>
  <c r="CY136" i="1"/>
  <c r="CX140" i="1"/>
  <c r="BI77" i="1"/>
  <c r="AT77" i="1"/>
  <c r="BT77" i="1"/>
  <c r="AV77" i="1"/>
  <c r="AX77" i="1"/>
  <c r="AR77" i="1"/>
  <c r="DA152" i="1" l="1"/>
  <c r="DB152" i="1" s="1"/>
  <c r="DB214" i="1" s="1"/>
  <c r="DA214" i="1"/>
  <c r="CZ136" i="1"/>
  <c r="CY140" i="1"/>
  <c r="CZ195" i="1"/>
  <c r="CY197" i="1"/>
  <c r="CZ191" i="1"/>
  <c r="CX261" i="1"/>
  <c r="CX218" i="1"/>
  <c r="CX193" i="1"/>
  <c r="CW194" i="1"/>
  <c r="CW198" i="1" s="1"/>
  <c r="AO77" i="1"/>
  <c r="BK77" i="1"/>
  <c r="AN77" i="1"/>
  <c r="AW77" i="1"/>
  <c r="BB77" i="1"/>
  <c r="BM77" i="1"/>
  <c r="BQ77" i="1"/>
  <c r="AJ77" i="1"/>
  <c r="BS77" i="1"/>
  <c r="BR77" i="1"/>
  <c r="BO77" i="1"/>
  <c r="AM77" i="1"/>
  <c r="AI77" i="1"/>
  <c r="AP77" i="1"/>
  <c r="AZ77" i="1"/>
  <c r="AS77" i="1"/>
  <c r="BN77" i="1"/>
  <c r="BU77" i="1"/>
  <c r="BA77" i="1"/>
  <c r="BC77" i="1"/>
  <c r="AU77" i="1"/>
  <c r="BW77" i="1"/>
  <c r="BP77" i="1"/>
  <c r="BJ77" i="1"/>
  <c r="BH77" i="1"/>
  <c r="BX77" i="1"/>
  <c r="BG77" i="1"/>
  <c r="AQ77" i="1"/>
  <c r="AY77" i="1"/>
  <c r="AK77" i="1"/>
  <c r="BE77" i="1"/>
  <c r="BD77" i="1"/>
  <c r="BV77" i="1"/>
  <c r="BF77" i="1"/>
  <c r="CY193" i="1" l="1"/>
  <c r="CX194" i="1"/>
  <c r="CX198" i="1" s="1"/>
  <c r="CY261" i="1"/>
  <c r="CY218" i="1"/>
  <c r="DA191" i="1"/>
  <c r="DA195" i="1"/>
  <c r="CZ197" i="1"/>
  <c r="DA136" i="1"/>
  <c r="CZ140" i="1"/>
  <c r="BL243" i="1"/>
  <c r="DB136" i="1" l="1"/>
  <c r="DB140" i="1" s="1"/>
  <c r="DA140" i="1"/>
  <c r="DB191" i="1"/>
  <c r="CZ261" i="1"/>
  <c r="CZ218" i="1"/>
  <c r="DB195" i="1"/>
  <c r="DB197" i="1" s="1"/>
  <c r="DA197" i="1"/>
  <c r="CZ193" i="1"/>
  <c r="CY194" i="1"/>
  <c r="CY198" i="1" s="1"/>
  <c r="AB152" i="1"/>
  <c r="DA193" i="1" l="1"/>
  <c r="CZ194" i="1"/>
  <c r="CZ198" i="1" s="1"/>
  <c r="DA261" i="1"/>
  <c r="DA218" i="1"/>
  <c r="DB218" i="1"/>
  <c r="DB261" i="1"/>
  <c r="CN89" i="1"/>
  <c r="AB214" i="1"/>
  <c r="DB193" i="1" l="1"/>
  <c r="DB194" i="1" s="1"/>
  <c r="DB198" i="1" s="1"/>
  <c r="DA194" i="1"/>
  <c r="DA198" i="1" s="1"/>
  <c r="CO89" i="1"/>
  <c r="CM75" i="1"/>
  <c r="CP89" i="1" l="1"/>
  <c r="CN75" i="1"/>
  <c r="CM77" i="1"/>
  <c r="CM44" i="1" l="1"/>
  <c r="AB89" i="1"/>
  <c r="CQ89" i="1"/>
  <c r="AC152" i="1"/>
  <c r="CN77" i="1"/>
  <c r="CO75" i="1"/>
  <c r="W12" i="2"/>
  <c r="D24" i="2"/>
  <c r="Q9" i="2"/>
  <c r="Q8" i="2"/>
  <c r="AD7" i="3"/>
  <c r="AF50" i="3"/>
  <c r="W24" i="2"/>
  <c r="Q11" i="2"/>
  <c r="C34" i="2"/>
  <c r="W8" i="2"/>
  <c r="K46" i="3"/>
  <c r="T6" i="2"/>
  <c r="BU12" i="4" a="1"/>
  <c r="D30" i="2"/>
  <c r="BA9" i="4" a="1"/>
  <c r="AR38" i="3"/>
  <c r="AY12" i="4" a="1"/>
  <c r="M13" i="2"/>
  <c r="W33" i="2"/>
  <c r="P31" i="2"/>
  <c r="J17" i="2"/>
  <c r="AH13" i="4" a="1"/>
  <c r="D13" i="3"/>
  <c r="DL13" i="4" a="1"/>
  <c r="M46" i="3"/>
  <c r="H32" i="2"/>
  <c r="BF7" i="4" a="1"/>
  <c r="D28" i="2"/>
  <c r="D7" i="2"/>
  <c r="Q24" i="2"/>
  <c r="P28" i="2"/>
  <c r="E24" i="3"/>
  <c r="AR97" i="3"/>
  <c r="M5" i="2"/>
  <c r="X5" i="2"/>
  <c r="E8" i="2"/>
  <c r="F12" i="2"/>
  <c r="ED16" i="4" a="1"/>
  <c r="C11" i="2"/>
  <c r="BT13" i="4" a="1"/>
  <c r="X45" i="3"/>
  <c r="AU11" i="4" a="1"/>
  <c r="AL12" i="4" a="1"/>
  <c r="D9" i="4" a="1"/>
  <c r="X30" i="2"/>
  <c r="O13" i="2"/>
  <c r="M22" i="2"/>
  <c r="N12" i="2"/>
  <c r="AM7" i="4" a="1"/>
  <c r="F12" i="3"/>
  <c r="DK13" i="4" a="1"/>
  <c r="E46" i="3"/>
  <c r="N35" i="2"/>
  <c r="W31" i="2"/>
  <c r="W11" i="2"/>
  <c r="P8" i="2"/>
  <c r="R18" i="2"/>
  <c r="N29" i="2"/>
  <c r="N33" i="2"/>
  <c r="N28" i="2"/>
  <c r="V45" i="3"/>
  <c r="W15" i="2"/>
  <c r="CF16" i="4" a="1"/>
  <c r="W22" i="2"/>
  <c r="R14" i="2"/>
  <c r="M12" i="2"/>
  <c r="F6" i="2"/>
  <c r="D8" i="2"/>
  <c r="F17" i="2"/>
  <c r="K23" i="2"/>
  <c r="F29" i="3"/>
  <c r="AB9" i="4" a="1"/>
  <c r="DA11" i="4" a="1"/>
  <c r="J9" i="2"/>
  <c r="E35" i="2"/>
  <c r="R8" i="2"/>
  <c r="I29" i="2"/>
  <c r="AR18" i="3"/>
  <c r="H14" i="2"/>
  <c r="E12" i="2"/>
  <c r="L29" i="2"/>
  <c r="M16" i="2"/>
  <c r="V30" i="2"/>
  <c r="T16" i="4" a="1"/>
  <c r="G14" i="3"/>
  <c r="EA15" i="4" a="1"/>
  <c r="G8" i="3"/>
  <c r="CZ12" i="4" a="1"/>
  <c r="G5" i="3"/>
  <c r="H45" i="3"/>
  <c r="AH15" i="4" a="1"/>
  <c r="DV8" i="4" a="1"/>
  <c r="DJ15" i="4" a="1"/>
  <c r="C22" i="2"/>
  <c r="R23" i="2"/>
  <c r="N10" i="2"/>
  <c r="T24" i="2"/>
  <c r="E7" i="3"/>
  <c r="N13" i="2"/>
  <c r="S62" i="2"/>
  <c r="R31" i="2"/>
  <c r="M28" i="2"/>
  <c r="H31" i="2"/>
  <c r="E13" i="3"/>
  <c r="AR93" i="3"/>
  <c r="BP7" i="4" a="1"/>
  <c r="V27" i="2"/>
  <c r="I11" i="4" a="1"/>
  <c r="D6" i="3"/>
  <c r="AU7" i="4" a="1"/>
  <c r="F29" i="2"/>
  <c r="H17" i="2"/>
  <c r="E33" i="2"/>
  <c r="J29" i="2"/>
  <c r="D6" i="4" a="1"/>
  <c r="F33" i="3"/>
  <c r="DQ11" i="4" a="1"/>
  <c r="F16" i="3"/>
  <c r="M34" i="2"/>
  <c r="BC12" i="4" a="1"/>
  <c r="O22" i="2"/>
  <c r="G32" i="2"/>
  <c r="W29" i="2"/>
  <c r="X20" i="2"/>
  <c r="E15" i="3"/>
  <c r="I6" i="2"/>
  <c r="T27" i="2"/>
  <c r="K30" i="2"/>
  <c r="M36" i="2"/>
  <c r="X31" i="2"/>
  <c r="AK9" i="4" a="1"/>
  <c r="AR81" i="3"/>
  <c r="DE15" i="4" a="1"/>
  <c r="D23" i="3"/>
  <c r="C18" i="2"/>
  <c r="J9" i="4" a="1"/>
  <c r="BS14" i="4" a="1"/>
  <c r="O23" i="2"/>
  <c r="O9" i="2"/>
  <c r="U15" i="2"/>
  <c r="S29" i="2"/>
  <c r="BY13" i="4" a="1"/>
  <c r="E37" i="3"/>
  <c r="BK15" i="4" a="1"/>
  <c r="R45" i="3"/>
  <c r="J7" i="2"/>
  <c r="J19" i="2"/>
  <c r="P33" i="2"/>
  <c r="O11" i="2"/>
  <c r="V16" i="2"/>
  <c r="I12" i="2"/>
  <c r="H23" i="2"/>
  <c r="W18" i="2"/>
  <c r="AQ45" i="3"/>
  <c r="C7" i="2"/>
  <c r="BE11" i="4" a="1"/>
  <c r="G12" i="2"/>
  <c r="E24" i="2"/>
  <c r="C35" i="2"/>
  <c r="U11" i="2"/>
  <c r="D20" i="2"/>
  <c r="H13" i="2"/>
  <c r="J25" i="2"/>
  <c r="AB45" i="3"/>
  <c r="K43" i="2"/>
  <c r="CT11" i="4" a="1"/>
  <c r="D22" i="2"/>
  <c r="K8" i="2"/>
  <c r="T9" i="2"/>
  <c r="W26" i="2"/>
  <c r="J45" i="3"/>
  <c r="H9" i="2"/>
  <c r="S35" i="2"/>
  <c r="F21" i="2"/>
  <c r="G19" i="2"/>
  <c r="AR67" i="3"/>
  <c r="DH8" i="4" a="1"/>
  <c r="D27" i="3"/>
  <c r="DZ6" i="4" a="1"/>
  <c r="EJ14" i="4" a="1"/>
  <c r="Q15" i="2"/>
  <c r="F6" i="3"/>
  <c r="L46" i="3"/>
  <c r="DL5" i="4" a="1"/>
  <c r="BX14" i="4" a="1"/>
  <c r="BL6" i="4" a="1"/>
  <c r="BQ16" i="4" a="1"/>
  <c r="V10" i="2"/>
  <c r="N19" i="2"/>
  <c r="U20" i="2"/>
  <c r="K9" i="2"/>
  <c r="F41" i="3"/>
  <c r="AR79" i="3"/>
  <c r="F11" i="2"/>
  <c r="K25" i="2"/>
  <c r="R9" i="2"/>
  <c r="N26" i="2"/>
  <c r="E34" i="3"/>
  <c r="J16" i="2"/>
  <c r="AC16" i="4" a="1"/>
  <c r="AQ6" i="3"/>
  <c r="CB9" i="4" a="1"/>
  <c r="F7" i="3"/>
  <c r="N13" i="4" a="1"/>
  <c r="P5" i="2"/>
  <c r="E32" i="2"/>
  <c r="U21" i="2"/>
  <c r="S14" i="2"/>
  <c r="BN11" i="4" a="1"/>
  <c r="AR15" i="3"/>
  <c r="CA9" i="4" a="1"/>
  <c r="D46" i="3"/>
  <c r="AR94" i="3"/>
  <c r="CA15" i="4" a="1"/>
  <c r="D10" i="2"/>
  <c r="N31" i="2"/>
  <c r="H7" i="2"/>
  <c r="N7" i="2"/>
  <c r="R16" i="4" a="1"/>
  <c r="X35" i="2"/>
  <c r="M29" i="2"/>
  <c r="O29" i="2"/>
  <c r="M7" i="2"/>
  <c r="R17" i="2"/>
  <c r="CR8" i="4" a="1"/>
  <c r="AI46" i="3"/>
  <c r="DD13" i="4" a="1"/>
  <c r="E38" i="3"/>
  <c r="T11" i="2"/>
  <c r="BO8" i="4" a="1"/>
  <c r="U27" i="2"/>
  <c r="J24" i="2"/>
  <c r="Q35" i="2"/>
  <c r="O35" i="2"/>
  <c r="R30" i="2"/>
  <c r="DU8" i="4" a="1"/>
  <c r="G23" i="3"/>
  <c r="BA7" i="4" a="1"/>
  <c r="Y5" i="4" a="1"/>
  <c r="X63" i="2"/>
  <c r="K16" i="2"/>
  <c r="H18" i="2"/>
  <c r="V22" i="2"/>
  <c r="I32" i="2"/>
  <c r="S23" i="2"/>
  <c r="V5" i="2"/>
  <c r="S30" i="2"/>
  <c r="D38" i="3"/>
  <c r="V17" i="2"/>
  <c r="CO6" i="4" a="1"/>
  <c r="AR66" i="3"/>
  <c r="V31" i="2"/>
  <c r="K34" i="2"/>
  <c r="I19" i="2"/>
  <c r="I20" i="2"/>
  <c r="U7" i="2"/>
  <c r="S20" i="2"/>
  <c r="AL45" i="3"/>
  <c r="AR70" i="3"/>
  <c r="AN8" i="4" a="1"/>
  <c r="F25" i="2"/>
  <c r="D21" i="2"/>
  <c r="E28" i="2"/>
  <c r="W27" i="2"/>
  <c r="CI7" i="4" a="1"/>
  <c r="U29" i="2"/>
  <c r="D9" i="2"/>
  <c r="L7" i="2"/>
  <c r="D34" i="2"/>
  <c r="P10" i="2"/>
  <c r="DA7" i="4" a="1"/>
  <c r="I24" i="2"/>
  <c r="V18" i="2"/>
  <c r="L36" i="2"/>
  <c r="I22" i="2"/>
  <c r="BU6" i="4" a="1"/>
  <c r="U32" i="2"/>
  <c r="X15" i="2"/>
  <c r="K31" i="2"/>
  <c r="F9" i="2"/>
  <c r="X18" i="2"/>
  <c r="AD11" i="3"/>
  <c r="P12" i="2"/>
  <c r="BU8" i="4" a="1"/>
  <c r="AR21" i="3"/>
  <c r="ED9" i="4" a="1"/>
  <c r="AZ15" i="4" a="1"/>
  <c r="F10" i="2"/>
  <c r="K5" i="2"/>
  <c r="J13" i="2"/>
  <c r="N24" i="2"/>
  <c r="E13" i="2"/>
  <c r="BL12" i="4" a="1"/>
  <c r="AC45" i="3"/>
  <c r="T12" i="4" a="1"/>
  <c r="CY15" i="4" a="1"/>
  <c r="C13" i="2"/>
  <c r="CS8" i="4" a="1"/>
  <c r="G24" i="2"/>
  <c r="G27" i="2"/>
  <c r="S7" i="2"/>
  <c r="N6" i="2"/>
  <c r="BL13" i="4" a="1"/>
  <c r="AR82" i="3"/>
  <c r="H21" i="2"/>
  <c r="U19" i="2"/>
  <c r="S32" i="2"/>
  <c r="F26" i="2"/>
  <c r="AF16" i="4" a="1"/>
  <c r="D40" i="3"/>
  <c r="BS12" i="4" a="1"/>
  <c r="F23" i="3"/>
  <c r="R26" i="2"/>
  <c r="CN16" i="4" a="1"/>
  <c r="Q78" i="2"/>
  <c r="U6" i="2"/>
  <c r="X66" i="2"/>
  <c r="T22" i="2"/>
  <c r="F18" i="2"/>
  <c r="DQ8" i="4" a="1"/>
  <c r="AR10" i="3"/>
  <c r="X17" i="2"/>
  <c r="E14" i="4" a="1"/>
  <c r="G25" i="2"/>
  <c r="E10" i="2"/>
  <c r="G8" i="2"/>
  <c r="S8" i="2"/>
  <c r="R24" i="2"/>
  <c r="O20" i="2"/>
  <c r="P13" i="2"/>
  <c r="X25" i="2"/>
  <c r="D31" i="3"/>
  <c r="AR48" i="3"/>
  <c r="R13" i="4" a="1"/>
  <c r="F23" i="2"/>
  <c r="W9" i="2"/>
  <c r="G34" i="2"/>
  <c r="N14" i="2"/>
  <c r="R21" i="2"/>
  <c r="E31" i="2"/>
  <c r="P6" i="2"/>
  <c r="AR8" i="3"/>
  <c r="W74" i="2"/>
  <c r="EG14" i="4" a="1"/>
  <c r="R15" i="2"/>
  <c r="L24" i="2"/>
  <c r="V9" i="2"/>
  <c r="AR89" i="3"/>
  <c r="AN7" i="4" a="1"/>
  <c r="X11" i="2"/>
  <c r="V12" i="2"/>
  <c r="X9" i="2"/>
  <c r="P15" i="2"/>
  <c r="F10" i="3"/>
  <c r="AK7" i="4" a="1"/>
  <c r="E8" i="3"/>
  <c r="L5" i="2"/>
  <c r="DG8" i="4" a="1"/>
  <c r="G21" i="3"/>
  <c r="DM5" i="4" a="1"/>
  <c r="E29" i="3"/>
  <c r="CK5" i="4" a="1"/>
  <c r="AX7" i="4" a="1"/>
  <c r="DL8" i="4" a="1"/>
  <c r="CV15" i="4" a="1"/>
  <c r="CE14" i="4" a="1"/>
  <c r="BU7" i="4" a="1"/>
  <c r="D26" i="3"/>
  <c r="F17" i="3"/>
  <c r="DU5" i="4" a="1"/>
  <c r="CH5" i="4" a="1"/>
  <c r="CP11" i="4" a="1"/>
  <c r="AV12" i="4" a="1"/>
  <c r="AC7" i="4" a="1"/>
  <c r="AA12" i="4" a="1"/>
  <c r="BR5" i="4" a="1"/>
  <c r="AI11" i="4" a="1"/>
  <c r="BT15" i="4" a="1"/>
  <c r="DB15" i="4" a="1"/>
  <c r="DH6" i="4" a="1"/>
  <c r="AV6" i="4" a="1"/>
  <c r="DY11" i="4" a="1"/>
  <c r="EA5" i="4" a="1"/>
  <c r="CM16" i="4" a="1"/>
  <c r="AS8" i="4" a="1"/>
  <c r="BD13" i="4" a="1"/>
  <c r="Z46" i="3"/>
  <c r="BC9" i="4" a="1"/>
  <c r="AH45" i="3"/>
  <c r="BD11" i="4" a="1"/>
  <c r="BA11" i="4" a="1"/>
  <c r="DP13" i="4" a="1"/>
  <c r="BH9" i="4" a="1"/>
  <c r="M8" i="4" a="1"/>
  <c r="CQ5" i="4" a="1"/>
  <c r="CT15" i="4" a="1"/>
  <c r="AX12" i="4" a="1"/>
  <c r="X36" i="2"/>
  <c r="L21" i="2"/>
  <c r="T19" i="2"/>
  <c r="E15" i="2"/>
  <c r="U5" i="2"/>
  <c r="D14" i="4" a="1"/>
  <c r="AR22" i="3"/>
  <c r="H34" i="2"/>
  <c r="I10" i="2"/>
  <c r="H26" i="2"/>
  <c r="Q23" i="2"/>
  <c r="BK8" i="4" a="1"/>
  <c r="E21" i="2"/>
  <c r="BH6" i="4" a="1"/>
  <c r="E22" i="3"/>
  <c r="CR5" i="4" a="1"/>
  <c r="AI9" i="4" a="1"/>
  <c r="O32" i="2"/>
  <c r="O16" i="2"/>
  <c r="H30" i="2"/>
  <c r="W13" i="2"/>
  <c r="AR59" i="3"/>
  <c r="CN14" i="4" a="1"/>
  <c r="G30" i="3"/>
  <c r="I33" i="2"/>
  <c r="DK7" i="4" a="1"/>
  <c r="AR78" i="3"/>
  <c r="CK14" i="4" a="1"/>
  <c r="D33" i="2"/>
  <c r="M32" i="2"/>
  <c r="D13" i="2"/>
  <c r="L11" i="2"/>
  <c r="S11" i="4" a="1"/>
  <c r="F36" i="3"/>
  <c r="M10" i="2"/>
  <c r="W46" i="2"/>
  <c r="R35" i="2"/>
  <c r="M30" i="2"/>
  <c r="BN16" i="4" a="1"/>
  <c r="AD14" i="3"/>
  <c r="CF6" i="4" a="1"/>
  <c r="D5" i="3"/>
  <c r="AR95" i="3"/>
  <c r="DM15" i="4" a="1"/>
  <c r="S12" i="2"/>
  <c r="D47" i="2"/>
  <c r="K21" i="2"/>
  <c r="H22" i="2"/>
  <c r="S45" i="3"/>
  <c r="BF12" i="4" a="1"/>
  <c r="DV16" i="4" a="1"/>
  <c r="X24" i="2"/>
  <c r="AJ14" i="4" a="1"/>
  <c r="F19" i="2"/>
  <c r="K59" i="2"/>
  <c r="W14" i="2"/>
  <c r="O24" i="2"/>
  <c r="W10" i="2"/>
  <c r="I5" i="2"/>
  <c r="G28" i="2"/>
  <c r="P24" i="2"/>
  <c r="CX7" i="4" a="1"/>
  <c r="M21" i="2"/>
  <c r="BH12" i="4" a="1"/>
  <c r="H8" i="2"/>
  <c r="E23" i="2"/>
  <c r="Q19" i="2"/>
  <c r="D16" i="2"/>
  <c r="X32" i="2"/>
  <c r="DM12" i="4" a="1"/>
  <c r="D10" i="3"/>
  <c r="F33" i="2"/>
  <c r="F13" i="2"/>
  <c r="Q22" i="2"/>
  <c r="T8" i="2"/>
  <c r="BL9" i="4" a="1"/>
  <c r="E18" i="3"/>
  <c r="EB8" i="4" a="1"/>
  <c r="AR20" i="3"/>
  <c r="V20" i="2"/>
  <c r="DF5" i="4" a="1"/>
  <c r="E19" i="2"/>
  <c r="C17" i="2"/>
  <c r="C19" i="2"/>
  <c r="F31" i="2"/>
  <c r="E10" i="3"/>
  <c r="AP16" i="4" a="1"/>
  <c r="BM8" i="4" a="1"/>
  <c r="R16" i="2"/>
  <c r="CT14" i="4" a="1"/>
  <c r="AR42" i="3"/>
  <c r="BY15" i="4" a="1"/>
  <c r="C14" i="2"/>
  <c r="Q5" i="2"/>
  <c r="Q58" i="2"/>
  <c r="Q34" i="2"/>
  <c r="DG15" i="4" a="1"/>
  <c r="X14" i="2"/>
  <c r="H12" i="2"/>
  <c r="O19" i="2"/>
  <c r="C24" i="2"/>
  <c r="O14" i="2"/>
  <c r="DG11" i="4" a="1"/>
  <c r="D25" i="3"/>
  <c r="T31" i="2"/>
  <c r="CR13" i="4" a="1"/>
  <c r="AJ46" i="3"/>
  <c r="AY7" i="4" a="1"/>
  <c r="Q14" i="2"/>
  <c r="D17" i="2"/>
  <c r="F5" i="2"/>
  <c r="D15" i="2"/>
  <c r="AK46" i="3"/>
  <c r="T21" i="2"/>
  <c r="BV5" i="4" a="1"/>
  <c r="S10" i="2"/>
  <c r="X7" i="4" a="1"/>
  <c r="P25" i="2"/>
  <c r="L8" i="2"/>
  <c r="U12" i="2"/>
  <c r="AR84" i="3"/>
  <c r="U10" i="2"/>
  <c r="Q26" i="2"/>
  <c r="T20" i="2"/>
  <c r="Q59" i="2"/>
  <c r="BH5" i="4" a="1"/>
  <c r="AD17" i="3"/>
  <c r="AY9" i="4" a="1"/>
  <c r="L20" i="2"/>
  <c r="X23" i="2"/>
  <c r="Q17" i="2"/>
  <c r="H27" i="2"/>
  <c r="L18" i="2"/>
  <c r="M15" i="2"/>
  <c r="J20" i="2"/>
  <c r="DG12" i="4" a="1"/>
  <c r="G17" i="3"/>
  <c r="X33" i="2"/>
  <c r="Q28" i="2"/>
  <c r="Q46" i="2"/>
  <c r="S33" i="2"/>
  <c r="V19" i="2"/>
  <c r="AK13" i="4" a="1"/>
  <c r="W35" i="2"/>
  <c r="O30" i="2"/>
  <c r="G26" i="2"/>
  <c r="N17" i="2"/>
  <c r="H46" i="3"/>
  <c r="AS49" i="3"/>
  <c r="BD6" i="4" a="1"/>
  <c r="N22" i="2"/>
  <c r="DZ16" i="4" a="1"/>
  <c r="R6" i="4" a="1"/>
  <c r="AO5" i="4" a="1"/>
  <c r="L9" i="4" a="1"/>
  <c r="Y11" i="4" a="1"/>
  <c r="BY6" i="4" a="1"/>
  <c r="DM13" i="4" a="1"/>
  <c r="BM12" i="4" a="1"/>
  <c r="CO11" i="4" a="1"/>
  <c r="AR46" i="3"/>
  <c r="AK11" i="4" a="1"/>
  <c r="AR26" i="3"/>
  <c r="BV11" i="4" a="1"/>
  <c r="BR9" i="4" a="1"/>
  <c r="E11" i="4" a="1"/>
  <c r="EJ6" i="4" a="1"/>
  <c r="T16" i="2"/>
  <c r="E34" i="2"/>
  <c r="C10" i="2"/>
  <c r="CI13" i="4" a="1"/>
  <c r="DW7" i="4" a="1"/>
  <c r="DD15" i="4" a="1"/>
  <c r="CL6" i="4" a="1"/>
  <c r="CC15" i="4" a="1"/>
  <c r="BS15" i="4" a="1"/>
  <c r="U26" i="2"/>
  <c r="CV6" i="4" a="1"/>
  <c r="AE13" i="4" a="1"/>
  <c r="DN11" i="4" a="1"/>
  <c r="D13" i="4" a="1"/>
  <c r="CC8" i="4" a="1"/>
  <c r="AB13" i="4" a="1"/>
  <c r="CC14" i="4" a="1"/>
  <c r="EI13" i="4" a="1"/>
  <c r="BC15" i="4" a="1"/>
  <c r="CS16" i="4" a="1"/>
  <c r="ED8" i="4" a="1"/>
  <c r="V24" i="2"/>
  <c r="L32" i="2"/>
  <c r="E6" i="2"/>
  <c r="H99" i="2"/>
  <c r="E30" i="2"/>
  <c r="BO5" i="4" a="1"/>
  <c r="N34" i="2"/>
  <c r="W46" i="3"/>
  <c r="G35" i="2"/>
  <c r="Q13" i="2"/>
  <c r="AJ12" i="4" a="1"/>
  <c r="CD8" i="4" a="1"/>
  <c r="U16" i="2"/>
  <c r="P23" i="2"/>
  <c r="D12" i="2"/>
  <c r="F31" i="3"/>
  <c r="J6" i="2"/>
  <c r="J31" i="2"/>
  <c r="AR29" i="3"/>
  <c r="CT8" i="4" a="1"/>
  <c r="DQ9" i="4" a="1"/>
  <c r="BJ5" i="4" a="1"/>
  <c r="L22" i="2"/>
  <c r="N23" i="2"/>
  <c r="AD10" i="3"/>
  <c r="F34" i="3"/>
  <c r="O12" i="2"/>
  <c r="H6" i="2"/>
  <c r="H24" i="2"/>
  <c r="S36" i="2"/>
  <c r="CF14" i="4" a="1"/>
  <c r="AR92" i="3"/>
  <c r="E29" i="2"/>
  <c r="L6" i="2"/>
  <c r="P30" i="2"/>
  <c r="F32" i="3"/>
  <c r="G6" i="3"/>
  <c r="W25" i="2"/>
  <c r="V32" i="2"/>
  <c r="E23" i="3"/>
  <c r="S19" i="2"/>
  <c r="X16" i="2"/>
  <c r="AR62" i="3"/>
  <c r="D25" i="2"/>
  <c r="E18" i="2"/>
  <c r="D36" i="2"/>
  <c r="BT7" i="4" a="1"/>
  <c r="DX6" i="4" a="1"/>
  <c r="BS5" i="4" a="1"/>
  <c r="DF14" i="4" a="1"/>
  <c r="DI6" i="4" a="1"/>
  <c r="E17" i="3"/>
  <c r="Y46" i="3"/>
  <c r="J16" i="4" a="1"/>
  <c r="AU15" i="4" a="1"/>
  <c r="AW6" i="4" a="1"/>
  <c r="Y7" i="4" a="1"/>
  <c r="DC5" i="4" a="1"/>
  <c r="G18" i="2"/>
  <c r="AD13" i="3"/>
  <c r="BV8" i="4" a="1"/>
  <c r="BL5" i="4" a="1"/>
  <c r="AX15" i="4" a="1"/>
  <c r="P29" i="2"/>
  <c r="D17" i="3"/>
  <c r="P45" i="3"/>
  <c r="DT11" i="4" a="1"/>
  <c r="EC6" i="4" a="1"/>
  <c r="AD12" i="4" a="1"/>
  <c r="C16" i="2"/>
  <c r="BB16" i="4" a="1"/>
  <c r="EC16" i="4" a="1"/>
  <c r="EF15" i="4" a="1"/>
  <c r="AM14" i="4" a="1"/>
  <c r="AD16" i="4" a="1"/>
  <c r="AL9" i="4" a="1"/>
  <c r="CI5" i="4" a="1"/>
  <c r="G16" i="3"/>
  <c r="AN45" i="3"/>
  <c r="F20" i="3"/>
  <c r="CC16" i="4" a="1"/>
  <c r="BV6" i="4" a="1"/>
  <c r="DH11" i="4" a="1"/>
  <c r="BX13" i="4" a="1"/>
  <c r="EG15" i="4" a="1"/>
  <c r="AO9" i="4" a="1"/>
  <c r="EE7" i="4" a="1"/>
  <c r="CU14" i="4" a="1"/>
  <c r="DV12" i="4" a="1"/>
  <c r="BV14" i="4" a="1"/>
  <c r="Q12" i="4" a="1"/>
  <c r="DZ14" i="4" a="1"/>
  <c r="AQ5" i="4" a="1"/>
  <c r="CJ16" i="4" a="1"/>
  <c r="BV16" i="4" a="1"/>
  <c r="AR15" i="4" a="1"/>
  <c r="AR80" i="3"/>
  <c r="N46" i="3"/>
  <c r="AR17" i="3"/>
  <c r="BB14" i="4" a="1"/>
  <c r="AT9" i="4" a="1"/>
  <c r="R12" i="4" a="1"/>
  <c r="H15" i="4" a="1"/>
  <c r="AH14" i="4" a="1"/>
  <c r="CY8" i="4" a="1"/>
  <c r="DI13" i="4" a="1"/>
  <c r="CA5" i="4" a="1"/>
  <c r="Q46" i="3"/>
  <c r="EG12" i="4" a="1"/>
  <c r="I45" i="3"/>
  <c r="AL8" i="4" a="1"/>
  <c r="AR14" i="4" a="1"/>
  <c r="AU13" i="4" a="1"/>
  <c r="BE13" i="4" a="1"/>
  <c r="D41" i="3"/>
  <c r="DU7" i="4" a="1"/>
  <c r="AK45" i="3"/>
  <c r="CS5" i="4" a="1"/>
  <c r="BL15" i="4" a="1"/>
  <c r="DP5" i="4" a="1"/>
  <c r="CX12" i="4" a="1"/>
  <c r="DY7" i="4" a="1"/>
  <c r="BP9" i="4" a="1"/>
  <c r="BM16" i="4" a="1"/>
  <c r="AZ11" i="4" a="1"/>
  <c r="AF5" i="4" a="1"/>
  <c r="EG7" i="4" a="1"/>
  <c r="CM15" i="4" a="1"/>
  <c r="CI12" i="4" a="1"/>
  <c r="X22" i="2"/>
  <c r="DP8" i="4" a="1"/>
  <c r="EC8" i="4" a="1"/>
  <c r="BP15" i="4" a="1"/>
  <c r="BR14" i="4" a="1"/>
  <c r="BF13" i="4" a="1"/>
  <c r="BP13" i="4" a="1"/>
  <c r="CW12" i="4" a="1"/>
  <c r="CI9" i="4" a="1"/>
  <c r="BT8" i="4" a="1"/>
  <c r="K27" i="2"/>
  <c r="AN16" i="4" a="1"/>
  <c r="BD16" i="4" a="1"/>
  <c r="U7" i="4" a="1"/>
  <c r="CO12" i="4" a="1"/>
  <c r="CC5" i="4" a="1"/>
  <c r="G15" i="4" a="1"/>
  <c r="W12" i="4" a="1"/>
  <c r="AT14" i="4" a="1"/>
  <c r="EC9" i="4" a="1"/>
  <c r="CE7" i="4" a="1"/>
  <c r="EI5" i="4" a="1"/>
  <c r="J15" i="4" a="1"/>
  <c r="X5" i="4" a="1"/>
  <c r="E32" i="3"/>
  <c r="DE5" i="4" a="1"/>
  <c r="S7" i="4" a="1"/>
  <c r="CD13" i="4" a="1"/>
  <c r="BY9" i="4" a="1"/>
  <c r="O45" i="3"/>
  <c r="AS11" i="4" a="1"/>
  <c r="BN13" i="4" a="1"/>
  <c r="DQ7" i="4" a="1"/>
  <c r="DN16" i="4" a="1"/>
  <c r="CV13" i="4" a="1"/>
  <c r="DO5" i="4" a="1"/>
  <c r="AW11" i="4" a="1"/>
  <c r="DO15" i="4" a="1"/>
  <c r="H12" i="4" a="1"/>
  <c r="BC11" i="4" a="1"/>
  <c r="DF12" i="4" a="1"/>
  <c r="AL11" i="4" a="1"/>
  <c r="AR13" i="4" a="1"/>
  <c r="BK12" i="4" a="1"/>
  <c r="S8" i="4" a="1"/>
  <c r="AB15" i="4" a="1"/>
  <c r="K12" i="4" a="1"/>
  <c r="CJ5" i="4" a="1"/>
  <c r="BQ15" i="4" a="1"/>
  <c r="CB15" i="4" a="1"/>
  <c r="BA16" i="4" a="1"/>
  <c r="DI7" i="4" a="1"/>
  <c r="G15" i="2"/>
  <c r="DE11" i="4" a="1"/>
  <c r="C32" i="2"/>
  <c r="R6" i="2"/>
  <c r="S28" i="2"/>
  <c r="DB16" i="4" a="1"/>
  <c r="F35" i="3"/>
  <c r="J32" i="2"/>
  <c r="BA12" i="4" a="1"/>
  <c r="W14" i="4" a="1"/>
  <c r="AM8" i="4" a="1"/>
  <c r="U16" i="4" a="1"/>
  <c r="E6" i="3"/>
  <c r="C20" i="2"/>
  <c r="DP11" i="4" a="1"/>
  <c r="N8" i="4" a="1"/>
  <c r="H6" i="4" a="1"/>
  <c r="EC12" i="4" a="1"/>
  <c r="V15" i="2"/>
  <c r="EK6" i="4" a="1"/>
  <c r="E9" i="3"/>
  <c r="V29" i="2"/>
  <c r="AR50" i="3"/>
  <c r="T46" i="3"/>
  <c r="L28" i="2"/>
  <c r="H28" i="2"/>
  <c r="D37" i="3"/>
  <c r="O46" i="3"/>
  <c r="DK5" i="4" a="1"/>
  <c r="V26" i="2"/>
  <c r="U35" i="2"/>
  <c r="AD7" i="4" a="1"/>
  <c r="AR71" i="3"/>
  <c r="E28" i="3"/>
  <c r="Q20" i="2"/>
  <c r="C8" i="2"/>
  <c r="C9" i="4" a="1"/>
  <c r="T34" i="2"/>
  <c r="R12" i="2"/>
  <c r="CV9" i="4" a="1"/>
  <c r="BQ8" i="4" a="1"/>
  <c r="I21" i="2"/>
  <c r="K13" i="2"/>
  <c r="C27" i="2"/>
  <c r="F14" i="3"/>
  <c r="CM12" i="4" a="1"/>
  <c r="AK14" i="4" a="1"/>
  <c r="I23" i="2"/>
  <c r="U24" i="2"/>
  <c r="P16" i="2"/>
  <c r="X92" i="2"/>
  <c r="AR37" i="3"/>
  <c r="L23" i="2"/>
  <c r="O36" i="2"/>
  <c r="M14" i="2"/>
  <c r="Q32" i="2"/>
  <c r="K45" i="3"/>
  <c r="E16" i="3"/>
  <c r="J27" i="2"/>
  <c r="U17" i="2"/>
  <c r="D8" i="3"/>
  <c r="I17" i="2"/>
  <c r="O5" i="2"/>
  <c r="G26" i="3"/>
  <c r="X46" i="3"/>
  <c r="AR87" i="3"/>
  <c r="E26" i="2"/>
  <c r="EG5" i="4" a="1"/>
  <c r="DR11" i="4" a="1"/>
  <c r="P15" i="4" a="1"/>
  <c r="AZ9" i="4" a="1"/>
  <c r="DY13" i="4" a="1"/>
  <c r="D18" i="2"/>
  <c r="AD8" i="4" a="1"/>
  <c r="I14" i="4" a="1"/>
  <c r="DR14" i="4" a="1"/>
  <c r="DI9" i="4" a="1"/>
  <c r="DU16" i="4" a="1"/>
  <c r="Q29" i="2"/>
  <c r="AD18" i="3"/>
  <c r="G15" i="3"/>
  <c r="AR5" i="4" a="1"/>
  <c r="CZ14" i="4" a="1"/>
  <c r="AZ5" i="4" a="1"/>
  <c r="D42" i="3"/>
  <c r="F11" i="3"/>
  <c r="AR28" i="3"/>
  <c r="CV5" i="4" a="1"/>
  <c r="DM7" i="4" a="1"/>
  <c r="M23" i="2"/>
  <c r="J30" i="2"/>
  <c r="AL15" i="4" a="1"/>
  <c r="CZ7" i="4" a="1"/>
  <c r="AG14" i="4" a="1"/>
  <c r="AM16" i="4" a="1"/>
  <c r="T6" i="4" a="1"/>
  <c r="BG9" i="4" a="1"/>
  <c r="W9" i="4" a="1"/>
  <c r="AQ12" i="4" a="1"/>
  <c r="AD5" i="3"/>
  <c r="G45" i="3"/>
  <c r="BL16" i="4" a="1"/>
  <c r="E15" i="4" a="1"/>
  <c r="EI8" i="4" a="1"/>
  <c r="CY9" i="4" a="1"/>
  <c r="EI15" i="4" a="1"/>
  <c r="BD12" i="4" a="1"/>
  <c r="AZ8" i="4" a="1"/>
  <c r="CR12" i="4" a="1"/>
  <c r="Q7" i="4" a="1"/>
  <c r="DH15" i="4" a="1"/>
  <c r="P7" i="4" a="1"/>
  <c r="AS6" i="4" a="1"/>
  <c r="AR16" i="4" a="1"/>
  <c r="BQ14" i="4" a="1"/>
  <c r="CK6" i="4" a="1"/>
  <c r="BT12" i="4" a="1"/>
  <c r="F42" i="3"/>
  <c r="AD9" i="4" a="1"/>
  <c r="G13" i="3"/>
  <c r="CG7" i="4" a="1"/>
  <c r="CL13" i="4" a="1"/>
  <c r="BX11" i="4" a="1"/>
  <c r="CW11" i="4" a="1"/>
  <c r="T5" i="4" a="1"/>
  <c r="DM16" i="4" a="1"/>
  <c r="I5" i="4" a="1"/>
  <c r="CG9" i="4" a="1"/>
  <c r="Z15" i="4" a="1"/>
  <c r="EI14" i="4" a="1"/>
  <c r="Z8" i="4" a="1"/>
  <c r="N14" i="4" a="1"/>
  <c r="DW9" i="4" a="1"/>
  <c r="DJ6" i="4" a="1"/>
  <c r="CA16" i="4" a="1"/>
  <c r="DV5" i="4" a="1"/>
  <c r="CG12" i="4" a="1"/>
  <c r="J8" i="4" a="1"/>
  <c r="CQ11" i="4" a="1"/>
  <c r="CU7" i="4" a="1"/>
  <c r="X9" i="4" a="1"/>
  <c r="AQ8" i="4" a="1"/>
  <c r="CO8" i="4" a="1"/>
  <c r="CD11" i="4" a="1"/>
  <c r="DK14" i="4" a="1"/>
  <c r="F28" i="2"/>
  <c r="BY14" i="4" a="1"/>
  <c r="CJ12" i="4" a="1"/>
  <c r="CF11" i="4" a="1"/>
  <c r="BU9" i="4" a="1"/>
  <c r="D28" i="3"/>
  <c r="N7" i="4" a="1"/>
  <c r="AJ7" i="4" a="1"/>
  <c r="DH13" i="4" a="1"/>
  <c r="D7" i="4" a="1"/>
  <c r="D15" i="4" a="1"/>
  <c r="EH6" i="4" a="1"/>
  <c r="DV13" i="4" a="1"/>
  <c r="G55" i="3"/>
  <c r="DB7" i="4" a="1"/>
  <c r="AG7" i="4" a="1"/>
  <c r="BM7" i="4" a="1"/>
  <c r="O16" i="4" a="1"/>
  <c r="DM14" i="4" a="1"/>
  <c r="BH8" i="4" a="1"/>
  <c r="EI7" i="4" a="1"/>
  <c r="BA6" i="4" a="1"/>
  <c r="AV8" i="4" a="1"/>
  <c r="BM15" i="4" a="1"/>
  <c r="DZ9" i="4" a="1"/>
  <c r="DL16" i="4" a="1"/>
  <c r="CO15" i="4" a="1"/>
  <c r="DJ12" i="4" a="1"/>
  <c r="DI16" i="4" a="1"/>
  <c r="BG8" i="4" a="1"/>
  <c r="CN5" i="4" a="1"/>
  <c r="DE13" i="4" a="1"/>
  <c r="BB7" i="4" a="1"/>
  <c r="BW14" i="4" a="1"/>
  <c r="DS5" i="4" a="1"/>
  <c r="BW6" i="4" a="1"/>
  <c r="CJ15" i="4" a="1"/>
  <c r="AC13" i="4" a="1"/>
  <c r="CI6" i="4" a="1"/>
  <c r="G79" i="3"/>
  <c r="V11" i="2"/>
  <c r="BX15" i="4" a="1"/>
  <c r="BN8" i="4" a="1"/>
  <c r="DD5" i="4" a="1"/>
  <c r="BH13" i="4" a="1"/>
  <c r="DT6" i="4" a="1"/>
  <c r="Z11" i="4" a="1"/>
  <c r="CJ13" i="4" a="1"/>
  <c r="AW8" i="4" a="1"/>
  <c r="BK16" i="4" a="1"/>
  <c r="DU11" i="4" a="1"/>
  <c r="DG7" i="4" a="1"/>
  <c r="AJ45" i="3"/>
  <c r="R9" i="4" a="1"/>
  <c r="BC16" i="4" a="1"/>
  <c r="V35" i="2"/>
  <c r="N11" i="4" a="1"/>
  <c r="DT9" i="4" a="1"/>
  <c r="J8" i="2"/>
  <c r="CQ7" i="4" a="1"/>
  <c r="L11" i="4" a="1"/>
  <c r="AY6" i="4" a="1"/>
  <c r="C33" i="2"/>
  <c r="BW8" i="4" a="1"/>
  <c r="CS9" i="4" a="1"/>
  <c r="CN13" i="4" a="1"/>
  <c r="BS9" i="4" a="1"/>
  <c r="AJ16" i="4" a="1"/>
  <c r="G70" i="3"/>
  <c r="CQ15" i="4" a="1"/>
  <c r="AS15" i="4" a="1"/>
  <c r="BO7" i="4" a="1"/>
  <c r="BK5" i="4" a="1"/>
  <c r="W7" i="4" a="1"/>
  <c r="ED6" i="4" a="1"/>
  <c r="Z5" i="4" a="1"/>
  <c r="DU12" i="4" a="1"/>
  <c r="AE6" i="4" a="1"/>
  <c r="DS6" i="4" a="1"/>
  <c r="D29" i="2"/>
  <c r="D35" i="2"/>
  <c r="W21" i="2"/>
  <c r="T36" i="2"/>
  <c r="I25" i="2"/>
  <c r="BQ13" i="4" a="1"/>
  <c r="CB5" i="4" a="1"/>
  <c r="F15" i="2"/>
  <c r="CS12" i="4" a="1"/>
  <c r="X19" i="2"/>
  <c r="U14" i="2"/>
  <c r="AR47" i="3"/>
  <c r="AR45" i="3"/>
  <c r="O7" i="2"/>
  <c r="R11" i="2"/>
  <c r="D11" i="3"/>
  <c r="AM45" i="3"/>
  <c r="BA5" i="4" a="1"/>
  <c r="S26" i="2"/>
  <c r="W20" i="2"/>
  <c r="Q7" i="2"/>
  <c r="E27" i="2"/>
  <c r="AL46" i="3"/>
  <c r="T26" i="2"/>
  <c r="S25" i="2"/>
  <c r="DQ13" i="4" a="1"/>
  <c r="G20" i="2"/>
  <c r="H19" i="2"/>
  <c r="BR13" i="4" a="1"/>
  <c r="AR76" i="3"/>
  <c r="E26" i="3"/>
  <c r="P36" i="2"/>
  <c r="D23" i="2"/>
  <c r="G28" i="3"/>
  <c r="EC7" i="4" a="1"/>
  <c r="D19" i="2"/>
  <c r="I28" i="2"/>
  <c r="E9" i="2"/>
  <c r="Q18" i="2"/>
  <c r="W70" i="2"/>
  <c r="G46" i="3"/>
  <c r="L33" i="2"/>
  <c r="H20" i="2"/>
  <c r="G23" i="2"/>
  <c r="O8" i="2"/>
  <c r="DL9" i="4" a="1"/>
  <c r="F40" i="3"/>
  <c r="O26" i="2"/>
  <c r="X13" i="2"/>
  <c r="BQ7" i="4" a="1"/>
  <c r="L31" i="2"/>
  <c r="K20" i="2"/>
  <c r="AR30" i="3"/>
  <c r="AC46" i="3"/>
  <c r="AM46" i="3"/>
  <c r="D21" i="3"/>
  <c r="CU9" i="4" a="1"/>
  <c r="DV15" i="4" a="1"/>
  <c r="DZ5" i="4" a="1"/>
  <c r="AC5" i="4" a="1"/>
  <c r="EA11" i="4" a="1"/>
  <c r="AR34" i="3"/>
  <c r="BZ5" i="4" a="1"/>
  <c r="EK15" i="4" a="1"/>
  <c r="K6" i="4" a="1"/>
  <c r="AU6" i="4" a="1"/>
  <c r="EH9" i="4" a="1"/>
  <c r="Q45" i="3"/>
  <c r="G18" i="3"/>
  <c r="D20" i="3"/>
  <c r="DD12" i="4" a="1"/>
  <c r="N16" i="4" a="1"/>
  <c r="AE11" i="4" a="1"/>
  <c r="DC9" i="4" a="1"/>
  <c r="AD6" i="3"/>
  <c r="AF7" i="4" a="1"/>
  <c r="AW12" i="4" a="1"/>
  <c r="AU8" i="4" a="1"/>
  <c r="AR85" i="3"/>
  <c r="D19" i="3"/>
  <c r="U14" i="4" a="1"/>
  <c r="Y15" i="4" a="1"/>
  <c r="BB15" i="4" a="1"/>
  <c r="CW8" i="4" a="1"/>
  <c r="AU5" i="4" a="1"/>
  <c r="CQ9" i="4" a="1"/>
  <c r="R7" i="4" a="1"/>
  <c r="G31" i="3"/>
  <c r="G22" i="3"/>
  <c r="P46" i="3"/>
  <c r="BH16" i="4" a="1"/>
  <c r="BR8" i="4" a="1"/>
  <c r="T14" i="4" a="1"/>
  <c r="P5" i="4" a="1"/>
  <c r="BZ16" i="4" a="1"/>
  <c r="U6" i="4" a="1"/>
  <c r="BH7" i="4" a="1"/>
  <c r="DR9" i="4" a="1"/>
  <c r="AG6" i="4" a="1"/>
  <c r="DY8" i="4" a="1"/>
  <c r="AM5" i="4" a="1"/>
  <c r="CF9" i="4" a="1"/>
  <c r="EH8" i="4" a="1"/>
  <c r="CK16" i="4" a="1"/>
  <c r="DW5" i="4" a="1"/>
  <c r="DK15" i="4" a="1"/>
  <c r="F21" i="3"/>
  <c r="AI14" i="4" a="1"/>
  <c r="D14" i="3"/>
  <c r="G11" i="4" a="1"/>
  <c r="X12" i="4" a="1"/>
  <c r="CQ8" i="4" a="1"/>
  <c r="DD11" i="4" a="1"/>
  <c r="BJ13" i="4" a="1"/>
  <c r="DC11" i="4" a="1"/>
  <c r="CJ8" i="4" a="1"/>
  <c r="DH7" i="4" a="1"/>
  <c r="AP9" i="4" a="1"/>
  <c r="BS7" i="4" a="1"/>
  <c r="AC11" i="4" a="1"/>
  <c r="AS13" i="4" a="1"/>
  <c r="Z12" i="4" a="1"/>
  <c r="BE5" i="4" a="1"/>
  <c r="AS16" i="4" a="1"/>
  <c r="AR11" i="4" a="1"/>
  <c r="AO11" i="4" a="1"/>
  <c r="BZ15" i="4" a="1"/>
  <c r="AE15" i="4" a="1"/>
  <c r="DC6" i="4" a="1"/>
  <c r="BW16" i="4" a="1"/>
  <c r="CK9" i="4" a="1"/>
  <c r="U13" i="4" a="1"/>
  <c r="AE9" i="4" a="1"/>
  <c r="AN9" i="4" a="1"/>
  <c r="D7" i="3"/>
  <c r="DX12" i="4" a="1"/>
  <c r="DC13" i="4" a="1"/>
  <c r="U8" i="4" a="1"/>
  <c r="DW8" i="4" a="1"/>
  <c r="D11" i="2"/>
  <c r="DX14" i="4" a="1"/>
  <c r="BN6" i="4" a="1"/>
  <c r="DT13" i="4" a="1"/>
  <c r="AJ13" i="4" a="1"/>
  <c r="AP7" i="4" a="1"/>
  <c r="EB13" i="4" a="1"/>
  <c r="CX11" i="4" a="1"/>
  <c r="BG11" i="4" a="1"/>
  <c r="DC16" i="4" a="1"/>
  <c r="DR12" i="4" a="1"/>
  <c r="CU16" i="4" a="1"/>
  <c r="DV14" i="4" a="1"/>
  <c r="AT12" i="4" a="1"/>
  <c r="BG15" i="4" a="1"/>
  <c r="O15" i="4" a="1"/>
  <c r="CT5" i="4" a="1"/>
  <c r="BX12" i="4" a="1"/>
  <c r="AR13" i="3"/>
  <c r="BL14" i="4" a="1"/>
  <c r="BY11" i="4" a="1"/>
  <c r="J13" i="4" a="1"/>
  <c r="BK14" i="4" a="1"/>
  <c r="C46" i="3"/>
  <c r="CK11" i="4" a="1"/>
  <c r="CH11" i="4" a="1"/>
  <c r="ED15" i="4" a="1"/>
  <c r="G97" i="3"/>
  <c r="CF5" i="4" a="1"/>
  <c r="DR13" i="4" a="1"/>
  <c r="T13" i="4" a="1"/>
  <c r="AR8" i="4" a="1"/>
  <c r="F27" i="3"/>
  <c r="J7" i="4" a="1"/>
  <c r="H10" i="2"/>
  <c r="W11" i="4" a="1"/>
  <c r="BJ12" i="4" a="1"/>
  <c r="L8" i="4" a="1"/>
  <c r="O31" i="2"/>
  <c r="AT15" i="4" a="1"/>
  <c r="AB12" i="4" a="1"/>
  <c r="CJ6" i="4" a="1"/>
  <c r="EF12" i="4" a="1"/>
  <c r="M24" i="2"/>
  <c r="AH11" i="4" a="1"/>
  <c r="DN12" i="4" a="1"/>
  <c r="AN6" i="4" a="1"/>
  <c r="BZ13" i="4" a="1"/>
  <c r="AF48" i="3"/>
  <c r="AQ14" i="4" a="1"/>
  <c r="W34" i="2"/>
  <c r="CE12" i="4" a="1"/>
  <c r="DS7" i="4" a="1"/>
  <c r="E40" i="3"/>
  <c r="EB5" i="4" a="1"/>
  <c r="Y13" i="4" a="1"/>
  <c r="G63" i="3"/>
  <c r="DD16" i="4" a="1"/>
  <c r="Q69" i="2"/>
  <c r="AD45" i="3"/>
  <c r="C15" i="2"/>
  <c r="BD5" i="4" a="1"/>
  <c r="K26" i="2"/>
  <c r="Q16" i="2"/>
  <c r="J26" i="2"/>
  <c r="AR57" i="3"/>
  <c r="BW15" i="4" a="1"/>
  <c r="M6" i="4" a="1"/>
  <c r="BZ8" i="4" a="1"/>
  <c r="EF8" i="4" a="1"/>
  <c r="BS16" i="4" a="1"/>
  <c r="F25" i="3"/>
  <c r="AI15" i="4" a="1"/>
  <c r="L14" i="2"/>
  <c r="AW16" i="4" a="1"/>
  <c r="DJ14" i="4" a="1"/>
  <c r="DY16" i="4" a="1"/>
  <c r="DX16" i="4" a="1"/>
  <c r="CG6" i="4" a="1"/>
  <c r="T32" i="2"/>
  <c r="S16" i="4" a="1"/>
  <c r="H14" i="4" a="1"/>
  <c r="N11" i="2"/>
  <c r="G29" i="2"/>
  <c r="V25" i="2"/>
  <c r="W36" i="2"/>
  <c r="R10" i="2"/>
  <c r="I11" i="2"/>
  <c r="F24" i="3"/>
  <c r="BY8" i="4" a="1"/>
  <c r="DO12" i="4" a="1"/>
  <c r="K36" i="2"/>
  <c r="S22" i="2"/>
  <c r="E7" i="2"/>
  <c r="M6" i="2"/>
  <c r="AR39" i="3"/>
  <c r="I14" i="2"/>
  <c r="Q30" i="2"/>
  <c r="CU6" i="4" a="1"/>
  <c r="O27" i="2"/>
  <c r="G22" i="2"/>
  <c r="DF11" i="4" a="1"/>
  <c r="T25" i="2"/>
  <c r="D15" i="3"/>
  <c r="H36" i="2"/>
  <c r="M35" i="2"/>
  <c r="Y45" i="3"/>
  <c r="K15" i="4" a="1"/>
  <c r="D32" i="2"/>
  <c r="P34" i="2"/>
  <c r="V21" i="2"/>
  <c r="O6" i="2"/>
  <c r="AR54" i="3"/>
  <c r="D32" i="3"/>
  <c r="S17" i="2"/>
  <c r="I18" i="2"/>
  <c r="L17" i="2"/>
  <c r="G16" i="2"/>
  <c r="DF15" i="4" a="1"/>
  <c r="Q14" i="4" a="1"/>
  <c r="N25" i="2"/>
  <c r="D26" i="2"/>
  <c r="AZ7" i="4" a="1"/>
  <c r="O34" i="2"/>
  <c r="N30" i="2"/>
  <c r="G19" i="3"/>
  <c r="E30" i="3"/>
  <c r="D16" i="3"/>
  <c r="G13" i="2"/>
  <c r="E11" i="2"/>
  <c r="I16" i="4" a="1"/>
  <c r="AJ15" i="4" a="1"/>
  <c r="DA12" i="4" a="1"/>
  <c r="CS11" i="4" a="1"/>
  <c r="DT7" i="4" a="1"/>
  <c r="CH7" i="4" a="1"/>
  <c r="DI8" i="4" a="1"/>
  <c r="AV14" i="4" a="1"/>
  <c r="DT15" i="4" a="1"/>
  <c r="Y9" i="4" a="1"/>
  <c r="DP9" i="4" a="1"/>
  <c r="G20" i="3"/>
  <c r="CI14" i="4" a="1"/>
  <c r="BS11" i="4" a="1"/>
  <c r="AZ16" i="4" a="1"/>
  <c r="CI11" i="4" a="1"/>
  <c r="E17" i="2"/>
  <c r="EJ5" i="4" a="1"/>
  <c r="DV7" i="4" a="1"/>
  <c r="CM9" i="4" a="1"/>
  <c r="Q25" i="2"/>
  <c r="AR61" i="3"/>
  <c r="T45" i="3"/>
  <c r="DN6" i="4" a="1"/>
  <c r="BE14" i="4" a="1"/>
  <c r="BR6" i="4" a="1"/>
  <c r="K13" i="4" a="1"/>
  <c r="CI8" i="4" a="1"/>
  <c r="AW14" i="4" a="1"/>
  <c r="BE16" i="4" a="1"/>
  <c r="AR31" i="3"/>
  <c r="CZ16" i="4" a="1"/>
  <c r="AD16" i="3"/>
  <c r="G14" i="4" a="1"/>
  <c r="CP16" i="4" a="1"/>
  <c r="DK11" i="4" a="1"/>
  <c r="CD7" i="4" a="1"/>
  <c r="EK7" i="4" a="1"/>
  <c r="CF13" i="4" a="1"/>
  <c r="AT6" i="4" a="1"/>
  <c r="DO13" i="4" a="1"/>
  <c r="AA15" i="4" a="1"/>
  <c r="X6" i="4" a="1"/>
  <c r="BE6" i="4" a="1"/>
  <c r="R14" i="4" a="1"/>
  <c r="BJ14" i="4" a="1"/>
  <c r="W16" i="4" a="1"/>
  <c r="DW14" i="4" a="1"/>
  <c r="CK7" i="4" a="1"/>
  <c r="EI16" i="4" a="1"/>
  <c r="CQ6" i="4" a="1"/>
  <c r="EC15" i="4" a="1"/>
  <c r="EB16" i="4" a="1"/>
  <c r="DY12" i="4" a="1"/>
  <c r="DA14" i="4" a="1"/>
  <c r="AT16" i="4" a="1"/>
  <c r="E5" i="4" a="1"/>
  <c r="BP14" i="4" a="1"/>
  <c r="DE8" i="4" a="1"/>
  <c r="CG13" i="4" a="1"/>
  <c r="Y8" i="4" a="1"/>
  <c r="AX6" i="4" a="1"/>
  <c r="BK13" i="4" a="1"/>
  <c r="CN9" i="4" a="1"/>
  <c r="AC8" i="4" a="1"/>
  <c r="AN13" i="4" a="1"/>
  <c r="DS9" i="4" a="1"/>
  <c r="CX15" i="4" a="1"/>
  <c r="BI16" i="4" a="1"/>
  <c r="S15" i="4" a="1"/>
  <c r="R5" i="4" a="1"/>
  <c r="CB11" i="4" a="1"/>
  <c r="AJ5" i="4" a="1"/>
  <c r="Z13" i="4" a="1"/>
  <c r="DZ15" i="4" a="1"/>
  <c r="EB15" i="4" a="1"/>
  <c r="DM11" i="4" a="1"/>
  <c r="U28" i="2"/>
  <c r="EA14" i="4" a="1"/>
  <c r="I12" i="4" a="1"/>
  <c r="BE9" i="4" a="1"/>
  <c r="CL11" i="4" a="1"/>
  <c r="DT12" i="4" a="1"/>
  <c r="AD13" i="4" a="1"/>
  <c r="AN12" i="4" a="1"/>
  <c r="CO16" i="4" a="1"/>
  <c r="EA9" i="4" a="1"/>
  <c r="BG6" i="4" a="1"/>
  <c r="AT11" i="4" a="1"/>
  <c r="DA8" i="4" a="1"/>
  <c r="DY9" i="4" a="1"/>
  <c r="CH16" i="4" a="1"/>
  <c r="DF6" i="4" a="1"/>
  <c r="BI12" i="4" a="1"/>
  <c r="I6" i="4" a="1"/>
  <c r="G77" i="3"/>
  <c r="AB14" i="4" a="1"/>
  <c r="DF8" i="4" a="1"/>
  <c r="CZ9" i="4" a="1"/>
  <c r="CE13" i="4" a="1"/>
  <c r="AE7" i="4" a="1"/>
  <c r="CB6" i="4" a="1"/>
  <c r="F6" i="4" a="1"/>
  <c r="AD6" i="4" a="1"/>
  <c r="CD6" i="4" a="1"/>
  <c r="AL5" i="4" a="1"/>
  <c r="BO9" i="4" a="1"/>
  <c r="Q9" i="4" a="1"/>
  <c r="EH14" i="4" a="1"/>
  <c r="G65" i="3"/>
  <c r="AJ9" i="4" a="1"/>
  <c r="BG16" i="4" a="1"/>
  <c r="G57" i="3"/>
  <c r="AK12" i="4" a="1"/>
  <c r="DO8" i="4" a="1"/>
  <c r="CP7" i="4" a="1"/>
  <c r="G58" i="3"/>
  <c r="BI6" i="4" a="1"/>
  <c r="S5" i="4" a="1"/>
  <c r="CE15" i="4" a="1"/>
  <c r="E33" i="3"/>
  <c r="M16" i="4" a="1"/>
  <c r="O8" i="4" a="1"/>
  <c r="DA5" i="4" a="1"/>
  <c r="CQ12" i="4" a="1"/>
  <c r="BB5" i="4" a="1"/>
  <c r="BA8" i="4" a="1"/>
  <c r="BV9" i="4" a="1"/>
  <c r="DI11" i="4" a="1"/>
  <c r="H15" i="2"/>
  <c r="CL15" i="4" a="1"/>
  <c r="AR16" i="3"/>
  <c r="G89" i="3"/>
  <c r="AX16" i="4" a="1"/>
  <c r="EE14" i="4" a="1"/>
  <c r="Q16" i="4" a="1"/>
  <c r="CR7" i="4" a="1"/>
  <c r="DB8" i="4" a="1"/>
  <c r="F7" i="4" a="1"/>
  <c r="CV14" i="4" a="1"/>
  <c r="CE5" i="4" a="1"/>
  <c r="AW9" i="4" a="1"/>
  <c r="DA16" i="4" a="1"/>
  <c r="DJ16" i="4" a="1"/>
  <c r="S12" i="4" a="1"/>
  <c r="EG8" i="4" a="1"/>
  <c r="D31" i="2"/>
  <c r="EF5" i="4" a="1"/>
  <c r="CR9" i="4" a="1"/>
  <c r="V5" i="4" a="1"/>
  <c r="DC12" i="4" a="1"/>
  <c r="CC7" i="4" a="1"/>
  <c r="K7" i="4" a="1"/>
  <c r="CO7" i="4" a="1"/>
  <c r="CE9" i="4" a="1"/>
  <c r="BC5" i="4" a="1"/>
  <c r="ED14" i="4" a="1"/>
  <c r="EB6" i="4" a="1"/>
  <c r="BD7" i="4" a="1"/>
  <c r="AI5" i="4" a="1"/>
  <c r="I8" i="4" a="1"/>
  <c r="L25" i="2"/>
  <c r="CN15" i="4" a="1"/>
  <c r="AX9" i="4" a="1"/>
  <c r="BP8" i="4" a="1"/>
  <c r="AB16" i="4" a="1"/>
  <c r="F14" i="4" a="1"/>
  <c r="CU15" i="4" a="1"/>
  <c r="P6" i="4" a="1"/>
  <c r="I9" i="4" a="1"/>
  <c r="G84" i="3"/>
  <c r="CA6" i="4" a="1"/>
  <c r="CS7" i="4" a="1"/>
  <c r="BM5" i="4" a="1"/>
  <c r="DB12" i="4" a="1"/>
  <c r="G12" i="4" a="1"/>
  <c r="F16" i="2"/>
  <c r="E20" i="2"/>
  <c r="X34" i="2"/>
  <c r="T5" i="2"/>
  <c r="T15" i="2"/>
  <c r="F11" i="4" a="1"/>
  <c r="M8" i="2"/>
  <c r="K18" i="2"/>
  <c r="DG16" i="4" a="1"/>
  <c r="AR58" i="3"/>
  <c r="AY16" i="4" a="1"/>
  <c r="DE16" i="4" a="1"/>
  <c r="DZ12" i="4" a="1"/>
  <c r="CV7" i="4" a="1"/>
  <c r="EE13" i="4" a="1"/>
  <c r="E41" i="3"/>
  <c r="AM15" i="4" a="1"/>
  <c r="J5" i="2"/>
  <c r="BT14" i="4" a="1"/>
  <c r="CK13" i="4" a="1"/>
  <c r="EJ15" i="4" a="1"/>
  <c r="F18" i="3"/>
  <c r="EC13" i="4" a="1"/>
  <c r="D24" i="3"/>
  <c r="BO6" i="4" a="1"/>
  <c r="Q56" i="2"/>
  <c r="J21" i="2"/>
  <c r="F8" i="3"/>
  <c r="S27" i="2"/>
  <c r="K87" i="2"/>
  <c r="L27" i="2"/>
  <c r="F30" i="3"/>
  <c r="BR12" i="4" a="1"/>
  <c r="CA8" i="4" a="1"/>
  <c r="L9" i="2"/>
  <c r="M26" i="2"/>
  <c r="R22" i="2"/>
  <c r="D33" i="3"/>
  <c r="D18" i="3"/>
  <c r="O17" i="2"/>
  <c r="G33" i="2"/>
  <c r="AK6" i="4" a="1"/>
  <c r="T33" i="2"/>
  <c r="R28" i="2"/>
  <c r="T10" i="2"/>
  <c r="AR73" i="3"/>
  <c r="AD46" i="3"/>
  <c r="Q27" i="2"/>
  <c r="S31" i="2"/>
  <c r="BB8" i="4" a="1"/>
  <c r="AE16" i="4" a="1"/>
  <c r="R33" i="2"/>
  <c r="Q33" i="2"/>
  <c r="I27" i="2"/>
  <c r="N36" i="2"/>
  <c r="H35" i="2"/>
  <c r="F9" i="3"/>
  <c r="C28" i="2"/>
  <c r="O18" i="2"/>
  <c r="C59" i="2"/>
  <c r="L12" i="2"/>
  <c r="BB13" i="4" a="1"/>
  <c r="DL6" i="4" a="1"/>
  <c r="V14" i="2"/>
  <c r="R32" i="2"/>
  <c r="BP11" i="4" a="1"/>
  <c r="R54" i="2"/>
  <c r="J35" i="2"/>
  <c r="L45" i="3"/>
  <c r="CY6" i="4" a="1"/>
  <c r="AR11" i="3"/>
  <c r="EH5" i="4" a="1"/>
  <c r="AR55" i="3"/>
  <c r="J14" i="4" a="1"/>
  <c r="DO7" i="4" a="1"/>
  <c r="AK16" i="4" a="1"/>
  <c r="DE7" i="4" a="1"/>
  <c r="DB14" i="4" a="1"/>
  <c r="DW6" i="4" a="1"/>
  <c r="CU8" i="4" a="1"/>
  <c r="DL12" i="4" a="1"/>
  <c r="AH16" i="4" a="1"/>
  <c r="DZ8" i="4" a="1"/>
  <c r="E36" i="2"/>
  <c r="BJ11" i="4" a="1"/>
  <c r="CB7" i="4" a="1"/>
  <c r="ED5" i="4" a="1"/>
  <c r="EA12" i="4" a="1"/>
  <c r="DR7" i="4" a="1"/>
  <c r="D36" i="3"/>
  <c r="DP14" i="4" a="1"/>
  <c r="EG16" i="4" a="1"/>
  <c r="AT13" i="4" a="1"/>
  <c r="T23" i="2"/>
  <c r="D12" i="3"/>
  <c r="D45" i="3"/>
  <c r="F13" i="4" a="1"/>
  <c r="DG6" i="4" a="1"/>
  <c r="G6" i="4" a="1"/>
  <c r="AI12" i="4" a="1"/>
  <c r="BO15" i="4" a="1"/>
  <c r="DT16" i="4" a="1"/>
  <c r="D92" i="3"/>
  <c r="CC11" i="4" a="1"/>
  <c r="CX14" i="4" a="1"/>
  <c r="BF9" i="4" a="1"/>
  <c r="BI14" i="4" a="1"/>
  <c r="DH16" i="4" a="1"/>
  <c r="BC8" i="4" a="1"/>
  <c r="BZ12" i="4" a="1"/>
  <c r="DW11" i="4" a="1"/>
  <c r="ED11" i="4" a="1"/>
  <c r="AA16" i="4" a="1"/>
  <c r="BD8" i="4" a="1"/>
  <c r="BO11" i="4" a="1"/>
  <c r="BZ11" i="4" a="1"/>
  <c r="M11" i="2"/>
  <c r="AQ15" i="4" a="1"/>
  <c r="DS8" i="4" a="1"/>
  <c r="S6" i="4" a="1"/>
  <c r="AS5" i="4" a="1"/>
  <c r="H11" i="4" a="1"/>
  <c r="V15" i="4" a="1"/>
  <c r="AG15" i="4" a="1"/>
  <c r="D8" i="4" a="1"/>
  <c r="EE6" i="4" a="1"/>
  <c r="BU16" i="4" a="1"/>
  <c r="DZ11" i="4" a="1"/>
  <c r="DY6" i="4" a="1"/>
  <c r="EJ8" i="4" a="1"/>
  <c r="G9" i="4" a="1"/>
  <c r="W6" i="4" a="1"/>
  <c r="D59" i="3"/>
  <c r="Q5" i="4" a="1"/>
  <c r="DG5" i="4" a="1"/>
  <c r="DF7" i="4" a="1"/>
  <c r="CD12" i="4" a="1"/>
  <c r="BF15" i="4" a="1"/>
  <c r="Y12" i="4" a="1"/>
  <c r="DB9" i="4" a="1"/>
  <c r="CL9" i="4" a="1"/>
  <c r="U9" i="4" a="1"/>
  <c r="AC14" i="4" a="1"/>
  <c r="AL7" i="4" a="1"/>
  <c r="BU15" i="4" a="1"/>
  <c r="BI15" i="4" a="1"/>
  <c r="DM9" i="4" a="1"/>
  <c r="BU5" i="4" a="1"/>
  <c r="M9" i="4" a="1"/>
  <c r="CD16" i="4" a="1"/>
  <c r="DM6" i="4" a="1"/>
  <c r="CN6" i="4" a="1"/>
  <c r="DJ7" i="4" a="1"/>
  <c r="CG5" i="4" a="1"/>
  <c r="BB9" i="4" a="1"/>
  <c r="F32" i="2"/>
  <c r="EE5" i="4" a="1"/>
  <c r="CW5" i="4" a="1"/>
  <c r="CS13" i="4" a="1"/>
  <c r="BJ6" i="4" a="1"/>
  <c r="AG5" i="4" a="1"/>
  <c r="EJ16" i="4" a="1"/>
  <c r="BJ16" i="4" a="1"/>
  <c r="BH15" i="4" a="1"/>
  <c r="G87" i="3"/>
  <c r="DS16" i="4" a="1"/>
  <c r="BS8" i="4" a="1"/>
  <c r="BV15" i="4" a="1"/>
  <c r="G82" i="3"/>
  <c r="AX8" i="4" a="1"/>
  <c r="AS9" i="4" a="1"/>
  <c r="AV11" i="4" a="1"/>
  <c r="CR16" i="4" a="1"/>
  <c r="F39" i="3"/>
  <c r="BI11" i="4" a="1"/>
  <c r="P11" i="4" a="1"/>
  <c r="BF5" i="4" a="1"/>
  <c r="AB8" i="4" a="1"/>
  <c r="E20" i="3"/>
  <c r="H16" i="4" a="1"/>
  <c r="CH14" i="4" a="1"/>
  <c r="G91" i="3"/>
  <c r="CI16" i="4" a="1"/>
  <c r="G8" i="4" a="1"/>
  <c r="N32" i="2"/>
  <c r="AO16" i="4" a="1"/>
  <c r="AF14" i="4" a="1"/>
  <c r="DF9" i="4" a="1"/>
  <c r="CT16" i="4" a="1"/>
  <c r="AO6" i="4" a="1"/>
  <c r="CW6" i="4" a="1"/>
  <c r="CM5" i="4" a="1"/>
  <c r="DN7" i="4" a="1"/>
  <c r="DE6" i="4" a="1"/>
  <c r="DK16" i="4" a="1"/>
  <c r="DQ15" i="4" a="1"/>
  <c r="V6" i="4" a="1"/>
  <c r="AH9" i="4" a="1"/>
  <c r="E12" i="4" a="1"/>
  <c r="CG16" i="4" a="1"/>
  <c r="CL8" i="4" a="1"/>
  <c r="DB13" i="4" a="1"/>
  <c r="T7" i="4" a="1"/>
  <c r="CW9" i="4" a="1"/>
  <c r="AX5" i="4" a="1"/>
  <c r="Y14" i="4" a="1"/>
  <c r="BN14" i="4" a="1"/>
  <c r="DO14" i="4" a="1"/>
  <c r="BN12" i="4" a="1"/>
  <c r="EE16" i="4" a="1"/>
  <c r="N5" i="2"/>
  <c r="I31" i="2"/>
  <c r="S13" i="2"/>
  <c r="E14" i="3"/>
  <c r="P27" i="2"/>
  <c r="N27" i="2"/>
  <c r="F22" i="3"/>
  <c r="F38" i="3"/>
  <c r="BS6" i="4" a="1"/>
  <c r="C7" i="4" a="1"/>
  <c r="O28" i="2"/>
  <c r="L26" i="2"/>
  <c r="W19" i="2"/>
  <c r="E39" i="3"/>
  <c r="AZ14" i="4" a="1"/>
  <c r="R29" i="2"/>
  <c r="J15" i="2"/>
  <c r="EI6" i="4" a="1"/>
  <c r="S34" i="2"/>
  <c r="M27" i="2"/>
  <c r="P18" i="2"/>
  <c r="S11" i="2"/>
  <c r="AO46" i="3"/>
  <c r="F20" i="2"/>
  <c r="D27" i="2"/>
  <c r="AM11" i="4" a="1"/>
  <c r="AI13" i="4" a="1"/>
  <c r="U25" i="2"/>
  <c r="I15" i="2"/>
  <c r="H29" i="2"/>
  <c r="W5" i="2"/>
  <c r="G7" i="3"/>
  <c r="E27" i="3"/>
  <c r="R34" i="2"/>
  <c r="K35" i="2"/>
  <c r="V36" i="2"/>
  <c r="X8" i="2"/>
  <c r="M7" i="4" a="1"/>
  <c r="J18" i="2"/>
  <c r="T28" i="2"/>
  <c r="M25" i="2"/>
  <c r="C8" i="4" a="1"/>
  <c r="E14" i="2"/>
  <c r="X7" i="2"/>
  <c r="CK15" i="4" a="1"/>
  <c r="AI16" i="4" a="1"/>
  <c r="D9" i="3"/>
  <c r="BD15" i="4" a="1"/>
  <c r="C65" i="2"/>
  <c r="DX5" i="4" a="1"/>
  <c r="EK9" i="4" a="1"/>
  <c r="AA14" i="4" a="1"/>
  <c r="DD14" i="4" a="1"/>
  <c r="BX16" i="4" a="1"/>
  <c r="W7" i="2"/>
  <c r="AK5" i="4" a="1"/>
  <c r="CL5" i="4" a="1"/>
  <c r="BG12" i="4" a="1"/>
  <c r="CA7" i="4" a="1"/>
  <c r="AR19" i="3"/>
  <c r="C15" i="4" a="1"/>
  <c r="AH8" i="4" a="1"/>
  <c r="BT6" i="4" a="1"/>
  <c r="AE8" i="4" a="1"/>
  <c r="E13" i="4" a="1"/>
  <c r="AD9" i="3"/>
  <c r="AV16" i="4" a="1"/>
  <c r="DP16" i="4" a="1"/>
  <c r="EB11" i="4" a="1"/>
  <c r="M45" i="3"/>
  <c r="G10" i="3"/>
  <c r="BY7" i="4" a="1"/>
  <c r="AV5" i="4" a="1"/>
  <c r="DE9" i="4" a="1"/>
  <c r="DD6" i="4" a="1"/>
  <c r="D5" i="4" a="1"/>
  <c r="EC14" i="4" a="1"/>
  <c r="CB14" i="4" a="1"/>
  <c r="G86" i="3"/>
  <c r="CS14" i="4" a="1"/>
  <c r="BK6" i="4" a="1"/>
  <c r="BI13" i="4" a="1"/>
  <c r="CH13" i="4" a="1"/>
  <c r="BQ12" i="4" a="1"/>
  <c r="U12" i="4" a="1"/>
  <c r="EG9" i="4" a="1"/>
  <c r="BT11" i="4" a="1"/>
  <c r="X14" i="4" a="1"/>
  <c r="CB12" i="4" a="1"/>
  <c r="F89" i="2"/>
  <c r="AR49" i="3"/>
  <c r="U33" i="2"/>
  <c r="BH14" i="4" a="1"/>
  <c r="DW13" i="4" a="1"/>
  <c r="AS12" i="4" a="1"/>
  <c r="CR6" i="4" a="1"/>
  <c r="DB11" i="4" a="1"/>
  <c r="O7" i="4" a="1"/>
  <c r="CW7" i="4" a="1"/>
  <c r="DQ16" i="4" a="1"/>
  <c r="C16" i="4" a="1"/>
  <c r="CV8" i="4" a="1"/>
  <c r="CG14" i="4" a="1"/>
  <c r="CR11" i="4" a="1"/>
  <c r="DN5" i="4" a="1"/>
  <c r="BL7" i="4" a="1"/>
  <c r="E6" i="4" a="1"/>
  <c r="D55" i="3"/>
  <c r="AY11" i="4" a="1"/>
  <c r="R27" i="2"/>
  <c r="DE12" i="4" a="1"/>
  <c r="V11" i="4" a="1"/>
  <c r="DY15" i="4" a="1"/>
  <c r="AO7" i="4" a="1"/>
  <c r="DU15" i="4" a="1"/>
  <c r="C25" i="2"/>
  <c r="AR56" i="3"/>
  <c r="AC12" i="4" a="1"/>
  <c r="DC8" i="4" a="1"/>
  <c r="BK7" i="4" a="1"/>
  <c r="CA11" i="4" a="1"/>
  <c r="EH11" i="4" a="1"/>
  <c r="DP15" i="4" a="1"/>
  <c r="AU9" i="4" a="1"/>
  <c r="CT13" i="4" a="1"/>
  <c r="C26" i="2"/>
  <c r="DQ6" i="4" a="1"/>
  <c r="CR15" i="4" a="1"/>
  <c r="AA13" i="4" a="1"/>
  <c r="G61" i="3"/>
  <c r="AE5" i="4" a="1"/>
  <c r="G66" i="3"/>
  <c r="AY5" i="4" a="1"/>
  <c r="BW9" i="4" a="1"/>
  <c r="P20" i="2"/>
  <c r="F27" i="2"/>
  <c r="AR69" i="3"/>
  <c r="J12" i="2"/>
  <c r="Z45" i="3"/>
  <c r="K16" i="4" a="1"/>
  <c r="C14" i="4" a="1"/>
  <c r="L7" i="4" a="1"/>
  <c r="CF15" i="4" a="1"/>
  <c r="AP6" i="4" a="1"/>
  <c r="AB46" i="3"/>
  <c r="AR86" i="3"/>
  <c r="BA14" i="4" a="1"/>
  <c r="CJ11" i="4" a="1"/>
  <c r="CV12" i="4" a="1"/>
  <c r="J11" i="4" a="1"/>
  <c r="DS13" i="4" a="1"/>
  <c r="F14" i="2"/>
  <c r="DK6" i="4" a="1"/>
  <c r="CX13" i="4" a="1"/>
  <c r="S13" i="4" a="1"/>
  <c r="DU6" i="4" a="1"/>
  <c r="CU11" i="4" a="1"/>
  <c r="AP11" i="4" a="1"/>
  <c r="DA6" i="4" a="1"/>
  <c r="AO15" i="4" a="1"/>
  <c r="H9" i="4" a="1"/>
  <c r="F5" i="3"/>
  <c r="M18" i="2"/>
  <c r="G7" i="2"/>
  <c r="U36" i="2"/>
  <c r="E5" i="2"/>
  <c r="P14" i="4" a="1"/>
  <c r="AW5" i="4" a="1"/>
  <c r="N15" i="4" a="1"/>
  <c r="CZ15" i="4" a="1"/>
  <c r="BI8" i="4" a="1"/>
  <c r="EJ11" i="4" a="1"/>
  <c r="D84" i="3"/>
  <c r="BJ9" i="4" a="1"/>
  <c r="AU12" i="4" a="1"/>
  <c r="CY11" i="4" a="1"/>
  <c r="DG9" i="4" a="1"/>
  <c r="X13" i="4" a="1"/>
  <c r="AV9" i="4" a="1"/>
  <c r="J6" i="4" a="1"/>
  <c r="U34" i="2"/>
  <c r="Q55" i="2"/>
  <c r="AR25" i="3"/>
  <c r="K12" i="2"/>
  <c r="S16" i="2"/>
  <c r="AR33" i="3"/>
  <c r="Y16" i="4" a="1"/>
  <c r="CM8" i="4" a="1"/>
  <c r="EE11" i="4" a="1"/>
  <c r="K24" i="2"/>
  <c r="F36" i="2"/>
  <c r="X12" i="2"/>
  <c r="D39" i="3"/>
  <c r="DH14" i="4" a="1"/>
  <c r="K10" i="2"/>
  <c r="S9" i="2"/>
  <c r="C29" i="2"/>
  <c r="P17" i="2"/>
  <c r="F7" i="2"/>
  <c r="K19" i="2"/>
  <c r="E5" i="3"/>
  <c r="D35" i="3"/>
  <c r="Q31" i="2"/>
  <c r="S21" i="2"/>
  <c r="DL14" i="4" a="1"/>
  <c r="DD9" i="4" a="1"/>
  <c r="K17" i="2"/>
  <c r="H54" i="2"/>
  <c r="C31" i="2"/>
  <c r="O25" i="2"/>
  <c r="F19" i="3"/>
  <c r="BV7" i="4" a="1"/>
  <c r="I35" i="2"/>
  <c r="T35" i="2"/>
  <c r="P35" i="2"/>
  <c r="X27" i="2"/>
  <c r="DC7" i="4" a="1"/>
  <c r="V7" i="2"/>
  <c r="K11" i="2"/>
  <c r="G5" i="2"/>
  <c r="EK8" i="4" a="1"/>
  <c r="N16" i="2"/>
  <c r="H49" i="2"/>
  <c r="AX11" i="4" a="1"/>
  <c r="DH12" i="4" a="1"/>
  <c r="AO6" i="3"/>
  <c r="DX13" i="4" a="1"/>
  <c r="D14" i="2"/>
  <c r="CF8" i="4" a="1"/>
  <c r="DU14" i="4" a="1"/>
  <c r="L14" i="4" a="1"/>
  <c r="DW12" i="4" a="1"/>
  <c r="EF13" i="4" a="1"/>
  <c r="AR88" i="3"/>
  <c r="EG6" i="4" a="1"/>
  <c r="AY8" i="4" a="1"/>
  <c r="AC6" i="4" a="1"/>
  <c r="AE14" i="4" a="1"/>
  <c r="E36" i="3"/>
  <c r="CW14" i="4" a="1"/>
  <c r="R11" i="4" a="1"/>
  <c r="DT5" i="4" a="1"/>
  <c r="DW16" i="4" a="1"/>
  <c r="AW13" i="4" a="1"/>
  <c r="BF11" i="4" a="1"/>
  <c r="CM6" i="4" a="1"/>
  <c r="CS15" i="4" a="1"/>
  <c r="M13" i="4" a="1"/>
  <c r="CQ13" i="4" a="1"/>
  <c r="AR23" i="3"/>
  <c r="BE15" i="4" a="1"/>
  <c r="BR7" i="4" a="1"/>
  <c r="DQ12" i="4" a="1"/>
  <c r="DY5" i="4" a="1"/>
  <c r="AR7" i="4" a="1"/>
  <c r="CO5" i="4" a="1"/>
  <c r="BJ8" i="4" a="1"/>
  <c r="G69" i="3"/>
  <c r="AC15" i="4" a="1"/>
  <c r="BE8" i="4" a="1"/>
  <c r="CD5" i="4" a="1"/>
  <c r="DR6" i="4" a="1"/>
  <c r="Z14" i="4" a="1"/>
  <c r="AA6" i="4" a="1"/>
  <c r="AB7" i="4" a="1"/>
  <c r="Q15" i="4" a="1"/>
  <c r="DA13" i="4" a="1"/>
  <c r="AR9" i="4" a="1"/>
  <c r="G74" i="3"/>
  <c r="AR63" i="3"/>
  <c r="N8" i="2"/>
  <c r="X26" i="2"/>
  <c r="CM7" i="4" a="1"/>
  <c r="EF6" i="4" a="1"/>
  <c r="F5" i="4" a="1"/>
  <c r="EA6" i="4" a="1"/>
  <c r="EG13" i="4" a="1"/>
  <c r="AP15" i="4" a="1"/>
  <c r="T8" i="4" a="1"/>
  <c r="AD11" i="4" a="1"/>
  <c r="CE11" i="4" a="1"/>
  <c r="AA5" i="4" a="1"/>
  <c r="AH12" i="4" a="1"/>
  <c r="BU11" i="4" a="1"/>
  <c r="BW5" i="4" a="1"/>
  <c r="BB12" i="4" a="1"/>
  <c r="BA15" i="4" a="1"/>
  <c r="R5" i="2"/>
  <c r="O21" i="2"/>
  <c r="R19" i="2"/>
  <c r="CM13" i="4" a="1"/>
  <c r="DZ7" i="4" a="1"/>
  <c r="BQ5" i="4" a="1"/>
  <c r="BJ7" i="4" a="1"/>
  <c r="P14" i="2"/>
  <c r="G21" i="2"/>
  <c r="J14" i="2"/>
  <c r="DF13" i="4" a="1"/>
  <c r="AH7" i="4" a="1"/>
  <c r="BV12" i="4" a="1"/>
  <c r="BR11" i="4" a="1"/>
  <c r="R15" i="4" a="1"/>
  <c r="BI9" i="4" a="1"/>
  <c r="G16" i="4" a="1"/>
  <c r="BM6" i="4" a="1"/>
  <c r="F26" i="3"/>
  <c r="AP12" i="4" a="1"/>
  <c r="AM13" i="4" a="1"/>
  <c r="AI6" i="4" a="1"/>
  <c r="G72" i="3"/>
  <c r="BI7" i="4" a="1"/>
  <c r="CB8" i="4" a="1"/>
  <c r="Q11" i="4" a="1"/>
  <c r="DI12" i="4" a="1"/>
  <c r="DZ13" i="4" a="1"/>
  <c r="EK13" i="4" a="1"/>
  <c r="D11" i="4" a="1"/>
  <c r="BP12" i="4" a="1"/>
  <c r="L16" i="4" a="1"/>
  <c r="DK9" i="4" a="1"/>
  <c r="CY5" i="4" a="1"/>
  <c r="DX8" i="4" a="1"/>
  <c r="I7" i="4" a="1"/>
  <c r="G67" i="3"/>
  <c r="AR41" i="3"/>
  <c r="DX15" i="4" a="1"/>
  <c r="EE15" i="4" a="1"/>
  <c r="H5" i="4" a="1"/>
  <c r="CC13" i="4" a="1"/>
  <c r="CJ7" i="4" a="1"/>
  <c r="DR15" i="4" a="1"/>
  <c r="EH12" i="4" a="1"/>
  <c r="CY12" i="4" a="1"/>
  <c r="CP12" i="4" a="1"/>
  <c r="AL16" i="4" a="1"/>
  <c r="F15" i="4" a="1"/>
  <c r="AL13" i="4" a="1"/>
  <c r="T11" i="4" a="1"/>
  <c r="AA8" i="4" a="1"/>
  <c r="AG11" i="4" a="1"/>
  <c r="AR14" i="3"/>
  <c r="DS15" i="4" a="1"/>
  <c r="G71" i="3"/>
  <c r="AM12" i="4" a="1"/>
  <c r="M11" i="4" a="1"/>
  <c r="CW16" i="4" a="1"/>
  <c r="DK8" i="4" a="1"/>
  <c r="DG14" i="4" a="1"/>
  <c r="AR60" i="3"/>
  <c r="EB7" i="4" a="1"/>
  <c r="BK9" i="4" a="1"/>
  <c r="F71" i="3"/>
  <c r="F65" i="3"/>
  <c r="F75" i="3"/>
  <c r="F50" i="3"/>
  <c r="P32" i="2"/>
  <c r="X28" i="2"/>
  <c r="DS12" i="4" a="1"/>
  <c r="Q10" i="2"/>
  <c r="G9" i="2"/>
  <c r="DL15" i="4" a="1"/>
  <c r="BZ9" i="4" a="1"/>
  <c r="R36" i="2"/>
  <c r="C6" i="2"/>
  <c r="O33" i="2"/>
  <c r="E11" i="3"/>
  <c r="AR35" i="3"/>
  <c r="DR16" i="4" a="1"/>
  <c r="X8" i="4" a="1"/>
  <c r="F24" i="2"/>
  <c r="AR68" i="3"/>
  <c r="I34" i="2"/>
  <c r="CI15" i="4" a="1"/>
  <c r="CO9" i="4" a="1"/>
  <c r="J10" i="2"/>
  <c r="EJ7" i="4" a="1"/>
  <c r="F8" i="2"/>
  <c r="G11" i="2"/>
  <c r="V34" i="2"/>
  <c r="P26" i="2"/>
  <c r="BX9" i="4" a="1"/>
  <c r="P9" i="4" a="1"/>
  <c r="X41" i="2"/>
  <c r="G17" i="2"/>
  <c r="L34" i="2"/>
  <c r="T14" i="2"/>
  <c r="W17" i="2"/>
  <c r="W32" i="2"/>
  <c r="J5" i="4" a="1"/>
  <c r="CP5" i="4" a="1"/>
  <c r="CZ13" i="4" a="1"/>
  <c r="DD7" i="4" a="1"/>
  <c r="BE7" i="4" a="1"/>
  <c r="CT12" i="4" a="1"/>
  <c r="BE12" i="4" a="1"/>
  <c r="DN8" i="4" a="1"/>
  <c r="E75" i="3"/>
  <c r="AD14" i="4" a="1"/>
  <c r="BD14" i="4" a="1"/>
  <c r="D74" i="3"/>
  <c r="W45" i="3"/>
  <c r="G5" i="4" a="1"/>
  <c r="AF11" i="4" a="1"/>
  <c r="AG13" i="4" a="1"/>
  <c r="K14" i="2"/>
  <c r="AR24" i="3"/>
  <c r="CZ5" i="4" a="1"/>
  <c r="DI14" i="4" a="1"/>
  <c r="CY16" i="4" a="1"/>
  <c r="U23" i="2"/>
  <c r="P9" i="2"/>
  <c r="AR12" i="3"/>
  <c r="AI7" i="4" a="1"/>
  <c r="C12" i="2"/>
  <c r="CQ14" i="4" a="1"/>
  <c r="AR90" i="3"/>
  <c r="G30" i="2"/>
  <c r="P8" i="4" a="1"/>
  <c r="H7" i="4" a="1"/>
  <c r="C36" i="2"/>
  <c r="AR75" i="3"/>
  <c r="DA9" i="4" a="1"/>
  <c r="BT9" i="4" a="1"/>
  <c r="D12" i="4" a="1"/>
  <c r="DD8" i="4" a="1"/>
  <c r="DQ5" i="4" a="1"/>
  <c r="DC15" i="4" a="1"/>
  <c r="CE8" i="4" a="1"/>
  <c r="CM14" i="4" a="1"/>
  <c r="CZ8" i="4" a="1"/>
  <c r="Q6" i="2"/>
  <c r="R25" i="2"/>
  <c r="V23" i="2"/>
  <c r="K14" i="4" a="1"/>
  <c r="L10" i="2"/>
  <c r="EH16" i="4" a="1"/>
  <c r="S24" i="2"/>
  <c r="L30" i="2"/>
  <c r="K29" i="2"/>
  <c r="I13" i="2"/>
  <c r="U30" i="2"/>
  <c r="BO12" i="4" a="1"/>
  <c r="AA7" i="4" a="1"/>
  <c r="C23" i="2"/>
  <c r="AX13" i="4" a="1"/>
  <c r="CG8" i="4" a="1"/>
  <c r="N21" i="2"/>
  <c r="BN7" i="4" a="1"/>
  <c r="DJ11" i="4" a="1"/>
  <c r="AT5" i="4" a="1"/>
  <c r="BQ9" i="4" a="1"/>
  <c r="BG14" i="4" a="1"/>
  <c r="AN14" i="4" a="1"/>
  <c r="AZ6" i="4" a="1"/>
  <c r="F30" i="2"/>
  <c r="BZ14" i="4" a="1"/>
  <c r="K9" i="4" a="1"/>
  <c r="AH46" i="3"/>
  <c r="ED12" i="4" a="1"/>
  <c r="D34" i="3"/>
  <c r="CU5" i="4" a="1"/>
  <c r="CH6" i="4" a="1"/>
  <c r="AT8" i="4" a="1"/>
  <c r="C13" i="4" a="1"/>
  <c r="F9" i="4" a="1"/>
  <c r="CE16" i="4" a="1"/>
  <c r="AY14" i="4" a="1"/>
  <c r="CC6" i="4" a="1"/>
  <c r="G7" i="4" a="1"/>
  <c r="G93" i="3"/>
  <c r="CP9" i="4" a="1"/>
  <c r="CP14" i="4" a="1"/>
  <c r="U15" i="4" a="1"/>
  <c r="G64" i="3"/>
  <c r="CK8" i="4" a="1"/>
  <c r="BL11" i="4" a="1"/>
  <c r="M15" i="4" a="1"/>
  <c r="CB13" i="4" a="1"/>
  <c r="H25" i="2"/>
  <c r="G25" i="3"/>
  <c r="S5" i="2"/>
  <c r="BX6" i="4" a="1"/>
  <c r="M9" i="2"/>
  <c r="O14" i="4" a="1"/>
  <c r="BF14" i="4" a="1"/>
  <c r="F15" i="3"/>
  <c r="I8" i="2"/>
  <c r="O9" i="4" a="1"/>
  <c r="U8" i="2"/>
  <c r="DV11" i="4" a="1"/>
  <c r="Q8" i="4" a="1"/>
  <c r="DJ5" i="4" a="1"/>
  <c r="EE8" i="4" a="1"/>
  <c r="AF9" i="4" a="1"/>
  <c r="M5" i="4" a="1"/>
  <c r="F72" i="3"/>
  <c r="BV13" i="4" a="1"/>
  <c r="S14" i="4" a="1"/>
  <c r="K11" i="4" a="1"/>
  <c r="G96" i="3"/>
  <c r="P7" i="2"/>
  <c r="M19" i="2"/>
  <c r="K7" i="2"/>
  <c r="X15" i="4" a="1"/>
  <c r="V33" i="2"/>
  <c r="DG13" i="4" a="1"/>
  <c r="H33" i="2"/>
  <c r="C21" i="2"/>
  <c r="F34" i="2"/>
  <c r="C45" i="3"/>
  <c r="P22" i="2"/>
  <c r="EA13" i="4" a="1"/>
  <c r="P12" i="4" a="1"/>
  <c r="J34" i="2"/>
  <c r="DV6" i="4" a="1"/>
  <c r="BM13" i="4" a="1"/>
  <c r="R7" i="2"/>
  <c r="BG5" i="4" a="1"/>
  <c r="E7" i="4" a="1"/>
  <c r="DN14" i="4" a="1"/>
  <c r="EA8" i="4" a="1"/>
  <c r="BC6" i="4" a="1"/>
  <c r="AQ6" i="4" a="1"/>
  <c r="AW7" i="4" a="1"/>
  <c r="E19" i="3"/>
  <c r="X16" i="4" a="1"/>
  <c r="CH15" i="4" a="1"/>
  <c r="G24" i="3"/>
  <c r="CX9" i="4" a="1"/>
  <c r="F13" i="3"/>
  <c r="DM8" i="4" a="1"/>
  <c r="AS14" i="4" a="1"/>
  <c r="DV9" i="4" a="1"/>
  <c r="CD14" i="4" a="1"/>
  <c r="K8" i="4" a="1"/>
  <c r="BC14" i="4" a="1"/>
  <c r="AQ46" i="3"/>
  <c r="T9" i="4" a="1"/>
  <c r="DK12" i="4" a="1"/>
  <c r="CX5" i="4" a="1"/>
  <c r="G94" i="3"/>
  <c r="CD9" i="4" a="1"/>
  <c r="BM9" i="4" a="1"/>
  <c r="E42" i="3"/>
  <c r="CL16" i="4" a="1"/>
  <c r="EA7" i="4" a="1"/>
  <c r="DU9" i="4" a="1"/>
  <c r="F64" i="3"/>
  <c r="CX8" i="4" a="1"/>
  <c r="BS13" i="4" a="1"/>
  <c r="V14" i="4" a="1"/>
  <c r="CH12" i="4" a="1"/>
  <c r="DO16" i="4" a="1"/>
  <c r="BO14" i="4" a="1"/>
  <c r="CZ6" i="4" a="1"/>
  <c r="AO45" i="3"/>
  <c r="X11" i="4" a="1"/>
  <c r="BF8" i="4" a="1"/>
  <c r="G78" i="3"/>
  <c r="AG12" i="4" a="1"/>
  <c r="G88" i="3"/>
  <c r="DP6" i="4" a="1"/>
  <c r="DQ14" i="4" a="1"/>
  <c r="BX7" i="4" a="1"/>
  <c r="CQ16" i="4" a="1"/>
  <c r="Q54" i="2"/>
  <c r="DH9" i="4" a="1"/>
  <c r="DJ9" i="4" a="1"/>
  <c r="EI9" i="4" a="1"/>
  <c r="F90" i="3"/>
  <c r="AD12" i="3"/>
  <c r="EJ9" i="4" a="1"/>
  <c r="BO16" i="4" a="1"/>
  <c r="AA46" i="3"/>
  <c r="EE12" i="4" a="1"/>
  <c r="BH11" i="4" a="1"/>
  <c r="T18" i="2"/>
  <c r="I7" i="2"/>
  <c r="M31" i="2"/>
  <c r="L12" i="4" a="1"/>
  <c r="AO8" i="4" a="1"/>
  <c r="AR12" i="4" a="1"/>
  <c r="DC14" i="4" a="1"/>
  <c r="W8" i="4" a="1"/>
  <c r="G31" i="2"/>
  <c r="CB16" i="4" a="1"/>
  <c r="F22" i="2"/>
  <c r="BZ6" i="4" a="1"/>
  <c r="W5" i="4" a="1"/>
  <c r="T17" i="2"/>
  <c r="N5" i="4" a="1"/>
  <c r="AB5" i="4" a="1"/>
  <c r="BP16" i="4" a="1"/>
  <c r="AG46" i="3"/>
  <c r="O15" i="2"/>
  <c r="W23" i="2"/>
  <c r="G10" i="2"/>
  <c r="AF8" i="4" a="1"/>
  <c r="C9" i="2"/>
  <c r="CO13" i="4" a="1"/>
  <c r="N15" i="2"/>
  <c r="G36" i="2"/>
  <c r="X10" i="2"/>
  <c r="E21" i="3"/>
  <c r="L19" i="2"/>
  <c r="W28" i="2"/>
  <c r="G13" i="4" a="1"/>
  <c r="G9" i="3"/>
  <c r="I15" i="4" a="1"/>
  <c r="EI12" i="4" a="1"/>
  <c r="E45" i="2"/>
  <c r="CN7" i="4" a="1"/>
  <c r="CP8" i="4" a="1"/>
  <c r="BR15" i="4" a="1"/>
  <c r="BX5" i="4" a="1"/>
  <c r="AV7" i="4" a="1"/>
  <c r="C11" i="4" a="1"/>
  <c r="DJ13" i="4" a="1"/>
  <c r="AF13" i="4" a="1"/>
  <c r="AQ7" i="4" a="1"/>
  <c r="C12" i="4" a="1"/>
  <c r="CA14" i="4" a="1"/>
  <c r="BW13" i="4" a="1"/>
  <c r="CN8" i="4" a="1"/>
  <c r="EF14" i="4" a="1"/>
  <c r="BJ15" i="4" a="1"/>
  <c r="EH15" i="4" a="1"/>
  <c r="F73" i="3"/>
  <c r="BG13" i="4" a="1"/>
  <c r="F77" i="3"/>
  <c r="AR77" i="3"/>
  <c r="I16" i="2"/>
  <c r="CX6" i="4" a="1"/>
  <c r="H16" i="2"/>
  <c r="N9" i="2"/>
  <c r="R13" i="2"/>
  <c r="DP12" i="4" a="1"/>
  <c r="G27" i="3"/>
  <c r="K28" i="2"/>
  <c r="S15" i="2"/>
  <c r="U22" i="2"/>
  <c r="M20" i="2"/>
  <c r="DN9" i="4" a="1"/>
  <c r="AU16" i="4" a="1"/>
  <c r="AP45" i="3"/>
  <c r="AF15" i="4" a="1"/>
  <c r="EB12" i="4" a="1"/>
  <c r="C30" i="2"/>
  <c r="AH5" i="4" a="1"/>
  <c r="DH5" i="4" a="1"/>
  <c r="G81" i="3"/>
  <c r="CT6" i="4" a="1"/>
  <c r="V16" i="4" a="1"/>
  <c r="AR74" i="3"/>
  <c r="AD15" i="4" a="1"/>
  <c r="P21" i="2"/>
  <c r="BM11" i="4" a="1"/>
  <c r="DS11" i="4" a="1"/>
  <c r="AD15" i="3"/>
  <c r="CM11" i="4" a="1"/>
  <c r="BM14" i="4" a="1"/>
  <c r="AJ6" i="4" a="1"/>
  <c r="AW15" i="4" a="1"/>
  <c r="DY14" i="4" a="1"/>
  <c r="O13" i="4" a="1"/>
  <c r="AM9" i="4" a="1"/>
  <c r="AJ8" i="4" a="1"/>
  <c r="H5" i="2"/>
  <c r="DO11" i="4" a="1"/>
  <c r="CZ11" i="4" a="1"/>
  <c r="CW15" i="4" a="1"/>
  <c r="EF9" i="4" a="1"/>
  <c r="CV11" i="4" a="1"/>
  <c r="CY14" i="4" a="1"/>
  <c r="Z7" i="4" a="1"/>
  <c r="AQ9" i="4" a="1"/>
  <c r="R8" i="4" a="1"/>
  <c r="AR91" i="3"/>
  <c r="CW13" i="4" a="1"/>
  <c r="EF16" i="4" a="1"/>
  <c r="F97" i="3"/>
  <c r="V28" i="2"/>
  <c r="AB6" i="4" a="1"/>
  <c r="L5" i="4" a="1"/>
  <c r="CF7" i="4" a="1"/>
  <c r="EF11" i="4" a="1"/>
  <c r="EI11" i="4" a="1"/>
  <c r="DT8" i="4" a="1"/>
  <c r="EA16" i="4" a="1"/>
  <c r="W16" i="2"/>
  <c r="AO12" i="4" a="1"/>
  <c r="U45" i="3"/>
  <c r="EK16" i="4" a="1"/>
  <c r="AQ16" i="4" a="1"/>
  <c r="D6" i="2"/>
  <c r="I13" i="4" a="1"/>
  <c r="Z6" i="4" a="1"/>
  <c r="V8" i="2"/>
  <c r="AV13" i="4" a="1"/>
  <c r="EJ12" i="4" a="1"/>
  <c r="I9" i="2"/>
  <c r="CJ9" i="4" a="1"/>
  <c r="P19" i="2"/>
  <c r="K33" i="2"/>
  <c r="T29" i="2"/>
  <c r="AM6" i="4" a="1"/>
  <c r="I46" i="3"/>
  <c r="L35" i="2"/>
  <c r="U13" i="2"/>
  <c r="P69" i="2"/>
  <c r="J28" i="2"/>
  <c r="M14" i="4" a="1"/>
  <c r="U11" i="4" a="1"/>
  <c r="AP46" i="3"/>
  <c r="AF6" i="4" a="1"/>
  <c r="BF16" i="4" a="1"/>
  <c r="E25" i="3"/>
  <c r="M17" i="2"/>
  <c r="BC7" i="4" a="1"/>
  <c r="G6" i="2"/>
  <c r="Z9" i="4" a="1"/>
  <c r="EH13" i="4" a="1"/>
  <c r="AI45" i="3"/>
  <c r="P13" i="4" a="1"/>
  <c r="G11" i="3"/>
  <c r="CU13" i="4" a="1"/>
  <c r="BN5" i="4" a="1"/>
  <c r="AR27" i="3"/>
  <c r="DJ8" i="4" a="1"/>
  <c r="BG7" i="4" a="1"/>
  <c r="S9" i="4" a="1"/>
  <c r="AO13" i="4" a="1"/>
  <c r="BQ11" i="4" a="1"/>
  <c r="CL14" i="4" a="1"/>
  <c r="CK12" i="4" a="1"/>
  <c r="AP5" i="4" a="1"/>
  <c r="DE14" i="4" a="1"/>
  <c r="DR8" i="4" a="1"/>
  <c r="AQ11" i="4" a="1"/>
  <c r="F8" i="4" a="1"/>
  <c r="DN15" i="4" a="1"/>
  <c r="CV16" i="4" a="1"/>
  <c r="DB6" i="4" a="1"/>
  <c r="AP13" i="4" a="1"/>
  <c r="CA13" i="4" a="1"/>
  <c r="DX9" i="4" a="1"/>
  <c r="CF12" i="4" a="1"/>
  <c r="F81" i="3"/>
  <c r="BN15" i="4" a="1"/>
  <c r="CE6" i="4" a="1"/>
  <c r="N20" i="2"/>
  <c r="BR16" i="4" a="1"/>
  <c r="AT7" i="4" a="1"/>
  <c r="AG16" i="4" a="1"/>
  <c r="F58" i="3"/>
  <c r="L6" i="4" a="1"/>
  <c r="F28" i="3"/>
  <c r="AJ11" i="4" a="1"/>
  <c r="G62" i="3"/>
  <c r="E9" i="4" a="1"/>
  <c r="EF7" i="4" a="1"/>
  <c r="CY7" i="4" a="1"/>
  <c r="F67" i="3"/>
  <c r="F12" i="4" a="1"/>
  <c r="EE9" i="4" a="1"/>
  <c r="AZ13" i="4" a="1"/>
  <c r="ED7" i="4" a="1"/>
  <c r="DI15" i="4" a="1"/>
  <c r="EC5" i="4" a="1"/>
  <c r="DS14" i="4" a="1"/>
  <c r="BX8" i="4" a="1"/>
  <c r="V12" i="4" a="1"/>
  <c r="DN13" i="4" a="1"/>
  <c r="U31" i="2"/>
  <c r="DU13" i="4" a="1"/>
  <c r="O11" i="4" a="1"/>
  <c r="L13" i="4" a="1"/>
  <c r="F35" i="2"/>
  <c r="AD5" i="4" a="1"/>
  <c r="E25" i="2"/>
  <c r="T12" i="2"/>
  <c r="R20" i="2"/>
  <c r="DW15" i="4" a="1"/>
  <c r="V46" i="3"/>
  <c r="L16" i="2"/>
  <c r="H11" i="2"/>
  <c r="K6" i="2"/>
  <c r="M33" i="2"/>
  <c r="BL8" i="4" a="1"/>
  <c r="BW7" i="4" a="1"/>
  <c r="N9" i="4" a="1"/>
  <c r="CH9" i="4" a="1"/>
  <c r="H8" i="4" a="1"/>
  <c r="R46" i="3"/>
  <c r="AR72" i="3"/>
  <c r="AN5" i="4" a="1"/>
  <c r="E16" i="2"/>
  <c r="DT14" i="4" a="1"/>
  <c r="AZ12" i="4" a="1"/>
  <c r="G12" i="3"/>
  <c r="CC12" i="4" a="1"/>
  <c r="AR40" i="3"/>
  <c r="EB9" i="4" a="1"/>
  <c r="AP8" i="4" a="1"/>
  <c r="E31" i="3"/>
  <c r="EK14" i="4" a="1"/>
  <c r="N12" i="4" a="1"/>
  <c r="V7" i="4" a="1"/>
  <c r="AK15" i="4" a="1"/>
  <c r="G75" i="3"/>
  <c r="EG11" i="4" a="1"/>
  <c r="BW11" i="4" a="1"/>
  <c r="T15" i="4" a="1"/>
  <c r="BW12" i="4" a="1"/>
  <c r="G92" i="3"/>
  <c r="M12" i="4" a="1"/>
  <c r="K5" i="4" a="1"/>
  <c r="CX16" i="4" a="1"/>
  <c r="BC13" i="4" a="1"/>
  <c r="CU12" i="4" a="1"/>
  <c r="AG8" i="4" a="1"/>
  <c r="G56" i="3"/>
  <c r="BU14" i="4" a="1"/>
  <c r="F94" i="3"/>
  <c r="F48" i="3"/>
  <c r="AR65" i="3"/>
  <c r="J12" i="4" a="1"/>
  <c r="DL11" i="4" a="1"/>
  <c r="CD15" i="4" a="1"/>
  <c r="DI5" i="4" a="1"/>
  <c r="G85" i="3"/>
  <c r="AU14" i="4" a="1"/>
  <c r="Z16" i="4" a="1"/>
  <c r="AH6" i="4" a="1"/>
  <c r="BT16" i="4" a="1"/>
  <c r="CN12" i="4" a="1"/>
  <c r="G14" i="2"/>
  <c r="AR9" i="3"/>
  <c r="V13" i="4" a="1"/>
  <c r="CY13" i="4" a="1"/>
  <c r="E8" i="4" a="1"/>
  <c r="X29" i="2"/>
  <c r="CL7" i="4" a="1"/>
  <c r="AG9" i="4" a="1"/>
  <c r="AI8" i="4" a="1"/>
  <c r="AE46" i="3"/>
  <c r="AS47" i="3"/>
  <c r="ED13" i="4" a="1"/>
  <c r="D22" i="3"/>
  <c r="BO13" i="4" a="1"/>
  <c r="EK11" i="4" a="1"/>
  <c r="E12" i="3"/>
  <c r="AY15" i="4" a="1"/>
  <c r="AK8" i="4" a="1"/>
  <c r="V9" i="4" a="1"/>
  <c r="DO9" i="4" a="1"/>
  <c r="L13" i="2"/>
  <c r="AE45" i="3"/>
  <c r="T30" i="2"/>
  <c r="S18" i="2"/>
  <c r="S46" i="3"/>
  <c r="P16" i="4" a="1"/>
  <c r="DO6" i="4" a="1"/>
  <c r="AN46" i="3"/>
  <c r="J33" i="2"/>
  <c r="D29" i="3"/>
  <c r="T7" i="2"/>
  <c r="F75" i="2"/>
  <c r="AB11" i="4" a="1"/>
  <c r="N18" i="2"/>
  <c r="J22" i="2"/>
  <c r="I30" i="2"/>
  <c r="J23" i="2"/>
  <c r="L15" i="4" a="1"/>
  <c r="AL6" i="4" a="1"/>
  <c r="O6" i="4" a="1"/>
  <c r="AE12" i="4" a="1"/>
  <c r="BP5" i="4" a="1"/>
  <c r="F16" i="4" a="1"/>
  <c r="AL14" i="4" a="1"/>
  <c r="Q36" i="2"/>
  <c r="CR14" i="4" a="1"/>
  <c r="BA13" i="4" a="1"/>
  <c r="F37" i="3"/>
  <c r="CG11" i="4" a="1"/>
  <c r="CT9" i="4" a="1"/>
  <c r="DF16" i="4" a="1"/>
  <c r="BZ7" i="4" a="1"/>
  <c r="AX14" i="4" a="1"/>
  <c r="G60" i="3"/>
  <c r="AN11" i="4" a="1"/>
  <c r="EK12" i="4" a="1"/>
  <c r="G90" i="3"/>
  <c r="G95" i="3"/>
  <c r="F96" i="3"/>
  <c r="Y6" i="4" a="1"/>
  <c r="CS6" i="4" a="1"/>
  <c r="AF12" i="4" a="1"/>
  <c r="BB11" i="4" a="1"/>
  <c r="AV15" i="4" a="1"/>
  <c r="N6" i="4" a="1"/>
  <c r="D30" i="3"/>
  <c r="EJ13" i="4" a="1"/>
  <c r="K22" i="2"/>
  <c r="DB5" i="4" a="1"/>
  <c r="J11" i="2"/>
  <c r="BU13" i="4" a="1"/>
  <c r="EC11" i="4" a="1"/>
  <c r="DR5" i="4" a="1"/>
  <c r="J46" i="3"/>
  <c r="AS7" i="4" a="1"/>
  <c r="BT5" i="4" a="1"/>
  <c r="AR83" i="3"/>
  <c r="O5" i="4" a="1"/>
  <c r="X21" i="2"/>
  <c r="CP6" i="4" a="1"/>
  <c r="N45" i="3"/>
  <c r="AN15" i="4" a="1"/>
  <c r="W13" i="4" a="1"/>
  <c r="O10" i="2"/>
  <c r="G29" i="3"/>
  <c r="U18" i="2"/>
  <c r="E35" i="3"/>
  <c r="L15" i="2"/>
  <c r="K32" i="2"/>
  <c r="AQ13" i="4" a="1"/>
  <c r="Q21" i="2"/>
  <c r="W30" i="2"/>
  <c r="V13" i="2"/>
  <c r="U9" i="2"/>
  <c r="CC9" i="4" a="1"/>
  <c r="V8" i="4" a="1"/>
  <c r="CA12" i="4" a="1"/>
  <c r="Q6" i="4" a="1"/>
  <c r="AA11" i="4" a="1"/>
  <c r="G54" i="3"/>
  <c r="BY5" i="4" a="1"/>
  <c r="BQ6" i="4" a="1"/>
  <c r="DX7" i="4" a="1"/>
  <c r="G76" i="3"/>
  <c r="W15" i="4" a="1"/>
  <c r="F66" i="3"/>
  <c r="CN11" i="4" a="1"/>
  <c r="BB6" i="4" a="1"/>
  <c r="E22" i="2"/>
  <c r="AA9" i="4" a="1"/>
  <c r="AY13" i="4" a="1"/>
  <c r="BD9" i="4" a="1"/>
  <c r="BN9" i="4" a="1"/>
  <c r="AR32" i="3"/>
  <c r="BP6" i="4" a="1"/>
  <c r="EK5" i="4" a="1"/>
  <c r="BY16" i="4" a="1"/>
  <c r="BY12" i="4" a="1"/>
  <c r="H13" i="4" a="1"/>
  <c r="DP7" i="4" a="1"/>
  <c r="O12" i="4" a="1"/>
  <c r="DX11" i="4" a="1"/>
  <c r="CL12" i="4" a="1"/>
  <c r="AO14" i="4" a="1"/>
  <c r="AR36" i="3"/>
  <c r="S6" i="2"/>
  <c r="I36" i="2"/>
  <c r="DA15" i="4" a="1"/>
  <c r="AC9" i="4" a="1"/>
  <c r="U46" i="3"/>
  <c r="E16" i="4" a="1"/>
  <c r="CO14" i="4" a="1"/>
  <c r="CP13" i="4" a="1"/>
  <c r="AR64" i="3"/>
  <c r="Q12" i="2"/>
  <c r="J36" i="2"/>
  <c r="T13" i="2"/>
  <c r="E45" i="3"/>
  <c r="D5" i="2"/>
  <c r="U5" i="4" a="1"/>
  <c r="AR6" i="4" a="1"/>
  <c r="AD8" i="3"/>
  <c r="Q13" i="4" a="1"/>
  <c r="AR96" i="3"/>
  <c r="CG15" i="4" a="1"/>
  <c r="G83" i="3"/>
  <c r="AG45" i="3"/>
  <c r="CP15" i="4" a="1"/>
  <c r="BI5" i="4" a="1"/>
  <c r="I26" i="2"/>
  <c r="Q57" i="2"/>
  <c r="P11" i="2"/>
  <c r="K15" i="2"/>
  <c r="EB14" i="4" a="1"/>
  <c r="AA45" i="3"/>
  <c r="BF6" i="4" a="1"/>
  <c r="CJ14" i="4" a="1"/>
  <c r="DL7" i="4" a="1"/>
  <c r="CT7" i="4" a="1"/>
  <c r="BK11" i="4" a="1"/>
  <c r="CH8" i="4" a="1"/>
  <c r="AP14" i="4" a="1"/>
  <c r="D16" i="4" a="1"/>
  <c r="EH7" i="4" a="1"/>
  <c r="F93" i="3"/>
  <c r="E72" i="3"/>
  <c r="E69" i="3"/>
  <c r="E86" i="3"/>
  <c r="E74" i="3"/>
  <c r="D71" i="3"/>
  <c r="D67" i="3"/>
  <c r="D89" i="3"/>
  <c r="AD74" i="3"/>
  <c r="AD55" i="3"/>
  <c r="AD63" i="3"/>
  <c r="AD64" i="3"/>
  <c r="E76" i="3"/>
  <c r="E67" i="3"/>
  <c r="E97" i="3"/>
  <c r="E78" i="3"/>
  <c r="D86" i="3"/>
  <c r="D54" i="3"/>
  <c r="D96" i="3"/>
  <c r="AD69" i="3"/>
  <c r="AD86" i="3"/>
  <c r="AD90" i="3"/>
  <c r="AD97" i="3"/>
  <c r="E65" i="3"/>
  <c r="E90" i="3"/>
  <c r="E77" i="3"/>
  <c r="E57" i="3"/>
  <c r="D80" i="3"/>
  <c r="D78" i="3"/>
  <c r="D66" i="3"/>
  <c r="AD78" i="3"/>
  <c r="AD77" i="3"/>
  <c r="AD61" i="3"/>
  <c r="AD94" i="3"/>
  <c r="E63" i="3"/>
  <c r="E58" i="3"/>
  <c r="E68" i="3"/>
  <c r="E66" i="3"/>
  <c r="D58" i="3"/>
  <c r="D83" i="3"/>
  <c r="D56" i="3"/>
  <c r="AD71" i="3"/>
  <c r="AD80" i="3"/>
  <c r="AD87" i="3"/>
  <c r="AD79" i="3"/>
  <c r="E85" i="3"/>
  <c r="E64" i="3"/>
  <c r="E60" i="3"/>
  <c r="E83" i="3"/>
  <c r="D69" i="3"/>
  <c r="D70" i="3"/>
  <c r="D81" i="3"/>
  <c r="AD58" i="3"/>
  <c r="AD83" i="3"/>
  <c r="AD73" i="3"/>
  <c r="AD95" i="3"/>
  <c r="E80" i="3"/>
  <c r="E73" i="3"/>
  <c r="E93" i="3"/>
  <c r="D85" i="3"/>
  <c r="D90" i="3"/>
  <c r="D60" i="3"/>
  <c r="D68" i="3"/>
  <c r="AD70" i="3"/>
  <c r="AD75" i="3"/>
  <c r="AD85" i="3"/>
  <c r="AD92" i="3"/>
  <c r="E84" i="3"/>
  <c r="E87" i="3"/>
  <c r="E96" i="3"/>
  <c r="D61" i="3"/>
  <c r="D65" i="3"/>
  <c r="D64" i="3"/>
  <c r="D79" i="3"/>
  <c r="AD54" i="3"/>
  <c r="AD72" i="3"/>
  <c r="AD62" i="3"/>
  <c r="AD93" i="3"/>
  <c r="E91" i="3"/>
  <c r="E61" i="3"/>
  <c r="E94" i="3"/>
  <c r="D77" i="3"/>
  <c r="D95" i="3"/>
  <c r="D93" i="3"/>
  <c r="G59" i="3"/>
  <c r="AD68" i="3"/>
  <c r="AD96" i="3"/>
  <c r="AD76" i="3"/>
  <c r="E55" i="3"/>
  <c r="D87" i="3"/>
  <c r="AD59" i="3"/>
  <c r="D97" i="3"/>
  <c r="E95" i="3"/>
  <c r="D91" i="3"/>
  <c r="G80" i="3"/>
  <c r="AD88" i="3"/>
  <c r="E54" i="3"/>
  <c r="E71" i="3"/>
  <c r="G73" i="3"/>
  <c r="AD89" i="3"/>
  <c r="AD82" i="3"/>
  <c r="E56" i="3"/>
  <c r="G68" i="3"/>
  <c r="AD67" i="3"/>
  <c r="E59" i="3"/>
  <c r="AD84" i="3"/>
  <c r="AD81" i="3"/>
  <c r="E82" i="3"/>
  <c r="D62" i="3"/>
  <c r="AD66" i="3"/>
  <c r="E81" i="3"/>
  <c r="AD60" i="3"/>
  <c r="D72" i="3"/>
  <c r="AD65" i="3"/>
  <c r="E70" i="3"/>
  <c r="AD91" i="3"/>
  <c r="D63" i="3"/>
  <c r="AD57" i="3"/>
  <c r="D94" i="3"/>
  <c r="AD56" i="3"/>
  <c r="F95" i="3"/>
  <c r="F57" i="3"/>
  <c r="F88" i="3"/>
  <c r="F55" i="3"/>
  <c r="F91" i="3"/>
  <c r="F80" i="3"/>
  <c r="F82" i="3"/>
  <c r="F69" i="3"/>
  <c r="F61" i="3"/>
  <c r="F59" i="3"/>
  <c r="F76" i="3"/>
  <c r="F47" i="3"/>
  <c r="F63" i="3" l="1"/>
  <c r="F78" i="3"/>
  <c r="F85" i="3"/>
  <c r="D76" i="3"/>
  <c r="E92" i="3"/>
  <c r="F86" i="3"/>
  <c r="F89" i="3"/>
  <c r="F56" i="3"/>
  <c r="F54" i="3"/>
  <c r="D73" i="3"/>
  <c r="D82" i="3"/>
  <c r="D57" i="3"/>
  <c r="D75" i="3"/>
  <c r="E89" i="3"/>
  <c r="D88" i="3"/>
  <c r="F62" i="3"/>
  <c r="F70" i="3"/>
  <c r="F74" i="3"/>
  <c r="F79" i="3"/>
  <c r="E62" i="3"/>
  <c r="E88" i="3"/>
  <c r="E79" i="3"/>
  <c r="F92" i="3"/>
  <c r="F49" i="3"/>
  <c r="F87" i="3"/>
  <c r="F60" i="3"/>
  <c r="F84" i="3"/>
  <c r="F83" i="3"/>
  <c r="F68" i="3"/>
  <c r="AL144" i="1"/>
  <c r="AL157" i="1"/>
  <c r="AL171" i="1"/>
  <c r="AL166" i="1"/>
  <c r="AM166" i="1" s="1"/>
  <c r="AL139" i="1"/>
  <c r="AM139" i="1" s="1"/>
  <c r="AL130" i="1"/>
  <c r="AM130" i="1" s="1"/>
  <c r="AL176" i="1"/>
  <c r="AM176" i="1" s="1"/>
  <c r="BJ129" i="1"/>
  <c r="BK129" i="1" s="1"/>
  <c r="BJ130" i="1"/>
  <c r="BK130" i="1" s="1"/>
  <c r="AJ137" i="1"/>
  <c r="AK137" i="1" s="1"/>
  <c r="BJ166" i="1"/>
  <c r="BK166" i="1" s="1"/>
  <c r="BJ162" i="1"/>
  <c r="BK162" i="1" s="1"/>
  <c r="AJ147" i="1"/>
  <c r="AK147" i="1" s="1"/>
  <c r="BJ134" i="1"/>
  <c r="BK134" i="1" s="1"/>
  <c r="BJ163" i="1"/>
  <c r="BK163" i="1" s="1"/>
  <c r="AJ136" i="1"/>
  <c r="AK136" i="1" s="1"/>
  <c r="BJ156" i="1"/>
  <c r="BJ158" i="1"/>
  <c r="BK158" i="1" s="1"/>
  <c r="BJ157" i="1"/>
  <c r="BJ165" i="1"/>
  <c r="BJ139" i="1"/>
  <c r="BK139" i="1" s="1"/>
  <c r="AJ166" i="1"/>
  <c r="AK166" i="1" s="1"/>
  <c r="AJ164" i="1"/>
  <c r="AK164" i="1" s="1"/>
  <c r="BJ175" i="1"/>
  <c r="BK175" i="1" s="1"/>
  <c r="BJ143" i="1"/>
  <c r="AJ176" i="1"/>
  <c r="AK176" i="1" s="1"/>
  <c r="AJ152" i="1"/>
  <c r="AK152" i="1" s="1"/>
  <c r="BJ136" i="1"/>
  <c r="BJ147" i="1"/>
  <c r="BK147" i="1" s="1"/>
  <c r="AJ161" i="1"/>
  <c r="AK161" i="1" s="1"/>
  <c r="AJ162" i="1"/>
  <c r="AK162" i="1" s="1"/>
  <c r="BJ167" i="1"/>
  <c r="BK167" i="1" s="1"/>
  <c r="BJ159" i="1"/>
  <c r="BK159" i="1" s="1"/>
  <c r="BJ149" i="1"/>
  <c r="BK149" i="1" s="1"/>
  <c r="BJ145" i="1"/>
  <c r="AJ143" i="1"/>
  <c r="AJ134" i="1"/>
  <c r="AK134" i="1" s="1"/>
  <c r="AJ138" i="1"/>
  <c r="AK138" i="1" s="1"/>
  <c r="AJ159" i="1"/>
  <c r="AK159" i="1" s="1"/>
  <c r="BJ176" i="1"/>
  <c r="BJ172" i="1"/>
  <c r="BJ131" i="1"/>
  <c r="AJ156" i="1"/>
  <c r="AJ145" i="1"/>
  <c r="AJ144" i="1"/>
  <c r="BJ155" i="1"/>
  <c r="BK155" i="1" s="1"/>
  <c r="BJ164" i="1"/>
  <c r="BK164" i="1" s="1"/>
  <c r="BJ171" i="1"/>
  <c r="AJ129" i="1"/>
  <c r="AK129" i="1" s="1"/>
  <c r="AJ172" i="1"/>
  <c r="AJ131" i="1"/>
  <c r="BJ152" i="1"/>
  <c r="BJ154" i="1"/>
  <c r="BK154" i="1" s="1"/>
  <c r="AJ163" i="1"/>
  <c r="AK163" i="1" s="1"/>
  <c r="AJ154" i="1"/>
  <c r="AK154" i="1" s="1"/>
  <c r="AJ171" i="1"/>
  <c r="BJ138" i="1"/>
  <c r="BK138" i="1" s="1"/>
  <c r="BJ144" i="1"/>
  <c r="AJ175" i="1"/>
  <c r="AK175" i="1" s="1"/>
  <c r="BJ161" i="1"/>
  <c r="BK161" i="1" s="1"/>
  <c r="BJ137" i="1"/>
  <c r="BK137" i="1" s="1"/>
  <c r="AJ165" i="1"/>
  <c r="J35" i="1"/>
  <c r="O25" i="1"/>
  <c r="P167" i="1"/>
  <c r="BX175" i="1"/>
  <c r="BY175" i="1" s="1"/>
  <c r="S36" i="1"/>
  <c r="P27" i="1"/>
  <c r="BX161" i="1"/>
  <c r="BY161" i="1" s="1"/>
  <c r="R20" i="1"/>
  <c r="IJ9" i="4" s="1"/>
  <c r="HW9" i="4" s="1"/>
  <c r="AL163" i="1"/>
  <c r="AM163" i="1" s="1"/>
  <c r="IO9" i="4" s="1"/>
  <c r="U36" i="1"/>
  <c r="V51" i="1"/>
  <c r="J57" i="1"/>
  <c r="K35" i="1"/>
  <c r="AK58" i="1"/>
  <c r="T37" i="1"/>
  <c r="AM51" i="1"/>
  <c r="BX172" i="1"/>
  <c r="I25" i="1"/>
  <c r="AL175" i="1"/>
  <c r="AM175" i="1" s="1"/>
  <c r="HP16" i="4" s="1"/>
  <c r="I47" i="1"/>
  <c r="H51" i="1"/>
  <c r="M37" i="1"/>
  <c r="E171" i="1"/>
  <c r="S21" i="1"/>
  <c r="AJ51" i="1"/>
  <c r="I58" i="1"/>
  <c r="R37" i="1"/>
  <c r="S51" i="1"/>
  <c r="K36" i="1"/>
  <c r="AK26" i="1"/>
  <c r="HY9" i="4" s="1"/>
  <c r="W59" i="1"/>
  <c r="F32" i="1"/>
  <c r="IL16" i="4" s="1"/>
  <c r="BX162" i="1"/>
  <c r="BY162" i="1" s="1"/>
  <c r="IV16" i="4" s="1"/>
  <c r="JF9" i="4" s="1"/>
  <c r="AM26" i="1"/>
  <c r="BX147" i="1"/>
  <c r="BY147" i="1" s="1"/>
  <c r="L58" i="1"/>
  <c r="J20" i="1"/>
  <c r="G25" i="1"/>
  <c r="S27" i="1"/>
  <c r="D48" i="1"/>
  <c r="E63" i="1"/>
  <c r="JG9" i="4" s="1"/>
  <c r="AL44" i="1"/>
  <c r="AL206" i="1" s="1"/>
  <c r="AL131" i="1"/>
  <c r="HY16" i="4" s="1"/>
  <c r="HY21" i="4" s="1"/>
  <c r="AS89" i="1" s="1"/>
  <c r="AL156" i="1"/>
  <c r="IZ8" i="4" s="1"/>
  <c r="AM27" i="1"/>
  <c r="F20" i="1"/>
  <c r="F243" i="1" s="1"/>
  <c r="L33" i="1"/>
  <c r="AK48" i="1"/>
  <c r="T36" i="1"/>
  <c r="K63" i="1"/>
  <c r="S59" i="1"/>
  <c r="J58" i="1"/>
  <c r="O34" i="1"/>
  <c r="C20" i="1"/>
  <c r="C243" i="1" s="1"/>
  <c r="JI16" i="4" s="1"/>
  <c r="BX166" i="1"/>
  <c r="BY166" i="1" s="1"/>
  <c r="IA9" i="4" s="1"/>
  <c r="BJ36" i="1"/>
  <c r="BX149" i="1"/>
  <c r="BY149" i="1" s="1"/>
  <c r="B51" i="1"/>
  <c r="R35" i="1"/>
  <c r="Q36" i="1"/>
  <c r="BX152" i="1"/>
  <c r="AL152" i="1"/>
  <c r="AM152" i="1" s="1"/>
  <c r="AM214" i="1" s="1"/>
  <c r="D134" i="1"/>
  <c r="K34" i="1"/>
  <c r="AK34" i="1"/>
  <c r="M35" i="1"/>
  <c r="V47" i="1"/>
  <c r="N35" i="1"/>
  <c r="S33" i="1"/>
  <c r="H21" i="1"/>
  <c r="S37" i="1"/>
  <c r="BJ26" i="1"/>
  <c r="AL138" i="1"/>
  <c r="AM138" i="1" s="1"/>
  <c r="IZ9" i="4" s="1"/>
  <c r="P165" i="1"/>
  <c r="AL161" i="1"/>
  <c r="AM161" i="1" s="1"/>
  <c r="IR16" i="4" s="1"/>
  <c r="AK63" i="1"/>
  <c r="JD9" i="4" s="1"/>
  <c r="IV9" i="4" s="1"/>
  <c r="HV16" i="4" s="1"/>
  <c r="Q21" i="1"/>
  <c r="G58" i="1"/>
  <c r="U58" i="1"/>
  <c r="J21" i="1"/>
  <c r="L34" i="1"/>
  <c r="O21" i="1"/>
  <c r="AL147" i="1"/>
  <c r="AM147" i="1" s="1"/>
  <c r="HS9" i="4" s="1"/>
  <c r="AL36" i="1"/>
  <c r="AM48" i="1"/>
  <c r="G48" i="1"/>
  <c r="AJ57" i="1"/>
  <c r="E51" i="1"/>
  <c r="IK9" i="4" s="1"/>
  <c r="IQ8" i="4" s="1"/>
  <c r="B47" i="1"/>
  <c r="T51" i="1"/>
  <c r="H36" i="1"/>
  <c r="J59" i="1"/>
  <c r="K51" i="1"/>
  <c r="JH16" i="4" s="1"/>
  <c r="U47" i="1"/>
  <c r="Q48" i="1"/>
  <c r="P20" i="1"/>
  <c r="P243" i="1" s="1"/>
  <c r="IL9" i="4" s="1"/>
  <c r="IW9" i="4" s="1"/>
  <c r="F51" i="1"/>
  <c r="BX138" i="1"/>
  <c r="BY138" i="1" s="1"/>
  <c r="B27" i="1"/>
  <c r="BX26" i="1"/>
  <c r="T47" i="1"/>
  <c r="J32" i="1"/>
  <c r="V57" i="1"/>
  <c r="V33" i="1"/>
  <c r="S32" i="1"/>
  <c r="F33" i="1"/>
  <c r="W129" i="1"/>
  <c r="F25" i="1"/>
  <c r="IS9" i="4" s="1"/>
  <c r="BX143" i="1"/>
  <c r="BX58" i="1"/>
  <c r="AK27" i="1"/>
  <c r="N58" i="1"/>
  <c r="B20" i="1"/>
  <c r="IN9" i="4" s="1"/>
  <c r="O57" i="1"/>
  <c r="AL86" i="1"/>
  <c r="AL162" i="1"/>
  <c r="AM162" i="1" s="1"/>
  <c r="II9" i="4" s="1"/>
  <c r="BX134" i="1"/>
  <c r="BY134" i="1" s="1"/>
  <c r="BX35" i="1"/>
  <c r="HR16" i="4" s="1"/>
  <c r="AL59" i="1"/>
  <c r="I32" i="1"/>
  <c r="O32" i="1"/>
  <c r="Q34" i="1"/>
  <c r="BX137" i="1"/>
  <c r="BY137" i="1" s="1"/>
  <c r="II8" i="4" s="1"/>
  <c r="BX47" i="1"/>
  <c r="BX139" i="1"/>
  <c r="BY139" i="1" s="1"/>
  <c r="C32" i="1"/>
  <c r="G175" i="1"/>
  <c r="J25" i="1"/>
  <c r="U21" i="1"/>
  <c r="U22" i="1" s="1"/>
  <c r="W44" i="1"/>
  <c r="W206" i="1" s="1"/>
  <c r="O63" i="1"/>
  <c r="S63" i="1"/>
  <c r="H63" i="1"/>
  <c r="N48" i="1"/>
  <c r="N264" i="1" s="1"/>
  <c r="G165" i="1"/>
  <c r="J33" i="1"/>
  <c r="IX9" i="4" s="1"/>
  <c r="AJ58" i="1"/>
  <c r="J34" i="1"/>
  <c r="E21" i="1"/>
  <c r="O33" i="1"/>
  <c r="B59" i="1"/>
  <c r="W27" i="1"/>
  <c r="J27" i="1"/>
  <c r="BX48" i="1"/>
  <c r="ID9" i="4" s="1"/>
  <c r="IY9" i="4" s="1"/>
  <c r="AJ158" i="1"/>
  <c r="AK158" i="1" s="1"/>
  <c r="F21" i="1"/>
  <c r="L37" i="1"/>
  <c r="E32" i="1"/>
  <c r="I27" i="1"/>
  <c r="BX144" i="1"/>
  <c r="E44" i="1"/>
  <c r="E206" i="1" s="1"/>
  <c r="IM9" i="4" s="1"/>
  <c r="BX129" i="1"/>
  <c r="BY129" i="1" s="1"/>
  <c r="B48" i="1"/>
  <c r="Q44" i="1"/>
  <c r="Q206" i="1" s="1"/>
  <c r="T58" i="1"/>
  <c r="BX85" i="1"/>
  <c r="AM25" i="1"/>
  <c r="JB16" i="4" s="1"/>
  <c r="ID16" i="4" s="1"/>
  <c r="V21" i="1"/>
  <c r="V22" i="1" s="1"/>
  <c r="JI9" i="4" s="1"/>
  <c r="W21" i="1"/>
  <c r="W22" i="1" s="1"/>
  <c r="D32" i="1"/>
  <c r="L48" i="1"/>
  <c r="I37" i="1"/>
  <c r="J63" i="1"/>
  <c r="G59" i="1"/>
  <c r="H35" i="1"/>
  <c r="T48" i="1"/>
  <c r="C44" i="1"/>
  <c r="C206" i="1" s="1"/>
  <c r="R25" i="1"/>
  <c r="O37" i="1"/>
  <c r="L44" i="1"/>
  <c r="L206" i="1" s="1"/>
  <c r="I35" i="1"/>
  <c r="Q59" i="1"/>
  <c r="V34" i="1"/>
  <c r="M44" i="1"/>
  <c r="M206" i="1" s="1"/>
  <c r="O44" i="1"/>
  <c r="O206" i="1" s="1"/>
  <c r="AK35" i="1"/>
  <c r="R36" i="1"/>
  <c r="JG16" i="4" s="1"/>
  <c r="M57" i="1"/>
  <c r="IQ16" i="4" s="1"/>
  <c r="AK21" i="1"/>
  <c r="IT16" i="4" s="1"/>
  <c r="IC9" i="4" s="1"/>
  <c r="JC16" i="4" s="1"/>
  <c r="E57" i="1"/>
  <c r="IF9" i="4" s="1"/>
  <c r="JA9" i="4" s="1"/>
  <c r="HU9" i="4" s="1"/>
  <c r="IR9" i="4" s="1"/>
  <c r="IH15" i="4" s="1"/>
  <c r="HV15" i="4" s="1"/>
  <c r="L25" i="1"/>
  <c r="HW16" i="4" s="1"/>
  <c r="AJ167" i="1"/>
  <c r="AK167" i="1" s="1"/>
  <c r="AJ26" i="1"/>
  <c r="S47" i="1"/>
  <c r="BX27" i="1"/>
  <c r="I63" i="1"/>
  <c r="Q165" i="1"/>
  <c r="Q57" i="1"/>
  <c r="U32" i="1"/>
  <c r="K27" i="1"/>
  <c r="N37" i="1"/>
  <c r="G63" i="1"/>
  <c r="H44" i="1"/>
  <c r="P58" i="1"/>
  <c r="Q58" i="1"/>
  <c r="P44" i="1"/>
  <c r="P206" i="1" s="1"/>
  <c r="S58" i="1"/>
  <c r="F58" i="1"/>
  <c r="N33" i="1"/>
  <c r="AJ37" i="1"/>
  <c r="K44" i="1"/>
  <c r="K206" i="1" s="1"/>
  <c r="R44" i="1"/>
  <c r="R265" i="1" s="1"/>
  <c r="P139" i="1"/>
  <c r="AL37" i="1"/>
  <c r="IE16" i="4" s="1"/>
  <c r="BX131" i="1"/>
  <c r="BY131" i="1" s="1"/>
  <c r="IY16" i="4" s="1"/>
  <c r="J37" i="1"/>
  <c r="S35" i="1"/>
  <c r="HQ9" i="4" s="1"/>
  <c r="HQ21" i="4" s="1"/>
  <c r="AK89" i="1" s="1"/>
  <c r="K48" i="1"/>
  <c r="IT9" i="4" s="1"/>
  <c r="IZ16" i="4" s="1"/>
  <c r="IW16" i="4" s="1"/>
  <c r="IX8" i="4" s="1"/>
  <c r="JG14" i="4" s="1"/>
  <c r="BX32" i="1"/>
  <c r="G35" i="1"/>
  <c r="HZ9" i="4" s="1"/>
  <c r="JE9" i="4" s="1"/>
  <c r="IS16" i="4" s="1"/>
  <c r="IG9" i="4" s="1"/>
  <c r="JC9" i="4" s="1"/>
  <c r="JF16" i="4" s="1"/>
  <c r="BJ32" i="1"/>
  <c r="IG16" i="4" s="1"/>
  <c r="IG21" i="4" s="1"/>
  <c r="BA89" i="1" s="1"/>
  <c r="P48" i="1"/>
  <c r="D33" i="1"/>
  <c r="AM21" i="1"/>
  <c r="JB9" i="4" s="1"/>
  <c r="HQ16" i="4" s="1"/>
  <c r="D25" i="1"/>
  <c r="F36" i="1"/>
  <c r="AJ32" i="1"/>
  <c r="M51" i="1"/>
  <c r="M48" i="1"/>
  <c r="K33" i="1"/>
  <c r="H37" i="1"/>
  <c r="R33" i="1"/>
  <c r="N20" i="1"/>
  <c r="N243" i="1" s="1"/>
  <c r="C57" i="1"/>
  <c r="L63" i="1"/>
  <c r="AJ36" i="1"/>
  <c r="S48" i="1"/>
  <c r="N44" i="1"/>
  <c r="N206" i="1" s="1"/>
  <c r="P51" i="1"/>
  <c r="H32" i="1"/>
  <c r="L20" i="1"/>
  <c r="D21" i="1"/>
  <c r="H25" i="1"/>
  <c r="U48" i="1"/>
  <c r="U264" i="1" s="1"/>
  <c r="F59" i="1"/>
  <c r="M25" i="1"/>
  <c r="S57" i="1"/>
  <c r="JE16" i="4" s="1"/>
  <c r="K32" i="1"/>
  <c r="AL48" i="1"/>
  <c r="BX130" i="1"/>
  <c r="BY130" i="1" s="1"/>
  <c r="B35" i="1"/>
  <c r="IX16" i="4" s="1"/>
  <c r="HS15" i="4" s="1"/>
  <c r="IU16" i="4" s="1"/>
  <c r="JE14" i="4" s="1"/>
  <c r="C25" i="1"/>
  <c r="IM16" i="4" s="1"/>
  <c r="AJ35" i="1"/>
  <c r="AL34" i="1"/>
  <c r="IP9" i="4" s="1"/>
  <c r="IN16" i="4" s="1"/>
  <c r="IH16" i="4" s="1"/>
  <c r="BX159" i="1"/>
  <c r="BY159" i="1" s="1"/>
  <c r="BJ20" i="1"/>
  <c r="BJ243" i="1" s="1"/>
  <c r="AJ21" i="1"/>
  <c r="AM37" i="1"/>
  <c r="JH9" i="4" s="1"/>
  <c r="BX57" i="1"/>
  <c r="IU9" i="4" s="1"/>
  <c r="AJ34" i="1"/>
  <c r="W36" i="1"/>
  <c r="F47" i="1"/>
  <c r="K58" i="1"/>
  <c r="P37" i="1"/>
  <c r="C34" i="1"/>
  <c r="AM44" i="1"/>
  <c r="AM206" i="1" s="1"/>
  <c r="C47" i="1"/>
  <c r="AK59" i="1"/>
  <c r="G34" i="1"/>
  <c r="R48" i="1"/>
  <c r="D44" i="1"/>
  <c r="D206" i="1" s="1"/>
  <c r="P21" i="1"/>
  <c r="AJ27" i="1"/>
  <c r="Q25" i="1"/>
  <c r="N21" i="1"/>
  <c r="N22" i="1" s="1"/>
  <c r="T32" i="1"/>
  <c r="W34" i="1"/>
  <c r="E35" i="1"/>
  <c r="H48" i="1"/>
  <c r="C63" i="1"/>
  <c r="C59" i="1"/>
  <c r="HZ16" i="4" s="1"/>
  <c r="B58" i="1"/>
  <c r="U63" i="1"/>
  <c r="HT9" i="4" s="1"/>
  <c r="II16" i="4" s="1"/>
  <c r="IE8" i="4" s="1"/>
  <c r="U25" i="1"/>
  <c r="HS16" i="4" s="1"/>
  <c r="HS7" i="4" s="1"/>
  <c r="AJ44" i="1"/>
  <c r="AJ206" i="1" s="1"/>
  <c r="HV9" i="4" s="1"/>
  <c r="JA16" i="4" s="1"/>
  <c r="JA21" i="4" s="1"/>
  <c r="BU89" i="1" s="1"/>
  <c r="HX9" i="4" s="1"/>
  <c r="AL63" i="1"/>
  <c r="IA16" i="4" s="1"/>
  <c r="I51" i="1"/>
  <c r="L47" i="1"/>
  <c r="BX44" i="1"/>
  <c r="BX206" i="1" s="1"/>
  <c r="AL27" i="1"/>
  <c r="AJ63" i="1"/>
  <c r="AM36" i="1"/>
  <c r="BJ37" i="1"/>
  <c r="P59" i="1"/>
  <c r="C37" i="1"/>
  <c r="BX164" i="1"/>
  <c r="BY164" i="1" s="1"/>
  <c r="H33" i="1"/>
  <c r="T33" i="1"/>
  <c r="I44" i="1"/>
  <c r="I206" i="1" s="1"/>
  <c r="AK32" i="1"/>
  <c r="P57" i="1"/>
  <c r="L32" i="1"/>
  <c r="K47" i="1"/>
  <c r="H47" i="1"/>
  <c r="AL35" i="1"/>
  <c r="B44" i="1"/>
  <c r="J36" i="1"/>
  <c r="Q27" i="1"/>
  <c r="AK44" i="1"/>
  <c r="AK206" i="1" s="1"/>
  <c r="T63" i="1"/>
  <c r="BX86" i="1"/>
  <c r="U59" i="1"/>
  <c r="U35" i="1"/>
  <c r="AK20" i="1"/>
  <c r="AK243" i="1" s="1"/>
  <c r="HU16" i="4" s="1"/>
  <c r="I57" i="1"/>
  <c r="AL58" i="1"/>
  <c r="Q20" i="1"/>
  <c r="Q243" i="1" s="1"/>
  <c r="B57" i="1"/>
  <c r="F35" i="1"/>
  <c r="J44" i="1"/>
  <c r="J206" i="1" s="1"/>
  <c r="IQ9" i="4" s="1"/>
  <c r="IA8" i="4" s="1"/>
  <c r="BX33" i="1"/>
  <c r="BX171" i="1"/>
  <c r="IO16" i="4" s="1"/>
  <c r="IO21" i="4" s="1"/>
  <c r="BI89" i="1" s="1"/>
  <c r="AL21" i="1"/>
  <c r="AM32" i="1"/>
  <c r="HX16" i="4" s="1"/>
  <c r="IF16" i="4" s="1"/>
  <c r="AJ33" i="1"/>
  <c r="O59" i="1"/>
  <c r="IE15" i="4" s="1"/>
  <c r="F37" i="1"/>
  <c r="AK33" i="1"/>
  <c r="D37" i="1"/>
  <c r="C48" i="1"/>
  <c r="BX136" i="1"/>
  <c r="BY136" i="1" s="1"/>
  <c r="R34" i="1"/>
  <c r="AK47" i="1"/>
  <c r="U57" i="1"/>
  <c r="V48" i="1"/>
  <c r="V264" i="1" s="1"/>
  <c r="AM20" i="1"/>
  <c r="AM243" i="1" s="1"/>
  <c r="O51" i="1"/>
  <c r="K20" i="1"/>
  <c r="K243" i="1" s="1"/>
  <c r="D59" i="1"/>
  <c r="BX167" i="1"/>
  <c r="BY167" i="1" s="1"/>
  <c r="G20" i="1"/>
  <c r="G243" i="1" s="1"/>
  <c r="N27" i="1"/>
  <c r="AL57" i="1"/>
  <c r="BJ25" i="1"/>
  <c r="M47" i="1"/>
  <c r="BX51" i="1"/>
  <c r="I20" i="1"/>
  <c r="I243" i="1" s="1"/>
  <c r="C27" i="1"/>
  <c r="O47" i="1"/>
  <c r="P36" i="1"/>
  <c r="F63" i="1"/>
  <c r="D51" i="1"/>
  <c r="D20" i="1"/>
  <c r="D243" i="1" s="1"/>
  <c r="K57" i="1"/>
  <c r="JG8" i="4" s="1"/>
  <c r="IO15" i="4" s="1"/>
  <c r="BX59" i="1"/>
  <c r="HR9" i="4" s="1"/>
  <c r="BY85" i="1"/>
  <c r="M33" i="1"/>
  <c r="N51" i="1"/>
  <c r="V63" i="1"/>
  <c r="U34" i="1"/>
  <c r="R58" i="1"/>
  <c r="W58" i="1"/>
  <c r="AM33" i="1"/>
  <c r="L35" i="1"/>
  <c r="K37" i="1"/>
  <c r="G44" i="1"/>
  <c r="G206" i="1" s="1"/>
  <c r="P33" i="1"/>
  <c r="W47" i="1"/>
  <c r="IE9" i="4" s="1"/>
  <c r="BJ33" i="1"/>
  <c r="BX158" i="1"/>
  <c r="BY158" i="1" s="1"/>
  <c r="T27" i="1"/>
  <c r="O48" i="1"/>
  <c r="C35" i="1"/>
  <c r="C33" i="1"/>
  <c r="P32" i="1"/>
  <c r="IE7" i="4" s="1"/>
  <c r="AJ48" i="1"/>
  <c r="AJ49" i="1" s="1"/>
  <c r="N32" i="1"/>
  <c r="N34" i="1"/>
  <c r="G27" i="1"/>
  <c r="W32" i="1"/>
  <c r="B32" i="1"/>
  <c r="BX63" i="1"/>
  <c r="IU14" i="4" s="1"/>
  <c r="IB16" i="4" s="1"/>
  <c r="AK25" i="1"/>
  <c r="B34" i="1"/>
  <c r="B33" i="1"/>
  <c r="D34" i="1"/>
  <c r="BX21" i="1"/>
  <c r="AK37" i="1"/>
  <c r="E36" i="1"/>
  <c r="E58" i="1"/>
  <c r="AJ25" i="1"/>
  <c r="W57" i="1"/>
  <c r="P34" i="1"/>
  <c r="D47" i="1"/>
  <c r="V32" i="1"/>
  <c r="E34" i="1"/>
  <c r="JD16" i="4" s="1"/>
  <c r="JD21" i="4" s="1"/>
  <c r="BX89" i="1" s="1"/>
  <c r="C136" i="1"/>
  <c r="R27" i="1"/>
  <c r="BX176" i="1"/>
  <c r="BY176" i="1" s="1"/>
  <c r="BJ35" i="1"/>
  <c r="IJ16" i="4" s="1"/>
  <c r="L51" i="1"/>
  <c r="Q63" i="1"/>
  <c r="K25" i="1"/>
  <c r="C36" i="1"/>
  <c r="L57" i="1"/>
  <c r="C58" i="1"/>
  <c r="BX154" i="1"/>
  <c r="BY154" i="1" s="1"/>
  <c r="H58" i="1"/>
  <c r="V36" i="1"/>
  <c r="G51" i="1"/>
  <c r="N57" i="1"/>
  <c r="P47" i="1"/>
  <c r="D35" i="1"/>
  <c r="S34" i="1"/>
  <c r="IH9" i="4" s="1"/>
  <c r="AL33" i="1"/>
  <c r="AJ59" i="1"/>
  <c r="AK51" i="1"/>
  <c r="AM34" i="1"/>
  <c r="AL25" i="1"/>
  <c r="O35" i="1"/>
  <c r="U27" i="1"/>
  <c r="W25" i="1"/>
  <c r="BX165" i="1"/>
  <c r="Q35" i="1"/>
  <c r="BX20" i="1"/>
  <c r="O20" i="1"/>
  <c r="O243" i="1" s="1"/>
  <c r="M32" i="1"/>
  <c r="E47" i="1"/>
  <c r="W48" i="1"/>
  <c r="W264" i="1" s="1"/>
  <c r="O36" i="1"/>
  <c r="F48" i="1"/>
  <c r="W33" i="1"/>
  <c r="BX25" i="1"/>
  <c r="E37" i="1"/>
  <c r="T20" i="1"/>
  <c r="T243" i="1" s="1"/>
  <c r="P172" i="1"/>
  <c r="AL47" i="1"/>
  <c r="R57" i="1"/>
  <c r="T34" i="1"/>
  <c r="BX157" i="1"/>
  <c r="M20" i="1"/>
  <c r="M243" i="1" s="1"/>
  <c r="R21" i="1"/>
  <c r="F44" i="1"/>
  <c r="B36" i="1"/>
  <c r="D36" i="1"/>
  <c r="I36" i="1"/>
  <c r="BX34" i="1"/>
  <c r="O27" i="1"/>
  <c r="BJ27" i="1"/>
  <c r="W37" i="1"/>
  <c r="W35" i="1"/>
  <c r="T57" i="1"/>
  <c r="U37" i="1"/>
  <c r="K21" i="1"/>
  <c r="T59" i="1"/>
  <c r="V44" i="1"/>
  <c r="V206" i="1" s="1"/>
  <c r="E48" i="1"/>
  <c r="BX145" i="1"/>
  <c r="T21" i="1"/>
  <c r="H34" i="1"/>
  <c r="BX163" i="1"/>
  <c r="BY163" i="1" s="1"/>
  <c r="U33" i="1"/>
  <c r="R51" i="1"/>
  <c r="R47" i="1"/>
  <c r="H57" i="1"/>
  <c r="G37" i="1"/>
  <c r="W144" i="1"/>
  <c r="AM47" i="1"/>
  <c r="Q51" i="1"/>
  <c r="N63" i="1"/>
  <c r="P63" i="1"/>
  <c r="T44" i="1"/>
  <c r="T206" i="1" s="1"/>
  <c r="S25" i="1"/>
  <c r="Q33" i="1"/>
  <c r="L21" i="1"/>
  <c r="N59" i="1"/>
  <c r="L59" i="1"/>
  <c r="W63" i="1"/>
  <c r="HT16" i="4" s="1"/>
  <c r="M21" i="1"/>
  <c r="G21" i="1"/>
  <c r="BX36" i="1"/>
  <c r="R32" i="1"/>
  <c r="D57" i="1"/>
  <c r="AK57" i="1"/>
  <c r="J48" i="1"/>
  <c r="E25" i="1"/>
  <c r="BX155" i="1"/>
  <c r="BY155" i="1" s="1"/>
  <c r="M34" i="1"/>
  <c r="IK16" i="4" s="1"/>
  <c r="AL20" i="1"/>
  <c r="AL243" i="1" s="1"/>
  <c r="P35" i="1"/>
  <c r="F34" i="1"/>
  <c r="R63" i="1"/>
  <c r="J131" i="1"/>
  <c r="I48" i="1"/>
  <c r="G36" i="1"/>
  <c r="T25" i="1"/>
  <c r="B63" i="1"/>
  <c r="F27" i="1"/>
  <c r="B21" i="1"/>
  <c r="V37" i="1"/>
  <c r="G47" i="1"/>
  <c r="H27" i="1"/>
  <c r="N25" i="1"/>
  <c r="O58" i="1"/>
  <c r="I34" i="1"/>
  <c r="I21" i="1"/>
  <c r="R59" i="1"/>
  <c r="T35" i="1"/>
  <c r="N47" i="1"/>
  <c r="B37" i="1"/>
  <c r="AJ47" i="1"/>
  <c r="BX156" i="1"/>
  <c r="J51" i="1"/>
  <c r="S44" i="1"/>
  <c r="S206" i="1" s="1"/>
  <c r="H20" i="1"/>
  <c r="H243" i="1" s="1"/>
  <c r="AK36" i="1"/>
  <c r="V59" i="1"/>
  <c r="F57" i="1"/>
  <c r="AL32" i="1"/>
  <c r="I59" i="1"/>
  <c r="D58" i="1"/>
  <c r="G33" i="1"/>
  <c r="E59" i="1"/>
  <c r="AJ20" i="1"/>
  <c r="AJ243" i="1" s="1"/>
  <c r="U44" i="1"/>
  <c r="U206" i="1" s="1"/>
  <c r="M36" i="1"/>
  <c r="Q47" i="1"/>
  <c r="AM35" i="1"/>
  <c r="U51" i="1"/>
  <c r="K59" i="1"/>
  <c r="D27" i="1"/>
  <c r="G32" i="1"/>
  <c r="BX37" i="1"/>
  <c r="H59" i="1"/>
  <c r="D63" i="1"/>
  <c r="AL51" i="1"/>
  <c r="J47" i="1"/>
  <c r="E33" i="1"/>
  <c r="E20" i="1"/>
  <c r="E243" i="1" s="1"/>
  <c r="L27" i="1"/>
  <c r="Q32" i="1"/>
  <c r="IP16" i="4" s="1"/>
  <c r="V35" i="1"/>
  <c r="M58" i="1"/>
  <c r="M59" i="1"/>
  <c r="Q37" i="1"/>
  <c r="V25" i="1"/>
  <c r="M63" i="1"/>
  <c r="AL26" i="1"/>
  <c r="M27" i="1"/>
  <c r="N36" i="1"/>
  <c r="W51" i="1"/>
  <c r="B25" i="1"/>
  <c r="E27" i="1"/>
  <c r="C21" i="1"/>
  <c r="G57" i="1"/>
  <c r="I33" i="1"/>
  <c r="V58" i="1"/>
  <c r="L36" i="1"/>
  <c r="C51" i="1"/>
  <c r="S20" i="1"/>
  <c r="P25" i="1"/>
  <c r="BL86" i="1"/>
  <c r="V27" i="1"/>
  <c r="V265" i="1"/>
  <c r="U265" i="1"/>
  <c r="G22" i="1"/>
  <c r="HR15" i="4"/>
  <c r="CM206" i="1"/>
  <c r="CM144" i="1"/>
  <c r="CM146" i="1" s="1"/>
  <c r="CM150" i="1" s="1"/>
  <c r="CM215" i="1" s="1"/>
  <c r="CM213" i="1" s="1"/>
  <c r="CR89" i="1"/>
  <c r="AC214" i="1"/>
  <c r="AB161" i="1"/>
  <c r="AB129" i="1"/>
  <c r="CO77" i="1"/>
  <c r="CP75" i="1"/>
  <c r="AL137" i="1" l="1"/>
  <c r="AM137" i="1" s="1"/>
  <c r="HP9" i="4" s="1"/>
  <c r="AL159" i="1"/>
  <c r="AM159" i="1" s="1"/>
  <c r="AL154" i="1"/>
  <c r="BK136" i="1"/>
  <c r="AJ146" i="1"/>
  <c r="AL155" i="1"/>
  <c r="AM155" i="1" s="1"/>
  <c r="AL129" i="1"/>
  <c r="AM129" i="1" s="1"/>
  <c r="AL149" i="1"/>
  <c r="AM149" i="1" s="1"/>
  <c r="AL165" i="1"/>
  <c r="AL145" i="1"/>
  <c r="AL136" i="1"/>
  <c r="AM136" i="1" s="1"/>
  <c r="AJ139" i="1"/>
  <c r="AK139" i="1" s="1"/>
  <c r="AJ149" i="1"/>
  <c r="AK149" i="1" s="1"/>
  <c r="AJ130" i="1"/>
  <c r="AK130" i="1" s="1"/>
  <c r="AJ157" i="1"/>
  <c r="AJ155" i="1"/>
  <c r="AK155" i="1" s="1"/>
  <c r="IX21" i="4"/>
  <c r="BR89" i="1" s="1"/>
  <c r="IM21" i="4"/>
  <c r="BG89" i="1" s="1"/>
  <c r="IC16" i="4" s="1"/>
  <c r="IB9" i="4" s="1"/>
  <c r="R264" i="1"/>
  <c r="M38" i="1"/>
  <c r="BX22" i="1"/>
  <c r="BX191" i="1"/>
  <c r="BY191" i="1" s="1"/>
  <c r="BK152" i="1"/>
  <c r="BJ140" i="1"/>
  <c r="M22" i="1"/>
  <c r="HX21" i="4"/>
  <c r="AR89" i="1" s="1"/>
  <c r="BX195" i="1"/>
  <c r="BY195" i="1" s="1"/>
  <c r="R243" i="1"/>
  <c r="R22" i="1"/>
  <c r="IS21" i="4"/>
  <c r="BM89" i="1" s="1"/>
  <c r="IQ15" i="4" s="1"/>
  <c r="ID21" i="4"/>
  <c r="AX89" i="1" s="1"/>
  <c r="HR8" i="4"/>
  <c r="IF21" i="4"/>
  <c r="AZ89" i="1" s="1"/>
  <c r="IE21" i="4"/>
  <c r="AY89" i="1" s="1"/>
  <c r="IN15" i="4"/>
  <c r="IJ8" i="4"/>
  <c r="IJ21" i="4"/>
  <c r="BD89" i="1" s="1"/>
  <c r="HZ15" i="4"/>
  <c r="JF15" i="4"/>
  <c r="IH7" i="4"/>
  <c r="S22" i="1"/>
  <c r="HW21" i="4"/>
  <c r="AQ89" i="1" s="1"/>
  <c r="HU14" i="4"/>
  <c r="JB21" i="4"/>
  <c r="BV89" i="1" s="1"/>
  <c r="JD15" i="4"/>
  <c r="IP21" i="4"/>
  <c r="BJ89" i="1" s="1"/>
  <c r="AM154" i="1"/>
  <c r="BY152" i="1"/>
  <c r="BZ214" i="1" s="1"/>
  <c r="BY214" i="1"/>
  <c r="IQ7" i="4"/>
  <c r="IW7" i="4"/>
  <c r="HT15" i="4"/>
  <c r="IX14" i="4"/>
  <c r="X200" i="1"/>
  <c r="Q195" i="1"/>
  <c r="IL8" i="4"/>
  <c r="JC8" i="4"/>
  <c r="IY21" i="4"/>
  <c r="BS89" i="1" s="1"/>
  <c r="P22" i="1"/>
  <c r="P110" i="1" s="1"/>
  <c r="M28" i="1"/>
  <c r="M29" i="1" s="1"/>
  <c r="M264" i="1"/>
  <c r="M265" i="1"/>
  <c r="B265" i="1"/>
  <c r="P264" i="1"/>
  <c r="HP15" i="4"/>
  <c r="J264" i="1"/>
  <c r="J243" i="1"/>
  <c r="JA8" i="4"/>
  <c r="IQ14" i="4"/>
  <c r="N110" i="1"/>
  <c r="HS14" i="4"/>
  <c r="HQ8" i="4"/>
  <c r="W23" i="1"/>
  <c r="IK7" i="4"/>
  <c r="IF15" i="4"/>
  <c r="HP21" i="4"/>
  <c r="AJ89" i="1" s="1"/>
  <c r="IA21" i="4"/>
  <c r="AU89" i="1" s="1"/>
  <c r="HY15" i="4"/>
  <c r="IW21" i="4"/>
  <c r="BQ89" i="1" s="1"/>
  <c r="B243" i="1"/>
  <c r="HU21" i="4"/>
  <c r="AO89" i="1" s="1"/>
  <c r="F22" i="1"/>
  <c r="F28" i="1" s="1"/>
  <c r="F29" i="1" s="1"/>
  <c r="JI21" i="4"/>
  <c r="CC89" i="1" s="1"/>
  <c r="C264" i="1"/>
  <c r="G195" i="1"/>
  <c r="HV21" i="4"/>
  <c r="AP89" i="1" s="1"/>
  <c r="II7" i="4"/>
  <c r="IT14" i="4"/>
  <c r="C265" i="1"/>
  <c r="BX173" i="1"/>
  <c r="BY221" i="1" s="1"/>
  <c r="JF7" i="4"/>
  <c r="IR21" i="4"/>
  <c r="BL89" i="1" s="1"/>
  <c r="BL106" i="1" s="1"/>
  <c r="L243" i="1"/>
  <c r="IF14" i="4"/>
  <c r="HV8" i="4"/>
  <c r="JG21" i="4"/>
  <c r="CA89" i="1" s="1"/>
  <c r="CA106" i="1" s="1"/>
  <c r="ID15" i="4"/>
  <c r="IO7" i="4"/>
  <c r="J265" i="1"/>
  <c r="JB15" i="4"/>
  <c r="Q264" i="1"/>
  <c r="IA14" i="4"/>
  <c r="JH15" i="4"/>
  <c r="IP14" i="4"/>
  <c r="HW7" i="4"/>
  <c r="HR21" i="4"/>
  <c r="AL89" i="1" s="1"/>
  <c r="IG15" i="4"/>
  <c r="B38" i="1"/>
  <c r="IP8" i="4"/>
  <c r="CA237" i="1"/>
  <c r="AL143" i="1"/>
  <c r="AL172" i="1"/>
  <c r="AL173" i="1" s="1"/>
  <c r="AM221" i="1" s="1"/>
  <c r="AL158" i="1"/>
  <c r="AL134" i="1"/>
  <c r="AM134" i="1" s="1"/>
  <c r="AL164" i="1"/>
  <c r="AM164" i="1" s="1"/>
  <c r="AL85" i="1"/>
  <c r="AL167" i="1"/>
  <c r="AM167" i="1" s="1"/>
  <c r="AM140" i="1"/>
  <c r="BJ192" i="1"/>
  <c r="BK192" i="1" s="1"/>
  <c r="AL214" i="1"/>
  <c r="AJ173" i="1"/>
  <c r="AK221" i="1" s="1"/>
  <c r="JE7" i="4"/>
  <c r="IR7" i="4"/>
  <c r="JD14" i="4"/>
  <c r="IS7" i="4"/>
  <c r="R38" i="1"/>
  <c r="IC7" i="4"/>
  <c r="S38" i="1"/>
  <c r="P195" i="1"/>
  <c r="JC14" i="4"/>
  <c r="IG14" i="4"/>
  <c r="JB14" i="4"/>
  <c r="IJ7" i="4"/>
  <c r="HR14" i="4"/>
  <c r="HQ7" i="4"/>
  <c r="HT8" i="4"/>
  <c r="IX7" i="4"/>
  <c r="HT14" i="4"/>
  <c r="IR15" i="4"/>
  <c r="W28" i="1"/>
  <c r="IT21" i="4"/>
  <c r="BN89" i="1" s="1"/>
  <c r="IC21" i="4"/>
  <c r="AW89" i="1" s="1"/>
  <c r="JF8" i="4"/>
  <c r="IV7" i="4"/>
  <c r="IU7" i="4"/>
  <c r="IU19" i="4" s="1"/>
  <c r="BO90" i="1" s="1"/>
  <c r="BO119" i="1" s="1"/>
  <c r="JC21" i="4"/>
  <c r="BW89" i="1" s="1"/>
  <c r="IK14" i="4"/>
  <c r="JD7" i="4"/>
  <c r="IY15" i="4"/>
  <c r="K38" i="1"/>
  <c r="IN8" i="4"/>
  <c r="BY132" i="1"/>
  <c r="BZ219" i="1" s="1"/>
  <c r="IC14" i="4"/>
  <c r="HR7" i="4"/>
  <c r="IL7" i="4"/>
  <c r="IB21" i="4"/>
  <c r="AV89" i="1" s="1"/>
  <c r="JA15" i="4"/>
  <c r="ID8" i="4"/>
  <c r="HY7" i="4"/>
  <c r="IT7" i="4"/>
  <c r="JA14" i="4"/>
  <c r="HT7" i="4"/>
  <c r="JI8" i="4"/>
  <c r="JA7" i="4"/>
  <c r="HQ14" i="4"/>
  <c r="U38" i="1"/>
  <c r="F38" i="1"/>
  <c r="HU8" i="4"/>
  <c r="IQ21" i="4"/>
  <c r="BK89" i="1" s="1"/>
  <c r="IL14" i="4"/>
  <c r="IK15" i="4"/>
  <c r="JB8" i="4"/>
  <c r="IJ15" i="4"/>
  <c r="IW8" i="4"/>
  <c r="HZ14" i="4"/>
  <c r="IM14" i="4"/>
  <c r="AJ38" i="1"/>
  <c r="IE20" i="4"/>
  <c r="AY91" i="1" s="1"/>
  <c r="AY120" i="1" s="1"/>
  <c r="IY14" i="4"/>
  <c r="C38" i="1"/>
  <c r="IH21" i="4"/>
  <c r="BB89" i="1" s="1"/>
  <c r="IX15" i="4"/>
  <c r="IM7" i="4"/>
  <c r="IV15" i="4"/>
  <c r="IA7" i="4"/>
  <c r="F264" i="1"/>
  <c r="F265" i="1"/>
  <c r="IW15" i="4"/>
  <c r="IM8" i="4"/>
  <c r="W38" i="1"/>
  <c r="IB8" i="4"/>
  <c r="H38" i="1"/>
  <c r="Q38" i="1"/>
  <c r="L22" i="1"/>
  <c r="IK21" i="4"/>
  <c r="BE89" i="1" s="1"/>
  <c r="IN14" i="4"/>
  <c r="JI14" i="4"/>
  <c r="B22" i="1"/>
  <c r="V28" i="1"/>
  <c r="V29" i="1" s="1"/>
  <c r="C22" i="1"/>
  <c r="C28" i="1" s="1"/>
  <c r="IV14" i="4"/>
  <c r="HX7" i="4"/>
  <c r="IN21" i="4"/>
  <c r="BH89" i="1" s="1"/>
  <c r="IZ14" i="4"/>
  <c r="HW15" i="4"/>
  <c r="IU15" i="4"/>
  <c r="HW14" i="4"/>
  <c r="HV7" i="4"/>
  <c r="IK8" i="4"/>
  <c r="IR14" i="4"/>
  <c r="IF8" i="4"/>
  <c r="BY24" i="1"/>
  <c r="CC200" i="1"/>
  <c r="V38" i="1"/>
  <c r="IP15" i="4"/>
  <c r="Q265" i="1"/>
  <c r="BX160" i="1"/>
  <c r="BX194" i="1" s="1"/>
  <c r="AJ160" i="1"/>
  <c r="AK38" i="1"/>
  <c r="O38" i="1"/>
  <c r="HS21" i="4"/>
  <c r="AM89" i="1" s="1"/>
  <c r="IH8" i="4"/>
  <c r="IH20" i="4" s="1"/>
  <c r="BB91" i="1" s="1"/>
  <c r="BB120" i="1" s="1"/>
  <c r="IT15" i="4"/>
  <c r="IZ7" i="4"/>
  <c r="IM15" i="4"/>
  <c r="IE14" i="4"/>
  <c r="BX38" i="1"/>
  <c r="BX14" i="1" s="1"/>
  <c r="IG8" i="4"/>
  <c r="II15" i="4"/>
  <c r="II20" i="4" s="1"/>
  <c r="BC91" i="1" s="1"/>
  <c r="BC120" i="1" s="1"/>
  <c r="L264" i="1"/>
  <c r="E38" i="1"/>
  <c r="E22" i="1"/>
  <c r="BY140" i="1"/>
  <c r="BY141" i="1" s="1"/>
  <c r="HZ7" i="4"/>
  <c r="IO8" i="4"/>
  <c r="JE15" i="4"/>
  <c r="HP8" i="4"/>
  <c r="ID7" i="4"/>
  <c r="JG7" i="4"/>
  <c r="D264" i="1"/>
  <c r="BJ195" i="1"/>
  <c r="BK195" i="1" s="1"/>
  <c r="AL195" i="1"/>
  <c r="AM195" i="1" s="1"/>
  <c r="HS8" i="4"/>
  <c r="JH8" i="4"/>
  <c r="IN20" i="4"/>
  <c r="BH91" i="1" s="1"/>
  <c r="BH120" i="1" s="1"/>
  <c r="AL38" i="1"/>
  <c r="IU8" i="4"/>
  <c r="I264" i="1"/>
  <c r="IS14" i="4"/>
  <c r="IC8" i="4"/>
  <c r="S264" i="1"/>
  <c r="IF7" i="4"/>
  <c r="ID14" i="4"/>
  <c r="IY8" i="4"/>
  <c r="HX14" i="4"/>
  <c r="IS15" i="4"/>
  <c r="N38" i="1"/>
  <c r="JB7" i="4"/>
  <c r="HX8" i="4"/>
  <c r="HV14" i="4"/>
  <c r="IB7" i="4"/>
  <c r="JC15" i="4"/>
  <c r="IT8" i="4"/>
  <c r="JH14" i="4"/>
  <c r="IG7" i="4"/>
  <c r="BJ191" i="1"/>
  <c r="BK191" i="1" s="1"/>
  <c r="N265" i="1"/>
  <c r="AK214" i="1"/>
  <c r="IC15" i="4"/>
  <c r="IA15" i="4"/>
  <c r="JI15" i="4"/>
  <c r="HW8" i="4"/>
  <c r="T38" i="1"/>
  <c r="HZ21" i="4"/>
  <c r="AT89" i="1" s="1"/>
  <c r="JC7" i="4"/>
  <c r="AK22" i="1"/>
  <c r="AK28" i="1" s="1"/>
  <c r="HZ8" i="4"/>
  <c r="IV8" i="4"/>
  <c r="IH14" i="4"/>
  <c r="IZ21" i="4"/>
  <c r="BT89" i="1" s="1"/>
  <c r="IJ14" i="4"/>
  <c r="IW14" i="4"/>
  <c r="JD8" i="4"/>
  <c r="IL21" i="4"/>
  <c r="BF89" i="1" s="1"/>
  <c r="BJ146" i="1"/>
  <c r="AM38" i="1"/>
  <c r="P38" i="1"/>
  <c r="O265" i="1"/>
  <c r="AM264" i="1"/>
  <c r="AJ214" i="1"/>
  <c r="HX15" i="4"/>
  <c r="G265" i="1"/>
  <c r="HY8" i="4"/>
  <c r="I22" i="1"/>
  <c r="AL22" i="1"/>
  <c r="AL265" i="1"/>
  <c r="BX132" i="1"/>
  <c r="BX104" i="1" s="1"/>
  <c r="H264" i="1"/>
  <c r="V110" i="1"/>
  <c r="V23" i="1"/>
  <c r="BX146" i="1"/>
  <c r="L38" i="1"/>
  <c r="HP7" i="4"/>
  <c r="HQ15" i="4"/>
  <c r="J38" i="1"/>
  <c r="IN7" i="4"/>
  <c r="K264" i="1"/>
  <c r="BX106" i="1"/>
  <c r="W110" i="1"/>
  <c r="X23" i="1"/>
  <c r="BX264" i="1"/>
  <c r="H22" i="1"/>
  <c r="H206" i="1"/>
  <c r="H265" i="1"/>
  <c r="U110" i="1"/>
  <c r="U28" i="1"/>
  <c r="U29" i="1" s="1"/>
  <c r="S243" i="1"/>
  <c r="BJ160" i="1"/>
  <c r="G38" i="1"/>
  <c r="D265" i="1"/>
  <c r="BX168" i="1"/>
  <c r="BX197" i="1" s="1"/>
  <c r="AM265" i="1"/>
  <c r="I265" i="1"/>
  <c r="O264" i="1"/>
  <c r="HU15" i="4"/>
  <c r="JH21" i="4"/>
  <c r="CB89" i="1" s="1"/>
  <c r="J22" i="1"/>
  <c r="AL264" i="1"/>
  <c r="AL192" i="1"/>
  <c r="AM192" i="1" s="1"/>
  <c r="AM110" i="1"/>
  <c r="AM111" i="1" s="1"/>
  <c r="BX243" i="1"/>
  <c r="CA110" i="1"/>
  <c r="CA111" i="1" s="1"/>
  <c r="BX13" i="1"/>
  <c r="IL15" i="4"/>
  <c r="BJ173" i="1"/>
  <c r="BK221" i="1" s="1"/>
  <c r="W265" i="1"/>
  <c r="BJ168" i="1"/>
  <c r="BJ197" i="1" s="1"/>
  <c r="AL140" i="1"/>
  <c r="Q22" i="1"/>
  <c r="AJ45" i="1"/>
  <c r="D38" i="1"/>
  <c r="II21" i="4"/>
  <c r="BC89" i="1" s="1"/>
  <c r="N28" i="1"/>
  <c r="IP7" i="4"/>
  <c r="IY7" i="4"/>
  <c r="HY14" i="4"/>
  <c r="B264" i="1"/>
  <c r="IB14" i="4"/>
  <c r="G264" i="1"/>
  <c r="JH7" i="4"/>
  <c r="M110" i="1"/>
  <c r="T264" i="1"/>
  <c r="IS8" i="4"/>
  <c r="O22" i="1"/>
  <c r="AI208" i="1"/>
  <c r="AI210" i="1" s="1"/>
  <c r="HP14" i="4"/>
  <c r="JI7" i="4"/>
  <c r="IO14" i="4"/>
  <c r="JF14" i="4"/>
  <c r="R206" i="1"/>
  <c r="BX140" i="1"/>
  <c r="BX265" i="1"/>
  <c r="AJ191" i="1"/>
  <c r="K265" i="1"/>
  <c r="D22" i="1"/>
  <c r="D28" i="1" s="1"/>
  <c r="D29" i="1" s="1"/>
  <c r="V200" i="1"/>
  <c r="W200" i="1"/>
  <c r="S265" i="1"/>
  <c r="AJ168" i="1"/>
  <c r="K22" i="1"/>
  <c r="JE8" i="4"/>
  <c r="IU21" i="4"/>
  <c r="BO89" i="1" s="1"/>
  <c r="IV21" i="4"/>
  <c r="BP89" i="1" s="1"/>
  <c r="T22" i="1"/>
  <c r="U200" i="1" s="1"/>
  <c r="JE21" i="4"/>
  <c r="BY89" i="1" s="1"/>
  <c r="JG15" i="4"/>
  <c r="JG20" i="4" s="1"/>
  <c r="CA91" i="1" s="1"/>
  <c r="II14" i="4"/>
  <c r="I38" i="1"/>
  <c r="AL191" i="1"/>
  <c r="AM191" i="1" s="1"/>
  <c r="AJ22" i="1"/>
  <c r="AJ28" i="1" s="1"/>
  <c r="AJ29" i="1" s="1"/>
  <c r="T265" i="1"/>
  <c r="P265" i="1"/>
  <c r="BJ132" i="1"/>
  <c r="BJ104" i="1" s="1"/>
  <c r="F206" i="1"/>
  <c r="AJ195" i="1"/>
  <c r="AM22" i="1"/>
  <c r="AM28" i="1" s="1"/>
  <c r="AM29" i="1" s="1"/>
  <c r="BX192" i="1"/>
  <c r="BY192" i="1" s="1"/>
  <c r="HT21" i="4"/>
  <c r="AN89" i="1" s="1"/>
  <c r="HU7" i="4"/>
  <c r="IZ15" i="4"/>
  <c r="IZ20" i="4" s="1"/>
  <c r="BT91" i="1" s="1"/>
  <c r="BT120" i="1" s="1"/>
  <c r="IR8" i="4"/>
  <c r="L265" i="1"/>
  <c r="JF21" i="4"/>
  <c r="BZ89" i="1" s="1"/>
  <c r="BZ106" i="1" s="1"/>
  <c r="IB15" i="4"/>
  <c r="N200" i="1"/>
  <c r="N23" i="1"/>
  <c r="R110" i="1"/>
  <c r="R28" i="1"/>
  <c r="HR20" i="4"/>
  <c r="AL91" i="1" s="1"/>
  <c r="AL120" i="1" s="1"/>
  <c r="G28" i="1"/>
  <c r="G110" i="1"/>
  <c r="CN44" i="1"/>
  <c r="CS89" i="1"/>
  <c r="AB175" i="1"/>
  <c r="CP77" i="1"/>
  <c r="CQ75" i="1"/>
  <c r="AC129" i="1"/>
  <c r="AC161" i="1"/>
  <c r="CB237" i="1"/>
  <c r="BQ1" i="1"/>
  <c r="BR1" i="1" s="1"/>
  <c r="BS1" i="1" s="1"/>
  <c r="BT1" i="1" s="1"/>
  <c r="IZ19" i="4" l="1"/>
  <c r="BT90" i="1" s="1"/>
  <c r="BT119" i="1" s="1"/>
  <c r="HZ19" i="4"/>
  <c r="AT90" i="1" s="1"/>
  <c r="AT119" i="1" s="1"/>
  <c r="IC19" i="4"/>
  <c r="AW90" i="1" s="1"/>
  <c r="AW119" i="1" s="1"/>
  <c r="IU20" i="4"/>
  <c r="BO91" i="1" s="1"/>
  <c r="BO120" i="1" s="1"/>
  <c r="AK140" i="1"/>
  <c r="AK45" i="1"/>
  <c r="IC20" i="4"/>
  <c r="AW91" i="1" s="1"/>
  <c r="AW120" i="1" s="1"/>
  <c r="AJ140" i="1"/>
  <c r="AJ192" i="1"/>
  <c r="AK192" i="1" s="1"/>
  <c r="CA114" i="1"/>
  <c r="IL20" i="4"/>
  <c r="BF91" i="1" s="1"/>
  <c r="BF120" i="1" s="1"/>
  <c r="AM261" i="1"/>
  <c r="AL168" i="1"/>
  <c r="AL197" i="1" s="1"/>
  <c r="IP19" i="4"/>
  <c r="BJ90" i="1" s="1"/>
  <c r="BJ119" i="1" s="1"/>
  <c r="IY19" i="4"/>
  <c r="BS90" i="1" s="1"/>
  <c r="BS119" i="1" s="1"/>
  <c r="IB19" i="4"/>
  <c r="AV90" i="1" s="1"/>
  <c r="AV119" i="1" s="1"/>
  <c r="AJ150" i="1"/>
  <c r="AJ215" i="1" s="1"/>
  <c r="AJ213" i="1" s="1"/>
  <c r="AK146" i="1"/>
  <c r="BK140" i="1"/>
  <c r="BL214" i="1"/>
  <c r="BK214" i="1"/>
  <c r="S28" i="1"/>
  <c r="S23" i="1"/>
  <c r="S110" i="1"/>
  <c r="S200" i="1"/>
  <c r="IA19" i="4"/>
  <c r="AU90" i="1" s="1"/>
  <c r="AU119" i="1" s="1"/>
  <c r="W29" i="1"/>
  <c r="X30" i="1"/>
  <c r="IJ20" i="4"/>
  <c r="BD91" i="1" s="1"/>
  <c r="BD120" i="1" s="1"/>
  <c r="BX28" i="1"/>
  <c r="BX40" i="1" s="1"/>
  <c r="ID19" i="4"/>
  <c r="AX90" i="1" s="1"/>
  <c r="AX119" i="1" s="1"/>
  <c r="HX19" i="4"/>
  <c r="AR90" i="1" s="1"/>
  <c r="AR119" i="1" s="1"/>
  <c r="IT20" i="4"/>
  <c r="BN91" i="1" s="1"/>
  <c r="BN120" i="1" s="1"/>
  <c r="IG19" i="4"/>
  <c r="BA90" i="1" s="1"/>
  <c r="BA119" i="1" s="1"/>
  <c r="JI20" i="4"/>
  <c r="CC91" i="1" s="1"/>
  <c r="HW20" i="4"/>
  <c r="AQ91" i="1" s="1"/>
  <c r="AQ120" i="1" s="1"/>
  <c r="AK40" i="1"/>
  <c r="IV20" i="4"/>
  <c r="BP91" i="1" s="1"/>
  <c r="BP120" i="1" s="1"/>
  <c r="IH19" i="4"/>
  <c r="BB90" i="1" s="1"/>
  <c r="BB119" i="1" s="1"/>
  <c r="IJ19" i="4"/>
  <c r="BD90" i="1" s="1"/>
  <c r="BD119" i="1" s="1"/>
  <c r="IW19" i="4"/>
  <c r="BQ90" i="1" s="1"/>
  <c r="BQ119" i="1" s="1"/>
  <c r="HQ19" i="4"/>
  <c r="AK90" i="1" s="1"/>
  <c r="IQ20" i="4"/>
  <c r="BK91" i="1" s="1"/>
  <c r="BK120" i="1" s="1"/>
  <c r="IQ19" i="4"/>
  <c r="BK90" i="1" s="1"/>
  <c r="BK119" i="1" s="1"/>
  <c r="IT19" i="4"/>
  <c r="BN90" i="1" s="1"/>
  <c r="BN119" i="1" s="1"/>
  <c r="HT19" i="4"/>
  <c r="AN90" i="1" s="1"/>
  <c r="AN119" i="1" s="1"/>
  <c r="W39" i="1"/>
  <c r="W14" i="1"/>
  <c r="W15" i="1" s="1"/>
  <c r="W40" i="1"/>
  <c r="X262" i="1" s="1"/>
  <c r="IW20" i="4"/>
  <c r="BQ91" i="1" s="1"/>
  <c r="BQ120" i="1" s="1"/>
  <c r="JB19" i="4"/>
  <c r="BV90" i="1" s="1"/>
  <c r="BV119" i="1" s="1"/>
  <c r="P28" i="1"/>
  <c r="P29" i="1" s="1"/>
  <c r="BX39" i="1"/>
  <c r="HT20" i="4"/>
  <c r="AN91" i="1" s="1"/>
  <c r="AN120" i="1" s="1"/>
  <c r="HY19" i="4"/>
  <c r="AS90" i="1" s="1"/>
  <c r="AS119" i="1" s="1"/>
  <c r="C29" i="1"/>
  <c r="C40" i="1"/>
  <c r="C41" i="1" s="1"/>
  <c r="IM20" i="4"/>
  <c r="BG91" i="1" s="1"/>
  <c r="BG120" i="1" s="1"/>
  <c r="IN19" i="4"/>
  <c r="BH90" i="1" s="1"/>
  <c r="BH119" i="1" s="1"/>
  <c r="AJ208" i="1"/>
  <c r="HU20" i="4"/>
  <c r="AO91" i="1" s="1"/>
  <c r="AO120" i="1" s="1"/>
  <c r="BX15" i="1"/>
  <c r="P200" i="1"/>
  <c r="G200" i="1"/>
  <c r="B28" i="1"/>
  <c r="B29" i="1" s="1"/>
  <c r="JI19" i="4"/>
  <c r="CC90" i="1" s="1"/>
  <c r="IO19" i="4"/>
  <c r="BI90" i="1" s="1"/>
  <c r="BI119" i="1" s="1"/>
  <c r="HS19" i="4"/>
  <c r="AM90" i="1" s="1"/>
  <c r="JA20" i="4"/>
  <c r="BU91" i="1" s="1"/>
  <c r="BU120" i="1" s="1"/>
  <c r="AJ132" i="1"/>
  <c r="BX141" i="1"/>
  <c r="AL132" i="1"/>
  <c r="AL104" i="1" s="1"/>
  <c r="JE19" i="4"/>
  <c r="BY90" i="1" s="1"/>
  <c r="CB23" i="1"/>
  <c r="AJ194" i="1"/>
  <c r="BX198" i="1"/>
  <c r="CB201" i="1" s="1"/>
  <c r="II19" i="4"/>
  <c r="BC90" i="1" s="1"/>
  <c r="BC119" i="1" s="1"/>
  <c r="HU19" i="4"/>
  <c r="AO90" i="1" s="1"/>
  <c r="AO119" i="1" s="1"/>
  <c r="IR20" i="4"/>
  <c r="BL91" i="1" s="1"/>
  <c r="IX19" i="4"/>
  <c r="BR90" i="1" s="1"/>
  <c r="BR119" i="1" s="1"/>
  <c r="IE19" i="4"/>
  <c r="AY90" i="1" s="1"/>
  <c r="AY119" i="1" s="1"/>
  <c r="JC20" i="4"/>
  <c r="BW91" i="1" s="1"/>
  <c r="BW120" i="1" s="1"/>
  <c r="HR19" i="4"/>
  <c r="AL90" i="1" s="1"/>
  <c r="AL119" i="1" s="1"/>
  <c r="HZ20" i="4"/>
  <c r="AT91" i="1" s="1"/>
  <c r="AT120" i="1" s="1"/>
  <c r="CC97" i="1"/>
  <c r="CC114" i="1"/>
  <c r="CC106" i="1"/>
  <c r="G23" i="1"/>
  <c r="F110" i="1"/>
  <c r="HV20" i="4"/>
  <c r="AP91" i="1" s="1"/>
  <c r="AP120" i="1" s="1"/>
  <c r="IB20" i="4"/>
  <c r="AV91" i="1" s="1"/>
  <c r="AV120" i="1" s="1"/>
  <c r="AL146" i="1"/>
  <c r="HV19" i="4"/>
  <c r="AP90" i="1" s="1"/>
  <c r="AP119" i="1" s="1"/>
  <c r="HW19" i="4"/>
  <c r="AQ90" i="1" s="1"/>
  <c r="AQ119" i="1" s="1"/>
  <c r="JA19" i="4"/>
  <c r="BU90" i="1" s="1"/>
  <c r="BU119" i="1" s="1"/>
  <c r="IX20" i="4"/>
  <c r="BR91" i="1" s="1"/>
  <c r="BR120" i="1" s="1"/>
  <c r="IR19" i="4"/>
  <c r="BL90" i="1" s="1"/>
  <c r="JF20" i="4"/>
  <c r="BZ91" i="1" s="1"/>
  <c r="BZ120" i="1" s="1"/>
  <c r="BZ123" i="1" s="1"/>
  <c r="IY20" i="4"/>
  <c r="BS91" i="1" s="1"/>
  <c r="BS120" i="1" s="1"/>
  <c r="IK20" i="4"/>
  <c r="BE91" i="1" s="1"/>
  <c r="BE120" i="1" s="1"/>
  <c r="AL28" i="1"/>
  <c r="AL29" i="1" s="1"/>
  <c r="AL39" i="1"/>
  <c r="IF19" i="4"/>
  <c r="AZ90" i="1" s="1"/>
  <c r="AZ119" i="1" s="1"/>
  <c r="JB20" i="4"/>
  <c r="BV91" i="1" s="1"/>
  <c r="BV120" i="1" s="1"/>
  <c r="IS19" i="4"/>
  <c r="BM90" i="1" s="1"/>
  <c r="BM119" i="1" s="1"/>
  <c r="JH20" i="4"/>
  <c r="CB91" i="1" s="1"/>
  <c r="JD20" i="4"/>
  <c r="BX91" i="1" s="1"/>
  <c r="BX120" i="1" s="1"/>
  <c r="JG19" i="4"/>
  <c r="CA90" i="1" s="1"/>
  <c r="CA107" i="1" s="1"/>
  <c r="E39" i="1"/>
  <c r="AL160" i="1"/>
  <c r="AL194" i="1" s="1"/>
  <c r="AM158" i="1"/>
  <c r="JD19" i="4"/>
  <c r="BX90" i="1" s="1"/>
  <c r="JC19" i="4"/>
  <c r="BW90" i="1" s="1"/>
  <c r="BW119" i="1" s="1"/>
  <c r="IV19" i="4"/>
  <c r="BP90" i="1" s="1"/>
  <c r="BP119" i="1" s="1"/>
  <c r="IO20" i="4"/>
  <c r="BI91" i="1" s="1"/>
  <c r="BI120" i="1" s="1"/>
  <c r="AJ169" i="1"/>
  <c r="IA20" i="4"/>
  <c r="AU91" i="1" s="1"/>
  <c r="AU120" i="1" s="1"/>
  <c r="HY20" i="4"/>
  <c r="AS91" i="1" s="1"/>
  <c r="AS120" i="1" s="1"/>
  <c r="IS20" i="4"/>
  <c r="BM91" i="1" s="1"/>
  <c r="BM120" i="1" s="1"/>
  <c r="J200" i="1"/>
  <c r="JE20" i="4"/>
  <c r="BY91" i="1" s="1"/>
  <c r="BY120" i="1" s="1"/>
  <c r="HQ20" i="4"/>
  <c r="AK91" i="1" s="1"/>
  <c r="BY104" i="1"/>
  <c r="BY219" i="1"/>
  <c r="AM218" i="1"/>
  <c r="W30" i="1"/>
  <c r="V40" i="1"/>
  <c r="V244" i="1" s="1"/>
  <c r="V245" i="1" s="1"/>
  <c r="C39" i="1"/>
  <c r="IF20" i="4"/>
  <c r="AZ91" i="1" s="1"/>
  <c r="AZ120" i="1" s="1"/>
  <c r="IL19" i="4"/>
  <c r="BF90" i="1" s="1"/>
  <c r="BF119" i="1" s="1"/>
  <c r="BJ141" i="1"/>
  <c r="M23" i="1"/>
  <c r="HP20" i="4"/>
  <c r="AJ91" i="1" s="1"/>
  <c r="IP20" i="4"/>
  <c r="BJ91" i="1" s="1"/>
  <c r="BJ120" i="1" s="1"/>
  <c r="AK24" i="1"/>
  <c r="V30" i="1"/>
  <c r="BX196" i="1"/>
  <c r="ID20" i="4"/>
  <c r="AX91" i="1" s="1"/>
  <c r="AX120" i="1" s="1"/>
  <c r="V39" i="1"/>
  <c r="V14" i="1"/>
  <c r="V15" i="1" s="1"/>
  <c r="L110" i="1"/>
  <c r="L28" i="1"/>
  <c r="C200" i="1"/>
  <c r="I110" i="1"/>
  <c r="I28" i="1"/>
  <c r="E28" i="1"/>
  <c r="F30" i="1" s="1"/>
  <c r="IM19" i="4"/>
  <c r="BG90" i="1" s="1"/>
  <c r="BG119" i="1" s="1"/>
  <c r="F200" i="1"/>
  <c r="M200" i="1"/>
  <c r="L200" i="1"/>
  <c r="I23" i="1"/>
  <c r="B39" i="1"/>
  <c r="IK19" i="4"/>
  <c r="BE90" i="1" s="1"/>
  <c r="BE119" i="1" s="1"/>
  <c r="E110" i="1"/>
  <c r="T200" i="1"/>
  <c r="T110" i="1"/>
  <c r="T23" i="1"/>
  <c r="U23" i="1"/>
  <c r="BX260" i="1"/>
  <c r="HS20" i="4"/>
  <c r="AM91" i="1" s="1"/>
  <c r="C23" i="1"/>
  <c r="F23" i="1"/>
  <c r="L23" i="1"/>
  <c r="O23" i="1"/>
  <c r="IG20" i="4"/>
  <c r="BA91" i="1" s="1"/>
  <c r="BA120" i="1" s="1"/>
  <c r="BJ106" i="1"/>
  <c r="JH19" i="4"/>
  <c r="CB90" i="1" s="1"/>
  <c r="JF19" i="4"/>
  <c r="BZ90" i="1" s="1"/>
  <c r="BZ107" i="1" s="1"/>
  <c r="BX169" i="1"/>
  <c r="BY261" i="1"/>
  <c r="BZ218" i="1"/>
  <c r="BZ217" i="1" s="1"/>
  <c r="BZ261" i="1"/>
  <c r="BZ263" i="1" s="1"/>
  <c r="BJ150" i="1"/>
  <c r="BK146" i="1"/>
  <c r="T28" i="1"/>
  <c r="AM114" i="1"/>
  <c r="AK39" i="1"/>
  <c r="AL24" i="1"/>
  <c r="AK29" i="1"/>
  <c r="HX20" i="4"/>
  <c r="AR91" i="1" s="1"/>
  <c r="AR120" i="1" s="1"/>
  <c r="HP19" i="4"/>
  <c r="AJ90" i="1" s="1"/>
  <c r="BX180" i="1"/>
  <c r="BY49" i="1" s="1"/>
  <c r="O28" i="1"/>
  <c r="O30" i="1" s="1"/>
  <c r="AM39" i="1"/>
  <c r="O110" i="1"/>
  <c r="AM24" i="1"/>
  <c r="BX193" i="1"/>
  <c r="BJ196" i="1"/>
  <c r="D200" i="1"/>
  <c r="BY146" i="1"/>
  <c r="BY45" i="1"/>
  <c r="BX150" i="1"/>
  <c r="Q110" i="1"/>
  <c r="Q23" i="1"/>
  <c r="Q200" i="1"/>
  <c r="Q28" i="1"/>
  <c r="Q29" i="1" s="1"/>
  <c r="D23" i="1"/>
  <c r="J28" i="1"/>
  <c r="J110" i="1"/>
  <c r="J23" i="1"/>
  <c r="R23" i="1"/>
  <c r="BJ194" i="1"/>
  <c r="BJ169" i="1"/>
  <c r="E23" i="1"/>
  <c r="H23" i="1"/>
  <c r="H110" i="1"/>
  <c r="H28" i="1"/>
  <c r="H29" i="1" s="1"/>
  <c r="AK31" i="1"/>
  <c r="CB114" i="1"/>
  <c r="CB106" i="1"/>
  <c r="CB97" i="1"/>
  <c r="R200" i="1"/>
  <c r="D39" i="1"/>
  <c r="AJ197" i="1"/>
  <c r="AJ209" i="1"/>
  <c r="I200" i="1"/>
  <c r="BJ260" i="1"/>
  <c r="P23" i="1"/>
  <c r="CA108" i="1"/>
  <c r="CA120" i="1"/>
  <c r="CA116" i="1"/>
  <c r="D30" i="1"/>
  <c r="E200" i="1"/>
  <c r="H200" i="1"/>
  <c r="K110" i="1"/>
  <c r="K200" i="1"/>
  <c r="K23" i="1"/>
  <c r="K28" i="1"/>
  <c r="K29" i="1" s="1"/>
  <c r="N30" i="1"/>
  <c r="N29" i="1"/>
  <c r="AL180" i="1"/>
  <c r="AL261" i="1"/>
  <c r="AL218" i="1"/>
  <c r="AJ39" i="1"/>
  <c r="BY218" i="1"/>
  <c r="BJ180" i="1"/>
  <c r="BJ121" i="1" s="1"/>
  <c r="AM31" i="1"/>
  <c r="AM40" i="1"/>
  <c r="AM46" i="1" s="1"/>
  <c r="AM50" i="1" s="1"/>
  <c r="AM53" i="1" s="1"/>
  <c r="AM54" i="1" s="1"/>
  <c r="AM257" i="1" s="1"/>
  <c r="D40" i="1"/>
  <c r="O200" i="1"/>
  <c r="AM237" i="1"/>
  <c r="AJ40" i="1"/>
  <c r="AJ46" i="1" s="1"/>
  <c r="AJ50" i="1" s="1"/>
  <c r="R29" i="1"/>
  <c r="AM52" i="1"/>
  <c r="G29" i="1"/>
  <c r="G30" i="1"/>
  <c r="CN144" i="1"/>
  <c r="CN146" i="1" s="1"/>
  <c r="CO44" i="1" s="1"/>
  <c r="CT89" i="1"/>
  <c r="AB149" i="1"/>
  <c r="AD161" i="1"/>
  <c r="AE161" i="1"/>
  <c r="AD129" i="1"/>
  <c r="AE129" i="1"/>
  <c r="CQ77" i="1"/>
  <c r="CR75" i="1"/>
  <c r="AC175" i="1"/>
  <c r="BU1" i="1"/>
  <c r="Q39" i="1"/>
  <c r="P39" i="1"/>
  <c r="O39" i="1"/>
  <c r="I39" i="1"/>
  <c r="H39" i="1"/>
  <c r="G39" i="1"/>
  <c r="U39" i="1"/>
  <c r="T39" i="1"/>
  <c r="S39" i="1"/>
  <c r="R39" i="1"/>
  <c r="N39" i="1"/>
  <c r="M39" i="1"/>
  <c r="L39" i="1"/>
  <c r="K39" i="1"/>
  <c r="J39" i="1"/>
  <c r="F39" i="1"/>
  <c r="AK218" i="1" l="1"/>
  <c r="AL198" i="1"/>
  <c r="AJ177" i="1"/>
  <c r="AK150" i="1"/>
  <c r="AL45" i="1"/>
  <c r="T30" i="1"/>
  <c r="AJ180" i="1"/>
  <c r="AK49" i="1" s="1"/>
  <c r="BJ107" i="1"/>
  <c r="BL218" i="1"/>
  <c r="BK261" i="1"/>
  <c r="S29" i="1"/>
  <c r="S30" i="1"/>
  <c r="AL196" i="1"/>
  <c r="AJ218" i="1"/>
  <c r="BK218" i="1"/>
  <c r="BL261" i="1"/>
  <c r="CC108" i="1"/>
  <c r="CC116" i="1"/>
  <c r="AM115" i="1"/>
  <c r="BL119" i="1"/>
  <c r="BL122" i="1" s="1"/>
  <c r="BL107" i="1"/>
  <c r="AM119" i="1"/>
  <c r="X42" i="1"/>
  <c r="BY31" i="1"/>
  <c r="BX29" i="1"/>
  <c r="CB30" i="1"/>
  <c r="W124" i="1"/>
  <c r="AL106" i="1"/>
  <c r="BX41" i="1"/>
  <c r="BX46" i="1"/>
  <c r="CB42" i="1"/>
  <c r="CA124" i="1"/>
  <c r="BX244" i="1"/>
  <c r="BX245" i="1" s="1"/>
  <c r="BY43" i="1"/>
  <c r="BY262" i="1"/>
  <c r="AK41" i="1"/>
  <c r="AK46" i="1"/>
  <c r="AK50" i="1" s="1"/>
  <c r="AK244" i="1"/>
  <c r="AK245" i="1" s="1"/>
  <c r="CC99" i="1"/>
  <c r="CC120" i="1"/>
  <c r="B40" i="1"/>
  <c r="CC107" i="1"/>
  <c r="CC115" i="1"/>
  <c r="CC119" i="1"/>
  <c r="CC98" i="1"/>
  <c r="CF102" i="1" s="1"/>
  <c r="BL108" i="1"/>
  <c r="BL120" i="1"/>
  <c r="BL123" i="1" s="1"/>
  <c r="AJ141" i="1"/>
  <c r="W46" i="1"/>
  <c r="W50" i="1" s="1"/>
  <c r="W53" i="1" s="1"/>
  <c r="AJ210" i="1"/>
  <c r="Q30" i="1"/>
  <c r="AL108" i="1"/>
  <c r="W244" i="1"/>
  <c r="W245" i="1" s="1"/>
  <c r="C30" i="1"/>
  <c r="BY119" i="1"/>
  <c r="BY101" i="1"/>
  <c r="AL141" i="1"/>
  <c r="AL260" i="1"/>
  <c r="W41" i="1"/>
  <c r="AM146" i="1"/>
  <c r="AM150" i="1" s="1"/>
  <c r="AL150" i="1"/>
  <c r="AM45" i="1"/>
  <c r="AL107" i="1"/>
  <c r="AK43" i="1"/>
  <c r="BJ258" i="1"/>
  <c r="CB108" i="1"/>
  <c r="CB120" i="1"/>
  <c r="CB123" i="1" s="1"/>
  <c r="CB126" i="1" s="1"/>
  <c r="CB99" i="1"/>
  <c r="CB116" i="1"/>
  <c r="BX121" i="1"/>
  <c r="BX123" i="1" s="1"/>
  <c r="W52" i="1"/>
  <c r="W60" i="1"/>
  <c r="W64" i="1" s="1"/>
  <c r="W246" i="1"/>
  <c r="AL40" i="1"/>
  <c r="AL244" i="1" s="1"/>
  <c r="AL245" i="1" s="1"/>
  <c r="BZ108" i="1"/>
  <c r="CA119" i="1"/>
  <c r="BX108" i="1"/>
  <c r="AL31" i="1"/>
  <c r="CA115" i="1"/>
  <c r="BX101" i="1"/>
  <c r="BX119" i="1"/>
  <c r="BX107" i="1"/>
  <c r="BZ101" i="1"/>
  <c r="BY107" i="1"/>
  <c r="BZ119" i="1"/>
  <c r="BZ122" i="1" s="1"/>
  <c r="AL169" i="1"/>
  <c r="BX177" i="1"/>
  <c r="BX178" i="1" s="1"/>
  <c r="V41" i="1"/>
  <c r="W42" i="1"/>
  <c r="CB115" i="1"/>
  <c r="CB98" i="1"/>
  <c r="CB107" i="1"/>
  <c r="CB119" i="1"/>
  <c r="CB122" i="1" s="1"/>
  <c r="CB125" i="1" s="1"/>
  <c r="AL193" i="1"/>
  <c r="W262" i="1"/>
  <c r="E40" i="1"/>
  <c r="E41" i="1" s="1"/>
  <c r="V46" i="1"/>
  <c r="V50" i="1" s="1"/>
  <c r="V53" i="1" s="1"/>
  <c r="E30" i="1"/>
  <c r="BY217" i="1"/>
  <c r="V124" i="1"/>
  <c r="BY106" i="1"/>
  <c r="E29" i="1"/>
  <c r="BJ108" i="1"/>
  <c r="AM120" i="1"/>
  <c r="AM116" i="1"/>
  <c r="L29" i="1"/>
  <c r="BY108" i="1"/>
  <c r="BJ123" i="1"/>
  <c r="I29" i="1"/>
  <c r="I30" i="1"/>
  <c r="M30" i="1"/>
  <c r="AK215" i="1"/>
  <c r="AK213" i="1" s="1"/>
  <c r="AK53" i="1"/>
  <c r="AK52" i="1"/>
  <c r="U30" i="1"/>
  <c r="AL46" i="1"/>
  <c r="AL50" i="1" s="1"/>
  <c r="AL52" i="1" s="1"/>
  <c r="BK150" i="1"/>
  <c r="BL215" i="1" s="1"/>
  <c r="BL213" i="1" s="1"/>
  <c r="BL45" i="1"/>
  <c r="AJ244" i="1"/>
  <c r="AJ245" i="1" s="1"/>
  <c r="P30" i="1"/>
  <c r="T29" i="1"/>
  <c r="O29" i="1"/>
  <c r="R30" i="1"/>
  <c r="BJ122" i="1"/>
  <c r="AJ41" i="1"/>
  <c r="H30" i="1"/>
  <c r="D41" i="1"/>
  <c r="D262" i="1"/>
  <c r="D42" i="1"/>
  <c r="D46" i="1"/>
  <c r="D50" i="1" s="1"/>
  <c r="D244" i="1"/>
  <c r="D245" i="1" s="1"/>
  <c r="D124" i="1"/>
  <c r="BY150" i="1"/>
  <c r="BZ215" i="1" s="1"/>
  <c r="BZ213" i="1" s="1"/>
  <c r="BZ45" i="1"/>
  <c r="J29" i="1"/>
  <c r="K30" i="1"/>
  <c r="AM41" i="1"/>
  <c r="J30" i="1"/>
  <c r="AM215" i="1"/>
  <c r="AM213" i="1" s="1"/>
  <c r="AL258" i="1"/>
  <c r="AJ52" i="1"/>
  <c r="AJ53" i="1"/>
  <c r="BJ198" i="1"/>
  <c r="BJ193" i="1"/>
  <c r="L30" i="1"/>
  <c r="AM244" i="1"/>
  <c r="AM245" i="1" s="1"/>
  <c r="AL121" i="1"/>
  <c r="AM49" i="1"/>
  <c r="BX258" i="1"/>
  <c r="CO206" i="1"/>
  <c r="CO144" i="1"/>
  <c r="CN150" i="1"/>
  <c r="CN206" i="1"/>
  <c r="AC89" i="1"/>
  <c r="CU89" i="1"/>
  <c r="AD175" i="1"/>
  <c r="AE175" i="1"/>
  <c r="AD152" i="1"/>
  <c r="CR77" i="1"/>
  <c r="CS75" i="1"/>
  <c r="AC149" i="1"/>
  <c r="BV1" i="1"/>
  <c r="BW1" i="1" s="1"/>
  <c r="BX1" i="1" s="1"/>
  <c r="AM246" i="1"/>
  <c r="BL244" i="1"/>
  <c r="BL245" i="1" s="1"/>
  <c r="G40" i="1"/>
  <c r="O40" i="1"/>
  <c r="H40" i="1"/>
  <c r="P40" i="1"/>
  <c r="I40" i="1"/>
  <c r="Q40" i="1"/>
  <c r="J40" i="1"/>
  <c r="R40" i="1"/>
  <c r="K40" i="1"/>
  <c r="S40" i="1"/>
  <c r="L40" i="1"/>
  <c r="T40" i="1"/>
  <c r="M40" i="1"/>
  <c r="U40" i="1"/>
  <c r="F40" i="1"/>
  <c r="N40" i="1"/>
  <c r="CA67" i="1" l="1"/>
  <c r="BX50" i="1"/>
  <c r="W54" i="1"/>
  <c r="W257" i="1" s="1"/>
  <c r="X55" i="1"/>
  <c r="AL177" i="1"/>
  <c r="AL178" i="1" s="1"/>
  <c r="AJ178" i="1"/>
  <c r="AL215" i="1"/>
  <c r="AL213" i="1" s="1"/>
  <c r="F262" i="1"/>
  <c r="B124" i="1"/>
  <c r="B41" i="1"/>
  <c r="C262" i="1"/>
  <c r="C42" i="1"/>
  <c r="BY263" i="1"/>
  <c r="AM124" i="1"/>
  <c r="AM43" i="1"/>
  <c r="AM262" i="1"/>
  <c r="AM263" i="1" s="1"/>
  <c r="AL41" i="1"/>
  <c r="AL43" i="1"/>
  <c r="BX122" i="1"/>
  <c r="B244" i="1"/>
  <c r="B245" i="1" s="1"/>
  <c r="AL262" i="1"/>
  <c r="AL263" i="1" s="1"/>
  <c r="V60" i="1"/>
  <c r="AM238" i="1"/>
  <c r="CE102" i="1"/>
  <c r="AK56" i="1"/>
  <c r="E42" i="1"/>
  <c r="V52" i="1"/>
  <c r="AL53" i="1"/>
  <c r="AM239" i="1" s="1"/>
  <c r="AK246" i="1"/>
  <c r="AK60" i="1"/>
  <c r="AK131" i="1" s="1"/>
  <c r="AK132" i="1" s="1"/>
  <c r="AK141" i="1" s="1"/>
  <c r="AK54" i="1"/>
  <c r="BX52" i="1"/>
  <c r="BX53" i="1"/>
  <c r="W55" i="1"/>
  <c r="V54" i="1"/>
  <c r="V257" i="1" s="1"/>
  <c r="BY215" i="1"/>
  <c r="BY213" i="1" s="1"/>
  <c r="AJ246" i="1"/>
  <c r="AJ54" i="1"/>
  <c r="AJ60" i="1"/>
  <c r="AL122" i="1"/>
  <c r="AL123" i="1"/>
  <c r="D53" i="1"/>
  <c r="D52" i="1"/>
  <c r="T262" i="1"/>
  <c r="P262" i="1"/>
  <c r="CB55" i="1"/>
  <c r="BX246" i="1"/>
  <c r="BX54" i="1"/>
  <c r="BX257" i="1" s="1"/>
  <c r="BX60" i="1"/>
  <c r="BY56" i="1"/>
  <c r="AK205" i="1"/>
  <c r="AK207" i="1" s="1"/>
  <c r="AK78" i="1"/>
  <c r="M262" i="1"/>
  <c r="R262" i="1"/>
  <c r="I262" i="1"/>
  <c r="K262" i="1"/>
  <c r="G262" i="1"/>
  <c r="H262" i="1"/>
  <c r="L262" i="1"/>
  <c r="S262" i="1"/>
  <c r="O262" i="1"/>
  <c r="J262" i="1"/>
  <c r="N262" i="1"/>
  <c r="U262" i="1"/>
  <c r="V262" i="1"/>
  <c r="Q262" i="1"/>
  <c r="R124" i="1"/>
  <c r="S42" i="1"/>
  <c r="T124" i="1"/>
  <c r="U42" i="1"/>
  <c r="U124" i="1"/>
  <c r="V42" i="1"/>
  <c r="P124" i="1"/>
  <c r="Q42" i="1"/>
  <c r="Q124" i="1"/>
  <c r="R42" i="1"/>
  <c r="I124" i="1"/>
  <c r="J42" i="1"/>
  <c r="S124" i="1"/>
  <c r="T42" i="1"/>
  <c r="H124" i="1"/>
  <c r="I42" i="1"/>
  <c r="E124" i="1"/>
  <c r="F42" i="1"/>
  <c r="L124" i="1"/>
  <c r="M42" i="1"/>
  <c r="O124" i="1"/>
  <c r="P42" i="1"/>
  <c r="N124" i="1"/>
  <c r="O42" i="1"/>
  <c r="K124" i="1"/>
  <c r="L42" i="1"/>
  <c r="F124" i="1"/>
  <c r="G42" i="1"/>
  <c r="G124" i="1"/>
  <c r="H42" i="1"/>
  <c r="M124" i="1"/>
  <c r="N42" i="1"/>
  <c r="J124" i="1"/>
  <c r="K42" i="1"/>
  <c r="CN215" i="1"/>
  <c r="CN213" i="1" s="1"/>
  <c r="CO146" i="1"/>
  <c r="CV89" i="1"/>
  <c r="AD214" i="1"/>
  <c r="AB154" i="1"/>
  <c r="AE149" i="1"/>
  <c r="AD149" i="1"/>
  <c r="CT75" i="1"/>
  <c r="CS77" i="1"/>
  <c r="C124" i="1"/>
  <c r="BY1" i="1"/>
  <c r="L41" i="1"/>
  <c r="N41" i="1"/>
  <c r="F41" i="1"/>
  <c r="O41" i="1"/>
  <c r="U46" i="1"/>
  <c r="U50" i="1" s="1"/>
  <c r="U41" i="1"/>
  <c r="G41" i="1"/>
  <c r="S41" i="1"/>
  <c r="M41" i="1"/>
  <c r="R41" i="1"/>
  <c r="J41" i="1"/>
  <c r="I41" i="1"/>
  <c r="P41" i="1"/>
  <c r="H41" i="1"/>
  <c r="K41" i="1"/>
  <c r="T41" i="1"/>
  <c r="Q41" i="1"/>
  <c r="T244" i="1"/>
  <c r="T245" i="1" s="1"/>
  <c r="Q244" i="1"/>
  <c r="Q245" i="1" s="1"/>
  <c r="K244" i="1"/>
  <c r="K245" i="1" s="1"/>
  <c r="O244" i="1"/>
  <c r="O245" i="1" s="1"/>
  <c r="U244" i="1"/>
  <c r="U245" i="1" s="1"/>
  <c r="L244" i="1"/>
  <c r="L245" i="1" s="1"/>
  <c r="C244" i="1"/>
  <c r="C245" i="1" s="1"/>
  <c r="I244" i="1"/>
  <c r="I245" i="1" s="1"/>
  <c r="G244" i="1"/>
  <c r="G245" i="1" s="1"/>
  <c r="R244" i="1"/>
  <c r="R245" i="1" s="1"/>
  <c r="P244" i="1"/>
  <c r="P245" i="1" s="1"/>
  <c r="F244" i="1"/>
  <c r="F245" i="1" s="1"/>
  <c r="M244" i="1"/>
  <c r="M245" i="1" s="1"/>
  <c r="N244" i="1"/>
  <c r="N245" i="1" s="1"/>
  <c r="E244" i="1"/>
  <c r="E245" i="1" s="1"/>
  <c r="S244" i="1"/>
  <c r="S245" i="1" s="1"/>
  <c r="J244" i="1"/>
  <c r="J245" i="1" s="1"/>
  <c r="H244" i="1"/>
  <c r="H245" i="1" s="1"/>
  <c r="B46" i="1"/>
  <c r="L46" i="1"/>
  <c r="Q46" i="1"/>
  <c r="T46" i="1"/>
  <c r="N46" i="1"/>
  <c r="S46" i="1"/>
  <c r="F46" i="1"/>
  <c r="K46" i="1"/>
  <c r="H46" i="1"/>
  <c r="I46" i="1"/>
  <c r="P46" i="1"/>
  <c r="C46" i="1"/>
  <c r="O46" i="1"/>
  <c r="R46" i="1"/>
  <c r="M46" i="1"/>
  <c r="G46" i="1"/>
  <c r="E46" i="1"/>
  <c r="J46" i="1"/>
  <c r="AK64" i="1" l="1"/>
  <c r="AL56" i="1"/>
  <c r="AL54" i="1"/>
  <c r="AL257" i="1" s="1"/>
  <c r="AM56" i="1"/>
  <c r="AL60" i="1"/>
  <c r="AL246" i="1"/>
  <c r="D246" i="1"/>
  <c r="D54" i="1"/>
  <c r="D60" i="1"/>
  <c r="AJ219" i="1"/>
  <c r="AJ217" i="1" s="1"/>
  <c r="AJ64" i="1"/>
  <c r="AJ78" i="1"/>
  <c r="AJ205" i="1"/>
  <c r="AJ207" i="1" s="1"/>
  <c r="AJ211" i="1" s="1"/>
  <c r="AJ225" i="1" s="1"/>
  <c r="CA66" i="1"/>
  <c r="BX78" i="1"/>
  <c r="CA81" i="1" s="1"/>
  <c r="BX205" i="1"/>
  <c r="BX207" i="1" s="1"/>
  <c r="BX64" i="1"/>
  <c r="AK219" i="1"/>
  <c r="AK217" i="1" s="1"/>
  <c r="BK176" i="1"/>
  <c r="BM176" i="1"/>
  <c r="CO150" i="1"/>
  <c r="CP44" i="1"/>
  <c r="CW89" i="1"/>
  <c r="AE152" i="1"/>
  <c r="AE214" i="1" s="1"/>
  <c r="CT77" i="1"/>
  <c r="CU75" i="1"/>
  <c r="BZ1" i="1"/>
  <c r="U53" i="1"/>
  <c r="V55" i="1" s="1"/>
  <c r="U52" i="1"/>
  <c r="P50" i="1"/>
  <c r="P53" i="1" s="1"/>
  <c r="R50" i="1"/>
  <c r="R53" i="1" s="1"/>
  <c r="E50" i="1"/>
  <c r="S50" i="1"/>
  <c r="S52" i="1" s="1"/>
  <c r="G50" i="1"/>
  <c r="G53" i="1" s="1"/>
  <c r="K50" i="1"/>
  <c r="K53" i="1" s="1"/>
  <c r="B50" i="1"/>
  <c r="O50" i="1"/>
  <c r="O53" i="1" s="1"/>
  <c r="H50" i="1"/>
  <c r="H53" i="1" s="1"/>
  <c r="N50" i="1"/>
  <c r="N53" i="1" s="1"/>
  <c r="L50" i="1"/>
  <c r="L52" i="1" s="1"/>
  <c r="C50" i="1"/>
  <c r="M50" i="1"/>
  <c r="M52" i="1" s="1"/>
  <c r="T50" i="1"/>
  <c r="T53" i="1" s="1"/>
  <c r="F50" i="1"/>
  <c r="F52" i="1" s="1"/>
  <c r="J50" i="1"/>
  <c r="J52" i="1" s="1"/>
  <c r="I50" i="1"/>
  <c r="I52" i="1" s="1"/>
  <c r="Q50" i="1"/>
  <c r="Q53" i="1" s="1"/>
  <c r="V246" i="1"/>
  <c r="AL78" i="1" l="1"/>
  <c r="AL205" i="1"/>
  <c r="AL207" i="1" s="1"/>
  <c r="AL64" i="1"/>
  <c r="AL219" i="1"/>
  <c r="AL217" i="1" s="1"/>
  <c r="AJ222" i="1"/>
  <c r="AJ223" i="1" s="1"/>
  <c r="D205" i="1"/>
  <c r="D207" i="1" s="1"/>
  <c r="D64" i="1"/>
  <c r="R55" i="1"/>
  <c r="CE82" i="1"/>
  <c r="CA99" i="1"/>
  <c r="CA98" i="1"/>
  <c r="CD102" i="1" s="1"/>
  <c r="BW101" i="1"/>
  <c r="CA97" i="1"/>
  <c r="U55" i="1"/>
  <c r="O55" i="1"/>
  <c r="AB44" i="1"/>
  <c r="B53" i="1"/>
  <c r="B52" i="1"/>
  <c r="C53" i="1"/>
  <c r="C52" i="1"/>
  <c r="E53" i="1"/>
  <c r="E60" i="1" s="1"/>
  <c r="E52" i="1"/>
  <c r="P55" i="1"/>
  <c r="H55" i="1"/>
  <c r="Q55" i="1"/>
  <c r="BJ177" i="1"/>
  <c r="BJ178" i="1" s="1"/>
  <c r="BL177" i="1"/>
  <c r="BL178" i="1" s="1"/>
  <c r="CP206" i="1"/>
  <c r="CP144" i="1"/>
  <c r="CO215" i="1"/>
  <c r="CO213" i="1" s="1"/>
  <c r="CX89" i="1"/>
  <c r="CV75" i="1"/>
  <c r="CU77" i="1"/>
  <c r="CA1" i="1"/>
  <c r="CB1" i="1" s="1"/>
  <c r="O52" i="1"/>
  <c r="BL246" i="1"/>
  <c r="S53" i="1"/>
  <c r="U54" i="1"/>
  <c r="U257" i="1" s="1"/>
  <c r="P54" i="1"/>
  <c r="P257" i="1" s="1"/>
  <c r="Q60" i="1"/>
  <c r="Q54" i="1"/>
  <c r="Q257" i="1" s="1"/>
  <c r="L53" i="1"/>
  <c r="P52" i="1"/>
  <c r="H54" i="1"/>
  <c r="H257" i="1" s="1"/>
  <c r="G54" i="1"/>
  <c r="G257" i="1" s="1"/>
  <c r="U60" i="1"/>
  <c r="N54" i="1"/>
  <c r="N257" i="1" s="1"/>
  <c r="R54" i="1"/>
  <c r="R257" i="1" s="1"/>
  <c r="K54" i="1"/>
  <c r="K257" i="1" s="1"/>
  <c r="O60" i="1"/>
  <c r="O54" i="1"/>
  <c r="O257" i="1" s="1"/>
  <c r="T60" i="1"/>
  <c r="T54" i="1"/>
  <c r="T257" i="1" s="1"/>
  <c r="R52" i="1"/>
  <c r="K52" i="1"/>
  <c r="N52" i="1"/>
  <c r="G52" i="1"/>
  <c r="H52" i="1"/>
  <c r="J53" i="1"/>
  <c r="K55" i="1" s="1"/>
  <c r="M53" i="1"/>
  <c r="N55" i="1" s="1"/>
  <c r="T52" i="1"/>
  <c r="F53" i="1"/>
  <c r="G55" i="1" s="1"/>
  <c r="I53" i="1"/>
  <c r="I55" i="1" s="1"/>
  <c r="O246" i="1"/>
  <c r="Q52" i="1"/>
  <c r="P246" i="1"/>
  <c r="P60" i="1"/>
  <c r="K246" i="1"/>
  <c r="K60" i="1"/>
  <c r="H246" i="1"/>
  <c r="H60" i="1"/>
  <c r="R60" i="1"/>
  <c r="N60" i="1"/>
  <c r="G60" i="1"/>
  <c r="G246" i="1"/>
  <c r="R246" i="1"/>
  <c r="N246" i="1"/>
  <c r="Q246" i="1"/>
  <c r="U246" i="1"/>
  <c r="T246" i="1"/>
  <c r="V64" i="1"/>
  <c r="V205" i="1"/>
  <c r="V207" i="1" s="1"/>
  <c r="E246" i="1" l="1"/>
  <c r="AB206" i="1"/>
  <c r="E54" i="1"/>
  <c r="E257" i="1" s="1"/>
  <c r="E55" i="1"/>
  <c r="D55" i="1"/>
  <c r="C54" i="1"/>
  <c r="B54" i="1"/>
  <c r="C55" i="1"/>
  <c r="F55" i="1"/>
  <c r="M55" i="1"/>
  <c r="S54" i="1"/>
  <c r="S257" i="1" s="1"/>
  <c r="T55" i="1"/>
  <c r="L55" i="1"/>
  <c r="J55" i="1"/>
  <c r="S55" i="1"/>
  <c r="AB144" i="1"/>
  <c r="AB146" i="1" s="1"/>
  <c r="AB45" i="1" s="1"/>
  <c r="CP146" i="1"/>
  <c r="AD89" i="1"/>
  <c r="CY89" i="1"/>
  <c r="CV77" i="1"/>
  <c r="CW75" i="1"/>
  <c r="CC1" i="1"/>
  <c r="K64" i="1"/>
  <c r="G64" i="1"/>
  <c r="E64" i="1"/>
  <c r="S60" i="1"/>
  <c r="S246" i="1"/>
  <c r="L246" i="1"/>
  <c r="L60" i="1"/>
  <c r="O205" i="1"/>
  <c r="O207" i="1" s="1"/>
  <c r="O64" i="1"/>
  <c r="B246" i="1"/>
  <c r="B60" i="1"/>
  <c r="M60" i="1"/>
  <c r="M54" i="1"/>
  <c r="M257" i="1" s="1"/>
  <c r="C246" i="1"/>
  <c r="I60" i="1"/>
  <c r="I54" i="1"/>
  <c r="I257" i="1" s="1"/>
  <c r="J60" i="1"/>
  <c r="J54" i="1"/>
  <c r="J257" i="1" s="1"/>
  <c r="F60" i="1"/>
  <c r="F54" i="1"/>
  <c r="F257" i="1" s="1"/>
  <c r="L54" i="1"/>
  <c r="L257" i="1" s="1"/>
  <c r="J246" i="1"/>
  <c r="E205" i="1"/>
  <c r="E207" i="1" s="1"/>
  <c r="R205" i="1"/>
  <c r="R207" i="1" s="1"/>
  <c r="M246" i="1"/>
  <c r="R64" i="1"/>
  <c r="I246" i="1"/>
  <c r="H64" i="1"/>
  <c r="H205" i="1"/>
  <c r="H207" i="1" s="1"/>
  <c r="F246" i="1"/>
  <c r="C60" i="1"/>
  <c r="N205" i="1"/>
  <c r="N207" i="1" s="1"/>
  <c r="N64" i="1"/>
  <c r="G205" i="1"/>
  <c r="G207" i="1" s="1"/>
  <c r="P64" i="1"/>
  <c r="K205" i="1"/>
  <c r="K207" i="1" s="1"/>
  <c r="P205" i="1"/>
  <c r="P207" i="1" s="1"/>
  <c r="U64" i="1"/>
  <c r="U205" i="1"/>
  <c r="U207" i="1" s="1"/>
  <c r="Q64" i="1"/>
  <c r="Q205" i="1"/>
  <c r="Q207" i="1" s="1"/>
  <c r="T64" i="1"/>
  <c r="T205" i="1"/>
  <c r="T207" i="1" s="1"/>
  <c r="CP150" i="1" l="1"/>
  <c r="CP215" i="1" s="1"/>
  <c r="CP213" i="1" s="1"/>
  <c r="CQ44" i="1"/>
  <c r="CZ89" i="1"/>
  <c r="AC154" i="1"/>
  <c r="CX75" i="1"/>
  <c r="CW77" i="1"/>
  <c r="CD1" i="1"/>
  <c r="CE1" i="1" s="1"/>
  <c r="CF1" i="1" s="1"/>
  <c r="CG1" i="1" s="1"/>
  <c r="CH1" i="1" s="1"/>
  <c r="CI1" i="1" s="1"/>
  <c r="CJ1" i="1" s="1"/>
  <c r="L205" i="1"/>
  <c r="L207" i="1" s="1"/>
  <c r="J205" i="1"/>
  <c r="J207" i="1" s="1"/>
  <c r="M205" i="1"/>
  <c r="M207" i="1" s="1"/>
  <c r="B64" i="1"/>
  <c r="F64" i="1"/>
  <c r="I64" i="1"/>
  <c r="C64" i="1"/>
  <c r="L64" i="1"/>
  <c r="S64" i="1"/>
  <c r="J64" i="1"/>
  <c r="S205" i="1"/>
  <c r="S207" i="1" s="1"/>
  <c r="M64" i="1"/>
  <c r="I205" i="1"/>
  <c r="I207" i="1" s="1"/>
  <c r="F205" i="1"/>
  <c r="F207" i="1" s="1"/>
  <c r="C205" i="1"/>
  <c r="C207" i="1" s="1"/>
  <c r="CQ206" i="1" l="1"/>
  <c r="CQ144" i="1"/>
  <c r="DA89" i="1"/>
  <c r="CX77" i="1"/>
  <c r="CY75" i="1"/>
  <c r="AB136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U58" i="2"/>
  <c r="E59" i="2"/>
  <c r="S12" i="3"/>
  <c r="O94" i="2"/>
  <c r="E44" i="2"/>
  <c r="Y39" i="3"/>
  <c r="AK14" i="3"/>
  <c r="G104" i="2"/>
  <c r="AO29" i="3"/>
  <c r="X50" i="2"/>
  <c r="W63" i="2"/>
  <c r="H53" i="2"/>
  <c r="K92" i="2"/>
  <c r="Y40" i="3"/>
  <c r="M80" i="2"/>
  <c r="V104" i="2"/>
  <c r="Q33" i="3"/>
  <c r="AQ15" i="3"/>
  <c r="L53" i="2"/>
  <c r="O19" i="3"/>
  <c r="U105" i="2"/>
  <c r="W93" i="2"/>
  <c r="R74" i="2"/>
  <c r="X78" i="2"/>
  <c r="AC36" i="3"/>
  <c r="D81" i="2"/>
  <c r="P56" i="2"/>
  <c r="Q5" i="3"/>
  <c r="AL23" i="3"/>
  <c r="K56" i="2"/>
  <c r="L43" i="2"/>
  <c r="E74" i="2"/>
  <c r="H28" i="3"/>
  <c r="C85" i="2"/>
  <c r="D82" i="2"/>
  <c r="L113" i="2"/>
  <c r="X52" i="2"/>
  <c r="AC20" i="3"/>
  <c r="S77" i="2"/>
  <c r="J44" i="2"/>
  <c r="AH42" i="3"/>
  <c r="Z38" i="3"/>
  <c r="P55" i="2"/>
  <c r="W68" i="2"/>
  <c r="K112" i="2"/>
  <c r="AA8" i="3"/>
  <c r="R48" i="2"/>
  <c r="E80" i="2"/>
  <c r="O15" i="3"/>
  <c r="AI39" i="3"/>
  <c r="N109" i="2"/>
  <c r="AB27" i="3"/>
  <c r="D57" i="2"/>
  <c r="I65" i="2"/>
  <c r="U41" i="2"/>
  <c r="O92" i="2"/>
  <c r="H34" i="3"/>
  <c r="K50" i="2"/>
  <c r="P82" i="2"/>
  <c r="AK12" i="3"/>
  <c r="Y23" i="3"/>
  <c r="V39" i="3"/>
  <c r="P18" i="3"/>
  <c r="G43" i="2"/>
  <c r="W98" i="2"/>
  <c r="AK37" i="3"/>
  <c r="G86" i="2"/>
  <c r="AL24" i="3"/>
  <c r="W31" i="3"/>
  <c r="L73" i="2"/>
  <c r="U47" i="2"/>
  <c r="AO30" i="3"/>
  <c r="X107" i="2"/>
  <c r="AQ32" i="3"/>
  <c r="L50" i="2"/>
  <c r="P40" i="3"/>
  <c r="AG34" i="3"/>
  <c r="AL36" i="3"/>
  <c r="I18" i="3"/>
  <c r="AH18" i="3"/>
  <c r="AD38" i="3"/>
  <c r="Q112" i="2"/>
  <c r="X19" i="3"/>
  <c r="V7" i="3"/>
  <c r="S65" i="2"/>
  <c r="G42" i="2"/>
  <c r="Q44" i="2"/>
  <c r="H56" i="2"/>
  <c r="I30" i="3"/>
  <c r="AC22" i="3"/>
  <c r="R56" i="2"/>
  <c r="F87" i="2"/>
  <c r="S40" i="3"/>
  <c r="F72" i="2"/>
  <c r="I38" i="3"/>
  <c r="U16" i="3"/>
  <c r="J27" i="3"/>
  <c r="AE21" i="3"/>
  <c r="R6" i="3"/>
  <c r="AN23" i="3"/>
  <c r="AI5" i="3"/>
  <c r="E62" i="2"/>
  <c r="S7" i="3"/>
  <c r="J49" i="2"/>
  <c r="AM31" i="3"/>
  <c r="V38" i="3"/>
  <c r="C109" i="2"/>
  <c r="F49" i="2"/>
  <c r="M30" i="3"/>
  <c r="J74" i="2"/>
  <c r="P8" i="3"/>
  <c r="O54" i="2"/>
  <c r="X13" i="3"/>
  <c r="O7" i="3"/>
  <c r="AI42" i="3"/>
  <c r="C33" i="3"/>
  <c r="C4" i="3"/>
  <c r="AP27" i="3"/>
  <c r="AM17" i="3"/>
  <c r="D62" i="2"/>
  <c r="M34" i="3"/>
  <c r="E87" i="2"/>
  <c r="D49" i="3"/>
  <c r="K18" i="3"/>
  <c r="O44" i="2"/>
  <c r="I56" i="2"/>
  <c r="AA14" i="3"/>
  <c r="S75" i="2"/>
  <c r="AL10" i="3"/>
  <c r="T54" i="2"/>
  <c r="V41" i="2"/>
  <c r="O57" i="2"/>
  <c r="N36" i="3"/>
  <c r="G70" i="2"/>
  <c r="H51" i="2"/>
  <c r="H112" i="2"/>
  <c r="M35" i="3"/>
  <c r="F105" i="2"/>
  <c r="V97" i="2"/>
  <c r="U7" i="3"/>
  <c r="AH21" i="3"/>
  <c r="K57" i="2"/>
  <c r="E113" i="2"/>
  <c r="N88" i="2"/>
  <c r="U109" i="2"/>
  <c r="AG7" i="3"/>
  <c r="U111" i="2"/>
  <c r="H64" i="2"/>
  <c r="L5" i="3"/>
  <c r="G50" i="2"/>
  <c r="X18" i="3"/>
  <c r="V107" i="2"/>
  <c r="S58" i="2"/>
  <c r="Q25" i="3"/>
  <c r="J84" i="2"/>
  <c r="P15" i="3"/>
  <c r="U65" i="2"/>
  <c r="O107" i="2"/>
  <c r="V72" i="2"/>
  <c r="K17" i="3"/>
  <c r="I107" i="2"/>
  <c r="AP10" i="3"/>
  <c r="K34" i="3"/>
  <c r="P11" i="3"/>
  <c r="W87" i="2"/>
  <c r="C19" i="3"/>
  <c r="T24" i="3"/>
  <c r="Q11" i="3"/>
  <c r="U29" i="3"/>
  <c r="I108" i="2"/>
  <c r="M81" i="2"/>
  <c r="I11" i="3"/>
  <c r="Q96" i="2"/>
  <c r="W27" i="3"/>
  <c r="O111" i="2"/>
  <c r="AO22" i="3"/>
  <c r="E86" i="2"/>
  <c r="AM32" i="3"/>
  <c r="T52" i="2"/>
  <c r="Q42" i="3"/>
  <c r="AM20" i="3"/>
  <c r="R84" i="2"/>
  <c r="U45" i="2"/>
  <c r="M5" i="3"/>
  <c r="P61" i="2"/>
  <c r="AP16" i="3"/>
  <c r="F95" i="2"/>
  <c r="AK20" i="3"/>
  <c r="D61" i="2"/>
  <c r="AB77" i="3"/>
  <c r="R71" i="2"/>
  <c r="Q12" i="3"/>
  <c r="AO34" i="3"/>
  <c r="E92" i="2"/>
  <c r="H41" i="2"/>
  <c r="E48" i="3"/>
  <c r="O45" i="2"/>
  <c r="I39" i="3"/>
  <c r="S57" i="2"/>
  <c r="F53" i="2"/>
  <c r="Y31" i="3"/>
  <c r="L57" i="2"/>
  <c r="N32" i="3"/>
  <c r="Y29" i="3"/>
  <c r="J21" i="3"/>
  <c r="X25" i="3"/>
  <c r="O90" i="2"/>
  <c r="U113" i="2"/>
  <c r="P93" i="2"/>
  <c r="K76" i="2"/>
  <c r="P20" i="3"/>
  <c r="T68" i="2"/>
  <c r="S107" i="2"/>
  <c r="R65" i="2"/>
  <c r="M77" i="2"/>
  <c r="J47" i="2"/>
  <c r="J64" i="2"/>
  <c r="AH26" i="3"/>
  <c r="AP23" i="3"/>
  <c r="K93" i="2"/>
  <c r="M87" i="2"/>
  <c r="AM7" i="3"/>
  <c r="AP32" i="3"/>
  <c r="C108" i="2"/>
  <c r="O50" i="2"/>
  <c r="Q71" i="2"/>
  <c r="I77" i="2"/>
  <c r="Z15" i="3"/>
  <c r="F97" i="2"/>
  <c r="D86" i="2"/>
  <c r="C43" i="2"/>
  <c r="U31" i="3"/>
  <c r="Q45" i="2"/>
  <c r="Z31" i="3"/>
  <c r="X32" i="3"/>
  <c r="T90" i="2"/>
  <c r="L14" i="3"/>
  <c r="AP63" i="3"/>
  <c r="C37" i="3"/>
  <c r="G49" i="3"/>
  <c r="X56" i="2"/>
  <c r="P17" i="3"/>
  <c r="J113" i="2"/>
  <c r="M99" i="2"/>
  <c r="V42" i="2"/>
  <c r="L112" i="2"/>
  <c r="C90" i="2"/>
  <c r="AQ42" i="3"/>
  <c r="X44" i="2"/>
  <c r="U68" i="2"/>
  <c r="AK30" i="3"/>
  <c r="X53" i="2"/>
  <c r="P113" i="2"/>
  <c r="R88" i="2"/>
  <c r="S52" i="2"/>
  <c r="AP19" i="3"/>
  <c r="N78" i="2"/>
  <c r="H47" i="2"/>
  <c r="Z28" i="3"/>
  <c r="S6" i="3"/>
  <c r="F79" i="2"/>
  <c r="V13" i="3"/>
  <c r="O98" i="2"/>
  <c r="M106" i="2"/>
  <c r="C98" i="2"/>
  <c r="M75" i="2"/>
  <c r="C7" i="3"/>
  <c r="W57" i="2"/>
  <c r="M79" i="2"/>
  <c r="AL31" i="3"/>
  <c r="L15" i="3"/>
  <c r="H92" i="2"/>
  <c r="G39" i="3"/>
  <c r="G47" i="2"/>
  <c r="K94" i="2"/>
  <c r="Q88" i="2"/>
  <c r="I40" i="2"/>
  <c r="M13" i="3"/>
  <c r="T94" i="2"/>
  <c r="P45" i="2"/>
  <c r="L22" i="3"/>
  <c r="AO42" i="3"/>
  <c r="P95" i="2"/>
  <c r="F92" i="2"/>
  <c r="T91" i="2"/>
  <c r="Z25" i="3"/>
  <c r="K104" i="2"/>
  <c r="I89" i="2"/>
  <c r="X46" i="2"/>
  <c r="D59" i="2"/>
  <c r="AH13" i="3"/>
  <c r="U75" i="2"/>
  <c r="C93" i="2"/>
  <c r="AH22" i="3"/>
  <c r="R13" i="3"/>
  <c r="S106" i="2"/>
  <c r="X99" i="2"/>
  <c r="C78" i="2"/>
  <c r="X35" i="3"/>
  <c r="C71" i="2"/>
  <c r="S56" i="2"/>
  <c r="S17" i="3"/>
  <c r="K11" i="3"/>
  <c r="R107" i="2"/>
  <c r="AN28" i="3"/>
  <c r="R57" i="2"/>
  <c r="W90" i="2"/>
  <c r="H105" i="2"/>
  <c r="E72" i="2"/>
  <c r="O23" i="3"/>
  <c r="V64" i="2"/>
  <c r="X58" i="2"/>
  <c r="AA12" i="3"/>
  <c r="J13" i="3"/>
  <c r="M52" i="2"/>
  <c r="P21" i="3"/>
  <c r="N64" i="2"/>
  <c r="P71" i="2"/>
  <c r="T33" i="3"/>
  <c r="M42" i="2"/>
  <c r="V14" i="3"/>
  <c r="Q28" i="3"/>
  <c r="I87" i="2"/>
  <c r="S49" i="2"/>
  <c r="AB7" i="3"/>
  <c r="P51" i="2"/>
  <c r="AP15" i="3"/>
  <c r="P40" i="2"/>
  <c r="AG31" i="3"/>
  <c r="R27" i="3"/>
  <c r="P28" i="3"/>
  <c r="AO12" i="3"/>
  <c r="AC17" i="3"/>
  <c r="Y14" i="3"/>
  <c r="H109" i="2"/>
  <c r="AL21" i="3"/>
  <c r="AK34" i="3"/>
  <c r="O38" i="3"/>
  <c r="K107" i="2"/>
  <c r="F67" i="2"/>
  <c r="N86" i="2"/>
  <c r="AL6" i="3"/>
  <c r="C17" i="3"/>
  <c r="W72" i="2"/>
  <c r="W83" i="2"/>
  <c r="L26" i="3"/>
  <c r="E66" i="2"/>
  <c r="AM22" i="3"/>
  <c r="D109" i="2"/>
  <c r="AE8" i="3"/>
  <c r="V34" i="3"/>
  <c r="R78" i="2"/>
  <c r="H18" i="3"/>
  <c r="AP42" i="3"/>
  <c r="O49" i="2"/>
  <c r="AC39" i="3"/>
  <c r="T105" i="2"/>
  <c r="T18" i="3"/>
  <c r="AC14" i="3"/>
  <c r="R70" i="2"/>
  <c r="G112" i="2"/>
  <c r="Y33" i="3"/>
  <c r="N75" i="2"/>
  <c r="AM9" i="3"/>
  <c r="P72" i="2"/>
  <c r="T21" i="3"/>
  <c r="C6" i="3"/>
  <c r="AP20" i="3"/>
  <c r="W41" i="3"/>
  <c r="L24" i="3"/>
  <c r="AG29" i="3"/>
  <c r="C88" i="2"/>
  <c r="O78" i="2"/>
  <c r="AQ8" i="3"/>
  <c r="F93" i="2"/>
  <c r="I32" i="3"/>
  <c r="O10" i="3"/>
  <c r="K65" i="2"/>
  <c r="L76" i="2"/>
  <c r="C20" i="3"/>
  <c r="D78" i="2"/>
  <c r="AI23" i="3"/>
  <c r="X95" i="2"/>
  <c r="L64" i="2"/>
  <c r="C89" i="2"/>
  <c r="L18" i="3"/>
  <c r="AB63" i="3"/>
  <c r="R46" i="2"/>
  <c r="F57" i="2"/>
  <c r="AN9" i="3"/>
  <c r="P79" i="2"/>
  <c r="N61" i="2"/>
  <c r="AD22" i="3"/>
  <c r="L29" i="3"/>
  <c r="G69" i="2"/>
  <c r="T110" i="2"/>
  <c r="R63" i="2"/>
  <c r="X23" i="3"/>
  <c r="AB12" i="3"/>
  <c r="R113" i="2"/>
  <c r="F96" i="2"/>
  <c r="H9" i="3"/>
  <c r="G54" i="2"/>
  <c r="P33" i="3"/>
  <c r="I85" i="2"/>
  <c r="S98" i="2"/>
  <c r="X59" i="2"/>
  <c r="G87" i="2"/>
  <c r="AG20" i="3"/>
  <c r="AP74" i="3"/>
  <c r="L62" i="2"/>
  <c r="M98" i="2"/>
  <c r="V37" i="3"/>
  <c r="F58" i="2"/>
  <c r="AC8" i="3"/>
  <c r="Q84" i="2"/>
  <c r="R12" i="3"/>
  <c r="X82" i="2"/>
  <c r="V60" i="2"/>
  <c r="M11" i="3"/>
  <c r="M94" i="2"/>
  <c r="AK26" i="3"/>
  <c r="M65" i="2"/>
  <c r="J77" i="2"/>
  <c r="T27" i="3"/>
  <c r="C74" i="2"/>
  <c r="AJ12" i="3"/>
  <c r="J90" i="2"/>
  <c r="M53" i="2"/>
  <c r="D83" i="2"/>
  <c r="J12" i="3"/>
  <c r="N98" i="2"/>
  <c r="V42" i="3"/>
  <c r="AK10" i="3"/>
  <c r="C68" i="2"/>
  <c r="J106" i="2"/>
  <c r="AN38" i="3"/>
  <c r="O104" i="2"/>
  <c r="AE18" i="3"/>
  <c r="D49" i="2"/>
  <c r="S39" i="3"/>
  <c r="J72" i="2"/>
  <c r="Q34" i="3"/>
  <c r="H57" i="2"/>
  <c r="K12" i="3"/>
  <c r="AB29" i="3"/>
  <c r="H89" i="2"/>
  <c r="N40" i="2"/>
  <c r="AE29" i="3"/>
  <c r="N83" i="2"/>
  <c r="H21" i="3"/>
  <c r="L48" i="2"/>
  <c r="O58" i="2"/>
  <c r="P7" i="3"/>
  <c r="X90" i="2"/>
  <c r="P36" i="3"/>
  <c r="T31" i="3"/>
  <c r="AE16" i="3"/>
  <c r="AB9" i="3"/>
  <c r="AO21" i="3"/>
  <c r="AH11" i="3"/>
  <c r="W28" i="3"/>
  <c r="AM11" i="3"/>
  <c r="AL32" i="3"/>
  <c r="AB61" i="3"/>
  <c r="AO33" i="3"/>
  <c r="AG37" i="3"/>
  <c r="T109" i="2"/>
  <c r="N44" i="2"/>
  <c r="J8" i="3"/>
  <c r="X86" i="2"/>
  <c r="AI41" i="3"/>
  <c r="W89" i="2"/>
  <c r="G89" i="2"/>
  <c r="AA24" i="3"/>
  <c r="AQ20" i="3"/>
  <c r="G40" i="3"/>
  <c r="AI10" i="3"/>
  <c r="T66" i="2"/>
  <c r="K40" i="3"/>
  <c r="Z33" i="3"/>
  <c r="M9" i="3"/>
  <c r="G51" i="2"/>
  <c r="AB81" i="3"/>
  <c r="I83" i="2"/>
  <c r="K79" i="2"/>
  <c r="Q24" i="3"/>
  <c r="H22" i="3"/>
  <c r="R59" i="2"/>
  <c r="AL17" i="3"/>
  <c r="R26" i="3"/>
  <c r="AG21" i="3"/>
  <c r="M110" i="2"/>
  <c r="N15" i="3"/>
  <c r="R39" i="3"/>
  <c r="AB84" i="3"/>
  <c r="C62" i="2"/>
  <c r="J111" i="2"/>
  <c r="AN31" i="3"/>
  <c r="E49" i="3"/>
  <c r="Y42" i="3"/>
  <c r="R69" i="2"/>
  <c r="C44" i="2"/>
  <c r="AP36" i="3"/>
  <c r="H106" i="2"/>
  <c r="K30" i="3"/>
  <c r="S26" i="3"/>
  <c r="C70" i="2"/>
  <c r="C64" i="2"/>
  <c r="L106" i="2"/>
  <c r="S42" i="3"/>
  <c r="M61" i="2"/>
  <c r="D106" i="2"/>
  <c r="P6" i="3"/>
  <c r="K39" i="3"/>
  <c r="J60" i="2"/>
  <c r="AE37" i="3"/>
  <c r="O85" i="2"/>
  <c r="H91" i="2"/>
  <c r="V113" i="2"/>
  <c r="M63" i="2"/>
  <c r="Q35" i="3"/>
  <c r="I109" i="2"/>
  <c r="P49" i="2"/>
  <c r="N35" i="3"/>
  <c r="AN11" i="3"/>
  <c r="Q72" i="2"/>
  <c r="G38" i="3"/>
  <c r="V78" i="2"/>
  <c r="M57" i="2"/>
  <c r="R111" i="2"/>
  <c r="V79" i="2"/>
  <c r="F55" i="2"/>
  <c r="M60" i="2"/>
  <c r="AP54" i="3"/>
  <c r="AB33" i="3"/>
  <c r="K22" i="3"/>
  <c r="I74" i="2"/>
  <c r="I72" i="2"/>
  <c r="N71" i="2"/>
  <c r="R15" i="3"/>
  <c r="W77" i="2"/>
  <c r="U79" i="2"/>
  <c r="N76" i="2"/>
  <c r="T112" i="2"/>
  <c r="AI30" i="3"/>
  <c r="R110" i="2"/>
  <c r="V77" i="2"/>
  <c r="AE19" i="3"/>
  <c r="AA22" i="3"/>
  <c r="S109" i="2"/>
  <c r="W107" i="2"/>
  <c r="D41" i="2"/>
  <c r="J42" i="3"/>
  <c r="L41" i="2"/>
  <c r="P77" i="2"/>
  <c r="W16" i="3"/>
  <c r="AH5" i="3"/>
  <c r="AB58" i="3"/>
  <c r="H30" i="3"/>
  <c r="N66" i="2"/>
  <c r="G41" i="2"/>
  <c r="O42" i="2"/>
  <c r="U93" i="2"/>
  <c r="AA34" i="3"/>
  <c r="Q89" i="2"/>
  <c r="K71" i="2"/>
  <c r="T35" i="3"/>
  <c r="AH19" i="3"/>
  <c r="M43" i="2"/>
  <c r="S23" i="3"/>
  <c r="H82" i="2"/>
  <c r="H81" i="2"/>
  <c r="E82" i="2"/>
  <c r="AH16" i="3"/>
  <c r="N25" i="3"/>
  <c r="J33" i="3"/>
  <c r="I94" i="2"/>
  <c r="O64" i="2"/>
  <c r="AB40" i="3"/>
  <c r="F74" i="2"/>
  <c r="AO38" i="3"/>
  <c r="V108" i="2"/>
  <c r="O33" i="3"/>
  <c r="T6" i="3"/>
  <c r="C11" i="3"/>
  <c r="Y21" i="3"/>
  <c r="I68" i="2"/>
  <c r="V82" i="2"/>
  <c r="AB18" i="3"/>
  <c r="AE27" i="3"/>
  <c r="U17" i="3"/>
  <c r="F86" i="2"/>
  <c r="N93" i="2"/>
  <c r="P5" i="3"/>
  <c r="X74" i="2"/>
  <c r="X39" i="3"/>
  <c r="I34" i="3"/>
  <c r="K48" i="2"/>
  <c r="E99" i="2"/>
  <c r="P24" i="3"/>
  <c r="E88" i="2"/>
  <c r="AG26" i="3"/>
  <c r="O83" i="2"/>
  <c r="P23" i="3"/>
  <c r="AI37" i="3"/>
  <c r="AA17" i="3"/>
  <c r="AE22" i="3"/>
  <c r="AK31" i="3"/>
  <c r="V52" i="2"/>
  <c r="AN37" i="3"/>
  <c r="AI6" i="3"/>
  <c r="K8" i="3"/>
  <c r="X33" i="3"/>
  <c r="P84" i="2"/>
  <c r="T87" i="2"/>
  <c r="AK32" i="3"/>
  <c r="M97" i="2"/>
  <c r="AQ22" i="3"/>
  <c r="J69" i="2"/>
  <c r="V35" i="3"/>
  <c r="Y27" i="3"/>
  <c r="AJ9" i="3"/>
  <c r="L34" i="3"/>
  <c r="AP57" i="3"/>
  <c r="L44" i="2"/>
  <c r="R21" i="3"/>
  <c r="D52" i="2"/>
  <c r="U57" i="2"/>
  <c r="I37" i="3"/>
  <c r="AH39" i="3"/>
  <c r="T39" i="3"/>
  <c r="P73" i="2"/>
  <c r="N79" i="2"/>
  <c r="S25" i="3"/>
  <c r="Q70" i="2"/>
  <c r="C39" i="3"/>
  <c r="E73" i="2"/>
  <c r="T70" i="2"/>
  <c r="I112" i="2"/>
  <c r="AM37" i="3"/>
  <c r="AM40" i="3"/>
  <c r="R55" i="2"/>
  <c r="E104" i="2"/>
  <c r="AN6" i="3"/>
  <c r="C47" i="2"/>
  <c r="P34" i="3"/>
  <c r="C26" i="3"/>
  <c r="M26" i="3"/>
  <c r="AJ24" i="3"/>
  <c r="AG27" i="3"/>
  <c r="AB56" i="3"/>
  <c r="Y37" i="3"/>
  <c r="I92" i="2"/>
  <c r="P86" i="2"/>
  <c r="N82" i="2"/>
  <c r="AC23" i="3"/>
  <c r="AB54" i="3"/>
  <c r="R86" i="2"/>
  <c r="Q97" i="2"/>
  <c r="AM25" i="3"/>
  <c r="I60" i="2"/>
  <c r="W112" i="2"/>
  <c r="T40" i="3"/>
  <c r="Q31" i="3"/>
  <c r="E78" i="2"/>
  <c r="M59" i="2"/>
  <c r="L89" i="2"/>
  <c r="S32" i="3"/>
  <c r="U14" i="3"/>
  <c r="AO25" i="3"/>
  <c r="T23" i="3"/>
  <c r="X67" i="2"/>
  <c r="M92" i="2"/>
  <c r="AP14" i="3"/>
  <c r="C97" i="2"/>
  <c r="K16" i="3"/>
  <c r="I71" i="2"/>
  <c r="V95" i="2"/>
  <c r="U80" i="2"/>
  <c r="R73" i="2"/>
  <c r="AC12" i="3"/>
  <c r="AB67" i="3"/>
  <c r="AE39" i="3"/>
  <c r="C76" i="2"/>
  <c r="O16" i="3"/>
  <c r="S31" i="3"/>
  <c r="J31" i="3"/>
  <c r="AM35" i="3"/>
  <c r="E75" i="2"/>
  <c r="J58" i="2"/>
  <c r="N16" i="3"/>
  <c r="F83" i="2"/>
  <c r="S41" i="3"/>
  <c r="X87" i="2"/>
  <c r="AM6" i="3"/>
  <c r="C53" i="2"/>
  <c r="P13" i="3"/>
  <c r="AP79" i="3"/>
  <c r="AN15" i="3"/>
  <c r="I33" i="3"/>
  <c r="O113" i="2"/>
  <c r="X42" i="2"/>
  <c r="N38" i="3"/>
  <c r="F108" i="2"/>
  <c r="AM24" i="3"/>
  <c r="T47" i="2"/>
  <c r="AP87" i="3"/>
  <c r="R98" i="2"/>
  <c r="W12" i="3"/>
  <c r="T55" i="2"/>
  <c r="AQ23" i="3"/>
  <c r="Q90" i="2"/>
  <c r="U22" i="3"/>
  <c r="W67" i="2"/>
  <c r="U41" i="3"/>
  <c r="J110" i="2"/>
  <c r="H15" i="3"/>
  <c r="AJ16" i="3"/>
  <c r="U88" i="2"/>
  <c r="AP35" i="3"/>
  <c r="AC32" i="3"/>
  <c r="S19" i="3"/>
  <c r="N42" i="3"/>
  <c r="S48" i="2"/>
  <c r="AQ26" i="3"/>
  <c r="AK18" i="3"/>
  <c r="AN35" i="3"/>
  <c r="X112" i="2"/>
  <c r="C91" i="2"/>
  <c r="U33" i="3"/>
  <c r="C36" i="3"/>
  <c r="Q10" i="3"/>
  <c r="I10" i="3"/>
  <c r="K36" i="3"/>
  <c r="P43" i="2"/>
  <c r="AJ40" i="3"/>
  <c r="U35" i="3"/>
  <c r="N20" i="3"/>
  <c r="AP58" i="3"/>
  <c r="D87" i="2"/>
  <c r="I46" i="2"/>
  <c r="U6" i="3"/>
  <c r="W24" i="3"/>
  <c r="D56" i="2"/>
  <c r="S82" i="2"/>
  <c r="K84" i="2"/>
  <c r="Q40" i="3"/>
  <c r="T42" i="3"/>
  <c r="AA23" i="3"/>
  <c r="P31" i="3"/>
  <c r="AQ19" i="3"/>
  <c r="Y16" i="3"/>
  <c r="L88" i="2"/>
  <c r="AG19" i="3"/>
  <c r="P94" i="2"/>
  <c r="W94" i="2"/>
  <c r="L42" i="2"/>
  <c r="AN20" i="3"/>
  <c r="S112" i="2"/>
  <c r="G78" i="2"/>
  <c r="L23" i="3"/>
  <c r="AK8" i="3"/>
  <c r="X68" i="2"/>
  <c r="AE35" i="3"/>
  <c r="T48" i="2"/>
  <c r="J107" i="2"/>
  <c r="R77" i="2"/>
  <c r="U110" i="2"/>
  <c r="X36" i="3"/>
  <c r="J75" i="2"/>
  <c r="S90" i="2"/>
  <c r="R20" i="3"/>
  <c r="V21" i="3"/>
  <c r="K83" i="2"/>
  <c r="O32" i="3"/>
  <c r="R91" i="2"/>
  <c r="C58" i="2"/>
  <c r="J73" i="2"/>
  <c r="AP59" i="3"/>
  <c r="P76" i="2"/>
  <c r="I86" i="2"/>
  <c r="AH23" i="3"/>
  <c r="Z26" i="3"/>
  <c r="AH12" i="3"/>
  <c r="T113" i="2"/>
  <c r="H50" i="2"/>
  <c r="J45" i="2"/>
  <c r="M32" i="3"/>
  <c r="N105" i="2"/>
  <c r="L75" i="2"/>
  <c r="Q106" i="2"/>
  <c r="E76" i="2"/>
  <c r="J99" i="2"/>
  <c r="U107" i="2"/>
  <c r="O42" i="3"/>
  <c r="W44" i="2"/>
  <c r="G60" i="2"/>
  <c r="T26" i="3"/>
  <c r="AJ37" i="3"/>
  <c r="C49" i="3"/>
  <c r="AJ19" i="3"/>
  <c r="D96" i="2"/>
  <c r="C94" i="2"/>
  <c r="W109" i="2"/>
  <c r="P74" i="2"/>
  <c r="X15" i="3"/>
  <c r="M86" i="2"/>
  <c r="K77" i="2"/>
  <c r="O24" i="3"/>
  <c r="AI40" i="3"/>
  <c r="U40" i="2"/>
  <c r="AM28" i="3"/>
  <c r="L45" i="2"/>
  <c r="T50" i="2"/>
  <c r="L98" i="2"/>
  <c r="AP67" i="3"/>
  <c r="L95" i="2"/>
  <c r="X89" i="2"/>
  <c r="Q36" i="3"/>
  <c r="AM29" i="3"/>
  <c r="AG35" i="3"/>
  <c r="Q65" i="2"/>
  <c r="G95" i="2"/>
  <c r="I44" i="2"/>
  <c r="AQ36" i="3"/>
  <c r="F76" i="2"/>
  <c r="D111" i="2"/>
  <c r="K109" i="2"/>
  <c r="U70" i="2"/>
  <c r="AP40" i="3"/>
  <c r="K47" i="2"/>
  <c r="D113" i="2"/>
  <c r="U37" i="3"/>
  <c r="AC11" i="3"/>
  <c r="X70" i="2"/>
  <c r="W61" i="2"/>
  <c r="O109" i="2"/>
  <c r="AN7" i="3"/>
  <c r="T46" i="2"/>
  <c r="AB78" i="3"/>
  <c r="H37" i="3"/>
  <c r="V36" i="3"/>
  <c r="AE32" i="3"/>
  <c r="S20" i="3"/>
  <c r="E50" i="2"/>
  <c r="T98" i="2"/>
  <c r="V86" i="2"/>
  <c r="F85" i="2"/>
  <c r="AP37" i="3"/>
  <c r="L55" i="2"/>
  <c r="R94" i="2"/>
  <c r="AJ15" i="3"/>
  <c r="K14" i="3"/>
  <c r="G74" i="2"/>
  <c r="AD36" i="3"/>
  <c r="V51" i="2"/>
  <c r="O86" i="2"/>
  <c r="K52" i="2"/>
  <c r="R30" i="3"/>
  <c r="R96" i="2"/>
  <c r="AA26" i="3"/>
  <c r="O41" i="2"/>
  <c r="W96" i="2"/>
  <c r="AA19" i="3"/>
  <c r="K40" i="2"/>
  <c r="J6" i="3"/>
  <c r="AP75" i="3"/>
  <c r="L59" i="2"/>
  <c r="M44" i="2"/>
  <c r="AM36" i="3"/>
  <c r="N108" i="2"/>
  <c r="U108" i="2"/>
  <c r="I16" i="3"/>
  <c r="P25" i="3"/>
  <c r="X43" i="2"/>
  <c r="AD40" i="3"/>
  <c r="V26" i="3"/>
  <c r="J82" i="2"/>
  <c r="AK27" i="3"/>
  <c r="Z30" i="3"/>
  <c r="Q18" i="3"/>
  <c r="AN10" i="3"/>
  <c r="L54" i="2"/>
  <c r="E98" i="2"/>
  <c r="AQ5" i="3"/>
  <c r="U82" i="2"/>
  <c r="AH29" i="3"/>
  <c r="D64" i="2"/>
  <c r="AN39" i="3"/>
  <c r="D79" i="2"/>
  <c r="AJ8" i="3"/>
  <c r="C13" i="3"/>
  <c r="P80" i="2"/>
  <c r="J63" i="2"/>
  <c r="M55" i="2"/>
  <c r="Y34" i="3"/>
  <c r="M73" i="2"/>
  <c r="AB17" i="3"/>
  <c r="C41" i="2"/>
  <c r="J88" i="2"/>
  <c r="V40" i="3"/>
  <c r="V94" i="2"/>
  <c r="U9" i="3"/>
  <c r="W52" i="2"/>
  <c r="G71" i="2"/>
  <c r="I106" i="2"/>
  <c r="AJ35" i="3"/>
  <c r="O43" i="2"/>
  <c r="T32" i="3"/>
  <c r="Q51" i="2"/>
  <c r="W37" i="3"/>
  <c r="C60" i="2"/>
  <c r="I54" i="2"/>
  <c r="AM5" i="3"/>
  <c r="F56" i="2"/>
  <c r="AC24" i="3"/>
  <c r="L90" i="2"/>
  <c r="T63" i="2"/>
  <c r="K91" i="2"/>
  <c r="J86" i="2"/>
  <c r="W23" i="3"/>
  <c r="J112" i="2"/>
  <c r="AN8" i="3"/>
  <c r="K85" i="2"/>
  <c r="Q21" i="3"/>
  <c r="AI19" i="3"/>
  <c r="R89" i="2"/>
  <c r="U78" i="2"/>
  <c r="O27" i="3"/>
  <c r="H96" i="2"/>
  <c r="C32" i="3"/>
  <c r="M105" i="2"/>
  <c r="X26" i="3"/>
  <c r="W11" i="3"/>
  <c r="AE41" i="3"/>
  <c r="AH35" i="3"/>
  <c r="P12" i="3"/>
  <c r="O56" i="2"/>
  <c r="G55" i="2"/>
  <c r="C106" i="2"/>
  <c r="AH28" i="3"/>
  <c r="K35" i="3"/>
  <c r="R81" i="2"/>
  <c r="H86" i="2"/>
  <c r="O20" i="3"/>
  <c r="H46" i="2"/>
  <c r="I28" i="3"/>
  <c r="AH6" i="3"/>
  <c r="W6" i="3"/>
  <c r="I26" i="3"/>
  <c r="C41" i="3"/>
  <c r="C21" i="3"/>
  <c r="L36" i="3"/>
  <c r="M16" i="3"/>
  <c r="AE25" i="3"/>
  <c r="AI33" i="3"/>
  <c r="J48" i="2"/>
  <c r="O87" i="2"/>
  <c r="AQ14" i="3"/>
  <c r="AP60" i="3"/>
  <c r="K86" i="2"/>
  <c r="P42" i="2"/>
  <c r="N39" i="3"/>
  <c r="R106" i="2"/>
  <c r="V83" i="2"/>
  <c r="AQ34" i="3"/>
  <c r="I8" i="3"/>
  <c r="T61" i="2"/>
  <c r="U63" i="2"/>
  <c r="J56" i="2"/>
  <c r="V9" i="3"/>
  <c r="G59" i="2"/>
  <c r="AB31" i="3"/>
  <c r="R53" i="2"/>
  <c r="W79" i="2"/>
  <c r="AQ11" i="3"/>
  <c r="L60" i="2"/>
  <c r="Z13" i="3"/>
  <c r="F82" i="2"/>
  <c r="J53" i="2"/>
  <c r="L111" i="2"/>
  <c r="M88" i="2"/>
  <c r="P30" i="3"/>
  <c r="D54" i="2"/>
  <c r="AI29" i="3"/>
  <c r="R44" i="2"/>
  <c r="H80" i="2"/>
  <c r="AN41" i="3"/>
  <c r="S105" i="2"/>
  <c r="K10" i="3"/>
  <c r="AB11" i="3"/>
  <c r="S81" i="2"/>
  <c r="K108" i="2"/>
  <c r="N12" i="3"/>
  <c r="O55" i="2"/>
  <c r="F73" i="2"/>
  <c r="N63" i="2"/>
  <c r="C51" i="2"/>
  <c r="J80" i="2"/>
  <c r="AP84" i="3"/>
  <c r="H13" i="3"/>
  <c r="Q49" i="2"/>
  <c r="T44" i="2"/>
  <c r="J41" i="3"/>
  <c r="L56" i="2"/>
  <c r="AQ39" i="3"/>
  <c r="J52" i="2"/>
  <c r="AP78" i="3"/>
  <c r="S29" i="3"/>
  <c r="V15" i="3"/>
  <c r="C14" i="3"/>
  <c r="D47" i="3"/>
  <c r="AL40" i="3"/>
  <c r="Q14" i="3"/>
  <c r="R45" i="2"/>
  <c r="Y13" i="3"/>
  <c r="O39" i="3"/>
  <c r="AG11" i="3"/>
  <c r="I58" i="2"/>
  <c r="N112" i="2"/>
  <c r="AJ33" i="3"/>
  <c r="C42" i="2"/>
  <c r="AB69" i="3"/>
  <c r="AD47" i="3"/>
  <c r="C42" i="3"/>
  <c r="AC25" i="3"/>
  <c r="R14" i="3"/>
  <c r="L72" i="2"/>
  <c r="J5" i="3"/>
  <c r="W65" i="2"/>
  <c r="Y15" i="3"/>
  <c r="M31" i="3"/>
  <c r="N73" i="2"/>
  <c r="AA36" i="3"/>
  <c r="V44" i="2"/>
  <c r="W91" i="2"/>
  <c r="D112" i="2"/>
  <c r="AQ40" i="3"/>
  <c r="N57" i="2"/>
  <c r="F104" i="2"/>
  <c r="G91" i="2"/>
  <c r="R50" i="2"/>
  <c r="AJ23" i="3"/>
  <c r="N89" i="2"/>
  <c r="E42" i="2"/>
  <c r="AJ11" i="3"/>
  <c r="P44" i="2"/>
  <c r="T69" i="2"/>
  <c r="AK13" i="3"/>
  <c r="AB37" i="3"/>
  <c r="T89" i="2"/>
  <c r="W99" i="2"/>
  <c r="AP77" i="3"/>
  <c r="G53" i="2"/>
  <c r="Y30" i="3"/>
  <c r="X96" i="2"/>
  <c r="J14" i="3"/>
  <c r="L51" i="2"/>
  <c r="E77" i="2"/>
  <c r="S43" i="2"/>
  <c r="AB23" i="3"/>
  <c r="X110" i="2"/>
  <c r="L91" i="2"/>
  <c r="AP64" i="3"/>
  <c r="R64" i="2"/>
  <c r="N104" i="2"/>
  <c r="AP65" i="3"/>
  <c r="W75" i="2"/>
  <c r="AM16" i="3"/>
  <c r="K27" i="3"/>
  <c r="T65" i="2"/>
  <c r="H97" i="2"/>
  <c r="V49" i="2"/>
  <c r="U64" i="2"/>
  <c r="AI18" i="3"/>
  <c r="AL33" i="3"/>
  <c r="M62" i="2"/>
  <c r="X77" i="2"/>
  <c r="K66" i="2"/>
  <c r="G37" i="3"/>
  <c r="R105" i="2"/>
  <c r="AN27" i="3"/>
  <c r="AC34" i="3"/>
  <c r="V32" i="3"/>
  <c r="L96" i="2"/>
  <c r="F84" i="2"/>
  <c r="U26" i="3"/>
  <c r="AM18" i="3"/>
  <c r="X60" i="2"/>
  <c r="S28" i="3"/>
  <c r="AP25" i="3"/>
  <c r="L46" i="2"/>
  <c r="L11" i="3"/>
  <c r="AJ26" i="3"/>
  <c r="V27" i="3"/>
  <c r="L40" i="2"/>
  <c r="U28" i="3"/>
  <c r="V71" i="2"/>
  <c r="X29" i="3"/>
  <c r="AO20" i="3"/>
  <c r="AO11" i="3"/>
  <c r="AL12" i="3"/>
  <c r="T51" i="2"/>
  <c r="AI35" i="3"/>
  <c r="G85" i="2"/>
  <c r="X69" i="2"/>
  <c r="J97" i="2"/>
  <c r="U24" i="3"/>
  <c r="E41" i="2"/>
  <c r="C69" i="2"/>
  <c r="V105" i="2"/>
  <c r="L35" i="3"/>
  <c r="D65" i="2"/>
  <c r="T71" i="2"/>
  <c r="K44" i="2"/>
  <c r="AL7" i="3"/>
  <c r="AM39" i="3"/>
  <c r="W8" i="3"/>
  <c r="S113" i="2"/>
  <c r="S16" i="3"/>
  <c r="R34" i="3"/>
  <c r="O72" i="2"/>
  <c r="L79" i="2"/>
  <c r="T41" i="2"/>
  <c r="J55" i="2"/>
  <c r="I75" i="2"/>
  <c r="I61" i="2"/>
  <c r="AO28" i="3"/>
  <c r="U62" i="2"/>
  <c r="M84" i="2"/>
  <c r="J91" i="2"/>
  <c r="E94" i="2"/>
  <c r="O79" i="2"/>
  <c r="H73" i="2"/>
  <c r="AK39" i="3"/>
  <c r="X5" i="3"/>
  <c r="AE15" i="3"/>
  <c r="AG28" i="3"/>
  <c r="L109" i="2"/>
  <c r="U86" i="2"/>
  <c r="AP90" i="3"/>
  <c r="AB41" i="3"/>
  <c r="H67" i="2"/>
  <c r="AN32" i="3"/>
  <c r="O73" i="2"/>
  <c r="H39" i="3"/>
  <c r="AM10" i="3"/>
  <c r="H5" i="3"/>
  <c r="Z18" i="3"/>
  <c r="J30" i="3"/>
  <c r="AP31" i="3"/>
  <c r="X76" i="2"/>
  <c r="Q50" i="2"/>
  <c r="K106" i="2"/>
  <c r="X51" i="2"/>
  <c r="G36" i="3"/>
  <c r="F112" i="2"/>
  <c r="V5" i="3"/>
  <c r="H7" i="3"/>
  <c r="L77" i="2"/>
  <c r="K72" i="2"/>
  <c r="G110" i="2"/>
  <c r="M46" i="2"/>
  <c r="M51" i="2"/>
  <c r="V80" i="2"/>
  <c r="AN5" i="3"/>
  <c r="AO14" i="3"/>
  <c r="R58" i="2"/>
  <c r="P47" i="2"/>
  <c r="V20" i="3"/>
  <c r="P68" i="2"/>
  <c r="M107" i="2"/>
  <c r="K74" i="2"/>
  <c r="N30" i="3"/>
  <c r="N29" i="3"/>
  <c r="G108" i="2"/>
  <c r="AB26" i="3"/>
  <c r="L40" i="3"/>
  <c r="J46" i="2"/>
  <c r="T88" i="2"/>
  <c r="P62" i="2"/>
  <c r="AL35" i="3"/>
  <c r="H12" i="3"/>
  <c r="D85" i="2"/>
  <c r="N111" i="2"/>
  <c r="AO27" i="3"/>
  <c r="E95" i="2"/>
  <c r="R10" i="3"/>
  <c r="S14" i="3"/>
  <c r="L20" i="3"/>
  <c r="W21" i="3"/>
  <c r="O80" i="2"/>
  <c r="O6" i="3"/>
  <c r="Z41" i="3"/>
  <c r="Q107" i="2"/>
  <c r="E47" i="2"/>
  <c r="AO18" i="3"/>
  <c r="K13" i="3"/>
  <c r="AQ31" i="3"/>
  <c r="AK24" i="3"/>
  <c r="AQ25" i="3"/>
  <c r="AH8" i="3"/>
  <c r="W30" i="3"/>
  <c r="Y41" i="3"/>
  <c r="L37" i="3"/>
  <c r="AB85" i="3"/>
  <c r="AE42" i="3"/>
  <c r="S64" i="2"/>
  <c r="P37" i="3"/>
  <c r="L74" i="2"/>
  <c r="C87" i="2"/>
  <c r="AM12" i="3"/>
  <c r="I31" i="3"/>
  <c r="O60" i="2"/>
  <c r="J85" i="2"/>
  <c r="L61" i="2"/>
  <c r="D97" i="2"/>
  <c r="W5" i="3"/>
  <c r="X8" i="3"/>
  <c r="J95" i="2"/>
  <c r="J9" i="3"/>
  <c r="F63" i="2"/>
  <c r="AI36" i="3"/>
  <c r="J65" i="2"/>
  <c r="X30" i="3"/>
  <c r="U12" i="3"/>
  <c r="AB6" i="3"/>
  <c r="O82" i="2"/>
  <c r="AE26" i="3"/>
  <c r="G34" i="3"/>
  <c r="I105" i="2"/>
  <c r="AA9" i="3"/>
  <c r="H62" i="2"/>
  <c r="C22" i="3"/>
  <c r="AG25" i="3"/>
  <c r="D46" i="2"/>
  <c r="AD27" i="3"/>
  <c r="R49" i="2"/>
  <c r="E91" i="2"/>
  <c r="D92" i="2"/>
  <c r="O106" i="2"/>
  <c r="Q30" i="3"/>
  <c r="V89" i="2"/>
  <c r="T104" i="2"/>
  <c r="AE20" i="3"/>
  <c r="F71" i="2"/>
  <c r="G58" i="2"/>
  <c r="F40" i="2"/>
  <c r="AE36" i="3"/>
  <c r="S86" i="2"/>
  <c r="K97" i="2"/>
  <c r="O31" i="3"/>
  <c r="R31" i="3"/>
  <c r="Q62" i="2"/>
  <c r="H107" i="2"/>
  <c r="S42" i="2"/>
  <c r="K23" i="3"/>
  <c r="I40" i="3"/>
  <c r="O112" i="2"/>
  <c r="V112" i="2"/>
  <c r="S68" i="2"/>
  <c r="U36" i="3"/>
  <c r="N21" i="3"/>
  <c r="U52" i="2"/>
  <c r="K98" i="2"/>
  <c r="AC18" i="3"/>
  <c r="F90" i="2"/>
  <c r="G48" i="3"/>
  <c r="N113" i="2"/>
  <c r="W50" i="2"/>
  <c r="U81" i="2"/>
  <c r="H41" i="3"/>
  <c r="J57" i="2"/>
  <c r="O41" i="3"/>
  <c r="Q105" i="2"/>
  <c r="I96" i="2"/>
  <c r="U21" i="3"/>
  <c r="N94" i="2"/>
  <c r="E69" i="2"/>
  <c r="AP73" i="3"/>
  <c r="W95" i="2"/>
  <c r="AD24" i="3"/>
  <c r="AO19" i="3"/>
  <c r="U96" i="2"/>
  <c r="AP68" i="3"/>
  <c r="V74" i="2"/>
  <c r="AB64" i="3"/>
  <c r="P42" i="3"/>
  <c r="W19" i="3"/>
  <c r="J71" i="2"/>
  <c r="F47" i="2"/>
  <c r="C107" i="2"/>
  <c r="H27" i="3"/>
  <c r="I50" i="2"/>
  <c r="O9" i="3"/>
  <c r="AO36" i="3"/>
  <c r="V22" i="3"/>
  <c r="D51" i="2"/>
  <c r="V43" i="2"/>
  <c r="AC28" i="3"/>
  <c r="G65" i="2"/>
  <c r="U56" i="2"/>
  <c r="X73" i="2"/>
  <c r="AH17" i="3"/>
  <c r="N26" i="3"/>
  <c r="Q29" i="3"/>
  <c r="P90" i="2"/>
  <c r="AQ30" i="3"/>
  <c r="AI34" i="3"/>
  <c r="V11" i="3"/>
  <c r="AP88" i="3"/>
  <c r="E112" i="2"/>
  <c r="N87" i="2"/>
  <c r="AL42" i="3"/>
  <c r="AK38" i="3"/>
  <c r="W73" i="2"/>
  <c r="R5" i="3"/>
  <c r="V45" i="2"/>
  <c r="W86" i="2"/>
  <c r="G64" i="2"/>
  <c r="X22" i="3"/>
  <c r="Y8" i="3"/>
  <c r="I99" i="2"/>
  <c r="Q64" i="2"/>
  <c r="W82" i="2"/>
  <c r="U92" i="2"/>
  <c r="S92" i="2"/>
  <c r="AB30" i="3"/>
  <c r="C99" i="2"/>
  <c r="K70" i="2"/>
  <c r="D71" i="2"/>
  <c r="V56" i="2"/>
  <c r="I88" i="2"/>
  <c r="U59" i="2"/>
  <c r="J32" i="3"/>
  <c r="AP96" i="3"/>
  <c r="G75" i="2"/>
  <c r="U74" i="2"/>
  <c r="AP11" i="3"/>
  <c r="AA35" i="3"/>
  <c r="AC31" i="3"/>
  <c r="N55" i="2"/>
  <c r="I55" i="2"/>
  <c r="AA20" i="3"/>
  <c r="J105" i="2"/>
  <c r="Q111" i="2"/>
  <c r="H70" i="2"/>
  <c r="AB89" i="3"/>
  <c r="G57" i="2"/>
  <c r="V25" i="3"/>
  <c r="F60" i="2"/>
  <c r="Q73" i="2"/>
  <c r="AN13" i="3"/>
  <c r="K95" i="2"/>
  <c r="W39" i="3"/>
  <c r="Q98" i="2"/>
  <c r="V96" i="2"/>
  <c r="N28" i="3"/>
  <c r="L52" i="2"/>
  <c r="O81" i="2"/>
  <c r="L93" i="2"/>
  <c r="J15" i="3"/>
  <c r="H8" i="3"/>
  <c r="I52" i="2"/>
  <c r="K113" i="2"/>
  <c r="S36" i="3"/>
  <c r="AH27" i="3"/>
  <c r="K20" i="3"/>
  <c r="AJ18" i="3"/>
  <c r="H55" i="2"/>
  <c r="S50" i="2"/>
  <c r="H16" i="3"/>
  <c r="T10" i="3"/>
  <c r="O84" i="2"/>
  <c r="M41" i="2"/>
  <c r="L6" i="3"/>
  <c r="N43" i="2"/>
  <c r="AC5" i="3"/>
  <c r="R36" i="3"/>
  <c r="D88" i="2"/>
  <c r="T80" i="2"/>
  <c r="W33" i="3"/>
  <c r="O51" i="2"/>
  <c r="Z9" i="3"/>
  <c r="Q61" i="2"/>
  <c r="V69" i="2"/>
  <c r="X14" i="3"/>
  <c r="U61" i="2"/>
  <c r="G68" i="2"/>
  <c r="O17" i="3"/>
  <c r="I63" i="2"/>
  <c r="AE11" i="3"/>
  <c r="N27" i="3"/>
  <c r="W105" i="2"/>
  <c r="AB74" i="3"/>
  <c r="Q99" i="2"/>
  <c r="X12" i="3"/>
  <c r="AG12" i="3"/>
  <c r="T22" i="3"/>
  <c r="L71" i="2"/>
  <c r="F78" i="2"/>
  <c r="U46" i="2"/>
  <c r="S11" i="3"/>
  <c r="U112" i="2"/>
  <c r="P16" i="3"/>
  <c r="N74" i="2"/>
  <c r="AI13" i="3"/>
  <c r="S78" i="2"/>
  <c r="W42" i="2"/>
  <c r="P38" i="3"/>
  <c r="V88" i="2"/>
  <c r="O110" i="2"/>
  <c r="T72" i="2"/>
  <c r="AA5" i="3"/>
  <c r="Y18" i="3"/>
  <c r="AQ10" i="3"/>
  <c r="M95" i="2"/>
  <c r="N17" i="3"/>
  <c r="L17" i="3"/>
  <c r="Z42" i="3"/>
  <c r="V28" i="3"/>
  <c r="S40" i="2"/>
  <c r="P109" i="2"/>
  <c r="AG5" i="3"/>
  <c r="T13" i="3"/>
  <c r="D44" i="2"/>
  <c r="AO13" i="3"/>
  <c r="AC42" i="3"/>
  <c r="AB48" i="3"/>
  <c r="U23" i="3"/>
  <c r="AH30" i="3"/>
  <c r="Y20" i="3"/>
  <c r="M70" i="2"/>
  <c r="U51" i="2"/>
  <c r="AP71" i="3"/>
  <c r="I111" i="2"/>
  <c r="M29" i="3"/>
  <c r="E46" i="2"/>
  <c r="U32" i="3"/>
  <c r="Z32" i="3"/>
  <c r="I79" i="2"/>
  <c r="L13" i="3"/>
  <c r="AG32" i="3"/>
  <c r="AK22" i="3"/>
  <c r="J96" i="2"/>
  <c r="T8" i="3"/>
  <c r="AE31" i="3"/>
  <c r="P105" i="2"/>
  <c r="Z35" i="3"/>
  <c r="Q104" i="2"/>
  <c r="Q32" i="3"/>
  <c r="H63" i="2"/>
  <c r="P39" i="3"/>
  <c r="AI24" i="3"/>
  <c r="P83" i="2"/>
  <c r="AJ30" i="3"/>
  <c r="T42" i="2"/>
  <c r="M21" i="3"/>
  <c r="AG14" i="3"/>
  <c r="O21" i="3"/>
  <c r="AM38" i="3"/>
  <c r="W42" i="3"/>
  <c r="C38" i="3"/>
  <c r="C27" i="3"/>
  <c r="AE38" i="3"/>
  <c r="Q109" i="2"/>
  <c r="AL13" i="3"/>
  <c r="G94" i="2"/>
  <c r="R87" i="2"/>
  <c r="D73" i="2"/>
  <c r="X9" i="3"/>
  <c r="AP70" i="3"/>
  <c r="O67" i="2"/>
  <c r="AD34" i="3"/>
  <c r="AP93" i="3"/>
  <c r="AP34" i="3"/>
  <c r="I41" i="3"/>
  <c r="E52" i="2"/>
  <c r="W36" i="3"/>
  <c r="V84" i="2"/>
  <c r="I78" i="2"/>
  <c r="W76" i="2"/>
  <c r="E40" i="2"/>
  <c r="AP61" i="3"/>
  <c r="AM33" i="3"/>
  <c r="M40" i="2"/>
  <c r="AP13" i="3"/>
  <c r="U84" i="2"/>
  <c r="AE13" i="3"/>
  <c r="L12" i="3"/>
  <c r="H69" i="2"/>
  <c r="X109" i="2"/>
  <c r="Q47" i="2"/>
  <c r="P89" i="2"/>
  <c r="AD50" i="3"/>
  <c r="S83" i="2"/>
  <c r="W25" i="3"/>
  <c r="G63" i="2"/>
  <c r="P10" i="3"/>
  <c r="P48" i="2"/>
  <c r="W97" i="2"/>
  <c r="X80" i="2"/>
  <c r="L27" i="3"/>
  <c r="M85" i="2"/>
  <c r="AP94" i="3"/>
  <c r="O74" i="2"/>
  <c r="I81" i="2"/>
  <c r="AM8" i="3"/>
  <c r="R29" i="3"/>
  <c r="AL25" i="3"/>
  <c r="E61" i="2"/>
  <c r="M89" i="2"/>
  <c r="V6" i="3"/>
  <c r="R9" i="3"/>
  <c r="AI14" i="3"/>
  <c r="K88" i="2"/>
  <c r="F66" i="2"/>
  <c r="G32" i="3"/>
  <c r="T108" i="2"/>
  <c r="P54" i="2"/>
  <c r="AH14" i="3"/>
  <c r="T92" i="2"/>
  <c r="J92" i="2"/>
  <c r="Y10" i="3"/>
  <c r="V90" i="2"/>
  <c r="W15" i="3"/>
  <c r="J54" i="2"/>
  <c r="AN33" i="3"/>
  <c r="O93" i="2"/>
  <c r="U72" i="2"/>
  <c r="AP48" i="3"/>
  <c r="T106" i="2"/>
  <c r="AA28" i="3"/>
  <c r="U42" i="3"/>
  <c r="L107" i="2"/>
  <c r="M112" i="2"/>
  <c r="AH7" i="3"/>
  <c r="H42" i="2"/>
  <c r="R33" i="3"/>
  <c r="X34" i="3"/>
  <c r="J76" i="2"/>
  <c r="H44" i="2"/>
  <c r="U19" i="3"/>
  <c r="E93" i="2"/>
  <c r="AI32" i="3"/>
  <c r="O52" i="2"/>
  <c r="F44" i="2"/>
  <c r="Y28" i="3"/>
  <c r="H52" i="2"/>
  <c r="C82" i="2"/>
  <c r="X10" i="3"/>
  <c r="O96" i="2"/>
  <c r="AA21" i="3"/>
  <c r="AO5" i="3"/>
  <c r="J79" i="2"/>
  <c r="AJ31" i="3"/>
  <c r="F109" i="2"/>
  <c r="N14" i="3"/>
  <c r="AB32" i="3"/>
  <c r="AJ5" i="3"/>
  <c r="J68" i="2"/>
  <c r="C48" i="2"/>
  <c r="H108" i="2"/>
  <c r="I15" i="3"/>
  <c r="O97" i="2"/>
  <c r="AP33" i="3"/>
  <c r="Q80" i="2"/>
  <c r="Z17" i="3"/>
  <c r="E85" i="2"/>
  <c r="X88" i="2"/>
  <c r="Q79" i="2"/>
  <c r="T99" i="2"/>
  <c r="O91" i="2"/>
  <c r="P41" i="2"/>
  <c r="AM23" i="3"/>
  <c r="W7" i="3"/>
  <c r="X94" i="2"/>
  <c r="N92" i="2"/>
  <c r="K55" i="2"/>
  <c r="N37" i="3"/>
  <c r="I90" i="2"/>
  <c r="AB36" i="3"/>
  <c r="D63" i="2"/>
  <c r="X108" i="2"/>
  <c r="R19" i="3"/>
  <c r="Q113" i="2"/>
  <c r="E55" i="2"/>
  <c r="L81" i="2"/>
  <c r="T16" i="3"/>
  <c r="AL20" i="3"/>
  <c r="K26" i="3"/>
  <c r="U13" i="3"/>
  <c r="AM26" i="3"/>
  <c r="W45" i="2"/>
  <c r="AE9" i="3"/>
  <c r="L25" i="3"/>
  <c r="R109" i="2"/>
  <c r="AB22" i="3"/>
  <c r="F106" i="2"/>
  <c r="R7" i="3"/>
  <c r="W14" i="3"/>
  <c r="AH31" i="3"/>
  <c r="M50" i="2"/>
  <c r="AP50" i="3"/>
  <c r="O53" i="2"/>
  <c r="AC41" i="3"/>
  <c r="K41" i="3"/>
  <c r="Q83" i="2"/>
  <c r="V63" i="2"/>
  <c r="E90" i="2"/>
  <c r="S95" i="2"/>
  <c r="Z7" i="3"/>
  <c r="J25" i="3"/>
  <c r="U60" i="2"/>
  <c r="F51" i="2"/>
  <c r="AJ41" i="3"/>
  <c r="E56" i="2"/>
  <c r="AB25" i="3"/>
  <c r="T58" i="2"/>
  <c r="X55" i="2"/>
  <c r="O77" i="2"/>
  <c r="P104" i="2"/>
  <c r="Q75" i="2"/>
  <c r="AA40" i="3"/>
  <c r="O63" i="2"/>
  <c r="AI28" i="3"/>
  <c r="S37" i="3"/>
  <c r="W80" i="2"/>
  <c r="AJ22" i="3"/>
  <c r="W54" i="2"/>
  <c r="M15" i="3"/>
  <c r="P9" i="3"/>
  <c r="I35" i="3"/>
  <c r="X61" i="2"/>
  <c r="D69" i="2"/>
  <c r="P110" i="2"/>
  <c r="G111" i="2"/>
  <c r="S111" i="2"/>
  <c r="AH41" i="3"/>
  <c r="H77" i="2"/>
  <c r="L41" i="3"/>
  <c r="E68" i="2"/>
  <c r="I42" i="2"/>
  <c r="X104" i="2"/>
  <c r="R66" i="2"/>
  <c r="AP80" i="3"/>
  <c r="W85" i="2"/>
  <c r="AA29" i="3"/>
  <c r="R28" i="3"/>
  <c r="K69" i="2"/>
  <c r="AD28" i="3"/>
  <c r="H24" i="3"/>
  <c r="AJ7" i="3"/>
  <c r="AB47" i="3"/>
  <c r="Q43" i="2"/>
  <c r="K60" i="2"/>
  <c r="X79" i="2"/>
  <c r="Q7" i="3"/>
  <c r="N97" i="2"/>
  <c r="N91" i="2"/>
  <c r="N58" i="2"/>
  <c r="M38" i="3"/>
  <c r="Y6" i="3"/>
  <c r="AQ13" i="3"/>
  <c r="R61" i="2"/>
  <c r="AC7" i="3"/>
  <c r="N67" i="2"/>
  <c r="P27" i="3"/>
  <c r="AB34" i="3"/>
  <c r="K49" i="2"/>
  <c r="AB21" i="3"/>
  <c r="F64" i="2"/>
  <c r="N22" i="3"/>
  <c r="V92" i="2"/>
  <c r="R32" i="3"/>
  <c r="E107" i="2"/>
  <c r="AA33" i="3"/>
  <c r="AA11" i="3"/>
  <c r="G83" i="2"/>
  <c r="C30" i="3"/>
  <c r="AK11" i="3"/>
  <c r="S104" i="2"/>
  <c r="I29" i="3"/>
  <c r="M56" i="2"/>
  <c r="N60" i="2"/>
  <c r="V24" i="3"/>
  <c r="AM14" i="3"/>
  <c r="AG36" i="3"/>
  <c r="X75" i="2"/>
  <c r="Z40" i="3"/>
  <c r="W69" i="2"/>
  <c r="W59" i="2"/>
  <c r="S74" i="2"/>
  <c r="AM34" i="3"/>
  <c r="I36" i="3"/>
  <c r="L63" i="2"/>
  <c r="AD32" i="3"/>
  <c r="I12" i="3"/>
  <c r="AN16" i="3"/>
  <c r="J94" i="2"/>
  <c r="AI7" i="3"/>
  <c r="AI21" i="3"/>
  <c r="D58" i="2"/>
  <c r="Q38" i="3"/>
  <c r="AA39" i="3"/>
  <c r="X40" i="3"/>
  <c r="C25" i="3"/>
  <c r="Y17" i="3"/>
  <c r="U15" i="3"/>
  <c r="X21" i="3"/>
  <c r="P19" i="3"/>
  <c r="S89" i="2"/>
  <c r="H23" i="3"/>
  <c r="AB66" i="3"/>
  <c r="R85" i="2"/>
  <c r="G49" i="2"/>
  <c r="S66" i="2"/>
  <c r="T28" i="3"/>
  <c r="M20" i="3"/>
  <c r="G73" i="2"/>
  <c r="AQ9" i="3"/>
  <c r="S59" i="2"/>
  <c r="AA27" i="3"/>
  <c r="K110" i="2"/>
  <c r="N54" i="2"/>
  <c r="S34" i="3"/>
  <c r="Q16" i="3"/>
  <c r="P46" i="2"/>
  <c r="L31" i="3"/>
  <c r="E83" i="2"/>
  <c r="J26" i="3"/>
  <c r="S47" i="2"/>
  <c r="U38" i="3"/>
  <c r="AB82" i="3"/>
  <c r="T60" i="2"/>
  <c r="AQ21" i="3"/>
  <c r="F94" i="2"/>
  <c r="I42" i="3"/>
  <c r="AL5" i="3"/>
  <c r="D93" i="2"/>
  <c r="F50" i="2"/>
  <c r="X105" i="2"/>
  <c r="X41" i="3"/>
  <c r="I14" i="3"/>
  <c r="H88" i="2"/>
  <c r="AK15" i="3"/>
  <c r="S33" i="3"/>
  <c r="Q41" i="3"/>
  <c r="N47" i="2"/>
  <c r="I93" i="2"/>
  <c r="J41" i="2"/>
  <c r="V55" i="2"/>
  <c r="N53" i="2"/>
  <c r="T9" i="3"/>
  <c r="R76" i="2"/>
  <c r="J40" i="2"/>
  <c r="W62" i="2"/>
  <c r="K68" i="2"/>
  <c r="X57" i="2"/>
  <c r="I98" i="2"/>
  <c r="T45" i="2"/>
  <c r="I13" i="3"/>
  <c r="O18" i="3"/>
  <c r="P59" i="2"/>
  <c r="AI12" i="3"/>
  <c r="AP62" i="3"/>
  <c r="J10" i="3"/>
  <c r="AO26" i="3"/>
  <c r="G106" i="2"/>
  <c r="F107" i="2"/>
  <c r="P96" i="2"/>
  <c r="AB65" i="3"/>
  <c r="X17" i="3"/>
  <c r="AP26" i="3"/>
  <c r="P50" i="2"/>
  <c r="U89" i="2"/>
  <c r="AM21" i="3"/>
  <c r="V70" i="2"/>
  <c r="O25" i="3"/>
  <c r="S91" i="2"/>
  <c r="C54" i="2"/>
  <c r="H66" i="2"/>
  <c r="I67" i="2"/>
  <c r="M83" i="2"/>
  <c r="Y38" i="3"/>
  <c r="F91" i="2"/>
  <c r="Z37" i="3"/>
  <c r="V67" i="2"/>
  <c r="S72" i="2"/>
  <c r="AA25" i="3"/>
  <c r="H79" i="2"/>
  <c r="AG15" i="3"/>
  <c r="S18" i="3"/>
  <c r="Z36" i="3"/>
  <c r="H40" i="2"/>
  <c r="X64" i="2"/>
  <c r="H45" i="2"/>
  <c r="M66" i="2"/>
  <c r="C79" i="2"/>
  <c r="AA10" i="3"/>
  <c r="AB59" i="3"/>
  <c r="AD31" i="3"/>
  <c r="U69" i="2"/>
  <c r="X111" i="2"/>
  <c r="AB83" i="3"/>
  <c r="I53" i="2"/>
  <c r="H38" i="3"/>
  <c r="S76" i="2"/>
  <c r="T38" i="3"/>
  <c r="T14" i="3"/>
  <c r="O66" i="2"/>
  <c r="AC19" i="3"/>
  <c r="C34" i="3"/>
  <c r="G81" i="2"/>
  <c r="O108" i="2"/>
  <c r="O59" i="2"/>
  <c r="V111" i="2"/>
  <c r="Q92" i="2"/>
  <c r="L49" i="2"/>
  <c r="O89" i="2"/>
  <c r="N110" i="2"/>
  <c r="W84" i="2"/>
  <c r="AP39" i="3"/>
  <c r="AH36" i="3"/>
  <c r="C92" i="2"/>
  <c r="D77" i="2"/>
  <c r="AQ17" i="3"/>
  <c r="E96" i="2"/>
  <c r="M33" i="3"/>
  <c r="AJ14" i="3"/>
  <c r="C67" i="2"/>
  <c r="H35" i="3"/>
  <c r="E97" i="2"/>
  <c r="U44" i="2"/>
  <c r="W78" i="2"/>
  <c r="S27" i="3"/>
  <c r="C95" i="2"/>
  <c r="AB14" i="3"/>
  <c r="T36" i="3"/>
  <c r="I22" i="3"/>
  <c r="AJ34" i="3"/>
  <c r="AB24" i="3"/>
  <c r="G44" i="2"/>
  <c r="AD48" i="3"/>
  <c r="J67" i="2"/>
  <c r="G99" i="2"/>
  <c r="AE34" i="3"/>
  <c r="AO24" i="3"/>
  <c r="J20" i="3"/>
  <c r="V87" i="2"/>
  <c r="U27" i="3"/>
  <c r="G56" i="2"/>
  <c r="E57" i="2"/>
  <c r="H87" i="2"/>
  <c r="AB8" i="3"/>
  <c r="AG41" i="3"/>
  <c r="S94" i="2"/>
  <c r="E65" i="2"/>
  <c r="L33" i="3"/>
  <c r="S73" i="2"/>
  <c r="R60" i="2"/>
  <c r="G42" i="3"/>
  <c r="K28" i="3"/>
  <c r="D67" i="2"/>
  <c r="I9" i="3"/>
  <c r="V61" i="2"/>
  <c r="R42" i="2"/>
  <c r="D107" i="2"/>
  <c r="AB57" i="3"/>
  <c r="T95" i="2"/>
  <c r="M93" i="2"/>
  <c r="S21" i="3"/>
  <c r="V23" i="3"/>
  <c r="N80" i="2"/>
  <c r="P75" i="2"/>
  <c r="AG24" i="3"/>
  <c r="V62" i="2"/>
  <c r="C9" i="3"/>
  <c r="M76" i="2"/>
  <c r="R40" i="2"/>
  <c r="T62" i="2"/>
  <c r="AL41" i="3"/>
  <c r="W66" i="2"/>
  <c r="AP91" i="3"/>
  <c r="L8" i="3"/>
  <c r="M104" i="2"/>
  <c r="U50" i="2"/>
  <c r="S87" i="2"/>
  <c r="AE7" i="3"/>
  <c r="C84" i="2"/>
  <c r="V106" i="2"/>
  <c r="H75" i="2"/>
  <c r="W26" i="3"/>
  <c r="I49" i="2"/>
  <c r="D104" i="2"/>
  <c r="G79" i="2"/>
  <c r="AK19" i="3"/>
  <c r="E79" i="2"/>
  <c r="AP47" i="3"/>
  <c r="N62" i="2"/>
  <c r="S10" i="3"/>
  <c r="T85" i="2"/>
  <c r="R108" i="2"/>
  <c r="AL9" i="3"/>
  <c r="U5" i="3"/>
  <c r="I104" i="2"/>
  <c r="G62" i="2"/>
  <c r="U104" i="2"/>
  <c r="Y22" i="3"/>
  <c r="AL16" i="3"/>
  <c r="AD33" i="3"/>
  <c r="G107" i="2"/>
  <c r="T11" i="3"/>
  <c r="U42" i="2"/>
  <c r="T56" i="2"/>
  <c r="AJ21" i="3"/>
  <c r="M67" i="2"/>
  <c r="AH15" i="3"/>
  <c r="AG30" i="3"/>
  <c r="V41" i="3"/>
  <c r="K37" i="3"/>
  <c r="S61" i="2"/>
  <c r="H65" i="2"/>
  <c r="V99" i="2"/>
  <c r="T43" i="2"/>
  <c r="O11" i="3"/>
  <c r="N51" i="2"/>
  <c r="U39" i="3"/>
  <c r="H42" i="3"/>
  <c r="AK41" i="3"/>
  <c r="X7" i="3"/>
  <c r="J78" i="2"/>
  <c r="AA7" i="3"/>
  <c r="S97" i="2"/>
  <c r="O26" i="3"/>
  <c r="L39" i="3"/>
  <c r="M23" i="3"/>
  <c r="AL39" i="3"/>
  <c r="J29" i="3"/>
  <c r="K73" i="2"/>
  <c r="L42" i="3"/>
  <c r="F110" i="2"/>
  <c r="Q91" i="2"/>
  <c r="F54" i="2"/>
  <c r="AN30" i="3"/>
  <c r="Y25" i="3"/>
  <c r="M6" i="3"/>
  <c r="Q22" i="3"/>
  <c r="J38" i="3"/>
  <c r="W53" i="2"/>
  <c r="AB35" i="3"/>
  <c r="W51" i="2"/>
  <c r="Z34" i="3"/>
  <c r="X71" i="2"/>
  <c r="Q23" i="3"/>
  <c r="E108" i="2"/>
  <c r="AK5" i="3"/>
  <c r="H74" i="2"/>
  <c r="T67" i="2"/>
  <c r="C86" i="2"/>
  <c r="L10" i="3"/>
  <c r="I27" i="3"/>
  <c r="M39" i="3"/>
  <c r="S22" i="3"/>
  <c r="AL8" i="3"/>
  <c r="X40" i="2"/>
  <c r="AP82" i="3"/>
  <c r="K99" i="2"/>
  <c r="I47" i="2"/>
  <c r="AG8" i="3"/>
  <c r="AA32" i="3"/>
  <c r="N45" i="2"/>
  <c r="C105" i="2"/>
  <c r="O35" i="3"/>
  <c r="M68" i="2"/>
  <c r="Z29" i="3"/>
  <c r="T75" i="2"/>
  <c r="AP17" i="3"/>
  <c r="Z12" i="3"/>
  <c r="H78" i="2"/>
  <c r="Z24" i="3"/>
  <c r="J83" i="2"/>
  <c r="AP49" i="3"/>
  <c r="N49" i="2"/>
  <c r="H10" i="3"/>
  <c r="G66" i="2"/>
  <c r="AI17" i="3"/>
  <c r="N72" i="2"/>
  <c r="O13" i="3"/>
  <c r="AQ33" i="3"/>
  <c r="P58" i="2"/>
  <c r="AC16" i="3"/>
  <c r="AQ37" i="3"/>
  <c r="O8" i="3"/>
  <c r="K42" i="2"/>
  <c r="AP8" i="3"/>
  <c r="W17" i="3"/>
  <c r="V57" i="2"/>
  <c r="R40" i="3"/>
  <c r="AL19" i="3"/>
  <c r="AB62" i="3"/>
  <c r="U25" i="3"/>
  <c r="L86" i="2"/>
  <c r="W55" i="2"/>
  <c r="L80" i="2"/>
  <c r="X24" i="3"/>
  <c r="F99" i="2"/>
  <c r="D84" i="2"/>
  <c r="M54" i="2"/>
  <c r="X72" i="2"/>
  <c r="I113" i="2"/>
  <c r="AN26" i="3"/>
  <c r="F59" i="2"/>
  <c r="AC27" i="3"/>
  <c r="AB49" i="3"/>
  <c r="AP22" i="3"/>
  <c r="G47" i="3"/>
  <c r="AJ36" i="3"/>
  <c r="AA15" i="3"/>
  <c r="U77" i="2"/>
  <c r="C10" i="3"/>
  <c r="H11" i="3"/>
  <c r="L110" i="2"/>
  <c r="T76" i="2"/>
  <c r="T86" i="2"/>
  <c r="N10" i="3"/>
  <c r="I7" i="3"/>
  <c r="R47" i="2"/>
  <c r="N19" i="3"/>
  <c r="X106" i="2"/>
  <c r="J50" i="2"/>
  <c r="P108" i="2"/>
  <c r="S63" i="2"/>
  <c r="T83" i="2"/>
  <c r="AL27" i="3"/>
  <c r="P99" i="2"/>
  <c r="T17" i="3"/>
  <c r="N96" i="2"/>
  <c r="H95" i="2"/>
  <c r="AI11" i="3"/>
  <c r="Q85" i="2"/>
  <c r="N70" i="2"/>
  <c r="N31" i="3"/>
  <c r="G40" i="2"/>
  <c r="M109" i="2"/>
  <c r="I51" i="2"/>
  <c r="AP66" i="3"/>
  <c r="E70" i="2"/>
  <c r="H113" i="2"/>
  <c r="N48" i="2"/>
  <c r="C61" i="2"/>
  <c r="Q20" i="3"/>
  <c r="M49" i="2"/>
  <c r="AB73" i="3"/>
  <c r="E49" i="2"/>
  <c r="H94" i="2"/>
  <c r="AK6" i="3"/>
  <c r="AG38" i="3"/>
  <c r="M72" i="2"/>
  <c r="Y11" i="3"/>
  <c r="AC21" i="3"/>
  <c r="AD26" i="3"/>
  <c r="C28" i="3"/>
  <c r="V75" i="2"/>
  <c r="O12" i="3"/>
  <c r="S71" i="2"/>
  <c r="W40" i="3"/>
  <c r="AJ28" i="3"/>
  <c r="L82" i="2"/>
  <c r="J93" i="2"/>
  <c r="AK29" i="3"/>
  <c r="L94" i="2"/>
  <c r="AO39" i="3"/>
  <c r="D95" i="2"/>
  <c r="L105" i="2"/>
  <c r="M41" i="3"/>
  <c r="AG42" i="3"/>
  <c r="AH34" i="3"/>
  <c r="F65" i="2"/>
  <c r="P52" i="2"/>
  <c r="AN25" i="3"/>
  <c r="AC10" i="3"/>
  <c r="R92" i="2"/>
  <c r="F69" i="2"/>
  <c r="O69" i="2"/>
  <c r="L99" i="2"/>
  <c r="N33" i="3"/>
  <c r="Z22" i="3"/>
  <c r="J104" i="2"/>
  <c r="F42" i="2"/>
  <c r="L78" i="2"/>
  <c r="AN40" i="3"/>
  <c r="AL14" i="3"/>
  <c r="C45" i="2"/>
  <c r="G109" i="2"/>
  <c r="AQ29" i="3"/>
  <c r="AD20" i="3"/>
  <c r="F113" i="2"/>
  <c r="S13" i="3"/>
  <c r="T93" i="2"/>
  <c r="Y7" i="3"/>
  <c r="C104" i="2"/>
  <c r="D53" i="2"/>
  <c r="J108" i="2"/>
  <c r="AC6" i="3"/>
  <c r="AK28" i="3"/>
  <c r="R90" i="2"/>
  <c r="C16" i="3"/>
  <c r="S5" i="3"/>
  <c r="F52" i="2"/>
  <c r="S44" i="2"/>
  <c r="AE30" i="3"/>
  <c r="I97" i="2"/>
  <c r="AA41" i="3"/>
  <c r="T82" i="2"/>
  <c r="AB93" i="3"/>
  <c r="X16" i="3"/>
  <c r="X20" i="3"/>
  <c r="F77" i="2"/>
  <c r="U11" i="3"/>
  <c r="P97" i="2"/>
  <c r="M69" i="2"/>
  <c r="F88" i="2"/>
  <c r="AP72" i="3"/>
  <c r="F46" i="2"/>
  <c r="G90" i="2"/>
  <c r="AA13" i="3"/>
  <c r="D99" i="2"/>
  <c r="R82" i="2"/>
  <c r="W56" i="2"/>
  <c r="AN36" i="3"/>
  <c r="Q41" i="2"/>
  <c r="AO41" i="3"/>
  <c r="T53" i="2"/>
  <c r="AB55" i="3"/>
  <c r="AB71" i="3"/>
  <c r="AA31" i="3"/>
  <c r="Z10" i="3"/>
  <c r="O5" i="3"/>
  <c r="AC13" i="3"/>
  <c r="S51" i="2"/>
  <c r="N69" i="2"/>
  <c r="M45" i="2"/>
  <c r="C29" i="3"/>
  <c r="S108" i="2"/>
  <c r="T64" i="2"/>
  <c r="W43" i="2"/>
  <c r="V31" i="3"/>
  <c r="G82" i="2"/>
  <c r="AP69" i="3"/>
  <c r="P22" i="3"/>
  <c r="AB94" i="3"/>
  <c r="P98" i="2"/>
  <c r="X31" i="3"/>
  <c r="AB88" i="3"/>
  <c r="N18" i="3"/>
  <c r="W49" i="2"/>
  <c r="AP95" i="3"/>
  <c r="C31" i="3"/>
  <c r="J22" i="3"/>
  <c r="W71" i="2"/>
  <c r="K29" i="3"/>
  <c r="M82" i="2"/>
  <c r="AJ32" i="3"/>
  <c r="C24" i="3"/>
  <c r="AI26" i="3"/>
  <c r="I110" i="2"/>
  <c r="C73" i="2"/>
  <c r="P65" i="2"/>
  <c r="AP55" i="3"/>
  <c r="I57" i="2"/>
  <c r="AO32" i="3"/>
  <c r="M25" i="3"/>
  <c r="AC40" i="3"/>
  <c r="I95" i="2"/>
  <c r="P92" i="2"/>
  <c r="C49" i="2"/>
  <c r="U73" i="2"/>
  <c r="W104" i="2"/>
  <c r="R83" i="2"/>
  <c r="AQ41" i="3"/>
  <c r="D72" i="2"/>
  <c r="Z39" i="3"/>
  <c r="AN42" i="3"/>
  <c r="U10" i="3"/>
  <c r="P57" i="2"/>
  <c r="U71" i="2"/>
  <c r="Q60" i="2"/>
  <c r="AJ17" i="3"/>
  <c r="V66" i="2"/>
  <c r="H98" i="2"/>
  <c r="F70" i="2"/>
  <c r="W48" i="2"/>
  <c r="N106" i="2"/>
  <c r="AG13" i="3"/>
  <c r="Q6" i="3"/>
  <c r="L30" i="3"/>
  <c r="W88" i="2"/>
  <c r="Q19" i="3"/>
  <c r="V50" i="2"/>
  <c r="Q87" i="2"/>
  <c r="F61" i="2"/>
  <c r="L65" i="2"/>
  <c r="I20" i="3"/>
  <c r="T41" i="3"/>
  <c r="K33" i="3"/>
  <c r="AO17" i="3"/>
  <c r="O48" i="2"/>
  <c r="AE5" i="3"/>
  <c r="Z6" i="3"/>
  <c r="O46" i="2"/>
  <c r="N40" i="3"/>
  <c r="F111" i="2"/>
  <c r="U34" i="3"/>
  <c r="K53" i="2"/>
  <c r="W108" i="2"/>
  <c r="M78" i="2"/>
  <c r="K21" i="3"/>
  <c r="AO35" i="3"/>
  <c r="AC30" i="3"/>
  <c r="AB90" i="3"/>
  <c r="AK7" i="3"/>
  <c r="N99" i="2"/>
  <c r="V12" i="3"/>
  <c r="AH24" i="3"/>
  <c r="AQ18" i="3"/>
  <c r="H61" i="2"/>
  <c r="I59" i="2"/>
  <c r="AE14" i="3"/>
  <c r="AH20" i="3"/>
  <c r="G61" i="2"/>
  <c r="T20" i="3"/>
  <c r="C23" i="3"/>
  <c r="C63" i="2"/>
  <c r="K19" i="3"/>
  <c r="K90" i="2"/>
  <c r="Y36" i="3"/>
  <c r="AO37" i="3"/>
  <c r="R35" i="3"/>
  <c r="N59" i="2"/>
  <c r="E81" i="2"/>
  <c r="W32" i="3"/>
  <c r="U40" i="3"/>
  <c r="AC29" i="3"/>
  <c r="T57" i="2"/>
  <c r="K42" i="3"/>
  <c r="G97" i="2"/>
  <c r="K5" i="3"/>
  <c r="P14" i="3"/>
  <c r="AD42" i="3"/>
  <c r="J87" i="2"/>
  <c r="X98" i="2"/>
  <c r="M113" i="2"/>
  <c r="E71" i="2"/>
  <c r="E50" i="3"/>
  <c r="X54" i="2"/>
  <c r="T96" i="2"/>
  <c r="AJ25" i="3"/>
  <c r="AG22" i="3"/>
  <c r="J36" i="3"/>
  <c r="Z21" i="3"/>
  <c r="AG16" i="3"/>
  <c r="T15" i="3"/>
  <c r="N34" i="3"/>
  <c r="J19" i="3"/>
  <c r="O40" i="2"/>
  <c r="K80" i="2"/>
  <c r="G67" i="2"/>
  <c r="AB19" i="3"/>
  <c r="R16" i="3"/>
  <c r="S99" i="2"/>
  <c r="AM41" i="3"/>
  <c r="AA37" i="3"/>
  <c r="AK25" i="3"/>
  <c r="AQ12" i="3"/>
  <c r="N5" i="3"/>
  <c r="S79" i="2"/>
  <c r="Q63" i="2"/>
  <c r="AL15" i="3"/>
  <c r="AN19" i="3"/>
  <c r="K51" i="2"/>
  <c r="S45" i="2"/>
  <c r="N81" i="2"/>
  <c r="D91" i="2"/>
  <c r="AB96" i="3"/>
  <c r="S85" i="2"/>
  <c r="AP18" i="3"/>
  <c r="Z27" i="3"/>
  <c r="O99" i="2"/>
  <c r="S110" i="2"/>
  <c r="N8" i="3"/>
  <c r="G96" i="2"/>
  <c r="AQ28" i="3"/>
  <c r="U94" i="2"/>
  <c r="I82" i="2"/>
  <c r="H85" i="2"/>
  <c r="W22" i="3"/>
  <c r="T84" i="2"/>
  <c r="N41" i="2"/>
  <c r="L58" i="2"/>
  <c r="W9" i="3"/>
  <c r="AG6" i="3"/>
  <c r="R37" i="3"/>
  <c r="S93" i="2"/>
  <c r="N77" i="2"/>
  <c r="F81" i="2"/>
  <c r="AA38" i="3"/>
  <c r="M17" i="3"/>
  <c r="AP76" i="3"/>
  <c r="H58" i="2"/>
  <c r="N24" i="3"/>
  <c r="V109" i="2"/>
  <c r="Q52" i="2"/>
  <c r="D70" i="2"/>
  <c r="E106" i="2"/>
  <c r="AQ35" i="3"/>
  <c r="V53" i="2"/>
  <c r="AD30" i="3"/>
  <c r="T29" i="3"/>
  <c r="L87" i="2"/>
  <c r="O95" i="2"/>
  <c r="K67" i="2"/>
  <c r="AL38" i="3"/>
  <c r="L69" i="2"/>
  <c r="AD37" i="3"/>
  <c r="M58" i="2"/>
  <c r="J40" i="3"/>
  <c r="AI38" i="3"/>
  <c r="U87" i="2"/>
  <c r="Z19" i="3"/>
  <c r="L84" i="2"/>
  <c r="J98" i="2"/>
  <c r="U106" i="2"/>
  <c r="F45" i="2"/>
  <c r="M91" i="2"/>
  <c r="H90" i="2"/>
  <c r="AE33" i="3"/>
  <c r="W60" i="2"/>
  <c r="Q81" i="2"/>
  <c r="Q66" i="2"/>
  <c r="R42" i="3"/>
  <c r="AQ27" i="3"/>
  <c r="J24" i="3"/>
  <c r="L38" i="3"/>
  <c r="W47" i="2"/>
  <c r="AK33" i="3"/>
  <c r="X81" i="2"/>
  <c r="AB86" i="3"/>
  <c r="U67" i="2"/>
  <c r="K9" i="3"/>
  <c r="K46" i="2"/>
  <c r="Q74" i="2"/>
  <c r="O71" i="2"/>
  <c r="P85" i="2"/>
  <c r="AI9" i="3"/>
  <c r="O37" i="3"/>
  <c r="L92" i="2"/>
  <c r="U76" i="2"/>
  <c r="I73" i="2"/>
  <c r="K25" i="3"/>
  <c r="X113" i="2"/>
  <c r="J35" i="3"/>
  <c r="J11" i="3"/>
  <c r="C77" i="2"/>
  <c r="Q76" i="2"/>
  <c r="V68" i="2"/>
  <c r="R43" i="2"/>
  <c r="K24" i="3"/>
  <c r="U90" i="2"/>
  <c r="O29" i="3"/>
  <c r="M18" i="3"/>
  <c r="O76" i="2"/>
  <c r="E110" i="2"/>
  <c r="S15" i="3"/>
  <c r="G98" i="2"/>
  <c r="Y19" i="3"/>
  <c r="AI25" i="3"/>
  <c r="N42" i="2"/>
  <c r="X49" i="2"/>
  <c r="U98" i="2"/>
  <c r="W35" i="3"/>
  <c r="G88" i="2"/>
  <c r="R93" i="2"/>
  <c r="AD39" i="3"/>
  <c r="D80" i="2"/>
  <c r="R97" i="2"/>
  <c r="X85" i="2"/>
  <c r="L32" i="3"/>
  <c r="F98" i="2"/>
  <c r="T25" i="3"/>
  <c r="AB38" i="3"/>
  <c r="AB16" i="3"/>
  <c r="AP12" i="3"/>
  <c r="S24" i="3"/>
  <c r="X27" i="3"/>
  <c r="E111" i="2"/>
  <c r="V81" i="2"/>
  <c r="C56" i="2"/>
  <c r="T7" i="3"/>
  <c r="Q68" i="2"/>
  <c r="T34" i="3"/>
  <c r="H32" i="3"/>
  <c r="F41" i="2"/>
  <c r="L67" i="2"/>
  <c r="G76" i="2"/>
  <c r="AP21" i="3"/>
  <c r="AO9" i="3"/>
  <c r="R62" i="2"/>
  <c r="T37" i="3"/>
  <c r="P41" i="3"/>
  <c r="AC37" i="3"/>
  <c r="H104" i="2"/>
  <c r="J7" i="3"/>
  <c r="W41" i="2"/>
  <c r="AP9" i="3"/>
  <c r="H17" i="3"/>
  <c r="N7" i="3"/>
  <c r="I84" i="2"/>
  <c r="AH38" i="3"/>
  <c r="E51" i="2"/>
  <c r="AM15" i="3"/>
  <c r="AD21" i="3"/>
  <c r="O30" i="3"/>
  <c r="C8" i="3"/>
  <c r="Y32" i="3"/>
  <c r="C96" i="2"/>
  <c r="I24" i="3"/>
  <c r="I62" i="2"/>
  <c r="N13" i="3"/>
  <c r="AO31" i="3"/>
  <c r="C15" i="3"/>
  <c r="S53" i="2"/>
  <c r="I25" i="3"/>
  <c r="E58" i="2"/>
  <c r="T49" i="2"/>
  <c r="AD35" i="3"/>
  <c r="H76" i="2"/>
  <c r="AH25" i="3"/>
  <c r="R95" i="2"/>
  <c r="S67" i="2"/>
  <c r="X6" i="3"/>
  <c r="M47" i="2"/>
  <c r="H83" i="2"/>
  <c r="K6" i="3"/>
  <c r="V48" i="2"/>
  <c r="M24" i="3"/>
  <c r="K105" i="2"/>
  <c r="Z14" i="3"/>
  <c r="V17" i="3"/>
  <c r="K32" i="3"/>
  <c r="O105" i="2"/>
  <c r="R11" i="3"/>
  <c r="AA6" i="3"/>
  <c r="D108" i="2"/>
  <c r="G105" i="2"/>
  <c r="C80" i="2"/>
  <c r="AA30" i="3"/>
  <c r="AB97" i="3"/>
  <c r="V33" i="3"/>
  <c r="N46" i="2"/>
  <c r="N65" i="2"/>
  <c r="T19" i="3"/>
  <c r="U49" i="2"/>
  <c r="L47" i="2"/>
  <c r="K61" i="2"/>
  <c r="P64" i="2"/>
  <c r="AJ27" i="3"/>
  <c r="J61" i="2"/>
  <c r="Q108" i="2"/>
  <c r="AJ39" i="3"/>
  <c r="V59" i="2"/>
  <c r="G45" i="2"/>
  <c r="L85" i="2"/>
  <c r="AJ13" i="3"/>
  <c r="R72" i="2"/>
  <c r="J42" i="2"/>
  <c r="V54" i="2"/>
  <c r="N85" i="2"/>
  <c r="O62" i="2"/>
  <c r="AP97" i="3"/>
  <c r="AP41" i="3"/>
  <c r="T74" i="2"/>
  <c r="Z11" i="3"/>
  <c r="J34" i="3"/>
  <c r="AB15" i="3"/>
  <c r="H6" i="3"/>
  <c r="Z20" i="3"/>
  <c r="Z5" i="3"/>
  <c r="H71" i="2"/>
  <c r="D68" i="2"/>
  <c r="AB91" i="3"/>
  <c r="O14" i="3"/>
  <c r="AB42" i="3"/>
  <c r="Q37" i="3"/>
  <c r="T12" i="3"/>
  <c r="U53" i="2"/>
  <c r="AB50" i="3"/>
  <c r="AP89" i="3"/>
  <c r="AE24" i="3"/>
  <c r="D43" i="2"/>
  <c r="Q95" i="2"/>
  <c r="AM27" i="3"/>
  <c r="AN34" i="3"/>
  <c r="D50" i="3"/>
  <c r="Q110" i="2"/>
  <c r="AL18" i="3"/>
  <c r="X84" i="2"/>
  <c r="AN14" i="3"/>
  <c r="AB10" i="3"/>
  <c r="V58" i="2"/>
  <c r="K81" i="2"/>
  <c r="N23" i="3"/>
  <c r="V47" i="2"/>
  <c r="O68" i="2"/>
  <c r="H26" i="3"/>
  <c r="L9" i="3"/>
  <c r="AE28" i="3"/>
  <c r="O88" i="2"/>
  <c r="F48" i="2"/>
  <c r="AB28" i="3"/>
  <c r="W92" i="2"/>
  <c r="AL11" i="3"/>
  <c r="AK35" i="3"/>
  <c r="C18" i="3"/>
  <c r="X47" i="2"/>
  <c r="AL29" i="3"/>
  <c r="G52" i="2"/>
  <c r="D42" i="2"/>
  <c r="W29" i="3"/>
  <c r="AO7" i="3"/>
  <c r="O40" i="3"/>
  <c r="E64" i="2"/>
  <c r="Q40" i="2"/>
  <c r="D76" i="2"/>
  <c r="I64" i="2"/>
  <c r="G84" i="2"/>
  <c r="D48" i="3"/>
  <c r="D94" i="2"/>
  <c r="L104" i="2"/>
  <c r="K41" i="2"/>
  <c r="I41" i="2"/>
  <c r="P26" i="3"/>
  <c r="AC33" i="3"/>
  <c r="AG17" i="3"/>
  <c r="R18" i="3"/>
  <c r="O36" i="3"/>
  <c r="W10" i="3"/>
  <c r="C66" i="2"/>
  <c r="G113" i="2"/>
  <c r="AB79" i="3"/>
  <c r="AL28" i="3"/>
  <c r="U85" i="2"/>
  <c r="AG33" i="3"/>
  <c r="X11" i="3"/>
  <c r="AG23" i="3"/>
  <c r="J81" i="2"/>
  <c r="C57" i="2"/>
  <c r="U18" i="3"/>
  <c r="AP29" i="3"/>
  <c r="K89" i="2"/>
  <c r="T73" i="2"/>
  <c r="M48" i="2"/>
  <c r="V110" i="2"/>
  <c r="D75" i="2"/>
  <c r="K31" i="3"/>
  <c r="V73" i="2"/>
  <c r="J43" i="2"/>
  <c r="AO10" i="3"/>
  <c r="V40" i="2"/>
  <c r="AD25" i="3"/>
  <c r="AH9" i="3"/>
  <c r="Q82" i="2"/>
  <c r="AJ20" i="3"/>
  <c r="AK36" i="3"/>
  <c r="P70" i="2"/>
  <c r="H72" i="2"/>
  <c r="AP28" i="3"/>
  <c r="X48" i="2"/>
  <c r="M108" i="2"/>
  <c r="K111" i="2"/>
  <c r="E89" i="2"/>
  <c r="R99" i="2"/>
  <c r="Q67" i="2"/>
  <c r="AG18" i="3"/>
  <c r="R51" i="2"/>
  <c r="U95" i="2"/>
  <c r="C83" i="2"/>
  <c r="L28" i="3"/>
  <c r="Q86" i="2"/>
  <c r="H48" i="2"/>
  <c r="X91" i="2"/>
  <c r="U91" i="2"/>
  <c r="J17" i="3"/>
  <c r="S96" i="2"/>
  <c r="AC38" i="3"/>
  <c r="W111" i="2"/>
  <c r="AE17" i="3"/>
  <c r="AA16" i="3"/>
  <c r="R17" i="3"/>
  <c r="N56" i="2"/>
  <c r="M74" i="2"/>
  <c r="X97" i="2"/>
  <c r="R41" i="3"/>
  <c r="AH10" i="3"/>
  <c r="E67" i="2"/>
  <c r="M22" i="3"/>
  <c r="I70" i="2"/>
  <c r="P29" i="3"/>
  <c r="AC35" i="3"/>
  <c r="Y35" i="3"/>
  <c r="AP86" i="3"/>
  <c r="P88" i="2"/>
  <c r="U99" i="2"/>
  <c r="N90" i="2"/>
  <c r="T107" i="2"/>
  <c r="AL22" i="3"/>
  <c r="AH32" i="3"/>
  <c r="I23" i="3"/>
  <c r="V93" i="2"/>
  <c r="S84" i="2"/>
  <c r="M42" i="3"/>
  <c r="G72" i="2"/>
  <c r="T78" i="2"/>
  <c r="P78" i="2"/>
  <c r="G33" i="3"/>
  <c r="AN12" i="3"/>
  <c r="D89" i="2"/>
  <c r="R67" i="2"/>
  <c r="Y12" i="3"/>
  <c r="I45" i="2"/>
  <c r="E109" i="2"/>
  <c r="V91" i="2"/>
  <c r="AM30" i="3"/>
  <c r="U48" i="2"/>
  <c r="V85" i="2"/>
  <c r="AK16" i="3"/>
  <c r="K15" i="3"/>
  <c r="R104" i="2"/>
  <c r="Q26" i="3"/>
  <c r="AE23" i="3"/>
  <c r="P91" i="2"/>
  <c r="M36" i="3"/>
  <c r="P32" i="3"/>
  <c r="P81" i="2"/>
  <c r="R25" i="3"/>
  <c r="S41" i="2"/>
  <c r="H110" i="2"/>
  <c r="M27" i="3"/>
  <c r="Z23" i="3"/>
  <c r="K78" i="2"/>
  <c r="U54" i="2"/>
  <c r="W20" i="3"/>
  <c r="D90" i="2"/>
  <c r="H59" i="2"/>
  <c r="V8" i="3"/>
  <c r="AB68" i="3"/>
  <c r="R22" i="3"/>
  <c r="I80" i="2"/>
  <c r="D55" i="2"/>
  <c r="P66" i="2"/>
  <c r="K38" i="3"/>
  <c r="AJ38" i="3"/>
  <c r="AB92" i="3"/>
  <c r="R8" i="3"/>
  <c r="AP92" i="3"/>
  <c r="C47" i="3"/>
  <c r="AJ10" i="3"/>
  <c r="M71" i="2"/>
  <c r="Q53" i="2"/>
  <c r="T81" i="2"/>
  <c r="D98" i="2"/>
  <c r="D45" i="2"/>
  <c r="L21" i="3"/>
  <c r="X83" i="2"/>
  <c r="T97" i="2"/>
  <c r="AI8" i="3"/>
  <c r="M111" i="2"/>
  <c r="P67" i="2"/>
  <c r="X65" i="2"/>
  <c r="I6" i="3"/>
  <c r="C52" i="2"/>
  <c r="O65" i="2"/>
  <c r="R80" i="2"/>
  <c r="D66" i="2"/>
  <c r="AB60" i="3"/>
  <c r="AB76" i="3"/>
  <c r="AI15" i="3"/>
  <c r="O47" i="2"/>
  <c r="J18" i="3"/>
  <c r="G50" i="3"/>
  <c r="T59" i="2"/>
  <c r="AK9" i="3"/>
  <c r="AP24" i="3"/>
  <c r="H43" i="2"/>
  <c r="D60" i="2"/>
  <c r="AB72" i="3"/>
  <c r="I19" i="3"/>
  <c r="M19" i="3"/>
  <c r="AI20" i="3"/>
  <c r="D40" i="2"/>
  <c r="M12" i="3"/>
  <c r="P87" i="2"/>
  <c r="AN22" i="3"/>
  <c r="S35" i="3"/>
  <c r="V29" i="3"/>
  <c r="Q17" i="3"/>
  <c r="F68" i="2"/>
  <c r="S69" i="2"/>
  <c r="J39" i="3"/>
  <c r="Z16" i="3"/>
  <c r="C46" i="2"/>
  <c r="AM19" i="3"/>
  <c r="H25" i="3"/>
  <c r="AL34" i="3"/>
  <c r="AC26" i="3"/>
  <c r="W110" i="2"/>
  <c r="O22" i="3"/>
  <c r="AG40" i="3"/>
  <c r="C81" i="2"/>
  <c r="G48" i="2"/>
  <c r="S60" i="2"/>
  <c r="Q13" i="3"/>
  <c r="J109" i="2"/>
  <c r="J66" i="2"/>
  <c r="H93" i="2"/>
  <c r="S8" i="3"/>
  <c r="T111" i="2"/>
  <c r="I48" i="2"/>
  <c r="X42" i="3"/>
  <c r="J70" i="2"/>
  <c r="C75" i="2"/>
  <c r="N11" i="3"/>
  <c r="M10" i="3"/>
  <c r="H20" i="3"/>
  <c r="AC9" i="3"/>
  <c r="T30" i="3"/>
  <c r="C110" i="2"/>
  <c r="R79" i="2"/>
  <c r="S55" i="2"/>
  <c r="AB20" i="3"/>
  <c r="P53" i="2"/>
  <c r="H68" i="2"/>
  <c r="E47" i="3"/>
  <c r="AO40" i="3"/>
  <c r="AN29" i="3"/>
  <c r="X28" i="3"/>
  <c r="H84" i="2"/>
  <c r="G35" i="3"/>
  <c r="C48" i="3"/>
  <c r="N95" i="2"/>
  <c r="G93" i="2"/>
  <c r="N41" i="3"/>
  <c r="D74" i="2"/>
  <c r="AI31" i="3"/>
  <c r="P106" i="2"/>
  <c r="U20" i="3"/>
  <c r="P111" i="2"/>
  <c r="R23" i="3"/>
  <c r="Y5" i="3"/>
  <c r="M28" i="3"/>
  <c r="I66" i="2"/>
  <c r="R41" i="2"/>
  <c r="U30" i="3"/>
  <c r="N107" i="2"/>
  <c r="W81" i="2"/>
  <c r="AQ7" i="3"/>
  <c r="P63" i="2"/>
  <c r="D50" i="2"/>
  <c r="AN18" i="3"/>
  <c r="L83" i="2"/>
  <c r="W113" i="2"/>
  <c r="C50" i="2"/>
  <c r="N9" i="3"/>
  <c r="Q42" i="2"/>
  <c r="L66" i="2"/>
  <c r="W58" i="2"/>
  <c r="N50" i="2"/>
  <c r="AB75" i="3"/>
  <c r="J16" i="3"/>
  <c r="V18" i="3"/>
  <c r="AP85" i="3"/>
  <c r="AN17" i="3"/>
  <c r="Q9" i="3"/>
  <c r="F80" i="2"/>
  <c r="AO23" i="3"/>
  <c r="AD23" i="3"/>
  <c r="X45" i="2"/>
  <c r="G80" i="2"/>
  <c r="AE10" i="3"/>
  <c r="AK17" i="3"/>
  <c r="U8" i="3"/>
  <c r="M14" i="3"/>
  <c r="H60" i="2"/>
  <c r="Q15" i="3"/>
  <c r="S46" i="2"/>
  <c r="AL30" i="3"/>
  <c r="S9" i="3"/>
  <c r="I21" i="3"/>
  <c r="C35" i="3"/>
  <c r="C40" i="2"/>
  <c r="G46" i="2"/>
  <c r="AO8" i="3"/>
  <c r="H33" i="3"/>
  <c r="C55" i="2"/>
  <c r="O34" i="3"/>
  <c r="AA18" i="3"/>
  <c r="N6" i="3"/>
  <c r="AK40" i="3"/>
  <c r="L16" i="3"/>
  <c r="W34" i="3"/>
  <c r="M40" i="3"/>
  <c r="K82" i="2"/>
  <c r="H111" i="2"/>
  <c r="J89" i="2"/>
  <c r="AQ16" i="3"/>
  <c r="AM13" i="3"/>
  <c r="V19" i="3"/>
  <c r="L19" i="3"/>
  <c r="K7" i="3"/>
  <c r="V65" i="2"/>
  <c r="Q77" i="2"/>
  <c r="L70" i="2"/>
  <c r="J62" i="2"/>
  <c r="W18" i="3"/>
  <c r="AJ29" i="3"/>
  <c r="H19" i="3"/>
  <c r="O28" i="3"/>
  <c r="AJ6" i="3"/>
  <c r="N84" i="2"/>
  <c r="AG39" i="3"/>
  <c r="E43" i="2"/>
  <c r="C72" i="2"/>
  <c r="C40" i="3"/>
  <c r="AB13" i="3"/>
  <c r="AD29" i="3"/>
  <c r="Q8" i="3"/>
  <c r="O70" i="2"/>
  <c r="AP83" i="3"/>
  <c r="AP81" i="3"/>
  <c r="E63" i="2"/>
  <c r="L68" i="2"/>
  <c r="X93" i="2"/>
  <c r="AL37" i="3"/>
  <c r="AN24" i="3"/>
  <c r="AL26" i="3"/>
  <c r="K96" i="2"/>
  <c r="Y26" i="3"/>
  <c r="U97" i="2"/>
  <c r="AQ24" i="3"/>
  <c r="D48" i="2"/>
  <c r="M96" i="2"/>
  <c r="AP56" i="3"/>
  <c r="AK23" i="3"/>
  <c r="P107" i="2"/>
  <c r="T79" i="2"/>
  <c r="AD41" i="3"/>
  <c r="W106" i="2"/>
  <c r="V46" i="2"/>
  <c r="Y9" i="3"/>
  <c r="Q93" i="2"/>
  <c r="AP38" i="3"/>
  <c r="Q39" i="3"/>
  <c r="R24" i="3"/>
  <c r="M7" i="3"/>
  <c r="AB70" i="3"/>
  <c r="U55" i="2"/>
  <c r="V76" i="2"/>
  <c r="I17" i="3"/>
  <c r="AH37" i="3"/>
  <c r="C12" i="3"/>
  <c r="P35" i="3"/>
  <c r="J28" i="3"/>
  <c r="E84" i="2"/>
  <c r="E60" i="2"/>
  <c r="AG9" i="3"/>
  <c r="AK42" i="3"/>
  <c r="R68" i="2"/>
  <c r="AB95" i="3"/>
  <c r="S54" i="2"/>
  <c r="U83" i="2"/>
  <c r="K54" i="2"/>
  <c r="AQ38" i="3"/>
  <c r="G92" i="2"/>
  <c r="M64" i="2"/>
  <c r="K58" i="2"/>
  <c r="T5" i="3"/>
  <c r="E105" i="2"/>
  <c r="AN21" i="3"/>
  <c r="W40" i="2"/>
  <c r="AO16" i="3"/>
  <c r="J51" i="2"/>
  <c r="U66" i="2"/>
  <c r="AB87" i="3"/>
  <c r="E53" i="2"/>
  <c r="AH33" i="3"/>
  <c r="Y24" i="3"/>
  <c r="R112" i="2"/>
  <c r="X62" i="2"/>
  <c r="AD19" i="3"/>
  <c r="AH40" i="3"/>
  <c r="Q94" i="2"/>
  <c r="J23" i="3"/>
  <c r="R52" i="2"/>
  <c r="H29" i="3"/>
  <c r="F43" i="2"/>
  <c r="L97" i="2"/>
  <c r="AI27" i="3"/>
  <c r="S88" i="2"/>
  <c r="G41" i="3"/>
  <c r="G77" i="2"/>
  <c r="S70" i="2"/>
  <c r="V16" i="3"/>
  <c r="E54" i="2"/>
  <c r="M90" i="2"/>
  <c r="I43" i="2"/>
  <c r="S38" i="3"/>
  <c r="R38" i="3"/>
  <c r="Q48" i="2"/>
  <c r="U43" i="2"/>
  <c r="AE12" i="3"/>
  <c r="H36" i="3"/>
  <c r="AA42" i="3"/>
  <c r="I69" i="2"/>
  <c r="M8" i="3"/>
  <c r="J59" i="2"/>
  <c r="H31" i="3"/>
  <c r="F62" i="2"/>
  <c r="S80" i="2"/>
  <c r="AE6" i="3"/>
  <c r="D110" i="2"/>
  <c r="W64" i="2"/>
  <c r="E48" i="2"/>
  <c r="T40" i="2"/>
  <c r="K62" i="2"/>
  <c r="AM42" i="3"/>
  <c r="N68" i="2"/>
  <c r="L108" i="2"/>
  <c r="K45" i="2"/>
  <c r="W13" i="3"/>
  <c r="H40" i="3"/>
  <c r="O61" i="2"/>
  <c r="V30" i="3"/>
  <c r="S30" i="3"/>
  <c r="M37" i="3"/>
  <c r="N52" i="2"/>
  <c r="AI16" i="3"/>
  <c r="P112" i="2"/>
  <c r="AK21" i="3"/>
  <c r="AO15" i="3"/>
  <c r="V10" i="3"/>
  <c r="AB80" i="3"/>
  <c r="Z8" i="3"/>
  <c r="I91" i="2"/>
  <c r="O75" i="2"/>
  <c r="H14" i="3"/>
  <c r="R75" i="2"/>
  <c r="AE40" i="3"/>
  <c r="AC15" i="3"/>
  <c r="X38" i="3"/>
  <c r="P60" i="2"/>
  <c r="AD49" i="3"/>
  <c r="K64" i="2"/>
  <c r="W38" i="3"/>
  <c r="X37" i="3"/>
  <c r="Q27" i="3"/>
  <c r="L7" i="3"/>
  <c r="K63" i="2"/>
  <c r="D105" i="2"/>
  <c r="AG10" i="3"/>
  <c r="I5" i="3"/>
  <c r="AJ42" i="3"/>
  <c r="J37" i="3"/>
  <c r="AP30" i="3"/>
  <c r="T77" i="2"/>
  <c r="K75" i="2"/>
  <c r="I76" i="2"/>
  <c r="AI22" i="3"/>
  <c r="AN49" i="3"/>
  <c r="Q62" i="3"/>
  <c r="L90" i="3"/>
  <c r="X75" i="3"/>
  <c r="Z49" i="3"/>
  <c r="S83" i="3"/>
  <c r="Q79" i="3"/>
  <c r="L84" i="3"/>
  <c r="AJ84" i="3"/>
  <c r="S93" i="3"/>
  <c r="AI82" i="3"/>
  <c r="T58" i="3"/>
  <c r="J81" i="3"/>
  <c r="L64" i="3"/>
  <c r="S57" i="3"/>
  <c r="AJ56" i="3"/>
  <c r="AK89" i="3"/>
  <c r="K57" i="3"/>
  <c r="AL50" i="3"/>
  <c r="X71" i="3"/>
  <c r="N72" i="3"/>
  <c r="K70" i="3"/>
  <c r="L66" i="3"/>
  <c r="O84" i="3"/>
  <c r="Q65" i="3"/>
  <c r="AL56" i="3"/>
  <c r="O55" i="3"/>
  <c r="Y93" i="3"/>
  <c r="AI60" i="3"/>
  <c r="J66" i="3"/>
  <c r="AH96" i="3"/>
  <c r="O64" i="3"/>
  <c r="AO76" i="3"/>
  <c r="AO70" i="3"/>
  <c r="AL73" i="3"/>
  <c r="AI97" i="3"/>
  <c r="M74" i="3"/>
  <c r="T65" i="3"/>
  <c r="T68" i="3"/>
  <c r="AN88" i="3"/>
  <c r="N79" i="3"/>
  <c r="T57" i="3"/>
  <c r="AI67" i="3"/>
  <c r="AJ86" i="3"/>
  <c r="AQ61" i="3"/>
  <c r="L81" i="3"/>
  <c r="AH76" i="3"/>
  <c r="S91" i="3"/>
  <c r="AL86" i="3"/>
  <c r="H66" i="3"/>
  <c r="AL71" i="3"/>
  <c r="S72" i="3"/>
  <c r="X59" i="3"/>
  <c r="S61" i="3"/>
  <c r="N63" i="3"/>
  <c r="J57" i="3"/>
  <c r="U94" i="3"/>
  <c r="L60" i="3"/>
  <c r="AK57" i="3"/>
  <c r="H76" i="3"/>
  <c r="N71" i="3"/>
  <c r="Y83" i="3"/>
  <c r="AJ73" i="3"/>
  <c r="N73" i="3"/>
  <c r="U59" i="3"/>
  <c r="Y69" i="3"/>
  <c r="Y89" i="3"/>
  <c r="Z78" i="3"/>
  <c r="M73" i="3"/>
  <c r="AL96" i="3"/>
  <c r="AK93" i="3"/>
  <c r="AJ97" i="3"/>
  <c r="L71" i="3"/>
  <c r="K50" i="3"/>
  <c r="AL48" i="3"/>
  <c r="L54" i="3"/>
  <c r="L70" i="3"/>
  <c r="AQ62" i="3"/>
  <c r="Q72" i="3"/>
  <c r="S89" i="3"/>
  <c r="Z76" i="3"/>
  <c r="H57" i="3"/>
  <c r="N59" i="3"/>
  <c r="AH48" i="3"/>
  <c r="N85" i="3"/>
  <c r="AH55" i="3"/>
  <c r="L56" i="3"/>
  <c r="AQ95" i="3"/>
  <c r="T60" i="3"/>
  <c r="K61" i="3"/>
  <c r="AO69" i="3"/>
  <c r="H59" i="3"/>
  <c r="I86" i="3"/>
  <c r="J70" i="3"/>
  <c r="I60" i="3"/>
  <c r="AL67" i="3"/>
  <c r="J78" i="3"/>
  <c r="L61" i="3"/>
  <c r="N57" i="3"/>
  <c r="AJ65" i="3"/>
  <c r="Q68" i="3"/>
  <c r="L73" i="3"/>
  <c r="U80" i="3"/>
  <c r="AO60" i="3"/>
  <c r="AQ89" i="3"/>
  <c r="Z96" i="3"/>
  <c r="M89" i="3"/>
  <c r="I73" i="3"/>
  <c r="AQ63" i="3"/>
  <c r="AK66" i="3"/>
  <c r="M97" i="3"/>
  <c r="X69" i="3"/>
  <c r="K79" i="3"/>
  <c r="U72" i="3"/>
  <c r="AI49" i="3"/>
  <c r="AN57" i="3"/>
  <c r="AJ70" i="3"/>
  <c r="L68" i="3"/>
  <c r="S54" i="3"/>
  <c r="AJ75" i="3"/>
  <c r="J58" i="3"/>
  <c r="K60" i="3"/>
  <c r="Q71" i="3"/>
  <c r="S78" i="3"/>
  <c r="X72" i="3"/>
  <c r="H87" i="3"/>
  <c r="AQ82" i="3"/>
  <c r="N74" i="3"/>
  <c r="AJ48" i="3"/>
  <c r="Y74" i="3"/>
  <c r="Y59" i="3"/>
  <c r="Y82" i="3"/>
  <c r="AK59" i="3"/>
  <c r="Q97" i="3"/>
  <c r="Z80" i="3"/>
  <c r="N94" i="3"/>
  <c r="AL89" i="3"/>
  <c r="Y95" i="3"/>
  <c r="J71" i="3"/>
  <c r="AH80" i="3"/>
  <c r="AK79" i="3"/>
  <c r="AI92" i="3"/>
  <c r="X65" i="3"/>
  <c r="J56" i="3"/>
  <c r="J48" i="3"/>
  <c r="AJ59" i="3"/>
  <c r="AK65" i="3"/>
  <c r="AN67" i="3"/>
  <c r="T90" i="3"/>
  <c r="H78" i="3"/>
  <c r="AQ72" i="3"/>
  <c r="K72" i="3"/>
  <c r="Q89" i="3"/>
  <c r="I93" i="3"/>
  <c r="AL78" i="3"/>
  <c r="Q91" i="3"/>
  <c r="AO49" i="3"/>
  <c r="U64" i="3"/>
  <c r="Q56" i="3"/>
  <c r="AN92" i="3"/>
  <c r="Q73" i="3"/>
  <c r="J64" i="3"/>
  <c r="Y66" i="3"/>
  <c r="O49" i="3"/>
  <c r="AL79" i="3"/>
  <c r="Z71" i="3"/>
  <c r="Q95" i="3"/>
  <c r="M56" i="3"/>
  <c r="L55" i="3"/>
  <c r="AL81" i="3"/>
  <c r="U70" i="3"/>
  <c r="N49" i="3"/>
  <c r="AI84" i="3"/>
  <c r="L96" i="3"/>
  <c r="AI79" i="3"/>
  <c r="L89" i="3"/>
  <c r="Z85" i="3"/>
  <c r="Y49" i="3"/>
  <c r="AI89" i="3"/>
  <c r="AQ87" i="3"/>
  <c r="AH86" i="3"/>
  <c r="X87" i="3"/>
  <c r="T81" i="3"/>
  <c r="M83" i="3"/>
  <c r="AJ80" i="3"/>
  <c r="I55" i="3"/>
  <c r="U68" i="3"/>
  <c r="X81" i="3"/>
  <c r="O77" i="3"/>
  <c r="S76" i="3"/>
  <c r="T74" i="3"/>
  <c r="Z57" i="3"/>
  <c r="K71" i="3"/>
  <c r="AJ54" i="3"/>
  <c r="AI65" i="3"/>
  <c r="L50" i="3"/>
  <c r="AQ85" i="3"/>
  <c r="Z89" i="3"/>
  <c r="Z48" i="3"/>
  <c r="AO54" i="3"/>
  <c r="X48" i="3"/>
  <c r="O92" i="3"/>
  <c r="Z86" i="3"/>
  <c r="M78" i="3"/>
  <c r="K93" i="3"/>
  <c r="M55" i="3"/>
  <c r="AN55" i="3"/>
  <c r="AH90" i="3"/>
  <c r="AL58" i="3"/>
  <c r="S80" i="3"/>
  <c r="H70" i="3"/>
  <c r="H83" i="3"/>
  <c r="O66" i="3"/>
  <c r="AO80" i="3"/>
  <c r="O78" i="3"/>
  <c r="U86" i="3"/>
  <c r="Q86" i="3"/>
  <c r="AO84" i="3"/>
  <c r="Y50" i="3"/>
  <c r="AJ81" i="3"/>
  <c r="AN94" i="3"/>
  <c r="H84" i="3"/>
  <c r="K85" i="3"/>
  <c r="AI80" i="3"/>
  <c r="AL69" i="3"/>
  <c r="N93" i="3"/>
  <c r="K86" i="3"/>
  <c r="O86" i="3"/>
  <c r="N66" i="3"/>
  <c r="AQ65" i="3"/>
  <c r="U88" i="3"/>
  <c r="AK84" i="3"/>
  <c r="X88" i="3"/>
  <c r="U60" i="3"/>
  <c r="AH49" i="3"/>
  <c r="AN79" i="3"/>
  <c r="AO56" i="3"/>
  <c r="M75" i="3"/>
  <c r="S71" i="3"/>
  <c r="N58" i="3"/>
  <c r="X49" i="3"/>
  <c r="AH69" i="3"/>
  <c r="Z61" i="3"/>
  <c r="J87" i="3"/>
  <c r="U83" i="3"/>
  <c r="Q55" i="3"/>
  <c r="T77" i="3"/>
  <c r="AJ92" i="3"/>
  <c r="X84" i="3"/>
  <c r="AH72" i="3"/>
  <c r="AK88" i="3"/>
  <c r="AQ48" i="3"/>
  <c r="Y72" i="3"/>
  <c r="AI75" i="3"/>
  <c r="Y70" i="3"/>
  <c r="S82" i="3"/>
  <c r="T78" i="3"/>
  <c r="AO58" i="3"/>
  <c r="AH47" i="3"/>
  <c r="AL63" i="3"/>
  <c r="Z72" i="3"/>
  <c r="N82" i="3"/>
  <c r="M67" i="3"/>
  <c r="I71" i="3"/>
  <c r="T54" i="3"/>
  <c r="AO61" i="3"/>
  <c r="U84" i="3"/>
  <c r="X67" i="3"/>
  <c r="AK74" i="3"/>
  <c r="Y75" i="3"/>
  <c r="AK54" i="3"/>
  <c r="X77" i="3"/>
  <c r="AL88" i="3"/>
  <c r="J89" i="3"/>
  <c r="J85" i="3"/>
  <c r="N92" i="3"/>
  <c r="AL64" i="3"/>
  <c r="H54" i="3"/>
  <c r="AK67" i="3"/>
  <c r="AJ62" i="3"/>
  <c r="S56" i="3"/>
  <c r="Z95" i="3"/>
  <c r="N68" i="3"/>
  <c r="AH54" i="3"/>
  <c r="K58" i="3"/>
  <c r="AN70" i="3"/>
  <c r="N62" i="3"/>
  <c r="N80" i="3"/>
  <c r="Y91" i="3"/>
  <c r="AK78" i="3"/>
  <c r="T63" i="3"/>
  <c r="N95" i="3"/>
  <c r="U57" i="3"/>
  <c r="AK62" i="3"/>
  <c r="T72" i="3"/>
  <c r="AQ81" i="3"/>
  <c r="U74" i="3"/>
  <c r="H64" i="3"/>
  <c r="AQ55" i="3"/>
  <c r="Q67" i="3"/>
  <c r="O54" i="3"/>
  <c r="Y63" i="3"/>
  <c r="Q75" i="3"/>
  <c r="K62" i="3"/>
  <c r="AQ64" i="3"/>
  <c r="H93" i="3"/>
  <c r="AH65" i="3"/>
  <c r="S81" i="3"/>
  <c r="J79" i="3"/>
  <c r="AQ96" i="3"/>
  <c r="X95" i="3"/>
  <c r="X82" i="3"/>
  <c r="Y92" i="3"/>
  <c r="H67" i="3"/>
  <c r="Q60" i="3"/>
  <c r="Q63" i="3"/>
  <c r="I68" i="3"/>
  <c r="K64" i="3"/>
  <c r="Q70" i="3"/>
  <c r="AH84" i="3"/>
  <c r="AQ50" i="3"/>
  <c r="AN68" i="3"/>
  <c r="T83" i="3"/>
  <c r="J47" i="3"/>
  <c r="K76" i="3"/>
  <c r="AO95" i="3"/>
  <c r="O68" i="3"/>
  <c r="S79" i="3"/>
  <c r="S97" i="3"/>
  <c r="AI61" i="3"/>
  <c r="T95" i="3"/>
  <c r="L74" i="3"/>
  <c r="O63" i="3"/>
  <c r="AI86" i="3"/>
  <c r="AL66" i="3"/>
  <c r="AH75" i="3"/>
  <c r="Z74" i="3"/>
  <c r="Z63" i="3"/>
  <c r="AQ66" i="3"/>
  <c r="AI93" i="3"/>
  <c r="AQ90" i="3"/>
  <c r="AH70" i="3"/>
  <c r="AL47" i="3"/>
  <c r="J49" i="3"/>
  <c r="Z65" i="3"/>
  <c r="H92" i="3"/>
  <c r="N56" i="3"/>
  <c r="AJ58" i="3"/>
  <c r="M85" i="3"/>
  <c r="S58" i="3"/>
  <c r="T84" i="3"/>
  <c r="J54" i="3"/>
  <c r="I50" i="3"/>
  <c r="T94" i="3"/>
  <c r="AN50" i="3"/>
  <c r="T92" i="3"/>
  <c r="M48" i="3"/>
  <c r="AH93" i="3"/>
  <c r="M81" i="3"/>
  <c r="H80" i="3"/>
  <c r="AK81" i="3"/>
  <c r="H50" i="3"/>
  <c r="Q77" i="3"/>
  <c r="I83" i="3"/>
  <c r="L59" i="3"/>
  <c r="Y85" i="3"/>
  <c r="T49" i="3"/>
  <c r="X73" i="3"/>
  <c r="L87" i="3"/>
  <c r="AJ66" i="3"/>
  <c r="H79" i="3"/>
  <c r="T62" i="3"/>
  <c r="Q58" i="3"/>
  <c r="Q59" i="3"/>
  <c r="S70" i="3"/>
  <c r="AQ92" i="3"/>
  <c r="M70" i="3"/>
  <c r="AN89" i="3"/>
  <c r="AL93" i="3"/>
  <c r="AN91" i="3"/>
  <c r="J62" i="3"/>
  <c r="AN78" i="3"/>
  <c r="I90" i="3"/>
  <c r="AJ68" i="3"/>
  <c r="AN76" i="3"/>
  <c r="M49" i="3"/>
  <c r="J72" i="3"/>
  <c r="K63" i="3"/>
  <c r="Z79" i="3"/>
  <c r="AN87" i="3"/>
  <c r="J97" i="3"/>
  <c r="M76" i="3"/>
  <c r="K49" i="3"/>
  <c r="U85" i="3"/>
  <c r="L80" i="3"/>
  <c r="I79" i="3"/>
  <c r="S94" i="3"/>
  <c r="AO62" i="3"/>
  <c r="S63" i="3"/>
  <c r="J96" i="3"/>
  <c r="S64" i="3"/>
  <c r="AQ83" i="3"/>
  <c r="AQ68" i="3"/>
  <c r="U56" i="3"/>
  <c r="AN54" i="3"/>
  <c r="X78" i="3"/>
  <c r="I67" i="3"/>
  <c r="H56" i="3"/>
  <c r="Q69" i="3"/>
  <c r="N83" i="3"/>
  <c r="AJ67" i="3"/>
  <c r="AK85" i="3"/>
  <c r="J92" i="3"/>
  <c r="X47" i="3"/>
  <c r="Q64" i="3"/>
  <c r="AI63" i="3"/>
  <c r="Y77" i="3"/>
  <c r="AL61" i="3"/>
  <c r="Z60" i="3"/>
  <c r="K56" i="3"/>
  <c r="O82" i="3"/>
  <c r="K97" i="3"/>
  <c r="AI69" i="3"/>
  <c r="O48" i="3"/>
  <c r="L69" i="3"/>
  <c r="K92" i="3"/>
  <c r="K65" i="3"/>
  <c r="AN84" i="3"/>
  <c r="AJ64" i="3"/>
  <c r="M88" i="3"/>
  <c r="Z92" i="3"/>
  <c r="N47" i="3"/>
  <c r="AO55" i="3"/>
  <c r="X60" i="3"/>
  <c r="Y67" i="3"/>
  <c r="AN73" i="3"/>
  <c r="AL60" i="3"/>
  <c r="U79" i="3"/>
  <c r="H60" i="3"/>
  <c r="T87" i="3"/>
  <c r="M80" i="3"/>
  <c r="Q57" i="3"/>
  <c r="H81" i="3"/>
  <c r="L49" i="3"/>
  <c r="AL49" i="3"/>
  <c r="Z62" i="3"/>
  <c r="K59" i="3"/>
  <c r="J50" i="3"/>
  <c r="S88" i="3"/>
  <c r="I65" i="3"/>
  <c r="J95" i="3"/>
  <c r="AK60" i="3"/>
  <c r="M91" i="3"/>
  <c r="Z55" i="3"/>
  <c r="S48" i="3"/>
  <c r="K77" i="3"/>
  <c r="AL97" i="3"/>
  <c r="Q49" i="3"/>
  <c r="AJ95" i="3"/>
  <c r="I56" i="3"/>
  <c r="Z87" i="3"/>
  <c r="AH74" i="3"/>
  <c r="Y80" i="3"/>
  <c r="O56" i="3"/>
  <c r="K88" i="3"/>
  <c r="AQ54" i="3"/>
  <c r="L77" i="3"/>
  <c r="L62" i="3"/>
  <c r="X80" i="3"/>
  <c r="J73" i="3"/>
  <c r="K55" i="3"/>
  <c r="K83" i="3"/>
  <c r="J93" i="3"/>
  <c r="AH78" i="3"/>
  <c r="AH81" i="3"/>
  <c r="AK69" i="3"/>
  <c r="U71" i="3"/>
  <c r="M54" i="3"/>
  <c r="I81" i="3"/>
  <c r="I66" i="3"/>
  <c r="AK76" i="3"/>
  <c r="I76" i="3"/>
  <c r="M62" i="3"/>
  <c r="O96" i="3"/>
  <c r="T67" i="3"/>
  <c r="AH66" i="3"/>
  <c r="H69" i="3"/>
  <c r="AI50" i="3"/>
  <c r="AJ50" i="3"/>
  <c r="N77" i="3"/>
  <c r="AQ94" i="3"/>
  <c r="S75" i="3"/>
  <c r="S59" i="3"/>
  <c r="L65" i="3"/>
  <c r="AO71" i="3"/>
  <c r="AI68" i="3"/>
  <c r="J75" i="3"/>
  <c r="Y94" i="3"/>
  <c r="AI87" i="3"/>
  <c r="AO59" i="3"/>
  <c r="AN95" i="3"/>
  <c r="AH97" i="3"/>
  <c r="Z54" i="3"/>
  <c r="AH82" i="3"/>
  <c r="H48" i="3"/>
  <c r="Y86" i="3"/>
  <c r="AH67" i="3"/>
  <c r="AL70" i="3"/>
  <c r="L85" i="3"/>
  <c r="AJ94" i="3"/>
  <c r="O90" i="3"/>
  <c r="I59" i="3"/>
  <c r="J74" i="3"/>
  <c r="M79" i="3"/>
  <c r="Z59" i="3"/>
  <c r="AQ79" i="3"/>
  <c r="N75" i="3"/>
  <c r="AN47" i="3"/>
  <c r="AO48" i="3"/>
  <c r="H90" i="3"/>
  <c r="AJ96" i="3"/>
  <c r="I97" i="3"/>
  <c r="AK77" i="3"/>
  <c r="AK56" i="3"/>
  <c r="M60" i="3"/>
  <c r="T88" i="3"/>
  <c r="AQ73" i="3"/>
  <c r="AJ61" i="3"/>
  <c r="U93" i="3"/>
  <c r="K95" i="3"/>
  <c r="H72" i="3"/>
  <c r="N91" i="3"/>
  <c r="AN80" i="3"/>
  <c r="AH50" i="3"/>
  <c r="X74" i="3"/>
  <c r="AH58" i="3"/>
  <c r="AN90" i="3"/>
  <c r="I48" i="3"/>
  <c r="AQ67" i="3"/>
  <c r="J67" i="3"/>
  <c r="AK95" i="3"/>
  <c r="T47" i="3"/>
  <c r="AQ60" i="3"/>
  <c r="M95" i="3"/>
  <c r="AO93" i="3"/>
  <c r="U58" i="3"/>
  <c r="AH77" i="3"/>
  <c r="N84" i="3"/>
  <c r="AQ74" i="3"/>
  <c r="AQ59" i="3"/>
  <c r="AL85" i="3"/>
  <c r="S65" i="3"/>
  <c r="I92" i="3"/>
  <c r="X57" i="3"/>
  <c r="AN93" i="3"/>
  <c r="O60" i="3"/>
  <c r="X55" i="3"/>
  <c r="AJ79" i="3"/>
  <c r="AQ47" i="3"/>
  <c r="Q94" i="3"/>
  <c r="AK71" i="3"/>
  <c r="Y81" i="3"/>
  <c r="O62" i="3"/>
  <c r="AL72" i="3"/>
  <c r="AH68" i="3"/>
  <c r="Z94" i="3"/>
  <c r="AO89" i="3"/>
  <c r="AJ82" i="3"/>
  <c r="U73" i="3"/>
  <c r="AI54" i="3"/>
  <c r="S95" i="3"/>
  <c r="AC64" i="3"/>
  <c r="AN48" i="3"/>
  <c r="AJ74" i="3"/>
  <c r="X54" i="3"/>
  <c r="R93" i="3"/>
  <c r="H96" i="3"/>
  <c r="O57" i="3"/>
  <c r="AA66" i="3"/>
  <c r="Y60" i="3"/>
  <c r="P72" i="3"/>
  <c r="AO90" i="3"/>
  <c r="K54" i="3"/>
  <c r="P91" i="3"/>
  <c r="K82" i="3"/>
  <c r="AI88" i="3"/>
  <c r="T61" i="3"/>
  <c r="Z75" i="3"/>
  <c r="N76" i="3"/>
  <c r="U87" i="3"/>
  <c r="K78" i="3"/>
  <c r="AA76" i="3"/>
  <c r="I77" i="3"/>
  <c r="AA70" i="3"/>
  <c r="AQ93" i="3"/>
  <c r="I78" i="3"/>
  <c r="AQ57" i="3"/>
  <c r="AH92" i="3"/>
  <c r="X86" i="3"/>
  <c r="L48" i="3"/>
  <c r="AN64" i="3"/>
  <c r="P64" i="3"/>
  <c r="R96" i="3"/>
  <c r="I64" i="3"/>
  <c r="AI58" i="3"/>
  <c r="S86" i="3"/>
  <c r="T93" i="3"/>
  <c r="P48" i="3"/>
  <c r="N55" i="3"/>
  <c r="T50" i="3"/>
  <c r="J69" i="3"/>
  <c r="N50" i="3"/>
  <c r="Q74" i="3"/>
  <c r="AA91" i="3"/>
  <c r="V67" i="3"/>
  <c r="X90" i="3"/>
  <c r="V55" i="3"/>
  <c r="AJ91" i="3"/>
  <c r="AC61" i="3"/>
  <c r="H63" i="3"/>
  <c r="J94" i="3"/>
  <c r="R75" i="3"/>
  <c r="M63" i="3"/>
  <c r="N97" i="3"/>
  <c r="AO96" i="3"/>
  <c r="R69" i="3"/>
  <c r="L82" i="3"/>
  <c r="R84" i="3"/>
  <c r="Z73" i="3"/>
  <c r="AJ69" i="3"/>
  <c r="Q78" i="3"/>
  <c r="M50" i="3"/>
  <c r="AL80" i="3"/>
  <c r="R48" i="3"/>
  <c r="H47" i="3"/>
  <c r="W96" i="3"/>
  <c r="AN63" i="3"/>
  <c r="AC78" i="3"/>
  <c r="AJ89" i="3"/>
  <c r="O83" i="3"/>
  <c r="AI76" i="3"/>
  <c r="Q47" i="3"/>
  <c r="AA47" i="3"/>
  <c r="L95" i="3"/>
  <c r="AL62" i="3"/>
  <c r="T97" i="3"/>
  <c r="M68" i="3"/>
  <c r="AO67" i="3"/>
  <c r="AN61" i="3"/>
  <c r="J90" i="3"/>
  <c r="AJ83" i="3"/>
  <c r="O79" i="3"/>
  <c r="AQ49" i="3"/>
  <c r="X79" i="3"/>
  <c r="AO47" i="3"/>
  <c r="Z81" i="3"/>
  <c r="AN83" i="3"/>
  <c r="Z88" i="3"/>
  <c r="W74" i="3"/>
  <c r="AO66" i="3"/>
  <c r="K80" i="3"/>
  <c r="P69" i="3"/>
  <c r="Y84" i="3"/>
  <c r="P59" i="3"/>
  <c r="J61" i="3"/>
  <c r="H91" i="3"/>
  <c r="J83" i="3"/>
  <c r="AQ84" i="3"/>
  <c r="V73" i="3"/>
  <c r="O47" i="3"/>
  <c r="H62" i="3"/>
  <c r="AK97" i="3"/>
  <c r="J65" i="3"/>
  <c r="T85" i="3"/>
  <c r="I87" i="3"/>
  <c r="W90" i="3"/>
  <c r="U82" i="3"/>
  <c r="P62" i="3"/>
  <c r="S85" i="3"/>
  <c r="I80" i="3"/>
  <c r="AC58" i="3"/>
  <c r="V61" i="3"/>
  <c r="R81" i="3"/>
  <c r="J76" i="3"/>
  <c r="N54" i="3"/>
  <c r="M61" i="3"/>
  <c r="AJ60" i="3"/>
  <c r="AK75" i="3"/>
  <c r="R85" i="3"/>
  <c r="Y61" i="3"/>
  <c r="AI90" i="3"/>
  <c r="Z90" i="3"/>
  <c r="AI71" i="3"/>
  <c r="AA78" i="3"/>
  <c r="P73" i="3"/>
  <c r="Z47" i="3"/>
  <c r="AK61" i="3"/>
  <c r="AQ80" i="3"/>
  <c r="AO72" i="3"/>
  <c r="Y65" i="3"/>
  <c r="H74" i="3"/>
  <c r="T48" i="3"/>
  <c r="N61" i="3"/>
  <c r="Y90" i="3"/>
  <c r="AN77" i="3"/>
  <c r="W86" i="3"/>
  <c r="R55" i="3"/>
  <c r="L72" i="3"/>
  <c r="N67" i="3"/>
  <c r="P74" i="3"/>
  <c r="P90" i="3"/>
  <c r="AO91" i="3"/>
  <c r="U47" i="3"/>
  <c r="U66" i="3"/>
  <c r="AO82" i="3"/>
  <c r="K67" i="3"/>
  <c r="AK63" i="3"/>
  <c r="R57" i="3"/>
  <c r="K74" i="3"/>
  <c r="W65" i="3"/>
  <c r="P92" i="3"/>
  <c r="AO65" i="3"/>
  <c r="U97" i="3"/>
  <c r="Y54" i="3"/>
  <c r="U48" i="3"/>
  <c r="P95" i="3"/>
  <c r="AI62" i="3"/>
  <c r="Z68" i="3"/>
  <c r="AA54" i="3"/>
  <c r="AH83" i="3"/>
  <c r="O81" i="3"/>
  <c r="AI73" i="3"/>
  <c r="AC50" i="3"/>
  <c r="AO88" i="3"/>
  <c r="U50" i="3"/>
  <c r="Y88" i="3"/>
  <c r="L75" i="3"/>
  <c r="P47" i="3"/>
  <c r="AL68" i="3"/>
  <c r="O71" i="3"/>
  <c r="L63" i="3"/>
  <c r="AA60" i="3"/>
  <c r="K47" i="3"/>
  <c r="V64" i="3"/>
  <c r="AK70" i="3"/>
  <c r="R54" i="3"/>
  <c r="AN56" i="3"/>
  <c r="V58" i="3"/>
  <c r="Y47" i="3"/>
  <c r="AC81" i="3"/>
  <c r="I88" i="3"/>
  <c r="O61" i="3"/>
  <c r="W54" i="3"/>
  <c r="N64" i="3"/>
  <c r="Y96" i="3"/>
  <c r="V71" i="3"/>
  <c r="M92" i="3"/>
  <c r="O65" i="3"/>
  <c r="AJ85" i="3"/>
  <c r="AJ78" i="3"/>
  <c r="AM78" i="3"/>
  <c r="I58" i="3"/>
  <c r="AO63" i="3"/>
  <c r="M84" i="3"/>
  <c r="H77" i="3"/>
  <c r="S60" i="3"/>
  <c r="Q84" i="3"/>
  <c r="AC96" i="3"/>
  <c r="I95" i="3"/>
  <c r="AC83" i="3"/>
  <c r="L93" i="3"/>
  <c r="W49" i="3"/>
  <c r="V66" i="3"/>
  <c r="K87" i="3"/>
  <c r="AI78" i="3"/>
  <c r="AJ57" i="3"/>
  <c r="M57" i="3"/>
  <c r="O72" i="3"/>
  <c r="I74" i="3"/>
  <c r="AA73" i="3"/>
  <c r="AO68" i="3"/>
  <c r="AL65" i="3"/>
  <c r="I54" i="3"/>
  <c r="V85" i="3"/>
  <c r="AQ70" i="3"/>
  <c r="W80" i="3"/>
  <c r="N90" i="3"/>
  <c r="Q50" i="3"/>
  <c r="U78" i="3"/>
  <c r="K69" i="3"/>
  <c r="AK91" i="3"/>
  <c r="T55" i="3"/>
  <c r="U63" i="3"/>
  <c r="O73" i="3"/>
  <c r="Q90" i="3"/>
  <c r="Y48" i="3"/>
  <c r="J80" i="3"/>
  <c r="Z77" i="3"/>
  <c r="Q88" i="3"/>
  <c r="AN97" i="3"/>
  <c r="O50" i="3"/>
  <c r="AC55" i="3"/>
  <c r="M65" i="3"/>
  <c r="AH85" i="3"/>
  <c r="L79" i="3"/>
  <c r="V93" i="3"/>
  <c r="AI57" i="3"/>
  <c r="AL90" i="3"/>
  <c r="J55" i="3"/>
  <c r="U49" i="3"/>
  <c r="AH62" i="3"/>
  <c r="AK90" i="3"/>
  <c r="AH57" i="3"/>
  <c r="P79" i="3"/>
  <c r="AK73" i="3"/>
  <c r="U90" i="3"/>
  <c r="AN86" i="3"/>
  <c r="I96" i="3"/>
  <c r="Y87" i="3"/>
  <c r="R64" i="3"/>
  <c r="K66" i="3"/>
  <c r="V65" i="3"/>
  <c r="AK50" i="3"/>
  <c r="T79" i="3"/>
  <c r="X96" i="3"/>
  <c r="P75" i="3"/>
  <c r="S55" i="3"/>
  <c r="AN74" i="3"/>
  <c r="AL84" i="3"/>
  <c r="AI48" i="3"/>
  <c r="AN72" i="3"/>
  <c r="AA80" i="3"/>
  <c r="W55" i="3"/>
  <c r="T86" i="3"/>
  <c r="AC75" i="3"/>
  <c r="V47" i="3"/>
  <c r="AA81" i="3"/>
  <c r="M58" i="3"/>
  <c r="AH89" i="3"/>
  <c r="J82" i="3"/>
  <c r="I57" i="3"/>
  <c r="AA83" i="3"/>
  <c r="AM95" i="3"/>
  <c r="S67" i="3"/>
  <c r="K68" i="3"/>
  <c r="AK86" i="3"/>
  <c r="AM77" i="3"/>
  <c r="AC77" i="3"/>
  <c r="AM58" i="3"/>
  <c r="AJ49" i="3"/>
  <c r="AO87" i="3"/>
  <c r="AO85" i="3"/>
  <c r="Y71" i="3"/>
  <c r="AM64" i="3"/>
  <c r="Q85" i="3"/>
  <c r="H85" i="3"/>
  <c r="AL57" i="3"/>
  <c r="O70" i="3"/>
  <c r="O89" i="3"/>
  <c r="AI66" i="3"/>
  <c r="T71" i="3"/>
  <c r="H71" i="3"/>
  <c r="AN66" i="3"/>
  <c r="I47" i="3"/>
  <c r="AH95" i="3"/>
  <c r="W76" i="3"/>
  <c r="AK49" i="3"/>
  <c r="AC66" i="3"/>
  <c r="O67" i="3"/>
  <c r="M90" i="3"/>
  <c r="AM89" i="3"/>
  <c r="Q92" i="3"/>
  <c r="U95" i="3"/>
  <c r="AO74" i="3"/>
  <c r="S74" i="3"/>
  <c r="X68" i="3"/>
  <c r="AM84" i="3"/>
  <c r="R91" i="3"/>
  <c r="R82" i="3"/>
  <c r="AI59" i="3"/>
  <c r="AM56" i="3"/>
  <c r="X56" i="3"/>
  <c r="AA57" i="3"/>
  <c r="X58" i="3"/>
  <c r="I84" i="3"/>
  <c r="AM60" i="3"/>
  <c r="V96" i="3"/>
  <c r="AQ69" i="3"/>
  <c r="M66" i="3"/>
  <c r="X97" i="3"/>
  <c r="H82" i="3"/>
  <c r="AA55" i="3"/>
  <c r="AO78" i="3"/>
  <c r="AO94" i="3"/>
  <c r="N65" i="3"/>
  <c r="S73" i="3"/>
  <c r="R90" i="3"/>
  <c r="Y76" i="3"/>
  <c r="Y64" i="3"/>
  <c r="T82" i="3"/>
  <c r="AC72" i="3"/>
  <c r="U69" i="3"/>
  <c r="V79" i="3"/>
  <c r="W73" i="3"/>
  <c r="U55" i="3"/>
  <c r="Q66" i="3"/>
  <c r="O95" i="3"/>
  <c r="AQ58" i="3"/>
  <c r="AK82" i="3"/>
  <c r="T89" i="3"/>
  <c r="V76" i="3"/>
  <c r="P66" i="3"/>
  <c r="M93" i="3"/>
  <c r="AK83" i="3"/>
  <c r="N48" i="3"/>
  <c r="AL59" i="3"/>
  <c r="AJ55" i="3"/>
  <c r="AI72" i="3"/>
  <c r="AO75" i="3"/>
  <c r="AC68" i="3"/>
  <c r="I75" i="3"/>
  <c r="AM69" i="3"/>
  <c r="Q54" i="3"/>
  <c r="AQ86" i="3"/>
  <c r="AQ97" i="3"/>
  <c r="I82" i="3"/>
  <c r="X76" i="3"/>
  <c r="K96" i="3"/>
  <c r="N69" i="3"/>
  <c r="S66" i="3"/>
  <c r="T64" i="3"/>
  <c r="Z58" i="3"/>
  <c r="O69" i="3"/>
  <c r="S77" i="3"/>
  <c r="AI83" i="3"/>
  <c r="AI95" i="3"/>
  <c r="R71" i="3"/>
  <c r="AI85" i="3"/>
  <c r="AN62" i="3"/>
  <c r="AN75" i="3"/>
  <c r="O91" i="3"/>
  <c r="Y55" i="3"/>
  <c r="U91" i="3"/>
  <c r="U75" i="3"/>
  <c r="K94" i="3"/>
  <c r="AM97" i="3"/>
  <c r="J84" i="3"/>
  <c r="AK47" i="3"/>
  <c r="N81" i="3"/>
  <c r="AQ91" i="3"/>
  <c r="N96" i="3"/>
  <c r="J63" i="3"/>
  <c r="AN96" i="3"/>
  <c r="AJ90" i="3"/>
  <c r="Z69" i="3"/>
  <c r="M59" i="3"/>
  <c r="W69" i="3"/>
  <c r="O76" i="3"/>
  <c r="S69" i="3"/>
  <c r="AA62" i="3"/>
  <c r="W61" i="3"/>
  <c r="V81" i="3"/>
  <c r="P96" i="3"/>
  <c r="AA90" i="3"/>
  <c r="X50" i="3"/>
  <c r="AH59" i="3"/>
  <c r="M71" i="3"/>
  <c r="N87" i="3"/>
  <c r="Q87" i="3"/>
  <c r="Y58" i="3"/>
  <c r="R61" i="3"/>
  <c r="K91" i="3"/>
  <c r="I61" i="3"/>
  <c r="L94" i="3"/>
  <c r="T76" i="3"/>
  <c r="AC70" i="3"/>
  <c r="U96" i="3"/>
  <c r="V92" i="3"/>
  <c r="AK87" i="3"/>
  <c r="W64" i="3"/>
  <c r="AI74" i="3"/>
  <c r="T70" i="3"/>
  <c r="AC56" i="3"/>
  <c r="AO57" i="3"/>
  <c r="W85" i="3"/>
  <c r="M87" i="3"/>
  <c r="AH87" i="3"/>
  <c r="I69" i="3"/>
  <c r="Y78" i="3"/>
  <c r="L91" i="3"/>
  <c r="P76" i="3"/>
  <c r="P67" i="3"/>
  <c r="Y79" i="3"/>
  <c r="AJ93" i="3"/>
  <c r="K81" i="3"/>
  <c r="V91" i="3"/>
  <c r="U92" i="3"/>
  <c r="S96" i="3"/>
  <c r="AL87" i="3"/>
  <c r="Z91" i="3"/>
  <c r="AN60" i="3"/>
  <c r="AC97" i="3"/>
  <c r="AK55" i="3"/>
  <c r="X85" i="3"/>
  <c r="AH61" i="3"/>
  <c r="AJ87" i="3"/>
  <c r="O75" i="3"/>
  <c r="AA77" i="3"/>
  <c r="AL94" i="3"/>
  <c r="H94" i="3"/>
  <c r="J68" i="3"/>
  <c r="R79" i="3"/>
  <c r="I49" i="3"/>
  <c r="V80" i="3"/>
  <c r="R58" i="3"/>
  <c r="T66" i="3"/>
  <c r="U77" i="3"/>
  <c r="X83" i="3"/>
  <c r="S49" i="3"/>
  <c r="AN58" i="3"/>
  <c r="AH56" i="3"/>
  <c r="L76" i="3"/>
  <c r="O80" i="3"/>
  <c r="AN59" i="3"/>
  <c r="X89" i="3"/>
  <c r="AH63" i="3"/>
  <c r="AN82" i="3"/>
  <c r="AM70" i="3"/>
  <c r="AN69" i="3"/>
  <c r="AL77" i="3"/>
  <c r="AM68" i="3"/>
  <c r="O58" i="3"/>
  <c r="AJ63" i="3"/>
  <c r="AQ75" i="3"/>
  <c r="T56" i="3"/>
  <c r="X70" i="3"/>
  <c r="AJ88" i="3"/>
  <c r="H75" i="3"/>
  <c r="L92" i="3"/>
  <c r="X91" i="3"/>
  <c r="AL91" i="3"/>
  <c r="M96" i="3"/>
  <c r="P61" i="3"/>
  <c r="AL75" i="3"/>
  <c r="AL54" i="3"/>
  <c r="J86" i="3"/>
  <c r="X66" i="3"/>
  <c r="AK72" i="3"/>
  <c r="Z93" i="3"/>
  <c r="N88" i="3"/>
  <c r="R95" i="3"/>
  <c r="AM94" i="3"/>
  <c r="J91" i="3"/>
  <c r="Z84" i="3"/>
  <c r="AI96" i="3"/>
  <c r="M94" i="3"/>
  <c r="T96" i="3"/>
  <c r="N89" i="3"/>
  <c r="AI70" i="3"/>
  <c r="T75" i="3"/>
  <c r="Z70" i="3"/>
  <c r="I91" i="3"/>
  <c r="S62" i="3"/>
  <c r="I89" i="3"/>
  <c r="AM73" i="3"/>
  <c r="AA72" i="3"/>
  <c r="R67" i="3"/>
  <c r="H97" i="3"/>
  <c r="AH91" i="3"/>
  <c r="AI55" i="3"/>
  <c r="AC57" i="3"/>
  <c r="AH73" i="3"/>
  <c r="P81" i="3"/>
  <c r="V48" i="3"/>
  <c r="W78" i="3"/>
  <c r="Y97" i="3"/>
  <c r="M64" i="3"/>
  <c r="T59" i="3"/>
  <c r="N86" i="3"/>
  <c r="S84" i="3"/>
  <c r="AI47" i="3"/>
  <c r="L67" i="3"/>
  <c r="AQ77" i="3"/>
  <c r="K75" i="3"/>
  <c r="T80" i="3"/>
  <c r="AA67" i="3"/>
  <c r="AI94" i="3"/>
  <c r="Q96" i="3"/>
  <c r="Y68" i="3"/>
  <c r="H61" i="3"/>
  <c r="Q61" i="3"/>
  <c r="AM48" i="3"/>
  <c r="L57" i="3"/>
  <c r="W82" i="3"/>
  <c r="P54" i="3"/>
  <c r="L86" i="3"/>
  <c r="R94" i="3"/>
  <c r="AK64" i="3"/>
  <c r="L78" i="3"/>
  <c r="H58" i="3"/>
  <c r="Z97" i="3"/>
  <c r="AA79" i="3"/>
  <c r="W57" i="3"/>
  <c r="AI81" i="3"/>
  <c r="Y57" i="3"/>
  <c r="L88" i="3"/>
  <c r="Z50" i="3"/>
  <c r="W62" i="3"/>
  <c r="AO81" i="3"/>
  <c r="O87" i="3"/>
  <c r="AA64" i="3"/>
  <c r="AK96" i="3"/>
  <c r="L83" i="3"/>
  <c r="AA74" i="3"/>
  <c r="T73" i="3"/>
  <c r="V70" i="3"/>
  <c r="J59" i="3"/>
  <c r="P70" i="3"/>
  <c r="I85" i="3"/>
  <c r="W50" i="3"/>
  <c r="Z82" i="3"/>
  <c r="W87" i="3"/>
  <c r="AH60" i="3"/>
  <c r="J77" i="3"/>
  <c r="S47" i="3"/>
  <c r="AH94" i="3"/>
  <c r="L97" i="3"/>
  <c r="W70" i="3"/>
  <c r="M69" i="3"/>
  <c r="U81" i="3"/>
  <c r="U65" i="3"/>
  <c r="AH88" i="3"/>
  <c r="O85" i="3"/>
  <c r="R62" i="3"/>
  <c r="AO77" i="3"/>
  <c r="S90" i="3"/>
  <c r="H49" i="3"/>
  <c r="AH64" i="3"/>
  <c r="AM72" i="3"/>
  <c r="AK92" i="3"/>
  <c r="I70" i="3"/>
  <c r="X62" i="3"/>
  <c r="L58" i="3"/>
  <c r="P80" i="3"/>
  <c r="S87" i="3"/>
  <c r="X64" i="3"/>
  <c r="AO79" i="3"/>
  <c r="AC80" i="3"/>
  <c r="O59" i="3"/>
  <c r="M82" i="3"/>
  <c r="I63" i="3"/>
  <c r="M77" i="3"/>
  <c r="K73" i="3"/>
  <c r="U89" i="3"/>
  <c r="N78" i="3"/>
  <c r="K89" i="3"/>
  <c r="Z66" i="3"/>
  <c r="I94" i="3"/>
  <c r="X63" i="3"/>
  <c r="N60" i="3"/>
  <c r="O94" i="3"/>
  <c r="AQ78" i="3"/>
  <c r="U61" i="3"/>
  <c r="Q76" i="3"/>
  <c r="X94" i="3"/>
  <c r="Q81" i="3"/>
  <c r="X93" i="3"/>
  <c r="W75" i="3"/>
  <c r="AA69" i="3"/>
  <c r="AM91" i="3"/>
  <c r="V77" i="3"/>
  <c r="AO92" i="3"/>
  <c r="AO50" i="3"/>
  <c r="AQ56" i="3"/>
  <c r="K48" i="3"/>
  <c r="U54" i="3"/>
  <c r="U67" i="3"/>
  <c r="L47" i="3"/>
  <c r="AQ76" i="3"/>
  <c r="P49" i="3"/>
  <c r="Y56" i="3"/>
  <c r="AL74" i="3"/>
  <c r="V60" i="3"/>
  <c r="AK94" i="3"/>
  <c r="M72" i="3"/>
  <c r="AA88" i="3"/>
  <c r="AO83" i="3"/>
  <c r="U76" i="3"/>
  <c r="AA96" i="3"/>
  <c r="AJ77" i="3"/>
  <c r="S92" i="3"/>
  <c r="S68" i="3"/>
  <c r="J88" i="3"/>
  <c r="AI91" i="3"/>
  <c r="H89" i="3"/>
  <c r="N70" i="3"/>
  <c r="M86" i="3"/>
  <c r="S50" i="3"/>
  <c r="AK48" i="3"/>
  <c r="AL95" i="3"/>
  <c r="AC87" i="3"/>
  <c r="AO73" i="3"/>
  <c r="I72" i="3"/>
  <c r="W81" i="3"/>
  <c r="O93" i="3"/>
  <c r="P50" i="3"/>
  <c r="X61" i="3"/>
  <c r="O74" i="3"/>
  <c r="AL76" i="3"/>
  <c r="H73" i="3"/>
  <c r="Z64" i="3"/>
  <c r="V75" i="3"/>
  <c r="AM65" i="3"/>
  <c r="AH71" i="3"/>
  <c r="T69" i="3"/>
  <c r="U62" i="3"/>
  <c r="H55" i="3"/>
  <c r="AK80" i="3"/>
  <c r="AN81" i="3"/>
  <c r="P58" i="3"/>
  <c r="V90" i="3"/>
  <c r="Y62" i="3"/>
  <c r="H65" i="3"/>
  <c r="Q83" i="3"/>
  <c r="H68" i="3"/>
  <c r="Q80" i="3"/>
  <c r="P65" i="3"/>
  <c r="AI56" i="3"/>
  <c r="AJ71" i="3"/>
  <c r="AI64" i="3"/>
  <c r="H95" i="3"/>
  <c r="J60" i="3"/>
  <c r="AL83" i="3"/>
  <c r="AA68" i="3"/>
  <c r="AJ72" i="3"/>
  <c r="Z56" i="3"/>
  <c r="Q48" i="3"/>
  <c r="AO97" i="3"/>
  <c r="AC79" i="3"/>
  <c r="O88" i="3"/>
  <c r="AJ76" i="3"/>
  <c r="K84" i="3"/>
  <c r="AK68" i="3"/>
  <c r="AH79" i="3"/>
  <c r="AO86" i="3"/>
  <c r="W66" i="3"/>
  <c r="W59" i="3"/>
  <c r="Y73" i="3"/>
  <c r="AC60" i="3"/>
  <c r="AO64" i="3"/>
  <c r="P93" i="3"/>
  <c r="R59" i="3"/>
  <c r="AL92" i="3"/>
  <c r="AM59" i="3"/>
  <c r="R66" i="3"/>
  <c r="AQ88" i="3"/>
  <c r="AK58" i="3"/>
  <c r="AN71" i="3"/>
  <c r="P71" i="3"/>
  <c r="V68" i="3"/>
  <c r="AA87" i="3"/>
  <c r="Z83" i="3"/>
  <c r="Q93" i="3"/>
  <c r="H86" i="3"/>
  <c r="AN65" i="3"/>
  <c r="K90" i="3"/>
  <c r="V69" i="3"/>
  <c r="V86" i="3"/>
  <c r="Z67" i="3"/>
  <c r="AA71" i="3"/>
  <c r="AN85" i="3"/>
  <c r="AL82" i="3"/>
  <c r="H88" i="3"/>
  <c r="Q82" i="3"/>
  <c r="AJ47" i="3"/>
  <c r="I62" i="3"/>
  <c r="O97" i="3"/>
  <c r="M47" i="3"/>
  <c r="AL55" i="3"/>
  <c r="T91" i="3"/>
  <c r="AQ71" i="3"/>
  <c r="W92" i="3"/>
  <c r="AM90" i="3"/>
  <c r="AI77" i="3"/>
  <c r="X92" i="3"/>
  <c r="V84" i="3"/>
  <c r="AC59" i="3" l="1"/>
  <c r="AG95" i="3"/>
  <c r="AG71" i="3"/>
  <c r="AG47" i="3"/>
  <c r="W63" i="3"/>
  <c r="AM83" i="3"/>
  <c r="AC94" i="3"/>
  <c r="AM57" i="3"/>
  <c r="R86" i="3"/>
  <c r="AC65" i="3"/>
  <c r="R70" i="3"/>
  <c r="AG96" i="3"/>
  <c r="R97" i="3"/>
  <c r="P60" i="3"/>
  <c r="P77" i="3"/>
  <c r="AM88" i="3"/>
  <c r="V94" i="3"/>
  <c r="R65" i="3"/>
  <c r="AC90" i="3"/>
  <c r="W60" i="3"/>
  <c r="P78" i="3"/>
  <c r="R63" i="3"/>
  <c r="W48" i="3"/>
  <c r="V83" i="3"/>
  <c r="R47" i="3"/>
  <c r="AG50" i="3"/>
  <c r="R50" i="3"/>
  <c r="W93" i="3"/>
  <c r="AG58" i="3"/>
  <c r="AG94" i="3"/>
  <c r="AC73" i="3"/>
  <c r="V59" i="3"/>
  <c r="P63" i="3"/>
  <c r="AC49" i="3"/>
  <c r="AM81" i="3"/>
  <c r="AC86" i="3"/>
  <c r="AG62" i="3"/>
  <c r="P57" i="3"/>
  <c r="R76" i="3"/>
  <c r="V57" i="3"/>
  <c r="AC84" i="3"/>
  <c r="W67" i="3"/>
  <c r="V50" i="3"/>
  <c r="R73" i="3"/>
  <c r="V62" i="3"/>
  <c r="R68" i="3"/>
  <c r="P87" i="3"/>
  <c r="R87" i="3"/>
  <c r="AM86" i="3"/>
  <c r="AM92" i="3"/>
  <c r="R83" i="3"/>
  <c r="W58" i="3"/>
  <c r="AG55" i="3"/>
  <c r="AM96" i="3"/>
  <c r="V56" i="3"/>
  <c r="AM79" i="3"/>
  <c r="AG88" i="3"/>
  <c r="AG87" i="3"/>
  <c r="AG89" i="3"/>
  <c r="AC48" i="3"/>
  <c r="V97" i="3"/>
  <c r="AM66" i="3"/>
  <c r="AG93" i="3"/>
  <c r="P83" i="3"/>
  <c r="AG76" i="3"/>
  <c r="P82" i="3"/>
  <c r="AC71" i="3"/>
  <c r="W91" i="3"/>
  <c r="AC69" i="3"/>
  <c r="AM71" i="3"/>
  <c r="V72" i="3"/>
  <c r="R72" i="3"/>
  <c r="AG92" i="3"/>
  <c r="AC47" i="3"/>
  <c r="W89" i="3"/>
  <c r="AM47" i="3"/>
  <c r="W56" i="3"/>
  <c r="AG54" i="3"/>
  <c r="W47" i="3"/>
  <c r="R60" i="3"/>
  <c r="P56" i="3"/>
  <c r="AC91" i="3"/>
  <c r="AM55" i="3"/>
  <c r="V49" i="3"/>
  <c r="V82" i="3"/>
  <c r="AG65" i="3"/>
  <c r="R49" i="3"/>
  <c r="AM75" i="3"/>
  <c r="W94" i="3"/>
  <c r="AC76" i="3"/>
  <c r="AC89" i="3"/>
  <c r="AC88" i="3"/>
  <c r="W88" i="3"/>
  <c r="R74" i="3"/>
  <c r="AM62" i="3"/>
  <c r="V95" i="3"/>
  <c r="W77" i="3"/>
  <c r="AM50" i="3"/>
  <c r="R92" i="3"/>
  <c r="V74" i="3"/>
  <c r="AM85" i="3"/>
  <c r="AC92" i="3"/>
  <c r="P89" i="3"/>
  <c r="AG74" i="3"/>
  <c r="R88" i="3"/>
  <c r="W95" i="3"/>
  <c r="P55" i="3"/>
  <c r="AG61" i="3"/>
  <c r="W71" i="3"/>
  <c r="AC95" i="3"/>
  <c r="R56" i="3"/>
  <c r="V87" i="3"/>
  <c r="V78" i="3"/>
  <c r="W68" i="3"/>
  <c r="P85" i="3"/>
  <c r="W79" i="3"/>
  <c r="AM54" i="3"/>
  <c r="AC74" i="3"/>
  <c r="P84" i="3"/>
  <c r="W84" i="3"/>
  <c r="AC67" i="3"/>
  <c r="R78" i="3"/>
  <c r="AC62" i="3"/>
  <c r="R89" i="3"/>
  <c r="AG84" i="3"/>
  <c r="AM87" i="3"/>
  <c r="AC54" i="3"/>
  <c r="AC82" i="3"/>
  <c r="AC63" i="3"/>
  <c r="V54" i="3"/>
  <c r="AC93" i="3"/>
  <c r="P86" i="3"/>
  <c r="AM93" i="3"/>
  <c r="W72" i="3"/>
  <c r="AC85" i="3"/>
  <c r="W83" i="3"/>
  <c r="AM82" i="3"/>
  <c r="AG77" i="3"/>
  <c r="AM49" i="3"/>
  <c r="AG90" i="3"/>
  <c r="V89" i="3"/>
  <c r="V88" i="3"/>
  <c r="R77" i="3"/>
  <c r="P68" i="3"/>
  <c r="P97" i="3"/>
  <c r="P94" i="3"/>
  <c r="AM61" i="3"/>
  <c r="AM76" i="3"/>
  <c r="AM80" i="3"/>
  <c r="P88" i="3"/>
  <c r="AM67" i="3"/>
  <c r="V63" i="3"/>
  <c r="AG75" i="3"/>
  <c r="W97" i="3"/>
  <c r="AG48" i="3"/>
  <c r="AM63" i="3"/>
  <c r="AM74" i="3"/>
  <c r="R80" i="3"/>
  <c r="AG49" i="3"/>
  <c r="AG85" i="3"/>
  <c r="AG64" i="3"/>
  <c r="AG80" i="3"/>
  <c r="AG59" i="3"/>
  <c r="AG66" i="3"/>
  <c r="AG70" i="3"/>
  <c r="AG63" i="3"/>
  <c r="AG83" i="3"/>
  <c r="AG78" i="3"/>
  <c r="AG91" i="3"/>
  <c r="AG72" i="3"/>
  <c r="AG68" i="3"/>
  <c r="AG69" i="3"/>
  <c r="AG73" i="3"/>
  <c r="AG57" i="3"/>
  <c r="AG82" i="3"/>
  <c r="AG60" i="3"/>
  <c r="AG97" i="3"/>
  <c r="AG67" i="3"/>
  <c r="AG86" i="3"/>
  <c r="AG56" i="3"/>
  <c r="AG79" i="3"/>
  <c r="AG81" i="3"/>
  <c r="AA85" i="3"/>
  <c r="AA97" i="3"/>
  <c r="AA95" i="3"/>
  <c r="AA50" i="3"/>
  <c r="AA82" i="3"/>
  <c r="AA94" i="3"/>
  <c r="AA63" i="3"/>
  <c r="AA49" i="3"/>
  <c r="AA92" i="3"/>
  <c r="AA56" i="3"/>
  <c r="AA84" i="3"/>
  <c r="AA48" i="3"/>
  <c r="AA89" i="3"/>
  <c r="AA65" i="3"/>
  <c r="AA58" i="3"/>
  <c r="AA59" i="3"/>
  <c r="AA86" i="3"/>
  <c r="AA75" i="3"/>
  <c r="AA61" i="3"/>
  <c r="AA93" i="3"/>
  <c r="AE55" i="3"/>
  <c r="AE60" i="3"/>
  <c r="AE54" i="3"/>
  <c r="AE72" i="3"/>
  <c r="AE68" i="3"/>
  <c r="AE89" i="3"/>
  <c r="AE62" i="3"/>
  <c r="AE83" i="3"/>
  <c r="AE59" i="3"/>
  <c r="AE88" i="3"/>
  <c r="AE92" i="3"/>
  <c r="AE63" i="3"/>
  <c r="AE97" i="3"/>
  <c r="AE74" i="3"/>
  <c r="AE91" i="3"/>
  <c r="AE49" i="3"/>
  <c r="AE87" i="3"/>
  <c r="AE96" i="3"/>
  <c r="AE85" i="3"/>
  <c r="AE95" i="3"/>
  <c r="AE70" i="3"/>
  <c r="AE90" i="3"/>
  <c r="AE82" i="3"/>
  <c r="AE65" i="3"/>
  <c r="AE81" i="3"/>
  <c r="AE73" i="3"/>
  <c r="AE67" i="3"/>
  <c r="AE78" i="3"/>
  <c r="AE71" i="3"/>
  <c r="AE76" i="3"/>
  <c r="AE80" i="3"/>
  <c r="AE57" i="3"/>
  <c r="AE69" i="3"/>
  <c r="AE84" i="3"/>
  <c r="AE75" i="3"/>
  <c r="AE77" i="3"/>
  <c r="AE50" i="3"/>
  <c r="AE47" i="3"/>
  <c r="AE64" i="3"/>
  <c r="AE48" i="3"/>
  <c r="AE93" i="3"/>
  <c r="AE61" i="3"/>
  <c r="AE79" i="3"/>
  <c r="AE94" i="3"/>
  <c r="AE56" i="3"/>
  <c r="AE86" i="3"/>
  <c r="AE66" i="3"/>
  <c r="AE58" i="3"/>
  <c r="H156" i="1"/>
  <c r="J171" i="1"/>
  <c r="S157" i="1"/>
  <c r="S192" i="1" s="1"/>
  <c r="BP63" i="1"/>
  <c r="BM25" i="1"/>
  <c r="C76" i="1"/>
  <c r="J144" i="1"/>
  <c r="J145" i="1"/>
  <c r="BJ85" i="1"/>
  <c r="BI36" i="1"/>
  <c r="Q171" i="1"/>
  <c r="AN35" i="1"/>
  <c r="N171" i="1"/>
  <c r="BH171" i="1"/>
  <c r="BB25" i="1"/>
  <c r="BU36" i="1"/>
  <c r="BQ34" i="1"/>
  <c r="O85" i="1"/>
  <c r="BO32" i="1"/>
  <c r="M163" i="1"/>
  <c r="J134" i="1"/>
  <c r="K91" i="1"/>
  <c r="M148" i="1"/>
  <c r="BS63" i="1"/>
  <c r="D137" i="1"/>
  <c r="V145" i="1"/>
  <c r="C79" i="1"/>
  <c r="BK20" i="1"/>
  <c r="R159" i="1"/>
  <c r="BG63" i="1"/>
  <c r="BK26" i="1"/>
  <c r="T131" i="1"/>
  <c r="P137" i="1"/>
  <c r="H131" i="1"/>
  <c r="D165" i="1"/>
  <c r="D195" i="1" s="1"/>
  <c r="BB32" i="1"/>
  <c r="F157" i="1"/>
  <c r="F192" i="1" s="1"/>
  <c r="E131" i="1"/>
  <c r="AN51" i="1"/>
  <c r="Q163" i="1"/>
  <c r="AP47" i="1"/>
  <c r="Q85" i="1"/>
  <c r="BH164" i="1"/>
  <c r="BI164" i="1" s="1"/>
  <c r="I162" i="1"/>
  <c r="BU32" i="1"/>
  <c r="BT34" i="1"/>
  <c r="D76" i="1"/>
  <c r="L145" i="1"/>
  <c r="J165" i="1"/>
  <c r="J195" i="1" s="1"/>
  <c r="T176" i="1"/>
  <c r="R165" i="1"/>
  <c r="R195" i="1" s="1"/>
  <c r="BH176" i="1"/>
  <c r="BI176" i="1" s="1"/>
  <c r="Q148" i="1"/>
  <c r="BQ63" i="1"/>
  <c r="AP44" i="1"/>
  <c r="AP206" i="1" s="1"/>
  <c r="AV58" i="1"/>
  <c r="AI26" i="1"/>
  <c r="AO33" i="1"/>
  <c r="U156" i="1"/>
  <c r="U191" i="1" s="1"/>
  <c r="BH145" i="1"/>
  <c r="P184" i="1"/>
  <c r="V89" i="1"/>
  <c r="S158" i="1"/>
  <c r="O90" i="1"/>
  <c r="BQ47" i="1"/>
  <c r="BV129" i="1"/>
  <c r="BW129" i="1" s="1"/>
  <c r="C137" i="1"/>
  <c r="BE59" i="1"/>
  <c r="BR59" i="1"/>
  <c r="W184" i="1"/>
  <c r="K148" i="1"/>
  <c r="D144" i="1"/>
  <c r="BV156" i="1"/>
  <c r="BV172" i="1"/>
  <c r="BJ51" i="1"/>
  <c r="B154" i="1"/>
  <c r="D131" i="1"/>
  <c r="BP20" i="1"/>
  <c r="BP243" i="1" s="1"/>
  <c r="AU44" i="1"/>
  <c r="AU206" i="1" s="1"/>
  <c r="BP51" i="1"/>
  <c r="BC37" i="1"/>
  <c r="P157" i="1"/>
  <c r="P192" i="1" s="1"/>
  <c r="BW32" i="1"/>
  <c r="BC57" i="1"/>
  <c r="AR32" i="1"/>
  <c r="AT20" i="1"/>
  <c r="BG37" i="1"/>
  <c r="AU57" i="1"/>
  <c r="BU20" i="1"/>
  <c r="AI58" i="1"/>
  <c r="AO34" i="1"/>
  <c r="AW36" i="1"/>
  <c r="AS35" i="1"/>
  <c r="BQ33" i="1"/>
  <c r="BK25" i="1"/>
  <c r="F159" i="1"/>
  <c r="W134" i="1"/>
  <c r="BJ47" i="1"/>
  <c r="BU47" i="1"/>
  <c r="E159" i="1"/>
  <c r="BT33" i="1"/>
  <c r="BV159" i="1"/>
  <c r="BW159" i="1" s="1"/>
  <c r="BB37" i="1"/>
  <c r="AP32" i="1"/>
  <c r="M161" i="1"/>
  <c r="P130" i="1"/>
  <c r="B161" i="1"/>
  <c r="V86" i="1"/>
  <c r="K176" i="1"/>
  <c r="BT37" i="1"/>
  <c r="C161" i="1"/>
  <c r="O144" i="1"/>
  <c r="M90" i="1"/>
  <c r="Q129" i="1"/>
  <c r="AS44" i="1"/>
  <c r="AX47" i="1"/>
  <c r="BA21" i="1"/>
  <c r="O89" i="1"/>
  <c r="F184" i="1"/>
  <c r="M183" i="1"/>
  <c r="AM58" i="1"/>
  <c r="BD44" i="1"/>
  <c r="BD206" i="1" s="1"/>
  <c r="BT51" i="1"/>
  <c r="G148" i="1"/>
  <c r="BH21" i="1"/>
  <c r="Q158" i="1"/>
  <c r="B79" i="1"/>
  <c r="AN21" i="1"/>
  <c r="AS25" i="1"/>
  <c r="AT27" i="1"/>
  <c r="B171" i="1"/>
  <c r="BD63" i="1"/>
  <c r="H137" i="1"/>
  <c r="G184" i="1"/>
  <c r="F137" i="1"/>
  <c r="V79" i="1"/>
  <c r="BI59" i="1"/>
  <c r="BR57" i="1"/>
  <c r="AN48" i="1"/>
  <c r="BF32" i="1"/>
  <c r="E148" i="1"/>
  <c r="AW33" i="1"/>
  <c r="BB51" i="1"/>
  <c r="AY58" i="1"/>
  <c r="O138" i="1"/>
  <c r="O166" i="1" s="1"/>
  <c r="AS26" i="1"/>
  <c r="BO21" i="1"/>
  <c r="BH147" i="1"/>
  <c r="BI147" i="1" s="1"/>
  <c r="G131" i="1"/>
  <c r="AM86" i="1"/>
  <c r="AP37" i="1"/>
  <c r="N136" i="1"/>
  <c r="BO36" i="1"/>
  <c r="BH134" i="1"/>
  <c r="BI134" i="1" s="1"/>
  <c r="Q159" i="1"/>
  <c r="B163" i="1"/>
  <c r="AO20" i="1"/>
  <c r="O149" i="1"/>
  <c r="W176" i="1"/>
  <c r="AR34" i="1"/>
  <c r="C134" i="1"/>
  <c r="L152" i="1"/>
  <c r="BP25" i="1"/>
  <c r="BV167" i="1"/>
  <c r="BW167" i="1" s="1"/>
  <c r="BH167" i="1"/>
  <c r="BI167" i="1" s="1"/>
  <c r="H159" i="1"/>
  <c r="BH143" i="1"/>
  <c r="BC21" i="1"/>
  <c r="T165" i="1"/>
  <c r="T195" i="1" s="1"/>
  <c r="J172" i="1"/>
  <c r="BF47" i="1"/>
  <c r="G79" i="1"/>
  <c r="R129" i="1"/>
  <c r="AX48" i="1"/>
  <c r="BK47" i="1"/>
  <c r="AW59" i="1"/>
  <c r="AQ36" i="1"/>
  <c r="BQ32" i="1"/>
  <c r="U182" i="1"/>
  <c r="T137" i="1"/>
  <c r="H134" i="1"/>
  <c r="BE26" i="1"/>
  <c r="Q149" i="1"/>
  <c r="BT26" i="1"/>
  <c r="O172" i="1"/>
  <c r="S172" i="1"/>
  <c r="F154" i="1"/>
  <c r="AS63" i="1"/>
  <c r="U184" i="1"/>
  <c r="AO47" i="1"/>
  <c r="S90" i="1"/>
  <c r="BE58" i="1"/>
  <c r="BI58" i="1"/>
  <c r="AV51" i="1"/>
  <c r="D149" i="1"/>
  <c r="BN25" i="1"/>
  <c r="M139" i="1"/>
  <c r="AX33" i="1"/>
  <c r="BG32" i="1"/>
  <c r="BK33" i="1"/>
  <c r="AP33" i="1"/>
  <c r="G137" i="1"/>
  <c r="P147" i="1"/>
  <c r="P143" i="1" s="1"/>
  <c r="AR44" i="1"/>
  <c r="AR206" i="1" s="1"/>
  <c r="B176" i="1"/>
  <c r="T183" i="1"/>
  <c r="Q162" i="1"/>
  <c r="BM37" i="1"/>
  <c r="P149" i="1"/>
  <c r="L91" i="1"/>
  <c r="W137" i="1"/>
  <c r="BV44" i="1"/>
  <c r="BV206" i="1" s="1"/>
  <c r="G154" i="1"/>
  <c r="BP21" i="1"/>
  <c r="BJ48" i="1"/>
  <c r="BJ264" i="1" s="1"/>
  <c r="BU25" i="1"/>
  <c r="I131" i="1"/>
  <c r="U155" i="1"/>
  <c r="C171" i="1"/>
  <c r="U79" i="1"/>
  <c r="L137" i="1"/>
  <c r="S155" i="1"/>
  <c r="BV51" i="1"/>
  <c r="BA37" i="1"/>
  <c r="B167" i="1"/>
  <c r="BM47" i="1"/>
  <c r="BD27" i="1"/>
  <c r="T182" i="1"/>
  <c r="BR44" i="1"/>
  <c r="BH155" i="1"/>
  <c r="BI155" i="1" s="1"/>
  <c r="F86" i="1"/>
  <c r="BC25" i="1"/>
  <c r="AX37" i="1"/>
  <c r="BM33" i="1"/>
  <c r="AV59" i="1"/>
  <c r="H129" i="1"/>
  <c r="J129" i="1"/>
  <c r="H145" i="1"/>
  <c r="C156" i="1"/>
  <c r="C191" i="1" s="1"/>
  <c r="D145" i="1"/>
  <c r="BC51" i="1"/>
  <c r="C130" i="1"/>
  <c r="F163" i="1"/>
  <c r="BR51" i="1"/>
  <c r="W136" i="1"/>
  <c r="AI37" i="1"/>
  <c r="BQ58" i="1"/>
  <c r="BR27" i="1"/>
  <c r="BH44" i="1"/>
  <c r="BH206" i="1" s="1"/>
  <c r="E137" i="1"/>
  <c r="BK44" i="1"/>
  <c r="BK265" i="1" s="1"/>
  <c r="AN59" i="1"/>
  <c r="N148" i="1"/>
  <c r="U136" i="1"/>
  <c r="AT47" i="1"/>
  <c r="BH25" i="1"/>
  <c r="BT35" i="1"/>
  <c r="BR37" i="1"/>
  <c r="P79" i="1"/>
  <c r="AJ86" i="1"/>
  <c r="BT57" i="1"/>
  <c r="P183" i="1"/>
  <c r="C131" i="1"/>
  <c r="BV165" i="1"/>
  <c r="BH86" i="1"/>
  <c r="AZ26" i="1"/>
  <c r="BH63" i="1"/>
  <c r="AU35" i="1"/>
  <c r="BH166" i="1"/>
  <c r="BI166" i="1" s="1"/>
  <c r="C148" i="1"/>
  <c r="G152" i="1"/>
  <c r="BF21" i="1"/>
  <c r="AN20" i="1"/>
  <c r="AN110" i="1" s="1"/>
  <c r="AN111" i="1" s="1"/>
  <c r="BH36" i="1"/>
  <c r="AP57" i="1"/>
  <c r="BF27" i="1"/>
  <c r="M182" i="1"/>
  <c r="U165" i="1"/>
  <c r="U195" i="1" s="1"/>
  <c r="I130" i="1"/>
  <c r="Q154" i="1"/>
  <c r="K182" i="1"/>
  <c r="F134" i="1"/>
  <c r="P91" i="1"/>
  <c r="O145" i="1"/>
  <c r="K136" i="1"/>
  <c r="T175" i="1"/>
  <c r="B159" i="1"/>
  <c r="C91" i="1"/>
  <c r="BG20" i="1"/>
  <c r="AX27" i="1"/>
  <c r="BB33" i="1"/>
  <c r="BF35" i="1"/>
  <c r="U137" i="1"/>
  <c r="AQ20" i="1"/>
  <c r="AQ243" i="1" s="1"/>
  <c r="G176" i="1"/>
  <c r="L136" i="1"/>
  <c r="BD20" i="1"/>
  <c r="R149" i="1"/>
  <c r="Q183" i="1"/>
  <c r="BN48" i="1"/>
  <c r="G156" i="1"/>
  <c r="G191" i="1" s="1"/>
  <c r="BJ58" i="1"/>
  <c r="S175" i="1"/>
  <c r="AO48" i="1"/>
  <c r="AI36" i="1"/>
  <c r="BJ34" i="1"/>
  <c r="BJ38" i="1" s="1"/>
  <c r="BS36" i="1"/>
  <c r="D162" i="1"/>
  <c r="AN33" i="1"/>
  <c r="V129" i="1"/>
  <c r="BV34" i="1"/>
  <c r="F156" i="1"/>
  <c r="F191" i="1" s="1"/>
  <c r="K149" i="1"/>
  <c r="E129" i="1"/>
  <c r="AZ57" i="1"/>
  <c r="P148" i="1"/>
  <c r="B139" i="1"/>
  <c r="BV26" i="1"/>
  <c r="BH32" i="1"/>
  <c r="AZ48" i="1"/>
  <c r="W182" i="1"/>
  <c r="C159" i="1"/>
  <c r="Q184" i="1"/>
  <c r="BC58" i="1"/>
  <c r="W175" i="1"/>
  <c r="M130" i="1"/>
  <c r="BO48" i="1"/>
  <c r="AY36" i="1"/>
  <c r="D79" i="1"/>
  <c r="N156" i="1"/>
  <c r="N191" i="1" s="1"/>
  <c r="AS37" i="1"/>
  <c r="AU51" i="1"/>
  <c r="Q131" i="1"/>
  <c r="U148" i="1"/>
  <c r="P156" i="1"/>
  <c r="P191" i="1" s="1"/>
  <c r="B157" i="1"/>
  <c r="B192" i="1" s="1"/>
  <c r="AP27" i="1"/>
  <c r="AP58" i="1"/>
  <c r="W86" i="1"/>
  <c r="AQ48" i="1"/>
  <c r="H155" i="1"/>
  <c r="T156" i="1"/>
  <c r="T191" i="1" s="1"/>
  <c r="O182" i="1"/>
  <c r="N152" i="1"/>
  <c r="T149" i="1"/>
  <c r="V136" i="1"/>
  <c r="AX63" i="1"/>
  <c r="E134" i="1"/>
  <c r="T89" i="1"/>
  <c r="T138" i="1"/>
  <c r="T166" i="1" s="1"/>
  <c r="J149" i="1"/>
  <c r="N183" i="1"/>
  <c r="K138" i="1"/>
  <c r="K166" i="1" s="1"/>
  <c r="AZ51" i="1"/>
  <c r="BW58" i="1"/>
  <c r="D89" i="1"/>
  <c r="P163" i="1"/>
  <c r="AS33" i="1"/>
  <c r="M157" i="1"/>
  <c r="M192" i="1" s="1"/>
  <c r="R184" i="1"/>
  <c r="BM20" i="1"/>
  <c r="M129" i="1"/>
  <c r="G182" i="1"/>
  <c r="BW44" i="1"/>
  <c r="BW206" i="1" s="1"/>
  <c r="R79" i="1"/>
  <c r="BV37" i="1"/>
  <c r="R182" i="1"/>
  <c r="BH175" i="1"/>
  <c r="BI175" i="1" s="1"/>
  <c r="R134" i="1"/>
  <c r="J162" i="1"/>
  <c r="BR36" i="1"/>
  <c r="P144" i="1"/>
  <c r="R158" i="1"/>
  <c r="BW26" i="1"/>
  <c r="BQ48" i="1"/>
  <c r="AX32" i="1"/>
  <c r="F149" i="1"/>
  <c r="J159" i="1"/>
  <c r="AT57" i="1"/>
  <c r="AZ36" i="1"/>
  <c r="BM32" i="1"/>
  <c r="BF34" i="1"/>
  <c r="BP48" i="1"/>
  <c r="W165" i="1"/>
  <c r="AK86" i="1"/>
  <c r="D152" i="1"/>
  <c r="L86" i="1"/>
  <c r="I138" i="1"/>
  <c r="I166" i="1" s="1"/>
  <c r="BJ63" i="1"/>
  <c r="AV35" i="1"/>
  <c r="AQ63" i="1"/>
  <c r="S167" i="1"/>
  <c r="BI51" i="1"/>
  <c r="AX58" i="1"/>
  <c r="B144" i="1"/>
  <c r="AI47" i="1"/>
  <c r="AZ21" i="1"/>
  <c r="BN21" i="1"/>
  <c r="BK35" i="1"/>
  <c r="BW37" i="1"/>
  <c r="BB26" i="1"/>
  <c r="BH138" i="1"/>
  <c r="BI138" i="1" s="1"/>
  <c r="BU58" i="1"/>
  <c r="AQ34" i="1"/>
  <c r="L172" i="1"/>
  <c r="V91" i="1"/>
  <c r="BA57" i="1"/>
  <c r="BF20" i="1"/>
  <c r="N137" i="1"/>
  <c r="BU33" i="1"/>
  <c r="AO21" i="1"/>
  <c r="P138" i="1"/>
  <c r="P166" i="1" s="1"/>
  <c r="U161" i="1"/>
  <c r="AW20" i="1"/>
  <c r="M89" i="1"/>
  <c r="V137" i="1"/>
  <c r="BP33" i="1"/>
  <c r="T152" i="1"/>
  <c r="O167" i="1"/>
  <c r="BA25" i="1"/>
  <c r="BT63" i="1"/>
  <c r="C154" i="1"/>
  <c r="Q176" i="1"/>
  <c r="T155" i="1"/>
  <c r="B175" i="1"/>
  <c r="H183" i="1"/>
  <c r="AS48" i="1"/>
  <c r="H167" i="1"/>
  <c r="B155" i="1"/>
  <c r="H79" i="1"/>
  <c r="BO59" i="1"/>
  <c r="AQ51" i="1"/>
  <c r="V152" i="1"/>
  <c r="BV176" i="1"/>
  <c r="BW176" i="1" s="1"/>
  <c r="V175" i="1"/>
  <c r="AT37" i="1"/>
  <c r="BH139" i="1"/>
  <c r="BI139" i="1" s="1"/>
  <c r="BV144" i="1"/>
  <c r="V131" i="1"/>
  <c r="S145" i="1"/>
  <c r="R91" i="1"/>
  <c r="AI51" i="1"/>
  <c r="L134" i="1"/>
  <c r="R162" i="1"/>
  <c r="BF25" i="1"/>
  <c r="P129" i="1"/>
  <c r="V139" i="1"/>
  <c r="BV147" i="1"/>
  <c r="BW147" i="1" s="1"/>
  <c r="BA27" i="1"/>
  <c r="E157" i="1"/>
  <c r="E192" i="1" s="1"/>
  <c r="BD21" i="1"/>
  <c r="BD32" i="1"/>
  <c r="E163" i="1"/>
  <c r="AI32" i="1"/>
  <c r="BQ44" i="1"/>
  <c r="BQ206" i="1" s="1"/>
  <c r="BI20" i="1"/>
  <c r="BI243" i="1" s="1"/>
  <c r="I91" i="1"/>
  <c r="B75" i="1"/>
  <c r="S184" i="1"/>
  <c r="E86" i="1"/>
  <c r="BJ21" i="1"/>
  <c r="BJ22" i="1" s="1"/>
  <c r="BJ28" i="1" s="1"/>
  <c r="BW51" i="1"/>
  <c r="B134" i="1"/>
  <c r="BR35" i="1"/>
  <c r="K172" i="1"/>
  <c r="E130" i="1"/>
  <c r="BI25" i="1"/>
  <c r="BT48" i="1"/>
  <c r="BT264" i="1" s="1"/>
  <c r="O163" i="1"/>
  <c r="BN57" i="1"/>
  <c r="BM63" i="1"/>
  <c r="C183" i="1"/>
  <c r="BQ51" i="1"/>
  <c r="I184" i="1"/>
  <c r="BP44" i="1"/>
  <c r="R152" i="1"/>
  <c r="AU26" i="1"/>
  <c r="U171" i="1"/>
  <c r="AI44" i="1"/>
  <c r="AI206" i="1" s="1"/>
  <c r="BJ59" i="1"/>
  <c r="BI34" i="1"/>
  <c r="BE27" i="1"/>
  <c r="L154" i="1"/>
  <c r="BQ20" i="1"/>
  <c r="D175" i="1"/>
  <c r="L175" i="1"/>
  <c r="AW21" i="1"/>
  <c r="M137" i="1"/>
  <c r="G86" i="1"/>
  <c r="BV163" i="1"/>
  <c r="BW163" i="1" s="1"/>
  <c r="H162" i="1"/>
  <c r="P182" i="1"/>
  <c r="BO27" i="1"/>
  <c r="G183" i="1"/>
  <c r="AZ33" i="1"/>
  <c r="S176" i="1"/>
  <c r="R144" i="1"/>
  <c r="O91" i="1"/>
  <c r="I161" i="1"/>
  <c r="W89" i="1"/>
  <c r="Q136" i="1"/>
  <c r="AT25" i="1"/>
  <c r="S147" i="1"/>
  <c r="S143" i="1" s="1"/>
  <c r="S156" i="1"/>
  <c r="S191" i="1" s="1"/>
  <c r="K79" i="1"/>
  <c r="AN27" i="1"/>
  <c r="AI25" i="1"/>
  <c r="T157" i="1"/>
  <c r="T192" i="1" s="1"/>
  <c r="BG36" i="1"/>
  <c r="BH85" i="1"/>
  <c r="BT59" i="1"/>
  <c r="H86" i="1"/>
  <c r="W154" i="1"/>
  <c r="L165" i="1"/>
  <c r="L195" i="1" s="1"/>
  <c r="K159" i="1"/>
  <c r="K147" i="1"/>
  <c r="K143" i="1" s="1"/>
  <c r="BA48" i="1"/>
  <c r="BH136" i="1"/>
  <c r="U167" i="1"/>
  <c r="BC33" i="1"/>
  <c r="BV20" i="1"/>
  <c r="J130" i="1"/>
  <c r="BI32" i="1"/>
  <c r="M154" i="1"/>
  <c r="BO33" i="1"/>
  <c r="AN25" i="1"/>
  <c r="M175" i="1"/>
  <c r="BV85" i="1"/>
  <c r="I176" i="1"/>
  <c r="G172" i="1"/>
  <c r="BF26" i="1"/>
  <c r="BV33" i="1"/>
  <c r="S171" i="1"/>
  <c r="BF51" i="1"/>
  <c r="L148" i="1"/>
  <c r="AU58" i="1"/>
  <c r="B76" i="1"/>
  <c r="M134" i="1"/>
  <c r="H136" i="1"/>
  <c r="BV157" i="1"/>
  <c r="BV192" i="1" s="1"/>
  <c r="BW192" i="1" s="1"/>
  <c r="AR25" i="1"/>
  <c r="B147" i="1"/>
  <c r="S149" i="1"/>
  <c r="D91" i="1"/>
  <c r="AW47" i="1"/>
  <c r="W152" i="1"/>
  <c r="X214" i="1" s="1"/>
  <c r="BF57" i="1"/>
  <c r="V162" i="1"/>
  <c r="BH58" i="1"/>
  <c r="AS20" i="1"/>
  <c r="AS243" i="1" s="1"/>
  <c r="BE48" i="1"/>
  <c r="E165" i="1"/>
  <c r="E195" i="1" s="1"/>
  <c r="E79" i="1"/>
  <c r="AR63" i="1"/>
  <c r="J155" i="1"/>
  <c r="AP51" i="1"/>
  <c r="AS47" i="1"/>
  <c r="AU59" i="1"/>
  <c r="I172" i="1"/>
  <c r="AN63" i="1"/>
  <c r="M162" i="1"/>
  <c r="AU27" i="1"/>
  <c r="S131" i="1"/>
  <c r="BN36" i="1"/>
  <c r="L149" i="1"/>
  <c r="BP34" i="1"/>
  <c r="S139" i="1"/>
  <c r="T130" i="1"/>
  <c r="AZ27" i="1"/>
  <c r="F90" i="1"/>
  <c r="BR32" i="1"/>
  <c r="Q91" i="1"/>
  <c r="S182" i="1"/>
  <c r="AY25" i="1"/>
  <c r="D158" i="1"/>
  <c r="F158" i="1"/>
  <c r="C75" i="1"/>
  <c r="H175" i="1"/>
  <c r="BC59" i="1"/>
  <c r="G171" i="1"/>
  <c r="U89" i="1"/>
  <c r="R138" i="1"/>
  <c r="R166" i="1" s="1"/>
  <c r="T161" i="1"/>
  <c r="BV166" i="1"/>
  <c r="BW166" i="1" s="1"/>
  <c r="L156" i="1"/>
  <c r="L191" i="1" s="1"/>
  <c r="O171" i="1"/>
  <c r="O173" i="1" s="1"/>
  <c r="M159" i="1"/>
  <c r="BB47" i="1"/>
  <c r="AY34" i="1"/>
  <c r="L184" i="1"/>
  <c r="S183" i="1"/>
  <c r="BH130" i="1"/>
  <c r="BI130" i="1" s="1"/>
  <c r="C90" i="1"/>
  <c r="Q130" i="1"/>
  <c r="C149" i="1"/>
  <c r="AQ44" i="1"/>
  <c r="AM63" i="1"/>
  <c r="R155" i="1"/>
  <c r="G138" i="1"/>
  <c r="G166" i="1" s="1"/>
  <c r="D167" i="1"/>
  <c r="F139" i="1"/>
  <c r="U138" i="1"/>
  <c r="U166" i="1" s="1"/>
  <c r="AP21" i="1"/>
  <c r="BK57" i="1"/>
  <c r="I149" i="1"/>
  <c r="BP57" i="1"/>
  <c r="BH35" i="1"/>
  <c r="B183" i="1"/>
  <c r="V172" i="1"/>
  <c r="AN58" i="1"/>
  <c r="B149" i="1"/>
  <c r="BP35" i="1"/>
  <c r="BW33" i="1"/>
  <c r="C157" i="1"/>
  <c r="C192" i="1" s="1"/>
  <c r="M79" i="1"/>
  <c r="K175" i="1"/>
  <c r="N91" i="1"/>
  <c r="AI57" i="1"/>
  <c r="AZ35" i="1"/>
  <c r="R156" i="1"/>
  <c r="R191" i="1" s="1"/>
  <c r="BH172" i="1"/>
  <c r="BG25" i="1"/>
  <c r="B158" i="1"/>
  <c r="G134" i="1"/>
  <c r="W145" i="1"/>
  <c r="AY37" i="1"/>
  <c r="BM36" i="1"/>
  <c r="G158" i="1"/>
  <c r="BG48" i="1"/>
  <c r="R154" i="1"/>
  <c r="U149" i="1"/>
  <c r="L176" i="1"/>
  <c r="H149" i="1"/>
  <c r="B165" i="1"/>
  <c r="B195" i="1" s="1"/>
  <c r="AU48" i="1"/>
  <c r="BS34" i="1"/>
  <c r="O161" i="1"/>
  <c r="BV59" i="1"/>
  <c r="BD33" i="1"/>
  <c r="BH162" i="1"/>
  <c r="BI162" i="1" s="1"/>
  <c r="E90" i="1"/>
  <c r="F89" i="1"/>
  <c r="BU59" i="1"/>
  <c r="AP25" i="1"/>
  <c r="BV136" i="1"/>
  <c r="BW136" i="1" s="1"/>
  <c r="BO26" i="1"/>
  <c r="AU37" i="1"/>
  <c r="S134" i="1"/>
  <c r="W167" i="1"/>
  <c r="J148" i="1"/>
  <c r="Q156" i="1"/>
  <c r="Q191" i="1" s="1"/>
  <c r="I129" i="1"/>
  <c r="H184" i="1"/>
  <c r="M136" i="1"/>
  <c r="BQ36" i="1"/>
  <c r="AO35" i="1"/>
  <c r="E161" i="1"/>
  <c r="C184" i="1"/>
  <c r="AO63" i="1"/>
  <c r="BW34" i="1"/>
  <c r="BH157" i="1"/>
  <c r="R136" i="1"/>
  <c r="AP59" i="1"/>
  <c r="D176" i="1"/>
  <c r="AW32" i="1"/>
  <c r="AY57" i="1"/>
  <c r="M165" i="1"/>
  <c r="M195" i="1" s="1"/>
  <c r="J79" i="1"/>
  <c r="F155" i="1"/>
  <c r="AS21" i="1"/>
  <c r="AZ44" i="1"/>
  <c r="F175" i="1"/>
  <c r="Q182" i="1"/>
  <c r="BH163" i="1"/>
  <c r="BI163" i="1" s="1"/>
  <c r="AN47" i="1"/>
  <c r="BD34" i="1"/>
  <c r="BA36" i="1"/>
  <c r="BE33" i="1"/>
  <c r="AI48" i="1"/>
  <c r="BO34" i="1"/>
  <c r="BT32" i="1"/>
  <c r="AO26" i="1"/>
  <c r="K144" i="1"/>
  <c r="BS57" i="1"/>
  <c r="W171" i="1"/>
  <c r="BS35" i="1"/>
  <c r="L139" i="1"/>
  <c r="AO51" i="1"/>
  <c r="BQ27" i="1"/>
  <c r="F176" i="1"/>
  <c r="BG27" i="1"/>
  <c r="D90" i="1"/>
  <c r="E145" i="1"/>
  <c r="BH34" i="1"/>
  <c r="J175" i="1"/>
  <c r="BH57" i="1"/>
  <c r="M149" i="1"/>
  <c r="BE20" i="1"/>
  <c r="BE243" i="1" s="1"/>
  <c r="W158" i="1"/>
  <c r="P131" i="1"/>
  <c r="BJ44" i="1"/>
  <c r="AX44" i="1"/>
  <c r="AX206" i="1" s="1"/>
  <c r="BG51" i="1"/>
  <c r="V182" i="1"/>
  <c r="BV171" i="1"/>
  <c r="BV173" i="1" s="1"/>
  <c r="BW221" i="1" s="1"/>
  <c r="H130" i="1"/>
  <c r="D148" i="1"/>
  <c r="G157" i="1"/>
  <c r="G192" i="1" s="1"/>
  <c r="O79" i="1"/>
  <c r="AO58" i="1"/>
  <c r="AS36" i="1"/>
  <c r="V165" i="1"/>
  <c r="V195" i="1" s="1"/>
  <c r="V159" i="1"/>
  <c r="BO44" i="1"/>
  <c r="BO206" i="1" s="1"/>
  <c r="N144" i="1"/>
  <c r="P171" i="1"/>
  <c r="P173" i="1" s="1"/>
  <c r="Q221" i="1" s="1"/>
  <c r="N157" i="1"/>
  <c r="N192" i="1" s="1"/>
  <c r="BH48" i="1"/>
  <c r="D139" i="1"/>
  <c r="E162" i="1"/>
  <c r="AP48" i="1"/>
  <c r="R183" i="1"/>
  <c r="U144" i="1"/>
  <c r="P176" i="1"/>
  <c r="BV86" i="1"/>
  <c r="L161" i="1"/>
  <c r="BC35" i="1"/>
  <c r="E89" i="1"/>
  <c r="AR48" i="1"/>
  <c r="V134" i="1"/>
  <c r="BS59" i="1"/>
  <c r="AQ59" i="1"/>
  <c r="BR21" i="1"/>
  <c r="AZ32" i="1"/>
  <c r="P86" i="1"/>
  <c r="W91" i="1"/>
  <c r="C144" i="1"/>
  <c r="BS47" i="1"/>
  <c r="O129" i="1"/>
  <c r="P158" i="1"/>
  <c r="D182" i="1"/>
  <c r="BF33" i="1"/>
  <c r="P159" i="1"/>
  <c r="AO36" i="1"/>
  <c r="G91" i="1"/>
  <c r="B137" i="1"/>
  <c r="I148" i="1"/>
  <c r="AT35" i="1"/>
  <c r="I158" i="1"/>
  <c r="BG34" i="1"/>
  <c r="BD25" i="1"/>
  <c r="G163" i="1"/>
  <c r="BE44" i="1"/>
  <c r="BE206" i="1" s="1"/>
  <c r="N163" i="1"/>
  <c r="D184" i="1"/>
  <c r="I156" i="1"/>
  <c r="I191" i="1" s="1"/>
  <c r="BD57" i="1"/>
  <c r="G130" i="1"/>
  <c r="L85" i="1"/>
  <c r="K90" i="1"/>
  <c r="BA63" i="1"/>
  <c r="BG44" i="1"/>
  <c r="BG206" i="1" s="1"/>
  <c r="S89" i="1"/>
  <c r="T154" i="1"/>
  <c r="N184" i="1"/>
  <c r="I165" i="1"/>
  <c r="I195" i="1" s="1"/>
  <c r="BC36" i="1"/>
  <c r="BE25" i="1"/>
  <c r="BN35" i="1"/>
  <c r="O165" i="1"/>
  <c r="O195" i="1" s="1"/>
  <c r="S91" i="1"/>
  <c r="AM59" i="1"/>
  <c r="J138" i="1"/>
  <c r="J166" i="1" s="1"/>
  <c r="BO35" i="1"/>
  <c r="BB20" i="1"/>
  <c r="BB243" i="1" s="1"/>
  <c r="BR48" i="1"/>
  <c r="AX51" i="1"/>
  <c r="L182" i="1"/>
  <c r="W159" i="1"/>
  <c r="O137" i="1"/>
  <c r="AV25" i="1"/>
  <c r="F144" i="1"/>
  <c r="BC48" i="1"/>
  <c r="R176" i="1"/>
  <c r="BJ86" i="1"/>
  <c r="P136" i="1"/>
  <c r="AR26" i="1"/>
  <c r="V156" i="1"/>
  <c r="V191" i="1" s="1"/>
  <c r="H172" i="1"/>
  <c r="D163" i="1"/>
  <c r="BV57" i="1"/>
  <c r="BJ57" i="1"/>
  <c r="N149" i="1"/>
  <c r="BV145" i="1"/>
  <c r="C155" i="1"/>
  <c r="Q138" i="1"/>
  <c r="Q166" i="1" s="1"/>
  <c r="BC63" i="1"/>
  <c r="AU34" i="1"/>
  <c r="BM35" i="1"/>
  <c r="AS34" i="1"/>
  <c r="S130" i="1"/>
  <c r="O176" i="1"/>
  <c r="G144" i="1"/>
  <c r="BF58" i="1"/>
  <c r="H158" i="1"/>
  <c r="AS51" i="1"/>
  <c r="T162" i="1"/>
  <c r="BE21" i="1"/>
  <c r="BA47" i="1"/>
  <c r="BI63" i="1"/>
  <c r="BB44" i="1"/>
  <c r="BB206" i="1" s="1"/>
  <c r="BF63" i="1"/>
  <c r="AR33" i="1"/>
  <c r="AT33" i="1"/>
  <c r="L183" i="1"/>
  <c r="BW25" i="1"/>
  <c r="BE37" i="1"/>
  <c r="S154" i="1"/>
  <c r="N79" i="1"/>
  <c r="V130" i="1"/>
  <c r="R172" i="1"/>
  <c r="AV32" i="1"/>
  <c r="T85" i="1"/>
  <c r="AY27" i="1"/>
  <c r="E172" i="1"/>
  <c r="E173" i="1" s="1"/>
  <c r="F221" i="1" s="1"/>
  <c r="K152" i="1"/>
  <c r="BM26" i="1"/>
  <c r="BD26" i="1"/>
  <c r="BH149" i="1"/>
  <c r="BI149" i="1" s="1"/>
  <c r="BK27" i="1"/>
  <c r="H144" i="1"/>
  <c r="AU33" i="1"/>
  <c r="F148" i="1"/>
  <c r="BD35" i="1"/>
  <c r="N162" i="1"/>
  <c r="S159" i="1"/>
  <c r="M131" i="1"/>
  <c r="AR20" i="1"/>
  <c r="AR243" i="1" s="1"/>
  <c r="L129" i="1"/>
  <c r="AZ25" i="1"/>
  <c r="AN32" i="1"/>
  <c r="R161" i="1"/>
  <c r="BP37" i="1"/>
  <c r="AQ21" i="1"/>
  <c r="J86" i="1"/>
  <c r="H163" i="1"/>
  <c r="AP36" i="1"/>
  <c r="K184" i="1"/>
  <c r="K163" i="1"/>
  <c r="AT44" i="1"/>
  <c r="AT206" i="1" s="1"/>
  <c r="J183" i="1"/>
  <c r="P155" i="1"/>
  <c r="BB48" i="1"/>
  <c r="F167" i="1"/>
  <c r="BH165" i="1"/>
  <c r="BG21" i="1"/>
  <c r="BG58" i="1"/>
  <c r="BV27" i="1"/>
  <c r="F171" i="1"/>
  <c r="BV175" i="1"/>
  <c r="BW175" i="1" s="1"/>
  <c r="U139" i="1"/>
  <c r="C152" i="1"/>
  <c r="D214" i="1" s="1"/>
  <c r="P145" i="1"/>
  <c r="F145" i="1"/>
  <c r="V147" i="1"/>
  <c r="V143" i="1" s="1"/>
  <c r="U134" i="1"/>
  <c r="V155" i="1"/>
  <c r="BR63" i="1"/>
  <c r="M138" i="1"/>
  <c r="D85" i="1"/>
  <c r="BV139" i="1"/>
  <c r="BW139" i="1" s="1"/>
  <c r="BB27" i="1"/>
  <c r="BO57" i="1"/>
  <c r="AW51" i="1"/>
  <c r="AT59" i="1"/>
  <c r="BN33" i="1"/>
  <c r="W155" i="1"/>
  <c r="T139" i="1"/>
  <c r="BI44" i="1"/>
  <c r="U131" i="1"/>
  <c r="C162" i="1"/>
  <c r="H161" i="1"/>
  <c r="B90" i="1"/>
  <c r="E136" i="1"/>
  <c r="I152" i="1"/>
  <c r="AV63" i="1"/>
  <c r="BH161" i="1"/>
  <c r="BI161" i="1" s="1"/>
  <c r="BV143" i="1"/>
  <c r="BV146" i="1" s="1"/>
  <c r="V183" i="1"/>
  <c r="BA34" i="1"/>
  <c r="I167" i="1"/>
  <c r="V161" i="1"/>
  <c r="M86" i="1"/>
  <c r="BI37" i="1"/>
  <c r="T163" i="1"/>
  <c r="AT34" i="1"/>
  <c r="R148" i="1"/>
  <c r="U85" i="1"/>
  <c r="N85" i="1"/>
  <c r="AQ47" i="1"/>
  <c r="R130" i="1"/>
  <c r="G90" i="1"/>
  <c r="R147" i="1"/>
  <c r="R143" i="1" s="1"/>
  <c r="E152" i="1"/>
  <c r="BK21" i="1"/>
  <c r="N89" i="1"/>
  <c r="Q175" i="1"/>
  <c r="BM48" i="1"/>
  <c r="AM57" i="1"/>
  <c r="AM60" i="1" s="1"/>
  <c r="BK59" i="1"/>
  <c r="BH20" i="1"/>
  <c r="BH243" i="1" s="1"/>
  <c r="BA26" i="1"/>
  <c r="E144" i="1"/>
  <c r="I183" i="1"/>
  <c r="I182" i="1"/>
  <c r="BS26" i="1"/>
  <c r="B138" i="1"/>
  <c r="B166" i="1" s="1"/>
  <c r="R145" i="1"/>
  <c r="BK63" i="1"/>
  <c r="BH159" i="1"/>
  <c r="BI159" i="1" s="1"/>
  <c r="BW48" i="1"/>
  <c r="BU37" i="1"/>
  <c r="D136" i="1"/>
  <c r="P90" i="1"/>
  <c r="AU20" i="1"/>
  <c r="N159" i="1"/>
  <c r="BC34" i="1"/>
  <c r="AR21" i="1"/>
  <c r="AY35" i="1"/>
  <c r="AX25" i="1"/>
  <c r="D183" i="1"/>
  <c r="C182" i="1"/>
  <c r="AN26" i="1"/>
  <c r="BR58" i="1"/>
  <c r="BH59" i="1"/>
  <c r="F91" i="1"/>
  <c r="AT51" i="1"/>
  <c r="L90" i="1"/>
  <c r="O148" i="1"/>
  <c r="BB21" i="1"/>
  <c r="O136" i="1"/>
  <c r="BU35" i="1"/>
  <c r="U159" i="1"/>
  <c r="L162" i="1"/>
  <c r="F79" i="1"/>
  <c r="J154" i="1"/>
  <c r="K157" i="1"/>
  <c r="K192" i="1" s="1"/>
  <c r="E85" i="1"/>
  <c r="W162" i="1"/>
  <c r="J89" i="1"/>
  <c r="P161" i="1"/>
  <c r="W156" i="1"/>
  <c r="BF37" i="1"/>
  <c r="BS25" i="1"/>
  <c r="N155" i="1"/>
  <c r="G149" i="1"/>
  <c r="BV138" i="1"/>
  <c r="BW138" i="1" s="1"/>
  <c r="T147" i="1"/>
  <c r="T143" i="1" s="1"/>
  <c r="BM44" i="1"/>
  <c r="BM215" i="1" s="1"/>
  <c r="BM213" i="1" s="1"/>
  <c r="BK36" i="1"/>
  <c r="G155" i="1"/>
  <c r="N158" i="1"/>
  <c r="BU44" i="1"/>
  <c r="H171" i="1"/>
  <c r="S129" i="1"/>
  <c r="K158" i="1"/>
  <c r="N154" i="1"/>
  <c r="AX57" i="1"/>
  <c r="AY32" i="1"/>
  <c r="R86" i="1"/>
  <c r="S152" i="1"/>
  <c r="T214" i="1" s="1"/>
  <c r="AR58" i="1"/>
  <c r="D129" i="1"/>
  <c r="F182" i="1"/>
  <c r="BO58" i="1"/>
  <c r="S162" i="1"/>
  <c r="BR26" i="1"/>
  <c r="BU27" i="1"/>
  <c r="BU21" i="1"/>
  <c r="BU22" i="1" s="1"/>
  <c r="BD51" i="1"/>
  <c r="U152" i="1"/>
  <c r="V214" i="1" s="1"/>
  <c r="BA44" i="1"/>
  <c r="BA265" i="1" s="1"/>
  <c r="BP59" i="1"/>
  <c r="AR27" i="1"/>
  <c r="BV48" i="1"/>
  <c r="AY44" i="1"/>
  <c r="AY206" i="1" s="1"/>
  <c r="BS37" i="1"/>
  <c r="BA59" i="1"/>
  <c r="BI57" i="1"/>
  <c r="W157" i="1"/>
  <c r="BO37" i="1"/>
  <c r="T145" i="1"/>
  <c r="U175" i="1"/>
  <c r="BS32" i="1"/>
  <c r="V171" i="1"/>
  <c r="BV162" i="1"/>
  <c r="BW162" i="1" s="1"/>
  <c r="Q145" i="1"/>
  <c r="BV161" i="1"/>
  <c r="BW161" i="1" s="1"/>
  <c r="W79" i="1"/>
  <c r="BH47" i="1"/>
  <c r="R131" i="1"/>
  <c r="D157" i="1"/>
  <c r="D192" i="1" s="1"/>
  <c r="K162" i="1"/>
  <c r="AP35" i="1"/>
  <c r="BV152" i="1"/>
  <c r="BW152" i="1" s="1"/>
  <c r="BX214" i="1" s="1"/>
  <c r="BP27" i="1"/>
  <c r="D130" i="1"/>
  <c r="BP47" i="1"/>
  <c r="Q161" i="1"/>
  <c r="M167" i="1"/>
  <c r="C85" i="1"/>
  <c r="M155" i="1"/>
  <c r="BE36" i="1"/>
  <c r="K154" i="1"/>
  <c r="AX35" i="1"/>
  <c r="BI48" i="1"/>
  <c r="AI63" i="1"/>
  <c r="BH144" i="1"/>
  <c r="B130" i="1"/>
  <c r="M85" i="1"/>
  <c r="BM27" i="1"/>
  <c r="Q134" i="1"/>
  <c r="AW35" i="1"/>
  <c r="AI35" i="1"/>
  <c r="BB36" i="1"/>
  <c r="AY51" i="1"/>
  <c r="BV154" i="1"/>
  <c r="BW154" i="1" s="1"/>
  <c r="I163" i="1"/>
  <c r="K139" i="1"/>
  <c r="P175" i="1"/>
  <c r="BV158" i="1"/>
  <c r="BW158" i="1" s="1"/>
  <c r="I159" i="1"/>
  <c r="B162" i="1"/>
  <c r="M144" i="1"/>
  <c r="E155" i="1"/>
  <c r="AT26" i="1"/>
  <c r="J91" i="1"/>
  <c r="BH27" i="1"/>
  <c r="AQ25" i="1"/>
  <c r="G159" i="1"/>
  <c r="BO51" i="1"/>
  <c r="C165" i="1"/>
  <c r="C195" i="1" s="1"/>
  <c r="BW27" i="1"/>
  <c r="V158" i="1"/>
  <c r="I139" i="1"/>
  <c r="T144" i="1"/>
  <c r="BW57" i="1"/>
  <c r="U176" i="1"/>
  <c r="Q89" i="1"/>
  <c r="O130" i="1"/>
  <c r="J147" i="1"/>
  <c r="J143" i="1" s="1"/>
  <c r="BV134" i="1"/>
  <c r="BW134" i="1" s="1"/>
  <c r="BW35" i="1"/>
  <c r="N138" i="1"/>
  <c r="N166" i="1" s="1"/>
  <c r="I137" i="1"/>
  <c r="BK48" i="1"/>
  <c r="BK264" i="1" s="1"/>
  <c r="AS32" i="1"/>
  <c r="AI34" i="1"/>
  <c r="AO59" i="1"/>
  <c r="BC20" i="1"/>
  <c r="BC243" i="1" s="1"/>
  <c r="BN20" i="1"/>
  <c r="AO44" i="1"/>
  <c r="AO206" i="1" s="1"/>
  <c r="AU21" i="1"/>
  <c r="G147" i="1"/>
  <c r="G143" i="1" s="1"/>
  <c r="AQ58" i="1"/>
  <c r="BN44" i="1"/>
  <c r="BN265" i="1" s="1"/>
  <c r="B89" i="1"/>
  <c r="N139" i="1"/>
  <c r="AV26" i="1"/>
  <c r="BN58" i="1"/>
  <c r="BC27" i="1"/>
  <c r="BD59" i="1"/>
  <c r="T172" i="1"/>
  <c r="AW34" i="1"/>
  <c r="J182" i="1"/>
  <c r="I85" i="1"/>
  <c r="BC47" i="1"/>
  <c r="I147" i="1"/>
  <c r="I143" i="1" s="1"/>
  <c r="S144" i="1"/>
  <c r="E139" i="1"/>
  <c r="H165" i="1"/>
  <c r="H195" i="1" s="1"/>
  <c r="P162" i="1"/>
  <c r="N131" i="1"/>
  <c r="BP58" i="1"/>
  <c r="H89" i="1"/>
  <c r="F152" i="1"/>
  <c r="V163" i="1"/>
  <c r="B129" i="1"/>
  <c r="BH33" i="1"/>
  <c r="L155" i="1"/>
  <c r="BE57" i="1"/>
  <c r="I144" i="1"/>
  <c r="O159" i="1"/>
  <c r="C158" i="1"/>
  <c r="C145" i="1"/>
  <c r="BN51" i="1"/>
  <c r="K165" i="1"/>
  <c r="K195" i="1" s="1"/>
  <c r="BT25" i="1"/>
  <c r="AW37" i="1"/>
  <c r="BB59" i="1"/>
  <c r="W131" i="1"/>
  <c r="AV48" i="1"/>
  <c r="AO32" i="1"/>
  <c r="T91" i="1"/>
  <c r="M91" i="1"/>
  <c r="AP20" i="1"/>
  <c r="AP243" i="1" s="1"/>
  <c r="N129" i="1"/>
  <c r="BG59" i="1"/>
  <c r="J163" i="1"/>
  <c r="N147" i="1"/>
  <c r="N143" i="1" s="1"/>
  <c r="U162" i="1"/>
  <c r="AQ35" i="1"/>
  <c r="BP36" i="1"/>
  <c r="E182" i="1"/>
  <c r="U147" i="1"/>
  <c r="U143" i="1" s="1"/>
  <c r="D161" i="1"/>
  <c r="AY21" i="1"/>
  <c r="BH154" i="1"/>
  <c r="BI27" i="1"/>
  <c r="C86" i="1"/>
  <c r="J136" i="1"/>
  <c r="E156" i="1"/>
  <c r="E191" i="1" s="1"/>
  <c r="F183" i="1"/>
  <c r="BM58" i="1"/>
  <c r="BS51" i="1"/>
  <c r="K183" i="1"/>
  <c r="S161" i="1"/>
  <c r="K134" i="1"/>
  <c r="BS44" i="1"/>
  <c r="BS206" i="1" s="1"/>
  <c r="J157" i="1"/>
  <c r="J192" i="1" s="1"/>
  <c r="L147" i="1"/>
  <c r="L143" i="1" s="1"/>
  <c r="BD36" i="1"/>
  <c r="AI85" i="1"/>
  <c r="AZ59" i="1"/>
  <c r="AU63" i="1"/>
  <c r="T90" i="1"/>
  <c r="D156" i="1"/>
  <c r="D191" i="1" s="1"/>
  <c r="P89" i="1"/>
  <c r="K171" i="1"/>
  <c r="I134" i="1"/>
  <c r="G161" i="1"/>
  <c r="S86" i="1"/>
  <c r="BN26" i="1"/>
  <c r="BF59" i="1"/>
  <c r="BN47" i="1"/>
  <c r="H147" i="1"/>
  <c r="H143" i="1" s="1"/>
  <c r="O156" i="1"/>
  <c r="O191" i="1" s="1"/>
  <c r="I155" i="1"/>
  <c r="J176" i="1"/>
  <c r="BB34" i="1"/>
  <c r="AX21" i="1"/>
  <c r="I171" i="1"/>
  <c r="T79" i="1"/>
  <c r="Q157" i="1"/>
  <c r="Q192" i="1" s="1"/>
  <c r="I90" i="1"/>
  <c r="S137" i="1"/>
  <c r="BK58" i="1"/>
  <c r="W148" i="1"/>
  <c r="AR47" i="1"/>
  <c r="F172" i="1"/>
  <c r="R85" i="1"/>
  <c r="BT21" i="1"/>
  <c r="K130" i="1"/>
  <c r="BE32" i="1"/>
  <c r="BG47" i="1"/>
  <c r="AZ63" i="1"/>
  <c r="C139" i="1"/>
  <c r="BA20" i="1"/>
  <c r="BA243" i="1" s="1"/>
  <c r="C138" i="1"/>
  <c r="C166" i="1" s="1"/>
  <c r="BV131" i="1"/>
  <c r="AT21" i="1"/>
  <c r="BA58" i="1"/>
  <c r="O131" i="1"/>
  <c r="AO25" i="1"/>
  <c r="AW25" i="1"/>
  <c r="W85" i="1"/>
  <c r="BT58" i="1"/>
  <c r="BQ37" i="1"/>
  <c r="BW59" i="1"/>
  <c r="R137" i="1"/>
  <c r="AT63" i="1"/>
  <c r="BV58" i="1"/>
  <c r="BP32" i="1"/>
  <c r="AN36" i="1"/>
  <c r="I79" i="1"/>
  <c r="V149" i="1"/>
  <c r="BW47" i="1"/>
  <c r="BC26" i="1"/>
  <c r="BV164" i="1"/>
  <c r="BW164" i="1" s="1"/>
  <c r="S136" i="1"/>
  <c r="E91" i="1"/>
  <c r="W130" i="1"/>
  <c r="N86" i="1"/>
  <c r="BT36" i="1"/>
  <c r="BV155" i="1"/>
  <c r="BW155" i="1" s="1"/>
  <c r="BS20" i="1"/>
  <c r="W138" i="1"/>
  <c r="W166" i="1" s="1"/>
  <c r="E176" i="1"/>
  <c r="AT32" i="1"/>
  <c r="D171" i="1"/>
  <c r="BS58" i="1"/>
  <c r="AU32" i="1"/>
  <c r="B156" i="1"/>
  <c r="B191" i="1" s="1"/>
  <c r="BI26" i="1"/>
  <c r="Q155" i="1"/>
  <c r="T159" i="1"/>
  <c r="U183" i="1"/>
  <c r="H152" i="1"/>
  <c r="AQ32" i="1"/>
  <c r="BV35" i="1"/>
  <c r="W149" i="1"/>
  <c r="AZ47" i="1"/>
  <c r="BU48" i="1"/>
  <c r="BA35" i="1"/>
  <c r="D172" i="1"/>
  <c r="V85" i="1"/>
  <c r="BS48" i="1"/>
  <c r="Q147" i="1"/>
  <c r="Q143" i="1" s="1"/>
  <c r="BI47" i="1"/>
  <c r="O147" i="1"/>
  <c r="O143" i="1" s="1"/>
  <c r="BH129" i="1"/>
  <c r="AS59" i="1"/>
  <c r="AI59" i="1"/>
  <c r="AV57" i="1"/>
  <c r="B136" i="1"/>
  <c r="BT20" i="1"/>
  <c r="BT13" i="1" s="1"/>
  <c r="D75" i="1"/>
  <c r="H85" i="1"/>
  <c r="D155" i="1"/>
  <c r="AY48" i="1"/>
  <c r="M158" i="1"/>
  <c r="O155" i="1"/>
  <c r="T167" i="1"/>
  <c r="C163" i="1"/>
  <c r="AX34" i="1"/>
  <c r="BV130" i="1"/>
  <c r="BW130" i="1" s="1"/>
  <c r="AR57" i="1"/>
  <c r="BB58" i="1"/>
  <c r="S138" i="1"/>
  <c r="S166" i="1" s="1"/>
  <c r="BO20" i="1"/>
  <c r="U163" i="1"/>
  <c r="BG33" i="1"/>
  <c r="AV47" i="1"/>
  <c r="N176" i="1"/>
  <c r="BM59" i="1"/>
  <c r="J137" i="1"/>
  <c r="AO57" i="1"/>
  <c r="M184" i="1"/>
  <c r="E147" i="1"/>
  <c r="E143" i="1" s="1"/>
  <c r="BA33" i="1"/>
  <c r="BH37" i="1"/>
  <c r="H148" i="1"/>
  <c r="BE34" i="1"/>
  <c r="AI27" i="1"/>
  <c r="AZ20" i="1"/>
  <c r="U91" i="1"/>
  <c r="N145" i="1"/>
  <c r="AT48" i="1"/>
  <c r="BN32" i="1"/>
  <c r="AY47" i="1"/>
  <c r="L131" i="1"/>
  <c r="AZ58" i="1"/>
  <c r="J152" i="1"/>
  <c r="BG57" i="1"/>
  <c r="T184" i="1"/>
  <c r="N130" i="1"/>
  <c r="F129" i="1"/>
  <c r="BH131" i="1"/>
  <c r="BC32" i="1"/>
  <c r="O157" i="1"/>
  <c r="O192" i="1" s="1"/>
  <c r="K129" i="1"/>
  <c r="AP63" i="1"/>
  <c r="C129" i="1"/>
  <c r="V90" i="1"/>
  <c r="U157" i="1"/>
  <c r="U192" i="1" s="1"/>
  <c r="Q79" i="1"/>
  <c r="S85" i="1"/>
  <c r="M156" i="1"/>
  <c r="M191" i="1" s="1"/>
  <c r="T158" i="1"/>
  <c r="V157" i="1"/>
  <c r="V192" i="1" s="1"/>
  <c r="AX36" i="1"/>
  <c r="M152" i="1"/>
  <c r="H154" i="1"/>
  <c r="U158" i="1"/>
  <c r="L167" i="1"/>
  <c r="U172" i="1"/>
  <c r="P154" i="1"/>
  <c r="BT27" i="1"/>
  <c r="AT58" i="1"/>
  <c r="O175" i="1"/>
  <c r="AW58" i="1"/>
  <c r="L144" i="1"/>
  <c r="U86" i="1"/>
  <c r="N182" i="1"/>
  <c r="AV20" i="1"/>
  <c r="AV243" i="1" s="1"/>
  <c r="C89" i="1"/>
  <c r="AY63" i="1"/>
  <c r="K89" i="1"/>
  <c r="B145" i="1"/>
  <c r="AY59" i="1"/>
  <c r="G89" i="1"/>
  <c r="BE63" i="1"/>
  <c r="AK85" i="1"/>
  <c r="B143" i="1"/>
  <c r="BH158" i="1"/>
  <c r="BI158" i="1" s="1"/>
  <c r="AT36" i="1"/>
  <c r="L79" i="1"/>
  <c r="BM34" i="1"/>
  <c r="AX59" i="1"/>
  <c r="BR33" i="1"/>
  <c r="J158" i="1"/>
  <c r="H176" i="1"/>
  <c r="BH156" i="1"/>
  <c r="F162" i="1"/>
  <c r="BO25" i="1"/>
  <c r="BW21" i="1"/>
  <c r="W147" i="1"/>
  <c r="W143" i="1" s="1"/>
  <c r="BS27" i="1"/>
  <c r="BC44" i="1"/>
  <c r="BC206" i="1" s="1"/>
  <c r="BN27" i="1"/>
  <c r="BU34" i="1"/>
  <c r="BK32" i="1"/>
  <c r="K137" i="1"/>
  <c r="AN34" i="1"/>
  <c r="M176" i="1"/>
  <c r="BK51" i="1"/>
  <c r="BH51" i="1"/>
  <c r="AQ26" i="1"/>
  <c r="G167" i="1"/>
  <c r="AW57" i="1"/>
  <c r="I154" i="1"/>
  <c r="C175" i="1"/>
  <c r="BK37" i="1"/>
  <c r="I89" i="1"/>
  <c r="B148" i="1"/>
  <c r="BQ25" i="1"/>
  <c r="BB63" i="1"/>
  <c r="AP26" i="1"/>
  <c r="C176" i="1"/>
  <c r="BP26" i="1"/>
  <c r="I157" i="1"/>
  <c r="I192" i="1" s="1"/>
  <c r="BQ59" i="1"/>
  <c r="AS27" i="1"/>
  <c r="AX26" i="1"/>
  <c r="BV149" i="1"/>
  <c r="BW149" i="1" s="1"/>
  <c r="BM21" i="1"/>
  <c r="F138" i="1"/>
  <c r="F166" i="1" s="1"/>
  <c r="H182" i="1"/>
  <c r="F165" i="1"/>
  <c r="F195" i="1" s="1"/>
  <c r="Q86" i="1"/>
  <c r="BH26" i="1"/>
  <c r="BD47" i="1"/>
  <c r="Q144" i="1"/>
  <c r="S79" i="1"/>
  <c r="AR51" i="1"/>
  <c r="O158" i="1"/>
  <c r="E167" i="1"/>
  <c r="BH137" i="1"/>
  <c r="BI137" i="1" s="1"/>
  <c r="AR37" i="1"/>
  <c r="K145" i="1"/>
  <c r="W183" i="1"/>
  <c r="BO47" i="1"/>
  <c r="C172" i="1"/>
  <c r="AI21" i="1"/>
  <c r="K156" i="1"/>
  <c r="K191" i="1" s="1"/>
  <c r="AU25" i="1"/>
  <c r="E184" i="1"/>
  <c r="BW20" i="1"/>
  <c r="BW13" i="1" s="1"/>
  <c r="N172" i="1"/>
  <c r="BM51" i="1"/>
  <c r="BV21" i="1"/>
  <c r="AI20" i="1"/>
  <c r="AZ34" i="1"/>
  <c r="O154" i="1"/>
  <c r="M171" i="1"/>
  <c r="F85" i="1"/>
  <c r="BI35" i="1"/>
  <c r="AZ37" i="1"/>
  <c r="N175" i="1"/>
  <c r="BV63" i="1"/>
  <c r="AN37" i="1"/>
  <c r="Q172" i="1"/>
  <c r="BB57" i="1"/>
  <c r="AR59" i="1"/>
  <c r="V176" i="1"/>
  <c r="V154" i="1"/>
  <c r="AI33" i="1"/>
  <c r="BR20" i="1"/>
  <c r="BR265" i="1" s="1"/>
  <c r="M147" i="1"/>
  <c r="M143" i="1" s="1"/>
  <c r="E149" i="1"/>
  <c r="J90" i="1"/>
  <c r="BQ57" i="1"/>
  <c r="BR34" i="1"/>
  <c r="BE35" i="1"/>
  <c r="BI33" i="1"/>
  <c r="BU26" i="1"/>
  <c r="AV44" i="1"/>
  <c r="AV206" i="1" s="1"/>
  <c r="BV36" i="1"/>
  <c r="O162" i="1"/>
  <c r="R175" i="1"/>
  <c r="H138" i="1"/>
  <c r="H166" i="1" s="1"/>
  <c r="AW44" i="1"/>
  <c r="AW206" i="1" s="1"/>
  <c r="BB35" i="1"/>
  <c r="L130" i="1"/>
  <c r="O152" i="1"/>
  <c r="M145" i="1"/>
  <c r="AV34" i="1"/>
  <c r="L163" i="1"/>
  <c r="BG26" i="1"/>
  <c r="U145" i="1"/>
  <c r="AU47" i="1"/>
  <c r="D154" i="1"/>
  <c r="Q167" i="1"/>
  <c r="Q168" i="1" s="1"/>
  <c r="BT44" i="1"/>
  <c r="BT265" i="1" s="1"/>
  <c r="Q90" i="1"/>
  <c r="AQ27" i="1"/>
  <c r="AY33" i="1"/>
  <c r="R139" i="1"/>
  <c r="B152" i="1"/>
  <c r="BD58" i="1"/>
  <c r="B172" i="1"/>
  <c r="R89" i="1"/>
  <c r="B184" i="1"/>
  <c r="T171" i="1"/>
  <c r="BF48" i="1"/>
  <c r="O183" i="1"/>
  <c r="BU63" i="1"/>
  <c r="O134" i="1"/>
  <c r="F136" i="1"/>
  <c r="AR36" i="1"/>
  <c r="L158" i="1"/>
  <c r="V167" i="1"/>
  <c r="L171" i="1"/>
  <c r="L89" i="1"/>
  <c r="E158" i="1"/>
  <c r="AY20" i="1"/>
  <c r="AY265" i="1" s="1"/>
  <c r="BF44" i="1"/>
  <c r="BF206" i="1" s="1"/>
  <c r="G136" i="1"/>
  <c r="M172" i="1"/>
  <c r="R163" i="1"/>
  <c r="O86" i="1"/>
  <c r="T148" i="1"/>
  <c r="BW63" i="1"/>
  <c r="K85" i="1"/>
  <c r="U130" i="1"/>
  <c r="I86" i="1"/>
  <c r="AV33" i="1"/>
  <c r="W139" i="1"/>
  <c r="AM85" i="1"/>
  <c r="BV137" i="1"/>
  <c r="BW137" i="1" s="1"/>
  <c r="AR35" i="1"/>
  <c r="P134" i="1"/>
  <c r="B131" i="1"/>
  <c r="C147" i="1"/>
  <c r="BF36" i="1"/>
  <c r="H157" i="1"/>
  <c r="H192" i="1" s="1"/>
  <c r="P152" i="1"/>
  <c r="N161" i="1"/>
  <c r="B91" i="1"/>
  <c r="L138" i="1"/>
  <c r="L166" i="1" s="1"/>
  <c r="J184" i="1"/>
  <c r="BV47" i="1"/>
  <c r="BN59" i="1"/>
  <c r="I145" i="1"/>
  <c r="I136" i="1"/>
  <c r="L157" i="1"/>
  <c r="L192" i="1" s="1"/>
  <c r="R90" i="1"/>
  <c r="S148" i="1"/>
  <c r="AV21" i="1"/>
  <c r="J156" i="1"/>
  <c r="J191" i="1" s="1"/>
  <c r="O184" i="1"/>
  <c r="T86" i="1"/>
  <c r="BD48" i="1"/>
  <c r="AP34" i="1"/>
  <c r="BE51" i="1"/>
  <c r="K167" i="1"/>
  <c r="R167" i="1"/>
  <c r="N134" i="1"/>
  <c r="G129" i="1"/>
  <c r="BU57" i="1"/>
  <c r="AW26" i="1"/>
  <c r="Q152" i="1"/>
  <c r="Q214" i="1" s="1"/>
  <c r="BH152" i="1"/>
  <c r="BI152" i="1" s="1"/>
  <c r="BJ214" i="1" s="1"/>
  <c r="BQ21" i="1"/>
  <c r="E183" i="1"/>
  <c r="BV32" i="1"/>
  <c r="T134" i="1"/>
  <c r="BS21" i="1"/>
  <c r="AW63" i="1"/>
  <c r="S163" i="1"/>
  <c r="D147" i="1"/>
  <c r="AO27" i="1"/>
  <c r="H91" i="1"/>
  <c r="BA51" i="1"/>
  <c r="AW27" i="1"/>
  <c r="V138" i="1"/>
  <c r="V166" i="1" s="1"/>
  <c r="AV27" i="1"/>
  <c r="AQ57" i="1"/>
  <c r="BV25" i="1"/>
  <c r="H90" i="1"/>
  <c r="AQ33" i="1"/>
  <c r="U154" i="1"/>
  <c r="N90" i="1"/>
  <c r="AV36" i="1"/>
  <c r="AW48" i="1"/>
  <c r="U90" i="1"/>
  <c r="BD37" i="1"/>
  <c r="F161" i="1"/>
  <c r="G145" i="1"/>
  <c r="D86" i="1"/>
  <c r="J167" i="1"/>
  <c r="BN34" i="1"/>
  <c r="AS58" i="1"/>
  <c r="G85" i="1"/>
  <c r="G162" i="1"/>
  <c r="N167" i="1"/>
  <c r="U129" i="1"/>
  <c r="S165" i="1"/>
  <c r="S195" i="1" s="1"/>
  <c r="BR25" i="1"/>
  <c r="R171" i="1"/>
  <c r="BG35" i="1"/>
  <c r="H139" i="1"/>
  <c r="AQ37" i="1"/>
  <c r="AJ85" i="1"/>
  <c r="D138" i="1"/>
  <c r="D166" i="1" s="1"/>
  <c r="AS57" i="1"/>
  <c r="C143" i="1"/>
  <c r="BS33" i="1"/>
  <c r="BO63" i="1"/>
  <c r="N165" i="1"/>
  <c r="N195" i="1" s="1"/>
  <c r="E175" i="1"/>
  <c r="I175" i="1"/>
  <c r="D143" i="1"/>
  <c r="BT47" i="1"/>
  <c r="AX20" i="1"/>
  <c r="BK34" i="1"/>
  <c r="BA32" i="1"/>
  <c r="E154" i="1"/>
  <c r="E138" i="1"/>
  <c r="E166" i="1" s="1"/>
  <c r="Q139" i="1"/>
  <c r="G139" i="1"/>
  <c r="F130" i="1"/>
  <c r="P85" i="1"/>
  <c r="BN37" i="1"/>
  <c r="AO37" i="1"/>
  <c r="BM57" i="1"/>
  <c r="K161" i="1"/>
  <c r="W90" i="1"/>
  <c r="T136" i="1"/>
  <c r="K155" i="1"/>
  <c r="F147" i="1"/>
  <c r="F143" i="1" s="1"/>
  <c r="F131" i="1"/>
  <c r="AV37" i="1"/>
  <c r="BE47" i="1"/>
  <c r="BQ26" i="1"/>
  <c r="J161" i="1"/>
  <c r="AN57" i="1"/>
  <c r="T129" i="1"/>
  <c r="C167" i="1"/>
  <c r="AU36" i="1"/>
  <c r="D159" i="1"/>
  <c r="Q137" i="1"/>
  <c r="J85" i="1"/>
  <c r="V148" i="1"/>
  <c r="BN63" i="1"/>
  <c r="R157" i="1"/>
  <c r="R192" i="1" s="1"/>
  <c r="BI21" i="1"/>
  <c r="W163" i="1"/>
  <c r="K86" i="1"/>
  <c r="B182" i="1"/>
  <c r="AN44" i="1"/>
  <c r="AN45" i="1" s="1"/>
  <c r="K131" i="1"/>
  <c r="J139" i="1"/>
  <c r="BR47" i="1"/>
  <c r="O139" i="1"/>
  <c r="W172" i="1"/>
  <c r="V184" i="1"/>
  <c r="BW36" i="1"/>
  <c r="L159" i="1"/>
  <c r="V144" i="1"/>
  <c r="W161" i="1"/>
  <c r="BU51" i="1"/>
  <c r="BQ35" i="1"/>
  <c r="AY26" i="1"/>
  <c r="H191" i="1"/>
  <c r="AZ165" i="1"/>
  <c r="BR138" i="1"/>
  <c r="BS138" i="1" s="1"/>
  <c r="AZ166" i="1"/>
  <c r="BA166" i="1" s="1"/>
  <c r="BT143" i="1"/>
  <c r="BP167" i="1"/>
  <c r="BQ167" i="1" s="1"/>
  <c r="BP85" i="1"/>
  <c r="BF137" i="1"/>
  <c r="BG137" i="1" s="1"/>
  <c r="AP158" i="1"/>
  <c r="AQ158" i="1" s="1"/>
  <c r="AX156" i="1"/>
  <c r="BR171" i="1"/>
  <c r="BF86" i="1"/>
  <c r="AZ164" i="1"/>
  <c r="BA164" i="1" s="1"/>
  <c r="BD147" i="1"/>
  <c r="BE147" i="1" s="1"/>
  <c r="AZ129" i="1"/>
  <c r="BA129" i="1" s="1"/>
  <c r="BN176" i="1"/>
  <c r="BO176" i="1" s="1"/>
  <c r="BF159" i="1"/>
  <c r="BG159" i="1" s="1"/>
  <c r="BT163" i="1"/>
  <c r="BU163" i="1" s="1"/>
  <c r="BN131" i="1"/>
  <c r="AX130" i="1"/>
  <c r="AY130" i="1" s="1"/>
  <c r="BW86" i="1"/>
  <c r="BN138" i="1"/>
  <c r="BO138" i="1" s="1"/>
  <c r="AX163" i="1"/>
  <c r="AY163" i="1" s="1"/>
  <c r="AP137" i="1"/>
  <c r="AQ137" i="1" s="1"/>
  <c r="AT143" i="1"/>
  <c r="AZ143" i="1"/>
  <c r="BF166" i="1"/>
  <c r="BG166" i="1" s="1"/>
  <c r="BR139" i="1"/>
  <c r="BS139" i="1" s="1"/>
  <c r="BD159" i="1"/>
  <c r="BE159" i="1" s="1"/>
  <c r="AP155" i="1"/>
  <c r="AQ155" i="1" s="1"/>
  <c r="AV147" i="1"/>
  <c r="AW147" i="1" s="1"/>
  <c r="AN129" i="1"/>
  <c r="AR176" i="1"/>
  <c r="AS176" i="1" s="1"/>
  <c r="AQ85" i="1"/>
  <c r="AT163" i="1"/>
  <c r="AU163" i="1" s="1"/>
  <c r="BA85" i="1"/>
  <c r="BF163" i="1"/>
  <c r="BG163" i="1" s="1"/>
  <c r="BN134" i="1"/>
  <c r="BO134" i="1" s="1"/>
  <c r="BP139" i="1"/>
  <c r="BQ139" i="1" s="1"/>
  <c r="BF136" i="1"/>
  <c r="BG136" i="1" s="1"/>
  <c r="BF175" i="1"/>
  <c r="BG175" i="1" s="1"/>
  <c r="AZ172" i="1"/>
  <c r="AW85" i="1"/>
  <c r="BP138" i="1"/>
  <c r="BQ138" i="1" s="1"/>
  <c r="BD164" i="1"/>
  <c r="BE164" i="1" s="1"/>
  <c r="AZ154" i="1"/>
  <c r="BA154" i="1" s="1"/>
  <c r="BD172" i="1"/>
  <c r="BT129" i="1"/>
  <c r="BU129" i="1" s="1"/>
  <c r="BN164" i="1"/>
  <c r="BO164" i="1" s="1"/>
  <c r="BD161" i="1"/>
  <c r="BE161" i="1" s="1"/>
  <c r="BT164" i="1"/>
  <c r="BU164" i="1" s="1"/>
  <c r="BN139" i="1"/>
  <c r="BO139" i="1" s="1"/>
  <c r="BR144" i="1"/>
  <c r="BP156" i="1"/>
  <c r="BP191" i="1" s="1"/>
  <c r="BQ191" i="1" s="1"/>
  <c r="AT171" i="1"/>
  <c r="BF176" i="1"/>
  <c r="BG176" i="1" s="1"/>
  <c r="AZ147" i="1"/>
  <c r="BA147" i="1" s="1"/>
  <c r="BT158" i="1"/>
  <c r="BU158" i="1" s="1"/>
  <c r="BP136" i="1"/>
  <c r="BQ136" i="1" s="1"/>
  <c r="BP154" i="1"/>
  <c r="BQ154" i="1" s="1"/>
  <c r="BT86" i="1"/>
  <c r="AR155" i="1"/>
  <c r="AS155" i="1" s="1"/>
  <c r="BF130" i="1"/>
  <c r="BG130" i="1" s="1"/>
  <c r="AX159" i="1"/>
  <c r="AY159" i="1" s="1"/>
  <c r="BF129" i="1"/>
  <c r="BG129" i="1" s="1"/>
  <c r="AZ159" i="1"/>
  <c r="BA159" i="1" s="1"/>
  <c r="BP143" i="1"/>
  <c r="AV156" i="1"/>
  <c r="BW85" i="1"/>
  <c r="BN167" i="1"/>
  <c r="BO167" i="1" s="1"/>
  <c r="BR161" i="1"/>
  <c r="BS161" i="1" s="1"/>
  <c r="BP131" i="1"/>
  <c r="BR85" i="1"/>
  <c r="BD86" i="1"/>
  <c r="AT137" i="1"/>
  <c r="AU137" i="1" s="1"/>
  <c r="BN137" i="1"/>
  <c r="BO137" i="1" s="1"/>
  <c r="BB158" i="1"/>
  <c r="BC158" i="1" s="1"/>
  <c r="BF144" i="1"/>
  <c r="AT134" i="1"/>
  <c r="AU134" i="1" s="1"/>
  <c r="BB144" i="1"/>
  <c r="AN134" i="1"/>
  <c r="AO134" i="1" s="1"/>
  <c r="BB138" i="1"/>
  <c r="BC138" i="1" s="1"/>
  <c r="BP152" i="1"/>
  <c r="BQ152" i="1" s="1"/>
  <c r="AP152" i="1"/>
  <c r="AV162" i="1"/>
  <c r="AW162" i="1" s="1"/>
  <c r="AN130" i="1"/>
  <c r="AO130" i="1" s="1"/>
  <c r="AN86" i="1"/>
  <c r="BE86" i="1"/>
  <c r="BB131" i="1"/>
  <c r="AZ157" i="1"/>
  <c r="BT156" i="1"/>
  <c r="AP131" i="1"/>
  <c r="BR163" i="1"/>
  <c r="BS163" i="1" s="1"/>
  <c r="AT145" i="1"/>
  <c r="BN158" i="1"/>
  <c r="BO158" i="1" s="1"/>
  <c r="BN144" i="1"/>
  <c r="AY86" i="1"/>
  <c r="BR156" i="1"/>
  <c r="BD143" i="1"/>
  <c r="BT165" i="1"/>
  <c r="BA86" i="1"/>
  <c r="BR158" i="1"/>
  <c r="BS158" i="1" s="1"/>
  <c r="BP157" i="1"/>
  <c r="BP192" i="1" s="1"/>
  <c r="BQ192" i="1" s="1"/>
  <c r="AT156" i="1"/>
  <c r="AT191" i="1" s="1"/>
  <c r="AU191" i="1" s="1"/>
  <c r="BC85" i="1"/>
  <c r="BD163" i="1"/>
  <c r="BE163" i="1" s="1"/>
  <c r="BR157" i="1"/>
  <c r="BT171" i="1"/>
  <c r="AV161" i="1"/>
  <c r="AW161" i="1" s="1"/>
  <c r="BN154" i="1"/>
  <c r="BO154" i="1" s="1"/>
  <c r="AZ156" i="1"/>
  <c r="AP136" i="1"/>
  <c r="AQ136" i="1" s="1"/>
  <c r="BP129" i="1"/>
  <c r="BQ129" i="1" s="1"/>
  <c r="BD138" i="1"/>
  <c r="BE138" i="1" s="1"/>
  <c r="BP144" i="1"/>
  <c r="AP162" i="1"/>
  <c r="AQ162" i="1" s="1"/>
  <c r="BD176" i="1"/>
  <c r="BE176" i="1" s="1"/>
  <c r="AV171" i="1"/>
  <c r="AR131" i="1"/>
  <c r="AR154" i="1"/>
  <c r="AS154" i="1" s="1"/>
  <c r="AZ152" i="1"/>
  <c r="BA152" i="1" s="1"/>
  <c r="AP175" i="1"/>
  <c r="AQ175" i="1" s="1"/>
  <c r="AP154" i="1"/>
  <c r="AN149" i="1"/>
  <c r="AO149" i="1" s="1"/>
  <c r="AV138" i="1"/>
  <c r="AW138" i="1" s="1"/>
  <c r="AR166" i="1"/>
  <c r="AS166" i="1" s="1"/>
  <c r="AV145" i="1"/>
  <c r="AR130" i="1"/>
  <c r="AS130" i="1" s="1"/>
  <c r="AR164" i="1"/>
  <c r="AS164" i="1" s="1"/>
  <c r="BP171" i="1"/>
  <c r="AN162" i="1"/>
  <c r="AO162" i="1" s="1"/>
  <c r="AR136" i="1"/>
  <c r="AN172" i="1"/>
  <c r="AV176" i="1"/>
  <c r="AW176" i="1" s="1"/>
  <c r="AR165" i="1"/>
  <c r="AN138" i="1"/>
  <c r="AO138" i="1" s="1"/>
  <c r="AR134" i="1"/>
  <c r="AS134" i="1" s="1"/>
  <c r="AR158" i="1"/>
  <c r="AS158" i="1" s="1"/>
  <c r="BB143" i="1"/>
  <c r="AV85" i="1"/>
  <c r="AU85" i="1"/>
  <c r="AR172" i="1"/>
  <c r="AT161" i="1"/>
  <c r="AU161" i="1" s="1"/>
  <c r="AT165" i="1"/>
  <c r="AT195" i="1" s="1"/>
  <c r="AU195" i="1" s="1"/>
  <c r="AR85" i="1"/>
  <c r="BO86" i="1"/>
  <c r="BT152" i="1"/>
  <c r="AP145" i="1"/>
  <c r="BF162" i="1"/>
  <c r="BG162" i="1" s="1"/>
  <c r="BN85" i="1"/>
  <c r="AR156" i="1"/>
  <c r="BP161" i="1"/>
  <c r="BQ161" i="1" s="1"/>
  <c r="AV163" i="1"/>
  <c r="AW163" i="1" s="1"/>
  <c r="BT139" i="1"/>
  <c r="BU139" i="1" s="1"/>
  <c r="AR159" i="1"/>
  <c r="AS159" i="1" s="1"/>
  <c r="AT130" i="1"/>
  <c r="AU130" i="1" s="1"/>
  <c r="BO85" i="1"/>
  <c r="AX175" i="1"/>
  <c r="AY175" i="1" s="1"/>
  <c r="BB152" i="1"/>
  <c r="BC152" i="1" s="1"/>
  <c r="BD129" i="1"/>
  <c r="BR147" i="1"/>
  <c r="BS147" i="1" s="1"/>
  <c r="BF172" i="1"/>
  <c r="BP165" i="1"/>
  <c r="BN171" i="1"/>
  <c r="AZ138" i="1"/>
  <c r="BA138" i="1" s="1"/>
  <c r="BN156" i="1"/>
  <c r="BR130" i="1"/>
  <c r="BS130" i="1" s="1"/>
  <c r="BF157" i="1"/>
  <c r="BQ86" i="1"/>
  <c r="AT147" i="1"/>
  <c r="AU147" i="1" s="1"/>
  <c r="AT138" i="1"/>
  <c r="AU138" i="1" s="1"/>
  <c r="AZ134" i="1"/>
  <c r="BA134" i="1" s="1"/>
  <c r="BD175" i="1"/>
  <c r="BE175" i="1" s="1"/>
  <c r="BD134" i="1"/>
  <c r="BE134" i="1" s="1"/>
  <c r="BT131" i="1"/>
  <c r="BB166" i="1"/>
  <c r="BC166" i="1" s="1"/>
  <c r="BF143" i="1"/>
  <c r="AX131" i="1"/>
  <c r="AX157" i="1"/>
  <c r="AZ145" i="1"/>
  <c r="AZ167" i="1"/>
  <c r="BA167" i="1" s="1"/>
  <c r="BF165" i="1"/>
  <c r="BF147" i="1"/>
  <c r="BG147" i="1" s="1"/>
  <c r="BD162" i="1"/>
  <c r="BE162" i="1" s="1"/>
  <c r="BN162" i="1"/>
  <c r="BO162" i="1" s="1"/>
  <c r="AQ86" i="1"/>
  <c r="BR86" i="1"/>
  <c r="AZ139" i="1"/>
  <c r="BA139" i="1" s="1"/>
  <c r="BD158" i="1"/>
  <c r="BE158" i="1" s="1"/>
  <c r="BD136" i="1"/>
  <c r="BE136" i="1" s="1"/>
  <c r="BT147" i="1"/>
  <c r="BU147" i="1" s="1"/>
  <c r="BP86" i="1"/>
  <c r="AV166" i="1"/>
  <c r="AW166" i="1" s="1"/>
  <c r="BN86" i="1"/>
  <c r="BR176" i="1"/>
  <c r="BS176" i="1" s="1"/>
  <c r="AN176" i="1"/>
  <c r="AO176" i="1" s="1"/>
  <c r="AT162" i="1"/>
  <c r="AO85" i="1"/>
  <c r="AX161" i="1"/>
  <c r="AX144" i="1"/>
  <c r="BE85" i="1"/>
  <c r="BN145" i="1"/>
  <c r="BN175" i="1"/>
  <c r="BO175" i="1" s="1"/>
  <c r="BN136" i="1"/>
  <c r="BN157" i="1"/>
  <c r="BN166" i="1"/>
  <c r="BO166" i="1" s="1"/>
  <c r="AY85" i="1"/>
  <c r="BR154" i="1"/>
  <c r="BS154" i="1" s="1"/>
  <c r="BB161" i="1"/>
  <c r="BC161" i="1" s="1"/>
  <c r="BB163" i="1"/>
  <c r="BC163" i="1" s="1"/>
  <c r="AZ163" i="1"/>
  <c r="BA163" i="1" s="1"/>
  <c r="BF154" i="1"/>
  <c r="BG154" i="1" s="1"/>
  <c r="BD157" i="1"/>
  <c r="BT166" i="1"/>
  <c r="BU166" i="1" s="1"/>
  <c r="BT172" i="1"/>
  <c r="BP155" i="1"/>
  <c r="BQ155" i="1" s="1"/>
  <c r="BP163" i="1"/>
  <c r="BQ163" i="1" s="1"/>
  <c r="AP130" i="1"/>
  <c r="AQ130" i="1" s="1"/>
  <c r="AZ130" i="1"/>
  <c r="BA130" i="1" s="1"/>
  <c r="AX138" i="1"/>
  <c r="AY138" i="1" s="1"/>
  <c r="BN159" i="1"/>
  <c r="BO159" i="1" s="1"/>
  <c r="BR145" i="1"/>
  <c r="BR167" i="1"/>
  <c r="BS167" i="1" s="1"/>
  <c r="BR162" i="1"/>
  <c r="BS162" i="1" s="1"/>
  <c r="BB134" i="1"/>
  <c r="BC134" i="1" s="1"/>
  <c r="AZ144" i="1"/>
  <c r="AP161" i="1"/>
  <c r="AQ161" i="1" s="1"/>
  <c r="AW86" i="1"/>
  <c r="AS85" i="1"/>
  <c r="AT139" i="1"/>
  <c r="AU139" i="1" s="1"/>
  <c r="AT157" i="1"/>
  <c r="AT167" i="1"/>
  <c r="AU167" i="1" s="1"/>
  <c r="AT158" i="1"/>
  <c r="AU158" i="1" s="1"/>
  <c r="AT166" i="1"/>
  <c r="AU166" i="1" s="1"/>
  <c r="AT129" i="1"/>
  <c r="BB162" i="1"/>
  <c r="BC162" i="1" s="1"/>
  <c r="AZ175" i="1"/>
  <c r="BA175" i="1" s="1"/>
  <c r="AZ162" i="1"/>
  <c r="BA162" i="1" s="1"/>
  <c r="BF131" i="1"/>
  <c r="BD131" i="1"/>
  <c r="BD152" i="1"/>
  <c r="BE152" i="1" s="1"/>
  <c r="AP86" i="1"/>
  <c r="BF134" i="1"/>
  <c r="BG134" i="1" s="1"/>
  <c r="AZ176" i="1"/>
  <c r="BA176" i="1" s="1"/>
  <c r="BF152" i="1"/>
  <c r="BG152" i="1" s="1"/>
  <c r="BD154" i="1"/>
  <c r="BE154" i="1" s="1"/>
  <c r="BP134" i="1"/>
  <c r="BQ134" i="1" s="1"/>
  <c r="AP134" i="1"/>
  <c r="AQ134" i="1" s="1"/>
  <c r="AT155" i="1"/>
  <c r="AU155" i="1" s="1"/>
  <c r="AT131" i="1"/>
  <c r="BN165" i="1"/>
  <c r="BB145" i="1"/>
  <c r="AZ161" i="1"/>
  <c r="BA161" i="1" s="1"/>
  <c r="BP158" i="1"/>
  <c r="BQ158" i="1" s="1"/>
  <c r="AN158" i="1"/>
  <c r="AO158" i="1" s="1"/>
  <c r="BT157" i="1"/>
  <c r="BD165" i="1"/>
  <c r="BF138" i="1"/>
  <c r="BG138" i="1" s="1"/>
  <c r="BT162" i="1"/>
  <c r="BU162" i="1" s="1"/>
  <c r="AN171" i="1"/>
  <c r="AZ149" i="1"/>
  <c r="BA149" i="1" s="1"/>
  <c r="AP138" i="1"/>
  <c r="AQ138" i="1" s="1"/>
  <c r="AP156" i="1"/>
  <c r="AN164" i="1"/>
  <c r="AO164" i="1" s="1"/>
  <c r="BP137" i="1"/>
  <c r="BQ137" i="1" s="1"/>
  <c r="AR137" i="1"/>
  <c r="AS137" i="1" s="1"/>
  <c r="AR86" i="1"/>
  <c r="BT159" i="1"/>
  <c r="BU159" i="1" s="1"/>
  <c r="BP164" i="1"/>
  <c r="BQ164" i="1" s="1"/>
  <c r="AN175" i="1"/>
  <c r="AO175" i="1" s="1"/>
  <c r="AV86" i="1"/>
  <c r="AP139" i="1"/>
  <c r="AQ139" i="1" s="1"/>
  <c r="AV175" i="1"/>
  <c r="AW175" i="1" s="1"/>
  <c r="AR129" i="1"/>
  <c r="AV136" i="1"/>
  <c r="BD85" i="1"/>
  <c r="AP165" i="1"/>
  <c r="BP145" i="1"/>
  <c r="AN159" i="1"/>
  <c r="AO159" i="1" s="1"/>
  <c r="AR149" i="1"/>
  <c r="AS149" i="1" s="1"/>
  <c r="BI86" i="1"/>
  <c r="AS86" i="1"/>
  <c r="AR162" i="1"/>
  <c r="AS162" i="1" s="1"/>
  <c r="AP172" i="1"/>
  <c r="AN166" i="1"/>
  <c r="AO166" i="1" s="1"/>
  <c r="BP166" i="1"/>
  <c r="BQ166" i="1" s="1"/>
  <c r="AN163" i="1"/>
  <c r="AO163" i="1" s="1"/>
  <c r="AN147" i="1"/>
  <c r="AO147" i="1" s="1"/>
  <c r="AR139" i="1"/>
  <c r="AS139" i="1" s="1"/>
  <c r="BQ85" i="1"/>
  <c r="AR161" i="1"/>
  <c r="AS161" i="1" s="1"/>
  <c r="AP85" i="1"/>
  <c r="BR136" i="1"/>
  <c r="BS136" i="1" s="1"/>
  <c r="AN155" i="1"/>
  <c r="AO155" i="1" s="1"/>
  <c r="AN144" i="1"/>
  <c r="AR175" i="1"/>
  <c r="AS175" i="1" s="1"/>
  <c r="AN154" i="1"/>
  <c r="AR138" i="1"/>
  <c r="AS138" i="1" s="1"/>
  <c r="AZ158" i="1"/>
  <c r="BA158" i="1" s="1"/>
  <c r="BD171" i="1"/>
  <c r="BR166" i="1"/>
  <c r="BS166" i="1" s="1"/>
  <c r="BT144" i="1"/>
  <c r="AX166" i="1"/>
  <c r="AY166" i="1" s="1"/>
  <c r="BF156" i="1"/>
  <c r="BT137" i="1"/>
  <c r="BU137" i="1" s="1"/>
  <c r="AX136" i="1"/>
  <c r="BR152" i="1"/>
  <c r="BT136" i="1"/>
  <c r="AP167" i="1"/>
  <c r="AQ167" i="1" s="1"/>
  <c r="AT176" i="1"/>
  <c r="AU176" i="1" s="1"/>
  <c r="AT164" i="1"/>
  <c r="AU164" i="1" s="1"/>
  <c r="BC86" i="1"/>
  <c r="AZ136" i="1"/>
  <c r="BA136" i="1" s="1"/>
  <c r="BF164" i="1"/>
  <c r="BG164" i="1" s="1"/>
  <c r="BD156" i="1"/>
  <c r="AT86" i="1"/>
  <c r="BB156" i="1"/>
  <c r="BT167" i="1"/>
  <c r="BU167" i="1" s="1"/>
  <c r="BB159" i="1"/>
  <c r="BC159" i="1" s="1"/>
  <c r="AN152" i="1"/>
  <c r="BP162" i="1"/>
  <c r="BQ162" i="1" s="1"/>
  <c r="AN145" i="1"/>
  <c r="BT85" i="1"/>
  <c r="AP157" i="1"/>
  <c r="BD139" i="1"/>
  <c r="BE139" i="1" s="1"/>
  <c r="AX176" i="1"/>
  <c r="AY176" i="1" s="1"/>
  <c r="BB175" i="1"/>
  <c r="BC175" i="1" s="1"/>
  <c r="BU85" i="1"/>
  <c r="AZ86" i="1"/>
  <c r="BF158" i="1"/>
  <c r="BG158" i="1" s="1"/>
  <c r="BF139" i="1"/>
  <c r="BG139" i="1" s="1"/>
  <c r="BD145" i="1"/>
  <c r="BN152" i="1"/>
  <c r="BR164" i="1"/>
  <c r="BS164" i="1" s="1"/>
  <c r="BR131" i="1"/>
  <c r="BR137" i="1"/>
  <c r="BS137" i="1" s="1"/>
  <c r="BR129" i="1"/>
  <c r="AZ131" i="1"/>
  <c r="BF161" i="1"/>
  <c r="BG161" i="1" s="1"/>
  <c r="BD130" i="1"/>
  <c r="BE130" i="1" s="1"/>
  <c r="BT176" i="1"/>
  <c r="BU176" i="1" s="1"/>
  <c r="BP172" i="1"/>
  <c r="AP144" i="1"/>
  <c r="AV144" i="1"/>
  <c r="BN143" i="1"/>
  <c r="BR159" i="1"/>
  <c r="BS159" i="1" s="1"/>
  <c r="AX158" i="1"/>
  <c r="AY158" i="1" s="1"/>
  <c r="BN172" i="1"/>
  <c r="BN130" i="1"/>
  <c r="BO130" i="1" s="1"/>
  <c r="BN161" i="1"/>
  <c r="BO161" i="1" s="1"/>
  <c r="BR172" i="1"/>
  <c r="BR134" i="1"/>
  <c r="BS134" i="1" s="1"/>
  <c r="BB171" i="1"/>
  <c r="BF145" i="1"/>
  <c r="BT130" i="1"/>
  <c r="BU130" i="1" s="1"/>
  <c r="BP175" i="1"/>
  <c r="BQ175" i="1" s="1"/>
  <c r="BP159" i="1"/>
  <c r="BQ159" i="1" s="1"/>
  <c r="BN163" i="1"/>
  <c r="BO163" i="1" s="1"/>
  <c r="BN129" i="1"/>
  <c r="BO129" i="1" s="1"/>
  <c r="BR143" i="1"/>
  <c r="BR175" i="1"/>
  <c r="BS175" i="1" s="1"/>
  <c r="BR165" i="1"/>
  <c r="BB167" i="1"/>
  <c r="BC167" i="1" s="1"/>
  <c r="AZ171" i="1"/>
  <c r="BD167" i="1"/>
  <c r="BE167" i="1" s="1"/>
  <c r="BT145" i="1"/>
  <c r="AP163" i="1"/>
  <c r="AQ163" i="1" s="1"/>
  <c r="AT152" i="1"/>
  <c r="AU152" i="1" s="1"/>
  <c r="AT172" i="1"/>
  <c r="AT136" i="1"/>
  <c r="AU136" i="1" s="1"/>
  <c r="AT154" i="1"/>
  <c r="BN147" i="1"/>
  <c r="BO147" i="1" s="1"/>
  <c r="BU86" i="1"/>
  <c r="AZ137" i="1"/>
  <c r="BA137" i="1" s="1"/>
  <c r="BF167" i="1"/>
  <c r="BG167" i="1" s="1"/>
  <c r="BP130" i="1"/>
  <c r="BQ130" i="1" s="1"/>
  <c r="BF171" i="1"/>
  <c r="BF85" i="1"/>
  <c r="BD137" i="1"/>
  <c r="BE137" i="1" s="1"/>
  <c r="BT134" i="1"/>
  <c r="BU134" i="1" s="1"/>
  <c r="AP164" i="1"/>
  <c r="AQ164" i="1" s="1"/>
  <c r="AT175" i="1"/>
  <c r="AU175" i="1" s="1"/>
  <c r="AT159" i="1"/>
  <c r="AU159" i="1" s="1"/>
  <c r="BT138" i="1"/>
  <c r="BU138" i="1" s="1"/>
  <c r="AU86" i="1"/>
  <c r="AZ85" i="1"/>
  <c r="BT154" i="1"/>
  <c r="BU154" i="1" s="1"/>
  <c r="AP176" i="1"/>
  <c r="AQ176" i="1" s="1"/>
  <c r="AN157" i="1"/>
  <c r="BD166" i="1"/>
  <c r="BE166" i="1" s="1"/>
  <c r="BT175" i="1"/>
  <c r="BU175" i="1" s="1"/>
  <c r="BP147" i="1"/>
  <c r="BQ147" i="1" s="1"/>
  <c r="AP147" i="1"/>
  <c r="AQ147" i="1" s="1"/>
  <c r="AN136" i="1"/>
  <c r="BP176" i="1"/>
  <c r="BQ176" i="1" s="1"/>
  <c r="AP129" i="1"/>
  <c r="AQ129" i="1" s="1"/>
  <c r="AN131" i="1"/>
  <c r="AR147" i="1"/>
  <c r="AS147" i="1" s="1"/>
  <c r="AR152" i="1"/>
  <c r="AS152" i="1" s="1"/>
  <c r="AR145" i="1"/>
  <c r="AP171" i="1"/>
  <c r="AP159" i="1"/>
  <c r="AQ159" i="1" s="1"/>
  <c r="AN165" i="1"/>
  <c r="AV167" i="1"/>
  <c r="AW167" i="1" s="1"/>
  <c r="AP143" i="1"/>
  <c r="AR144" i="1"/>
  <c r="AR143" i="1"/>
  <c r="AR171" i="1"/>
  <c r="BD144" i="1"/>
  <c r="AN156" i="1"/>
  <c r="AV131" i="1"/>
  <c r="AR157" i="1"/>
  <c r="BT161" i="1"/>
  <c r="BU161" i="1" s="1"/>
  <c r="AN161" i="1"/>
  <c r="AO161" i="1" s="1"/>
  <c r="AR167" i="1"/>
  <c r="AS167" i="1" s="1"/>
  <c r="AP166" i="1"/>
  <c r="AQ166" i="1" s="1"/>
  <c r="AN139" i="1"/>
  <c r="AO139" i="1" s="1"/>
  <c r="AN167" i="1"/>
  <c r="AO167" i="1" s="1"/>
  <c r="AR163" i="1"/>
  <c r="AS163" i="1" s="1"/>
  <c r="AN143" i="1"/>
  <c r="AT144" i="1"/>
  <c r="AT85" i="1"/>
  <c r="AN85" i="1"/>
  <c r="AN137" i="1"/>
  <c r="AO137" i="1" s="1"/>
  <c r="AO86" i="1"/>
  <c r="AV149" i="1"/>
  <c r="AW149" i="1" s="1"/>
  <c r="AV155" i="1"/>
  <c r="AP149" i="1"/>
  <c r="AQ149" i="1" s="1"/>
  <c r="BF149" i="1"/>
  <c r="BG149" i="1" s="1"/>
  <c r="AT149" i="1"/>
  <c r="AU149" i="1" s="1"/>
  <c r="BP149" i="1"/>
  <c r="BQ149" i="1" s="1"/>
  <c r="BD149" i="1"/>
  <c r="BE149" i="1" s="1"/>
  <c r="BN149" i="1"/>
  <c r="BO149" i="1" s="1"/>
  <c r="BR149" i="1"/>
  <c r="BS149" i="1" s="1"/>
  <c r="BT149" i="1"/>
  <c r="BU149" i="1" s="1"/>
  <c r="BT155" i="1"/>
  <c r="BB155" i="1"/>
  <c r="BF155" i="1"/>
  <c r="BD155" i="1"/>
  <c r="AZ155" i="1"/>
  <c r="BR155" i="1"/>
  <c r="BN155" i="1"/>
  <c r="AT243" i="1"/>
  <c r="BQ264" i="1"/>
  <c r="BQ243" i="1"/>
  <c r="BB265" i="1"/>
  <c r="BU264" i="1"/>
  <c r="BO22" i="1"/>
  <c r="BA264" i="1"/>
  <c r="BO243" i="1"/>
  <c r="BV191" i="1"/>
  <c r="BW191" i="1" s="1"/>
  <c r="BV110" i="1"/>
  <c r="BV111" i="1" s="1"/>
  <c r="AT264" i="1"/>
  <c r="BP265" i="1"/>
  <c r="BP206" i="1"/>
  <c r="BK243" i="1"/>
  <c r="BI206" i="1"/>
  <c r="BT243" i="1"/>
  <c r="AO243" i="1"/>
  <c r="AO22" i="1"/>
  <c r="AS206" i="1"/>
  <c r="BJ29" i="1"/>
  <c r="CQ146" i="1"/>
  <c r="DB89" i="1"/>
  <c r="CY77" i="1"/>
  <c r="CZ75" i="1"/>
  <c r="BA22" i="1" l="1"/>
  <c r="BP22" i="1"/>
  <c r="J132" i="1"/>
  <c r="C132" i="1"/>
  <c r="C66" i="1" s="1"/>
  <c r="V132" i="1"/>
  <c r="AU264" i="1"/>
  <c r="AZ265" i="1"/>
  <c r="E146" i="1"/>
  <c r="V185" i="1"/>
  <c r="AU22" i="1"/>
  <c r="N140" i="1"/>
  <c r="BH38" i="1"/>
  <c r="BD264" i="1"/>
  <c r="BQ22" i="1"/>
  <c r="BS22" i="1"/>
  <c r="AX152" i="1"/>
  <c r="AY152" i="1" s="1"/>
  <c r="BI85" i="1"/>
  <c r="BB147" i="1"/>
  <c r="BC147" i="1" s="1"/>
  <c r="AX86" i="1"/>
  <c r="BM86" i="1"/>
  <c r="AX85" i="1"/>
  <c r="AX164" i="1"/>
  <c r="AY164" i="1" s="1"/>
  <c r="BB136" i="1"/>
  <c r="BB86" i="1"/>
  <c r="AV152" i="1"/>
  <c r="AX134" i="1"/>
  <c r="AY134" i="1" s="1"/>
  <c r="AX172" i="1"/>
  <c r="BT191" i="1"/>
  <c r="BU191" i="1" s="1"/>
  <c r="AX162" i="1"/>
  <c r="AY162" i="1" s="1"/>
  <c r="BB172" i="1"/>
  <c r="BT195" i="1"/>
  <c r="BU195" i="1" s="1"/>
  <c r="BB139" i="1"/>
  <c r="BC139" i="1" s="1"/>
  <c r="AV129" i="1"/>
  <c r="AW129" i="1" s="1"/>
  <c r="AV137" i="1"/>
  <c r="AW137" i="1" s="1"/>
  <c r="AV165" i="1"/>
  <c r="AV172" i="1"/>
  <c r="BB157" i="1"/>
  <c r="BB165" i="1"/>
  <c r="AX167" i="1"/>
  <c r="AY167" i="1" s="1"/>
  <c r="AX143" i="1"/>
  <c r="BS85" i="1"/>
  <c r="AX147" i="1"/>
  <c r="AY147" i="1" s="1"/>
  <c r="AX149" i="1"/>
  <c r="AY149" i="1" s="1"/>
  <c r="AX154" i="1"/>
  <c r="AY154" i="1" s="1"/>
  <c r="BB154" i="1"/>
  <c r="BC154" i="1" s="1"/>
  <c r="AV158" i="1"/>
  <c r="AW158" i="1" s="1"/>
  <c r="AV130" i="1"/>
  <c r="AW130" i="1" s="1"/>
  <c r="AV139" i="1"/>
  <c r="AW139" i="1" s="1"/>
  <c r="AV164" i="1"/>
  <c r="AW164" i="1" s="1"/>
  <c r="BS86" i="1"/>
  <c r="AV154" i="1"/>
  <c r="AW154" i="1" s="1"/>
  <c r="AV157" i="1"/>
  <c r="AX165" i="1"/>
  <c r="BB85" i="1"/>
  <c r="AX129" i="1"/>
  <c r="BB137" i="1"/>
  <c r="BC137" i="1" s="1"/>
  <c r="AV143" i="1"/>
  <c r="AX171" i="1"/>
  <c r="AX137" i="1"/>
  <c r="AY137" i="1" s="1"/>
  <c r="BB176" i="1"/>
  <c r="BC176" i="1" s="1"/>
  <c r="AX145" i="1"/>
  <c r="BM85" i="1"/>
  <c r="AX139" i="1"/>
  <c r="AY139" i="1" s="1"/>
  <c r="BB164" i="1"/>
  <c r="BC164" i="1" s="1"/>
  <c r="BB130" i="1"/>
  <c r="BC130" i="1" s="1"/>
  <c r="BB129" i="1"/>
  <c r="AV134" i="1"/>
  <c r="AW134" i="1" s="1"/>
  <c r="AV159" i="1"/>
  <c r="AW159" i="1" s="1"/>
  <c r="BB149" i="1"/>
  <c r="BC149" i="1" s="1"/>
  <c r="AX155" i="1"/>
  <c r="BK22" i="1"/>
  <c r="AU243" i="1"/>
  <c r="AR264" i="1"/>
  <c r="U146" i="1"/>
  <c r="F168" i="1"/>
  <c r="F197" i="1" s="1"/>
  <c r="BR206" i="1"/>
  <c r="T185" i="1"/>
  <c r="S132" i="1"/>
  <c r="K185" i="1"/>
  <c r="K173" i="1"/>
  <c r="I173" i="1"/>
  <c r="J221" i="1" s="1"/>
  <c r="BT22" i="1"/>
  <c r="BE38" i="1"/>
  <c r="R173" i="1"/>
  <c r="AQ38" i="1"/>
  <c r="AX22" i="1"/>
  <c r="T132" i="1"/>
  <c r="AU38" i="1"/>
  <c r="B185" i="1"/>
  <c r="BG85" i="1"/>
  <c r="AT192" i="1"/>
  <c r="AU192" i="1" s="1"/>
  <c r="BG86" i="1"/>
  <c r="BB191" i="1"/>
  <c r="BC191" i="1" s="1"/>
  <c r="AZ22" i="1"/>
  <c r="BU38" i="1"/>
  <c r="BU14" i="1" s="1"/>
  <c r="BU206" i="1"/>
  <c r="BU265" i="1"/>
  <c r="BA206" i="1"/>
  <c r="AI191" i="1"/>
  <c r="AI243" i="1"/>
  <c r="BV195" i="1"/>
  <c r="BJ40" i="1"/>
  <c r="Q173" i="1"/>
  <c r="BB38" i="1"/>
  <c r="BT38" i="1"/>
  <c r="BT14" i="1" s="1"/>
  <c r="BT15" i="1" s="1"/>
  <c r="P132" i="1"/>
  <c r="F185" i="1"/>
  <c r="M185" i="1"/>
  <c r="B173" i="1"/>
  <c r="C221" i="1" s="1"/>
  <c r="AW38" i="1"/>
  <c r="Q160" i="1"/>
  <c r="BC22" i="1"/>
  <c r="U185" i="1"/>
  <c r="T140" i="1"/>
  <c r="S173" i="1"/>
  <c r="T221" i="1" s="1"/>
  <c r="H146" i="1"/>
  <c r="H150" i="1" s="1"/>
  <c r="K140" i="1"/>
  <c r="BN264" i="1"/>
  <c r="AS38" i="1"/>
  <c r="D168" i="1"/>
  <c r="BR38" i="1"/>
  <c r="BR14" i="1" s="1"/>
  <c r="BP264" i="1"/>
  <c r="L173" i="1"/>
  <c r="BF264" i="1"/>
  <c r="AW264" i="1"/>
  <c r="BP38" i="1"/>
  <c r="U214" i="1"/>
  <c r="H185" i="1"/>
  <c r="AI38" i="1"/>
  <c r="U173" i="1"/>
  <c r="V221" i="1" s="1"/>
  <c r="H168" i="1"/>
  <c r="H197" i="1" s="1"/>
  <c r="H196" i="1" s="1"/>
  <c r="P185" i="1"/>
  <c r="Q140" i="1"/>
  <c r="K146" i="1"/>
  <c r="H140" i="1"/>
  <c r="BE264" i="1"/>
  <c r="S185" i="1"/>
  <c r="BS38" i="1"/>
  <c r="BS14" i="1" s="1"/>
  <c r="O140" i="1"/>
  <c r="H173" i="1"/>
  <c r="G146" i="1"/>
  <c r="L214" i="1"/>
  <c r="M132" i="1"/>
  <c r="P160" i="1"/>
  <c r="F146" i="1"/>
  <c r="F150" i="1" s="1"/>
  <c r="J214" i="1"/>
  <c r="BW264" i="1"/>
  <c r="D140" i="1"/>
  <c r="J160" i="1"/>
  <c r="T146" i="1"/>
  <c r="T45" i="1" s="1"/>
  <c r="AY38" i="1"/>
  <c r="V173" i="1"/>
  <c r="W221" i="1" s="1"/>
  <c r="I140" i="1"/>
  <c r="AT22" i="1"/>
  <c r="BS264" i="1"/>
  <c r="AT38" i="1"/>
  <c r="D173" i="1"/>
  <c r="O146" i="1"/>
  <c r="BH132" i="1"/>
  <c r="BH104" i="1" s="1"/>
  <c r="BH108" i="1" s="1"/>
  <c r="AX38" i="1"/>
  <c r="J140" i="1"/>
  <c r="BC110" i="1"/>
  <c r="BC111" i="1" s="1"/>
  <c r="BC38" i="1"/>
  <c r="N214" i="1"/>
  <c r="H160" i="1"/>
  <c r="N185" i="1"/>
  <c r="Q146" i="1"/>
  <c r="AI22" i="1"/>
  <c r="M146" i="1"/>
  <c r="T173" i="1"/>
  <c r="O185" i="1"/>
  <c r="V146" i="1"/>
  <c r="F140" i="1"/>
  <c r="F49" i="1" s="1"/>
  <c r="BV243" i="1"/>
  <c r="BV13" i="1"/>
  <c r="BU243" i="1"/>
  <c r="BU13" i="1"/>
  <c r="B77" i="1"/>
  <c r="B78" i="1" s="1"/>
  <c r="R146" i="1"/>
  <c r="N173" i="1"/>
  <c r="O221" i="1" s="1"/>
  <c r="N146" i="1"/>
  <c r="C146" i="1"/>
  <c r="H132" i="1"/>
  <c r="R140" i="1"/>
  <c r="R49" i="1" s="1"/>
  <c r="J146" i="1"/>
  <c r="C77" i="1"/>
  <c r="S140" i="1"/>
  <c r="S168" i="1"/>
  <c r="C160" i="1"/>
  <c r="B140" i="1"/>
  <c r="J173" i="1"/>
  <c r="K221" i="1" s="1"/>
  <c r="G132" i="1"/>
  <c r="C173" i="1"/>
  <c r="W140" i="1"/>
  <c r="D160" i="1"/>
  <c r="U132" i="1"/>
  <c r="E214" i="1"/>
  <c r="O214" i="1"/>
  <c r="G173" i="1"/>
  <c r="L140" i="1"/>
  <c r="U140" i="1"/>
  <c r="W146" i="1"/>
  <c r="R132" i="1"/>
  <c r="R66" i="1" s="1"/>
  <c r="P168" i="1"/>
  <c r="P197" i="1" s="1"/>
  <c r="P196" i="1" s="1"/>
  <c r="T168" i="1"/>
  <c r="T197" i="1" s="1"/>
  <c r="T196" i="1" s="1"/>
  <c r="G214" i="1"/>
  <c r="F214" i="1"/>
  <c r="M166" i="1"/>
  <c r="M140" i="1"/>
  <c r="V168" i="1"/>
  <c r="BN191" i="1"/>
  <c r="BO191" i="1" s="1"/>
  <c r="AX192" i="1"/>
  <c r="AY192" i="1" s="1"/>
  <c r="BN192" i="1"/>
  <c r="BO192" i="1" s="1"/>
  <c r="BD192" i="1"/>
  <c r="BE192" i="1" s="1"/>
  <c r="D185" i="1"/>
  <c r="BH214" i="1"/>
  <c r="BK85" i="1"/>
  <c r="BN195" i="1"/>
  <c r="BO195" i="1" s="1"/>
  <c r="BT192" i="1"/>
  <c r="BU192" i="1" s="1"/>
  <c r="BD195" i="1"/>
  <c r="BE195" i="1" s="1"/>
  <c r="AP191" i="1"/>
  <c r="AQ191" i="1" s="1"/>
  <c r="AP195" i="1"/>
  <c r="AQ195" i="1" s="1"/>
  <c r="AX195" i="1"/>
  <c r="AY195" i="1" s="1"/>
  <c r="BK86" i="1"/>
  <c r="BD191" i="1"/>
  <c r="BE191" i="1" s="1"/>
  <c r="AP192" i="1"/>
  <c r="AQ192" i="1" s="1"/>
  <c r="AN192" i="1"/>
  <c r="AO192" i="1" s="1"/>
  <c r="AN195" i="1"/>
  <c r="AO195" i="1" s="1"/>
  <c r="BH173" i="1"/>
  <c r="BI154" i="1"/>
  <c r="BI136" i="1"/>
  <c r="AP264" i="1"/>
  <c r="BD38" i="1"/>
  <c r="BO264" i="1"/>
  <c r="AP22" i="1"/>
  <c r="AI195" i="1"/>
  <c r="AI197" i="1"/>
  <c r="AI194" i="1"/>
  <c r="AN206" i="1"/>
  <c r="BN110" i="1"/>
  <c r="BN111" i="1" s="1"/>
  <c r="BM22" i="1"/>
  <c r="AO265" i="1"/>
  <c r="BO110" i="1"/>
  <c r="BO111" i="1" s="1"/>
  <c r="BO114" i="1" s="1"/>
  <c r="BN243" i="1"/>
  <c r="BM243" i="1"/>
  <c r="BP110" i="1"/>
  <c r="BP111" i="1" s="1"/>
  <c r="BV22" i="1"/>
  <c r="BA38" i="1"/>
  <c r="AZ264" i="1"/>
  <c r="BG265" i="1"/>
  <c r="AL110" i="1"/>
  <c r="AL111" i="1" s="1"/>
  <c r="AL116" i="1" s="1"/>
  <c r="AT110" i="1"/>
  <c r="AT111" i="1" s="1"/>
  <c r="BT110" i="1"/>
  <c r="BT111" i="1" s="1"/>
  <c r="AO264" i="1"/>
  <c r="AV38" i="1"/>
  <c r="BV264" i="1"/>
  <c r="AI192" i="1"/>
  <c r="BQ110" i="1"/>
  <c r="BQ111" i="1" s="1"/>
  <c r="BQ114" i="1" s="1"/>
  <c r="BE22" i="1"/>
  <c r="AQ22" i="1"/>
  <c r="BM110" i="1"/>
  <c r="BM111" i="1" s="1"/>
  <c r="BM264" i="1"/>
  <c r="AN22" i="1"/>
  <c r="AQ265" i="1"/>
  <c r="AQ206" i="1"/>
  <c r="BN22" i="1"/>
  <c r="BE110" i="1"/>
  <c r="BE111" i="1" s="1"/>
  <c r="BE116" i="1" s="1"/>
  <c r="BC264" i="1"/>
  <c r="AV265" i="1"/>
  <c r="BJ265" i="1"/>
  <c r="BJ206" i="1"/>
  <c r="BG264" i="1"/>
  <c r="BG243" i="1"/>
  <c r="BG22" i="1"/>
  <c r="BS265" i="1"/>
  <c r="BI214" i="1"/>
  <c r="V140" i="1"/>
  <c r="BW140" i="1"/>
  <c r="R168" i="1"/>
  <c r="BM38" i="1"/>
  <c r="AN38" i="1"/>
  <c r="J168" i="1"/>
  <c r="B146" i="1"/>
  <c r="O160" i="1"/>
  <c r="I214" i="1"/>
  <c r="B132" i="1"/>
  <c r="B66" i="1" s="1"/>
  <c r="L168" i="1"/>
  <c r="BM49" i="1"/>
  <c r="E140" i="1"/>
  <c r="BR264" i="1"/>
  <c r="T160" i="1"/>
  <c r="G168" i="1"/>
  <c r="BO38" i="1"/>
  <c r="M160" i="1"/>
  <c r="M194" i="1" s="1"/>
  <c r="M193" i="1" s="1"/>
  <c r="BK38" i="1"/>
  <c r="BF38" i="1"/>
  <c r="AP38" i="1"/>
  <c r="I146" i="1"/>
  <c r="I150" i="1" s="1"/>
  <c r="D146" i="1"/>
  <c r="D45" i="1" s="1"/>
  <c r="K168" i="1"/>
  <c r="L209" i="1" s="1"/>
  <c r="I160" i="1"/>
  <c r="I194" i="1" s="1"/>
  <c r="I193" i="1" s="1"/>
  <c r="I180" i="1"/>
  <c r="I121" i="1" s="1"/>
  <c r="G140" i="1"/>
  <c r="L185" i="1"/>
  <c r="BQ38" i="1"/>
  <c r="B160" i="1"/>
  <c r="N160" i="1"/>
  <c r="S214" i="1"/>
  <c r="AX243" i="1"/>
  <c r="BU110" i="1"/>
  <c r="BU111" i="1" s="1"/>
  <c r="BU116" i="1" s="1"/>
  <c r="E160" i="1"/>
  <c r="E194" i="1" s="1"/>
  <c r="E193" i="1" s="1"/>
  <c r="O168" i="1"/>
  <c r="M173" i="1"/>
  <c r="F132" i="1"/>
  <c r="AT28" i="1"/>
  <c r="U168" i="1"/>
  <c r="J185" i="1"/>
  <c r="F173" i="1"/>
  <c r="AI49" i="1"/>
  <c r="AZ38" i="1"/>
  <c r="BI38" i="1"/>
  <c r="I168" i="1"/>
  <c r="R185" i="1"/>
  <c r="BG38" i="1"/>
  <c r="AN264" i="1"/>
  <c r="C140" i="1"/>
  <c r="AO38" i="1"/>
  <c r="S146" i="1"/>
  <c r="S150" i="1" s="1"/>
  <c r="Q185" i="1"/>
  <c r="B168" i="1"/>
  <c r="B197" i="1" s="1"/>
  <c r="B196" i="1" s="1"/>
  <c r="AR38" i="1"/>
  <c r="G160" i="1"/>
  <c r="G194" i="1" s="1"/>
  <c r="G193" i="1" s="1"/>
  <c r="N168" i="1"/>
  <c r="N197" i="1" s="1"/>
  <c r="N196" i="1" s="1"/>
  <c r="AY264" i="1"/>
  <c r="P140" i="1"/>
  <c r="P49" i="1" s="1"/>
  <c r="R160" i="1"/>
  <c r="R208" i="1" s="1"/>
  <c r="S160" i="1"/>
  <c r="AX264" i="1"/>
  <c r="M214" i="1"/>
  <c r="Q132" i="1"/>
  <c r="BV38" i="1"/>
  <c r="BV14" i="1" s="1"/>
  <c r="BW265" i="1"/>
  <c r="BH146" i="1"/>
  <c r="BH150" i="1" s="1"/>
  <c r="C168" i="1"/>
  <c r="C197" i="1" s="1"/>
  <c r="E168" i="1"/>
  <c r="E197" i="1" s="1"/>
  <c r="BF110" i="1"/>
  <c r="BF111" i="1" s="1"/>
  <c r="BI129" i="1"/>
  <c r="AV110" i="1"/>
  <c r="AV111" i="1" s="1"/>
  <c r="AX110" i="1"/>
  <c r="AX111" i="1" s="1"/>
  <c r="AI215" i="1"/>
  <c r="AI213" i="1" s="1"/>
  <c r="BN38" i="1"/>
  <c r="BH264" i="1"/>
  <c r="AP110" i="1"/>
  <c r="AP111" i="1" s="1"/>
  <c r="AP114" i="1" s="1"/>
  <c r="BH192" i="1"/>
  <c r="BI192" i="1" s="1"/>
  <c r="BD243" i="1"/>
  <c r="D77" i="1"/>
  <c r="D119" i="1" s="1"/>
  <c r="L146" i="1"/>
  <c r="I185" i="1"/>
  <c r="L160" i="1"/>
  <c r="G185" i="1"/>
  <c r="I132" i="1"/>
  <c r="K132" i="1"/>
  <c r="K141" i="1" s="1"/>
  <c r="K67" i="1" s="1"/>
  <c r="P146" i="1"/>
  <c r="P150" i="1" s="1"/>
  <c r="P256" i="1" s="1"/>
  <c r="BW38" i="1"/>
  <c r="BW14" i="1" s="1"/>
  <c r="BW15" i="1" s="1"/>
  <c r="E185" i="1"/>
  <c r="BD110" i="1"/>
  <c r="BD111" i="1" s="1"/>
  <c r="BD265" i="1"/>
  <c r="W214" i="1"/>
  <c r="AZ110" i="1"/>
  <c r="AZ111" i="1" s="1"/>
  <c r="AZ114" i="1" s="1"/>
  <c r="W185" i="1"/>
  <c r="BC265" i="1"/>
  <c r="AN243" i="1"/>
  <c r="BD22" i="1"/>
  <c r="BD23" i="1" s="1"/>
  <c r="C187" i="1"/>
  <c r="AN265" i="1"/>
  <c r="AW110" i="1"/>
  <c r="AW111" i="1" s="1"/>
  <c r="BH191" i="1"/>
  <c r="BI191" i="1" s="1"/>
  <c r="AI45" i="1"/>
  <c r="BM45" i="1"/>
  <c r="BV140" i="1"/>
  <c r="AS22" i="1"/>
  <c r="AS264" i="1"/>
  <c r="BF191" i="1"/>
  <c r="BG191" i="1" s="1"/>
  <c r="H214" i="1"/>
  <c r="BG110" i="1"/>
  <c r="BG111" i="1" s="1"/>
  <c r="BG116" i="1" s="1"/>
  <c r="BI22" i="1"/>
  <c r="BN200" i="1" s="1"/>
  <c r="BA28" i="1"/>
  <c r="BA40" i="1" s="1"/>
  <c r="AY110" i="1"/>
  <c r="AY111" i="1" s="1"/>
  <c r="BM206" i="1"/>
  <c r="AX191" i="1"/>
  <c r="AR265" i="1"/>
  <c r="BN45" i="1"/>
  <c r="BM265" i="1"/>
  <c r="AR195" i="1"/>
  <c r="AS195" i="1" s="1"/>
  <c r="BF22" i="1"/>
  <c r="BF24" i="1" s="1"/>
  <c r="AY243" i="1"/>
  <c r="AN191" i="1"/>
  <c r="AO191" i="1" s="1"/>
  <c r="C214" i="1"/>
  <c r="BB264" i="1"/>
  <c r="BK45" i="1"/>
  <c r="AQ264" i="1"/>
  <c r="AT265" i="1"/>
  <c r="BS110" i="1"/>
  <c r="BS111" i="1" s="1"/>
  <c r="BS115" i="1" s="1"/>
  <c r="AW22" i="1"/>
  <c r="AW28" i="1" s="1"/>
  <c r="AY22" i="1"/>
  <c r="BH140" i="1"/>
  <c r="AZ191" i="1"/>
  <c r="BA191" i="1" s="1"/>
  <c r="AZ192" i="1"/>
  <c r="BA192" i="1" s="1"/>
  <c r="BS13" i="1"/>
  <c r="BI264" i="1"/>
  <c r="AR22" i="1"/>
  <c r="F160" i="1"/>
  <c r="F169" i="1" s="1"/>
  <c r="BB110" i="1"/>
  <c r="BB111" i="1" s="1"/>
  <c r="BB116" i="1" s="1"/>
  <c r="AV22" i="1"/>
  <c r="BI110" i="1"/>
  <c r="BI111" i="1" s="1"/>
  <c r="BI115" i="1" s="1"/>
  <c r="AS110" i="1"/>
  <c r="AS111" i="1" s="1"/>
  <c r="AS114" i="1" s="1"/>
  <c r="BX110" i="1"/>
  <c r="BX111" i="1" s="1"/>
  <c r="BX114" i="1" s="1"/>
  <c r="O132" i="1"/>
  <c r="O187" i="1" s="1"/>
  <c r="BV168" i="1"/>
  <c r="BV197" i="1" s="1"/>
  <c r="BV196" i="1" s="1"/>
  <c r="BB22" i="1"/>
  <c r="BO265" i="1"/>
  <c r="BK206" i="1"/>
  <c r="AR110" i="1"/>
  <c r="AR111" i="1" s="1"/>
  <c r="AR116" i="1" s="1"/>
  <c r="AU265" i="1"/>
  <c r="BL110" i="1"/>
  <c r="BL111" i="1" s="1"/>
  <c r="BL116" i="1" s="1"/>
  <c r="BJ39" i="1"/>
  <c r="AP265" i="1"/>
  <c r="C185" i="1"/>
  <c r="BS243" i="1"/>
  <c r="BH22" i="1"/>
  <c r="AZ28" i="1"/>
  <c r="AV192" i="1"/>
  <c r="AW192" i="1" s="1"/>
  <c r="BF243" i="1"/>
  <c r="BH110" i="1"/>
  <c r="BH111" i="1" s="1"/>
  <c r="BH115" i="1" s="1"/>
  <c r="V160" i="1"/>
  <c r="V194" i="1" s="1"/>
  <c r="V193" i="1" s="1"/>
  <c r="AZ206" i="1"/>
  <c r="BP195" i="1"/>
  <c r="BQ195" i="1" s="1"/>
  <c r="AV195" i="1"/>
  <c r="AV191" i="1"/>
  <c r="AW191" i="1" s="1"/>
  <c r="R214" i="1"/>
  <c r="BR13" i="1"/>
  <c r="BR15" i="1" s="1"/>
  <c r="N132" i="1"/>
  <c r="N187" i="1" s="1"/>
  <c r="BF192" i="1"/>
  <c r="BG192" i="1" s="1"/>
  <c r="AS265" i="1"/>
  <c r="BN206" i="1"/>
  <c r="AU110" i="1"/>
  <c r="AU111" i="1" s="1"/>
  <c r="AU116" i="1" s="1"/>
  <c r="BF265" i="1"/>
  <c r="BK49" i="1"/>
  <c r="K214" i="1"/>
  <c r="BH195" i="1"/>
  <c r="BI195" i="1" s="1"/>
  <c r="K160" i="1"/>
  <c r="BH265" i="1"/>
  <c r="BZ110" i="1"/>
  <c r="BZ111" i="1" s="1"/>
  <c r="BZ115" i="1" s="1"/>
  <c r="AX265" i="1"/>
  <c r="BH168" i="1"/>
  <c r="BH197" i="1" s="1"/>
  <c r="AW243" i="1"/>
  <c r="AQ110" i="1"/>
  <c r="AQ111" i="1" s="1"/>
  <c r="AQ116" i="1" s="1"/>
  <c r="BW243" i="1"/>
  <c r="AO110" i="1"/>
  <c r="AO111" i="1" s="1"/>
  <c r="AO115" i="1" s="1"/>
  <c r="BV132" i="1"/>
  <c r="BK110" i="1"/>
  <c r="BK111" i="1" s="1"/>
  <c r="BK116" i="1" s="1"/>
  <c r="BY110" i="1"/>
  <c r="BY111" i="1" s="1"/>
  <c r="BY116" i="1" s="1"/>
  <c r="BR22" i="1"/>
  <c r="V70" i="1" s="1"/>
  <c r="AZ243" i="1"/>
  <c r="BR195" i="1"/>
  <c r="BS195" i="1" s="1"/>
  <c r="BF195" i="1"/>
  <c r="BG195" i="1" s="1"/>
  <c r="BR191" i="1"/>
  <c r="BS191" i="1" s="1"/>
  <c r="BR243" i="1"/>
  <c r="U160" i="1"/>
  <c r="U194" i="1" s="1"/>
  <c r="U193" i="1" s="1"/>
  <c r="E132" i="1"/>
  <c r="BW110" i="1"/>
  <c r="BW111" i="1" s="1"/>
  <c r="BW116" i="1" s="1"/>
  <c r="AV264" i="1"/>
  <c r="BT206" i="1"/>
  <c r="BJ110" i="1"/>
  <c r="BJ111" i="1" s="1"/>
  <c r="BJ114" i="1" s="1"/>
  <c r="BA110" i="1"/>
  <c r="BA111" i="1" s="1"/>
  <c r="BA116" i="1" s="1"/>
  <c r="BK215" i="1"/>
  <c r="BK213" i="1" s="1"/>
  <c r="BB192" i="1"/>
  <c r="BC192" i="1" s="1"/>
  <c r="BV265" i="1"/>
  <c r="BW214" i="1"/>
  <c r="BE265" i="1"/>
  <c r="BI265" i="1"/>
  <c r="BW22" i="1"/>
  <c r="BQ265" i="1"/>
  <c r="AW265" i="1"/>
  <c r="BV160" i="1"/>
  <c r="BV194" i="1" s="1"/>
  <c r="BV193" i="1" s="1"/>
  <c r="BR110" i="1"/>
  <c r="BR111" i="1" s="1"/>
  <c r="BH160" i="1"/>
  <c r="BH194" i="1" s="1"/>
  <c r="BB195" i="1"/>
  <c r="BC195" i="1" s="1"/>
  <c r="AR191" i="1"/>
  <c r="AS191" i="1" s="1"/>
  <c r="BR192" i="1"/>
  <c r="BS192" i="1" s="1"/>
  <c r="AZ195" i="1"/>
  <c r="BA195" i="1" s="1"/>
  <c r="P214" i="1"/>
  <c r="L132" i="1"/>
  <c r="L260" i="1" s="1"/>
  <c r="D132" i="1"/>
  <c r="T150" i="1"/>
  <c r="P221" i="1"/>
  <c r="H45" i="1"/>
  <c r="F45" i="1"/>
  <c r="AR146" i="1"/>
  <c r="M187" i="1"/>
  <c r="BD173" i="1"/>
  <c r="BE221" i="1" s="1"/>
  <c r="E45" i="1"/>
  <c r="E150" i="1"/>
  <c r="J187" i="1"/>
  <c r="J66" i="1"/>
  <c r="AN173" i="1"/>
  <c r="AO221" i="1" s="1"/>
  <c r="AV173" i="1"/>
  <c r="AW221" i="1" s="1"/>
  <c r="BN173" i="1"/>
  <c r="BO221" i="1" s="1"/>
  <c r="Q197" i="1"/>
  <c r="BR146" i="1"/>
  <c r="BS140" i="1"/>
  <c r="N49" i="1"/>
  <c r="V66" i="1"/>
  <c r="V187" i="1"/>
  <c r="AZ146" i="1"/>
  <c r="BP146" i="1"/>
  <c r="BT173" i="1"/>
  <c r="BU221" i="1" s="1"/>
  <c r="BP173" i="1"/>
  <c r="BQ221" i="1" s="1"/>
  <c r="BB173" i="1"/>
  <c r="AZ173" i="1"/>
  <c r="BA221" i="1" s="1"/>
  <c r="BE140" i="1"/>
  <c r="AR173" i="1"/>
  <c r="AS221" i="1" s="1"/>
  <c r="AQ152" i="1"/>
  <c r="AW152" i="1"/>
  <c r="AX214" i="1" s="1"/>
  <c r="AQ154" i="1"/>
  <c r="AP160" i="1"/>
  <c r="AP194" i="1" s="1"/>
  <c r="AS136" i="1"/>
  <c r="AS140" i="1" s="1"/>
  <c r="AR140" i="1"/>
  <c r="AU129" i="1"/>
  <c r="AT132" i="1"/>
  <c r="AT104" i="1" s="1"/>
  <c r="AS129" i="1"/>
  <c r="AR132" i="1"/>
  <c r="AX132" i="1"/>
  <c r="AY129" i="1"/>
  <c r="AY136" i="1"/>
  <c r="AY140" i="1" s="1"/>
  <c r="AX140" i="1"/>
  <c r="BO152" i="1"/>
  <c r="BN214" i="1"/>
  <c r="BT146" i="1"/>
  <c r="AT146" i="1"/>
  <c r="BF173" i="1"/>
  <c r="BG221" i="1" s="1"/>
  <c r="BF146" i="1"/>
  <c r="AV146" i="1"/>
  <c r="BD146" i="1"/>
  <c r="AP146" i="1"/>
  <c r="AU154" i="1"/>
  <c r="AT160" i="1"/>
  <c r="BC129" i="1"/>
  <c r="BB132" i="1"/>
  <c r="BB104" i="1" s="1"/>
  <c r="AO136" i="1"/>
  <c r="AO140" i="1" s="1"/>
  <c r="AN140" i="1"/>
  <c r="AR192" i="1"/>
  <c r="AS192" i="1" s="1"/>
  <c r="AR160" i="1"/>
  <c r="AR194" i="1" s="1"/>
  <c r="AO129" i="1"/>
  <c r="AN132" i="1"/>
  <c r="BC136" i="1"/>
  <c r="BC140" i="1" s="1"/>
  <c r="BB140" i="1"/>
  <c r="BU152" i="1"/>
  <c r="BV214" i="1" s="1"/>
  <c r="BE129" i="1"/>
  <c r="BD132" i="1"/>
  <c r="AU162" i="1"/>
  <c r="AT168" i="1"/>
  <c r="AT197" i="1" s="1"/>
  <c r="AT196" i="1" s="1"/>
  <c r="AY161" i="1"/>
  <c r="BO136" i="1"/>
  <c r="BO140" i="1" s="1"/>
  <c r="BN140" i="1"/>
  <c r="AW136" i="1"/>
  <c r="AO154" i="1"/>
  <c r="AN160" i="1"/>
  <c r="BS152" i="1"/>
  <c r="BR214" i="1"/>
  <c r="BU136" i="1"/>
  <c r="BU140" i="1" s="1"/>
  <c r="BT140" i="1"/>
  <c r="AO152" i="1"/>
  <c r="AN214" i="1"/>
  <c r="BS129" i="1"/>
  <c r="BR132" i="1"/>
  <c r="BR104" i="1" s="1"/>
  <c r="BF214" i="1"/>
  <c r="AQ140" i="1"/>
  <c r="AT214" i="1"/>
  <c r="AN146" i="1"/>
  <c r="AP173" i="1"/>
  <c r="BT168" i="1"/>
  <c r="BT197" i="1" s="1"/>
  <c r="BN146" i="1"/>
  <c r="BB146" i="1"/>
  <c r="AT173" i="1"/>
  <c r="AU221" i="1" s="1"/>
  <c r="AZ132" i="1"/>
  <c r="BR173" i="1"/>
  <c r="AR168" i="1"/>
  <c r="BN132" i="1"/>
  <c r="AS214" i="1"/>
  <c r="BP168" i="1"/>
  <c r="BP197" i="1" s="1"/>
  <c r="BT132" i="1"/>
  <c r="BF140" i="1"/>
  <c r="BE214" i="1"/>
  <c r="BR168" i="1"/>
  <c r="BR197" i="1" s="1"/>
  <c r="BP160" i="1"/>
  <c r="BP194" i="1" s="1"/>
  <c r="BP193" i="1" s="1"/>
  <c r="AZ140" i="1"/>
  <c r="BQ214" i="1"/>
  <c r="AP140" i="1"/>
  <c r="AP132" i="1"/>
  <c r="AP104" i="1" s="1"/>
  <c r="BD168" i="1"/>
  <c r="BD197" i="1" s="1"/>
  <c r="BP132" i="1"/>
  <c r="BP104" i="1" s="1"/>
  <c r="BP106" i="1" s="1"/>
  <c r="BN168" i="1"/>
  <c r="BN197" i="1" s="1"/>
  <c r="AN168" i="1"/>
  <c r="AN197" i="1" s="1"/>
  <c r="BP140" i="1"/>
  <c r="BG140" i="1"/>
  <c r="BA140" i="1"/>
  <c r="AT140" i="1"/>
  <c r="AP168" i="1"/>
  <c r="BF168" i="1"/>
  <c r="BF197" i="1" s="1"/>
  <c r="AV168" i="1"/>
  <c r="AV197" i="1" s="1"/>
  <c r="BF132" i="1"/>
  <c r="BQ140" i="1"/>
  <c r="BR140" i="1"/>
  <c r="BD140" i="1"/>
  <c r="AZ168" i="1"/>
  <c r="AZ197" i="1" s="1"/>
  <c r="AV132" i="1"/>
  <c r="AU140" i="1"/>
  <c r="AW155" i="1"/>
  <c r="AV160" i="1"/>
  <c r="BC155" i="1"/>
  <c r="BB160" i="1"/>
  <c r="BG155" i="1"/>
  <c r="BF160" i="1"/>
  <c r="BE155" i="1"/>
  <c r="BD160" i="1"/>
  <c r="BO155" i="1"/>
  <c r="BN160" i="1"/>
  <c r="BU155" i="1"/>
  <c r="BT160" i="1"/>
  <c r="AY155" i="1"/>
  <c r="AX160" i="1"/>
  <c r="BS155" i="1"/>
  <c r="BR160" i="1"/>
  <c r="BA155" i="1"/>
  <c r="AZ160" i="1"/>
  <c r="AU214" i="1"/>
  <c r="AV214" i="1"/>
  <c r="BB214" i="1"/>
  <c r="BA214" i="1"/>
  <c r="AY214" i="1"/>
  <c r="AZ214" i="1"/>
  <c r="BK24" i="1"/>
  <c r="BL24" i="1"/>
  <c r="BK28" i="1"/>
  <c r="AM64" i="1"/>
  <c r="AM131" i="1"/>
  <c r="AM132" i="1" s="1"/>
  <c r="AM141" i="1" s="1"/>
  <c r="AM205" i="1"/>
  <c r="AM207" i="1" s="1"/>
  <c r="AM78" i="1"/>
  <c r="AM81" i="1" s="1"/>
  <c r="BU23" i="1"/>
  <c r="BQ28" i="1"/>
  <c r="BQ24" i="1"/>
  <c r="BC214" i="1"/>
  <c r="BD214" i="1"/>
  <c r="BU39" i="1"/>
  <c r="BU28" i="1"/>
  <c r="BA24" i="1"/>
  <c r="BY23" i="1"/>
  <c r="BU200" i="1"/>
  <c r="BO23" i="1"/>
  <c r="BP24" i="1"/>
  <c r="BO28" i="1"/>
  <c r="BV115" i="1"/>
  <c r="BV114" i="1"/>
  <c r="BV116" i="1"/>
  <c r="BP28" i="1"/>
  <c r="BP200" i="1"/>
  <c r="AU28" i="1"/>
  <c r="AU39" i="1"/>
  <c r="BS28" i="1"/>
  <c r="BT24" i="1"/>
  <c r="BW195" i="1"/>
  <c r="BC28" i="1"/>
  <c r="BG214" i="1"/>
  <c r="BS23" i="1"/>
  <c r="BT200" i="1"/>
  <c r="BP39" i="1"/>
  <c r="BP23" i="1"/>
  <c r="BT39" i="1"/>
  <c r="AN114" i="1"/>
  <c r="AN115" i="1"/>
  <c r="AN116" i="1"/>
  <c r="BX23" i="1"/>
  <c r="BU24" i="1"/>
  <c r="BT28" i="1"/>
  <c r="BY200" i="1"/>
  <c r="AX28" i="1"/>
  <c r="AO23" i="1"/>
  <c r="AO28" i="1"/>
  <c r="BT23" i="1"/>
  <c r="BV150" i="1"/>
  <c r="BW45" i="1"/>
  <c r="BW146" i="1"/>
  <c r="BJ41" i="1"/>
  <c r="BJ46" i="1"/>
  <c r="BJ50" i="1" s="1"/>
  <c r="BJ244" i="1"/>
  <c r="BJ245" i="1" s="1"/>
  <c r="F196" i="1"/>
  <c r="CQ150" i="1"/>
  <c r="CR44" i="1"/>
  <c r="AE89" i="1"/>
  <c r="AB137" i="1"/>
  <c r="AB140" i="1" s="1"/>
  <c r="AB261" i="1" s="1"/>
  <c r="AD154" i="1"/>
  <c r="CZ77" i="1"/>
  <c r="DA75" i="1"/>
  <c r="BV28" i="1" l="1"/>
  <c r="BA30" i="1"/>
  <c r="AV39" i="1"/>
  <c r="M66" i="1"/>
  <c r="M219" i="1"/>
  <c r="H66" i="1"/>
  <c r="V180" i="1"/>
  <c r="V121" i="1" s="1"/>
  <c r="V49" i="1"/>
  <c r="T219" i="1"/>
  <c r="T187" i="1"/>
  <c r="J45" i="1"/>
  <c r="J150" i="1"/>
  <c r="U45" i="1"/>
  <c r="U150" i="1"/>
  <c r="B150" i="1"/>
  <c r="B45" i="1"/>
  <c r="I221" i="1"/>
  <c r="H260" i="1"/>
  <c r="C119" i="1"/>
  <c r="C120" i="1"/>
  <c r="C78" i="1"/>
  <c r="T218" i="1"/>
  <c r="U261" i="1"/>
  <c r="U263" i="1" s="1"/>
  <c r="T180" i="1"/>
  <c r="T121" i="1" s="1"/>
  <c r="O218" i="1"/>
  <c r="J49" i="1"/>
  <c r="J180" i="1"/>
  <c r="J121" i="1" s="1"/>
  <c r="J261" i="1"/>
  <c r="J263" i="1" s="1"/>
  <c r="H218" i="1"/>
  <c r="H180" i="1"/>
  <c r="H121" i="1" s="1"/>
  <c r="H141" i="1"/>
  <c r="H67" i="1" s="1"/>
  <c r="H49" i="1"/>
  <c r="V261" i="1"/>
  <c r="V263" i="1" s="1"/>
  <c r="R180" i="1"/>
  <c r="R121" i="1" s="1"/>
  <c r="R141" i="1"/>
  <c r="R67" i="1" s="1"/>
  <c r="S209" i="1"/>
  <c r="U221" i="1"/>
  <c r="T260" i="1"/>
  <c r="S194" i="1"/>
  <c r="S169" i="1"/>
  <c r="T66" i="1"/>
  <c r="S45" i="1"/>
  <c r="S261" i="1"/>
  <c r="S263" i="1" s="1"/>
  <c r="S218" i="1"/>
  <c r="S180" i="1"/>
  <c r="S121" i="1" s="1"/>
  <c r="S49" i="1"/>
  <c r="S197" i="1"/>
  <c r="S196" i="1" s="1"/>
  <c r="T209" i="1"/>
  <c r="E221" i="1"/>
  <c r="D180" i="1"/>
  <c r="D121" i="1" s="1"/>
  <c r="G221" i="1"/>
  <c r="F180" i="1"/>
  <c r="F121" i="1" s="1"/>
  <c r="F260" i="1"/>
  <c r="F141" i="1"/>
  <c r="F67" i="1" s="1"/>
  <c r="F66" i="1"/>
  <c r="F187" i="1"/>
  <c r="G187" i="1"/>
  <c r="G66" i="1"/>
  <c r="G219" i="1"/>
  <c r="U66" i="1"/>
  <c r="J194" i="1"/>
  <c r="J193" i="1" s="1"/>
  <c r="L221" i="1"/>
  <c r="S66" i="1"/>
  <c r="Q194" i="1"/>
  <c r="Q193" i="1" s="1"/>
  <c r="K194" i="1"/>
  <c r="K193" i="1" s="1"/>
  <c r="D197" i="1"/>
  <c r="S221" i="1"/>
  <c r="P187" i="1"/>
  <c r="S260" i="1"/>
  <c r="S187" i="1"/>
  <c r="Q169" i="1"/>
  <c r="AX173" i="1"/>
  <c r="AY221" i="1" s="1"/>
  <c r="O261" i="1"/>
  <c r="O263" i="1" s="1"/>
  <c r="P66" i="1"/>
  <c r="P260" i="1"/>
  <c r="O150" i="1"/>
  <c r="O45" i="1"/>
  <c r="M221" i="1"/>
  <c r="Q49" i="1"/>
  <c r="AP193" i="1"/>
  <c r="AX168" i="1"/>
  <c r="AX197" i="1" s="1"/>
  <c r="AW140" i="1"/>
  <c r="AV140" i="1"/>
  <c r="BT196" i="1"/>
  <c r="AX146" i="1"/>
  <c r="BB168" i="1"/>
  <c r="BB197" i="1" s="1"/>
  <c r="BV15" i="1"/>
  <c r="L169" i="1"/>
  <c r="F194" i="1"/>
  <c r="R221" i="1"/>
  <c r="Q180" i="1"/>
  <c r="Q121" i="1" s="1"/>
  <c r="G150" i="1"/>
  <c r="G45" i="1"/>
  <c r="Q208" i="1"/>
  <c r="L197" i="1"/>
  <c r="L196" i="1" s="1"/>
  <c r="T49" i="1"/>
  <c r="T141" i="1"/>
  <c r="T67" i="1" s="1"/>
  <c r="O49" i="1"/>
  <c r="O180" i="1"/>
  <c r="O121" i="1" s="1"/>
  <c r="B49" i="1"/>
  <c r="B180" i="1"/>
  <c r="B121" i="1" s="1"/>
  <c r="K261" i="1"/>
  <c r="K263" i="1" s="1"/>
  <c r="K218" i="1"/>
  <c r="K49" i="1"/>
  <c r="K180" i="1"/>
  <c r="K121" i="1" s="1"/>
  <c r="D221" i="1"/>
  <c r="C260" i="1"/>
  <c r="W49" i="1"/>
  <c r="X261" i="1"/>
  <c r="X263" i="1" s="1"/>
  <c r="X218" i="1"/>
  <c r="U260" i="1"/>
  <c r="U187" i="1"/>
  <c r="M150" i="1"/>
  <c r="M45" i="1"/>
  <c r="S141" i="1"/>
  <c r="S67" i="1" s="1"/>
  <c r="S219" i="1"/>
  <c r="H194" i="1"/>
  <c r="D194" i="1"/>
  <c r="D193" i="1" s="1"/>
  <c r="D169" i="1"/>
  <c r="I49" i="1"/>
  <c r="I218" i="1"/>
  <c r="N180" i="1"/>
  <c r="N121" i="1" s="1"/>
  <c r="L218" i="1"/>
  <c r="V141" i="1"/>
  <c r="V67" i="1" s="1"/>
  <c r="R218" i="1"/>
  <c r="K197" i="1"/>
  <c r="N194" i="1"/>
  <c r="G197" i="1"/>
  <c r="G209" i="1"/>
  <c r="M261" i="1"/>
  <c r="M263" i="1" s="1"/>
  <c r="M49" i="1"/>
  <c r="M141" i="1"/>
  <c r="M67" i="1" s="1"/>
  <c r="V150" i="1"/>
  <c r="V45" i="1"/>
  <c r="V197" i="1"/>
  <c r="V209" i="1"/>
  <c r="BH106" i="1"/>
  <c r="BH107" i="1"/>
  <c r="D49" i="1"/>
  <c r="C141" i="1"/>
  <c r="C67" i="1" s="1"/>
  <c r="BW218" i="1"/>
  <c r="BV40" i="1"/>
  <c r="F177" i="1"/>
  <c r="BX256" i="1"/>
  <c r="E218" i="1"/>
  <c r="B120" i="1"/>
  <c r="U219" i="1"/>
  <c r="B119" i="1"/>
  <c r="BU15" i="1"/>
  <c r="R45" i="1"/>
  <c r="D218" i="1"/>
  <c r="T256" i="1"/>
  <c r="R187" i="1"/>
  <c r="C49" i="1"/>
  <c r="D261" i="1"/>
  <c r="D263" i="1" s="1"/>
  <c r="U209" i="1"/>
  <c r="C261" i="1"/>
  <c r="C263" i="1" s="1"/>
  <c r="P208" i="1"/>
  <c r="E208" i="1"/>
  <c r="I219" i="1"/>
  <c r="R219" i="1"/>
  <c r="N45" i="1"/>
  <c r="N150" i="1"/>
  <c r="L45" i="1"/>
  <c r="L150" i="1"/>
  <c r="C150" i="1"/>
  <c r="C45" i="1"/>
  <c r="H187" i="1"/>
  <c r="H219" i="1"/>
  <c r="O141" i="1"/>
  <c r="O67" i="1" s="1"/>
  <c r="I260" i="1"/>
  <c r="I66" i="1"/>
  <c r="I187" i="1"/>
  <c r="D122" i="1"/>
  <c r="D125" i="1" s="1"/>
  <c r="J218" i="1"/>
  <c r="K45" i="1"/>
  <c r="K150" i="1"/>
  <c r="M218" i="1"/>
  <c r="W150" i="1"/>
  <c r="X215" i="1" s="1"/>
  <c r="X213" i="1" s="1"/>
  <c r="W45" i="1"/>
  <c r="R260" i="1"/>
  <c r="V219" i="1"/>
  <c r="V260" i="1"/>
  <c r="N208" i="1"/>
  <c r="Q219" i="1"/>
  <c r="P194" i="1"/>
  <c r="P169" i="1"/>
  <c r="I261" i="1"/>
  <c r="I263" i="1" s="1"/>
  <c r="Q45" i="1"/>
  <c r="Q150" i="1"/>
  <c r="G141" i="1"/>
  <c r="G67" i="1" s="1"/>
  <c r="G49" i="1"/>
  <c r="G180" i="1"/>
  <c r="G121" i="1" s="1"/>
  <c r="U218" i="1"/>
  <c r="U180" i="1"/>
  <c r="U121" i="1" s="1"/>
  <c r="U49" i="1"/>
  <c r="U141" i="1"/>
  <c r="U67" i="1" s="1"/>
  <c r="V218" i="1"/>
  <c r="R261" i="1"/>
  <c r="R263" i="1" s="1"/>
  <c r="H169" i="1"/>
  <c r="H177" i="1" s="1"/>
  <c r="I209" i="1"/>
  <c r="I197" i="1"/>
  <c r="Q209" i="1"/>
  <c r="R209" i="1"/>
  <c r="P180" i="1"/>
  <c r="P121" i="1" s="1"/>
  <c r="P261" i="1"/>
  <c r="P263" i="1" s="1"/>
  <c r="H221" i="1"/>
  <c r="G260" i="1"/>
  <c r="T194" i="1"/>
  <c r="T169" i="1"/>
  <c r="E49" i="1"/>
  <c r="N141" i="1"/>
  <c r="N67" i="1" s="1"/>
  <c r="N261" i="1"/>
  <c r="N263" i="1" s="1"/>
  <c r="N218" i="1"/>
  <c r="L180" i="1"/>
  <c r="L121" i="1" s="1"/>
  <c r="L49" i="1"/>
  <c r="L261" i="1"/>
  <c r="L263" i="1" s="1"/>
  <c r="B169" i="1"/>
  <c r="B194" i="1"/>
  <c r="C208" i="1"/>
  <c r="Q141" i="1"/>
  <c r="Q67" i="1" s="1"/>
  <c r="N169" i="1"/>
  <c r="G169" i="1"/>
  <c r="O209" i="1"/>
  <c r="U197" i="1"/>
  <c r="V169" i="1"/>
  <c r="AZ39" i="1"/>
  <c r="BK23" i="1"/>
  <c r="O70" i="1"/>
  <c r="BK39" i="1"/>
  <c r="AW39" i="1"/>
  <c r="BE39" i="1"/>
  <c r="AT39" i="1"/>
  <c r="AY39" i="1"/>
  <c r="AP237" i="1"/>
  <c r="AQ24" i="1"/>
  <c r="AZ24" i="1"/>
  <c r="AY28" i="1"/>
  <c r="AP28" i="1"/>
  <c r="AP23" i="1"/>
  <c r="BA39" i="1"/>
  <c r="BQ39" i="1"/>
  <c r="AP39" i="1"/>
  <c r="AQ200" i="1"/>
  <c r="BM39" i="1"/>
  <c r="BQ23" i="1"/>
  <c r="BM237" i="1"/>
  <c r="BM23" i="1"/>
  <c r="BQ40" i="1"/>
  <c r="BM28" i="1"/>
  <c r="BM24" i="1"/>
  <c r="AX23" i="1"/>
  <c r="BH28" i="1"/>
  <c r="BL23" i="1"/>
  <c r="H258" i="1"/>
  <c r="H256" i="1"/>
  <c r="BR196" i="1"/>
  <c r="BD196" i="1"/>
  <c r="BF196" i="1"/>
  <c r="AV196" i="1"/>
  <c r="AI196" i="1"/>
  <c r="BH169" i="1"/>
  <c r="BH177" i="1" s="1"/>
  <c r="BC114" i="1"/>
  <c r="BC116" i="1"/>
  <c r="BC115" i="1"/>
  <c r="BF115" i="1"/>
  <c r="BF116" i="1"/>
  <c r="BF114" i="1"/>
  <c r="B80" i="1"/>
  <c r="B81" i="1"/>
  <c r="B99" i="1" s="1"/>
  <c r="AU115" i="1"/>
  <c r="BJ116" i="1"/>
  <c r="BN115" i="1"/>
  <c r="BN116" i="1"/>
  <c r="BN114" i="1"/>
  <c r="BR114" i="1"/>
  <c r="BR116" i="1"/>
  <c r="BR115" i="1"/>
  <c r="BS114" i="1"/>
  <c r="BO115" i="1"/>
  <c r="BO116" i="1"/>
  <c r="BP115" i="1"/>
  <c r="BP116" i="1"/>
  <c r="BP114" i="1"/>
  <c r="AO114" i="1"/>
  <c r="AO116" i="1"/>
  <c r="F261" i="1"/>
  <c r="F263" i="1" s="1"/>
  <c r="M168" i="1"/>
  <c r="P209" i="1"/>
  <c r="M180" i="1"/>
  <c r="M121" i="1" s="1"/>
  <c r="BI39" i="1"/>
  <c r="J209" i="1"/>
  <c r="BG39" i="1"/>
  <c r="BI140" i="1"/>
  <c r="R150" i="1"/>
  <c r="R258" i="1" s="1"/>
  <c r="O260" i="1"/>
  <c r="BV141" i="1"/>
  <c r="BS15" i="1"/>
  <c r="J208" i="1"/>
  <c r="J141" i="1"/>
  <c r="J67" i="1" s="1"/>
  <c r="J260" i="1"/>
  <c r="Q260" i="1"/>
  <c r="H209" i="1"/>
  <c r="I45" i="1"/>
  <c r="T208" i="1"/>
  <c r="H261" i="1"/>
  <c r="H263" i="1" s="1"/>
  <c r="G218" i="1"/>
  <c r="G261" i="1"/>
  <c r="G263" i="1" s="1"/>
  <c r="J219" i="1"/>
  <c r="C194" i="1"/>
  <c r="C193" i="1" s="1"/>
  <c r="D208" i="1"/>
  <c r="K260" i="1"/>
  <c r="B187" i="1"/>
  <c r="T261" i="1"/>
  <c r="T263" i="1" s="1"/>
  <c r="C218" i="1"/>
  <c r="B141" i="1"/>
  <c r="B67" i="1" s="1"/>
  <c r="C180" i="1"/>
  <c r="C121" i="1" s="1"/>
  <c r="W261" i="1"/>
  <c r="W263" i="1" s="1"/>
  <c r="W218" i="1"/>
  <c r="J169" i="1"/>
  <c r="D78" i="1"/>
  <c r="D120" i="1"/>
  <c r="Q66" i="1"/>
  <c r="Q187" i="1"/>
  <c r="L141" i="1"/>
  <c r="L67" i="1" s="1"/>
  <c r="O208" i="1"/>
  <c r="K209" i="1"/>
  <c r="J197" i="1"/>
  <c r="L194" i="1"/>
  <c r="M208" i="1"/>
  <c r="O194" i="1"/>
  <c r="O193" i="1" s="1"/>
  <c r="O169" i="1"/>
  <c r="I141" i="1"/>
  <c r="I67" i="1" s="1"/>
  <c r="P219" i="1"/>
  <c r="R197" i="1"/>
  <c r="AI198" i="1"/>
  <c r="BH141" i="1"/>
  <c r="AI39" i="1"/>
  <c r="BA31" i="1"/>
  <c r="BH39" i="1"/>
  <c r="AS28" i="1"/>
  <c r="BJ23" i="1"/>
  <c r="BF28" i="1"/>
  <c r="BF40" i="1" s="1"/>
  <c r="BJ42" i="1" s="1"/>
  <c r="BV39" i="1"/>
  <c r="BC39" i="1"/>
  <c r="AY200" i="1"/>
  <c r="AY191" i="1"/>
  <c r="F258" i="1"/>
  <c r="F256" i="1"/>
  <c r="BG114" i="1"/>
  <c r="BV24" i="1"/>
  <c r="BO39" i="1"/>
  <c r="BX218" i="1"/>
  <c r="BX261" i="1"/>
  <c r="BW114" i="1"/>
  <c r="AT23" i="1"/>
  <c r="AU24" i="1"/>
  <c r="AT200" i="1"/>
  <c r="AR28" i="1"/>
  <c r="AR40" i="1" s="1"/>
  <c r="AR41" i="1" s="1"/>
  <c r="AT29" i="1"/>
  <c r="AT40" i="1"/>
  <c r="BV29" i="1"/>
  <c r="BZ30" i="1"/>
  <c r="N70" i="1"/>
  <c r="AL256" i="1"/>
  <c r="AJ24" i="1"/>
  <c r="AM23" i="1"/>
  <c r="AL237" i="1"/>
  <c r="AI28" i="1"/>
  <c r="BX116" i="1"/>
  <c r="AT115" i="1"/>
  <c r="AT116" i="1"/>
  <c r="AT114" i="1"/>
  <c r="BT116" i="1"/>
  <c r="BT115" i="1"/>
  <c r="BT114" i="1"/>
  <c r="BI28" i="1"/>
  <c r="BJ200" i="1"/>
  <c r="BL256" i="1"/>
  <c r="BL237" i="1"/>
  <c r="AW29" i="1"/>
  <c r="AW40" i="1"/>
  <c r="BQ200" i="1"/>
  <c r="AY23" i="1"/>
  <c r="BS39" i="1"/>
  <c r="BX200" i="1"/>
  <c r="BE28" i="1"/>
  <c r="BE30" i="1" s="1"/>
  <c r="BI23" i="1"/>
  <c r="BE23" i="1"/>
  <c r="BC23" i="1"/>
  <c r="AW195" i="1"/>
  <c r="BD114" i="1"/>
  <c r="BD115" i="1"/>
  <c r="BD116" i="1"/>
  <c r="BK237" i="1"/>
  <c r="T70" i="1"/>
  <c r="BL200" i="1"/>
  <c r="AZ40" i="1"/>
  <c r="AV200" i="1"/>
  <c r="BK115" i="1"/>
  <c r="BK114" i="1"/>
  <c r="AY24" i="1"/>
  <c r="BG24" i="1"/>
  <c r="AZ29" i="1"/>
  <c r="BH180" i="1"/>
  <c r="AR39" i="1"/>
  <c r="AI193" i="1"/>
  <c r="BZ23" i="1"/>
  <c r="BZ200" i="1"/>
  <c r="BK200" i="1"/>
  <c r="BH237" i="1"/>
  <c r="AR237" i="1"/>
  <c r="W70" i="1"/>
  <c r="AS39" i="1"/>
  <c r="AN39" i="1"/>
  <c r="BE115" i="1"/>
  <c r="BV237" i="1"/>
  <c r="AP24" i="1"/>
  <c r="BA237" i="1"/>
  <c r="AU23" i="1"/>
  <c r="AU200" i="1"/>
  <c r="BJ24" i="1"/>
  <c r="BQ115" i="1"/>
  <c r="BQ116" i="1"/>
  <c r="AX39" i="1"/>
  <c r="AL114" i="1"/>
  <c r="AL115" i="1"/>
  <c r="BE114" i="1"/>
  <c r="AQ237" i="1"/>
  <c r="AQ115" i="1"/>
  <c r="BM200" i="1"/>
  <c r="BB24" i="1"/>
  <c r="R70" i="1"/>
  <c r="BN23" i="1"/>
  <c r="BN28" i="1"/>
  <c r="BN24" i="1"/>
  <c r="BR23" i="1"/>
  <c r="BZ114" i="1"/>
  <c r="BM116" i="1"/>
  <c r="BM114" i="1"/>
  <c r="BM115" i="1"/>
  <c r="AR114" i="1"/>
  <c r="AR115" i="1"/>
  <c r="U70" i="1"/>
  <c r="BQ237" i="1"/>
  <c r="BO24" i="1"/>
  <c r="AP200" i="1"/>
  <c r="AQ114" i="1"/>
  <c r="BW237" i="1"/>
  <c r="BB23" i="1"/>
  <c r="BI146" i="1"/>
  <c r="AV114" i="1"/>
  <c r="AV116" i="1"/>
  <c r="AV115" i="1"/>
  <c r="AY114" i="1"/>
  <c r="AY115" i="1"/>
  <c r="AY116" i="1"/>
  <c r="AQ28" i="1"/>
  <c r="AQ23" i="1"/>
  <c r="AR24" i="1"/>
  <c r="AX114" i="1"/>
  <c r="AX116" i="1"/>
  <c r="AX115" i="1"/>
  <c r="BV169" i="1"/>
  <c r="AR200" i="1"/>
  <c r="BC24" i="1"/>
  <c r="BP237" i="1"/>
  <c r="BC237" i="1"/>
  <c r="BO237" i="1"/>
  <c r="AO200" i="1"/>
  <c r="BI221" i="1"/>
  <c r="BH260" i="1"/>
  <c r="AO39" i="1"/>
  <c r="BZ256" i="1"/>
  <c r="CA23" i="1"/>
  <c r="BW24" i="1"/>
  <c r="BY237" i="1"/>
  <c r="BZ237" i="1"/>
  <c r="BX24" i="1"/>
  <c r="BX237" i="1"/>
  <c r="AN23" i="1"/>
  <c r="AO237" i="1"/>
  <c r="AN28" i="1"/>
  <c r="AN24" i="1"/>
  <c r="AN237" i="1"/>
  <c r="AO24" i="1"/>
  <c r="AR23" i="1"/>
  <c r="BI24" i="1"/>
  <c r="BN39" i="1"/>
  <c r="BI45" i="1"/>
  <c r="BC200" i="1"/>
  <c r="BO200" i="1"/>
  <c r="BN237" i="1"/>
  <c r="BA114" i="1"/>
  <c r="BA115" i="1"/>
  <c r="BG200" i="1"/>
  <c r="BJ237" i="1"/>
  <c r="BJ256" i="1"/>
  <c r="BH24" i="1"/>
  <c r="BG28" i="1"/>
  <c r="AW114" i="1"/>
  <c r="AW116" i="1"/>
  <c r="AW115" i="1"/>
  <c r="BW39" i="1"/>
  <c r="BG23" i="1"/>
  <c r="AN200" i="1"/>
  <c r="AQ39" i="1"/>
  <c r="BH198" i="1"/>
  <c r="BL201" i="1" s="1"/>
  <c r="AW23" i="1"/>
  <c r="BV180" i="1"/>
  <c r="R169" i="1"/>
  <c r="O197" i="1"/>
  <c r="P218" i="1"/>
  <c r="I169" i="1"/>
  <c r="E209" i="1"/>
  <c r="C169" i="1"/>
  <c r="C177" i="1" s="1"/>
  <c r="C256" i="1" s="1"/>
  <c r="BH196" i="1"/>
  <c r="AV237" i="1"/>
  <c r="BA200" i="1"/>
  <c r="AX237" i="1"/>
  <c r="AW237" i="1"/>
  <c r="S70" i="1"/>
  <c r="BW261" i="1"/>
  <c r="AT24" i="1"/>
  <c r="P141" i="1"/>
  <c r="P67" i="1" s="1"/>
  <c r="K219" i="1"/>
  <c r="M260" i="1"/>
  <c r="N221" i="1"/>
  <c r="AV24" i="1"/>
  <c r="BF237" i="1"/>
  <c r="BE200" i="1"/>
  <c r="K187" i="1"/>
  <c r="BD237" i="1"/>
  <c r="AZ200" i="1"/>
  <c r="BA23" i="1"/>
  <c r="AV23" i="1"/>
  <c r="BB114" i="1"/>
  <c r="BD39" i="1"/>
  <c r="BJ115" i="1"/>
  <c r="E169" i="1"/>
  <c r="E177" i="1" s="1"/>
  <c r="F218" i="1"/>
  <c r="H208" i="1"/>
  <c r="C209" i="1"/>
  <c r="L219" i="1"/>
  <c r="L217" i="1" s="1"/>
  <c r="F208" i="1"/>
  <c r="D209" i="1"/>
  <c r="BV198" i="1"/>
  <c r="BZ201" i="1" s="1"/>
  <c r="AS23" i="1"/>
  <c r="AP115" i="1"/>
  <c r="BB200" i="1"/>
  <c r="BH200" i="1"/>
  <c r="BD200" i="1"/>
  <c r="AP116" i="1"/>
  <c r="BB115" i="1"/>
  <c r="AZ237" i="1"/>
  <c r="BL115" i="1"/>
  <c r="Q70" i="1"/>
  <c r="AZ116" i="1"/>
  <c r="BA29" i="1"/>
  <c r="BX115" i="1"/>
  <c r="AS237" i="1"/>
  <c r="BD28" i="1"/>
  <c r="BS116" i="1"/>
  <c r="F209" i="1"/>
  <c r="Q218" i="1"/>
  <c r="K66" i="1"/>
  <c r="D150" i="1"/>
  <c r="D215" i="1" s="1"/>
  <c r="D213" i="1" s="1"/>
  <c r="BI200" i="1"/>
  <c r="E180" i="1"/>
  <c r="E121" i="1" s="1"/>
  <c r="BZ116" i="1"/>
  <c r="BL114" i="1"/>
  <c r="BU114" i="1"/>
  <c r="BS237" i="1"/>
  <c r="AU237" i="1"/>
  <c r="BR237" i="1"/>
  <c r="BH23" i="1"/>
  <c r="BV260" i="1"/>
  <c r="BH218" i="1"/>
  <c r="P258" i="1"/>
  <c r="S208" i="1"/>
  <c r="S210" i="1" s="1"/>
  <c r="S211" i="1" s="1"/>
  <c r="I208" i="1"/>
  <c r="P45" i="1"/>
  <c r="BE237" i="1"/>
  <c r="Q261" i="1"/>
  <c r="Q263" i="1" s="1"/>
  <c r="R194" i="1"/>
  <c r="R193" i="1" s="1"/>
  <c r="AS24" i="1"/>
  <c r="BB196" i="1"/>
  <c r="BG237" i="1"/>
  <c r="BV104" i="1"/>
  <c r="BV107" i="1" s="1"/>
  <c r="P70" i="1"/>
  <c r="AX24" i="1"/>
  <c r="AS200" i="1"/>
  <c r="BS200" i="1"/>
  <c r="BE24" i="1"/>
  <c r="BU115" i="1"/>
  <c r="B260" i="1"/>
  <c r="V208" i="1"/>
  <c r="V210" i="1" s="1"/>
  <c r="V211" i="1" s="1"/>
  <c r="G208" i="1"/>
  <c r="E141" i="1"/>
  <c r="E67" i="1" s="1"/>
  <c r="C219" i="1"/>
  <c r="AZ23" i="1"/>
  <c r="BD24" i="1"/>
  <c r="AT237" i="1"/>
  <c r="AX200" i="1"/>
  <c r="BR200" i="1"/>
  <c r="AZ115" i="1"/>
  <c r="BW115" i="1"/>
  <c r="BF200" i="1"/>
  <c r="L208" i="1"/>
  <c r="L210" i="1" s="1"/>
  <c r="L211" i="1" s="1"/>
  <c r="D66" i="1"/>
  <c r="D219" i="1"/>
  <c r="D217" i="1" s="1"/>
  <c r="D187" i="1"/>
  <c r="N219" i="1"/>
  <c r="L66" i="1"/>
  <c r="K169" i="1"/>
  <c r="K177" i="1" s="1"/>
  <c r="K178" i="1" s="1"/>
  <c r="K208" i="1"/>
  <c r="O66" i="1"/>
  <c r="O219" i="1"/>
  <c r="O217" i="1" s="1"/>
  <c r="L187" i="1"/>
  <c r="N66" i="1"/>
  <c r="BH116" i="1"/>
  <c r="BY115" i="1"/>
  <c r="BR28" i="1"/>
  <c r="BV30" i="1" s="1"/>
  <c r="AZ196" i="1"/>
  <c r="AS115" i="1"/>
  <c r="BH193" i="1"/>
  <c r="BY114" i="1"/>
  <c r="BU237" i="1"/>
  <c r="BV200" i="1"/>
  <c r="U208" i="1"/>
  <c r="U210" i="1" s="1"/>
  <c r="U211" i="1" s="1"/>
  <c r="BW28" i="1"/>
  <c r="BW40" i="1" s="1"/>
  <c r="AW24" i="1"/>
  <c r="BF39" i="1"/>
  <c r="BW200" i="1"/>
  <c r="AS116" i="1"/>
  <c r="AV28" i="1"/>
  <c r="AV29" i="1" s="1"/>
  <c r="CB200" i="1"/>
  <c r="BB39" i="1"/>
  <c r="BW23" i="1"/>
  <c r="BS24" i="1"/>
  <c r="BP196" i="1"/>
  <c r="U169" i="1"/>
  <c r="U177" i="1" s="1"/>
  <c r="U178" i="1" s="1"/>
  <c r="N260" i="1"/>
  <c r="D141" i="1"/>
  <c r="D67" i="1" s="1"/>
  <c r="BI237" i="1"/>
  <c r="BI114" i="1"/>
  <c r="BB237" i="1"/>
  <c r="AW200" i="1"/>
  <c r="CA200" i="1"/>
  <c r="BB28" i="1"/>
  <c r="BC31" i="1" s="1"/>
  <c r="AY237" i="1"/>
  <c r="BR24" i="1"/>
  <c r="BV23" i="1"/>
  <c r="BG115" i="1"/>
  <c r="BT237" i="1"/>
  <c r="AU114" i="1"/>
  <c r="E66" i="1"/>
  <c r="E187" i="1"/>
  <c r="E219" i="1"/>
  <c r="E217" i="1" s="1"/>
  <c r="BH114" i="1"/>
  <c r="X70" i="1"/>
  <c r="BF23" i="1"/>
  <c r="BI116" i="1"/>
  <c r="BR39" i="1"/>
  <c r="F219" i="1"/>
  <c r="D260" i="1"/>
  <c r="U217" i="1"/>
  <c r="T258" i="1"/>
  <c r="BR261" i="1"/>
  <c r="T177" i="1"/>
  <c r="T178" i="1" s="1"/>
  <c r="H217" i="1"/>
  <c r="I217" i="1"/>
  <c r="AW214" i="1"/>
  <c r="V177" i="1"/>
  <c r="V178" i="1" s="1"/>
  <c r="C215" i="1"/>
  <c r="C213" i="1" s="1"/>
  <c r="AR193" i="1"/>
  <c r="BU214" i="1"/>
  <c r="M217" i="1"/>
  <c r="L177" i="1"/>
  <c r="S217" i="1"/>
  <c r="T217" i="1"/>
  <c r="R217" i="1"/>
  <c r="S177" i="1"/>
  <c r="S178" i="1" s="1"/>
  <c r="F193" i="1"/>
  <c r="F198" i="1"/>
  <c r="T215" i="1"/>
  <c r="T213" i="1" s="1"/>
  <c r="S258" i="1"/>
  <c r="V217" i="1"/>
  <c r="W215" i="1"/>
  <c r="W213" i="1" s="1"/>
  <c r="H178" i="1"/>
  <c r="N217" i="1"/>
  <c r="B177" i="1"/>
  <c r="AR150" i="1"/>
  <c r="AS45" i="1"/>
  <c r="AS146" i="1"/>
  <c r="J258" i="1"/>
  <c r="J256" i="1"/>
  <c r="U256" i="1"/>
  <c r="U258" i="1"/>
  <c r="U215" i="1"/>
  <c r="U213" i="1" s="1"/>
  <c r="C80" i="1"/>
  <c r="C81" i="1"/>
  <c r="C99" i="1" s="1"/>
  <c r="S256" i="1"/>
  <c r="I215" i="1"/>
  <c r="I213" i="1" s="1"/>
  <c r="I256" i="1"/>
  <c r="I258" i="1"/>
  <c r="J215" i="1"/>
  <c r="J213" i="1" s="1"/>
  <c r="E256" i="1"/>
  <c r="E258" i="1"/>
  <c r="F215" i="1"/>
  <c r="F213" i="1" s="1"/>
  <c r="AR214" i="1"/>
  <c r="AQ214" i="1"/>
  <c r="BB180" i="1"/>
  <c r="C196" i="1"/>
  <c r="BS45" i="1"/>
  <c r="BS146" i="1"/>
  <c r="BR150" i="1"/>
  <c r="AQ261" i="1"/>
  <c r="AN104" i="1"/>
  <c r="AN107" i="1" s="1"/>
  <c r="AN260" i="1"/>
  <c r="O258" i="1"/>
  <c r="P215" i="1"/>
  <c r="P213" i="1" s="1"/>
  <c r="AR218" i="1"/>
  <c r="AR261" i="1"/>
  <c r="AO146" i="1"/>
  <c r="AO45" i="1"/>
  <c r="AN150" i="1"/>
  <c r="AN258" i="1" s="1"/>
  <c r="BC45" i="1"/>
  <c r="BB150" i="1"/>
  <c r="BC146" i="1"/>
  <c r="Q198" i="1"/>
  <c r="Q196" i="1"/>
  <c r="AV218" i="1"/>
  <c r="BT141" i="1"/>
  <c r="E196" i="1"/>
  <c r="E198" i="1"/>
  <c r="BN180" i="1"/>
  <c r="BN141" i="1"/>
  <c r="BC218" i="1"/>
  <c r="BC261" i="1"/>
  <c r="O256" i="1"/>
  <c r="BB141" i="1"/>
  <c r="AT260" i="1"/>
  <c r="AS218" i="1"/>
  <c r="AS261" i="1"/>
  <c r="AR180" i="1"/>
  <c r="AS49" i="1" s="1"/>
  <c r="AR141" i="1"/>
  <c r="AR104" i="1"/>
  <c r="AX104" i="1"/>
  <c r="AX260" i="1"/>
  <c r="BU45" i="1"/>
  <c r="BT150" i="1"/>
  <c r="BU146" i="1"/>
  <c r="BG146" i="1"/>
  <c r="BG45" i="1"/>
  <c r="BF150" i="1"/>
  <c r="AW45" i="1"/>
  <c r="AV150" i="1"/>
  <c r="AW146" i="1"/>
  <c r="BE45" i="1"/>
  <c r="BE146" i="1"/>
  <c r="BD150" i="1"/>
  <c r="AQ146" i="1"/>
  <c r="AP150" i="1"/>
  <c r="AQ45" i="1"/>
  <c r="R196" i="1"/>
  <c r="AT194" i="1"/>
  <c r="AT169" i="1"/>
  <c r="BB107" i="1"/>
  <c r="BB108" i="1"/>
  <c r="BB106" i="1"/>
  <c r="AO261" i="1"/>
  <c r="AO218" i="1"/>
  <c r="AN261" i="1"/>
  <c r="AN218" i="1"/>
  <c r="AN141" i="1"/>
  <c r="AN180" i="1"/>
  <c r="BN150" i="1"/>
  <c r="BO146" i="1"/>
  <c r="BO45" i="1"/>
  <c r="AY146" i="1"/>
  <c r="AX150" i="1"/>
  <c r="AY45" i="1"/>
  <c r="AR197" i="1"/>
  <c r="AR169" i="1"/>
  <c r="BN260" i="1"/>
  <c r="BN104" i="1"/>
  <c r="BF218" i="1"/>
  <c r="BF180" i="1"/>
  <c r="BP261" i="1"/>
  <c r="BP218" i="1"/>
  <c r="BP180" i="1"/>
  <c r="BR141" i="1"/>
  <c r="BS261" i="1"/>
  <c r="BS218" i="1"/>
  <c r="BR180" i="1"/>
  <c r="BA146" i="1"/>
  <c r="BA45" i="1"/>
  <c r="AZ150" i="1"/>
  <c r="BQ45" i="1"/>
  <c r="BP150" i="1"/>
  <c r="BQ146" i="1"/>
  <c r="BC221" i="1"/>
  <c r="BB260" i="1"/>
  <c r="AR260" i="1"/>
  <c r="AX218" i="1"/>
  <c r="AX180" i="1"/>
  <c r="AX141" i="1"/>
  <c r="AX261" i="1"/>
  <c r="BO214" i="1"/>
  <c r="BP214" i="1"/>
  <c r="AT150" i="1"/>
  <c r="AU45" i="1"/>
  <c r="AU146" i="1"/>
  <c r="BD104" i="1"/>
  <c r="BD260" i="1"/>
  <c r="BO218" i="1"/>
  <c r="BO261" i="1"/>
  <c r="BN261" i="1"/>
  <c r="BN218" i="1"/>
  <c r="AW261" i="1"/>
  <c r="AW218" i="1"/>
  <c r="AN194" i="1"/>
  <c r="AN169" i="1"/>
  <c r="BT214" i="1"/>
  <c r="BS214" i="1"/>
  <c r="BV261" i="1"/>
  <c r="BU261" i="1"/>
  <c r="BU218" i="1"/>
  <c r="BV218" i="1"/>
  <c r="BT180" i="1"/>
  <c r="BT261" i="1"/>
  <c r="BT218" i="1"/>
  <c r="AP214" i="1"/>
  <c r="AO214" i="1"/>
  <c r="AZ180" i="1"/>
  <c r="AZ261" i="1"/>
  <c r="AZ141" i="1"/>
  <c r="AZ218" i="1"/>
  <c r="AN196" i="1"/>
  <c r="AT141" i="1"/>
  <c r="AT261" i="1"/>
  <c r="AT218" i="1"/>
  <c r="AT180" i="1"/>
  <c r="BD218" i="1"/>
  <c r="BD141" i="1"/>
  <c r="BE261" i="1"/>
  <c r="BE218" i="1"/>
  <c r="BD180" i="1"/>
  <c r="BD261" i="1"/>
  <c r="AV104" i="1"/>
  <c r="AV260" i="1"/>
  <c r="AQ218" i="1"/>
  <c r="AP218" i="1"/>
  <c r="AP261" i="1"/>
  <c r="BG261" i="1"/>
  <c r="BH261" i="1"/>
  <c r="BB218" i="1"/>
  <c r="BA261" i="1"/>
  <c r="BB261" i="1"/>
  <c r="BA218" i="1"/>
  <c r="AU218" i="1"/>
  <c r="AU261" i="1"/>
  <c r="BP198" i="1"/>
  <c r="BP201" i="1" s="1"/>
  <c r="BR218" i="1"/>
  <c r="AY218" i="1"/>
  <c r="AY261" i="1"/>
  <c r="AQ221" i="1"/>
  <c r="AP260" i="1"/>
  <c r="AZ104" i="1"/>
  <c r="AZ260" i="1"/>
  <c r="BS221" i="1"/>
  <c r="BR260" i="1"/>
  <c r="BT104" i="1"/>
  <c r="BT260" i="1"/>
  <c r="BF261" i="1"/>
  <c r="BF141" i="1"/>
  <c r="AP180" i="1"/>
  <c r="AP141" i="1"/>
  <c r="AP107" i="1"/>
  <c r="AP106" i="1"/>
  <c r="AP108" i="1"/>
  <c r="AP197" i="1"/>
  <c r="AP169" i="1"/>
  <c r="BF104" i="1"/>
  <c r="BF260" i="1"/>
  <c r="BP108" i="1"/>
  <c r="AV141" i="1"/>
  <c r="BQ261" i="1"/>
  <c r="BP260" i="1"/>
  <c r="BP141" i="1"/>
  <c r="BP169" i="1"/>
  <c r="BG218" i="1"/>
  <c r="BQ218" i="1"/>
  <c r="BP107" i="1"/>
  <c r="AV194" i="1"/>
  <c r="AV198" i="1" s="1"/>
  <c r="AV169" i="1"/>
  <c r="BB194" i="1"/>
  <c r="BB169" i="1"/>
  <c r="BD194" i="1"/>
  <c r="BD169" i="1"/>
  <c r="AX194" i="1"/>
  <c r="AX169" i="1"/>
  <c r="BF194" i="1"/>
  <c r="BF169" i="1"/>
  <c r="BT194" i="1"/>
  <c r="BT169" i="1"/>
  <c r="BR194" i="1"/>
  <c r="BR198" i="1" s="1"/>
  <c r="BR169" i="1"/>
  <c r="BN194" i="1"/>
  <c r="BN169" i="1"/>
  <c r="AZ194" i="1"/>
  <c r="AZ169" i="1"/>
  <c r="BL31" i="1"/>
  <c r="BK29" i="1"/>
  <c r="BK40" i="1"/>
  <c r="BK31" i="1"/>
  <c r="AM66" i="1"/>
  <c r="AM219" i="1"/>
  <c r="AM217" i="1" s="1"/>
  <c r="AM67" i="1"/>
  <c r="AM104" i="1"/>
  <c r="AM98" i="1"/>
  <c r="AM97" i="1"/>
  <c r="AM99" i="1"/>
  <c r="AP30" i="1"/>
  <c r="AP29" i="1"/>
  <c r="BQ29" i="1"/>
  <c r="BU30" i="1"/>
  <c r="BU40" i="1"/>
  <c r="BV31" i="1"/>
  <c r="BY30" i="1"/>
  <c r="BU29" i="1"/>
  <c r="BQ46" i="1"/>
  <c r="BQ50" i="1" s="1"/>
  <c r="BQ41" i="1"/>
  <c r="BQ244" i="1"/>
  <c r="BQ245" i="1" s="1"/>
  <c r="BP40" i="1"/>
  <c r="BP30" i="1"/>
  <c r="BP29" i="1"/>
  <c r="BQ31" i="1"/>
  <c r="BN196" i="1"/>
  <c r="BM29" i="1"/>
  <c r="BQ30" i="1"/>
  <c r="BM40" i="1"/>
  <c r="BM31" i="1"/>
  <c r="BT31" i="1"/>
  <c r="BO40" i="1"/>
  <c r="BP31" i="1"/>
  <c r="BS30" i="1"/>
  <c r="BO30" i="1"/>
  <c r="BO29" i="1"/>
  <c r="BA41" i="1"/>
  <c r="BA244" i="1"/>
  <c r="BA245" i="1" s="1"/>
  <c r="BA46" i="1"/>
  <c r="BA50" i="1" s="1"/>
  <c r="AU31" i="1"/>
  <c r="AU40" i="1"/>
  <c r="AY30" i="1"/>
  <c r="AU29" i="1"/>
  <c r="BS40" i="1"/>
  <c r="BS29" i="1"/>
  <c r="BC40" i="1"/>
  <c r="BC29" i="1"/>
  <c r="BC30" i="1"/>
  <c r="BH40" i="1"/>
  <c r="BH29" i="1"/>
  <c r="BL30" i="1"/>
  <c r="AX31" i="1"/>
  <c r="AX29" i="1"/>
  <c r="AX30" i="1"/>
  <c r="AX40" i="1"/>
  <c r="AT107" i="1"/>
  <c r="AT108" i="1"/>
  <c r="AT106" i="1"/>
  <c r="BU31" i="1"/>
  <c r="BT40" i="1"/>
  <c r="BX30" i="1"/>
  <c r="BT29" i="1"/>
  <c r="BT30" i="1"/>
  <c r="BV46" i="1"/>
  <c r="BV50" i="1" s="1"/>
  <c r="BZ42" i="1"/>
  <c r="BV41" i="1"/>
  <c r="BV244" i="1"/>
  <c r="BV245" i="1" s="1"/>
  <c r="BW150" i="1"/>
  <c r="BX45" i="1"/>
  <c r="AY31" i="1"/>
  <c r="BV256" i="1"/>
  <c r="BV258" i="1"/>
  <c r="BR108" i="1"/>
  <c r="BR106" i="1"/>
  <c r="BR107" i="1"/>
  <c r="AO30" i="1"/>
  <c r="AO40" i="1"/>
  <c r="AO29" i="1"/>
  <c r="AS30" i="1"/>
  <c r="BH258" i="1"/>
  <c r="BH256" i="1"/>
  <c r="BJ53" i="1"/>
  <c r="BJ52" i="1"/>
  <c r="CR206" i="1"/>
  <c r="CR144" i="1"/>
  <c r="CQ215" i="1"/>
  <c r="CQ213" i="1" s="1"/>
  <c r="AB218" i="1"/>
  <c r="DB75" i="1"/>
  <c r="DB77" i="1" s="1"/>
  <c r="DA77" i="1"/>
  <c r="AX196" i="1" l="1"/>
  <c r="R256" i="1"/>
  <c r="N177" i="1"/>
  <c r="N178" i="1" s="1"/>
  <c r="G210" i="1"/>
  <c r="G211" i="1" s="1"/>
  <c r="N256" i="1"/>
  <c r="N258" i="1"/>
  <c r="L256" i="1"/>
  <c r="L258" i="1"/>
  <c r="S193" i="1"/>
  <c r="S198" i="1"/>
  <c r="F178" i="1"/>
  <c r="L215" i="1"/>
  <c r="L213" i="1" s="1"/>
  <c r="K215" i="1"/>
  <c r="K213" i="1" s="1"/>
  <c r="Q210" i="1"/>
  <c r="Q211" i="1" s="1"/>
  <c r="G177" i="1"/>
  <c r="G178" i="1" s="1"/>
  <c r="G215" i="1"/>
  <c r="G213" i="1" s="1"/>
  <c r="G256" i="1"/>
  <c r="G258" i="1"/>
  <c r="H215" i="1"/>
  <c r="H213" i="1" s="1"/>
  <c r="B122" i="1"/>
  <c r="B125" i="1" s="1"/>
  <c r="B123" i="1"/>
  <c r="B126" i="1" s="1"/>
  <c r="N215" i="1"/>
  <c r="N213" i="1" s="1"/>
  <c r="M215" i="1"/>
  <c r="M213" i="1" s="1"/>
  <c r="M256" i="1"/>
  <c r="M258" i="1"/>
  <c r="H193" i="1"/>
  <c r="H198" i="1"/>
  <c r="D196" i="1"/>
  <c r="D198" i="1"/>
  <c r="Q177" i="1"/>
  <c r="Q178" i="1" s="1"/>
  <c r="R210" i="1"/>
  <c r="R211" i="1" s="1"/>
  <c r="B198" i="1"/>
  <c r="B193" i="1"/>
  <c r="AV180" i="1"/>
  <c r="K256" i="1"/>
  <c r="K258" i="1"/>
  <c r="V215" i="1"/>
  <c r="V213" i="1" s="1"/>
  <c r="V256" i="1"/>
  <c r="V258" i="1"/>
  <c r="P198" i="1"/>
  <c r="P193" i="1"/>
  <c r="AV261" i="1"/>
  <c r="Q258" i="1"/>
  <c r="Q256" i="1"/>
  <c r="Q215" i="1"/>
  <c r="Q213" i="1" s="1"/>
  <c r="I196" i="1"/>
  <c r="I198" i="1"/>
  <c r="K196" i="1"/>
  <c r="K198" i="1"/>
  <c r="U196" i="1"/>
  <c r="U198" i="1"/>
  <c r="V196" i="1"/>
  <c r="V198" i="1"/>
  <c r="T198" i="1"/>
  <c r="T193" i="1"/>
  <c r="O215" i="1"/>
  <c r="O213" i="1" s="1"/>
  <c r="N198" i="1"/>
  <c r="N193" i="1"/>
  <c r="G198" i="1"/>
  <c r="G196" i="1"/>
  <c r="P177" i="1"/>
  <c r="P178" i="1" s="1"/>
  <c r="E178" i="1"/>
  <c r="AP31" i="1"/>
  <c r="AY40" i="1"/>
  <c r="AY29" i="1"/>
  <c r="AZ31" i="1"/>
  <c r="AT30" i="1"/>
  <c r="AP40" i="1"/>
  <c r="BS31" i="1"/>
  <c r="AU30" i="1"/>
  <c r="V71" i="1"/>
  <c r="AV31" i="1"/>
  <c r="BR40" i="1"/>
  <c r="BR31" i="1"/>
  <c r="AQ31" i="1"/>
  <c r="AR244" i="1"/>
  <c r="AR245" i="1" s="1"/>
  <c r="BG31" i="1"/>
  <c r="BG30" i="1"/>
  <c r="BG29" i="1"/>
  <c r="BH31" i="1"/>
  <c r="BK30" i="1"/>
  <c r="BG40" i="1"/>
  <c r="AN40" i="1"/>
  <c r="AO31" i="1"/>
  <c r="AN30" i="1"/>
  <c r="AR30" i="1"/>
  <c r="AN31" i="1"/>
  <c r="AN29" i="1"/>
  <c r="AV30" i="1"/>
  <c r="AZ30" i="1"/>
  <c r="AR46" i="1"/>
  <c r="AR50" i="1" s="1"/>
  <c r="BI31" i="1"/>
  <c r="O71" i="1"/>
  <c r="AQ40" i="1"/>
  <c r="P71" i="1"/>
  <c r="AQ30" i="1"/>
  <c r="AQ29" i="1"/>
  <c r="AR31" i="1"/>
  <c r="BB29" i="1"/>
  <c r="P210" i="1"/>
  <c r="P211" i="1" s="1"/>
  <c r="BI218" i="1"/>
  <c r="BJ45" i="1"/>
  <c r="B98" i="1"/>
  <c r="BV177" i="1"/>
  <c r="BV178" i="1" s="1"/>
  <c r="BI150" i="1"/>
  <c r="BJ215" i="1" s="1"/>
  <c r="BJ213" i="1" s="1"/>
  <c r="B97" i="1"/>
  <c r="M197" i="1"/>
  <c r="M169" i="1"/>
  <c r="M177" i="1" s="1"/>
  <c r="M178" i="1" s="1"/>
  <c r="N209" i="1"/>
  <c r="N210" i="1" s="1"/>
  <c r="N211" i="1" s="1"/>
  <c r="M209" i="1"/>
  <c r="BI261" i="1"/>
  <c r="BJ218" i="1"/>
  <c r="C217" i="1"/>
  <c r="K210" i="1"/>
  <c r="K211" i="1" s="1"/>
  <c r="BJ261" i="1"/>
  <c r="R215" i="1"/>
  <c r="R213" i="1" s="1"/>
  <c r="R177" i="1"/>
  <c r="R178" i="1" s="1"/>
  <c r="F217" i="1"/>
  <c r="T210" i="1"/>
  <c r="T211" i="1" s="1"/>
  <c r="G217" i="1"/>
  <c r="J177" i="1"/>
  <c r="J178" i="1" s="1"/>
  <c r="D210" i="1"/>
  <c r="D211" i="1" s="1"/>
  <c r="K217" i="1"/>
  <c r="E210" i="1"/>
  <c r="E211" i="1" s="1"/>
  <c r="D123" i="1"/>
  <c r="D126" i="1" s="1"/>
  <c r="L178" i="1"/>
  <c r="F210" i="1"/>
  <c r="F211" i="1" s="1"/>
  <c r="J210" i="1"/>
  <c r="J211" i="1" s="1"/>
  <c r="S215" i="1"/>
  <c r="S213" i="1" s="1"/>
  <c r="J217" i="1"/>
  <c r="H210" i="1"/>
  <c r="H211" i="1" s="1"/>
  <c r="I177" i="1"/>
  <c r="I178" i="1" s="1"/>
  <c r="C122" i="1"/>
  <c r="C125" i="1" s="1"/>
  <c r="C123" i="1"/>
  <c r="C126" i="1" s="1"/>
  <c r="L193" i="1"/>
  <c r="C210" i="1"/>
  <c r="C211" i="1" s="1"/>
  <c r="I210" i="1"/>
  <c r="I211" i="1" s="1"/>
  <c r="M210" i="1"/>
  <c r="M211" i="1" s="1"/>
  <c r="D81" i="1"/>
  <c r="D80" i="1"/>
  <c r="C198" i="1"/>
  <c r="O177" i="1"/>
  <c r="O178" i="1" s="1"/>
  <c r="L198" i="1"/>
  <c r="Q217" i="1"/>
  <c r="O210" i="1"/>
  <c r="O211" i="1" s="1"/>
  <c r="J196" i="1"/>
  <c r="J198" i="1"/>
  <c r="P217" i="1"/>
  <c r="O198" i="1"/>
  <c r="O196" i="1"/>
  <c r="BH178" i="1"/>
  <c r="BV201" i="1"/>
  <c r="BA262" i="1"/>
  <c r="AS29" i="1"/>
  <c r="AS40" i="1"/>
  <c r="AS43" i="1" s="1"/>
  <c r="AT31" i="1"/>
  <c r="AW30" i="1"/>
  <c r="AR29" i="1"/>
  <c r="AS31" i="1"/>
  <c r="BI30" i="1"/>
  <c r="BI29" i="1"/>
  <c r="BM30" i="1"/>
  <c r="BI40" i="1"/>
  <c r="BJ31" i="1"/>
  <c r="BF29" i="1"/>
  <c r="BJ30" i="1"/>
  <c r="BE31" i="1"/>
  <c r="BD29" i="1"/>
  <c r="BD40" i="1"/>
  <c r="BD42" i="1" s="1"/>
  <c r="BD30" i="1"/>
  <c r="BE40" i="1"/>
  <c r="BE29" i="1"/>
  <c r="BF31" i="1"/>
  <c r="BF41" i="1"/>
  <c r="BF46" i="1"/>
  <c r="BF50" i="1" s="1"/>
  <c r="BF244" i="1"/>
  <c r="BF245" i="1" s="1"/>
  <c r="AT46" i="1"/>
  <c r="AT50" i="1" s="1"/>
  <c r="AT41" i="1"/>
  <c r="AT244" i="1"/>
  <c r="AT245" i="1" s="1"/>
  <c r="AJ31" i="1"/>
  <c r="AI29" i="1"/>
  <c r="AM30" i="1"/>
  <c r="AI40" i="1"/>
  <c r="N71" i="1"/>
  <c r="BA42" i="1"/>
  <c r="AW244" i="1"/>
  <c r="AW245" i="1" s="1"/>
  <c r="AW41" i="1"/>
  <c r="AW46" i="1"/>
  <c r="AW50" i="1" s="1"/>
  <c r="BV121" i="1"/>
  <c r="BW49" i="1"/>
  <c r="BD31" i="1"/>
  <c r="S71" i="1"/>
  <c r="BA43" i="1"/>
  <c r="BH121" i="1"/>
  <c r="BI49" i="1"/>
  <c r="AZ41" i="1"/>
  <c r="AZ244" i="1"/>
  <c r="AZ245" i="1" s="1"/>
  <c r="AZ46" i="1"/>
  <c r="AZ50" i="1" s="1"/>
  <c r="BH30" i="1"/>
  <c r="BN30" i="1"/>
  <c r="BR30" i="1"/>
  <c r="BN40" i="1"/>
  <c r="U71" i="1"/>
  <c r="BN29" i="1"/>
  <c r="BN31" i="1"/>
  <c r="BO31" i="1"/>
  <c r="T71" i="1"/>
  <c r="BV108" i="1"/>
  <c r="D177" i="1"/>
  <c r="BX31" i="1"/>
  <c r="CA30" i="1"/>
  <c r="BW30" i="1"/>
  <c r="E215" i="1"/>
  <c r="E213" i="1" s="1"/>
  <c r="BW29" i="1"/>
  <c r="X71" i="1"/>
  <c r="BW31" i="1"/>
  <c r="BV106" i="1"/>
  <c r="R198" i="1"/>
  <c r="BB30" i="1"/>
  <c r="AW31" i="1"/>
  <c r="AV40" i="1"/>
  <c r="AW238" i="1" s="1"/>
  <c r="BB31" i="1"/>
  <c r="BB40" i="1"/>
  <c r="BB238" i="1" s="1"/>
  <c r="Q71" i="1"/>
  <c r="BF30" i="1"/>
  <c r="R71" i="1"/>
  <c r="BR29" i="1"/>
  <c r="C178" i="1"/>
  <c r="V201" i="1"/>
  <c r="V202" i="1" s="1"/>
  <c r="AR177" i="1"/>
  <c r="AR178" i="1" s="1"/>
  <c r="B256" i="1"/>
  <c r="B178" i="1"/>
  <c r="AR258" i="1"/>
  <c r="AR256" i="1"/>
  <c r="AS150" i="1"/>
  <c r="AS215" i="1" s="1"/>
  <c r="AS213" i="1" s="1"/>
  <c r="AT45" i="1"/>
  <c r="U225" i="1"/>
  <c r="U222" i="1"/>
  <c r="U223" i="1" s="1"/>
  <c r="C97" i="1"/>
  <c r="C82" i="1"/>
  <c r="C98" i="1"/>
  <c r="B101" i="1"/>
  <c r="Q225" i="1"/>
  <c r="D256" i="1"/>
  <c r="D178" i="1"/>
  <c r="I201" i="1"/>
  <c r="I202" i="1" s="1"/>
  <c r="G225" i="1"/>
  <c r="AW49" i="1"/>
  <c r="AV121" i="1"/>
  <c r="BS150" i="1"/>
  <c r="BT45" i="1"/>
  <c r="BR258" i="1"/>
  <c r="BR256" i="1"/>
  <c r="V222" i="1"/>
  <c r="V223" i="1" s="1"/>
  <c r="V225" i="1"/>
  <c r="AP45" i="1"/>
  <c r="AO150" i="1"/>
  <c r="AN106" i="1"/>
  <c r="AN108" i="1"/>
  <c r="Q201" i="1"/>
  <c r="Q202" i="1" s="1"/>
  <c r="BR177" i="1"/>
  <c r="BR178" i="1" s="1"/>
  <c r="BB121" i="1"/>
  <c r="BC49" i="1"/>
  <c r="L225" i="1"/>
  <c r="L222" i="1"/>
  <c r="L223" i="1" s="1"/>
  <c r="AN177" i="1"/>
  <c r="AN178" i="1" s="1"/>
  <c r="BP177" i="1"/>
  <c r="BP178" i="1" s="1"/>
  <c r="BN121" i="1"/>
  <c r="BO49" i="1"/>
  <c r="AZ45" i="1"/>
  <c r="AY150" i="1"/>
  <c r="E201" i="1"/>
  <c r="E202" i="1" s="1"/>
  <c r="F201" i="1"/>
  <c r="F202" i="1" s="1"/>
  <c r="H201" i="1"/>
  <c r="H202" i="1" s="1"/>
  <c r="G201" i="1"/>
  <c r="G202" i="1" s="1"/>
  <c r="BN215" i="1"/>
  <c r="BN213" i="1" s="1"/>
  <c r="BN258" i="1"/>
  <c r="BN256" i="1"/>
  <c r="BN108" i="1"/>
  <c r="BN107" i="1"/>
  <c r="BN106" i="1"/>
  <c r="BP121" i="1"/>
  <c r="BQ49" i="1"/>
  <c r="BB177" i="1"/>
  <c r="BB178" i="1" s="1"/>
  <c r="BF177" i="1"/>
  <c r="BF178" i="1" s="1"/>
  <c r="BT177" i="1"/>
  <c r="BT178" i="1" s="1"/>
  <c r="BF258" i="1"/>
  <c r="BF256" i="1"/>
  <c r="AP258" i="1"/>
  <c r="AP256" i="1"/>
  <c r="BG49" i="1"/>
  <c r="BF121" i="1"/>
  <c r="BD45" i="1"/>
  <c r="BC150" i="1"/>
  <c r="BN177" i="1"/>
  <c r="BN178" i="1" s="1"/>
  <c r="AZ177" i="1"/>
  <c r="AZ178" i="1" s="1"/>
  <c r="AN256" i="1"/>
  <c r="AN215" i="1"/>
  <c r="AN213" i="1" s="1"/>
  <c r="BT258" i="1"/>
  <c r="BT256" i="1"/>
  <c r="AW150" i="1"/>
  <c r="AX45" i="1"/>
  <c r="BS49" i="1"/>
  <c r="BR121" i="1"/>
  <c r="BA150" i="1"/>
  <c r="BB45" i="1"/>
  <c r="AZ256" i="1"/>
  <c r="AZ258" i="1"/>
  <c r="BR45" i="1"/>
  <c r="BQ150" i="1"/>
  <c r="AN193" i="1"/>
  <c r="AN198" i="1"/>
  <c r="BB258" i="1"/>
  <c r="BB256" i="1"/>
  <c r="BG150" i="1"/>
  <c r="BH45" i="1"/>
  <c r="AV256" i="1"/>
  <c r="AV258" i="1"/>
  <c r="BE150" i="1"/>
  <c r="BF45" i="1"/>
  <c r="BD256" i="1"/>
  <c r="BD258" i="1"/>
  <c r="AX258" i="1"/>
  <c r="AX256" i="1"/>
  <c r="AU49" i="1"/>
  <c r="AT121" i="1"/>
  <c r="AP177" i="1"/>
  <c r="AP178" i="1" s="1"/>
  <c r="BD177" i="1"/>
  <c r="BD178" i="1" s="1"/>
  <c r="AR106" i="1"/>
  <c r="AR108" i="1"/>
  <c r="AR107" i="1"/>
  <c r="AX108" i="1"/>
  <c r="AX107" i="1"/>
  <c r="AX106" i="1"/>
  <c r="BV45" i="1"/>
  <c r="BU150" i="1"/>
  <c r="AQ150" i="1"/>
  <c r="AR45" i="1"/>
  <c r="AT198" i="1"/>
  <c r="AT193" i="1"/>
  <c r="AO49" i="1"/>
  <c r="AN121" i="1"/>
  <c r="AR198" i="1"/>
  <c r="AR196" i="1"/>
  <c r="AV45" i="1"/>
  <c r="AU150" i="1"/>
  <c r="BD107" i="1"/>
  <c r="BD106" i="1"/>
  <c r="BD108" i="1"/>
  <c r="BU49" i="1"/>
  <c r="BT121" i="1"/>
  <c r="BE49" i="1"/>
  <c r="BD121" i="1"/>
  <c r="AV108" i="1"/>
  <c r="AV106" i="1"/>
  <c r="AV107" i="1"/>
  <c r="T201" i="1"/>
  <c r="T202" i="1" s="1"/>
  <c r="U201" i="1"/>
  <c r="U202" i="1" s="1"/>
  <c r="AV177" i="1"/>
  <c r="AV178" i="1" s="1"/>
  <c r="AX177" i="1"/>
  <c r="AX178" i="1" s="1"/>
  <c r="BP45" i="1"/>
  <c r="BO150" i="1"/>
  <c r="BP258" i="1"/>
  <c r="BP256" i="1"/>
  <c r="AY49" i="1"/>
  <c r="AX121" i="1"/>
  <c r="AT177" i="1"/>
  <c r="AT178" i="1" s="1"/>
  <c r="AT258" i="1"/>
  <c r="AT256" i="1"/>
  <c r="AP121" i="1"/>
  <c r="AQ49" i="1"/>
  <c r="AZ121" i="1"/>
  <c r="BA49" i="1"/>
  <c r="AZ107" i="1"/>
  <c r="AZ108" i="1"/>
  <c r="AZ106" i="1"/>
  <c r="AP198" i="1"/>
  <c r="AP201" i="1" s="1"/>
  <c r="AP196" i="1"/>
  <c r="AX193" i="1"/>
  <c r="AX198" i="1"/>
  <c r="BF193" i="1"/>
  <c r="BF198" i="1"/>
  <c r="BJ201" i="1" s="1"/>
  <c r="BT108" i="1"/>
  <c r="BT107" i="1"/>
  <c r="BT106" i="1"/>
  <c r="BF107" i="1"/>
  <c r="BF108" i="1"/>
  <c r="BF106" i="1"/>
  <c r="AV193" i="1"/>
  <c r="BR193" i="1"/>
  <c r="BN193" i="1"/>
  <c r="BN198" i="1"/>
  <c r="BB198" i="1"/>
  <c r="BB193" i="1"/>
  <c r="BD193" i="1"/>
  <c r="BD198" i="1"/>
  <c r="BT198" i="1"/>
  <c r="BT193" i="1"/>
  <c r="BX215" i="1"/>
  <c r="BX213" i="1" s="1"/>
  <c r="BW215" i="1"/>
  <c r="BW213" i="1" s="1"/>
  <c r="AZ198" i="1"/>
  <c r="AZ201" i="1" s="1"/>
  <c r="AZ193" i="1"/>
  <c r="BO42" i="1"/>
  <c r="BX238" i="1"/>
  <c r="BK43" i="1"/>
  <c r="BK41" i="1"/>
  <c r="BL43" i="1"/>
  <c r="BK244" i="1"/>
  <c r="BK245" i="1" s="1"/>
  <c r="BK46" i="1"/>
  <c r="BK50" i="1" s="1"/>
  <c r="BK262" i="1"/>
  <c r="BK263" i="1" s="1"/>
  <c r="BL262" i="1"/>
  <c r="BL263" i="1" s="1"/>
  <c r="AM106" i="1"/>
  <c r="AM107" i="1"/>
  <c r="AM108" i="1"/>
  <c r="AY41" i="1"/>
  <c r="AY244" i="1"/>
  <c r="AY245" i="1" s="1"/>
  <c r="AY46" i="1"/>
  <c r="AY50" i="1" s="1"/>
  <c r="AZ262" i="1"/>
  <c r="AZ263" i="1" s="1"/>
  <c r="AZ43" i="1"/>
  <c r="AP41" i="1"/>
  <c r="AP42" i="1"/>
  <c r="AP244" i="1"/>
  <c r="AP245" i="1" s="1"/>
  <c r="AP46" i="1"/>
  <c r="AP50" i="1" s="1"/>
  <c r="BV262" i="1"/>
  <c r="BV263" i="1" s="1"/>
  <c r="BV43" i="1"/>
  <c r="BM124" i="1"/>
  <c r="BM238" i="1"/>
  <c r="BU42" i="1"/>
  <c r="BU41" i="1"/>
  <c r="BU244" i="1"/>
  <c r="BU245" i="1" s="1"/>
  <c r="BY42" i="1"/>
  <c r="BU46" i="1"/>
  <c r="BU50" i="1" s="1"/>
  <c r="BQ43" i="1"/>
  <c r="BP41" i="1"/>
  <c r="BP42" i="1"/>
  <c r="BP244" i="1"/>
  <c r="BP245" i="1" s="1"/>
  <c r="BP46" i="1"/>
  <c r="BP50" i="1" s="1"/>
  <c r="BQ262" i="1"/>
  <c r="BQ263" i="1" s="1"/>
  <c r="BM46" i="1"/>
  <c r="BM50" i="1" s="1"/>
  <c r="BM41" i="1"/>
  <c r="BQ42" i="1"/>
  <c r="BM43" i="1"/>
  <c r="BM244" i="1"/>
  <c r="BM245" i="1" s="1"/>
  <c r="BM262" i="1"/>
  <c r="BM263" i="1" s="1"/>
  <c r="O72" i="1"/>
  <c r="AP43" i="1"/>
  <c r="BO41" i="1"/>
  <c r="BO46" i="1"/>
  <c r="BO50" i="1" s="1"/>
  <c r="BO244" i="1"/>
  <c r="BO245" i="1" s="1"/>
  <c r="BP43" i="1"/>
  <c r="BP262" i="1"/>
  <c r="BP263" i="1" s="1"/>
  <c r="BH122" i="1"/>
  <c r="BH123" i="1"/>
  <c r="BT262" i="1"/>
  <c r="BT263" i="1" s="1"/>
  <c r="AU43" i="1"/>
  <c r="AU262" i="1"/>
  <c r="AU263" i="1" s="1"/>
  <c r="AU244" i="1"/>
  <c r="AU245" i="1" s="1"/>
  <c r="AU41" i="1"/>
  <c r="AU46" i="1"/>
  <c r="AU50" i="1" s="1"/>
  <c r="AY42" i="1"/>
  <c r="AU42" i="1"/>
  <c r="BS42" i="1"/>
  <c r="BS46" i="1"/>
  <c r="BS50" i="1" s="1"/>
  <c r="BS41" i="1"/>
  <c r="BS244" i="1"/>
  <c r="BS245" i="1" s="1"/>
  <c r="BS262" i="1"/>
  <c r="BS263" i="1" s="1"/>
  <c r="BG42" i="1"/>
  <c r="BC46" i="1"/>
  <c r="BC41" i="1"/>
  <c r="BC244" i="1"/>
  <c r="BC245" i="1" s="1"/>
  <c r="BC42" i="1"/>
  <c r="BV42" i="1"/>
  <c r="BS124" i="1"/>
  <c r="BT238" i="1"/>
  <c r="AQ238" i="1"/>
  <c r="BV238" i="1"/>
  <c r="BR262" i="1"/>
  <c r="BR263" i="1" s="1"/>
  <c r="BR41" i="1"/>
  <c r="BR43" i="1"/>
  <c r="BS43" i="1"/>
  <c r="V72" i="1"/>
  <c r="BR238" i="1"/>
  <c r="BR244" i="1"/>
  <c r="BR245" i="1" s="1"/>
  <c r="BR124" i="1"/>
  <c r="BR46" i="1"/>
  <c r="BA124" i="1"/>
  <c r="AY43" i="1"/>
  <c r="AY262" i="1"/>
  <c r="AY263" i="1" s="1"/>
  <c r="AZ124" i="1"/>
  <c r="BV124" i="1"/>
  <c r="AQ124" i="1"/>
  <c r="BT124" i="1"/>
  <c r="BT43" i="1"/>
  <c r="AR238" i="1"/>
  <c r="AP238" i="1"/>
  <c r="AP262" i="1"/>
  <c r="AP263" i="1" s="1"/>
  <c r="AP124" i="1"/>
  <c r="BK238" i="1"/>
  <c r="BX124" i="1"/>
  <c r="BV52" i="1"/>
  <c r="BV53" i="1"/>
  <c r="BL42" i="1"/>
  <c r="BH41" i="1"/>
  <c r="BH46" i="1"/>
  <c r="BH50" i="1" s="1"/>
  <c r="BH244" i="1"/>
  <c r="BH245" i="1" s="1"/>
  <c r="BW42" i="1"/>
  <c r="AO43" i="1"/>
  <c r="AN42" i="1"/>
  <c r="BW43" i="1"/>
  <c r="AX262" i="1"/>
  <c r="AX263" i="1" s="1"/>
  <c r="AX244" i="1"/>
  <c r="AX245" i="1" s="1"/>
  <c r="AX42" i="1"/>
  <c r="AZ238" i="1"/>
  <c r="AX46" i="1"/>
  <c r="AX43" i="1"/>
  <c r="AX41" i="1"/>
  <c r="BW238" i="1"/>
  <c r="BW244" i="1"/>
  <c r="BW245" i="1" s="1"/>
  <c r="BX43" i="1"/>
  <c r="X72" i="1"/>
  <c r="BW41" i="1"/>
  <c r="BZ124" i="1"/>
  <c r="BZ238" i="1"/>
  <c r="BW262" i="1"/>
  <c r="BW263" i="1" s="1"/>
  <c r="BW46" i="1"/>
  <c r="BY124" i="1"/>
  <c r="CA42" i="1"/>
  <c r="BX262" i="1"/>
  <c r="BX263" i="1" s="1"/>
  <c r="BY238" i="1"/>
  <c r="AQ41" i="1"/>
  <c r="AQ244" i="1"/>
  <c r="AQ245" i="1" s="1"/>
  <c r="AQ46" i="1"/>
  <c r="AQ42" i="1"/>
  <c r="AR43" i="1"/>
  <c r="AR262" i="1"/>
  <c r="AR263" i="1" s="1"/>
  <c r="AO244" i="1"/>
  <c r="AO245" i="1" s="1"/>
  <c r="AO46" i="1"/>
  <c r="AO50" i="1" s="1"/>
  <c r="AO52" i="1" s="1"/>
  <c r="AR124" i="1"/>
  <c r="AO262" i="1"/>
  <c r="AO263" i="1" s="1"/>
  <c r="AO42" i="1"/>
  <c r="AS42" i="1"/>
  <c r="AO41" i="1"/>
  <c r="AR53" i="1"/>
  <c r="AR52" i="1"/>
  <c r="BT46" i="1"/>
  <c r="BU262" i="1"/>
  <c r="BU263" i="1" s="1"/>
  <c r="BT41" i="1"/>
  <c r="BX42" i="1"/>
  <c r="BU43" i="1"/>
  <c r="BT244" i="1"/>
  <c r="BT245" i="1" s="1"/>
  <c r="BT42" i="1"/>
  <c r="BW124" i="1"/>
  <c r="BU124" i="1"/>
  <c r="AV42" i="1"/>
  <c r="BJ246" i="1"/>
  <c r="BJ54" i="1"/>
  <c r="BJ257" i="1" s="1"/>
  <c r="BJ60" i="1"/>
  <c r="BQ52" i="1"/>
  <c r="BQ53" i="1"/>
  <c r="BA53" i="1"/>
  <c r="BA52" i="1"/>
  <c r="AW52" i="1"/>
  <c r="AW53" i="1"/>
  <c r="AT53" i="1"/>
  <c r="AT52" i="1"/>
  <c r="CR146" i="1"/>
  <c r="AE154" i="1"/>
  <c r="AC136" i="1"/>
  <c r="BA238" i="1" l="1"/>
  <c r="BF53" i="1"/>
  <c r="BF52" i="1"/>
  <c r="AJ43" i="1"/>
  <c r="AL124" i="1"/>
  <c r="AI41" i="1"/>
  <c r="AM42" i="1"/>
  <c r="AI46" i="1"/>
  <c r="N72" i="1"/>
  <c r="AL238" i="1"/>
  <c r="AI244" i="1"/>
  <c r="AI245" i="1" s="1"/>
  <c r="AW124" i="1"/>
  <c r="AV43" i="1"/>
  <c r="BV122" i="1"/>
  <c r="BV123" i="1"/>
  <c r="AZ53" i="1"/>
  <c r="AZ52" i="1"/>
  <c r="BN124" i="1"/>
  <c r="BN238" i="1"/>
  <c r="AY238" i="1"/>
  <c r="AV124" i="1"/>
  <c r="Q72" i="1"/>
  <c r="BC124" i="1"/>
  <c r="BC238" i="1"/>
  <c r="AV46" i="1"/>
  <c r="AV41" i="1"/>
  <c r="AV244" i="1"/>
  <c r="AV245" i="1" s="1"/>
  <c r="AW262" i="1"/>
  <c r="AW263" i="1" s="1"/>
  <c r="N222" i="1"/>
  <c r="N223" i="1" s="1"/>
  <c r="BI215" i="1"/>
  <c r="BI213" i="1" s="1"/>
  <c r="G222" i="1"/>
  <c r="G223" i="1" s="1"/>
  <c r="E222" i="1"/>
  <c r="E223" i="1" s="1"/>
  <c r="E225" i="1"/>
  <c r="U72" i="1"/>
  <c r="AW43" i="1"/>
  <c r="BG41" i="1"/>
  <c r="AN262" i="1"/>
  <c r="AN263" i="1" s="1"/>
  <c r="AN46" i="1"/>
  <c r="AO238" i="1"/>
  <c r="AN43" i="1"/>
  <c r="AN41" i="1"/>
  <c r="AN244" i="1"/>
  <c r="AN245" i="1" s="1"/>
  <c r="AN238" i="1"/>
  <c r="AR42" i="1"/>
  <c r="AO124" i="1"/>
  <c r="AN124" i="1"/>
  <c r="BN46" i="1"/>
  <c r="BP238" i="1"/>
  <c r="BO238" i="1"/>
  <c r="BR42" i="1"/>
  <c r="BQ124" i="1"/>
  <c r="BN41" i="1"/>
  <c r="BO43" i="1"/>
  <c r="BN43" i="1"/>
  <c r="BN244" i="1"/>
  <c r="BN245" i="1" s="1"/>
  <c r="BO262" i="1"/>
  <c r="BO263" i="1" s="1"/>
  <c r="BN262" i="1"/>
  <c r="BN263" i="1" s="1"/>
  <c r="BN42" i="1"/>
  <c r="BP124" i="1"/>
  <c r="BQ238" i="1"/>
  <c r="BO124" i="1"/>
  <c r="BB46" i="1"/>
  <c r="BF42" i="1"/>
  <c r="BC262" i="1"/>
  <c r="BC263" i="1" s="1"/>
  <c r="P225" i="1"/>
  <c r="T225" i="1"/>
  <c r="T222" i="1"/>
  <c r="T223" i="1" s="1"/>
  <c r="D222" i="1"/>
  <c r="D223" i="1" s="1"/>
  <c r="H222" i="1"/>
  <c r="H223" i="1" s="1"/>
  <c r="D225" i="1"/>
  <c r="Q222" i="1"/>
  <c r="Q223" i="1" s="1"/>
  <c r="J225" i="1"/>
  <c r="M225" i="1"/>
  <c r="N225" i="1"/>
  <c r="P222" i="1"/>
  <c r="P223" i="1" s="1"/>
  <c r="K225" i="1"/>
  <c r="S225" i="1"/>
  <c r="S222" i="1"/>
  <c r="S223" i="1" s="1"/>
  <c r="K222" i="1"/>
  <c r="K223" i="1" s="1"/>
  <c r="D82" i="1"/>
  <c r="J222" i="1"/>
  <c r="J223" i="1" s="1"/>
  <c r="H225" i="1"/>
  <c r="I222" i="1"/>
  <c r="I223" i="1" s="1"/>
  <c r="I225" i="1"/>
  <c r="M222" i="1"/>
  <c r="M223" i="1" s="1"/>
  <c r="F225" i="1"/>
  <c r="F222" i="1"/>
  <c r="F223" i="1" s="1"/>
  <c r="C222" i="1"/>
  <c r="C223" i="1" s="1"/>
  <c r="C225" i="1"/>
  <c r="BD43" i="1"/>
  <c r="BF124" i="1"/>
  <c r="O225" i="1"/>
  <c r="J201" i="1"/>
  <c r="J202" i="1" s="1"/>
  <c r="O222" i="1"/>
  <c r="O223" i="1" s="1"/>
  <c r="R222" i="1"/>
  <c r="R223" i="1" s="1"/>
  <c r="R225" i="1"/>
  <c r="D97" i="1"/>
  <c r="D98" i="1"/>
  <c r="D99" i="1"/>
  <c r="C101" i="1"/>
  <c r="BA263" i="1"/>
  <c r="L201" i="1"/>
  <c r="L202" i="1" s="1"/>
  <c r="K201" i="1"/>
  <c r="K202" i="1" s="1"/>
  <c r="C201" i="1"/>
  <c r="C202" i="1" s="1"/>
  <c r="D201" i="1"/>
  <c r="D202" i="1" s="1"/>
  <c r="S201" i="1"/>
  <c r="S202" i="1" s="1"/>
  <c r="R201" i="1"/>
  <c r="R202" i="1" s="1"/>
  <c r="P201" i="1"/>
  <c r="P202" i="1" s="1"/>
  <c r="O201" i="1"/>
  <c r="O202" i="1" s="1"/>
  <c r="BL124" i="1"/>
  <c r="AQ262" i="1"/>
  <c r="AQ263" i="1" s="1"/>
  <c r="AT42" i="1"/>
  <c r="AQ43" i="1"/>
  <c r="BS238" i="1"/>
  <c r="BK42" i="1"/>
  <c r="S72" i="1"/>
  <c r="AS244" i="1"/>
  <c r="AS245" i="1" s="1"/>
  <c r="AS46" i="1"/>
  <c r="AS50" i="1" s="1"/>
  <c r="AT43" i="1"/>
  <c r="AS41" i="1"/>
  <c r="AS238" i="1"/>
  <c r="BF262" i="1"/>
  <c r="BF263" i="1" s="1"/>
  <c r="BI244" i="1"/>
  <c r="BI245" i="1" s="1"/>
  <c r="BI46" i="1"/>
  <c r="BL238" i="1"/>
  <c r="BJ262" i="1"/>
  <c r="BJ263" i="1" s="1"/>
  <c r="BM42" i="1"/>
  <c r="BE43" i="1"/>
  <c r="BD46" i="1"/>
  <c r="BD50" i="1" s="1"/>
  <c r="BD244" i="1"/>
  <c r="BD245" i="1" s="1"/>
  <c r="BI42" i="1"/>
  <c r="BE244" i="1"/>
  <c r="BE245" i="1" s="1"/>
  <c r="BF43" i="1"/>
  <c r="AV238" i="1"/>
  <c r="BF238" i="1"/>
  <c r="BK124" i="1"/>
  <c r="AW42" i="1"/>
  <c r="AS262" i="1"/>
  <c r="AS263" i="1" s="1"/>
  <c r="AT262" i="1"/>
  <c r="AT263" i="1" s="1"/>
  <c r="AS124" i="1"/>
  <c r="BE42" i="1"/>
  <c r="BI41" i="1"/>
  <c r="BJ43" i="1"/>
  <c r="BD262" i="1"/>
  <c r="BD263" i="1" s="1"/>
  <c r="BD41" i="1"/>
  <c r="BE262" i="1"/>
  <c r="BE263" i="1" s="1"/>
  <c r="BE41" i="1"/>
  <c r="BE46" i="1"/>
  <c r="BE50" i="1" s="1"/>
  <c r="AU238" i="1"/>
  <c r="AU124" i="1"/>
  <c r="BH238" i="1"/>
  <c r="T72" i="1"/>
  <c r="BG124" i="1"/>
  <c r="BJ124" i="1"/>
  <c r="BG262" i="1"/>
  <c r="BG263" i="1" s="1"/>
  <c r="BI238" i="1"/>
  <c r="BG46" i="1"/>
  <c r="BI124" i="1"/>
  <c r="BG244" i="1"/>
  <c r="BG245" i="1" s="1"/>
  <c r="BH124" i="1"/>
  <c r="BJ238" i="1"/>
  <c r="BH43" i="1"/>
  <c r="BG238" i="1"/>
  <c r="BG43" i="1"/>
  <c r="BH262" i="1"/>
  <c r="BH263" i="1" s="1"/>
  <c r="BH42" i="1"/>
  <c r="BI262" i="1"/>
  <c r="BI263" i="1" s="1"/>
  <c r="BI43" i="1"/>
  <c r="BE238" i="1"/>
  <c r="BE124" i="1"/>
  <c r="AT238" i="1"/>
  <c r="P72" i="1"/>
  <c r="AT124" i="1"/>
  <c r="M196" i="1"/>
  <c r="M198" i="1"/>
  <c r="BB262" i="1"/>
  <c r="BB263" i="1" s="1"/>
  <c r="BD238" i="1"/>
  <c r="BB124" i="1"/>
  <c r="BB244" i="1"/>
  <c r="BB245" i="1" s="1"/>
  <c r="BB43" i="1"/>
  <c r="BB42" i="1"/>
  <c r="AZ42" i="1"/>
  <c r="BC43" i="1"/>
  <c r="BB41" i="1"/>
  <c r="R72" i="1"/>
  <c r="AY124" i="1"/>
  <c r="AX238" i="1"/>
  <c r="BD124" i="1"/>
  <c r="AX124" i="1"/>
  <c r="AV262" i="1"/>
  <c r="AV263" i="1" s="1"/>
  <c r="AT215" i="1"/>
  <c r="AT213" i="1" s="1"/>
  <c r="AV122" i="1"/>
  <c r="AV123" i="1"/>
  <c r="BT215" i="1"/>
  <c r="BT213" i="1" s="1"/>
  <c r="BS215" i="1"/>
  <c r="BS213" i="1" s="1"/>
  <c r="AP215" i="1"/>
  <c r="AP213" i="1" s="1"/>
  <c r="AO215" i="1"/>
  <c r="AO213" i="1" s="1"/>
  <c r="BB123" i="1"/>
  <c r="BB122" i="1"/>
  <c r="BN123" i="1"/>
  <c r="BN122" i="1"/>
  <c r="BP122" i="1"/>
  <c r="BP123" i="1"/>
  <c r="AY215" i="1"/>
  <c r="AY213" i="1" s="1"/>
  <c r="AZ215" i="1"/>
  <c r="AZ213" i="1" s="1"/>
  <c r="BF123" i="1"/>
  <c r="BF122" i="1"/>
  <c r="BC215" i="1"/>
  <c r="BC213" i="1" s="1"/>
  <c r="BD215" i="1"/>
  <c r="BD213" i="1" s="1"/>
  <c r="AX215" i="1"/>
  <c r="AX213" i="1" s="1"/>
  <c r="AW215" i="1"/>
  <c r="AW213" i="1" s="1"/>
  <c r="BB215" i="1"/>
  <c r="BB213" i="1" s="1"/>
  <c r="BA215" i="1"/>
  <c r="BA213" i="1" s="1"/>
  <c r="BR215" i="1"/>
  <c r="BR213" i="1" s="1"/>
  <c r="BQ215" i="1"/>
  <c r="BQ213" i="1" s="1"/>
  <c r="BH215" i="1"/>
  <c r="BH213" i="1" s="1"/>
  <c r="BG215" i="1"/>
  <c r="BG213" i="1" s="1"/>
  <c r="AR215" i="1"/>
  <c r="AR213" i="1" s="1"/>
  <c r="AQ215" i="1"/>
  <c r="AQ213" i="1" s="1"/>
  <c r="AR201" i="1"/>
  <c r="AV201" i="1"/>
  <c r="BR122" i="1"/>
  <c r="BR125" i="1" s="1"/>
  <c r="BR123" i="1"/>
  <c r="BR126" i="1" s="1"/>
  <c r="BE215" i="1"/>
  <c r="BE213" i="1" s="1"/>
  <c r="BF215" i="1"/>
  <c r="BF213" i="1" s="1"/>
  <c r="AT123" i="1"/>
  <c r="AT122" i="1"/>
  <c r="AN123" i="1"/>
  <c r="AN122" i="1"/>
  <c r="AT201" i="1"/>
  <c r="AX201" i="1"/>
  <c r="BV215" i="1"/>
  <c r="BV213" i="1" s="1"/>
  <c r="BU215" i="1"/>
  <c r="BU213" i="1" s="1"/>
  <c r="AV215" i="1"/>
  <c r="AV213" i="1" s="1"/>
  <c r="AU215" i="1"/>
  <c r="AU213" i="1" s="1"/>
  <c r="BT123" i="1"/>
  <c r="BT126" i="1" s="1"/>
  <c r="BT122" i="1"/>
  <c r="BT125" i="1" s="1"/>
  <c r="BD123" i="1"/>
  <c r="BD122" i="1"/>
  <c r="BO215" i="1"/>
  <c r="BO213" i="1" s="1"/>
  <c r="BP215" i="1"/>
  <c r="BP213" i="1" s="1"/>
  <c r="AX122" i="1"/>
  <c r="AX123" i="1"/>
  <c r="AP122" i="1"/>
  <c r="AP125" i="1" s="1"/>
  <c r="AP123" i="1"/>
  <c r="AP126" i="1" s="1"/>
  <c r="AZ122" i="1"/>
  <c r="AZ125" i="1" s="1"/>
  <c r="AZ123" i="1"/>
  <c r="AZ126" i="1" s="1"/>
  <c r="BH201" i="1"/>
  <c r="BD201" i="1"/>
  <c r="BN201" i="1"/>
  <c r="BR201" i="1"/>
  <c r="BB201" i="1"/>
  <c r="BF201" i="1"/>
  <c r="BT201" i="1"/>
  <c r="BX201" i="1"/>
  <c r="BK53" i="1"/>
  <c r="BK52" i="1"/>
  <c r="AY52" i="1"/>
  <c r="AY53" i="1"/>
  <c r="AP52" i="1"/>
  <c r="AP53" i="1"/>
  <c r="AP55" i="1" s="1"/>
  <c r="BU53" i="1"/>
  <c r="BY55" i="1" s="1"/>
  <c r="BU52" i="1"/>
  <c r="BP52" i="1"/>
  <c r="BP53" i="1"/>
  <c r="BQ56" i="1" s="1"/>
  <c r="BM52" i="1"/>
  <c r="BM53" i="1"/>
  <c r="BE52" i="1"/>
  <c r="BE53" i="1"/>
  <c r="BV67" i="1"/>
  <c r="BO53" i="1"/>
  <c r="BO52" i="1"/>
  <c r="AU53" i="1"/>
  <c r="AU52" i="1"/>
  <c r="BC50" i="1"/>
  <c r="BX125" i="1"/>
  <c r="BX126" i="1"/>
  <c r="BR50" i="1"/>
  <c r="BR67" i="1"/>
  <c r="AR67" i="1"/>
  <c r="AO53" i="1"/>
  <c r="AR54" i="1"/>
  <c r="AR257" i="1" s="1"/>
  <c r="AR60" i="1"/>
  <c r="AR246" i="1"/>
  <c r="AX50" i="1"/>
  <c r="AZ67" i="1"/>
  <c r="BV54" i="1"/>
  <c r="BV257" i="1" s="1"/>
  <c r="BV60" i="1"/>
  <c r="BV246" i="1"/>
  <c r="BZ55" i="1"/>
  <c r="BH53" i="1"/>
  <c r="BH52" i="1"/>
  <c r="AQ50" i="1"/>
  <c r="BX67" i="1"/>
  <c r="BZ67" i="1"/>
  <c r="BW50" i="1"/>
  <c r="BT50" i="1"/>
  <c r="BT67" i="1"/>
  <c r="BY67" i="1"/>
  <c r="BZ125" i="1"/>
  <c r="BZ126" i="1"/>
  <c r="BS52" i="1"/>
  <c r="BS53" i="1"/>
  <c r="BJ64" i="1"/>
  <c r="BJ205" i="1"/>
  <c r="BJ207" i="1" s="1"/>
  <c r="BJ78" i="1"/>
  <c r="BQ54" i="1"/>
  <c r="BQ257" i="1" s="1"/>
  <c r="BQ60" i="1"/>
  <c r="BQ246" i="1"/>
  <c r="AT60" i="1"/>
  <c r="AT246" i="1"/>
  <c r="AT54" i="1"/>
  <c r="AT257" i="1" s="1"/>
  <c r="BA246" i="1"/>
  <c r="BA54" i="1"/>
  <c r="BA257" i="1" s="1"/>
  <c r="BA60" i="1"/>
  <c r="AW60" i="1"/>
  <c r="AW246" i="1"/>
  <c r="AW54" i="1"/>
  <c r="AW257" i="1" s="1"/>
  <c r="BA55" i="1"/>
  <c r="CR150" i="1"/>
  <c r="CS44" i="1"/>
  <c r="AV125" i="1" l="1"/>
  <c r="AV126" i="1"/>
  <c r="BN126" i="1"/>
  <c r="BN125" i="1"/>
  <c r="BV125" i="1"/>
  <c r="BF246" i="1"/>
  <c r="BF54" i="1"/>
  <c r="BF257" i="1" s="1"/>
  <c r="BF60" i="1"/>
  <c r="BJ55" i="1"/>
  <c r="AL126" i="1"/>
  <c r="AL125" i="1"/>
  <c r="AI50" i="1"/>
  <c r="AL67" i="1"/>
  <c r="AZ246" i="1"/>
  <c r="AZ60" i="1"/>
  <c r="AZ54" i="1"/>
  <c r="AZ257" i="1" s="1"/>
  <c r="AP67" i="1"/>
  <c r="BV126" i="1"/>
  <c r="AN67" i="1"/>
  <c r="AN50" i="1"/>
  <c r="AV50" i="1"/>
  <c r="AX67" i="1"/>
  <c r="BA56" i="1"/>
  <c r="BN67" i="1"/>
  <c r="BB126" i="1"/>
  <c r="BB125" i="1"/>
  <c r="BP125" i="1"/>
  <c r="BP126" i="1"/>
  <c r="BF126" i="1"/>
  <c r="BF125" i="1"/>
  <c r="AN126" i="1"/>
  <c r="AN125" i="1"/>
  <c r="BL125" i="1"/>
  <c r="BL126" i="1"/>
  <c r="AS52" i="1"/>
  <c r="AS53" i="1"/>
  <c r="AS56" i="1" s="1"/>
  <c r="BI50" i="1"/>
  <c r="BL67" i="1"/>
  <c r="BD67" i="1"/>
  <c r="BD52" i="1"/>
  <c r="BD53" i="1"/>
  <c r="BF67" i="1"/>
  <c r="BN50" i="1"/>
  <c r="BP67" i="1"/>
  <c r="BB50" i="1"/>
  <c r="BB67" i="1"/>
  <c r="AT126" i="1"/>
  <c r="AT125" i="1"/>
  <c r="AT67" i="1"/>
  <c r="BH125" i="1"/>
  <c r="BH126" i="1"/>
  <c r="AV67" i="1"/>
  <c r="BJ125" i="1"/>
  <c r="BJ126" i="1"/>
  <c r="BJ67" i="1"/>
  <c r="BG50" i="1"/>
  <c r="BH67" i="1"/>
  <c r="N201" i="1"/>
  <c r="N202" i="1" s="1"/>
  <c r="M201" i="1"/>
  <c r="M202" i="1" s="1"/>
  <c r="BD126" i="1"/>
  <c r="BD125" i="1"/>
  <c r="AX126" i="1"/>
  <c r="AX125" i="1"/>
  <c r="BL56" i="1"/>
  <c r="BK60" i="1"/>
  <c r="BK54" i="1"/>
  <c r="BK257" i="1" s="1"/>
  <c r="AY246" i="1"/>
  <c r="AY54" i="1"/>
  <c r="AY257" i="1" s="1"/>
  <c r="AT55" i="1"/>
  <c r="AP246" i="1"/>
  <c r="AP60" i="1"/>
  <c r="AP54" i="1"/>
  <c r="AP257" i="1" s="1"/>
  <c r="AZ56" i="1"/>
  <c r="AY60" i="1"/>
  <c r="BU54" i="1"/>
  <c r="BU257" i="1" s="1"/>
  <c r="BU246" i="1"/>
  <c r="BU60" i="1"/>
  <c r="BK56" i="1"/>
  <c r="BK246" i="1"/>
  <c r="BV56" i="1"/>
  <c r="BU55" i="1"/>
  <c r="BP60" i="1"/>
  <c r="BP55" i="1"/>
  <c r="BP246" i="1"/>
  <c r="BP54" i="1"/>
  <c r="BP257" i="1" s="1"/>
  <c r="BM60" i="1"/>
  <c r="BM56" i="1"/>
  <c r="BM246" i="1"/>
  <c r="BM239" i="1"/>
  <c r="BQ55" i="1"/>
  <c r="BM54" i="1"/>
  <c r="BM257" i="1" s="1"/>
  <c r="BE54" i="1"/>
  <c r="BE257" i="1" s="1"/>
  <c r="BE60" i="1"/>
  <c r="BE246" i="1"/>
  <c r="BF56" i="1"/>
  <c r="BF64" i="1"/>
  <c r="BF205" i="1"/>
  <c r="BF207" i="1" s="1"/>
  <c r="BF78" i="1"/>
  <c r="BC53" i="1"/>
  <c r="BC52" i="1"/>
  <c r="BS55" i="1"/>
  <c r="BE55" i="1"/>
  <c r="BO246" i="1"/>
  <c r="BO54" i="1"/>
  <c r="BO257" i="1" s="1"/>
  <c r="BO60" i="1"/>
  <c r="BP56" i="1"/>
  <c r="BO55" i="1"/>
  <c r="AI53" i="1"/>
  <c r="AI52" i="1"/>
  <c r="AU54" i="1"/>
  <c r="AU257" i="1" s="1"/>
  <c r="AU246" i="1"/>
  <c r="AY55" i="1"/>
  <c r="AU60" i="1"/>
  <c r="AU239" i="1"/>
  <c r="AU56" i="1"/>
  <c r="AP56" i="1"/>
  <c r="AO60" i="1"/>
  <c r="AZ78" i="1"/>
  <c r="AZ64" i="1"/>
  <c r="AZ205" i="1"/>
  <c r="AZ207" i="1" s="1"/>
  <c r="BR53" i="1"/>
  <c r="BR52" i="1"/>
  <c r="AO55" i="1"/>
  <c r="AO246" i="1"/>
  <c r="AO54" i="1"/>
  <c r="AO257" i="1" s="1"/>
  <c r="BW53" i="1"/>
  <c r="BW55" i="1" s="1"/>
  <c r="BW52" i="1"/>
  <c r="AQ53" i="1"/>
  <c r="AQ52" i="1"/>
  <c r="AR64" i="1"/>
  <c r="AR205" i="1"/>
  <c r="AR207" i="1" s="1"/>
  <c r="AR78" i="1"/>
  <c r="BT53" i="1"/>
  <c r="BT52" i="1"/>
  <c r="AV52" i="1"/>
  <c r="AV53" i="1"/>
  <c r="AN53" i="1"/>
  <c r="AN52" i="1"/>
  <c r="BH60" i="1"/>
  <c r="BL55" i="1"/>
  <c r="BH246" i="1"/>
  <c r="BH54" i="1"/>
  <c r="BH257" i="1" s="1"/>
  <c r="AX53" i="1"/>
  <c r="AX52" i="1"/>
  <c r="BV205" i="1"/>
  <c r="BV207" i="1" s="1"/>
  <c r="BV78" i="1"/>
  <c r="BV64" i="1"/>
  <c r="BB53" i="1"/>
  <c r="BB52" i="1"/>
  <c r="BS246" i="1"/>
  <c r="BS54" i="1"/>
  <c r="BS257" i="1" s="1"/>
  <c r="BS60" i="1"/>
  <c r="BQ205" i="1"/>
  <c r="BQ207" i="1" s="1"/>
  <c r="BQ131" i="1"/>
  <c r="BQ132" i="1" s="1"/>
  <c r="BQ78" i="1"/>
  <c r="BQ64" i="1"/>
  <c r="AT78" i="1"/>
  <c r="AT205" i="1"/>
  <c r="AT207" i="1" s="1"/>
  <c r="AT64" i="1"/>
  <c r="AW205" i="1"/>
  <c r="AW207" i="1" s="1"/>
  <c r="AW78" i="1"/>
  <c r="AW131" i="1"/>
  <c r="AW132" i="1" s="1"/>
  <c r="AW64" i="1"/>
  <c r="BA64" i="1"/>
  <c r="BA205" i="1"/>
  <c r="BA207" i="1" s="1"/>
  <c r="BA78" i="1"/>
  <c r="BA131" i="1"/>
  <c r="BA132" i="1" s="1"/>
  <c r="CS206" i="1"/>
  <c r="CS144" i="1"/>
  <c r="CR215" i="1"/>
  <c r="CR213" i="1" s="1"/>
  <c r="AC137" i="1"/>
  <c r="AC140" i="1" s="1"/>
  <c r="AC261" i="1" s="1"/>
  <c r="BH55" i="1" l="1"/>
  <c r="AS60" i="1"/>
  <c r="AS54" i="1"/>
  <c r="AS257" i="1" s="1"/>
  <c r="AS246" i="1"/>
  <c r="AT56" i="1"/>
  <c r="AW55" i="1"/>
  <c r="BI53" i="1"/>
  <c r="BI56" i="1" s="1"/>
  <c r="BI52" i="1"/>
  <c r="BD246" i="1"/>
  <c r="BD54" i="1"/>
  <c r="BD257" i="1" s="1"/>
  <c r="BD55" i="1"/>
  <c r="BE56" i="1"/>
  <c r="BD60" i="1"/>
  <c r="AS55" i="1"/>
  <c r="BN53" i="1"/>
  <c r="BN52" i="1"/>
  <c r="BG52" i="1"/>
  <c r="BG53" i="1"/>
  <c r="BK64" i="1"/>
  <c r="BK205" i="1"/>
  <c r="BK207" i="1" s="1"/>
  <c r="BK131" i="1"/>
  <c r="BK132" i="1" s="1"/>
  <c r="BK78" i="1"/>
  <c r="AP205" i="1"/>
  <c r="AP207" i="1" s="1"/>
  <c r="AP78" i="1"/>
  <c r="AP64" i="1"/>
  <c r="BU131" i="1"/>
  <c r="BU132" i="1" s="1"/>
  <c r="BU64" i="1"/>
  <c r="BU205" i="1"/>
  <c r="BU207" i="1" s="1"/>
  <c r="BU78" i="1"/>
  <c r="BS56" i="1"/>
  <c r="BS239" i="1"/>
  <c r="AY205" i="1"/>
  <c r="AY207" i="1" s="1"/>
  <c r="AY78" i="1"/>
  <c r="AY131" i="1"/>
  <c r="AY132" i="1" s="1"/>
  <c r="AY64" i="1"/>
  <c r="BM78" i="1"/>
  <c r="BM64" i="1"/>
  <c r="BP64" i="1"/>
  <c r="BP205" i="1"/>
  <c r="BP207" i="1" s="1"/>
  <c r="BP78" i="1"/>
  <c r="BM131" i="1"/>
  <c r="BM132" i="1" s="1"/>
  <c r="BM205" i="1"/>
  <c r="BM207" i="1" s="1"/>
  <c r="BE78" i="1"/>
  <c r="BE205" i="1"/>
  <c r="BE207" i="1" s="1"/>
  <c r="BE64" i="1"/>
  <c r="BE131" i="1"/>
  <c r="BE132" i="1" s="1"/>
  <c r="BF239" i="1"/>
  <c r="BD56" i="1"/>
  <c r="BC55" i="1"/>
  <c r="BC60" i="1"/>
  <c r="BC246" i="1"/>
  <c r="BC54" i="1"/>
  <c r="BC257" i="1" s="1"/>
  <c r="BO64" i="1"/>
  <c r="BO78" i="1"/>
  <c r="BO205" i="1"/>
  <c r="BO207" i="1" s="1"/>
  <c r="BO131" i="1"/>
  <c r="BO132" i="1" s="1"/>
  <c r="AI54" i="1"/>
  <c r="AI246" i="1"/>
  <c r="AJ56" i="1"/>
  <c r="AM55" i="1"/>
  <c r="AI60" i="1"/>
  <c r="AL239" i="1"/>
  <c r="AU64" i="1"/>
  <c r="AU78" i="1"/>
  <c r="AU205" i="1"/>
  <c r="AU207" i="1" s="1"/>
  <c r="AU131" i="1"/>
  <c r="AU132" i="1" s="1"/>
  <c r="AO205" i="1"/>
  <c r="AO207" i="1" s="1"/>
  <c r="AO78" i="1"/>
  <c r="AO131" i="1"/>
  <c r="AO132" i="1" s="1"/>
  <c r="AO64" i="1"/>
  <c r="BR54" i="1"/>
  <c r="BR257" i="1" s="1"/>
  <c r="BR246" i="1"/>
  <c r="BR60" i="1"/>
  <c r="BR219" i="1" s="1"/>
  <c r="BR217" i="1" s="1"/>
  <c r="BV55" i="1"/>
  <c r="BR56" i="1"/>
  <c r="BR239" i="1"/>
  <c r="AN54" i="1"/>
  <c r="AN257" i="1" s="1"/>
  <c r="AQ239" i="1"/>
  <c r="AO56" i="1"/>
  <c r="AN239" i="1"/>
  <c r="AN55" i="1"/>
  <c r="AP239" i="1"/>
  <c r="AR55" i="1"/>
  <c r="AO239" i="1"/>
  <c r="AN60" i="1"/>
  <c r="AN56" i="1"/>
  <c r="AN246" i="1"/>
  <c r="BX55" i="1"/>
  <c r="BT54" i="1"/>
  <c r="BT257" i="1" s="1"/>
  <c r="BT246" i="1"/>
  <c r="BT60" i="1"/>
  <c r="BU56" i="1"/>
  <c r="BT55" i="1"/>
  <c r="BW239" i="1"/>
  <c r="BV239" i="1"/>
  <c r="AZ55" i="1"/>
  <c r="AV54" i="1"/>
  <c r="AV257" i="1" s="1"/>
  <c r="AV246" i="1"/>
  <c r="AV60" i="1"/>
  <c r="AY239" i="1"/>
  <c r="AW239" i="1"/>
  <c r="AW56" i="1"/>
  <c r="AV55" i="1"/>
  <c r="AV56" i="1"/>
  <c r="AX239" i="1"/>
  <c r="AV239" i="1"/>
  <c r="AR56" i="1"/>
  <c r="AQ55" i="1"/>
  <c r="AQ246" i="1"/>
  <c r="AQ60" i="1"/>
  <c r="AQ54" i="1"/>
  <c r="AQ257" i="1" s="1"/>
  <c r="AQ56" i="1"/>
  <c r="AU55" i="1"/>
  <c r="AT239" i="1"/>
  <c r="AS239" i="1"/>
  <c r="AR239" i="1"/>
  <c r="BB54" i="1"/>
  <c r="BB257" i="1" s="1"/>
  <c r="BF55" i="1"/>
  <c r="BB246" i="1"/>
  <c r="BB60" i="1"/>
  <c r="BB219" i="1" s="1"/>
  <c r="BB217" i="1" s="1"/>
  <c r="BC56" i="1"/>
  <c r="BD239" i="1"/>
  <c r="BB239" i="1"/>
  <c r="BB56" i="1"/>
  <c r="BC239" i="1"/>
  <c r="BE239" i="1"/>
  <c r="BB55" i="1"/>
  <c r="AX60" i="1"/>
  <c r="AX246" i="1"/>
  <c r="AX54" i="1"/>
  <c r="AX257" i="1" s="1"/>
  <c r="AZ239" i="1"/>
  <c r="AX56" i="1"/>
  <c r="AY56" i="1"/>
  <c r="AX55" i="1"/>
  <c r="BA239" i="1"/>
  <c r="BH64" i="1"/>
  <c r="BH78" i="1"/>
  <c r="BH205" i="1"/>
  <c r="BH207" i="1" s="1"/>
  <c r="BT239" i="1"/>
  <c r="BT56" i="1"/>
  <c r="BK55" i="1"/>
  <c r="BG60" i="1"/>
  <c r="BH239" i="1"/>
  <c r="BG55" i="1"/>
  <c r="BG54" i="1"/>
  <c r="BG257" i="1" s="1"/>
  <c r="BX239" i="1"/>
  <c r="BW246" i="1"/>
  <c r="BW56" i="1"/>
  <c r="BX56" i="1"/>
  <c r="BW60" i="1"/>
  <c r="X73" i="1"/>
  <c r="BY239" i="1"/>
  <c r="CA55" i="1"/>
  <c r="BW54" i="1"/>
  <c r="BW257" i="1" s="1"/>
  <c r="BZ239" i="1"/>
  <c r="BS205" i="1"/>
  <c r="BS207" i="1" s="1"/>
  <c r="BS64" i="1"/>
  <c r="BS131" i="1"/>
  <c r="BS132" i="1" s="1"/>
  <c r="BS78" i="1"/>
  <c r="BQ219" i="1"/>
  <c r="BQ217" i="1" s="1"/>
  <c r="BQ141" i="1"/>
  <c r="BQ67" i="1" s="1"/>
  <c r="BQ104" i="1"/>
  <c r="AW141" i="1"/>
  <c r="AW67" i="1" s="1"/>
  <c r="AW219" i="1"/>
  <c r="AW217" i="1" s="1"/>
  <c r="AW104" i="1"/>
  <c r="BA219" i="1"/>
  <c r="BA217" i="1" s="1"/>
  <c r="BA104" i="1"/>
  <c r="BA141" i="1"/>
  <c r="BA67" i="1" s="1"/>
  <c r="CS146" i="1"/>
  <c r="AC218" i="1"/>
  <c r="CA238" i="1"/>
  <c r="CB238" i="1"/>
  <c r="BU238" i="1"/>
  <c r="AS64" i="1" l="1"/>
  <c r="AS131" i="1"/>
  <c r="AS132" i="1" s="1"/>
  <c r="AS205" i="1"/>
  <c r="AS207" i="1" s="1"/>
  <c r="AS78" i="1"/>
  <c r="BI55" i="1"/>
  <c r="BK239" i="1"/>
  <c r="BM55" i="1"/>
  <c r="BL239" i="1"/>
  <c r="BI60" i="1"/>
  <c r="BI246" i="1"/>
  <c r="BJ56" i="1"/>
  <c r="BI54" i="1"/>
  <c r="BI257" i="1" s="1"/>
  <c r="BD64" i="1"/>
  <c r="BD205" i="1"/>
  <c r="BD207" i="1" s="1"/>
  <c r="BN246" i="1"/>
  <c r="BR55" i="1"/>
  <c r="BN55" i="1"/>
  <c r="BQ239" i="1"/>
  <c r="BN56" i="1"/>
  <c r="BD78" i="1"/>
  <c r="BN60" i="1"/>
  <c r="BQ66" i="1" s="1"/>
  <c r="BN54" i="1"/>
  <c r="BN257" i="1" s="1"/>
  <c r="BN239" i="1"/>
  <c r="BP239" i="1"/>
  <c r="BO56" i="1"/>
  <c r="BO239" i="1"/>
  <c r="BH56" i="1"/>
  <c r="BG239" i="1"/>
  <c r="BG246" i="1"/>
  <c r="BJ239" i="1"/>
  <c r="BG56" i="1"/>
  <c r="BI239" i="1"/>
  <c r="BK66" i="1"/>
  <c r="BM81" i="1"/>
  <c r="BI101" i="1" s="1"/>
  <c r="BK104" i="1"/>
  <c r="BL219" i="1"/>
  <c r="BL217" i="1" s="1"/>
  <c r="BK219" i="1"/>
  <c r="BK217" i="1" s="1"/>
  <c r="BK141" i="1"/>
  <c r="BK67" i="1" s="1"/>
  <c r="BV219" i="1"/>
  <c r="BV217" i="1" s="1"/>
  <c r="BU219" i="1"/>
  <c r="BU217" i="1" s="1"/>
  <c r="BU104" i="1"/>
  <c r="BU141" i="1"/>
  <c r="BU67" i="1" s="1"/>
  <c r="AU81" i="1"/>
  <c r="AY104" i="1"/>
  <c r="AY219" i="1"/>
  <c r="AY217" i="1" s="1"/>
  <c r="AY141" i="1"/>
  <c r="AY67" i="1" s="1"/>
  <c r="AZ219" i="1"/>
  <c r="AZ217" i="1" s="1"/>
  <c r="AS219" i="1"/>
  <c r="AS217" i="1" s="1"/>
  <c r="AS104" i="1"/>
  <c r="AS141" i="1"/>
  <c r="AS67" i="1" s="1"/>
  <c r="AT219" i="1"/>
  <c r="AT217" i="1" s="1"/>
  <c r="AO66" i="1"/>
  <c r="BL66" i="1"/>
  <c r="BI64" i="1"/>
  <c r="BI205" i="1"/>
  <c r="BI207" i="1" s="1"/>
  <c r="BI78" i="1"/>
  <c r="BI131" i="1"/>
  <c r="BI132" i="1" s="1"/>
  <c r="BM66" i="1"/>
  <c r="BM219" i="1"/>
  <c r="BM217" i="1" s="1"/>
  <c r="BM141" i="1"/>
  <c r="BM67" i="1" s="1"/>
  <c r="BM104" i="1"/>
  <c r="AX219" i="1"/>
  <c r="AX217" i="1" s="1"/>
  <c r="BA66" i="1"/>
  <c r="BF219" i="1"/>
  <c r="BF217" i="1" s="1"/>
  <c r="BE104" i="1"/>
  <c r="BE141" i="1"/>
  <c r="BE67" i="1" s="1"/>
  <c r="BE219" i="1"/>
  <c r="BE217" i="1" s="1"/>
  <c r="S73" i="1"/>
  <c r="BF66" i="1"/>
  <c r="BC78" i="1"/>
  <c r="BC131" i="1"/>
  <c r="BC132" i="1" s="1"/>
  <c r="BC205" i="1"/>
  <c r="BC207" i="1" s="1"/>
  <c r="BC64" i="1"/>
  <c r="BO219" i="1"/>
  <c r="BO217" i="1" s="1"/>
  <c r="BO141" i="1"/>
  <c r="BO67" i="1" s="1"/>
  <c r="BP219" i="1"/>
  <c r="BP217" i="1" s="1"/>
  <c r="BO104" i="1"/>
  <c r="AI78" i="1"/>
  <c r="AL81" i="1" s="1"/>
  <c r="AI64" i="1"/>
  <c r="AL66" i="1"/>
  <c r="N73" i="1"/>
  <c r="AI219" i="1"/>
  <c r="AI217" i="1" s="1"/>
  <c r="AI205" i="1"/>
  <c r="AI207" i="1" s="1"/>
  <c r="AI211" i="1" s="1"/>
  <c r="AI225" i="1" s="1"/>
  <c r="AU104" i="1"/>
  <c r="AU219" i="1"/>
  <c r="AU217" i="1" s="1"/>
  <c r="AU141" i="1"/>
  <c r="AU67" i="1" s="1"/>
  <c r="AU66" i="1"/>
  <c r="AP219" i="1"/>
  <c r="AP217" i="1" s="1"/>
  <c r="AO104" i="1"/>
  <c r="AO141" i="1"/>
  <c r="AO67" i="1" s="1"/>
  <c r="AO219" i="1"/>
  <c r="AO217" i="1" s="1"/>
  <c r="AV219" i="1"/>
  <c r="AV217" i="1" s="1"/>
  <c r="AY66" i="1"/>
  <c r="BT66" i="1"/>
  <c r="BR64" i="1"/>
  <c r="BR205" i="1"/>
  <c r="BR207" i="1" s="1"/>
  <c r="BR78" i="1"/>
  <c r="BR66" i="1"/>
  <c r="V73" i="1"/>
  <c r="AW66" i="1"/>
  <c r="BV66" i="1"/>
  <c r="BO66" i="1"/>
  <c r="BN219" i="1"/>
  <c r="BN217" i="1" s="1"/>
  <c r="BU66" i="1"/>
  <c r="BX66" i="1"/>
  <c r="BW131" i="1"/>
  <c r="BW132" i="1" s="1"/>
  <c r="BY66" i="1"/>
  <c r="BW205" i="1"/>
  <c r="BW207" i="1" s="1"/>
  <c r="BW64" i="1"/>
  <c r="BZ66" i="1"/>
  <c r="BW78" i="1"/>
  <c r="AV205" i="1"/>
  <c r="AV207" i="1" s="1"/>
  <c r="AV64" i="1"/>
  <c r="AV78" i="1"/>
  <c r="AV66" i="1"/>
  <c r="Q73" i="1"/>
  <c r="AX66" i="1"/>
  <c r="BT205" i="1"/>
  <c r="BT207" i="1" s="1"/>
  <c r="BT64" i="1"/>
  <c r="BT78" i="1"/>
  <c r="BV81" i="1" s="1"/>
  <c r="BR101" i="1" s="1"/>
  <c r="AX64" i="1"/>
  <c r="AX78" i="1"/>
  <c r="AX205" i="1"/>
  <c r="AX207" i="1" s="1"/>
  <c r="AZ66" i="1"/>
  <c r="BB78" i="1"/>
  <c r="BB64" i="1"/>
  <c r="BB205" i="1"/>
  <c r="BB207" i="1" s="1"/>
  <c r="BB66" i="1"/>
  <c r="R73" i="1"/>
  <c r="BD66" i="1"/>
  <c r="BE66" i="1"/>
  <c r="AQ131" i="1"/>
  <c r="AQ132" i="1" s="1"/>
  <c r="AQ205" i="1"/>
  <c r="AQ207" i="1" s="1"/>
  <c r="AQ64" i="1"/>
  <c r="AQ78" i="1"/>
  <c r="AS66" i="1"/>
  <c r="AR66" i="1"/>
  <c r="AT66" i="1"/>
  <c r="P73" i="1"/>
  <c r="BG64" i="1"/>
  <c r="BG78" i="1"/>
  <c r="BG131" i="1"/>
  <c r="BG132" i="1" s="1"/>
  <c r="BH66" i="1"/>
  <c r="BG205" i="1"/>
  <c r="BG207" i="1" s="1"/>
  <c r="AN64" i="1"/>
  <c r="AP66" i="1"/>
  <c r="AN78" i="1"/>
  <c r="AN205" i="1"/>
  <c r="AN207" i="1" s="1"/>
  <c r="AN66" i="1"/>
  <c r="O73" i="1"/>
  <c r="AN219" i="1"/>
  <c r="AN217" i="1" s="1"/>
  <c r="BT219" i="1"/>
  <c r="BT217" i="1" s="1"/>
  <c r="BS104" i="1"/>
  <c r="BS141" i="1"/>
  <c r="BS67" i="1" s="1"/>
  <c r="BS219" i="1"/>
  <c r="BS217" i="1" s="1"/>
  <c r="BS66" i="1"/>
  <c r="BQ106" i="1"/>
  <c r="BQ107" i="1"/>
  <c r="BQ108" i="1"/>
  <c r="BA107" i="1"/>
  <c r="BA106" i="1"/>
  <c r="BA108" i="1"/>
  <c r="AW107" i="1"/>
  <c r="AW106" i="1"/>
  <c r="AW108" i="1"/>
  <c r="CS150" i="1"/>
  <c r="CT44" i="1"/>
  <c r="AD136" i="1"/>
  <c r="W71" i="1"/>
  <c r="BF81" i="1" l="1"/>
  <c r="BN64" i="1"/>
  <c r="BN78" i="1"/>
  <c r="BN205" i="1"/>
  <c r="BN207" i="1" s="1"/>
  <c r="BN66" i="1"/>
  <c r="U73" i="1"/>
  <c r="BP66" i="1"/>
  <c r="BJ66" i="1"/>
  <c r="T73" i="1"/>
  <c r="BM97" i="1"/>
  <c r="BM99" i="1"/>
  <c r="BM98" i="1"/>
  <c r="BK108" i="1"/>
  <c r="BK106" i="1"/>
  <c r="BK107" i="1"/>
  <c r="BU106" i="1"/>
  <c r="BU108" i="1"/>
  <c r="BU107" i="1"/>
  <c r="AU99" i="1"/>
  <c r="AU98" i="1"/>
  <c r="AQ101" i="1"/>
  <c r="AU97" i="1"/>
  <c r="AY106" i="1"/>
  <c r="AY107" i="1"/>
  <c r="AY108" i="1"/>
  <c r="BL81" i="1"/>
  <c r="BK81" i="1"/>
  <c r="BR81" i="1"/>
  <c r="BR98" i="1" s="1"/>
  <c r="BT81" i="1"/>
  <c r="BS81" i="1"/>
  <c r="AS107" i="1"/>
  <c r="AS108" i="1"/>
  <c r="AS106" i="1"/>
  <c r="BI104" i="1"/>
  <c r="BI141" i="1"/>
  <c r="BI67" i="1" s="1"/>
  <c r="BI219" i="1"/>
  <c r="BI217" i="1" s="1"/>
  <c r="BI66" i="1"/>
  <c r="BJ219" i="1"/>
  <c r="BJ217" i="1" s="1"/>
  <c r="AI222" i="1"/>
  <c r="AI223" i="1" s="1"/>
  <c r="BM107" i="1"/>
  <c r="BM108" i="1"/>
  <c r="BM106" i="1"/>
  <c r="BU81" i="1"/>
  <c r="BU97" i="1" s="1"/>
  <c r="BE106" i="1"/>
  <c r="BE108" i="1"/>
  <c r="BE107" i="1"/>
  <c r="BC219" i="1"/>
  <c r="BC217" i="1" s="1"/>
  <c r="BC141" i="1"/>
  <c r="BC67" i="1" s="1"/>
  <c r="BC104" i="1"/>
  <c r="BC66" i="1"/>
  <c r="BD219" i="1"/>
  <c r="BD217" i="1" s="1"/>
  <c r="BO106" i="1"/>
  <c r="BO107" i="1"/>
  <c r="BO108" i="1"/>
  <c r="AL97" i="1"/>
  <c r="AL98" i="1"/>
  <c r="AL99" i="1"/>
  <c r="AU107" i="1"/>
  <c r="AU108" i="1"/>
  <c r="AU106" i="1"/>
  <c r="AO108" i="1"/>
  <c r="AO106" i="1"/>
  <c r="AO107" i="1"/>
  <c r="BA81" i="1"/>
  <c r="AZ81" i="1"/>
  <c r="AY81" i="1"/>
  <c r="AY98" i="1" s="1"/>
  <c r="AX81" i="1"/>
  <c r="AV81" i="1"/>
  <c r="AW81" i="1"/>
  <c r="AT81" i="1"/>
  <c r="AR81" i="1"/>
  <c r="AS81" i="1"/>
  <c r="AQ81" i="1"/>
  <c r="AN81" i="1"/>
  <c r="AP81" i="1"/>
  <c r="AO81" i="1"/>
  <c r="BJ81" i="1"/>
  <c r="BF101" i="1" s="1"/>
  <c r="BG81" i="1"/>
  <c r="BH81" i="1"/>
  <c r="BI81" i="1"/>
  <c r="BE81" i="1"/>
  <c r="BE98" i="1" s="1"/>
  <c r="BD81" i="1"/>
  <c r="BB81" i="1"/>
  <c r="BC81" i="1"/>
  <c r="BZ81" i="1"/>
  <c r="BX81" i="1"/>
  <c r="BY81" i="1"/>
  <c r="BW81" i="1"/>
  <c r="BG219" i="1"/>
  <c r="BG217" i="1" s="1"/>
  <c r="BG141" i="1"/>
  <c r="BG67" i="1" s="1"/>
  <c r="BG104" i="1"/>
  <c r="BG66" i="1"/>
  <c r="BH219" i="1"/>
  <c r="BH217" i="1" s="1"/>
  <c r="AQ141" i="1"/>
  <c r="AQ67" i="1" s="1"/>
  <c r="AQ219" i="1"/>
  <c r="AQ217" i="1" s="1"/>
  <c r="AQ104" i="1"/>
  <c r="AR219" i="1"/>
  <c r="AR217" i="1" s="1"/>
  <c r="AQ66" i="1"/>
  <c r="BW219" i="1"/>
  <c r="BW217" i="1" s="1"/>
  <c r="BX219" i="1"/>
  <c r="BX217" i="1" s="1"/>
  <c r="BW141" i="1"/>
  <c r="BW67" i="1" s="1"/>
  <c r="BW66" i="1"/>
  <c r="BW104" i="1"/>
  <c r="BV99" i="1"/>
  <c r="BV98" i="1"/>
  <c r="BV97" i="1"/>
  <c r="BS106" i="1"/>
  <c r="BS107" i="1"/>
  <c r="BS108" i="1"/>
  <c r="AC44" i="1"/>
  <c r="CT206" i="1"/>
  <c r="CT144" i="1"/>
  <c r="CS215" i="1"/>
  <c r="CS213" i="1" s="1"/>
  <c r="W72" i="1"/>
  <c r="BB101" i="1" l="1"/>
  <c r="BF97" i="1"/>
  <c r="BF99" i="1"/>
  <c r="BF98" i="1"/>
  <c r="BQ81" i="1"/>
  <c r="BO81" i="1"/>
  <c r="BN81" i="1"/>
  <c r="BP81" i="1"/>
  <c r="BL97" i="1"/>
  <c r="BL98" i="1"/>
  <c r="BN101" i="1"/>
  <c r="BR97" i="1"/>
  <c r="BR99" i="1"/>
  <c r="BV82" i="1"/>
  <c r="BP101" i="1"/>
  <c r="BT99" i="1"/>
  <c r="BT97" i="1"/>
  <c r="BT98" i="1"/>
  <c r="BS99" i="1"/>
  <c r="BO101" i="1"/>
  <c r="BS98" i="1"/>
  <c r="BS97" i="1"/>
  <c r="BH101" i="1"/>
  <c r="BL99" i="1"/>
  <c r="BK97" i="1"/>
  <c r="BK98" i="1"/>
  <c r="BK99" i="1"/>
  <c r="BG101" i="1"/>
  <c r="BT82" i="1"/>
  <c r="BV101" i="1"/>
  <c r="BZ82" i="1"/>
  <c r="BY82" i="1"/>
  <c r="BI107" i="1"/>
  <c r="BI108" i="1"/>
  <c r="BI106" i="1"/>
  <c r="BQ101" i="1"/>
  <c r="BU99" i="1"/>
  <c r="BU98" i="1"/>
  <c r="BW97" i="1"/>
  <c r="BW82" i="1"/>
  <c r="BC107" i="1"/>
  <c r="BC106" i="1"/>
  <c r="BC108" i="1"/>
  <c r="AW101" i="1"/>
  <c r="BE82" i="1"/>
  <c r="BQ98" i="1"/>
  <c r="BM101" i="1"/>
  <c r="AQ98" i="1"/>
  <c r="AQ97" i="1"/>
  <c r="BU82" i="1"/>
  <c r="BA99" i="1"/>
  <c r="AX82" i="1"/>
  <c r="CD82" i="1"/>
  <c r="BZ99" i="1"/>
  <c r="BX98" i="1"/>
  <c r="BT101" i="1"/>
  <c r="BX99" i="1"/>
  <c r="CB82" i="1"/>
  <c r="BX97" i="1"/>
  <c r="AN99" i="1"/>
  <c r="AR82" i="1"/>
  <c r="AN98" i="1"/>
  <c r="AN97" i="1"/>
  <c r="BO97" i="1"/>
  <c r="BK101" i="1"/>
  <c r="BO98" i="1"/>
  <c r="BO82" i="1"/>
  <c r="BO99" i="1"/>
  <c r="AP101" i="1"/>
  <c r="CA82" i="1"/>
  <c r="BS101" i="1"/>
  <c r="BW99" i="1"/>
  <c r="BE99" i="1"/>
  <c r="BI82" i="1"/>
  <c r="BE97" i="1"/>
  <c r="BJ98" i="1"/>
  <c r="BJ82" i="1"/>
  <c r="BJ97" i="1"/>
  <c r="AU82" i="1"/>
  <c r="AQ82" i="1"/>
  <c r="AQ99" i="1"/>
  <c r="AW97" i="1"/>
  <c r="AW98" i="1"/>
  <c r="AS101" i="1"/>
  <c r="BA82" i="1"/>
  <c r="AW99" i="1"/>
  <c r="AV101" i="1"/>
  <c r="AZ99" i="1"/>
  <c r="AZ98" i="1"/>
  <c r="BD82" i="1"/>
  <c r="AZ97" i="1"/>
  <c r="AZ101" i="1"/>
  <c r="BD97" i="1"/>
  <c r="BH82" i="1"/>
  <c r="BD99" i="1"/>
  <c r="BD98" i="1"/>
  <c r="AY99" i="1"/>
  <c r="AU101" i="1"/>
  <c r="BC82" i="1"/>
  <c r="AY82" i="1"/>
  <c r="AT98" i="1"/>
  <c r="BJ99" i="1"/>
  <c r="BW98" i="1"/>
  <c r="AM101" i="1"/>
  <c r="BS82" i="1"/>
  <c r="BC99" i="1"/>
  <c r="AY101" i="1"/>
  <c r="BG82" i="1"/>
  <c r="BC98" i="1"/>
  <c r="BC97" i="1"/>
  <c r="BM82" i="1"/>
  <c r="BI99" i="1"/>
  <c r="BI97" i="1"/>
  <c r="BI98" i="1"/>
  <c r="BE101" i="1"/>
  <c r="AO99" i="1"/>
  <c r="AO97" i="1"/>
  <c r="AS82" i="1"/>
  <c r="AO98" i="1"/>
  <c r="BP82" i="1"/>
  <c r="BL101" i="1"/>
  <c r="BP98" i="1"/>
  <c r="BP99" i="1"/>
  <c r="BP97" i="1"/>
  <c r="AS98" i="1"/>
  <c r="AO101" i="1"/>
  <c r="AS99" i="1"/>
  <c r="AS97" i="1"/>
  <c r="AW82" i="1"/>
  <c r="AV98" i="1"/>
  <c r="AV97" i="1"/>
  <c r="AZ82" i="1"/>
  <c r="AV99" i="1"/>
  <c r="AR101" i="1"/>
  <c r="BA97" i="1"/>
  <c r="BA98" i="1"/>
  <c r="BC101" i="1"/>
  <c r="BG97" i="1"/>
  <c r="BG98" i="1"/>
  <c r="BG99" i="1"/>
  <c r="BK82" i="1"/>
  <c r="AT99" i="1"/>
  <c r="AT97" i="1"/>
  <c r="AY97" i="1"/>
  <c r="BZ98" i="1"/>
  <c r="CC102" i="1" s="1"/>
  <c r="BA101" i="1"/>
  <c r="BN82" i="1"/>
  <c r="BZ97" i="1"/>
  <c r="CC82" i="1"/>
  <c r="BY99" i="1"/>
  <c r="BU101" i="1"/>
  <c r="BY98" i="1"/>
  <c r="BY97" i="1"/>
  <c r="AX101" i="1"/>
  <c r="BF82" i="1"/>
  <c r="BB99" i="1"/>
  <c r="BB98" i="1"/>
  <c r="BB97" i="1"/>
  <c r="BH99" i="1"/>
  <c r="BH97" i="1"/>
  <c r="BD101" i="1"/>
  <c r="BL82" i="1"/>
  <c r="BH98" i="1"/>
  <c r="AT82" i="1"/>
  <c r="AP99" i="1"/>
  <c r="AP82" i="1"/>
  <c r="AL101" i="1"/>
  <c r="AP98" i="1"/>
  <c r="AP97" i="1"/>
  <c r="BR82" i="1"/>
  <c r="BJ101" i="1"/>
  <c r="BN99" i="1"/>
  <c r="BN97" i="1"/>
  <c r="BN98" i="1"/>
  <c r="AN101" i="1"/>
  <c r="AR99" i="1"/>
  <c r="AR98" i="1"/>
  <c r="AR97" i="1"/>
  <c r="AV82" i="1"/>
  <c r="AX98" i="1"/>
  <c r="BB82" i="1"/>
  <c r="AX97" i="1"/>
  <c r="AT101" i="1"/>
  <c r="AX99" i="1"/>
  <c r="BX82" i="1"/>
  <c r="BW106" i="1"/>
  <c r="BW108" i="1"/>
  <c r="BW107" i="1"/>
  <c r="BG106" i="1"/>
  <c r="BG108" i="1"/>
  <c r="BG107" i="1"/>
  <c r="AQ107" i="1"/>
  <c r="AQ108" i="1"/>
  <c r="AQ106" i="1"/>
  <c r="AC206" i="1"/>
  <c r="AC144" i="1"/>
  <c r="AC146" i="1" s="1"/>
  <c r="AC45" i="1" s="1"/>
  <c r="CT146" i="1"/>
  <c r="AD137" i="1"/>
  <c r="AD140" i="1" s="1"/>
  <c r="AD261" i="1" s="1"/>
  <c r="AR121" i="1"/>
  <c r="W73" i="1"/>
  <c r="BQ97" i="1" l="1"/>
  <c r="BQ82" i="1"/>
  <c r="BQ99" i="1"/>
  <c r="CB102" i="1"/>
  <c r="BT102" i="1"/>
  <c r="BH102" i="1"/>
  <c r="BM102" i="1"/>
  <c r="BG102" i="1"/>
  <c r="BN102" i="1"/>
  <c r="BB102" i="1"/>
  <c r="BI102" i="1"/>
  <c r="AW102" i="1"/>
  <c r="BL102" i="1"/>
  <c r="BY102" i="1"/>
  <c r="AZ102" i="1"/>
  <c r="AR102" i="1"/>
  <c r="AV102" i="1"/>
  <c r="BJ102" i="1"/>
  <c r="BE102" i="1"/>
  <c r="AS102" i="1"/>
  <c r="AU102" i="1"/>
  <c r="BA102" i="1"/>
  <c r="AT102" i="1"/>
  <c r="AQ102" i="1"/>
  <c r="AP102" i="1"/>
  <c r="AO102" i="1"/>
  <c r="BP102" i="1"/>
  <c r="BO102" i="1"/>
  <c r="AY102" i="1"/>
  <c r="AX102" i="1"/>
  <c r="CA102" i="1"/>
  <c r="BR102" i="1"/>
  <c r="BC102" i="1"/>
  <c r="BZ102" i="1"/>
  <c r="BF102" i="1"/>
  <c r="BS102" i="1"/>
  <c r="BD102" i="1"/>
  <c r="BK102" i="1"/>
  <c r="BQ102" i="1"/>
  <c r="BX102" i="1"/>
  <c r="BW102" i="1"/>
  <c r="BV102" i="1"/>
  <c r="BU102" i="1"/>
  <c r="CU44" i="1"/>
  <c r="CT150" i="1"/>
  <c r="AD218" i="1"/>
  <c r="AB150" i="1"/>
  <c r="AR122" i="1"/>
  <c r="AR125" i="1" s="1"/>
  <c r="AR123" i="1"/>
  <c r="AR126" i="1" s="1"/>
  <c r="CA239" i="1"/>
  <c r="CB239" i="1"/>
  <c r="W205" i="1"/>
  <c r="W207" i="1" s="1"/>
  <c r="BU239" i="1"/>
  <c r="CT215" i="1" l="1"/>
  <c r="CT213" i="1" s="1"/>
  <c r="CU206" i="1"/>
  <c r="CU144" i="1"/>
  <c r="AB215" i="1"/>
  <c r="AB213" i="1" s="1"/>
  <c r="AE136" i="1"/>
  <c r="CA101" i="1"/>
  <c r="CU146" i="1" l="1"/>
  <c r="CF101" i="1"/>
  <c r="CU150" i="1" l="1"/>
  <c r="CV44" i="1"/>
  <c r="AE137" i="1"/>
  <c r="AE140" i="1" s="1"/>
  <c r="AE261" i="1" s="1"/>
  <c r="CV206" i="1" l="1"/>
  <c r="CV144" i="1"/>
  <c r="CU215" i="1"/>
  <c r="CU213" i="1" s="1"/>
  <c r="AE218" i="1"/>
  <c r="AC150" i="1"/>
  <c r="W132" i="1"/>
  <c r="CV146" i="1" l="1"/>
  <c r="W66" i="1"/>
  <c r="AC215" i="1"/>
  <c r="AC213" i="1" s="1"/>
  <c r="X219" i="1"/>
  <c r="X217" i="1" s="1"/>
  <c r="W219" i="1"/>
  <c r="W217" i="1" s="1"/>
  <c r="W141" i="1"/>
  <c r="W67" i="1" s="1"/>
  <c r="W187" i="1"/>
  <c r="CW44" i="1" l="1"/>
  <c r="CV150" i="1"/>
  <c r="CV215" i="1" l="1"/>
  <c r="CV213" i="1" s="1"/>
  <c r="CW206" i="1"/>
  <c r="CW144" i="1"/>
  <c r="CW146" i="1" l="1"/>
  <c r="CW150" i="1" l="1"/>
  <c r="CX44" i="1"/>
  <c r="AD44" i="1" l="1"/>
  <c r="CX206" i="1"/>
  <c r="CX144" i="1"/>
  <c r="CW215" i="1"/>
  <c r="CW213" i="1" s="1"/>
  <c r="AD206" i="1" l="1"/>
  <c r="AD144" i="1"/>
  <c r="AD146" i="1" s="1"/>
  <c r="CX146" i="1"/>
  <c r="AD150" i="1" l="1"/>
  <c r="AD215" i="1" s="1"/>
  <c r="AD213" i="1" s="1"/>
  <c r="AD45" i="1"/>
  <c r="CX150" i="1"/>
  <c r="CY44" i="1"/>
  <c r="CY206" i="1" l="1"/>
  <c r="CY144" i="1"/>
  <c r="CX215" i="1"/>
  <c r="CX213" i="1" s="1"/>
  <c r="CY146" i="1" l="1"/>
  <c r="W192" i="1"/>
  <c r="CY150" i="1" l="1"/>
  <c r="CZ44" i="1"/>
  <c r="W195" i="1"/>
  <c r="W168" i="1"/>
  <c r="X209" i="1" s="1"/>
  <c r="CZ206" i="1" l="1"/>
  <c r="CZ144" i="1"/>
  <c r="CY215" i="1"/>
  <c r="CY213" i="1" s="1"/>
  <c r="W197" i="1"/>
  <c r="W196" i="1" s="1"/>
  <c r="W209" i="1"/>
  <c r="W160" i="1"/>
  <c r="X208" i="1" s="1"/>
  <c r="X210" i="1" s="1"/>
  <c r="X211" i="1" s="1"/>
  <c r="X225" i="1" s="1"/>
  <c r="W191" i="1"/>
  <c r="CZ146" i="1" l="1"/>
  <c r="W194" i="1"/>
  <c r="W169" i="1"/>
  <c r="W208" i="1"/>
  <c r="W210" i="1" s="1"/>
  <c r="W211" i="1" s="1"/>
  <c r="CZ150" i="1" l="1"/>
  <c r="CZ215" i="1" s="1"/>
  <c r="CZ213" i="1" s="1"/>
  <c r="DA44" i="1"/>
  <c r="W193" i="1"/>
  <c r="W198" i="1"/>
  <c r="W222" i="1"/>
  <c r="W225" i="1"/>
  <c r="DA206" i="1" l="1"/>
  <c r="DA144" i="1"/>
  <c r="W201" i="1"/>
  <c r="W202" i="1" s="1"/>
  <c r="X201" i="1"/>
  <c r="X202" i="1" s="1"/>
  <c r="DA146" i="1" l="1"/>
  <c r="W173" i="1"/>
  <c r="X221" i="1" l="1"/>
  <c r="X222" i="1" s="1"/>
  <c r="X223" i="1" s="1"/>
  <c r="W258" i="1"/>
  <c r="W260" i="1"/>
  <c r="W256" i="1"/>
  <c r="DA150" i="1"/>
  <c r="DA215" i="1" s="1"/>
  <c r="DA213" i="1" s="1"/>
  <c r="DB44" i="1"/>
  <c r="W180" i="1"/>
  <c r="W121" i="1" s="1"/>
  <c r="W177" i="1"/>
  <c r="W223" i="1"/>
  <c r="AE44" i="1" l="1"/>
  <c r="AE206" i="1" s="1"/>
  <c r="DB206" i="1"/>
  <c r="DB144" i="1"/>
  <c r="W178" i="1"/>
  <c r="DB146" i="1" l="1"/>
  <c r="DB150" i="1" s="1"/>
  <c r="DB215" i="1" s="1"/>
  <c r="DB213" i="1" s="1"/>
  <c r="AE144" i="1"/>
  <c r="AE146" i="1" s="1"/>
  <c r="C111" i="2"/>
  <c r="C113" i="2"/>
  <c r="C112" i="2"/>
  <c r="AE150" i="1" l="1"/>
  <c r="AE215" i="1" s="1"/>
  <c r="AE213" i="1" s="1"/>
  <c r="AE45" i="1"/>
  <c r="B85" i="1"/>
  <c r="B86" i="1"/>
  <c r="AK191" i="1" l="1"/>
  <c r="AK156" i="1" s="1"/>
  <c r="AM156" i="1" l="1"/>
  <c r="AO156" i="1" l="1"/>
  <c r="AQ156" i="1" l="1"/>
  <c r="AS156" i="1" l="1"/>
  <c r="AU156" i="1" l="1"/>
  <c r="AW156" i="1" l="1"/>
  <c r="AY156" i="1" l="1"/>
  <c r="BA156" i="1" l="1"/>
  <c r="BC156" i="1" l="1"/>
  <c r="BE156" i="1" l="1"/>
  <c r="BG156" i="1" l="1"/>
  <c r="BI156" i="1" l="1"/>
  <c r="BK156" i="1" l="1"/>
  <c r="BM156" i="1" l="1"/>
  <c r="BO156" i="1" l="1"/>
  <c r="BQ156" i="1" l="1"/>
  <c r="BS156" i="1" l="1"/>
  <c r="BU156" i="1" l="1"/>
  <c r="BW156" i="1" l="1"/>
  <c r="BY156" i="1" l="1"/>
  <c r="AK157" i="1" l="1"/>
  <c r="AK160" i="1" s="1"/>
  <c r="AL208" i="1" l="1"/>
  <c r="AK208" i="1"/>
  <c r="AK194" i="1"/>
  <c r="AM157" i="1"/>
  <c r="AM160" i="1" s="1"/>
  <c r="AM194" i="1" l="1"/>
  <c r="AM193" i="1" s="1"/>
  <c r="AN208" i="1"/>
  <c r="AM208" i="1"/>
  <c r="AJ193" i="1"/>
  <c r="AK193" i="1"/>
  <c r="AO157" i="1" l="1"/>
  <c r="AO160" i="1" s="1"/>
  <c r="AP208" i="1" l="1"/>
  <c r="AO194" i="1"/>
  <c r="AO193" i="1" s="1"/>
  <c r="AO208" i="1"/>
  <c r="AQ157" i="1" l="1"/>
  <c r="AQ160" i="1" s="1"/>
  <c r="AQ194" i="1" l="1"/>
  <c r="AQ193" i="1" s="1"/>
  <c r="AR208" i="1"/>
  <c r="AQ208" i="1"/>
  <c r="AS157" i="1" l="1"/>
  <c r="AS160" i="1" s="1"/>
  <c r="AT208" i="1" l="1"/>
  <c r="AS194" i="1"/>
  <c r="AS193" i="1" s="1"/>
  <c r="AS208" i="1"/>
  <c r="AU157" i="1" l="1"/>
  <c r="AU160" i="1" s="1"/>
  <c r="AU194" i="1" l="1"/>
  <c r="AU193" i="1" s="1"/>
  <c r="AV208" i="1"/>
  <c r="AU208" i="1"/>
  <c r="AW157" i="1" l="1"/>
  <c r="AW160" i="1" s="1"/>
  <c r="AW194" i="1" l="1"/>
  <c r="AW193" i="1" s="1"/>
  <c r="AX208" i="1"/>
  <c r="AW208" i="1"/>
  <c r="AY157" i="1" l="1"/>
  <c r="AY160" i="1" s="1"/>
  <c r="AY194" i="1" l="1"/>
  <c r="AY193" i="1" s="1"/>
  <c r="AZ208" i="1"/>
  <c r="AY208" i="1"/>
  <c r="BA157" i="1" l="1"/>
  <c r="BA160" i="1" s="1"/>
  <c r="BB208" i="1" l="1"/>
  <c r="BA194" i="1"/>
  <c r="BA193" i="1" s="1"/>
  <c r="BA208" i="1"/>
  <c r="BC157" i="1" l="1"/>
  <c r="BC160" i="1" s="1"/>
  <c r="BD208" i="1" l="1"/>
  <c r="BC194" i="1"/>
  <c r="BC193" i="1" s="1"/>
  <c r="BC208" i="1"/>
  <c r="BE157" i="1" l="1"/>
  <c r="BE160" i="1" s="1"/>
  <c r="BF208" i="1" l="1"/>
  <c r="BE194" i="1"/>
  <c r="BE193" i="1" s="1"/>
  <c r="BE208" i="1"/>
  <c r="BG157" i="1" l="1"/>
  <c r="BG160" i="1" s="1"/>
  <c r="BG194" i="1" l="1"/>
  <c r="BG193" i="1" s="1"/>
  <c r="BH208" i="1"/>
  <c r="BG208" i="1"/>
  <c r="BI157" i="1" l="1"/>
  <c r="BI160" i="1" s="1"/>
  <c r="BJ208" i="1" l="1"/>
  <c r="BI194" i="1"/>
  <c r="BI193" i="1" s="1"/>
  <c r="BI208" i="1"/>
  <c r="BK157" i="1" l="1"/>
  <c r="BK160" i="1" s="1"/>
  <c r="BL208" i="1" l="1"/>
  <c r="BK194" i="1"/>
  <c r="BK193" i="1" s="1"/>
  <c r="BK208" i="1"/>
  <c r="BM157" i="1" l="1"/>
  <c r="BM160" i="1" s="1"/>
  <c r="BM194" i="1" l="1"/>
  <c r="BM193" i="1" s="1"/>
  <c r="BN208" i="1"/>
  <c r="BM208" i="1"/>
  <c r="BO157" i="1" l="1"/>
  <c r="BO160" i="1" s="1"/>
  <c r="BO194" i="1" l="1"/>
  <c r="BO193" i="1" s="1"/>
  <c r="BP208" i="1"/>
  <c r="BO208" i="1"/>
  <c r="BQ157" i="1" l="1"/>
  <c r="BQ160" i="1" s="1"/>
  <c r="BR208" i="1" l="1"/>
  <c r="BQ194" i="1"/>
  <c r="BQ193" i="1" s="1"/>
  <c r="BQ208" i="1"/>
  <c r="BS157" i="1" l="1"/>
  <c r="BS160" i="1" s="1"/>
  <c r="BT208" i="1" l="1"/>
  <c r="BS194" i="1"/>
  <c r="BS193" i="1" s="1"/>
  <c r="BS208" i="1"/>
  <c r="BU157" i="1" l="1"/>
  <c r="BU160" i="1" s="1"/>
  <c r="BU194" i="1" l="1"/>
  <c r="BU193" i="1" s="1"/>
  <c r="BV208" i="1"/>
  <c r="BU208" i="1"/>
  <c r="BW157" i="1" l="1"/>
  <c r="BW160" i="1" s="1"/>
  <c r="BW194" i="1" l="1"/>
  <c r="BW193" i="1" s="1"/>
  <c r="BX208" i="1"/>
  <c r="BW208" i="1"/>
  <c r="BY157" i="1" l="1"/>
  <c r="BY160" i="1" s="1"/>
  <c r="BZ208" i="1" l="1"/>
  <c r="BY194" i="1"/>
  <c r="BY193" i="1" s="1"/>
  <c r="BY208" i="1"/>
  <c r="AK195" i="1" l="1"/>
  <c r="AK165" i="1" s="1"/>
  <c r="AK168" i="1" s="1"/>
  <c r="AK169" i="1" l="1"/>
  <c r="AK197" i="1"/>
  <c r="AL209" i="1"/>
  <c r="AL210" i="1" s="1"/>
  <c r="AL211" i="1" s="1"/>
  <c r="AL225" i="1" s="1"/>
  <c r="AK209" i="1"/>
  <c r="AK210" i="1" s="1"/>
  <c r="AK211" i="1" s="1"/>
  <c r="AM165" i="1"/>
  <c r="AM168" i="1" s="1"/>
  <c r="AK225" i="1" l="1"/>
  <c r="AK222" i="1"/>
  <c r="AK172" i="1" s="1"/>
  <c r="AK173" i="1" s="1"/>
  <c r="AK177" i="1" s="1"/>
  <c r="AK178" i="1" s="1"/>
  <c r="AN209" i="1"/>
  <c r="AN210" i="1" s="1"/>
  <c r="AN211" i="1" s="1"/>
  <c r="AN225" i="1" s="1"/>
  <c r="AM197" i="1"/>
  <c r="AM196" i="1" s="1"/>
  <c r="AM209" i="1"/>
  <c r="AM210" i="1" s="1"/>
  <c r="AM211" i="1" s="1"/>
  <c r="AM169" i="1"/>
  <c r="AJ196" i="1"/>
  <c r="AJ198" i="1"/>
  <c r="AN201" i="1" s="1"/>
  <c r="AK196" i="1"/>
  <c r="AK198" i="1"/>
  <c r="AO165" i="1"/>
  <c r="AO168" i="1" s="1"/>
  <c r="AM198" i="1" l="1"/>
  <c r="AO197" i="1"/>
  <c r="AO196" i="1" s="1"/>
  <c r="AP209" i="1"/>
  <c r="AP210" i="1" s="1"/>
  <c r="AP211" i="1" s="1"/>
  <c r="AP225" i="1" s="1"/>
  <c r="AO209" i="1"/>
  <c r="AO210" i="1" s="1"/>
  <c r="AO211" i="1" s="1"/>
  <c r="AM225" i="1"/>
  <c r="AM222" i="1"/>
  <c r="AO169" i="1"/>
  <c r="AL221" i="1" l="1"/>
  <c r="AL222" i="1" s="1"/>
  <c r="AL223" i="1" s="1"/>
  <c r="AK223" i="1"/>
  <c r="AO198" i="1"/>
  <c r="AO201" i="1" s="1"/>
  <c r="AO225" i="1"/>
  <c r="AO222" i="1"/>
  <c r="AQ165" i="1"/>
  <c r="AQ168" i="1" s="1"/>
  <c r="AK180" i="1"/>
  <c r="AL49" i="1" s="1"/>
  <c r="AM172" i="1"/>
  <c r="AM173" i="1" s="1"/>
  <c r="AM177" i="1" s="1"/>
  <c r="AN221" i="1" l="1"/>
  <c r="AN222" i="1" s="1"/>
  <c r="AN223" i="1" s="1"/>
  <c r="AM260" i="1"/>
  <c r="AM258" i="1"/>
  <c r="AM256" i="1"/>
  <c r="AQ197" i="1"/>
  <c r="AQ196" i="1" s="1"/>
  <c r="AR209" i="1"/>
  <c r="AR210" i="1" s="1"/>
  <c r="AR211" i="1" s="1"/>
  <c r="AR225" i="1" s="1"/>
  <c r="AQ209" i="1"/>
  <c r="AQ210" i="1" s="1"/>
  <c r="AQ211" i="1" s="1"/>
  <c r="AM223" i="1"/>
  <c r="AQ169" i="1"/>
  <c r="AO172" i="1"/>
  <c r="AO173" i="1" s="1"/>
  <c r="AM180" i="1"/>
  <c r="AO258" i="1" l="1"/>
  <c r="AO260" i="1"/>
  <c r="AO256" i="1"/>
  <c r="AM121" i="1"/>
  <c r="AM122" i="1" s="1"/>
  <c r="AM125" i="1" s="1"/>
  <c r="AN49" i="1"/>
  <c r="AQ198" i="1"/>
  <c r="AQ201" i="1" s="1"/>
  <c r="AQ225" i="1"/>
  <c r="AQ222" i="1"/>
  <c r="AP221" i="1"/>
  <c r="AP222" i="1" s="1"/>
  <c r="AP223" i="1" s="1"/>
  <c r="AO223" i="1"/>
  <c r="AS165" i="1"/>
  <c r="AS168" i="1" s="1"/>
  <c r="AO180" i="1"/>
  <c r="AO177" i="1"/>
  <c r="AM178" i="1"/>
  <c r="AM123" i="1" l="1"/>
  <c r="AM126" i="1" s="1"/>
  <c r="AO121" i="1"/>
  <c r="AO123" i="1" s="1"/>
  <c r="AO126" i="1" s="1"/>
  <c r="AP49" i="1"/>
  <c r="AS197" i="1"/>
  <c r="AS196" i="1" s="1"/>
  <c r="AT209" i="1"/>
  <c r="AT210" i="1" s="1"/>
  <c r="AT211" i="1" s="1"/>
  <c r="AT225" i="1" s="1"/>
  <c r="AS209" i="1"/>
  <c r="AS210" i="1" s="1"/>
  <c r="AS211" i="1" s="1"/>
  <c r="AO178" i="1"/>
  <c r="AS169" i="1"/>
  <c r="AQ172" i="1"/>
  <c r="AQ173" i="1" s="1"/>
  <c r="AQ258" i="1" l="1"/>
  <c r="AQ260" i="1"/>
  <c r="AQ256" i="1"/>
  <c r="AO122" i="1"/>
  <c r="AO125" i="1" s="1"/>
  <c r="AS198" i="1"/>
  <c r="AS201" i="1" s="1"/>
  <c r="AS225" i="1"/>
  <c r="AS222" i="1"/>
  <c r="AR221" i="1"/>
  <c r="AR222" i="1" s="1"/>
  <c r="AR223" i="1" s="1"/>
  <c r="AQ223" i="1"/>
  <c r="AQ177" i="1"/>
  <c r="AQ180" i="1"/>
  <c r="AU165" i="1"/>
  <c r="AU168" i="1" s="1"/>
  <c r="AQ121" i="1" l="1"/>
  <c r="AQ122" i="1" s="1"/>
  <c r="AQ125" i="1" s="1"/>
  <c r="AR49" i="1"/>
  <c r="AU197" i="1"/>
  <c r="AU196" i="1" s="1"/>
  <c r="AV209" i="1"/>
  <c r="AV210" i="1" s="1"/>
  <c r="AV211" i="1" s="1"/>
  <c r="AV225" i="1" s="1"/>
  <c r="AU209" i="1"/>
  <c r="AU210" i="1" s="1"/>
  <c r="AU211" i="1" s="1"/>
  <c r="AU169" i="1"/>
  <c r="AS172" i="1"/>
  <c r="AS173" i="1" s="1"/>
  <c r="AQ178" i="1"/>
  <c r="AS260" i="1" l="1"/>
  <c r="AS258" i="1"/>
  <c r="AS256" i="1"/>
  <c r="AQ123" i="1"/>
  <c r="AQ126" i="1" s="1"/>
  <c r="AU198" i="1"/>
  <c r="AU201" i="1" s="1"/>
  <c r="AU225" i="1"/>
  <c r="AU222" i="1"/>
  <c r="AT221" i="1"/>
  <c r="AT222" i="1" s="1"/>
  <c r="AT223" i="1" s="1"/>
  <c r="AS223" i="1"/>
  <c r="AS180" i="1"/>
  <c r="AS177" i="1"/>
  <c r="AW165" i="1"/>
  <c r="AW168" i="1" s="1"/>
  <c r="AS121" i="1" l="1"/>
  <c r="AS122" i="1" s="1"/>
  <c r="AS125" i="1" s="1"/>
  <c r="AT49" i="1"/>
  <c r="AW197" i="1"/>
  <c r="AW198" i="1" s="1"/>
  <c r="AW201" i="1" s="1"/>
  <c r="AX209" i="1"/>
  <c r="AX210" i="1" s="1"/>
  <c r="AX211" i="1" s="1"/>
  <c r="AX225" i="1" s="1"/>
  <c r="AW209" i="1"/>
  <c r="AW210" i="1" s="1"/>
  <c r="AW211" i="1" s="1"/>
  <c r="AU172" i="1"/>
  <c r="AU173" i="1" s="1"/>
  <c r="AS178" i="1"/>
  <c r="AW169" i="1"/>
  <c r="AU260" i="1" l="1"/>
  <c r="AU258" i="1"/>
  <c r="AU256" i="1"/>
  <c r="AS123" i="1"/>
  <c r="AS126" i="1" s="1"/>
  <c r="AW196" i="1"/>
  <c r="AW225" i="1"/>
  <c r="AW222" i="1"/>
  <c r="AV221" i="1"/>
  <c r="AV222" i="1" s="1"/>
  <c r="AV223" i="1" s="1"/>
  <c r="AU223" i="1"/>
  <c r="AU180" i="1"/>
  <c r="AU177" i="1"/>
  <c r="AY165" i="1"/>
  <c r="AY168" i="1" s="1"/>
  <c r="AU121" i="1" l="1"/>
  <c r="AU123" i="1" s="1"/>
  <c r="AU126" i="1" s="1"/>
  <c r="AV49" i="1"/>
  <c r="AY197" i="1"/>
  <c r="AY196" i="1" s="1"/>
  <c r="AZ209" i="1"/>
  <c r="AZ210" i="1" s="1"/>
  <c r="AZ211" i="1" s="1"/>
  <c r="AZ225" i="1" s="1"/>
  <c r="AY209" i="1"/>
  <c r="AY210" i="1" s="1"/>
  <c r="AY211" i="1" s="1"/>
  <c r="AW172" i="1"/>
  <c r="AW173" i="1" s="1"/>
  <c r="AY169" i="1"/>
  <c r="AU178" i="1"/>
  <c r="AW258" i="1" l="1"/>
  <c r="AW260" i="1"/>
  <c r="AW256" i="1"/>
  <c r="AU122" i="1"/>
  <c r="AU125" i="1" s="1"/>
  <c r="AY198" i="1"/>
  <c r="AY201" i="1" s="1"/>
  <c r="AY225" i="1"/>
  <c r="AY222" i="1"/>
  <c r="AX221" i="1"/>
  <c r="AX222" i="1" s="1"/>
  <c r="AX223" i="1" s="1"/>
  <c r="AW223" i="1"/>
  <c r="BA165" i="1"/>
  <c r="BA168" i="1" s="1"/>
  <c r="AW177" i="1"/>
  <c r="AW180" i="1"/>
  <c r="AW121" i="1" l="1"/>
  <c r="AW123" i="1" s="1"/>
  <c r="AW126" i="1" s="1"/>
  <c r="AX49" i="1"/>
  <c r="BB209" i="1"/>
  <c r="BB210" i="1" s="1"/>
  <c r="BB211" i="1" s="1"/>
  <c r="BB225" i="1" s="1"/>
  <c r="BA197" i="1"/>
  <c r="BA196" i="1" s="1"/>
  <c r="BA209" i="1"/>
  <c r="BA210" i="1" s="1"/>
  <c r="BA211" i="1" s="1"/>
  <c r="AW178" i="1"/>
  <c r="BA169" i="1"/>
  <c r="AY172" i="1"/>
  <c r="AY173" i="1" s="1"/>
  <c r="AY258" i="1" l="1"/>
  <c r="AY260" i="1"/>
  <c r="AY256" i="1"/>
  <c r="AW122" i="1"/>
  <c r="AW125" i="1" s="1"/>
  <c r="BA198" i="1"/>
  <c r="BA201" i="1" s="1"/>
  <c r="BA225" i="1"/>
  <c r="BA222" i="1"/>
  <c r="AZ221" i="1"/>
  <c r="AZ222" i="1" s="1"/>
  <c r="AZ223" i="1" s="1"/>
  <c r="AY223" i="1"/>
  <c r="AY177" i="1"/>
  <c r="AY180" i="1"/>
  <c r="BC165" i="1"/>
  <c r="BC168" i="1" s="1"/>
  <c r="AY121" i="1" l="1"/>
  <c r="AY123" i="1" s="1"/>
  <c r="AY126" i="1" s="1"/>
  <c r="AZ49" i="1"/>
  <c r="BC197" i="1"/>
  <c r="BC196" i="1" s="1"/>
  <c r="BD209" i="1"/>
  <c r="BD210" i="1" s="1"/>
  <c r="BD211" i="1" s="1"/>
  <c r="BD225" i="1" s="1"/>
  <c r="BC209" i="1"/>
  <c r="BC210" i="1" s="1"/>
  <c r="BC211" i="1" s="1"/>
  <c r="AY178" i="1"/>
  <c r="BC169" i="1"/>
  <c r="BA172" i="1"/>
  <c r="BA173" i="1" s="1"/>
  <c r="BA260" i="1" l="1"/>
  <c r="BA258" i="1"/>
  <c r="BA256" i="1"/>
  <c r="AY122" i="1"/>
  <c r="AY125" i="1" s="1"/>
  <c r="BC198" i="1"/>
  <c r="BC201" i="1" s="1"/>
  <c r="BC225" i="1"/>
  <c r="BC222" i="1"/>
  <c r="BB221" i="1"/>
  <c r="BB222" i="1" s="1"/>
  <c r="BB223" i="1" s="1"/>
  <c r="BA223" i="1"/>
  <c r="BE165" i="1"/>
  <c r="BE168" i="1" s="1"/>
  <c r="BA180" i="1"/>
  <c r="BA177" i="1"/>
  <c r="BA121" i="1" l="1"/>
  <c r="BA122" i="1" s="1"/>
  <c r="BA125" i="1" s="1"/>
  <c r="BB49" i="1"/>
  <c r="BE197" i="1"/>
  <c r="BE196" i="1" s="1"/>
  <c r="BF209" i="1"/>
  <c r="BF210" i="1" s="1"/>
  <c r="BF211" i="1" s="1"/>
  <c r="BF225" i="1" s="1"/>
  <c r="BE209" i="1"/>
  <c r="BE210" i="1" s="1"/>
  <c r="BE211" i="1" s="1"/>
  <c r="BC172" i="1"/>
  <c r="BC173" i="1" s="1"/>
  <c r="BA178" i="1"/>
  <c r="BE169" i="1"/>
  <c r="BC260" i="1" l="1"/>
  <c r="BC258" i="1"/>
  <c r="BC256" i="1"/>
  <c r="BA123" i="1"/>
  <c r="BA126" i="1" s="1"/>
  <c r="BE198" i="1"/>
  <c r="BE201" i="1" s="1"/>
  <c r="BE225" i="1"/>
  <c r="BE222" i="1"/>
  <c r="BD221" i="1"/>
  <c r="BD222" i="1" s="1"/>
  <c r="BD223" i="1" s="1"/>
  <c r="BC223" i="1"/>
  <c r="BG165" i="1"/>
  <c r="BG168" i="1" s="1"/>
  <c r="BC177" i="1"/>
  <c r="BC180" i="1"/>
  <c r="BC121" i="1" l="1"/>
  <c r="BC122" i="1" s="1"/>
  <c r="BC125" i="1" s="1"/>
  <c r="BD49" i="1"/>
  <c r="BG197" i="1"/>
  <c r="BG198" i="1" s="1"/>
  <c r="BG201" i="1" s="1"/>
  <c r="BH209" i="1"/>
  <c r="BH210" i="1" s="1"/>
  <c r="BH211" i="1" s="1"/>
  <c r="BH225" i="1" s="1"/>
  <c r="BG209" i="1"/>
  <c r="BG210" i="1" s="1"/>
  <c r="BG211" i="1" s="1"/>
  <c r="BC178" i="1"/>
  <c r="BE172" i="1"/>
  <c r="BE173" i="1" s="1"/>
  <c r="BG169" i="1"/>
  <c r="BE258" i="1" l="1"/>
  <c r="BE260" i="1"/>
  <c r="BE256" i="1"/>
  <c r="BC123" i="1"/>
  <c r="BC126" i="1" s="1"/>
  <c r="BG196" i="1"/>
  <c r="BG225" i="1"/>
  <c r="BG222" i="1"/>
  <c r="BF221" i="1"/>
  <c r="BF222" i="1" s="1"/>
  <c r="BF223" i="1" s="1"/>
  <c r="BE223" i="1"/>
  <c r="BE180" i="1"/>
  <c r="BE177" i="1"/>
  <c r="BI165" i="1"/>
  <c r="BI168" i="1" s="1"/>
  <c r="BE121" i="1" l="1"/>
  <c r="BE122" i="1" s="1"/>
  <c r="BE125" i="1" s="1"/>
  <c r="BF49" i="1"/>
  <c r="BI197" i="1"/>
  <c r="BI196" i="1" s="1"/>
  <c r="BJ209" i="1"/>
  <c r="BJ210" i="1" s="1"/>
  <c r="BJ211" i="1" s="1"/>
  <c r="BJ225" i="1" s="1"/>
  <c r="BI209" i="1"/>
  <c r="BI210" i="1" s="1"/>
  <c r="BI211" i="1" s="1"/>
  <c r="BE178" i="1"/>
  <c r="BG172" i="1"/>
  <c r="BG173" i="1" s="1"/>
  <c r="BI169" i="1"/>
  <c r="BG258" i="1" l="1"/>
  <c r="BG260" i="1"/>
  <c r="BG256" i="1"/>
  <c r="BE123" i="1"/>
  <c r="BE126" i="1" s="1"/>
  <c r="BI198" i="1"/>
  <c r="BI201" i="1" s="1"/>
  <c r="BI225" i="1"/>
  <c r="BI222" i="1"/>
  <c r="BH221" i="1"/>
  <c r="BH222" i="1" s="1"/>
  <c r="BH223" i="1" s="1"/>
  <c r="BG223" i="1"/>
  <c r="BG177" i="1"/>
  <c r="BG180" i="1"/>
  <c r="BK165" i="1"/>
  <c r="BK168" i="1" s="1"/>
  <c r="BG121" i="1" l="1"/>
  <c r="BG122" i="1" s="1"/>
  <c r="BG125" i="1" s="1"/>
  <c r="BH49" i="1"/>
  <c r="BL209" i="1"/>
  <c r="BL210" i="1" s="1"/>
  <c r="BL211" i="1" s="1"/>
  <c r="BL225" i="1" s="1"/>
  <c r="BK197" i="1"/>
  <c r="BK196" i="1" s="1"/>
  <c r="BK209" i="1"/>
  <c r="BK210" i="1" s="1"/>
  <c r="BK211" i="1" s="1"/>
  <c r="BK169" i="1"/>
  <c r="BG178" i="1"/>
  <c r="BI172" i="1"/>
  <c r="BI173" i="1" s="1"/>
  <c r="BI260" i="1" l="1"/>
  <c r="BI258" i="1"/>
  <c r="BI256" i="1"/>
  <c r="BG123" i="1"/>
  <c r="BG126" i="1" s="1"/>
  <c r="BK198" i="1"/>
  <c r="BK201" i="1" s="1"/>
  <c r="BK225" i="1"/>
  <c r="BK222" i="1"/>
  <c r="BJ221" i="1"/>
  <c r="BJ222" i="1" s="1"/>
  <c r="BJ223" i="1" s="1"/>
  <c r="BI223" i="1"/>
  <c r="BI180" i="1"/>
  <c r="BI177" i="1"/>
  <c r="BM165" i="1"/>
  <c r="BM168" i="1" s="1"/>
  <c r="BI121" i="1" l="1"/>
  <c r="BI123" i="1" s="1"/>
  <c r="BI126" i="1" s="1"/>
  <c r="BJ49" i="1"/>
  <c r="BM197" i="1"/>
  <c r="BM196" i="1" s="1"/>
  <c r="BN209" i="1"/>
  <c r="BN210" i="1" s="1"/>
  <c r="BN211" i="1" s="1"/>
  <c r="BN225" i="1" s="1"/>
  <c r="BM209" i="1"/>
  <c r="BM210" i="1" s="1"/>
  <c r="BM211" i="1" s="1"/>
  <c r="BM169" i="1"/>
  <c r="BI178" i="1"/>
  <c r="BK172" i="1"/>
  <c r="BK173" i="1" s="1"/>
  <c r="BK260" i="1" l="1"/>
  <c r="BK258" i="1"/>
  <c r="BK256" i="1"/>
  <c r="BI122" i="1"/>
  <c r="BI125" i="1" s="1"/>
  <c r="BM198" i="1"/>
  <c r="BM201" i="1" s="1"/>
  <c r="BM225" i="1"/>
  <c r="BM222" i="1"/>
  <c r="BL221" i="1"/>
  <c r="BL222" i="1" s="1"/>
  <c r="BL223" i="1" s="1"/>
  <c r="BK223" i="1"/>
  <c r="BK180" i="1"/>
  <c r="BK177" i="1"/>
  <c r="BO165" i="1"/>
  <c r="BO168" i="1" s="1"/>
  <c r="BK121" i="1" l="1"/>
  <c r="BK123" i="1" s="1"/>
  <c r="BK126" i="1" s="1"/>
  <c r="BL49" i="1"/>
  <c r="BO197" i="1"/>
  <c r="BO196" i="1" s="1"/>
  <c r="BP209" i="1"/>
  <c r="BP210" i="1" s="1"/>
  <c r="BP211" i="1" s="1"/>
  <c r="BP225" i="1" s="1"/>
  <c r="BO209" i="1"/>
  <c r="BO210" i="1" s="1"/>
  <c r="BO211" i="1" s="1"/>
  <c r="BM172" i="1"/>
  <c r="BM173" i="1" s="1"/>
  <c r="BK178" i="1"/>
  <c r="BO169" i="1"/>
  <c r="BM258" i="1" l="1"/>
  <c r="BM260" i="1"/>
  <c r="BM256" i="1"/>
  <c r="BK122" i="1"/>
  <c r="BK125" i="1" s="1"/>
  <c r="BO198" i="1"/>
  <c r="BO201" i="1" s="1"/>
  <c r="BO225" i="1"/>
  <c r="BO222" i="1"/>
  <c r="BN221" i="1"/>
  <c r="BN222" i="1" s="1"/>
  <c r="BN223" i="1" s="1"/>
  <c r="BM223" i="1"/>
  <c r="BM177" i="1"/>
  <c r="BM180" i="1"/>
  <c r="BQ165" i="1"/>
  <c r="BQ168" i="1" s="1"/>
  <c r="BM121" i="1" l="1"/>
  <c r="BM122" i="1" s="1"/>
  <c r="BM125" i="1" s="1"/>
  <c r="BN49" i="1"/>
  <c r="BQ197" i="1"/>
  <c r="BQ196" i="1" s="1"/>
  <c r="BR209" i="1"/>
  <c r="BR210" i="1" s="1"/>
  <c r="BR211" i="1" s="1"/>
  <c r="BR225" i="1" s="1"/>
  <c r="BQ209" i="1"/>
  <c r="BQ210" i="1" s="1"/>
  <c r="BQ211" i="1" s="1"/>
  <c r="BO172" i="1"/>
  <c r="BO173" i="1" s="1"/>
  <c r="BQ169" i="1"/>
  <c r="BM178" i="1"/>
  <c r="BO258" i="1" l="1"/>
  <c r="BO260" i="1"/>
  <c r="BO256" i="1"/>
  <c r="BM123" i="1"/>
  <c r="BM126" i="1" s="1"/>
  <c r="BQ198" i="1"/>
  <c r="BQ201" i="1" s="1"/>
  <c r="BQ225" i="1"/>
  <c r="BQ222" i="1"/>
  <c r="BP221" i="1"/>
  <c r="BP222" i="1" s="1"/>
  <c r="BP223" i="1" s="1"/>
  <c r="BO223" i="1"/>
  <c r="BS165" i="1"/>
  <c r="BS168" i="1" s="1"/>
  <c r="BO177" i="1"/>
  <c r="BO180" i="1"/>
  <c r="BO121" i="1" l="1"/>
  <c r="BO122" i="1" s="1"/>
  <c r="BO125" i="1" s="1"/>
  <c r="BP49" i="1"/>
  <c r="BS197" i="1"/>
  <c r="BS196" i="1" s="1"/>
  <c r="BT209" i="1"/>
  <c r="BT210" i="1" s="1"/>
  <c r="BT211" i="1" s="1"/>
  <c r="BT225" i="1" s="1"/>
  <c r="BS209" i="1"/>
  <c r="BS210" i="1" s="1"/>
  <c r="BS211" i="1" s="1"/>
  <c r="BO178" i="1"/>
  <c r="BS169" i="1"/>
  <c r="BQ172" i="1"/>
  <c r="BQ173" i="1" s="1"/>
  <c r="BQ260" i="1" l="1"/>
  <c r="BQ258" i="1"/>
  <c r="BQ256" i="1"/>
  <c r="BO123" i="1"/>
  <c r="BO126" i="1" s="1"/>
  <c r="BS198" i="1"/>
  <c r="BS201" i="1" s="1"/>
  <c r="BS225" i="1"/>
  <c r="BS222" i="1"/>
  <c r="BR221" i="1"/>
  <c r="BR222" i="1" s="1"/>
  <c r="BR223" i="1" s="1"/>
  <c r="BQ223" i="1"/>
  <c r="BQ177" i="1"/>
  <c r="BQ180" i="1"/>
  <c r="BU165" i="1"/>
  <c r="BU168" i="1" s="1"/>
  <c r="BQ121" i="1" l="1"/>
  <c r="BQ122" i="1" s="1"/>
  <c r="BQ125" i="1" s="1"/>
  <c r="BR49" i="1"/>
  <c r="BU197" i="1"/>
  <c r="BU196" i="1" s="1"/>
  <c r="BV209" i="1"/>
  <c r="BV210" i="1" s="1"/>
  <c r="BV211" i="1" s="1"/>
  <c r="BV225" i="1" s="1"/>
  <c r="BU209" i="1"/>
  <c r="BU210" i="1" s="1"/>
  <c r="BU211" i="1" s="1"/>
  <c r="BS172" i="1"/>
  <c r="BS173" i="1" s="1"/>
  <c r="BQ178" i="1"/>
  <c r="BU169" i="1"/>
  <c r="BS260" i="1" l="1"/>
  <c r="BS258" i="1"/>
  <c r="BS256" i="1"/>
  <c r="BQ123" i="1"/>
  <c r="BQ126" i="1" s="1"/>
  <c r="BU198" i="1"/>
  <c r="BU201" i="1" s="1"/>
  <c r="BU225" i="1"/>
  <c r="BU222" i="1"/>
  <c r="BT221" i="1"/>
  <c r="BT222" i="1" s="1"/>
  <c r="BT223" i="1" s="1"/>
  <c r="BS223" i="1"/>
  <c r="BS177" i="1"/>
  <c r="BS180" i="1"/>
  <c r="BW165" i="1"/>
  <c r="BW168" i="1" s="1"/>
  <c r="BS121" i="1" l="1"/>
  <c r="BS123" i="1" s="1"/>
  <c r="BS126" i="1" s="1"/>
  <c r="BT49" i="1"/>
  <c r="BW197" i="1"/>
  <c r="BW196" i="1" s="1"/>
  <c r="BX209" i="1"/>
  <c r="BX210" i="1" s="1"/>
  <c r="BX211" i="1" s="1"/>
  <c r="BX225" i="1" s="1"/>
  <c r="BW209" i="1"/>
  <c r="BW210" i="1" s="1"/>
  <c r="BW211" i="1" s="1"/>
  <c r="BW169" i="1"/>
  <c r="BS178" i="1"/>
  <c r="BU172" i="1"/>
  <c r="BU173" i="1" s="1"/>
  <c r="BU258" i="1" l="1"/>
  <c r="BU260" i="1"/>
  <c r="BU256" i="1"/>
  <c r="BS122" i="1"/>
  <c r="BS125" i="1" s="1"/>
  <c r="BW198" i="1"/>
  <c r="BW201" i="1" s="1"/>
  <c r="BW225" i="1"/>
  <c r="BW222" i="1"/>
  <c r="BV221" i="1"/>
  <c r="BV222" i="1" s="1"/>
  <c r="BV223" i="1" s="1"/>
  <c r="BU223" i="1"/>
  <c r="BU177" i="1"/>
  <c r="BU180" i="1"/>
  <c r="BY165" i="1"/>
  <c r="BY168" i="1" s="1"/>
  <c r="BU121" i="1" l="1"/>
  <c r="BU123" i="1" s="1"/>
  <c r="BU126" i="1" s="1"/>
  <c r="BV49" i="1"/>
  <c r="BZ209" i="1"/>
  <c r="BZ210" i="1" s="1"/>
  <c r="BZ211" i="1" s="1"/>
  <c r="BZ225" i="1" s="1"/>
  <c r="BY197" i="1"/>
  <c r="BY196" i="1" s="1"/>
  <c r="BY209" i="1"/>
  <c r="BY210" i="1" s="1"/>
  <c r="BY211" i="1" s="1"/>
  <c r="BW172" i="1"/>
  <c r="BW173" i="1" s="1"/>
  <c r="BY169" i="1"/>
  <c r="BU178" i="1"/>
  <c r="BW258" i="1" l="1"/>
  <c r="BW260" i="1"/>
  <c r="BW256" i="1"/>
  <c r="BU122" i="1"/>
  <c r="BU125" i="1" s="1"/>
  <c r="BY198" i="1"/>
  <c r="BY201" i="1" s="1"/>
  <c r="BY225" i="1"/>
  <c r="BY222" i="1"/>
  <c r="BX221" i="1"/>
  <c r="BX222" i="1" s="1"/>
  <c r="BX223" i="1" s="1"/>
  <c r="BW223" i="1"/>
  <c r="BW177" i="1"/>
  <c r="BW180" i="1"/>
  <c r="BW121" i="1" l="1"/>
  <c r="BW123" i="1" s="1"/>
  <c r="BW126" i="1" s="1"/>
  <c r="BX49" i="1"/>
  <c r="BW178" i="1"/>
  <c r="BY172" i="1"/>
  <c r="BY173" i="1" s="1"/>
  <c r="BY260" i="1" l="1"/>
  <c r="BY258" i="1"/>
  <c r="BY256" i="1"/>
  <c r="BW122" i="1"/>
  <c r="BW125" i="1" s="1"/>
  <c r="BZ221" i="1"/>
  <c r="BZ222" i="1" s="1"/>
  <c r="BZ223" i="1" s="1"/>
  <c r="BY223" i="1"/>
  <c r="BY180" i="1"/>
  <c r="BY177" i="1"/>
  <c r="BY121" i="1" l="1"/>
  <c r="BY122" i="1" s="1"/>
  <c r="BY125" i="1" s="1"/>
  <c r="BZ49" i="1"/>
  <c r="BY178" i="1"/>
  <c r="CC157" i="1"/>
  <c r="CC156" i="1"/>
  <c r="CA156" i="1"/>
  <c r="CA165" i="1"/>
  <c r="CA168" i="1" s="1"/>
  <c r="CA157" i="1"/>
  <c r="BY123" i="1" l="1"/>
  <c r="BY126" i="1" s="1"/>
  <c r="CA160" i="1"/>
  <c r="CA194" i="1" s="1"/>
  <c r="CA193" i="1" s="1"/>
  <c r="CB209" i="1"/>
  <c r="CA197" i="1"/>
  <c r="CA196" i="1" s="1"/>
  <c r="CA209" i="1"/>
  <c r="CC165" i="1"/>
  <c r="CC168" i="1" s="1"/>
  <c r="CC160" i="1"/>
  <c r="CA169" i="1" l="1"/>
  <c r="CA208" i="1"/>
  <c r="CA210" i="1" s="1"/>
  <c r="CA211" i="1" s="1"/>
  <c r="CA225" i="1" s="1"/>
  <c r="CB208" i="1"/>
  <c r="CB210" i="1" s="1"/>
  <c r="CB211" i="1" s="1"/>
  <c r="CB225" i="1" s="1"/>
  <c r="CA198" i="1"/>
  <c r="CD208" i="1"/>
  <c r="CC194" i="1"/>
  <c r="CC193" i="1" s="1"/>
  <c r="CC208" i="1"/>
  <c r="CC197" i="1"/>
  <c r="CC196" i="1" s="1"/>
  <c r="CD209" i="1"/>
  <c r="CC209" i="1"/>
  <c r="CC169" i="1"/>
  <c r="CA201" i="1" l="1"/>
  <c r="CE201" i="1"/>
  <c r="CC210" i="1"/>
  <c r="CC211" i="1" s="1"/>
  <c r="CC225" i="1" s="1"/>
  <c r="CD210" i="1"/>
  <c r="CD211" i="1" s="1"/>
  <c r="CD225" i="1" s="1"/>
  <c r="CA222" i="1"/>
  <c r="CA172" i="1" s="1"/>
  <c r="CA173" i="1" s="1"/>
  <c r="CC198" i="1"/>
  <c r="CA260" i="1" l="1"/>
  <c r="CA258" i="1"/>
  <c r="CA256" i="1"/>
  <c r="CC201" i="1"/>
  <c r="CG201" i="1"/>
  <c r="CC222" i="1"/>
  <c r="CC172" i="1" s="1"/>
  <c r="CC173" i="1" s="1"/>
  <c r="CB221" i="1"/>
  <c r="CB222" i="1" s="1"/>
  <c r="CB223" i="1" s="1"/>
  <c r="CA223" i="1"/>
  <c r="CA180" i="1"/>
  <c r="CA177" i="1"/>
  <c r="CC258" i="1" l="1"/>
  <c r="CC260" i="1"/>
  <c r="CC256" i="1"/>
  <c r="CA121" i="1"/>
  <c r="CA122" i="1" s="1"/>
  <c r="CA125" i="1" s="1"/>
  <c r="CB49" i="1"/>
  <c r="CD221" i="1"/>
  <c r="CD222" i="1" s="1"/>
  <c r="CD223" i="1" s="1"/>
  <c r="CC223" i="1"/>
  <c r="CC177" i="1"/>
  <c r="CC180" i="1"/>
  <c r="CA178" i="1"/>
  <c r="CA123" i="1" l="1"/>
  <c r="CA126" i="1" s="1"/>
  <c r="CC121" i="1"/>
  <c r="CC122" i="1" s="1"/>
  <c r="CC125" i="1" s="1"/>
  <c r="CD49" i="1"/>
  <c r="CC178" i="1"/>
  <c r="CC123" i="1" l="1"/>
  <c r="CC126" i="1" s="1"/>
  <c r="CE101" i="1"/>
  <c r="CD101" i="1"/>
  <c r="CC101" i="1"/>
  <c r="CB101" i="1"/>
  <c r="CI157" i="1" l="1"/>
  <c r="CI165" i="1"/>
  <c r="CI168" i="1" s="1"/>
  <c r="CI156" i="1"/>
  <c r="CJ209" i="1" l="1"/>
  <c r="CI160" i="1"/>
  <c r="CI209" i="1"/>
  <c r="CJ208" i="1" l="1"/>
  <c r="CJ210" i="1" s="1"/>
  <c r="CJ211" i="1" s="1"/>
  <c r="CJ225" i="1" s="1"/>
  <c r="CI169" i="1"/>
  <c r="CI208" i="1"/>
  <c r="CI210" i="1" s="1"/>
  <c r="CI211" i="1" s="1"/>
  <c r="CI225" i="1" s="1"/>
  <c r="CI198" i="1" l="1"/>
  <c r="CI201" i="1" s="1"/>
  <c r="CI222" i="1"/>
  <c r="CI172" i="1" s="1"/>
  <c r="CI173" i="1" s="1"/>
  <c r="CI260" i="1" l="1"/>
  <c r="CI258" i="1"/>
  <c r="CI256" i="1"/>
  <c r="CI223" i="1"/>
  <c r="CJ221" i="1"/>
  <c r="CJ222" i="1" s="1"/>
  <c r="CI180" i="1"/>
  <c r="CI177" i="1"/>
  <c r="CI121" i="1" l="1"/>
  <c r="CI123" i="1" s="1"/>
  <c r="CI126" i="1" s="1"/>
  <c r="CJ49" i="1"/>
  <c r="CM49" i="1" s="1"/>
  <c r="CJ223" i="1"/>
  <c r="CI178" i="1"/>
  <c r="CI122" i="1" l="1"/>
  <c r="CI125" i="1" s="1"/>
  <c r="CJ180" i="1"/>
  <c r="CJ121" i="1" l="1"/>
  <c r="CK49" i="1"/>
  <c r="CJ122" i="1" l="1"/>
  <c r="CJ125" i="1" s="1"/>
  <c r="CJ123" i="1"/>
  <c r="CJ126" i="1" s="1"/>
  <c r="CK243" i="1"/>
  <c r="CK265" i="1"/>
  <c r="CK264" i="1"/>
  <c r="CK237" i="1" l="1"/>
  <c r="CK209" i="1" l="1"/>
  <c r="CK208" i="1"/>
  <c r="CK210" i="1" l="1"/>
  <c r="CK262" i="1"/>
  <c r="CK263" i="1" s="1"/>
  <c r="CK244" i="1"/>
  <c r="CK245" i="1" s="1"/>
  <c r="CK238" i="1"/>
  <c r="CK257" i="1" l="1"/>
  <c r="CK239" i="1"/>
  <c r="CK246" i="1"/>
  <c r="CK205" i="1" l="1"/>
  <c r="CK207" i="1" s="1"/>
  <c r="CK211" i="1" s="1"/>
  <c r="CK225" i="1" s="1"/>
  <c r="CK104" i="1" l="1"/>
  <c r="CK66" i="1"/>
  <c r="CG101" i="1"/>
  <c r="CK219" i="1"/>
  <c r="CK217" i="1" s="1"/>
  <c r="CK222" i="1" s="1"/>
  <c r="CK172" i="1" s="1"/>
  <c r="CK173" i="1" s="1"/>
  <c r="CL221" i="1" s="1"/>
  <c r="CL222" i="1" s="1"/>
  <c r="CL223" i="1" s="1"/>
  <c r="CK67" i="1"/>
  <c r="CK180" i="1" l="1"/>
  <c r="CK177" i="1"/>
  <c r="CK178" i="1" s="1"/>
  <c r="CK106" i="1"/>
  <c r="CK107" i="1"/>
  <c r="CK108" i="1"/>
  <c r="CK223" i="1" l="1"/>
  <c r="CK260" i="1"/>
  <c r="CK256" i="1"/>
  <c r="CK258" i="1"/>
  <c r="CK121" i="1" l="1"/>
  <c r="CL49" i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K122" i="1" l="1"/>
  <c r="CK125" i="1" s="1"/>
  <c r="CK123" i="1"/>
  <c r="CK126" i="1" s="1"/>
  <c r="AA8" i="1" l="1"/>
  <c r="AA9" i="1" l="1"/>
  <c r="CM116" i="1" l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AA13" i="1" l="1"/>
  <c r="AA14" i="1" l="1"/>
  <c r="AA15" i="1" s="1"/>
  <c r="CL66" i="1" l="1"/>
  <c r="CL104" i="1"/>
  <c r="CM99" i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CL67" i="1"/>
  <c r="CH101" i="1"/>
  <c r="CL107" i="1" l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L108" i="1"/>
  <c r="CM108" i="1" s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CL106" i="1"/>
  <c r="CN98" i="1"/>
  <c r="CO98" i="1" s="1"/>
  <c r="CP98" i="1" s="1"/>
  <c r="CQ98" i="1" s="1"/>
  <c r="CR98" i="1" l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M221" i="1" l="1"/>
  <c r="CL121" i="1"/>
  <c r="AB221" i="1"/>
  <c r="CL123" i="1" l="1"/>
  <c r="CL126" i="1" s="1"/>
  <c r="CL122" i="1"/>
  <c r="CL125" i="1" s="1"/>
  <c r="CM48" i="1"/>
  <c r="CM8" i="1" l="1"/>
  <c r="CM10" i="1" l="1"/>
  <c r="CM20" i="1"/>
  <c r="CM22" i="1" l="1"/>
  <c r="CM265" i="1"/>
  <c r="CM110" i="1"/>
  <c r="CM111" i="1" s="1"/>
  <c r="CM114" i="1" s="1"/>
  <c r="CM243" i="1"/>
  <c r="CM264" i="1"/>
  <c r="CM157" i="1" l="1"/>
  <c r="CM158" i="1"/>
  <c r="CM164" i="1"/>
  <c r="CM24" i="1"/>
  <c r="CM165" i="1"/>
  <c r="CM28" i="1"/>
  <c r="CM38" i="1"/>
  <c r="CM35" i="1" s="1"/>
  <c r="CM156" i="1"/>
  <c r="CM237" i="1"/>
  <c r="CM23" i="1"/>
  <c r="CM40" i="1" l="1"/>
  <c r="CM30" i="1"/>
  <c r="CM31" i="1"/>
  <c r="CM160" i="1"/>
  <c r="CM27" i="1"/>
  <c r="CM168" i="1"/>
  <c r="CM209" i="1" l="1"/>
  <c r="CM169" i="1"/>
  <c r="CM208" i="1"/>
  <c r="CM46" i="1"/>
  <c r="CM238" i="1"/>
  <c r="CM41" i="1"/>
  <c r="CM124" i="1"/>
  <c r="CM43" i="1"/>
  <c r="CM262" i="1"/>
  <c r="CM263" i="1" s="1"/>
  <c r="CM244" i="1"/>
  <c r="CM245" i="1" s="1"/>
  <c r="CM42" i="1"/>
  <c r="CM50" i="1" l="1"/>
  <c r="CM210" i="1"/>
  <c r="CM51" i="1" l="1"/>
  <c r="CM53" i="1" l="1"/>
  <c r="CM54" i="1" l="1"/>
  <c r="CM257" i="1" s="1"/>
  <c r="CM239" i="1"/>
  <c r="CM246" i="1"/>
  <c r="CM56" i="1"/>
  <c r="CM55" i="1"/>
  <c r="CM60" i="1"/>
  <c r="CM78" i="1" l="1"/>
  <c r="CM205" i="1"/>
  <c r="CM207" i="1" s="1"/>
  <c r="CM211" i="1" s="1"/>
  <c r="CM225" i="1" s="1"/>
  <c r="CM131" i="1"/>
  <c r="CM132" i="1" l="1"/>
  <c r="CM81" i="1"/>
  <c r="CM90" i="1" l="1"/>
  <c r="CI101" i="1"/>
  <c r="CM97" i="1"/>
  <c r="CM91" i="1"/>
  <c r="CM82" i="1"/>
  <c r="CM219" i="1"/>
  <c r="CM217" i="1" s="1"/>
  <c r="CM222" i="1" s="1"/>
  <c r="CM141" i="1"/>
  <c r="CM67" i="1" s="1"/>
  <c r="CM104" i="1"/>
  <c r="CM106" i="1" s="1"/>
  <c r="CM66" i="1"/>
  <c r="CM172" i="1" l="1"/>
  <c r="CM173" i="1" s="1"/>
  <c r="CM223" i="1" s="1"/>
  <c r="CM120" i="1"/>
  <c r="CM94" i="1"/>
  <c r="CM93" i="1"/>
  <c r="CM119" i="1"/>
  <c r="CM260" i="1" l="1"/>
  <c r="CM258" i="1"/>
  <c r="CM177" i="1"/>
  <c r="CM178" i="1" s="1"/>
  <c r="CN221" i="1"/>
  <c r="CM180" i="1"/>
  <c r="CM256" i="1"/>
  <c r="CN48" i="1" l="1"/>
  <c r="CM121" i="1"/>
  <c r="CM122" i="1" l="1"/>
  <c r="CM125" i="1" s="1"/>
  <c r="CM123" i="1"/>
  <c r="CM126" i="1" s="1"/>
  <c r="CO8" i="1"/>
  <c r="CN8" i="1"/>
  <c r="CR8" i="1" s="1"/>
  <c r="CV8" i="1" s="1"/>
  <c r="CP8" i="1"/>
  <c r="CQ8" i="1"/>
  <c r="CN20" i="1" l="1"/>
  <c r="CQ10" i="1"/>
  <c r="CQ20" i="1"/>
  <c r="CQ265" i="1" s="1"/>
  <c r="CR10" i="1"/>
  <c r="AB8" i="1"/>
  <c r="CP10" i="1"/>
  <c r="CO10" i="1"/>
  <c r="CP20" i="1"/>
  <c r="CN10" i="1"/>
  <c r="CO20" i="1"/>
  <c r="CR20" i="1"/>
  <c r="CU8" i="1"/>
  <c r="CT8" i="1"/>
  <c r="CS8" i="1"/>
  <c r="CZ8" i="1"/>
  <c r="CN110" i="1" l="1"/>
  <c r="CN111" i="1" s="1"/>
  <c r="CN114" i="1" s="1"/>
  <c r="CN22" i="1"/>
  <c r="CN264" i="1"/>
  <c r="CN265" i="1"/>
  <c r="CN243" i="1"/>
  <c r="CN156" i="1"/>
  <c r="CN24" i="1"/>
  <c r="CQ243" i="1"/>
  <c r="CP110" i="1"/>
  <c r="CP111" i="1" s="1"/>
  <c r="CP114" i="1" s="1"/>
  <c r="CQ22" i="1"/>
  <c r="CQ164" i="1" s="1"/>
  <c r="CO110" i="1"/>
  <c r="CO111" i="1" s="1"/>
  <c r="CO114" i="1" s="1"/>
  <c r="CQ165" i="1"/>
  <c r="CU10" i="1"/>
  <c r="CV20" i="1"/>
  <c r="CY8" i="1"/>
  <c r="CS10" i="1"/>
  <c r="CT20" i="1"/>
  <c r="CS20" i="1"/>
  <c r="CW8" i="1"/>
  <c r="CP265" i="1"/>
  <c r="CP243" i="1"/>
  <c r="CP22" i="1"/>
  <c r="AC8" i="1"/>
  <c r="CT10" i="1"/>
  <c r="CX8" i="1"/>
  <c r="CU20" i="1"/>
  <c r="CR110" i="1"/>
  <c r="CR111" i="1" s="1"/>
  <c r="CR114" i="1" s="1"/>
  <c r="CO265" i="1"/>
  <c r="CO243" i="1"/>
  <c r="CO22" i="1"/>
  <c r="AB9" i="1"/>
  <c r="AB20" i="1"/>
  <c r="CR265" i="1"/>
  <c r="CR243" i="1"/>
  <c r="CR22" i="1"/>
  <c r="CQ110" i="1"/>
  <c r="CQ111" i="1" s="1"/>
  <c r="CQ114" i="1" s="1"/>
  <c r="CV10" i="1"/>
  <c r="CQ157" i="1" l="1"/>
  <c r="CQ38" i="1"/>
  <c r="CQ35" i="1" s="1"/>
  <c r="CQ23" i="1"/>
  <c r="CN164" i="1"/>
  <c r="CN38" i="1"/>
  <c r="CN35" i="1" s="1"/>
  <c r="CN157" i="1"/>
  <c r="CN158" i="1"/>
  <c r="CQ158" i="1"/>
  <c r="CQ28" i="1"/>
  <c r="CN160" i="1"/>
  <c r="CN208" i="1" s="1"/>
  <c r="CN28" i="1"/>
  <c r="CN237" i="1"/>
  <c r="CN165" i="1"/>
  <c r="CN168" i="1" s="1"/>
  <c r="CN169" i="1" s="1"/>
  <c r="CN23" i="1"/>
  <c r="AC20" i="1"/>
  <c r="AC22" i="1" s="1"/>
  <c r="CQ156" i="1"/>
  <c r="CT110" i="1"/>
  <c r="CT111" i="1" s="1"/>
  <c r="CT114" i="1" s="1"/>
  <c r="CS110" i="1"/>
  <c r="CS111" i="1" s="1"/>
  <c r="CS114" i="1" s="1"/>
  <c r="CU110" i="1"/>
  <c r="CU111" i="1" s="1"/>
  <c r="CU114" i="1" s="1"/>
  <c r="AD8" i="1"/>
  <c r="CX10" i="1"/>
  <c r="DB8" i="1"/>
  <c r="CY20" i="1"/>
  <c r="CW10" i="1"/>
  <c r="CX20" i="1"/>
  <c r="DA8" i="1"/>
  <c r="CW20" i="1"/>
  <c r="CR156" i="1"/>
  <c r="CR38" i="1"/>
  <c r="CR35" i="1" s="1"/>
  <c r="CR158" i="1"/>
  <c r="CR164" i="1"/>
  <c r="CR165" i="1"/>
  <c r="CR157" i="1"/>
  <c r="CR28" i="1"/>
  <c r="CR23" i="1"/>
  <c r="AB13" i="1"/>
  <c r="AB265" i="1"/>
  <c r="AB22" i="1"/>
  <c r="CV110" i="1"/>
  <c r="CV111" i="1" s="1"/>
  <c r="CV114" i="1" s="1"/>
  <c r="CS243" i="1"/>
  <c r="CS265" i="1"/>
  <c r="CS22" i="1"/>
  <c r="CS237" i="1" s="1"/>
  <c r="CY10" i="1"/>
  <c r="CZ20" i="1"/>
  <c r="CZ10" i="1"/>
  <c r="CQ168" i="1"/>
  <c r="CP38" i="1"/>
  <c r="CP35" i="1" s="1"/>
  <c r="CP164" i="1"/>
  <c r="CP158" i="1"/>
  <c r="AB158" i="1" s="1"/>
  <c r="CP165" i="1"/>
  <c r="AB165" i="1" s="1"/>
  <c r="AB195" i="1" s="1"/>
  <c r="CP23" i="1"/>
  <c r="CP156" i="1"/>
  <c r="CP157" i="1"/>
  <c r="AB157" i="1" s="1"/>
  <c r="AB192" i="1" s="1"/>
  <c r="CQ24" i="1"/>
  <c r="CP28" i="1"/>
  <c r="CP27" i="1" s="1"/>
  <c r="AC9" i="1"/>
  <c r="CT265" i="1"/>
  <c r="CT243" i="1"/>
  <c r="CT22" i="1"/>
  <c r="CT23" i="1" s="1"/>
  <c r="CV243" i="1"/>
  <c r="CV265" i="1"/>
  <c r="CV22" i="1"/>
  <c r="CQ40" i="1"/>
  <c r="CQ30" i="1"/>
  <c r="CQ27" i="1"/>
  <c r="CO38" i="1"/>
  <c r="CO35" i="1" s="1"/>
  <c r="CO156" i="1"/>
  <c r="CO158" i="1"/>
  <c r="CO165" i="1"/>
  <c r="CR237" i="1"/>
  <c r="CP24" i="1"/>
  <c r="CO157" i="1"/>
  <c r="CO23" i="1"/>
  <c r="CO164" i="1"/>
  <c r="CO28" i="1"/>
  <c r="CO27" i="1" s="1"/>
  <c r="CP237" i="1"/>
  <c r="CO237" i="1"/>
  <c r="CQ237" i="1"/>
  <c r="CO24" i="1"/>
  <c r="CU243" i="1"/>
  <c r="CU265" i="1"/>
  <c r="CU22" i="1"/>
  <c r="CR24" i="1"/>
  <c r="CQ160" i="1" l="1"/>
  <c r="CN209" i="1"/>
  <c r="CN210" i="1" s="1"/>
  <c r="AC13" i="1"/>
  <c r="AC265" i="1"/>
  <c r="CN27" i="1"/>
  <c r="CN40" i="1"/>
  <c r="CN31" i="1"/>
  <c r="CN30" i="1"/>
  <c r="CQ31" i="1"/>
  <c r="CY110" i="1"/>
  <c r="CY111" i="1" s="1"/>
  <c r="CY114" i="1" s="1"/>
  <c r="AB27" i="1"/>
  <c r="AB28" i="1" s="1"/>
  <c r="AB35" i="1"/>
  <c r="AB38" i="1" s="1"/>
  <c r="AB39" i="1" s="1"/>
  <c r="AB156" i="1"/>
  <c r="CP160" i="1"/>
  <c r="CQ169" i="1"/>
  <c r="CS164" i="1"/>
  <c r="CV237" i="1"/>
  <c r="CS156" i="1"/>
  <c r="CS158" i="1"/>
  <c r="CT24" i="1"/>
  <c r="CS38" i="1"/>
  <c r="CS35" i="1" s="1"/>
  <c r="CS157" i="1"/>
  <c r="CS165" i="1"/>
  <c r="CS28" i="1"/>
  <c r="CS27" i="1" s="1"/>
  <c r="CR30" i="1"/>
  <c r="CR31" i="1"/>
  <c r="CR40" i="1"/>
  <c r="CZ110" i="1"/>
  <c r="CZ111" i="1" s="1"/>
  <c r="CZ114" i="1" s="1"/>
  <c r="CW243" i="1"/>
  <c r="CW265" i="1"/>
  <c r="CW22" i="1"/>
  <c r="CW237" i="1" s="1"/>
  <c r="CO160" i="1"/>
  <c r="CV164" i="1"/>
  <c r="CV38" i="1"/>
  <c r="CV35" i="1" s="1"/>
  <c r="CV157" i="1"/>
  <c r="CV165" i="1"/>
  <c r="CV158" i="1"/>
  <c r="CV156" i="1"/>
  <c r="CV28" i="1"/>
  <c r="CV27" i="1" s="1"/>
  <c r="CR27" i="1"/>
  <c r="DB10" i="1"/>
  <c r="AE8" i="1"/>
  <c r="CU164" i="1"/>
  <c r="CU156" i="1"/>
  <c r="CU38" i="1"/>
  <c r="CU35" i="1" s="1"/>
  <c r="CU157" i="1"/>
  <c r="CU165" i="1"/>
  <c r="CU158" i="1"/>
  <c r="CV24" i="1"/>
  <c r="CU28" i="1"/>
  <c r="CU23" i="1"/>
  <c r="CX110" i="1"/>
  <c r="CX111" i="1" s="1"/>
  <c r="CX114" i="1" s="1"/>
  <c r="CO30" i="1"/>
  <c r="CO31" i="1"/>
  <c r="CO40" i="1"/>
  <c r="CZ265" i="1"/>
  <c r="CZ243" i="1"/>
  <c r="CZ22" i="1"/>
  <c r="CZ23" i="1" s="1"/>
  <c r="CU237" i="1"/>
  <c r="CX265" i="1"/>
  <c r="CX243" i="1"/>
  <c r="CX22" i="1"/>
  <c r="CX23" i="1" s="1"/>
  <c r="AB110" i="1"/>
  <c r="AB70" i="1"/>
  <c r="AB23" i="1"/>
  <c r="AB200" i="1"/>
  <c r="CY243" i="1"/>
  <c r="CY265" i="1"/>
  <c r="CY22" i="1"/>
  <c r="CY23" i="1" s="1"/>
  <c r="CT38" i="1"/>
  <c r="CT35" i="1" s="1"/>
  <c r="CT158" i="1"/>
  <c r="AC158" i="1" s="1"/>
  <c r="CU24" i="1"/>
  <c r="CT165" i="1"/>
  <c r="AC165" i="1" s="1"/>
  <c r="AC195" i="1" s="1"/>
  <c r="CT164" i="1"/>
  <c r="CT157" i="1"/>
  <c r="AC157" i="1" s="1"/>
  <c r="AC192" i="1" s="1"/>
  <c r="CT156" i="1"/>
  <c r="CT28" i="1"/>
  <c r="CT27" i="1" s="1"/>
  <c r="AC110" i="1"/>
  <c r="AC200" i="1"/>
  <c r="AC23" i="1"/>
  <c r="AC70" i="1"/>
  <c r="CP168" i="1"/>
  <c r="CQ209" i="1" s="1"/>
  <c r="AB164" i="1"/>
  <c r="AB168" i="1" s="1"/>
  <c r="CS24" i="1"/>
  <c r="DA10" i="1"/>
  <c r="DB20" i="1"/>
  <c r="DA20" i="1"/>
  <c r="CT237" i="1"/>
  <c r="AD20" i="1"/>
  <c r="CO168" i="1"/>
  <c r="CS23" i="1"/>
  <c r="CQ41" i="1"/>
  <c r="CQ42" i="1"/>
  <c r="CQ244" i="1"/>
  <c r="CQ245" i="1" s="1"/>
  <c r="CQ46" i="1"/>
  <c r="CW110" i="1"/>
  <c r="CW111" i="1" s="1"/>
  <c r="CW114" i="1" s="1"/>
  <c r="CP30" i="1"/>
  <c r="CP31" i="1"/>
  <c r="CP40" i="1"/>
  <c r="CQ43" i="1" s="1"/>
  <c r="CV23" i="1"/>
  <c r="CR168" i="1"/>
  <c r="CR160" i="1"/>
  <c r="AD9" i="1"/>
  <c r="CN46" i="1" l="1"/>
  <c r="CN50" i="1" s="1"/>
  <c r="CN51" i="1" s="1"/>
  <c r="CN43" i="1"/>
  <c r="CN42" i="1"/>
  <c r="CN124" i="1"/>
  <c r="CN41" i="1"/>
  <c r="CN238" i="1"/>
  <c r="CN244" i="1"/>
  <c r="CN245" i="1" s="1"/>
  <c r="CN262" i="1"/>
  <c r="CN263" i="1" s="1"/>
  <c r="CW24" i="1"/>
  <c r="AB14" i="1"/>
  <c r="AB15" i="1" s="1"/>
  <c r="AE20" i="1"/>
  <c r="AE13" i="1" s="1"/>
  <c r="DA110" i="1"/>
  <c r="DA111" i="1" s="1"/>
  <c r="DA114" i="1" s="1"/>
  <c r="AC35" i="1"/>
  <c r="AC38" i="1" s="1"/>
  <c r="AC39" i="1" s="1"/>
  <c r="CV160" i="1"/>
  <c r="AC27" i="1"/>
  <c r="AC28" i="1" s="1"/>
  <c r="AC30" i="1" s="1"/>
  <c r="AD265" i="1"/>
  <c r="AD13" i="1"/>
  <c r="AD22" i="1"/>
  <c r="AB30" i="1"/>
  <c r="AB71" i="1"/>
  <c r="AB29" i="1"/>
  <c r="AB40" i="1"/>
  <c r="CU160" i="1"/>
  <c r="CW23" i="1"/>
  <c r="CP169" i="1"/>
  <c r="CQ208" i="1"/>
  <c r="CQ210" i="1" s="1"/>
  <c r="CR169" i="1"/>
  <c r="AE9" i="1"/>
  <c r="CU30" i="1"/>
  <c r="CU31" i="1"/>
  <c r="CU40" i="1"/>
  <c r="DA265" i="1"/>
  <c r="DA243" i="1"/>
  <c r="DA22" i="1"/>
  <c r="AB209" i="1"/>
  <c r="AB197" i="1"/>
  <c r="AB196" i="1" s="1"/>
  <c r="CT30" i="1"/>
  <c r="CT31" i="1"/>
  <c r="CT40" i="1"/>
  <c r="CX237" i="1"/>
  <c r="CU27" i="1"/>
  <c r="CV168" i="1"/>
  <c r="CS168" i="1"/>
  <c r="CS209" i="1" s="1"/>
  <c r="AB191" i="1"/>
  <c r="AB160" i="1"/>
  <c r="CP244" i="1"/>
  <c r="CP245" i="1" s="1"/>
  <c r="CP262" i="1"/>
  <c r="CP263" i="1" s="1"/>
  <c r="CP43" i="1"/>
  <c r="CP42" i="1"/>
  <c r="CP46" i="1"/>
  <c r="CP41" i="1"/>
  <c r="CW164" i="1"/>
  <c r="CW157" i="1"/>
  <c r="CW158" i="1"/>
  <c r="CW156" i="1"/>
  <c r="CW165" i="1"/>
  <c r="CW38" i="1"/>
  <c r="CW35" i="1" s="1"/>
  <c r="CZ237" i="1"/>
  <c r="CX24" i="1"/>
  <c r="CW28" i="1"/>
  <c r="CR262" i="1"/>
  <c r="CR263" i="1" s="1"/>
  <c r="CR244" i="1"/>
  <c r="CR245" i="1" s="1"/>
  <c r="CR43" i="1"/>
  <c r="CR41" i="1"/>
  <c r="CR42" i="1"/>
  <c r="CR46" i="1"/>
  <c r="CS30" i="1"/>
  <c r="CS31" i="1"/>
  <c r="CS40" i="1"/>
  <c r="CR208" i="1"/>
  <c r="CQ262" i="1"/>
  <c r="CQ263" i="1" s="1"/>
  <c r="CZ38" i="1"/>
  <c r="CZ35" i="1" s="1"/>
  <c r="CZ157" i="1"/>
  <c r="CZ158" i="1"/>
  <c r="CZ164" i="1"/>
  <c r="CZ156" i="1"/>
  <c r="CZ165" i="1"/>
  <c r="CZ28" i="1"/>
  <c r="CZ27" i="1" s="1"/>
  <c r="CR209" i="1"/>
  <c r="CP209" i="1"/>
  <c r="CO209" i="1"/>
  <c r="DB265" i="1"/>
  <c r="DB243" i="1"/>
  <c r="DB22" i="1"/>
  <c r="CT160" i="1"/>
  <c r="AC156" i="1"/>
  <c r="AC164" i="1"/>
  <c r="AC168" i="1" s="1"/>
  <c r="AC209" i="1" s="1"/>
  <c r="CT168" i="1"/>
  <c r="CY38" i="1"/>
  <c r="CY35" i="1" s="1"/>
  <c r="CZ24" i="1"/>
  <c r="CY164" i="1"/>
  <c r="CY158" i="1"/>
  <c r="CY157" i="1"/>
  <c r="CY165" i="1"/>
  <c r="CY28" i="1"/>
  <c r="CY27" i="1" s="1"/>
  <c r="CY156" i="1"/>
  <c r="DB110" i="1"/>
  <c r="DB111" i="1" s="1"/>
  <c r="DB114" i="1" s="1"/>
  <c r="CX38" i="1"/>
  <c r="CX35" i="1" s="1"/>
  <c r="CX165" i="1"/>
  <c r="AD165" i="1" s="1"/>
  <c r="AD195" i="1" s="1"/>
  <c r="CX157" i="1"/>
  <c r="AD157" i="1" s="1"/>
  <c r="AD192" i="1" s="1"/>
  <c r="CX158" i="1"/>
  <c r="AD158" i="1" s="1"/>
  <c r="CX164" i="1"/>
  <c r="CY24" i="1"/>
  <c r="CX156" i="1"/>
  <c r="CX28" i="1"/>
  <c r="CX27" i="1" s="1"/>
  <c r="CR238" i="1"/>
  <c r="CO244" i="1"/>
  <c r="CO245" i="1" s="1"/>
  <c r="CO41" i="1"/>
  <c r="CR124" i="1"/>
  <c r="CO43" i="1"/>
  <c r="CO262" i="1"/>
  <c r="CO263" i="1" s="1"/>
  <c r="CO42" i="1"/>
  <c r="CO46" i="1"/>
  <c r="CO238" i="1"/>
  <c r="CO124" i="1"/>
  <c r="CQ238" i="1"/>
  <c r="CP124" i="1"/>
  <c r="CP238" i="1"/>
  <c r="CQ124" i="1"/>
  <c r="CU168" i="1"/>
  <c r="CV30" i="1"/>
  <c r="CV31" i="1"/>
  <c r="CV40" i="1"/>
  <c r="CY237" i="1"/>
  <c r="CP208" i="1"/>
  <c r="CO169" i="1"/>
  <c r="CO208" i="1"/>
  <c r="CS160" i="1"/>
  <c r="CS208" i="1" s="1"/>
  <c r="AE22" i="1" l="1"/>
  <c r="AE265" i="1"/>
  <c r="DA23" i="1"/>
  <c r="DA24" i="1"/>
  <c r="DB237" i="1"/>
  <c r="AC14" i="1"/>
  <c r="AC15" i="1" s="1"/>
  <c r="CP210" i="1"/>
  <c r="AD35" i="1"/>
  <c r="AD38" i="1" s="1"/>
  <c r="CZ168" i="1"/>
  <c r="CW160" i="1"/>
  <c r="CW208" i="1" s="1"/>
  <c r="CS210" i="1"/>
  <c r="CS244" i="1"/>
  <c r="CS245" i="1" s="1"/>
  <c r="CS262" i="1"/>
  <c r="CS263" i="1" s="1"/>
  <c r="CV124" i="1"/>
  <c r="CS43" i="1"/>
  <c r="CS42" i="1"/>
  <c r="CS41" i="1"/>
  <c r="CV238" i="1"/>
  <c r="CS46" i="1"/>
  <c r="AD110" i="1"/>
  <c r="AD70" i="1"/>
  <c r="AD23" i="1"/>
  <c r="AD200" i="1"/>
  <c r="CV209" i="1"/>
  <c r="CX30" i="1"/>
  <c r="CX31" i="1"/>
  <c r="CX40" i="1"/>
  <c r="CX168" i="1"/>
  <c r="AD164" i="1"/>
  <c r="AD168" i="1" s="1"/>
  <c r="AD209" i="1" s="1"/>
  <c r="CY168" i="1"/>
  <c r="DB157" i="1"/>
  <c r="AE157" i="1" s="1"/>
  <c r="AE192" i="1" s="1"/>
  <c r="DB38" i="1"/>
  <c r="DB35" i="1" s="1"/>
  <c r="DB165" i="1"/>
  <c r="AE165" i="1" s="1"/>
  <c r="AE195" i="1" s="1"/>
  <c r="DB164" i="1"/>
  <c r="DB158" i="1"/>
  <c r="AE158" i="1" s="1"/>
  <c r="DB156" i="1"/>
  <c r="DB28" i="1"/>
  <c r="CS238" i="1"/>
  <c r="AC71" i="1"/>
  <c r="AC29" i="1"/>
  <c r="AC40" i="1"/>
  <c r="AC42" i="1" s="1"/>
  <c r="CU124" i="1"/>
  <c r="AB194" i="1"/>
  <c r="AB169" i="1"/>
  <c r="AB208" i="1"/>
  <c r="AB210" i="1" s="1"/>
  <c r="DA164" i="1"/>
  <c r="DA38" i="1"/>
  <c r="DA35" i="1" s="1"/>
  <c r="DA156" i="1"/>
  <c r="DA157" i="1"/>
  <c r="DA165" i="1"/>
  <c r="DB24" i="1"/>
  <c r="DA158" i="1"/>
  <c r="DA28" i="1"/>
  <c r="DA27" i="1" s="1"/>
  <c r="DB23" i="1"/>
  <c r="AC197" i="1"/>
  <c r="AC196" i="1" s="1"/>
  <c r="CW168" i="1"/>
  <c r="CS124" i="1"/>
  <c r="CU169" i="1"/>
  <c r="CV208" i="1"/>
  <c r="CT238" i="1"/>
  <c r="CU208" i="1"/>
  <c r="CT169" i="1"/>
  <c r="CW31" i="1"/>
  <c r="CW30" i="1"/>
  <c r="CW40" i="1"/>
  <c r="CU244" i="1"/>
  <c r="CU245" i="1" s="1"/>
  <c r="CU42" i="1"/>
  <c r="CU262" i="1"/>
  <c r="CU263" i="1" s="1"/>
  <c r="CU43" i="1"/>
  <c r="CU41" i="1"/>
  <c r="CU46" i="1"/>
  <c r="CS169" i="1"/>
  <c r="CT208" i="1"/>
  <c r="CU209" i="1"/>
  <c r="CZ30" i="1"/>
  <c r="CZ31" i="1"/>
  <c r="CZ40" i="1"/>
  <c r="CO210" i="1"/>
  <c r="CV244" i="1"/>
  <c r="CV245" i="1" s="1"/>
  <c r="CV262" i="1"/>
  <c r="CV263" i="1" s="1"/>
  <c r="CV41" i="1"/>
  <c r="CV42" i="1"/>
  <c r="CV43" i="1"/>
  <c r="CV46" i="1"/>
  <c r="CY160" i="1"/>
  <c r="AD156" i="1"/>
  <c r="CX160" i="1"/>
  <c r="DA237" i="1"/>
  <c r="CY31" i="1"/>
  <c r="CY30" i="1"/>
  <c r="CY40" i="1"/>
  <c r="AC191" i="1"/>
  <c r="AC160" i="1"/>
  <c r="AC208" i="1" s="1"/>
  <c r="AC210" i="1" s="1"/>
  <c r="CZ160" i="1"/>
  <c r="CR210" i="1"/>
  <c r="CU238" i="1"/>
  <c r="CW27" i="1"/>
  <c r="AD27" i="1" s="1"/>
  <c r="AD28" i="1" s="1"/>
  <c r="CV169" i="1"/>
  <c r="CT209" i="1"/>
  <c r="CT244" i="1"/>
  <c r="CT245" i="1" s="1"/>
  <c r="CT262" i="1"/>
  <c r="CT263" i="1" s="1"/>
  <c r="CT43" i="1"/>
  <c r="CT41" i="1"/>
  <c r="CT42" i="1"/>
  <c r="CT46" i="1"/>
  <c r="CT124" i="1"/>
  <c r="AB46" i="1"/>
  <c r="AB42" i="1"/>
  <c r="AB262" i="1"/>
  <c r="AB263" i="1" s="1"/>
  <c r="AB41" i="1"/>
  <c r="AB72" i="1"/>
  <c r="AB124" i="1"/>
  <c r="CN53" i="1"/>
  <c r="AE110" i="1" l="1"/>
  <c r="AE200" i="1"/>
  <c r="AE23" i="1"/>
  <c r="AE70" i="1"/>
  <c r="AD39" i="1"/>
  <c r="AD14" i="1"/>
  <c r="AD15" i="1" s="1"/>
  <c r="CX124" i="1"/>
  <c r="CT210" i="1"/>
  <c r="CZ209" i="1"/>
  <c r="CY124" i="1"/>
  <c r="CY238" i="1"/>
  <c r="CU210" i="1"/>
  <c r="AE35" i="1"/>
  <c r="AE38" i="1" s="1"/>
  <c r="AE14" i="1" s="1"/>
  <c r="AE15" i="1" s="1"/>
  <c r="CY209" i="1"/>
  <c r="AD29" i="1"/>
  <c r="AD71" i="1"/>
  <c r="AD40" i="1"/>
  <c r="AD42" i="1" s="1"/>
  <c r="AD30" i="1"/>
  <c r="CZ262" i="1"/>
  <c r="CZ263" i="1" s="1"/>
  <c r="CZ244" i="1"/>
  <c r="CZ245" i="1" s="1"/>
  <c r="CZ41" i="1"/>
  <c r="CZ42" i="1"/>
  <c r="CZ46" i="1"/>
  <c r="CZ43" i="1"/>
  <c r="CX209" i="1"/>
  <c r="AE164" i="1"/>
  <c r="AE168" i="1" s="1"/>
  <c r="AE197" i="1" s="1"/>
  <c r="AE196" i="1" s="1"/>
  <c r="DB168" i="1"/>
  <c r="CN54" i="1"/>
  <c r="CN257" i="1" s="1"/>
  <c r="CN55" i="1"/>
  <c r="CN56" i="1"/>
  <c r="CN239" i="1"/>
  <c r="CN246" i="1"/>
  <c r="CN60" i="1"/>
  <c r="CZ169" i="1"/>
  <c r="DB30" i="1"/>
  <c r="DB31" i="1"/>
  <c r="DB40" i="1"/>
  <c r="CZ208" i="1"/>
  <c r="CY169" i="1"/>
  <c r="CW244" i="1"/>
  <c r="CW245" i="1" s="1"/>
  <c r="CW42" i="1"/>
  <c r="CW262" i="1"/>
  <c r="CW263" i="1" s="1"/>
  <c r="CZ238" i="1"/>
  <c r="CW41" i="1"/>
  <c r="CW43" i="1"/>
  <c r="CZ124" i="1"/>
  <c r="CW46" i="1"/>
  <c r="CX238" i="1"/>
  <c r="DA160" i="1"/>
  <c r="CX262" i="1"/>
  <c r="CX263" i="1" s="1"/>
  <c r="CX244" i="1"/>
  <c r="CX245" i="1" s="1"/>
  <c r="CX41" i="1"/>
  <c r="CX42" i="1"/>
  <c r="CX43" i="1"/>
  <c r="CX46" i="1"/>
  <c r="CY262" i="1"/>
  <c r="CY263" i="1" s="1"/>
  <c r="CY244" i="1"/>
  <c r="CY245" i="1" s="1"/>
  <c r="CY41" i="1"/>
  <c r="CY46" i="1"/>
  <c r="CY43" i="1"/>
  <c r="CY42" i="1"/>
  <c r="CY208" i="1"/>
  <c r="CX169" i="1"/>
  <c r="CW169" i="1"/>
  <c r="CV210" i="1"/>
  <c r="CW124" i="1"/>
  <c r="CW238" i="1"/>
  <c r="AC169" i="1"/>
  <c r="AC194" i="1"/>
  <c r="AD191" i="1"/>
  <c r="AD160" i="1"/>
  <c r="CX208" i="1"/>
  <c r="CW209" i="1"/>
  <c r="CW210" i="1" s="1"/>
  <c r="DA31" i="1"/>
  <c r="DA30" i="1"/>
  <c r="DA40" i="1"/>
  <c r="DA168" i="1"/>
  <c r="AB193" i="1"/>
  <c r="AB198" i="1"/>
  <c r="AB201" i="1" s="1"/>
  <c r="AB202" i="1" s="1"/>
  <c r="AC262" i="1"/>
  <c r="AC263" i="1" s="1"/>
  <c r="AC41" i="1"/>
  <c r="AC72" i="1"/>
  <c r="AC124" i="1"/>
  <c r="AC46" i="1"/>
  <c r="DB160" i="1"/>
  <c r="AE156" i="1"/>
  <c r="DB27" i="1"/>
  <c r="AE27" i="1" s="1"/>
  <c r="AE28" i="1" s="1"/>
  <c r="AD197" i="1"/>
  <c r="AD196" i="1" s="1"/>
  <c r="CZ210" i="1" l="1"/>
  <c r="CX210" i="1"/>
  <c r="DB238" i="1"/>
  <c r="CY210" i="1"/>
  <c r="DA238" i="1"/>
  <c r="DA124" i="1"/>
  <c r="AE39" i="1"/>
  <c r="DB169" i="1"/>
  <c r="AD194" i="1"/>
  <c r="AD169" i="1"/>
  <c r="DB208" i="1"/>
  <c r="DA169" i="1"/>
  <c r="DB262" i="1"/>
  <c r="DB263" i="1" s="1"/>
  <c r="DB244" i="1"/>
  <c r="DB245" i="1" s="1"/>
  <c r="DB43" i="1"/>
  <c r="DB42" i="1"/>
  <c r="DB41" i="1"/>
  <c r="DB46" i="1"/>
  <c r="DA208" i="1"/>
  <c r="AE29" i="1"/>
  <c r="AE71" i="1"/>
  <c r="AE40" i="1"/>
  <c r="DA244" i="1"/>
  <c r="DA245" i="1" s="1"/>
  <c r="DA262" i="1"/>
  <c r="DA263" i="1" s="1"/>
  <c r="DA42" i="1"/>
  <c r="DA46" i="1"/>
  <c r="DA43" i="1"/>
  <c r="DA41" i="1"/>
  <c r="AE191" i="1"/>
  <c r="AE160" i="1"/>
  <c r="AE208" i="1" s="1"/>
  <c r="AC198" i="1"/>
  <c r="AC201" i="1" s="1"/>
  <c r="AC202" i="1" s="1"/>
  <c r="AC193" i="1"/>
  <c r="CN205" i="1"/>
  <c r="CN207" i="1" s="1"/>
  <c r="CN211" i="1" s="1"/>
  <c r="CN225" i="1" s="1"/>
  <c r="CN78" i="1"/>
  <c r="CN131" i="1"/>
  <c r="AD262" i="1"/>
  <c r="AD263" i="1" s="1"/>
  <c r="AD72" i="1"/>
  <c r="AD41" i="1"/>
  <c r="AD124" i="1"/>
  <c r="AD46" i="1"/>
  <c r="DB209" i="1"/>
  <c r="DA209" i="1"/>
  <c r="AD208" i="1"/>
  <c r="AD210" i="1" s="1"/>
  <c r="AE30" i="1"/>
  <c r="DB124" i="1"/>
  <c r="AE209" i="1"/>
  <c r="DB210" i="1" l="1"/>
  <c r="AE210" i="1"/>
  <c r="CN132" i="1"/>
  <c r="DA210" i="1"/>
  <c r="AE169" i="1"/>
  <c r="AE194" i="1"/>
  <c r="AE262" i="1"/>
  <c r="AE263" i="1" s="1"/>
  <c r="AE72" i="1"/>
  <c r="AE124" i="1"/>
  <c r="AE46" i="1"/>
  <c r="AE41" i="1"/>
  <c r="AE42" i="1"/>
  <c r="CN81" i="1"/>
  <c r="AD198" i="1"/>
  <c r="AD201" i="1" s="1"/>
  <c r="AD202" i="1" s="1"/>
  <c r="AD193" i="1"/>
  <c r="CJ101" i="1" l="1"/>
  <c r="CN90" i="1"/>
  <c r="CN97" i="1"/>
  <c r="CN91" i="1"/>
  <c r="CN82" i="1"/>
  <c r="AE193" i="1"/>
  <c r="AE198" i="1"/>
  <c r="AE201" i="1" s="1"/>
  <c r="AE202" i="1" s="1"/>
  <c r="CN104" i="1"/>
  <c r="CN106" i="1" s="1"/>
  <c r="CN141" i="1"/>
  <c r="CN67" i="1" s="1"/>
  <c r="CN219" i="1"/>
  <c r="CN217" i="1" s="1"/>
  <c r="CN222" i="1" s="1"/>
  <c r="CN66" i="1"/>
  <c r="CN93" i="1" l="1"/>
  <c r="CN119" i="1"/>
  <c r="CN172" i="1"/>
  <c r="CN173" i="1" s="1"/>
  <c r="CN223" i="1" s="1"/>
  <c r="CN120" i="1"/>
  <c r="CN94" i="1"/>
  <c r="CN258" i="1" l="1"/>
  <c r="CN180" i="1"/>
  <c r="CN177" i="1"/>
  <c r="CN178" i="1" s="1"/>
  <c r="CN260" i="1"/>
  <c r="CO221" i="1"/>
  <c r="CN256" i="1"/>
  <c r="CN121" i="1" l="1"/>
  <c r="CO48" i="1"/>
  <c r="CO264" i="1" l="1"/>
  <c r="CO50" i="1"/>
  <c r="CN122" i="1"/>
  <c r="CN125" i="1" s="1"/>
  <c r="CN123" i="1"/>
  <c r="CN126" i="1" s="1"/>
  <c r="CO51" i="1" l="1"/>
  <c r="CO53" i="1" s="1"/>
  <c r="CO54" i="1" l="1"/>
  <c r="CO257" i="1" s="1"/>
  <c r="CO55" i="1"/>
  <c r="CO56" i="1"/>
  <c r="CO246" i="1"/>
  <c r="CO60" i="1"/>
  <c r="CO239" i="1"/>
  <c r="CO205" i="1" l="1"/>
  <c r="CO207" i="1" s="1"/>
  <c r="CO211" i="1" s="1"/>
  <c r="CO225" i="1" s="1"/>
  <c r="CO78" i="1"/>
  <c r="CO131" i="1"/>
  <c r="CO132" i="1" l="1"/>
  <c r="CO81" i="1"/>
  <c r="CO97" i="1" l="1"/>
  <c r="CO91" i="1"/>
  <c r="CO82" i="1"/>
  <c r="CK101" i="1"/>
  <c r="CO90" i="1"/>
  <c r="CO104" i="1"/>
  <c r="CO106" i="1" s="1"/>
  <c r="CO219" i="1"/>
  <c r="CO217" i="1" s="1"/>
  <c r="CO222" i="1" s="1"/>
  <c r="CO141" i="1"/>
  <c r="CO67" i="1" s="1"/>
  <c r="CO66" i="1"/>
  <c r="CO172" i="1" l="1"/>
  <c r="CO173" i="1" s="1"/>
  <c r="CO223" i="1" s="1"/>
  <c r="CO94" i="1"/>
  <c r="CO120" i="1"/>
  <c r="CO119" i="1"/>
  <c r="CO93" i="1"/>
  <c r="CO260" i="1" l="1"/>
  <c r="CO177" i="1"/>
  <c r="CO178" i="1" s="1"/>
  <c r="CO258" i="1"/>
  <c r="CO180" i="1"/>
  <c r="CP221" i="1"/>
  <c r="CO256" i="1"/>
  <c r="CO121" i="1" l="1"/>
  <c r="CP48" i="1"/>
  <c r="CP264" i="1" l="1"/>
  <c r="CP50" i="1"/>
  <c r="AB48" i="1"/>
  <c r="CO123" i="1"/>
  <c r="CO126" i="1" s="1"/>
  <c r="CO122" i="1"/>
  <c r="CO125" i="1" s="1"/>
  <c r="AB264" i="1" l="1"/>
  <c r="AB49" i="1"/>
  <c r="AB50" i="1"/>
  <c r="CP51" i="1"/>
  <c r="AB51" i="1" s="1"/>
  <c r="AB52" i="1" s="1"/>
  <c r="AB53" i="1" l="1"/>
  <c r="CP53" i="1"/>
  <c r="AB55" i="1" l="1"/>
  <c r="AB60" i="1"/>
  <c r="AB54" i="1"/>
  <c r="AB257" i="1" s="1"/>
  <c r="AB73" i="1"/>
  <c r="CP55" i="1"/>
  <c r="CP246" i="1"/>
  <c r="CP56" i="1"/>
  <c r="CP60" i="1"/>
  <c r="CP54" i="1"/>
  <c r="CP257" i="1" s="1"/>
  <c r="CP239" i="1"/>
  <c r="CP205" i="1" l="1"/>
  <c r="CP207" i="1" s="1"/>
  <c r="CP211" i="1" s="1"/>
  <c r="CP225" i="1" s="1"/>
  <c r="CP78" i="1"/>
  <c r="CP131" i="1"/>
  <c r="AB63" i="1"/>
  <c r="AB64" i="1" s="1"/>
  <c r="AB205" i="1"/>
  <c r="AB207" i="1" s="1"/>
  <c r="AB211" i="1" s="1"/>
  <c r="AB225" i="1" s="1"/>
  <c r="AB131" i="1" l="1"/>
  <c r="AB132" i="1" s="1"/>
  <c r="CP132" i="1"/>
  <c r="CP81" i="1"/>
  <c r="CL101" i="1" s="1"/>
  <c r="CP82" i="1" l="1"/>
  <c r="CP90" i="1"/>
  <c r="CP91" i="1"/>
  <c r="CP97" i="1"/>
  <c r="CP104" i="1"/>
  <c r="CP106" i="1" s="1"/>
  <c r="CP219" i="1"/>
  <c r="CP217" i="1" s="1"/>
  <c r="CP222" i="1" s="1"/>
  <c r="CP141" i="1"/>
  <c r="CP67" i="1" s="1"/>
  <c r="CP66" i="1"/>
  <c r="AB187" i="1"/>
  <c r="AB219" i="1"/>
  <c r="AB217" i="1" s="1"/>
  <c r="AB222" i="1" s="1"/>
  <c r="AB141" i="1"/>
  <c r="AB67" i="1" s="1"/>
  <c r="AB66" i="1"/>
  <c r="CP94" i="1" l="1"/>
  <c r="CP120" i="1"/>
  <c r="AB91" i="1"/>
  <c r="CP172" i="1"/>
  <c r="CP93" i="1"/>
  <c r="CP119" i="1"/>
  <c r="AB90" i="1"/>
  <c r="AB94" i="1" l="1"/>
  <c r="AB172" i="1"/>
  <c r="AB173" i="1" s="1"/>
  <c r="CP173" i="1"/>
  <c r="AB93" i="1"/>
  <c r="CP258" i="1" l="1"/>
  <c r="CP177" i="1"/>
  <c r="CP178" i="1" s="1"/>
  <c r="CP260" i="1"/>
  <c r="CP180" i="1"/>
  <c r="CQ221" i="1"/>
  <c r="CP256" i="1"/>
  <c r="CP223" i="1"/>
  <c r="AB180" i="1"/>
  <c r="AB121" i="1" s="1"/>
  <c r="AB177" i="1"/>
  <c r="AB178" i="1" s="1"/>
  <c r="AC221" i="1"/>
  <c r="AB258" i="1"/>
  <c r="AB260" i="1"/>
  <c r="AB256" i="1"/>
  <c r="AB223" i="1"/>
  <c r="CQ48" i="1" l="1"/>
  <c r="CP121" i="1"/>
  <c r="CP122" i="1" l="1"/>
  <c r="CP125" i="1" s="1"/>
  <c r="CP123" i="1"/>
  <c r="CP126" i="1" s="1"/>
  <c r="CQ264" i="1"/>
  <c r="CQ50" i="1"/>
  <c r="CQ51" i="1" l="1"/>
  <c r="CQ53" i="1" s="1"/>
  <c r="CQ55" i="1" l="1"/>
  <c r="CQ246" i="1"/>
  <c r="CQ54" i="1"/>
  <c r="CQ257" i="1" s="1"/>
  <c r="CQ56" i="1"/>
  <c r="CQ60" i="1"/>
  <c r="CQ239" i="1"/>
  <c r="CQ205" i="1" l="1"/>
  <c r="CQ207" i="1" s="1"/>
  <c r="CQ211" i="1" s="1"/>
  <c r="CQ225" i="1" s="1"/>
  <c r="CQ78" i="1"/>
  <c r="CQ131" i="1"/>
  <c r="CQ81" i="1" l="1"/>
  <c r="CQ132" i="1"/>
  <c r="CQ141" i="1" l="1"/>
  <c r="CQ67" i="1" s="1"/>
  <c r="CQ219" i="1"/>
  <c r="CQ217" i="1" s="1"/>
  <c r="CQ222" i="1" s="1"/>
  <c r="CQ104" i="1"/>
  <c r="CQ106" i="1" s="1"/>
  <c r="CQ66" i="1"/>
  <c r="CQ82" i="1"/>
  <c r="CQ90" i="1"/>
  <c r="CQ97" i="1"/>
  <c r="CQ91" i="1"/>
  <c r="CQ119" i="1" l="1"/>
  <c r="CQ93" i="1"/>
  <c r="CQ172" i="1"/>
  <c r="CQ173" i="1" s="1"/>
  <c r="CQ223" i="1" s="1"/>
  <c r="CQ94" i="1"/>
  <c r="CQ120" i="1"/>
  <c r="CQ258" i="1" l="1"/>
  <c r="CQ260" i="1"/>
  <c r="CQ180" i="1"/>
  <c r="CR221" i="1"/>
  <c r="CQ177" i="1"/>
  <c r="CQ178" i="1" s="1"/>
  <c r="CQ256" i="1"/>
  <c r="CR48" i="1" l="1"/>
  <c r="CQ121" i="1"/>
  <c r="CQ123" i="1" l="1"/>
  <c r="CQ126" i="1" s="1"/>
  <c r="CQ122" i="1"/>
  <c r="CQ125" i="1" s="1"/>
  <c r="CR264" i="1"/>
  <c r="CR50" i="1"/>
  <c r="CR51" i="1" l="1"/>
  <c r="CR53" i="1" s="1"/>
  <c r="CR54" i="1" l="1"/>
  <c r="CR257" i="1" s="1"/>
  <c r="CR56" i="1"/>
  <c r="CR55" i="1"/>
  <c r="CR60" i="1"/>
  <c r="CR246" i="1"/>
  <c r="CR239" i="1"/>
  <c r="CR205" i="1" l="1"/>
  <c r="CR207" i="1" s="1"/>
  <c r="CR211" i="1" s="1"/>
  <c r="CR225" i="1" s="1"/>
  <c r="CR78" i="1"/>
  <c r="CR131" i="1"/>
  <c r="CR81" i="1" l="1"/>
  <c r="CR132" i="1"/>
  <c r="CR91" i="1" l="1"/>
  <c r="CR90" i="1"/>
  <c r="CR97" i="1"/>
  <c r="CR82" i="1"/>
  <c r="CR141" i="1"/>
  <c r="CR67" i="1" s="1"/>
  <c r="CR219" i="1"/>
  <c r="CR217" i="1" s="1"/>
  <c r="CR222" i="1" s="1"/>
  <c r="CR104" i="1"/>
  <c r="CR106" i="1" s="1"/>
  <c r="CR66" i="1"/>
  <c r="CR172" i="1" l="1"/>
  <c r="CR173" i="1" s="1"/>
  <c r="CR93" i="1"/>
  <c r="CR119" i="1"/>
  <c r="CR120" i="1"/>
  <c r="CR94" i="1"/>
  <c r="CR180" i="1" l="1"/>
  <c r="CR177" i="1"/>
  <c r="CR178" i="1" s="1"/>
  <c r="CR260" i="1"/>
  <c r="CR258" i="1"/>
  <c r="CS221" i="1"/>
  <c r="CR256" i="1"/>
  <c r="CR223" i="1"/>
  <c r="CS48" i="1" l="1"/>
  <c r="CR121" i="1"/>
  <c r="CR122" i="1" l="1"/>
  <c r="CR125" i="1" s="1"/>
  <c r="CR123" i="1"/>
  <c r="CR126" i="1" s="1"/>
  <c r="CS264" i="1"/>
  <c r="CS50" i="1"/>
  <c r="CS51" i="1" l="1"/>
  <c r="CS53" i="1" s="1"/>
  <c r="CS246" i="1" l="1"/>
  <c r="CS56" i="1"/>
  <c r="CS54" i="1"/>
  <c r="CS257" i="1" s="1"/>
  <c r="CS60" i="1"/>
  <c r="CS55" i="1"/>
  <c r="CS239" i="1"/>
  <c r="CS205" i="1" l="1"/>
  <c r="CS207" i="1" s="1"/>
  <c r="CS211" i="1" s="1"/>
  <c r="CS225" i="1" s="1"/>
  <c r="CS78" i="1"/>
  <c r="CS131" i="1"/>
  <c r="CS132" i="1" l="1"/>
  <c r="CS81" i="1"/>
  <c r="CS97" i="1" l="1"/>
  <c r="CS91" i="1"/>
  <c r="CS90" i="1"/>
  <c r="CS82" i="1"/>
  <c r="CS219" i="1"/>
  <c r="CS217" i="1" s="1"/>
  <c r="CS222" i="1" s="1"/>
  <c r="CS104" i="1"/>
  <c r="CS106" i="1" s="1"/>
  <c r="CS141" i="1"/>
  <c r="CS67" i="1" s="1"/>
  <c r="CS66" i="1"/>
  <c r="CS119" i="1" l="1"/>
  <c r="CS93" i="1"/>
  <c r="CS94" i="1"/>
  <c r="CS120" i="1"/>
  <c r="CS172" i="1"/>
  <c r="CS173" i="1" s="1"/>
  <c r="CS258" i="1" l="1"/>
  <c r="CS180" i="1"/>
  <c r="CS177" i="1"/>
  <c r="CS178" i="1" s="1"/>
  <c r="CS260" i="1"/>
  <c r="CT221" i="1"/>
  <c r="CS256" i="1"/>
  <c r="CS223" i="1"/>
  <c r="CT48" i="1" l="1"/>
  <c r="CS121" i="1"/>
  <c r="CS122" i="1" l="1"/>
  <c r="CS125" i="1" s="1"/>
  <c r="CS123" i="1"/>
  <c r="CS126" i="1" s="1"/>
  <c r="CT264" i="1"/>
  <c r="CT50" i="1"/>
  <c r="AC48" i="1"/>
  <c r="AC264" i="1" l="1"/>
  <c r="AC49" i="1"/>
  <c r="AC50" i="1"/>
  <c r="CT51" i="1"/>
  <c r="AC51" i="1" s="1"/>
  <c r="AC52" i="1" s="1"/>
  <c r="CT53" i="1" l="1"/>
  <c r="CT239" i="1" s="1"/>
  <c r="AC53" i="1"/>
  <c r="CT56" i="1" l="1"/>
  <c r="CT246" i="1"/>
  <c r="CT54" i="1"/>
  <c r="CT257" i="1" s="1"/>
  <c r="CT60" i="1"/>
  <c r="CT55" i="1"/>
  <c r="AC54" i="1"/>
  <c r="AC257" i="1" s="1"/>
  <c r="AC60" i="1"/>
  <c r="AC73" i="1"/>
  <c r="AC55" i="1"/>
  <c r="CT131" i="1" l="1"/>
  <c r="CT78" i="1"/>
  <c r="CT205" i="1"/>
  <c r="CT207" i="1" s="1"/>
  <c r="CT211" i="1" s="1"/>
  <c r="CT225" i="1" s="1"/>
  <c r="AC63" i="1"/>
  <c r="AC64" i="1" s="1"/>
  <c r="AC205" i="1"/>
  <c r="AC207" i="1" s="1"/>
  <c r="AC211" i="1" s="1"/>
  <c r="AC225" i="1" s="1"/>
  <c r="CT132" i="1" l="1"/>
  <c r="AC131" i="1"/>
  <c r="AC132" i="1" s="1"/>
  <c r="AC66" i="1" s="1"/>
  <c r="CT81" i="1"/>
  <c r="CT97" i="1"/>
  <c r="CT82" i="1"/>
  <c r="CT66" i="1" l="1"/>
  <c r="CT90" i="1"/>
  <c r="CT91" i="1"/>
  <c r="AC219" i="1"/>
  <c r="AC217" i="1" s="1"/>
  <c r="AC222" i="1" s="1"/>
  <c r="AC141" i="1"/>
  <c r="AC67" i="1" s="1"/>
  <c r="AC187" i="1"/>
  <c r="CT104" i="1"/>
  <c r="CT106" i="1" s="1"/>
  <c r="CT141" i="1"/>
  <c r="CT67" i="1" s="1"/>
  <c r="CT219" i="1"/>
  <c r="CT217" i="1" s="1"/>
  <c r="CT222" i="1" s="1"/>
  <c r="CT119" i="1" l="1"/>
  <c r="CT93" i="1"/>
  <c r="AC90" i="1"/>
  <c r="CT120" i="1"/>
  <c r="CT94" i="1"/>
  <c r="AC91" i="1"/>
  <c r="CT172" i="1"/>
  <c r="AC93" i="1" l="1"/>
  <c r="AC94" i="1"/>
  <c r="AC172" i="1"/>
  <c r="AC173" i="1" s="1"/>
  <c r="CT173" i="1"/>
  <c r="CT260" i="1" l="1"/>
  <c r="CT180" i="1"/>
  <c r="CT258" i="1"/>
  <c r="CT177" i="1"/>
  <c r="CT178" i="1" s="1"/>
  <c r="CU221" i="1"/>
  <c r="CT256" i="1"/>
  <c r="CT223" i="1"/>
  <c r="AC180" i="1"/>
  <c r="AC121" i="1" s="1"/>
  <c r="AC258" i="1"/>
  <c r="AC177" i="1"/>
  <c r="AC178" i="1" s="1"/>
  <c r="AD221" i="1"/>
  <c r="AC256" i="1"/>
  <c r="AC260" i="1"/>
  <c r="AC223" i="1"/>
  <c r="CT121" i="1" l="1"/>
  <c r="CU48" i="1"/>
  <c r="CT123" i="1" l="1"/>
  <c r="CT126" i="1" s="1"/>
  <c r="CU264" i="1"/>
  <c r="CU50" i="1"/>
  <c r="CT122" i="1"/>
  <c r="CT125" i="1" s="1"/>
  <c r="CU51" i="1" l="1"/>
  <c r="CU53" i="1" l="1"/>
  <c r="CU54" i="1" l="1"/>
  <c r="CU257" i="1" s="1"/>
  <c r="CU55" i="1"/>
  <c r="CU56" i="1"/>
  <c r="CU60" i="1"/>
  <c r="CU246" i="1"/>
  <c r="CU239" i="1"/>
  <c r="CU205" i="1" l="1"/>
  <c r="CU207" i="1" s="1"/>
  <c r="CU211" i="1" s="1"/>
  <c r="CU225" i="1" s="1"/>
  <c r="CU78" i="1"/>
  <c r="CU131" i="1"/>
  <c r="CU132" i="1" l="1"/>
  <c r="CU81" i="1"/>
  <c r="CU82" i="1" l="1"/>
  <c r="CU91" i="1"/>
  <c r="CU97" i="1"/>
  <c r="CU90" i="1"/>
  <c r="CU141" i="1"/>
  <c r="CU67" i="1" s="1"/>
  <c r="CU219" i="1"/>
  <c r="CU217" i="1" s="1"/>
  <c r="CU222" i="1" s="1"/>
  <c r="CU104" i="1"/>
  <c r="CU106" i="1" s="1"/>
  <c r="CU66" i="1"/>
  <c r="CU119" i="1" l="1"/>
  <c r="CU93" i="1"/>
  <c r="CU94" i="1"/>
  <c r="CU120" i="1"/>
  <c r="CU172" i="1"/>
  <c r="CU173" i="1" s="1"/>
  <c r="CU223" i="1" s="1"/>
  <c r="CU256" i="1"/>
  <c r="CU260" i="1" l="1"/>
  <c r="CU177" i="1"/>
  <c r="CU178" i="1" s="1"/>
  <c r="CU258" i="1"/>
  <c r="CU180" i="1"/>
  <c r="CV221" i="1"/>
  <c r="CU121" i="1" l="1"/>
  <c r="CV48" i="1"/>
  <c r="CU123" i="1" l="1"/>
  <c r="CU126" i="1" s="1"/>
  <c r="CU122" i="1"/>
  <c r="CU125" i="1" s="1"/>
  <c r="CV264" i="1"/>
  <c r="CV50" i="1"/>
  <c r="CV51" i="1"/>
  <c r="CV53" i="1" s="1"/>
  <c r="CV55" i="1" l="1"/>
  <c r="CV56" i="1"/>
  <c r="CV246" i="1"/>
  <c r="CV60" i="1"/>
  <c r="CV54" i="1"/>
  <c r="CV257" i="1" s="1"/>
  <c r="CV239" i="1"/>
  <c r="CV205" i="1" l="1"/>
  <c r="CV207" i="1" s="1"/>
  <c r="CV211" i="1" s="1"/>
  <c r="CV225" i="1" s="1"/>
  <c r="CV78" i="1"/>
  <c r="CV131" i="1"/>
  <c r="CV132" i="1" l="1"/>
  <c r="CV81" i="1"/>
  <c r="CV97" i="1" l="1"/>
  <c r="CV90" i="1"/>
  <c r="CV91" i="1"/>
  <c r="CV82" i="1"/>
  <c r="CV104" i="1"/>
  <c r="CV106" i="1" s="1"/>
  <c r="CV219" i="1"/>
  <c r="CV217" i="1" s="1"/>
  <c r="CV222" i="1" s="1"/>
  <c r="CV141" i="1"/>
  <c r="CV67" i="1" s="1"/>
  <c r="CV66" i="1"/>
  <c r="CV94" i="1" l="1"/>
  <c r="CV120" i="1"/>
  <c r="CV172" i="1"/>
  <c r="CV173" i="1" s="1"/>
  <c r="CV223" i="1" s="1"/>
  <c r="CV119" i="1"/>
  <c r="CV93" i="1"/>
  <c r="CV177" i="1" l="1"/>
  <c r="CV178" i="1" s="1"/>
  <c r="CV258" i="1"/>
  <c r="CV260" i="1"/>
  <c r="CW221" i="1"/>
  <c r="CV180" i="1"/>
  <c r="CV256" i="1"/>
  <c r="CV121" i="1" l="1"/>
  <c r="CW48" i="1"/>
  <c r="CV122" i="1" l="1"/>
  <c r="CV125" i="1" s="1"/>
  <c r="CV123" i="1"/>
  <c r="CV126" i="1" s="1"/>
  <c r="CW264" i="1"/>
  <c r="CW50" i="1"/>
  <c r="CW51" i="1" l="1"/>
  <c r="CW53" i="1" l="1"/>
  <c r="CW54" i="1" l="1"/>
  <c r="CW257" i="1" s="1"/>
  <c r="CW56" i="1"/>
  <c r="CW55" i="1"/>
  <c r="CW60" i="1"/>
  <c r="CW246" i="1"/>
  <c r="CW239" i="1"/>
  <c r="CW205" i="1" l="1"/>
  <c r="CW207" i="1" s="1"/>
  <c r="CW211" i="1" s="1"/>
  <c r="CW225" i="1" s="1"/>
  <c r="CW78" i="1"/>
  <c r="CW131" i="1"/>
  <c r="CW132" i="1" l="1"/>
  <c r="CW81" i="1"/>
  <c r="CW91" i="1" l="1"/>
  <c r="CW90" i="1"/>
  <c r="CW97" i="1"/>
  <c r="CW82" i="1"/>
  <c r="CW141" i="1"/>
  <c r="CW67" i="1" s="1"/>
  <c r="CW104" i="1"/>
  <c r="CW106" i="1" s="1"/>
  <c r="CW219" i="1"/>
  <c r="CW217" i="1" s="1"/>
  <c r="CW222" i="1" s="1"/>
  <c r="CW66" i="1"/>
  <c r="CW172" i="1" l="1"/>
  <c r="CW173" i="1" s="1"/>
  <c r="CW119" i="1"/>
  <c r="CW93" i="1"/>
  <c r="CW120" i="1"/>
  <c r="CW94" i="1"/>
  <c r="CW260" i="1" l="1"/>
  <c r="CW177" i="1"/>
  <c r="CW178" i="1" s="1"/>
  <c r="CW180" i="1"/>
  <c r="CX221" i="1"/>
  <c r="CW258" i="1"/>
  <c r="CW256" i="1"/>
  <c r="CW223" i="1"/>
  <c r="CW121" i="1" l="1"/>
  <c r="CX48" i="1"/>
  <c r="CX264" i="1" l="1"/>
  <c r="CX50" i="1"/>
  <c r="AD48" i="1"/>
  <c r="CW122" i="1"/>
  <c r="CW125" i="1" s="1"/>
  <c r="CW123" i="1"/>
  <c r="CW126" i="1" s="1"/>
  <c r="AD49" i="1" l="1"/>
  <c r="AD264" i="1"/>
  <c r="AD50" i="1"/>
  <c r="CX51" i="1"/>
  <c r="AD51" i="1" s="1"/>
  <c r="AD52" i="1" s="1"/>
  <c r="AD53" i="1" l="1"/>
  <c r="CX53" i="1"/>
  <c r="CX56" i="1" l="1"/>
  <c r="CX54" i="1"/>
  <c r="CX257" i="1" s="1"/>
  <c r="CX246" i="1"/>
  <c r="CX60" i="1"/>
  <c r="CX55" i="1"/>
  <c r="CX239" i="1"/>
  <c r="AD60" i="1"/>
  <c r="AD73" i="1"/>
  <c r="AD54" i="1"/>
  <c r="AD257" i="1" s="1"/>
  <c r="AD55" i="1"/>
  <c r="AD63" i="1" l="1"/>
  <c r="AD64" i="1" s="1"/>
  <c r="AD205" i="1"/>
  <c r="AD207" i="1" s="1"/>
  <c r="AD211" i="1" s="1"/>
  <c r="AD225" i="1" s="1"/>
  <c r="CX205" i="1"/>
  <c r="CX207" i="1" s="1"/>
  <c r="CX211" i="1" s="1"/>
  <c r="CX225" i="1" s="1"/>
  <c r="CX78" i="1"/>
  <c r="CX131" i="1"/>
  <c r="CX132" i="1" l="1"/>
  <c r="AD131" i="1"/>
  <c r="AD132" i="1" s="1"/>
  <c r="CX81" i="1"/>
  <c r="CX97" i="1" l="1"/>
  <c r="CX90" i="1"/>
  <c r="CX91" i="1"/>
  <c r="CX82" i="1"/>
  <c r="AD219" i="1"/>
  <c r="AD217" i="1" s="1"/>
  <c r="AD222" i="1" s="1"/>
  <c r="AD141" i="1"/>
  <c r="AD67" i="1" s="1"/>
  <c r="AD187" i="1"/>
  <c r="AD66" i="1"/>
  <c r="CX141" i="1"/>
  <c r="CX67" i="1" s="1"/>
  <c r="CX219" i="1"/>
  <c r="CX217" i="1" s="1"/>
  <c r="CX222" i="1" s="1"/>
  <c r="CX104" i="1"/>
  <c r="CX106" i="1" s="1"/>
  <c r="CX66" i="1"/>
  <c r="CX172" i="1" l="1"/>
  <c r="CX120" i="1"/>
  <c r="CX94" i="1"/>
  <c r="AD91" i="1"/>
  <c r="CX119" i="1"/>
  <c r="CX93" i="1"/>
  <c r="AD90" i="1"/>
  <c r="AD172" i="1" l="1"/>
  <c r="AD173" i="1" s="1"/>
  <c r="CX173" i="1"/>
  <c r="AD94" i="1"/>
  <c r="AD93" i="1"/>
  <c r="CX260" i="1" l="1"/>
  <c r="CX177" i="1"/>
  <c r="CX178" i="1" s="1"/>
  <c r="CX258" i="1"/>
  <c r="CX180" i="1"/>
  <c r="CY221" i="1"/>
  <c r="CX256" i="1"/>
  <c r="CX223" i="1"/>
  <c r="AE221" i="1"/>
  <c r="AD180" i="1"/>
  <c r="AD121" i="1" s="1"/>
  <c r="AD177" i="1"/>
  <c r="AD178" i="1" s="1"/>
  <c r="AD258" i="1"/>
  <c r="AD260" i="1"/>
  <c r="AD256" i="1"/>
  <c r="AD223" i="1"/>
  <c r="CY48" i="1" l="1"/>
  <c r="CX121" i="1"/>
  <c r="CY264" i="1" l="1"/>
  <c r="CY50" i="1"/>
  <c r="CX123" i="1"/>
  <c r="CX126" i="1" s="1"/>
  <c r="CX122" i="1"/>
  <c r="CX125" i="1" s="1"/>
  <c r="CY51" i="1" l="1"/>
  <c r="CY53" i="1" s="1"/>
  <c r="CY55" i="1" l="1"/>
  <c r="CY54" i="1"/>
  <c r="CY257" i="1" s="1"/>
  <c r="CY56" i="1"/>
  <c r="CY60" i="1"/>
  <c r="CY246" i="1"/>
  <c r="CY239" i="1"/>
  <c r="CY205" i="1" l="1"/>
  <c r="CY207" i="1" s="1"/>
  <c r="CY211" i="1" s="1"/>
  <c r="CY225" i="1" s="1"/>
  <c r="CY78" i="1"/>
  <c r="CY131" i="1"/>
  <c r="CY81" i="1" l="1"/>
  <c r="CY132" i="1"/>
  <c r="CY219" i="1" l="1"/>
  <c r="CY217" i="1" s="1"/>
  <c r="CY222" i="1" s="1"/>
  <c r="CY104" i="1"/>
  <c r="CY106" i="1" s="1"/>
  <c r="CY141" i="1"/>
  <c r="CY67" i="1" s="1"/>
  <c r="CY66" i="1"/>
  <c r="CY97" i="1"/>
  <c r="CY90" i="1"/>
  <c r="CY91" i="1"/>
  <c r="CY82" i="1"/>
  <c r="CY120" i="1" l="1"/>
  <c r="CY94" i="1"/>
  <c r="CY119" i="1"/>
  <c r="CY93" i="1"/>
  <c r="CY172" i="1"/>
  <c r="CY173" i="1" s="1"/>
  <c r="CY177" i="1" l="1"/>
  <c r="CY178" i="1" s="1"/>
  <c r="CY180" i="1"/>
  <c r="CY260" i="1"/>
  <c r="CY258" i="1"/>
  <c r="CZ221" i="1"/>
  <c r="CY256" i="1"/>
  <c r="CY223" i="1"/>
  <c r="CY121" i="1" l="1"/>
  <c r="CZ48" i="1"/>
  <c r="CZ264" i="1" l="1"/>
  <c r="CZ50" i="1"/>
  <c r="CY123" i="1"/>
  <c r="CY126" i="1" s="1"/>
  <c r="CY122" i="1"/>
  <c r="CY125" i="1" s="1"/>
  <c r="CZ51" i="1" l="1"/>
  <c r="CZ53" i="1" s="1"/>
  <c r="CZ54" i="1" l="1"/>
  <c r="CZ257" i="1" s="1"/>
  <c r="CZ246" i="1"/>
  <c r="CZ60" i="1"/>
  <c r="CZ56" i="1"/>
  <c r="CZ55" i="1"/>
  <c r="CZ239" i="1"/>
  <c r="CZ78" i="1" l="1"/>
  <c r="CZ205" i="1"/>
  <c r="CZ207" i="1" s="1"/>
  <c r="CZ211" i="1" s="1"/>
  <c r="CZ225" i="1" s="1"/>
  <c r="CZ131" i="1"/>
  <c r="CZ132" i="1" l="1"/>
  <c r="CZ81" i="1"/>
  <c r="CZ97" i="1" l="1"/>
  <c r="CZ91" i="1"/>
  <c r="CZ90" i="1"/>
  <c r="CZ82" i="1"/>
  <c r="CZ141" i="1"/>
  <c r="CZ67" i="1" s="1"/>
  <c r="CZ219" i="1"/>
  <c r="CZ217" i="1" s="1"/>
  <c r="CZ222" i="1" s="1"/>
  <c r="CZ104" i="1"/>
  <c r="CZ106" i="1" s="1"/>
  <c r="CZ66" i="1"/>
  <c r="CZ119" i="1" l="1"/>
  <c r="CZ93" i="1"/>
  <c r="CZ172" i="1"/>
  <c r="CZ173" i="1" s="1"/>
  <c r="CZ223" i="1" s="1"/>
  <c r="CZ120" i="1"/>
  <c r="CZ94" i="1"/>
  <c r="CZ177" i="1" l="1"/>
  <c r="CZ178" i="1" s="1"/>
  <c r="CZ258" i="1"/>
  <c r="CZ180" i="1"/>
  <c r="CZ260" i="1"/>
  <c r="DA221" i="1"/>
  <c r="CZ256" i="1"/>
  <c r="DA48" i="1" l="1"/>
  <c r="CZ121" i="1"/>
  <c r="CZ123" i="1" l="1"/>
  <c r="CZ126" i="1" s="1"/>
  <c r="CZ122" i="1"/>
  <c r="CZ125" i="1" s="1"/>
  <c r="DA264" i="1"/>
  <c r="DA50" i="1"/>
  <c r="DA51" i="1" l="1"/>
  <c r="DA53" i="1" s="1"/>
  <c r="DA55" i="1" l="1"/>
  <c r="DA246" i="1"/>
  <c r="DA54" i="1"/>
  <c r="DA257" i="1" s="1"/>
  <c r="DA60" i="1"/>
  <c r="DA56" i="1"/>
  <c r="DA239" i="1"/>
  <c r="DA205" i="1" l="1"/>
  <c r="DA207" i="1" s="1"/>
  <c r="DA211" i="1" s="1"/>
  <c r="DA225" i="1" s="1"/>
  <c r="DA78" i="1"/>
  <c r="DA131" i="1"/>
  <c r="DA81" i="1" l="1"/>
  <c r="DA132" i="1"/>
  <c r="DA219" i="1" l="1"/>
  <c r="DA217" i="1" s="1"/>
  <c r="DA222" i="1" s="1"/>
  <c r="DA141" i="1"/>
  <c r="DA67" i="1" s="1"/>
  <c r="DA104" i="1"/>
  <c r="DA106" i="1" s="1"/>
  <c r="DA66" i="1"/>
  <c r="DA97" i="1"/>
  <c r="DA90" i="1"/>
  <c r="DA91" i="1"/>
  <c r="DA82" i="1"/>
  <c r="DA120" i="1" l="1"/>
  <c r="DA94" i="1"/>
  <c r="DA93" i="1"/>
  <c r="DA119" i="1"/>
  <c r="DA172" i="1"/>
  <c r="DA173" i="1" s="1"/>
  <c r="DA177" i="1" l="1"/>
  <c r="DA178" i="1" s="1"/>
  <c r="DA180" i="1"/>
  <c r="DB221" i="1"/>
  <c r="DA258" i="1"/>
  <c r="DA260" i="1"/>
  <c r="DA256" i="1"/>
  <c r="DA223" i="1"/>
  <c r="DA121" i="1" l="1"/>
  <c r="DB48" i="1"/>
  <c r="DB264" i="1" l="1"/>
  <c r="DB50" i="1"/>
  <c r="AE48" i="1"/>
  <c r="DA122" i="1"/>
  <c r="DA125" i="1" s="1"/>
  <c r="DA123" i="1"/>
  <c r="DA126" i="1" s="1"/>
  <c r="AE264" i="1" l="1"/>
  <c r="AE49" i="1"/>
  <c r="AE50" i="1"/>
  <c r="DB51" i="1"/>
  <c r="AE51" i="1" s="1"/>
  <c r="AE52" i="1" l="1"/>
  <c r="DB53" i="1"/>
  <c r="DB54" i="1" s="1"/>
  <c r="DB257" i="1" s="1"/>
  <c r="AE53" i="1"/>
  <c r="DB239" i="1"/>
  <c r="DB55" i="1" l="1"/>
  <c r="DB60" i="1"/>
  <c r="DB56" i="1"/>
  <c r="DB246" i="1"/>
  <c r="AE54" i="1"/>
  <c r="AE257" i="1" s="1"/>
  <c r="AE73" i="1"/>
  <c r="AE60" i="1"/>
  <c r="AE55" i="1"/>
  <c r="DB205" i="1" l="1"/>
  <c r="DB207" i="1" s="1"/>
  <c r="DB211" i="1" s="1"/>
  <c r="DB225" i="1" s="1"/>
  <c r="DB131" i="1"/>
  <c r="DB78" i="1"/>
  <c r="DB81" i="1" s="1"/>
  <c r="DB82" i="1" s="1"/>
  <c r="AE63" i="1"/>
  <c r="AE64" i="1" s="1"/>
  <c r="AE205" i="1"/>
  <c r="AE207" i="1" s="1"/>
  <c r="AE211" i="1" s="1"/>
  <c r="AE225" i="1" s="1"/>
  <c r="DB132" i="1" l="1"/>
  <c r="AE131" i="1"/>
  <c r="AE132" i="1" s="1"/>
  <c r="AE187" i="1" s="1"/>
  <c r="DB97" i="1"/>
  <c r="DB91" i="1"/>
  <c r="AE91" i="1" s="1"/>
  <c r="DB90" i="1"/>
  <c r="AE90" i="1"/>
  <c r="DB219" i="1"/>
  <c r="DB217" i="1" s="1"/>
  <c r="DB222" i="1" s="1"/>
  <c r="AE66" i="1" l="1"/>
  <c r="AE219" i="1"/>
  <c r="AE217" i="1" s="1"/>
  <c r="AE222" i="1" s="1"/>
  <c r="AE141" i="1"/>
  <c r="AE67" i="1" s="1"/>
  <c r="DB141" i="1"/>
  <c r="DB67" i="1" s="1"/>
  <c r="DB104" i="1"/>
  <c r="DB106" i="1" s="1"/>
  <c r="DB66" i="1"/>
  <c r="DB120" i="1"/>
  <c r="DB94" i="1"/>
  <c r="DB93" i="1"/>
  <c r="DB119" i="1"/>
  <c r="AE93" i="1"/>
  <c r="DB172" i="1"/>
  <c r="AE94" i="1"/>
  <c r="AE172" i="1" l="1"/>
  <c r="AE173" i="1" s="1"/>
  <c r="DB173" i="1"/>
  <c r="DB180" i="1" l="1"/>
  <c r="DB121" i="1" s="1"/>
  <c r="DB177" i="1"/>
  <c r="DB178" i="1" s="1"/>
  <c r="DB258" i="1"/>
  <c r="DB260" i="1"/>
  <c r="DB256" i="1"/>
  <c r="DB223" i="1"/>
  <c r="AE177" i="1"/>
  <c r="AE178" i="1" s="1"/>
  <c r="AE180" i="1"/>
  <c r="AE121" i="1" s="1"/>
  <c r="AE260" i="1"/>
  <c r="AE258" i="1"/>
  <c r="AE256" i="1"/>
  <c r="AE223" i="1"/>
  <c r="DB122" i="1" l="1"/>
  <c r="DB125" i="1" s="1"/>
  <c r="DB123" i="1"/>
  <c r="DB126" i="1" s="1"/>
  <c r="AA75" i="1" l="1"/>
  <c r="AB75" i="1"/>
  <c r="Z75" i="1"/>
  <c r="Y75" i="1"/>
  <c r="X75" i="1"/>
  <c r="W75" i="1"/>
  <c r="V75" i="1"/>
  <c r="U75" i="1"/>
  <c r="T75" i="1"/>
  <c r="S75" i="1"/>
  <c r="R75" i="1"/>
  <c r="Q75" i="1"/>
  <c r="Q77" i="1"/>
  <c r="Q104" i="1"/>
  <c r="Q107" i="1"/>
  <c r="V77" i="1"/>
  <c r="V119" i="1"/>
  <c r="V122" i="1"/>
  <c r="P75" i="1"/>
  <c r="O75" i="1"/>
  <c r="N75" i="1"/>
  <c r="M75" i="1"/>
  <c r="L75" i="1"/>
  <c r="L77" i="1"/>
  <c r="L119" i="1"/>
  <c r="L122" i="1"/>
  <c r="O77" i="1"/>
  <c r="O104" i="1"/>
  <c r="O107" i="1"/>
  <c r="AC75" i="1"/>
  <c r="AC77" i="1"/>
  <c r="AC119" i="1"/>
  <c r="AC122" i="1"/>
  <c r="AC125" i="1"/>
  <c r="M77" i="1"/>
  <c r="M120" i="1"/>
  <c r="M123" i="1"/>
  <c r="M126" i="1"/>
  <c r="N77" i="1"/>
  <c r="N104" i="1"/>
  <c r="N107" i="1"/>
  <c r="AB77" i="1"/>
  <c r="AB120" i="1"/>
  <c r="AB123" i="1"/>
  <c r="AB126" i="1"/>
  <c r="O111" i="1"/>
  <c r="O114" i="1"/>
  <c r="W77" i="1"/>
  <c r="W111" i="1"/>
  <c r="W114" i="1"/>
  <c r="K75" i="1"/>
  <c r="J75" i="1"/>
  <c r="I75" i="1"/>
  <c r="I77" i="1"/>
  <c r="I111" i="1"/>
  <c r="I116" i="1"/>
  <c r="N119" i="1"/>
  <c r="N122" i="1"/>
  <c r="W78" i="1"/>
  <c r="W81" i="1"/>
  <c r="O78" i="1"/>
  <c r="O81" i="1"/>
  <c r="N101" i="1"/>
  <c r="J77" i="1"/>
  <c r="J120" i="1"/>
  <c r="J123" i="1"/>
  <c r="J126" i="1"/>
  <c r="P77" i="1"/>
  <c r="P104" i="1"/>
  <c r="P106" i="1"/>
  <c r="O108" i="1"/>
  <c r="O82" i="1"/>
  <c r="H75" i="1"/>
  <c r="G75" i="1"/>
  <c r="F75" i="1"/>
  <c r="E75" i="1"/>
  <c r="E77" i="1"/>
  <c r="E119" i="1"/>
  <c r="E122" i="1"/>
  <c r="W99" i="1"/>
  <c r="E120" i="1"/>
  <c r="E123" i="1"/>
  <c r="Q119" i="1"/>
  <c r="Q122" i="1"/>
  <c r="J111" i="1"/>
  <c r="J115" i="1"/>
  <c r="M111" i="1"/>
  <c r="M115" i="1"/>
  <c r="I104" i="1"/>
  <c r="O115" i="1"/>
  <c r="I106" i="1"/>
  <c r="S77" i="1"/>
  <c r="S78" i="1"/>
  <c r="S80" i="1"/>
  <c r="V104" i="1"/>
  <c r="V106" i="1"/>
  <c r="Q108" i="1"/>
  <c r="I119" i="1"/>
  <c r="I122" i="1"/>
  <c r="Q78" i="1"/>
  <c r="Q81" i="1"/>
  <c r="Q82" i="1"/>
  <c r="W97" i="1"/>
  <c r="V125" i="1"/>
  <c r="V108" i="1"/>
  <c r="O106" i="1"/>
  <c r="N111" i="1"/>
  <c r="N116" i="1"/>
  <c r="H77" i="1"/>
  <c r="H119" i="1"/>
  <c r="H122" i="1"/>
  <c r="Q120" i="1"/>
  <c r="Q123" i="1"/>
  <c r="E78" i="1"/>
  <c r="E81" i="1"/>
  <c r="D101" i="1"/>
  <c r="E82" i="1"/>
  <c r="AD75" i="1"/>
  <c r="AE75" i="1"/>
  <c r="AE77" i="1"/>
  <c r="AE111" i="1"/>
  <c r="AE115" i="1"/>
  <c r="I78" i="1"/>
  <c r="I81" i="1"/>
  <c r="I99" i="1"/>
  <c r="H101" i="1"/>
  <c r="AE114" i="1"/>
  <c r="I98" i="1"/>
  <c r="J114" i="1"/>
  <c r="T77" i="1"/>
  <c r="T119" i="1"/>
  <c r="T122" i="1"/>
  <c r="T125" i="1"/>
  <c r="T78" i="1"/>
  <c r="T80" i="1"/>
  <c r="W82" i="1"/>
  <c r="AB78" i="1"/>
  <c r="AB81" i="1"/>
  <c r="V120" i="1"/>
  <c r="V123" i="1"/>
  <c r="S81" i="1"/>
  <c r="AE116" i="1"/>
  <c r="S120" i="1"/>
  <c r="S123" i="1"/>
  <c r="S126" i="1"/>
  <c r="G77" i="1"/>
  <c r="G120" i="1"/>
  <c r="G123" i="1"/>
  <c r="G126" i="1"/>
  <c r="AE119" i="1"/>
  <c r="AE122" i="1"/>
  <c r="E125" i="1"/>
  <c r="AD77" i="1"/>
  <c r="AD119" i="1"/>
  <c r="AD122" i="1"/>
  <c r="AD125" i="1"/>
  <c r="N115" i="1"/>
  <c r="AD111" i="1"/>
  <c r="AD114" i="1"/>
  <c r="T104" i="1"/>
  <c r="T108" i="1"/>
  <c r="I97" i="1"/>
  <c r="X77" i="1"/>
  <c r="X120" i="1"/>
  <c r="X123" i="1"/>
  <c r="E126" i="1"/>
  <c r="Q97" i="1"/>
  <c r="AE104" i="1"/>
  <c r="AE106" i="1"/>
  <c r="W80" i="1"/>
  <c r="Q98" i="1"/>
  <c r="AD78" i="1"/>
  <c r="AD81" i="1"/>
  <c r="AC101" i="1"/>
  <c r="Y77" i="1"/>
  <c r="Y78" i="1"/>
  <c r="Y81" i="1"/>
  <c r="X101" i="1"/>
  <c r="U77" i="1"/>
  <c r="U104" i="1"/>
  <c r="U106" i="1"/>
  <c r="V107" i="1"/>
  <c r="P120" i="1"/>
  <c r="P123" i="1"/>
  <c r="P126" i="1"/>
  <c r="Q99" i="1"/>
  <c r="I114" i="1"/>
  <c r="F77" i="1"/>
  <c r="F78" i="1"/>
  <c r="F81" i="1"/>
  <c r="E101" i="1"/>
  <c r="W104" i="1"/>
  <c r="W107" i="1"/>
  <c r="L125" i="1"/>
  <c r="N108" i="1"/>
  <c r="N78" i="1"/>
  <c r="N81" i="1"/>
  <c r="M101" i="1"/>
  <c r="AB97" i="1"/>
  <c r="S98" i="1"/>
  <c r="N82" i="1"/>
  <c r="W98" i="1"/>
  <c r="AD98" i="1"/>
  <c r="V126" i="1"/>
  <c r="AB80" i="1"/>
  <c r="AB82" i="1"/>
  <c r="N99" i="1"/>
  <c r="N120" i="1"/>
  <c r="N123" i="1"/>
  <c r="N126" i="1"/>
  <c r="M116" i="1"/>
  <c r="N98" i="1"/>
  <c r="AE120" i="1"/>
  <c r="AE123" i="1"/>
  <c r="AE126" i="1"/>
  <c r="F98" i="1"/>
  <c r="AD82" i="1"/>
  <c r="R77" i="1"/>
  <c r="R120" i="1"/>
  <c r="R123" i="1"/>
  <c r="R126" i="1"/>
  <c r="AD99" i="1"/>
  <c r="I115" i="1"/>
  <c r="Y98" i="1"/>
  <c r="O97" i="1"/>
  <c r="W120" i="1"/>
  <c r="W123" i="1"/>
  <c r="I108" i="1"/>
  <c r="R119" i="1"/>
  <c r="R122" i="1"/>
  <c r="J104" i="1"/>
  <c r="J107" i="1"/>
  <c r="Y104" i="1"/>
  <c r="Y108" i="1"/>
  <c r="U120" i="1"/>
  <c r="U123" i="1"/>
  <c r="P101" i="1"/>
  <c r="P111" i="1"/>
  <c r="P115" i="1"/>
  <c r="N106" i="1"/>
  <c r="Y99" i="1"/>
  <c r="F82" i="1"/>
  <c r="AA101" i="1"/>
  <c r="E98" i="1"/>
  <c r="K77" i="1"/>
  <c r="K120" i="1"/>
  <c r="K123" i="1"/>
  <c r="S99" i="1"/>
  <c r="J108" i="1"/>
  <c r="O119" i="1"/>
  <c r="O122" i="1"/>
  <c r="O125" i="1"/>
  <c r="O99" i="1"/>
  <c r="J116" i="1"/>
  <c r="W115" i="1"/>
  <c r="E97" i="1"/>
  <c r="Y97" i="1"/>
  <c r="M119" i="1"/>
  <c r="M122" i="1"/>
  <c r="M125" i="1"/>
  <c r="I80" i="1"/>
  <c r="AE107" i="1"/>
  <c r="N97" i="1"/>
  <c r="F97" i="1"/>
  <c r="Q106" i="1"/>
  <c r="W116" i="1"/>
  <c r="AB98" i="1"/>
  <c r="H111" i="1"/>
  <c r="H115" i="1"/>
  <c r="P114" i="1"/>
  <c r="U107" i="1"/>
  <c r="H116" i="1"/>
  <c r="M104" i="1"/>
  <c r="M108" i="1"/>
  <c r="AD97" i="1"/>
  <c r="H114" i="1"/>
  <c r="AE108" i="1"/>
  <c r="Q125" i="1"/>
  <c r="X126" i="1"/>
  <c r="P119" i="1"/>
  <c r="P122" i="1"/>
  <c r="P125" i="1"/>
  <c r="I82" i="1"/>
  <c r="V78" i="1"/>
  <c r="V81" i="1"/>
  <c r="V97" i="1"/>
  <c r="AB99" i="1"/>
  <c r="V99" i="1"/>
  <c r="U101" i="1"/>
  <c r="P78" i="1"/>
  <c r="P81" i="1"/>
  <c r="P97" i="1"/>
  <c r="K126" i="1"/>
  <c r="V98" i="1"/>
  <c r="V82" i="1"/>
  <c r="T81" i="1"/>
  <c r="N80" i="1"/>
  <c r="I120" i="1"/>
  <c r="I123" i="1"/>
  <c r="P107" i="1"/>
  <c r="S97" i="1"/>
  <c r="R101" i="1"/>
  <c r="P116" i="1"/>
  <c r="P108" i="1"/>
  <c r="O120" i="1"/>
  <c r="O123" i="1"/>
  <c r="T106" i="1"/>
  <c r="L111" i="1"/>
  <c r="L114" i="1"/>
  <c r="N125" i="1"/>
  <c r="W126" i="1"/>
  <c r="E99" i="1"/>
  <c r="AE125" i="1"/>
  <c r="AD115" i="1"/>
  <c r="M106" i="1"/>
  <c r="I107" i="1"/>
  <c r="M107" i="1"/>
  <c r="O116" i="1"/>
  <c r="O80" i="1"/>
  <c r="F111" i="1"/>
  <c r="F115" i="1"/>
  <c r="F116" i="1"/>
  <c r="M114" i="1"/>
  <c r="O126" i="1"/>
  <c r="W108" i="1"/>
  <c r="T98" i="1"/>
  <c r="V101" i="1"/>
  <c r="I125" i="1"/>
  <c r="F114" i="1"/>
  <c r="L120" i="1"/>
  <c r="L123" i="1"/>
  <c r="L126" i="1"/>
  <c r="T107" i="1"/>
  <c r="AD116" i="1"/>
  <c r="O98" i="1"/>
  <c r="S82" i="1"/>
  <c r="S101" i="1"/>
  <c r="T97" i="1"/>
  <c r="I126" i="1"/>
  <c r="T99" i="1"/>
  <c r="J119" i="1"/>
  <c r="J122" i="1"/>
  <c r="H125" i="1"/>
  <c r="H120" i="1"/>
  <c r="H123" i="1"/>
  <c r="F119" i="1"/>
  <c r="F122" i="1"/>
  <c r="U108" i="1"/>
  <c r="J106" i="1"/>
  <c r="R104" i="1"/>
  <c r="R106" i="1"/>
  <c r="S104" i="1"/>
  <c r="S107" i="1"/>
  <c r="L115" i="1"/>
  <c r="W106" i="1"/>
  <c r="T120" i="1"/>
  <c r="T123" i="1"/>
  <c r="T126" i="1"/>
  <c r="F125" i="1"/>
  <c r="Y107" i="1"/>
  <c r="Y106" i="1"/>
  <c r="H104" i="1"/>
  <c r="H108" i="1"/>
  <c r="H126" i="1"/>
  <c r="R125" i="1"/>
  <c r="U126" i="1"/>
  <c r="H107" i="1"/>
  <c r="N114" i="1"/>
  <c r="S106" i="1"/>
  <c r="F120" i="1"/>
  <c r="F123" i="1"/>
  <c r="F126" i="1"/>
  <c r="S108" i="1"/>
  <c r="R107" i="1"/>
  <c r="AC111" i="1"/>
  <c r="AC114" i="1"/>
  <c r="AC116" i="1"/>
  <c r="L116" i="1"/>
  <c r="R108" i="1"/>
  <c r="AC115" i="1"/>
  <c r="V80" i="1"/>
  <c r="AD80" i="1"/>
  <c r="H106" i="1"/>
  <c r="T82" i="1"/>
  <c r="J125" i="1"/>
  <c r="AB119" i="1"/>
  <c r="AB122" i="1"/>
  <c r="AB125" i="1"/>
  <c r="O101" i="1"/>
  <c r="W119" i="1"/>
  <c r="W122" i="1"/>
  <c r="Y82" i="1"/>
  <c r="AE78" i="1"/>
  <c r="AE81" i="1"/>
  <c r="AE82" i="1"/>
  <c r="AE98" i="1"/>
  <c r="F99" i="1"/>
  <c r="Q126" i="1"/>
  <c r="S119" i="1"/>
  <c r="S122" i="1"/>
  <c r="S125" i="1"/>
  <c r="AD101" i="1"/>
  <c r="Y80" i="1"/>
  <c r="AE99" i="1"/>
  <c r="P99" i="1"/>
  <c r="P82" i="1"/>
  <c r="W125" i="1"/>
  <c r="P98" i="1"/>
  <c r="AE97" i="1"/>
  <c r="AA77" i="1"/>
  <c r="AA78" i="1"/>
  <c r="AA81" i="1"/>
  <c r="AA82" i="1"/>
  <c r="AA120" i="1"/>
  <c r="AA123" i="1"/>
  <c r="AA126" i="1"/>
  <c r="AA119" i="1"/>
  <c r="AA122" i="1"/>
  <c r="AA99" i="1"/>
  <c r="AA125" i="1"/>
  <c r="AA98" i="1"/>
  <c r="AA97" i="1"/>
  <c r="AA104" i="1"/>
  <c r="AA111" i="1"/>
  <c r="AA108" i="1"/>
  <c r="AA106" i="1"/>
  <c r="AA107" i="1"/>
  <c r="AA116" i="1"/>
  <c r="AA114" i="1"/>
  <c r="AA115" i="1"/>
  <c r="AA80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AC76" i="1"/>
  <c r="AD76" i="1"/>
  <c r="AE76" i="1"/>
  <c r="Z77" i="1"/>
  <c r="Z120" i="1"/>
  <c r="Z123" i="1"/>
  <c r="Z126" i="1"/>
  <c r="Z111" i="1"/>
  <c r="Z119" i="1"/>
  <c r="Z122" i="1"/>
  <c r="Z125" i="1"/>
  <c r="Z104" i="1"/>
  <c r="Z78" i="1"/>
  <c r="Z80" i="1"/>
  <c r="Z81" i="1"/>
  <c r="Z108" i="1"/>
  <c r="Z106" i="1"/>
  <c r="Z107" i="1"/>
  <c r="Z116" i="1"/>
  <c r="Z114" i="1"/>
  <c r="Z115" i="1"/>
  <c r="Y120" i="1"/>
  <c r="Y123" i="1"/>
  <c r="Y126" i="1"/>
  <c r="Y119" i="1"/>
  <c r="Y122" i="1"/>
  <c r="X78" i="1"/>
  <c r="AD120" i="1"/>
  <c r="Y125" i="1"/>
  <c r="X111" i="1"/>
  <c r="AD104" i="1"/>
  <c r="E111" i="1"/>
  <c r="E115" i="1"/>
  <c r="U111" i="1"/>
  <c r="U116" i="1"/>
  <c r="U115" i="1"/>
  <c r="AC120" i="1"/>
  <c r="AC123" i="1"/>
  <c r="K119" i="1"/>
  <c r="K122" i="1"/>
  <c r="K125" i="1"/>
  <c r="G104" i="1"/>
  <c r="G108" i="1"/>
  <c r="X104" i="1"/>
  <c r="K104" i="1"/>
  <c r="K108" i="1"/>
  <c r="G119" i="1"/>
  <c r="G122" i="1"/>
  <c r="G125" i="1"/>
  <c r="Z99" i="1"/>
  <c r="X81" i="1"/>
  <c r="AD123" i="1"/>
  <c r="X114" i="1"/>
  <c r="H78" i="1"/>
  <c r="H81" i="1"/>
  <c r="H99" i="1"/>
  <c r="X116" i="1"/>
  <c r="G101" i="1"/>
  <c r="F104" i="1"/>
  <c r="E104" i="1"/>
  <c r="E106" i="1"/>
  <c r="X119" i="1"/>
  <c r="Y111" i="1"/>
  <c r="Q111" i="1"/>
  <c r="R111" i="1"/>
  <c r="V111" i="1"/>
  <c r="R78" i="1"/>
  <c r="R81" i="1"/>
  <c r="S111" i="1"/>
  <c r="L78" i="1"/>
  <c r="L81" i="1"/>
  <c r="L98" i="1"/>
  <c r="U78" i="1"/>
  <c r="U81" i="1"/>
  <c r="U98" i="1"/>
  <c r="G111" i="1"/>
  <c r="G114" i="1"/>
  <c r="L82" i="1"/>
  <c r="J78" i="1"/>
  <c r="J81" i="1"/>
  <c r="J97" i="1"/>
  <c r="Q80" i="1"/>
  <c r="G78" i="1"/>
  <c r="G81" i="1"/>
  <c r="G97" i="1"/>
  <c r="S115" i="1"/>
  <c r="AC78" i="1"/>
  <c r="AC81" i="1"/>
  <c r="AC98" i="1"/>
  <c r="AC82" i="1"/>
  <c r="M78" i="1"/>
  <c r="M81" i="1"/>
  <c r="M82" i="1"/>
  <c r="AC104" i="1"/>
  <c r="Q115" i="1"/>
  <c r="R82" i="1"/>
  <c r="X122" i="1"/>
  <c r="AB111" i="1"/>
  <c r="AB104" i="1"/>
  <c r="Q116" i="1"/>
  <c r="K78" i="1"/>
  <c r="R80" i="1"/>
  <c r="AC107" i="1"/>
  <c r="G98" i="1"/>
  <c r="U99" i="1"/>
  <c r="K81" i="1"/>
  <c r="J101" i="1"/>
  <c r="U119" i="1"/>
  <c r="U122" i="1"/>
  <c r="U125" i="1"/>
  <c r="K111" i="1"/>
  <c r="X106" i="1"/>
  <c r="L104" i="1"/>
  <c r="Y115" i="1"/>
  <c r="L80" i="1"/>
  <c r="T111" i="1"/>
  <c r="J80" i="1"/>
  <c r="X80" i="1"/>
  <c r="J98" i="1"/>
  <c r="H82" i="1"/>
  <c r="F107" i="1"/>
  <c r="H97" i="1"/>
  <c r="L107" i="1"/>
  <c r="R99" i="1"/>
  <c r="AB106" i="1"/>
  <c r="AD107" i="1"/>
  <c r="H98" i="1"/>
  <c r="T115" i="1"/>
  <c r="M99" i="1"/>
  <c r="AC80" i="1"/>
  <c r="AE80" i="1"/>
  <c r="M98" i="1"/>
  <c r="R114" i="1"/>
  <c r="K98" i="1"/>
  <c r="E80" i="1"/>
  <c r="AD126" i="1"/>
  <c r="K97" i="1"/>
  <c r="G99" i="1"/>
  <c r="F80" i="1"/>
  <c r="AB114" i="1"/>
  <c r="T101" i="1"/>
  <c r="AC106" i="1"/>
  <c r="X115" i="1"/>
  <c r="I101" i="1"/>
  <c r="E107" i="1"/>
  <c r="Z98" i="1"/>
  <c r="S114" i="1"/>
  <c r="K106" i="1"/>
  <c r="K82" i="1"/>
  <c r="G80" i="1"/>
  <c r="E114" i="1"/>
  <c r="AD106" i="1"/>
  <c r="J99" i="1"/>
  <c r="S116" i="1"/>
  <c r="Z101" i="1"/>
  <c r="M80" i="1"/>
  <c r="X97" i="1"/>
  <c r="Z97" i="1"/>
  <c r="U97" i="1"/>
  <c r="AB115" i="1"/>
  <c r="T116" i="1"/>
  <c r="Q114" i="1"/>
  <c r="X107" i="1"/>
  <c r="AC99" i="1"/>
  <c r="U82" i="1"/>
  <c r="K107" i="1"/>
  <c r="Z82" i="1"/>
  <c r="X108" i="1"/>
  <c r="L97" i="1"/>
  <c r="G115" i="1"/>
  <c r="K114" i="1"/>
  <c r="AB107" i="1"/>
  <c r="U80" i="1"/>
  <c r="M97" i="1"/>
  <c r="L99" i="1"/>
  <c r="G116" i="1"/>
  <c r="W101" i="1"/>
  <c r="K99" i="1"/>
  <c r="X99" i="1"/>
  <c r="X82" i="1"/>
  <c r="AB116" i="1"/>
  <c r="Y101" i="1"/>
  <c r="K101" i="1"/>
  <c r="L101" i="1"/>
  <c r="AB108" i="1"/>
  <c r="J82" i="1"/>
  <c r="R116" i="1"/>
  <c r="F106" i="1"/>
  <c r="K80" i="1"/>
  <c r="G82" i="1"/>
  <c r="E116" i="1"/>
  <c r="V116" i="1"/>
  <c r="L106" i="1"/>
  <c r="AB101" i="1"/>
  <c r="AC97" i="1"/>
  <c r="L108" i="1"/>
  <c r="Q101" i="1"/>
  <c r="R115" i="1"/>
  <c r="U114" i="1"/>
  <c r="K116" i="1"/>
  <c r="R97" i="1"/>
  <c r="E108" i="1"/>
  <c r="X125" i="1"/>
  <c r="K115" i="1"/>
  <c r="H80" i="1"/>
  <c r="AD108" i="1"/>
  <c r="P80" i="1"/>
  <c r="G106" i="1"/>
  <c r="T114" i="1"/>
  <c r="V114" i="1"/>
  <c r="Y116" i="1"/>
  <c r="F108" i="1"/>
  <c r="R98" i="1"/>
  <c r="V115" i="1"/>
  <c r="AC126" i="1"/>
  <c r="F101" i="1"/>
  <c r="Y114" i="1"/>
  <c r="AC108" i="1"/>
  <c r="G107" i="1"/>
  <c r="X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<sst xmlns="http://schemas.openxmlformats.org/spreadsheetml/2006/main" count="673" uniqueCount="534">
  <si>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</si>
  <si>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</si>
  <si>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</si>
  <si>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</si>
  <si>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</si>
  <si>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</si>
  <si>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</si>
  <si>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</si>
  <si>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</si>
  <si>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</si>
  <si>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</si>
  <si>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</si>
  <si>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</si>
  <si>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</si>
  <si>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</si>
  <si>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</si>
  <si>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</si>
  <si>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</si>
  <si>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</si>
  <si>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</si>
  <si>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</si>
  <si>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</si>
  <si>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</si>
  <si>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</si>
  <si>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</si>
  <si>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</si>
  <si>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</si>
  <si>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</si>
  <si>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</si>
  <si>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</si>
  <si>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</si>
  <si>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</si>
  <si>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</si>
  <si>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</si>
  <si>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</si>
  <si>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</si>
  <si>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</si>
  <si>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</si>
  <si>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</si>
  <si>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</si>
  <si>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</si>
  <si>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</si>
  <si>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</si>
  <si>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</si>
  <si>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</si>
  <si>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</si>
  <si>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</si>
  <si>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</si>
  <si>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</si>
  <si>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</si>
  <si>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</si>
  <si>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</si>
  <si>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</si>
  <si>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</si>
  <si>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</si>
  <si>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</si>
  <si>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</si>
  <si>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</si>
  <si>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</si>
  <si>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</si>
  <si>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</si>
  <si>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</si>
  <si>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</si>
  <si>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</si>
  <si>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</si>
  <si>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</si>
  <si>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</si>
  <si>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</si>
  <si>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</si>
  <si>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</si>
  <si>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</si>
  <si>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</si>
  <si>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</si>
  <si>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</si>
  <si>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</si>
  <si>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</si>
  <si>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</si>
  <si>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</si>
  <si>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</si>
  <si>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</si>
  <si>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</si>
  <si>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</si>
  <si>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</si>
  <si>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</si>
  <si>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</si>
  <si>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</si>
  <si>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</si>
  <si>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</si>
  <si>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</si>
  <si>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</si>
  <si>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</si>
  <si>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</si>
  <si>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</si>
  <si>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</si>
  <si>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</si>
  <si>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</si>
  <si>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</si>
  <si>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</si>
  <si>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</si>
  <si>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</si>
  <si>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</si>
  <si>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</si>
  <si>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</si>
  <si>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</si>
  <si>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</si>
  <si>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</si>
  <si>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</si>
  <si>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</si>
  <si>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</si>
  <si>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</si>
  <si>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</si>
  <si>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</si>
  <si>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</si>
  <si>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</si>
  <si>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</si>
  <si>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</si>
  <si>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</si>
  <si>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</si>
  <si>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</si>
  <si>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</si>
  <si>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</si>
  <si>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</si>
  <si>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</si>
  <si>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</si>
  <si>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</si>
  <si>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</si>
  <si>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</si>
  <si>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</si>
  <si>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</si>
  <si>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</si>
  <si>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</si>
  <si>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</si>
  <si>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</si>
  <si>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</si>
  <si>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</si>
  <si>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</si>
  <si>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</si>
  <si>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</si>
  <si>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</si>
  <si>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</si>
  <si>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</si>
  <si>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</si>
  <si>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</si>
  <si>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</si>
  <si>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</si>
  <si>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</si>
  <si>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</si>
  <si>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</si>
  <si>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</si>
  <si>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</si>
  <si>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</si>
  <si>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</si>
  <si>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</si>
  <si>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</si>
  <si>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</si>
  <si>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</si>
  <si>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</si>
  <si>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</si>
  <si>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</si>
  <si>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</si>
  <si>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</si>
  <si>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</si>
  <si>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</si>
  <si>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</si>
  <si>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</si>
  <si>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</si>
  <si>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</si>
  <si>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</si>
  <si>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</si>
  <si>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</si>
  <si>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</si>
  <si>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</si>
  <si>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</si>
  <si>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</si>
  <si>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</si>
  <si>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</si>
  <si>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</si>
  <si>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</si>
  <si>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</si>
  <si>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</si>
  <si>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</si>
  <si>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</si>
  <si>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</si>
  <si>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</si>
  <si>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</si>
  <si>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</si>
  <si>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</si>
  <si>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</si>
  <si>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</si>
  <si>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</si>
  <si>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</si>
  <si>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</si>
  <si>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</si>
  <si>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</si>
  <si>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</si>
  <si>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</si>
  <si>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</si>
  <si>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</si>
  <si>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</si>
  <si>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</si>
  <si>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</si>
  <si>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</si>
  <si>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</si>
  <si>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</si>
  <si>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</si>
  <si>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</si>
  <si>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</si>
  <si>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</si>
  <si>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</si>
  <si>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</si>
  <si>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</si>
  <si>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</si>
  <si>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</si>
  <si>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</si>
  <si>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</si>
  <si>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</si>
  <si>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</si>
  <si>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</si>
  <si>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</si>
  <si>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</si>
  <si>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</si>
  <si>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</si>
  <si>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</si>
  <si>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</si>
  <si>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</si>
  <si>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</si>
  <si>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</si>
  <si>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</si>
  <si>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</si>
  <si>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</si>
  <si>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</si>
  <si>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</si>
  <si>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</si>
  <si>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</si>
  <si>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</si>
  <si>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</si>
  <si>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</si>
  <si>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</si>
  <si>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</si>
  <si>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</si>
  <si>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</si>
  <si>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</si>
  <si>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</si>
  <si>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</si>
  <si>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</si>
  <si>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</si>
  <si>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</si>
  <si>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</si>
  <si>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</si>
  <si>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</si>
  <si>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</si>
  <si>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</si>
  <si>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</si>
  <si>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</si>
  <si>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</si>
  <si>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</si>
  <si>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</si>
  <si>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</si>
  <si>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</si>
  <si>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</si>
  <si>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</si>
  <si>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</si>
  <si>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</si>
  <si>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</si>
  <si>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</si>
  <si>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</si>
  <si>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</si>
  <si>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</si>
  <si>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</si>
  <si>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</si>
  <si>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</si>
  <si>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</si>
  <si>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</si>
  <si>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</si>
  <si>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</si>
  <si>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</si>
  <si>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</si>
  <si>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</si>
  <si>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</si>
  <si>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</si>
  <si>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</si>
  <si>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</si>
  <si>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</si>
  <si>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</si>
  <si>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</si>
  <si>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</si>
  <si>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</si>
  <si>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</si>
  <si>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</si>
  <si>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</si>
  <si>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</si>
  <si>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</si>
  <si>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</si>
  <si>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</si>
  <si>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</si>
  <si>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</si>
  <si>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</si>
  <si>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</si>
  <si>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</si>
  <si>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</si>
  <si>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</si>
  <si>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</si>
  <si>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</si>
  <si>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</si>
  <si>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</si>
  <si>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</si>
  <si>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</si>
  <si>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</si>
  <si>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</si>
  <si>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</si>
  <si>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</si>
  <si>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</si>
  <si>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</si>
  <si>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</si>
  <si>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</si>
  <si>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</si>
  <si>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</si>
  <si>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</si>
  <si>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</si>
  <si>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</si>
  <si>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</si>
  <si>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</si>
  <si>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</si>
  <si>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</si>
  <si>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</si>
  <si>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</si>
  <si>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</si>
  <si>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</si>
  <si>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</si>
  <si>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</si>
  <si>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</si>
  <si>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</si>
  <si>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</si>
  <si>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</si>
  <si>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</si>
  <si>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</si>
  <si>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</si>
  <si>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</si>
  <si>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</si>
  <si>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</si>
  <si>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</si>
  <si>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</si>
  <si>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</si>
  <si>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</si>
  <si>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</si>
  <si>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</si>
  <si>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</si>
  <si>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</si>
  <si>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</si>
  <si>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</si>
  <si>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</si>
  <si>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</si>
  <si>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</si>
  <si>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</si>
  <si>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</si>
  <si>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</si>
  <si>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</si>
  <si>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</si>
  <si>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</si>
  <si>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</si>
  <si>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</si>
  <si>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</si>
  <si>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</si>
  <si>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</si>
  <si>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</si>
  <si>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</si>
  <si>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</si>
  <si>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</si>
  <si>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</si>
  <si>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</si>
  <si>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</si>
  <si>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</si>
  <si>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</si>
  <si>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</si>
  <si>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</si>
  <si>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</si>
  <si>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</si>
  <si>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</si>
  <si>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</si>
  <si>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</si>
  <si>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</si>
  <si>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</si>
  <si>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</si>
  <si>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</si>
  <si>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</si>
  <si>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</si>
  <si>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</si>
  <si>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</si>
  <si>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</si>
  <si>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</si>
  <si>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</si>
  <si>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</si>
  <si>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</si>
  <si>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</si>
  <si>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</si>
  <si>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</si>
  <si>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</si>
  <si>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</si>
  <si>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</si>
  <si>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</si>
  <si>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</si>
  <si>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</si>
  <si>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</si>
  <si>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</si>
  <si>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</si>
  <si>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</si>
  <si>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</si>
  <si>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</si>
  <si>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</si>
  <si>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</si>
  <si>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</si>
  <si>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</si>
  <si>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</si>
  <si>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</si>
  <si>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</si>
  <si>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</si>
  <si>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</si>
  <si>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</si>
  <si>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</si>
  <si>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</si>
  <si>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</si>
  <si>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</si>
  <si>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</si>
  <si>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</si>
  <si>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</si>
  <si>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</si>
  <si>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</si>
  <si>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</si>
  <si>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</si>
  <si>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</si>
  <si>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</si>
  <si>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</si>
  <si>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</si>
  <si>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</si>
  <si>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</si>
  <si>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</si>
  <si>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</si>
  <si>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</si>
  <si>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</si>
  <si>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</si>
  <si>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</si>
  <si>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</si>
  <si>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</si>
  <si>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</si>
  <si>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</si>
  <si>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</si>
  <si>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</si>
  <si>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</si>
  <si>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</si>
  <si>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</si>
  <si>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</si>
  <si>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</si>
  <si>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</si>
  <si>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</si>
  <si>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</si>
  <si>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</si>
  <si>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</si>
  <si>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</si>
  <si>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</si>
  <si>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</si>
  <si>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</si>
  <si>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</si>
  <si>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</si>
  <si>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</si>
  <si>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</si>
  <si>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</si>
  <si>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</si>
  <si>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</si>
  <si>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</si>
  <si>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</si>
  <si>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</si>
  <si>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</si>
  <si>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</si>
  <si>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</si>
  <si>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</si>
  <si>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</si>
  <si>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</si>
  <si>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</si>
  <si>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</si>
  <si>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</si>
  <si>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</si>
  <si>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</si>
  <si>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</si>
  <si>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</si>
  <si>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</si>
  <si>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</si>
  <si>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</si>
  <si>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</si>
  <si>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</si>
  <si>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</si>
  <si>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</si>
  <si>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</si>
  <si>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</si>
  <si>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</si>
  <si>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</si>
  <si>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</si>
  <si>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</si>
  <si>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</si>
  <si>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</si>
  <si>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</si>
  <si>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</si>
  <si>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</si>
  <si>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</si>
  <si>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</si>
  <si>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</si>
  <si>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</si>
  <si>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</si>
  <si>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</si>
  <si>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</si>
  <si>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</si>
  <si>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</si>
  <si>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</si>
  <si>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</si>
  <si>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</si>
  <si>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</si>
  <si>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Anand Rathi Wealth Ltd.</t>
  </si>
  <si>
    <t>DATE</t>
  </si>
  <si>
    <t>ADJHIGH</t>
  </si>
  <si>
    <t>ADJCLOSE</t>
  </si>
  <si>
    <t>ADJLOW</t>
  </si>
  <si>
    <t>ADJOPEN</t>
  </si>
  <si>
    <t>CLOSE</t>
  </si>
  <si>
    <t>VOLUME</t>
  </si>
  <si>
    <t>Total AUM</t>
  </si>
  <si>
    <t>AUM-Breakup</t>
  </si>
  <si>
    <t>Total MF Eq + Debt</t>
  </si>
  <si>
    <t>Structured Products/ Market Linked Debentures (MLD)</t>
  </si>
  <si>
    <t>Direct Eq and others</t>
  </si>
  <si>
    <t>Revenue Yield %</t>
  </si>
  <si>
    <t>Cost % AUM</t>
  </si>
  <si>
    <t>EBITDA %</t>
  </si>
  <si>
    <t>Growth Y-o-Y %</t>
  </si>
  <si>
    <t>Growth Q-o-Q%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</si>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</sst>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164" fontId="1" fillId="0" borderId="0" applyFont="0" applyFill="0" applyBorder="0" applyAlignment="0" applyProtection="0"/>
  </cellStyleXfs>
  <cellXfs count="215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20" fillId="10" borderId="0" xfId="2" applyFont="1" applyFill="1" applyAlignment="1">
      <alignment horizontal="left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43" fontId="20" fillId="2" borderId="0" xfId="2" applyFont="1" applyFill="1" applyBorder="1"/>
    <xf numFmtId="43" fontId="18" fillId="2" borderId="0" xfId="2" applyFont="1" applyFill="1" applyBorder="1"/>
    <xf numFmtId="43" fontId="18" fillId="2" borderId="0" xfId="2" applyFont="1" applyFill="1" applyAlignment="1">
      <alignment horizontal="left"/>
    </xf>
    <xf numFmtId="166" fontId="20" fillId="2" borderId="0" xfId="2" applyNumberFormat="1" applyFont="1" applyFill="1" applyAlignment="1">
      <alignment horizontal="left"/>
    </xf>
    <xf numFmtId="10" fontId="18" fillId="2" borderId="0" xfId="1" applyNumberFormat="1" applyFont="1" applyFill="1" applyBorder="1"/>
    <xf numFmtId="10" fontId="20" fillId="2" borderId="0" xfId="1" applyNumberFormat="1" applyFont="1" applyFill="1" applyBorder="1"/>
    <xf numFmtId="10" fontId="20" fillId="2" borderId="0" xfId="1" applyNumberFormat="1" applyFont="1" applyFill="1" applyAlignment="1">
      <alignment horizontal="right"/>
    </xf>
    <xf numFmtId="10" fontId="18" fillId="2" borderId="0" xfId="1" applyNumberFormat="1" applyFont="1" applyFill="1" applyAlignment="1">
      <alignment horizontal="right"/>
    </xf>
    <xf numFmtId="10" fontId="20" fillId="7" borderId="0" xfId="1" applyNumberFormat="1" applyFont="1" applyFill="1" applyAlignment="1">
      <alignment horizontal="center"/>
    </xf>
    <xf numFmtId="10" fontId="18" fillId="7" borderId="0" xfId="1" applyNumberFormat="1" applyFont="1" applyFill="1" applyAlignment="1">
      <alignment horizontal="center"/>
    </xf>
    <xf numFmtId="10" fontId="20" fillId="2" borderId="0" xfId="1" applyNumberFormat="1" applyFont="1" applyFill="1" applyAlignment="1">
      <alignment horizontal="center"/>
    </xf>
    <xf numFmtId="10" fontId="7" fillId="0" borderId="0" xfId="1" applyNumberFormat="1" applyFont="1" applyAlignment="1">
      <alignment horizontal="center"/>
    </xf>
    <xf numFmtId="10" fontId="20" fillId="7" borderId="0" xfId="1" applyNumberFormat="1" applyFont="1" applyFill="1" applyAlignment="1">
      <alignment horizontal="right"/>
    </xf>
    <xf numFmtId="10" fontId="20" fillId="0" borderId="0" xfId="1" applyNumberFormat="1" applyFont="1" applyFill="1" applyAlignment="1">
      <alignment horizontal="center"/>
    </xf>
    <xf numFmtId="10" fontId="18" fillId="2" borderId="0" xfId="1" applyNumberFormat="1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10" fontId="18" fillId="7" borderId="0" xfId="1" applyNumberFormat="1" applyFont="1" applyFill="1" applyAlignment="1">
      <alignment horizontal="right"/>
    </xf>
    <xf numFmtId="10" fontId="18" fillId="0" borderId="0" xfId="1" applyNumberFormat="1" applyFont="1" applyFill="1" applyAlignment="1">
      <alignment horizontal="center"/>
    </xf>
    <xf numFmtId="9" fontId="9" fillId="2" borderId="0" xfId="1" applyFont="1" applyFill="1" applyBorder="1"/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7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7" borderId="0" xfId="1" applyFont="1" applyFill="1" applyAlignment="1">
      <alignment horizontal="right"/>
    </xf>
    <xf numFmtId="9" fontId="9" fillId="0" borderId="0" xfId="1" applyFont="1" applyFill="1" applyAlignment="1">
      <alignment horizontal="center"/>
    </xf>
    <xf numFmtId="10" fontId="18" fillId="2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850D4EA6-E9EA-48D9-BBA8-664148E5281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6"/>
  <sheetViews>
    <sheetView tabSelected="1" zoomScale="120" zoomScaleNormal="12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9" sqref="DF19:DF26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Anand Rathi Wealth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21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87" customFormat="1" x14ac:dyDescent="0.2">
      <c r="A4" s="185" t="s">
        <v>524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E4" s="186"/>
    </row>
    <row r="5" spans="1:110" s="158" customFormat="1" x14ac:dyDescent="0.2">
      <c r="A5" s="191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>
        <f>+BR5</f>
        <v>14559</v>
      </c>
      <c r="W5" s="156">
        <f>+BV5</f>
        <v>19434</v>
      </c>
      <c r="X5" s="156">
        <f>+BZ5</f>
        <v>23005.87</v>
      </c>
      <c r="Y5" s="156">
        <f>+CD5</f>
        <v>35610.600000000006</v>
      </c>
      <c r="Z5" s="156">
        <f>+CH5</f>
        <v>46261.799999999996</v>
      </c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>
        <v>14559</v>
      </c>
      <c r="BS5" s="156">
        <v>16056</v>
      </c>
      <c r="BT5" s="156">
        <v>17973.62</v>
      </c>
      <c r="BU5" s="156">
        <v>18899</v>
      </c>
      <c r="BV5" s="156">
        <v>19434</v>
      </c>
      <c r="BW5" s="156">
        <v>19281</v>
      </c>
      <c r="BX5" s="156">
        <v>21170</v>
      </c>
      <c r="BY5" s="156">
        <v>22810</v>
      </c>
      <c r="BZ5" s="156">
        <v>23005.87</v>
      </c>
      <c r="CA5" s="156">
        <v>24502.679999999997</v>
      </c>
      <c r="CB5" s="156">
        <v>28774.2</v>
      </c>
      <c r="CC5" s="156">
        <f>0.61*CC8</f>
        <v>33584.769999999997</v>
      </c>
      <c r="CD5" s="156">
        <f>+CD8-CD6-CD7</f>
        <v>35610.600000000006</v>
      </c>
      <c r="CE5" s="156">
        <f>+CE8*0.61</f>
        <v>42100.979999999996</v>
      </c>
      <c r="CF5" s="156">
        <f>+CF8*61%</f>
        <v>45801.24</v>
      </c>
      <c r="CG5" s="156">
        <f>+CG8*60%</f>
        <v>45841.2</v>
      </c>
      <c r="CH5" s="156">
        <f>+CH8*60%</f>
        <v>46261.799999999996</v>
      </c>
      <c r="CI5" s="156">
        <f>+CI8*60%</f>
        <v>52678.2</v>
      </c>
      <c r="CJ5" s="156">
        <f>+CJ8*60%</f>
        <v>54940.799999999996</v>
      </c>
      <c r="CK5" s="156">
        <f>+CK8*58%</f>
        <v>57424.639999999999</v>
      </c>
      <c r="CL5" s="156">
        <f>CL8*51%</f>
        <v>47448.87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91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>
        <f t="shared" ref="V6:V7" si="34">+BR6</f>
        <v>9408</v>
      </c>
      <c r="W6" s="156">
        <f t="shared" ref="W6:W7" si="35">+BV6</f>
        <v>9591</v>
      </c>
      <c r="X6" s="156">
        <f t="shared" ref="X6:X7" si="36">+BZ6</f>
        <v>10918.04</v>
      </c>
      <c r="Y6" s="156">
        <f t="shared" ref="Y6:Y7" si="37">+CD6</f>
        <v>14244.24</v>
      </c>
      <c r="Z6" s="156">
        <f t="shared" ref="Z6:Z7" si="38">+CH6</f>
        <v>20046.780000000002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88">
        <v>9408</v>
      </c>
      <c r="BS6" s="188">
        <v>9341</v>
      </c>
      <c r="BT6" s="188">
        <v>9606.59</v>
      </c>
      <c r="BU6" s="188">
        <v>9488</v>
      </c>
      <c r="BV6" s="188">
        <v>9591</v>
      </c>
      <c r="BW6" s="188">
        <v>9853</v>
      </c>
      <c r="BX6" s="188">
        <v>10384</v>
      </c>
      <c r="BY6" s="188">
        <v>11128</v>
      </c>
      <c r="BZ6" s="188">
        <v>10918.04</v>
      </c>
      <c r="CA6" s="188">
        <v>12251.339999999998</v>
      </c>
      <c r="CB6" s="188">
        <v>12948.39</v>
      </c>
      <c r="CC6" s="188">
        <f>+CC8*0.24</f>
        <v>13213.68</v>
      </c>
      <c r="CD6" s="188">
        <f>+CD8*0.24</f>
        <v>14244.24</v>
      </c>
      <c r="CE6" s="188">
        <f>+CE8*0.24</f>
        <v>16564.32</v>
      </c>
      <c r="CF6" s="188">
        <f>+CF8*25%</f>
        <v>18771</v>
      </c>
      <c r="CG6" s="188">
        <f>+CG8*26%</f>
        <v>19864.52</v>
      </c>
      <c r="CH6" s="188">
        <f>+CH8*26%</f>
        <v>20046.780000000002</v>
      </c>
      <c r="CI6" s="188">
        <f>+CI8*26%</f>
        <v>22827.22</v>
      </c>
      <c r="CJ6" s="188">
        <f>+CJ8*26%</f>
        <v>23807.68</v>
      </c>
      <c r="CK6" s="188">
        <f>+CK8*28%</f>
        <v>27722.240000000002</v>
      </c>
      <c r="CL6" s="188">
        <f>CL8*28%</f>
        <v>26050.360000000004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91" t="s">
        <v>527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>
        <f t="shared" si="34"/>
        <v>2703</v>
      </c>
      <c r="W7" s="156">
        <f t="shared" si="35"/>
        <v>3881</v>
      </c>
      <c r="X7" s="156">
        <f t="shared" si="36"/>
        <v>5069.09</v>
      </c>
      <c r="Y7" s="156">
        <f t="shared" si="37"/>
        <v>9496.16</v>
      </c>
      <c r="Z7" s="156">
        <f t="shared" si="38"/>
        <v>10794.420000000002</v>
      </c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88">
        <v>2703</v>
      </c>
      <c r="BS7" s="188">
        <v>3164</v>
      </c>
      <c r="BT7" s="188">
        <v>3408.79</v>
      </c>
      <c r="BU7" s="188">
        <v>3783</v>
      </c>
      <c r="BV7" s="188">
        <v>3881</v>
      </c>
      <c r="BW7" s="188">
        <v>3827</v>
      </c>
      <c r="BX7" s="188">
        <v>4289</v>
      </c>
      <c r="BY7" s="188">
        <v>4579</v>
      </c>
      <c r="BZ7" s="188">
        <v>5069.09</v>
      </c>
      <c r="CA7" s="188">
        <v>5491.9800000000005</v>
      </c>
      <c r="CB7" s="188">
        <v>6234.41</v>
      </c>
      <c r="CC7" s="188">
        <f>+CC8*0.15</f>
        <v>8258.5499999999993</v>
      </c>
      <c r="CD7" s="188">
        <f>+CD8*0.16</f>
        <v>9496.16</v>
      </c>
      <c r="CE7" s="188">
        <f>+CE8*15%</f>
        <v>10352.699999999999</v>
      </c>
      <c r="CF7" s="188">
        <f>+CF8*14%</f>
        <v>10511.76</v>
      </c>
      <c r="CG7" s="188">
        <f>+CG8*14%</f>
        <v>10696.28</v>
      </c>
      <c r="CH7" s="188">
        <f>+CH8*14%</f>
        <v>10794.420000000002</v>
      </c>
      <c r="CI7" s="188">
        <f>+CI8*14%</f>
        <v>12291.580000000002</v>
      </c>
      <c r="CJ7" s="188">
        <f>+CJ8*14%</f>
        <v>12819.52</v>
      </c>
      <c r="CK7" s="188">
        <f>+CK8*15%</f>
        <v>14851.199999999999</v>
      </c>
      <c r="CL7" s="188">
        <f>CL8-CL5-CL6</f>
        <v>19537.769999999993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90" t="s">
        <v>523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>
        <f>+SUM(V5:V7)</f>
        <v>26670</v>
      </c>
      <c r="W8" s="107">
        <f t="shared" ref="W8:Z8" si="39">+SUM(W5:W7)</f>
        <v>32906</v>
      </c>
      <c r="X8" s="107">
        <f t="shared" si="39"/>
        <v>38993</v>
      </c>
      <c r="Y8" s="107">
        <f t="shared" si="39"/>
        <v>59351</v>
      </c>
      <c r="Z8" s="107">
        <f t="shared" si="39"/>
        <v>77103</v>
      </c>
      <c r="AA8" s="108">
        <f>+CL8</f>
        <v>93037</v>
      </c>
      <c r="AB8" s="108">
        <f>+CP8</f>
        <v>120948.1</v>
      </c>
      <c r="AC8" s="108">
        <f>+CT8</f>
        <v>157232.53</v>
      </c>
      <c r="AD8" s="108">
        <f>+CX8</f>
        <v>204402.28899999999</v>
      </c>
      <c r="AE8" s="108">
        <f>+DB8</f>
        <v>265722.97569999995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89">
        <v>26670</v>
      </c>
      <c r="BS8" s="189">
        <v>28561</v>
      </c>
      <c r="BT8" s="189">
        <v>30989</v>
      </c>
      <c r="BU8" s="189">
        <v>32170</v>
      </c>
      <c r="BV8" s="189">
        <v>32906</v>
      </c>
      <c r="BW8" s="189">
        <v>32961</v>
      </c>
      <c r="BX8" s="189">
        <v>35842</v>
      </c>
      <c r="BY8" s="189">
        <v>38517</v>
      </c>
      <c r="BZ8" s="189">
        <v>38993</v>
      </c>
      <c r="CA8" s="189">
        <v>42246</v>
      </c>
      <c r="CB8" s="189">
        <v>47957</v>
      </c>
      <c r="CC8" s="189">
        <v>55057</v>
      </c>
      <c r="CD8" s="189">
        <v>59351</v>
      </c>
      <c r="CE8" s="189">
        <v>69018</v>
      </c>
      <c r="CF8" s="189">
        <v>75084</v>
      </c>
      <c r="CG8" s="189">
        <v>76402</v>
      </c>
      <c r="CH8" s="189">
        <v>77103</v>
      </c>
      <c r="CI8" s="189">
        <v>87797</v>
      </c>
      <c r="CJ8" s="189">
        <v>91568</v>
      </c>
      <c r="CK8" s="189">
        <v>99008</v>
      </c>
      <c r="CL8" s="189">
        <v>93037</v>
      </c>
      <c r="CM8" s="108">
        <f t="shared" ref="CM8:DB8" si="40">+CI8+(CM9*CI8)</f>
        <v>114136.1</v>
      </c>
      <c r="CN8" s="108">
        <f t="shared" si="40"/>
        <v>119038.39999999999</v>
      </c>
      <c r="CO8" s="108">
        <f t="shared" si="40"/>
        <v>128710.39999999999</v>
      </c>
      <c r="CP8" s="108">
        <f t="shared" si="40"/>
        <v>120948.1</v>
      </c>
      <c r="CQ8" s="108">
        <f t="shared" si="40"/>
        <v>148376.93</v>
      </c>
      <c r="CR8" s="108">
        <f t="shared" si="40"/>
        <v>154749.91999999998</v>
      </c>
      <c r="CS8" s="108">
        <f t="shared" si="40"/>
        <v>167323.51999999999</v>
      </c>
      <c r="CT8" s="108">
        <f t="shared" si="40"/>
        <v>157232.53</v>
      </c>
      <c r="CU8" s="108">
        <f t="shared" si="40"/>
        <v>192890.00899999999</v>
      </c>
      <c r="CV8" s="108">
        <f t="shared" si="40"/>
        <v>201174.89599999998</v>
      </c>
      <c r="CW8" s="108">
        <f t="shared" si="40"/>
        <v>217520.576</v>
      </c>
      <c r="CX8" s="108">
        <f t="shared" si="40"/>
        <v>204402.28899999999</v>
      </c>
      <c r="CY8" s="108">
        <f t="shared" si="40"/>
        <v>250757.01169999997</v>
      </c>
      <c r="CZ8" s="108">
        <f t="shared" si="40"/>
        <v>261527.36479999998</v>
      </c>
      <c r="DA8" s="108">
        <f t="shared" si="40"/>
        <v>282776.7488</v>
      </c>
      <c r="DB8" s="108">
        <f t="shared" si="40"/>
        <v>265722.97569999995</v>
      </c>
      <c r="DE8" s="117"/>
    </row>
    <row r="9" spans="1:110" s="210" customFormat="1" x14ac:dyDescent="0.2">
      <c r="A9" s="207" t="s">
        <v>531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>
        <f t="shared" ref="W9:AE9" si="41">+W8/V8-1</f>
        <v>0.23382077240344956</v>
      </c>
      <c r="X9" s="208">
        <f t="shared" si="41"/>
        <v>0.18498146234729229</v>
      </c>
      <c r="Y9" s="208">
        <f t="shared" si="41"/>
        <v>0.52209370912727926</v>
      </c>
      <c r="Z9" s="208">
        <f t="shared" si="41"/>
        <v>0.29910195278933793</v>
      </c>
      <c r="AA9" s="209">
        <f t="shared" si="41"/>
        <v>0.20665862547501401</v>
      </c>
      <c r="AB9" s="209">
        <f t="shared" si="41"/>
        <v>0.30000000000000004</v>
      </c>
      <c r="AC9" s="209">
        <f t="shared" si="41"/>
        <v>0.29999999999999982</v>
      </c>
      <c r="AD9" s="209">
        <f t="shared" si="41"/>
        <v>0.30000000000000004</v>
      </c>
      <c r="AE9" s="209">
        <f t="shared" si="41"/>
        <v>0.29999999999999982</v>
      </c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6"/>
      <c r="BS9" s="206"/>
      <c r="BT9" s="206"/>
      <c r="BU9" s="206"/>
      <c r="BV9" s="206">
        <f t="shared" ref="BV9:CL9" si="42">+BV8/BR8-1</f>
        <v>0.23382077240344956</v>
      </c>
      <c r="BW9" s="206">
        <f t="shared" si="42"/>
        <v>0.1540562305241413</v>
      </c>
      <c r="BX9" s="206">
        <f t="shared" si="42"/>
        <v>0.15660395624253765</v>
      </c>
      <c r="BY9" s="206">
        <f t="shared" si="42"/>
        <v>0.19729561703450416</v>
      </c>
      <c r="BZ9" s="206">
        <f t="shared" si="42"/>
        <v>0.18498146234729229</v>
      </c>
      <c r="CA9" s="206">
        <f t="shared" si="42"/>
        <v>0.28169655046873587</v>
      </c>
      <c r="CB9" s="206">
        <f t="shared" si="42"/>
        <v>0.33801127169242795</v>
      </c>
      <c r="CC9" s="206">
        <f t="shared" si="42"/>
        <v>0.42942077524210087</v>
      </c>
      <c r="CD9" s="206">
        <f t="shared" si="42"/>
        <v>0.52209370912727926</v>
      </c>
      <c r="CE9" s="206">
        <f t="shared" si="42"/>
        <v>0.63371680159068311</v>
      </c>
      <c r="CF9" s="206">
        <f t="shared" si="42"/>
        <v>0.56565256375503048</v>
      </c>
      <c r="CG9" s="206">
        <f t="shared" si="42"/>
        <v>0.38768912218246543</v>
      </c>
      <c r="CH9" s="206">
        <f t="shared" si="42"/>
        <v>0.29910195278933793</v>
      </c>
      <c r="CI9" s="206">
        <f t="shared" si="42"/>
        <v>0.27208844069662996</v>
      </c>
      <c r="CJ9" s="206">
        <f t="shared" si="42"/>
        <v>0.21954078099195562</v>
      </c>
      <c r="CK9" s="206">
        <f t="shared" si="42"/>
        <v>0.29588230674589666</v>
      </c>
      <c r="CL9" s="206">
        <f t="shared" si="42"/>
        <v>0.20665862547501401</v>
      </c>
      <c r="CM9" s="211">
        <v>0.3</v>
      </c>
      <c r="CN9" s="211">
        <f t="shared" ref="CN9:DB9" si="43">+CM9</f>
        <v>0.3</v>
      </c>
      <c r="CO9" s="211">
        <f t="shared" si="43"/>
        <v>0.3</v>
      </c>
      <c r="CP9" s="211">
        <f t="shared" si="43"/>
        <v>0.3</v>
      </c>
      <c r="CQ9" s="211">
        <f t="shared" si="43"/>
        <v>0.3</v>
      </c>
      <c r="CR9" s="211">
        <f t="shared" si="43"/>
        <v>0.3</v>
      </c>
      <c r="CS9" s="211">
        <f t="shared" si="43"/>
        <v>0.3</v>
      </c>
      <c r="CT9" s="211">
        <f t="shared" si="43"/>
        <v>0.3</v>
      </c>
      <c r="CU9" s="211">
        <f t="shared" si="43"/>
        <v>0.3</v>
      </c>
      <c r="CV9" s="211">
        <f t="shared" si="43"/>
        <v>0.3</v>
      </c>
      <c r="CW9" s="211">
        <f t="shared" si="43"/>
        <v>0.3</v>
      </c>
      <c r="CX9" s="211">
        <f t="shared" si="43"/>
        <v>0.3</v>
      </c>
      <c r="CY9" s="211">
        <f t="shared" si="43"/>
        <v>0.3</v>
      </c>
      <c r="CZ9" s="211">
        <f t="shared" si="43"/>
        <v>0.3</v>
      </c>
      <c r="DA9" s="211">
        <f t="shared" si="43"/>
        <v>0.3</v>
      </c>
      <c r="DB9" s="211">
        <f t="shared" si="43"/>
        <v>0.3</v>
      </c>
      <c r="DE9" s="212"/>
    </row>
    <row r="10" spans="1:110" s="210" customFormat="1" x14ac:dyDescent="0.2">
      <c r="A10" s="207" t="s">
        <v>532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9"/>
      <c r="AB10" s="209"/>
      <c r="AC10" s="209"/>
      <c r="AD10" s="209"/>
      <c r="AE10" s="209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6"/>
      <c r="BS10" s="206">
        <f t="shared" ref="BS10:DB10" si="44">+BS8/BR8-1</f>
        <v>7.0903637045369283E-2</v>
      </c>
      <c r="BT10" s="206">
        <f t="shared" si="44"/>
        <v>8.501102902559432E-2</v>
      </c>
      <c r="BU10" s="206">
        <f t="shared" si="44"/>
        <v>3.8110297202233134E-2</v>
      </c>
      <c r="BV10" s="206">
        <f t="shared" si="44"/>
        <v>2.2878458190860984E-2</v>
      </c>
      <c r="BW10" s="206">
        <f t="shared" si="44"/>
        <v>1.6714277031544267E-3</v>
      </c>
      <c r="BX10" s="206">
        <f t="shared" si="44"/>
        <v>8.7406328691483903E-2</v>
      </c>
      <c r="BY10" s="206">
        <f t="shared" si="44"/>
        <v>7.4633111991518231E-2</v>
      </c>
      <c r="BZ10" s="206">
        <f t="shared" si="44"/>
        <v>1.2358179505153499E-2</v>
      </c>
      <c r="CA10" s="206">
        <f t="shared" si="44"/>
        <v>8.3425230169517528E-2</v>
      </c>
      <c r="CB10" s="206">
        <f t="shared" si="44"/>
        <v>0.13518439615584898</v>
      </c>
      <c r="CC10" s="206">
        <f t="shared" si="44"/>
        <v>0.14804929415935097</v>
      </c>
      <c r="CD10" s="206">
        <f t="shared" si="44"/>
        <v>7.7991899304357348E-2</v>
      </c>
      <c r="CE10" s="206">
        <f t="shared" si="44"/>
        <v>0.16287846877053469</v>
      </c>
      <c r="CF10" s="206">
        <f t="shared" si="44"/>
        <v>8.7890115622011544E-2</v>
      </c>
      <c r="CG10" s="206">
        <f t="shared" si="44"/>
        <v>1.755367321932777E-2</v>
      </c>
      <c r="CH10" s="206">
        <f t="shared" si="44"/>
        <v>9.1751524829193354E-3</v>
      </c>
      <c r="CI10" s="206">
        <f t="shared" si="44"/>
        <v>0.13869758634553775</v>
      </c>
      <c r="CJ10" s="206">
        <f t="shared" si="44"/>
        <v>4.2951353690900529E-2</v>
      </c>
      <c r="CK10" s="206">
        <f t="shared" si="44"/>
        <v>8.1251092084571042E-2</v>
      </c>
      <c r="CL10" s="206">
        <f t="shared" si="44"/>
        <v>-6.0308257918551988E-2</v>
      </c>
      <c r="CM10" s="211">
        <f t="shared" si="44"/>
        <v>0.22678181798639252</v>
      </c>
      <c r="CN10" s="211">
        <f t="shared" si="44"/>
        <v>4.2951353690900529E-2</v>
      </c>
      <c r="CO10" s="211">
        <f t="shared" si="44"/>
        <v>8.1251092084571042E-2</v>
      </c>
      <c r="CP10" s="211">
        <f t="shared" si="44"/>
        <v>-6.0308257918551988E-2</v>
      </c>
      <c r="CQ10" s="211">
        <f t="shared" si="44"/>
        <v>0.2267818179863923</v>
      </c>
      <c r="CR10" s="211">
        <f t="shared" si="44"/>
        <v>4.2951353690900529E-2</v>
      </c>
      <c r="CS10" s="211">
        <f t="shared" si="44"/>
        <v>8.1251092084571042E-2</v>
      </c>
      <c r="CT10" s="211">
        <f t="shared" si="44"/>
        <v>-6.0308257918551988E-2</v>
      </c>
      <c r="CU10" s="211">
        <f t="shared" si="44"/>
        <v>0.22678181798639252</v>
      </c>
      <c r="CV10" s="211">
        <f t="shared" si="44"/>
        <v>4.2951353690900529E-2</v>
      </c>
      <c r="CW10" s="211">
        <f t="shared" si="44"/>
        <v>8.1251092084571042E-2</v>
      </c>
      <c r="CX10" s="211">
        <f t="shared" si="44"/>
        <v>-6.0308257918552099E-2</v>
      </c>
      <c r="CY10" s="211">
        <f t="shared" si="44"/>
        <v>0.22678181798639252</v>
      </c>
      <c r="CZ10" s="211">
        <f t="shared" si="44"/>
        <v>4.2951353690900529E-2</v>
      </c>
      <c r="DA10" s="211">
        <f t="shared" si="44"/>
        <v>8.1251092084571042E-2</v>
      </c>
      <c r="DB10" s="211">
        <f t="shared" si="44"/>
        <v>-6.0308257918552211E-2</v>
      </c>
      <c r="DE10" s="212"/>
    </row>
    <row r="11" spans="1:110" s="109" customFormat="1" x14ac:dyDescent="0.2">
      <c r="A11" s="190" t="s">
        <v>533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8"/>
      <c r="AB11" s="108"/>
      <c r="AC11" s="108"/>
      <c r="AD11" s="108"/>
      <c r="AE11" s="108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  <c r="CI11" s="213">
        <v>1.41E-2</v>
      </c>
      <c r="CJ11" s="192">
        <v>1.43E-2</v>
      </c>
      <c r="CK11" s="192">
        <v>1.46E-2</v>
      </c>
      <c r="CL11" s="192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89"/>
      <c r="CI12" s="189"/>
      <c r="CJ12" s="189"/>
      <c r="CK12" s="189"/>
      <c r="CL12" s="189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99" customFormat="1" x14ac:dyDescent="0.2">
      <c r="A13" s="193" t="s">
        <v>528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4">
        <f t="shared" ref="V13:AE13" si="45">+V20/V8</f>
        <v>9.9486389201349831E-3</v>
      </c>
      <c r="W13" s="194">
        <f t="shared" si="45"/>
        <v>1.2687202941712758E-2</v>
      </c>
      <c r="X13" s="194">
        <f t="shared" si="45"/>
        <v>1.4070002308106585E-2</v>
      </c>
      <c r="Y13" s="194">
        <f t="shared" si="45"/>
        <v>1.2204048794460076E-2</v>
      </c>
      <c r="Z13" s="194">
        <f t="shared" si="45"/>
        <v>1.2179741384900718E-2</v>
      </c>
      <c r="AA13" s="196">
        <f t="shared" si="45"/>
        <v>1.2348044326450768E-2</v>
      </c>
      <c r="AB13" s="196">
        <f t="shared" si="45"/>
        <v>1.224916550768841E-2</v>
      </c>
      <c r="AC13" s="196">
        <f t="shared" si="45"/>
        <v>1.2249165507688412E-2</v>
      </c>
      <c r="AD13" s="196">
        <f t="shared" si="45"/>
        <v>1.2249165507688412E-2</v>
      </c>
      <c r="AE13" s="196">
        <f t="shared" si="45"/>
        <v>1.2249165507688412E-2</v>
      </c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3">
        <f t="shared" ref="BR13:CL13" si="46">+BR20/AVERAGE(BQ8:BR8)</f>
        <v>2.6322834645669292E-3</v>
      </c>
      <c r="BS13" s="193">
        <f t="shared" si="46"/>
        <v>3.5325089170936616E-3</v>
      </c>
      <c r="BT13" s="193">
        <f t="shared" si="46"/>
        <v>3.4164567590260282E-3</v>
      </c>
      <c r="BU13" s="193">
        <f t="shared" si="46"/>
        <v>3.3468864294874841E-3</v>
      </c>
      <c r="BV13" s="193">
        <f t="shared" si="46"/>
        <v>3.4579568504517796E-3</v>
      </c>
      <c r="BW13" s="193">
        <f t="shared" si="46"/>
        <v>3.9961437442118204E-3</v>
      </c>
      <c r="BX13" s="193">
        <f t="shared" si="46"/>
        <v>3.9551473046233448E-3</v>
      </c>
      <c r="BY13" s="193">
        <f t="shared" si="46"/>
        <v>3.7117766511114998E-3</v>
      </c>
      <c r="BZ13" s="193">
        <f t="shared" si="46"/>
        <v>3.6888143465359309E-3</v>
      </c>
      <c r="CA13" s="193">
        <f t="shared" si="46"/>
        <v>4.3089156685828236E-3</v>
      </c>
      <c r="CB13" s="193">
        <f t="shared" si="46"/>
        <v>4.0482245601587532E-3</v>
      </c>
      <c r="CC13" s="193">
        <f t="shared" si="46"/>
        <v>3.5418680955986567E-3</v>
      </c>
      <c r="CD13" s="193">
        <f t="shared" si="46"/>
        <v>3.2215229704216485E-3</v>
      </c>
      <c r="CE13" s="193">
        <f t="shared" si="46"/>
        <v>3.7020464442349787E-3</v>
      </c>
      <c r="CF13" s="193">
        <f t="shared" si="46"/>
        <v>3.3654078361160843E-3</v>
      </c>
      <c r="CG13" s="193">
        <f t="shared" si="46"/>
        <v>3.1295301215953949E-3</v>
      </c>
      <c r="CH13" s="193">
        <f t="shared" si="46"/>
        <v>2.8918927722224033E-3</v>
      </c>
      <c r="CI13" s="193">
        <f t="shared" si="46"/>
        <v>3.3234323832625834E-3</v>
      </c>
      <c r="CJ13" s="193">
        <f t="shared" si="46"/>
        <v>3.3157639450282941E-3</v>
      </c>
      <c r="CK13" s="193">
        <f t="shared" si="46"/>
        <v>3.0394593233145834E-3</v>
      </c>
      <c r="CL13" s="193">
        <f t="shared" si="46"/>
        <v>2.9974016506547942E-3</v>
      </c>
      <c r="CM13" s="200">
        <f t="shared" ref="CM13:DB14" si="47">+CI13</f>
        <v>3.3234323832625834E-3</v>
      </c>
      <c r="CN13" s="200">
        <f t="shared" si="47"/>
        <v>3.3157639450282941E-3</v>
      </c>
      <c r="CO13" s="200">
        <f t="shared" si="47"/>
        <v>3.0394593233145834E-3</v>
      </c>
      <c r="CP13" s="200">
        <f t="shared" si="47"/>
        <v>2.9974016506547942E-3</v>
      </c>
      <c r="CQ13" s="200">
        <f t="shared" si="47"/>
        <v>3.3234323832625834E-3</v>
      </c>
      <c r="CR13" s="200">
        <f t="shared" si="47"/>
        <v>3.3157639450282941E-3</v>
      </c>
      <c r="CS13" s="200">
        <f t="shared" si="47"/>
        <v>3.0394593233145834E-3</v>
      </c>
      <c r="CT13" s="200">
        <f t="shared" si="47"/>
        <v>2.9974016506547942E-3</v>
      </c>
      <c r="CU13" s="200">
        <f t="shared" si="47"/>
        <v>3.3234323832625834E-3</v>
      </c>
      <c r="CV13" s="200">
        <f t="shared" si="47"/>
        <v>3.3157639450282941E-3</v>
      </c>
      <c r="CW13" s="200">
        <f t="shared" si="47"/>
        <v>3.0394593233145834E-3</v>
      </c>
      <c r="CX13" s="200">
        <f t="shared" si="47"/>
        <v>2.9974016506547942E-3</v>
      </c>
      <c r="CY13" s="200">
        <f t="shared" si="47"/>
        <v>3.3234323832625834E-3</v>
      </c>
      <c r="CZ13" s="200">
        <f t="shared" si="47"/>
        <v>3.3157639450282941E-3</v>
      </c>
      <c r="DA13" s="200">
        <f t="shared" si="47"/>
        <v>3.0394593233145834E-3</v>
      </c>
      <c r="DB13" s="200">
        <f t="shared" si="47"/>
        <v>2.9974016506547942E-3</v>
      </c>
      <c r="DE13" s="201"/>
    </row>
    <row r="14" spans="1:110" s="199" customFormat="1" x14ac:dyDescent="0.2">
      <c r="A14" s="193" t="s">
        <v>529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4">
        <f t="shared" ref="V14:AE14" si="48">+V38/V8</f>
        <v>7.3395950506186724E-3</v>
      </c>
      <c r="W14" s="194">
        <f t="shared" si="48"/>
        <v>7.2995623898377184E-3</v>
      </c>
      <c r="X14" s="194">
        <f t="shared" si="48"/>
        <v>7.9495294027133075E-3</v>
      </c>
      <c r="Y14" s="194">
        <f t="shared" si="48"/>
        <v>7.0855099324358484E-3</v>
      </c>
      <c r="Z14" s="194">
        <f t="shared" si="48"/>
        <v>6.9882611571534187E-3</v>
      </c>
      <c r="AA14" s="196">
        <f t="shared" si="48"/>
        <v>7.1728118920429511E-3</v>
      </c>
      <c r="AB14" s="196">
        <f t="shared" si="48"/>
        <v>7.3557682890529981E-3</v>
      </c>
      <c r="AC14" s="196">
        <f t="shared" si="48"/>
        <v>7.4182254565098573E-3</v>
      </c>
      <c r="AD14" s="196">
        <f t="shared" si="48"/>
        <v>7.4315541091856735E-3</v>
      </c>
      <c r="AE14" s="196">
        <f t="shared" si="48"/>
        <v>7.4339660293628257E-3</v>
      </c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3">
        <f t="shared" ref="BR14:CL14" si="49">+BR38/AVERAGE(BQ8:BR8)</f>
        <v>2.0887514060742409E-3</v>
      </c>
      <c r="BS14" s="193">
        <f t="shared" si="49"/>
        <v>1.9585015661494451E-3</v>
      </c>
      <c r="BT14" s="193">
        <f t="shared" si="49"/>
        <v>1.9563392107472713E-3</v>
      </c>
      <c r="BU14" s="193">
        <f t="shared" si="49"/>
        <v>1.938726072293735E-3</v>
      </c>
      <c r="BV14" s="193">
        <f t="shared" si="49"/>
        <v>2.0502182064048194E-3</v>
      </c>
      <c r="BW14" s="193">
        <f t="shared" si="49"/>
        <v>2.3045834788285482E-3</v>
      </c>
      <c r="BX14" s="193">
        <f t="shared" si="49"/>
        <v>2.1991773614522623E-3</v>
      </c>
      <c r="BY14" s="193">
        <f t="shared" si="49"/>
        <v>2.0518027407576754E-3</v>
      </c>
      <c r="BZ14" s="193">
        <f t="shared" si="49"/>
        <v>2.1194168494387822E-3</v>
      </c>
      <c r="CA14" s="193">
        <f t="shared" si="49"/>
        <v>2.5029850195103336E-3</v>
      </c>
      <c r="CB14" s="193">
        <f t="shared" si="49"/>
        <v>2.3306098466791573E-3</v>
      </c>
      <c r="CC14" s="193">
        <f t="shared" si="49"/>
        <v>1.992001087230862E-3</v>
      </c>
      <c r="CD14" s="193">
        <f t="shared" si="49"/>
        <v>1.9429934969582548E-3</v>
      </c>
      <c r="CE14" s="193">
        <f t="shared" si="49"/>
        <v>2.1715523218222466E-3</v>
      </c>
      <c r="CF14" s="193">
        <f t="shared" si="49"/>
        <v>1.9203342077139802E-3</v>
      </c>
      <c r="CG14" s="193">
        <f t="shared" si="49"/>
        <v>1.7159473482698071E-3</v>
      </c>
      <c r="CH14" s="193">
        <f t="shared" si="49"/>
        <v>1.7083352333800202E-3</v>
      </c>
      <c r="CI14" s="193">
        <f t="shared" si="49"/>
        <v>1.7736688902365071E-3</v>
      </c>
      <c r="CJ14" s="193">
        <f t="shared" si="49"/>
        <v>1.7828896384467427E-3</v>
      </c>
      <c r="CK14" s="193">
        <f t="shared" si="49"/>
        <v>1.6601775669549156E-3</v>
      </c>
      <c r="CL14" s="193">
        <f t="shared" si="49"/>
        <v>2.114358613866542E-3</v>
      </c>
      <c r="CM14" s="200">
        <f t="shared" si="47"/>
        <v>1.7736688902365071E-3</v>
      </c>
      <c r="CN14" s="200">
        <f t="shared" si="47"/>
        <v>1.7828896384467427E-3</v>
      </c>
      <c r="CO14" s="200">
        <f t="shared" si="47"/>
        <v>1.6601775669549156E-3</v>
      </c>
      <c r="CP14" s="200">
        <f t="shared" si="47"/>
        <v>2.114358613866542E-3</v>
      </c>
      <c r="CQ14" s="200">
        <f t="shared" si="47"/>
        <v>1.7736688902365071E-3</v>
      </c>
      <c r="CR14" s="200">
        <f t="shared" si="47"/>
        <v>1.7828896384467427E-3</v>
      </c>
      <c r="CS14" s="200">
        <f t="shared" si="47"/>
        <v>1.6601775669549156E-3</v>
      </c>
      <c r="CT14" s="200">
        <f t="shared" si="47"/>
        <v>2.114358613866542E-3</v>
      </c>
      <c r="CU14" s="200">
        <f t="shared" si="47"/>
        <v>1.7736688902365071E-3</v>
      </c>
      <c r="CV14" s="200">
        <f t="shared" si="47"/>
        <v>1.7828896384467427E-3</v>
      </c>
      <c r="CW14" s="200">
        <f t="shared" si="47"/>
        <v>1.6601775669549156E-3</v>
      </c>
      <c r="CX14" s="200">
        <f t="shared" si="47"/>
        <v>2.114358613866542E-3</v>
      </c>
      <c r="CY14" s="200">
        <f t="shared" si="47"/>
        <v>1.7736688902365071E-3</v>
      </c>
      <c r="CZ14" s="200">
        <f t="shared" si="47"/>
        <v>1.7828896384467427E-3</v>
      </c>
      <c r="DA14" s="200">
        <f t="shared" si="47"/>
        <v>1.6601775669549156E-3</v>
      </c>
      <c r="DB14" s="200">
        <f t="shared" si="47"/>
        <v>2.114358613866542E-3</v>
      </c>
      <c r="DE14" s="201"/>
    </row>
    <row r="15" spans="1:110" s="203" customFormat="1" x14ac:dyDescent="0.2">
      <c r="A15" s="192" t="s">
        <v>530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195">
        <f t="shared" ref="V15:Y15" si="50">+V13-V14</f>
        <v>2.6090438695163106E-3</v>
      </c>
      <c r="W15" s="195">
        <f t="shared" si="50"/>
        <v>5.3876405518750396E-3</v>
      </c>
      <c r="X15" s="195">
        <f t="shared" si="50"/>
        <v>6.1204729053932778E-3</v>
      </c>
      <c r="Y15" s="195">
        <f t="shared" si="50"/>
        <v>5.1185388620242278E-3</v>
      </c>
      <c r="Z15" s="195">
        <f>+Z13-Z14</f>
        <v>5.1914802277472994E-3</v>
      </c>
      <c r="AA15" s="197">
        <f t="shared" ref="AA15:AE15" si="51">+AA13-AA14</f>
        <v>5.1752324344078171E-3</v>
      </c>
      <c r="AB15" s="197">
        <f t="shared" si="51"/>
        <v>4.8933972186354117E-3</v>
      </c>
      <c r="AC15" s="197">
        <f t="shared" si="51"/>
        <v>4.8309400511785542E-3</v>
      </c>
      <c r="AD15" s="197">
        <f t="shared" si="51"/>
        <v>4.817611398502738E-3</v>
      </c>
      <c r="AE15" s="197">
        <f t="shared" si="51"/>
        <v>4.8151994783255858E-3</v>
      </c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192">
        <f t="shared" ref="BR15:CI15" si="52">+BR13-BR14</f>
        <v>5.4353205849268834E-4</v>
      </c>
      <c r="BS15" s="192">
        <f t="shared" si="52"/>
        <v>1.5740073509442165E-3</v>
      </c>
      <c r="BT15" s="192">
        <f t="shared" si="52"/>
        <v>1.460117548278757E-3</v>
      </c>
      <c r="BU15" s="192">
        <f t="shared" si="52"/>
        <v>1.4081603571937491E-3</v>
      </c>
      <c r="BV15" s="192">
        <f t="shared" si="52"/>
        <v>1.4077386440469603E-3</v>
      </c>
      <c r="BW15" s="192">
        <f t="shared" si="52"/>
        <v>1.6915602653832722E-3</v>
      </c>
      <c r="BX15" s="192">
        <f t="shared" si="52"/>
        <v>1.7559699431710825E-3</v>
      </c>
      <c r="BY15" s="192">
        <f t="shared" si="52"/>
        <v>1.6599739103538244E-3</v>
      </c>
      <c r="BZ15" s="192">
        <f t="shared" si="52"/>
        <v>1.5693974970971488E-3</v>
      </c>
      <c r="CA15" s="192">
        <f t="shared" si="52"/>
        <v>1.8059306490724901E-3</v>
      </c>
      <c r="CB15" s="192">
        <f t="shared" si="52"/>
        <v>1.7176147134795958E-3</v>
      </c>
      <c r="CC15" s="192">
        <f t="shared" si="52"/>
        <v>1.5498670083677946E-3</v>
      </c>
      <c r="CD15" s="192">
        <f t="shared" si="52"/>
        <v>1.2785294734633937E-3</v>
      </c>
      <c r="CE15" s="192">
        <f t="shared" si="52"/>
        <v>1.5304941224127322E-3</v>
      </c>
      <c r="CF15" s="192">
        <f t="shared" si="52"/>
        <v>1.4450736284021041E-3</v>
      </c>
      <c r="CG15" s="192">
        <f t="shared" si="52"/>
        <v>1.4135827733255878E-3</v>
      </c>
      <c r="CH15" s="192">
        <f t="shared" si="52"/>
        <v>1.1835575388423831E-3</v>
      </c>
      <c r="CI15" s="192">
        <f t="shared" si="52"/>
        <v>1.5497634930260764E-3</v>
      </c>
      <c r="CJ15" s="192">
        <f>+CJ13-CJ14</f>
        <v>1.5328743065815514E-3</v>
      </c>
      <c r="CK15" s="192">
        <f>+CK13-CK14</f>
        <v>1.3792817563596678E-3</v>
      </c>
      <c r="CL15" s="192">
        <f>+CL13-CL14</f>
        <v>8.8304303678825215E-4</v>
      </c>
      <c r="CM15" s="204">
        <f t="shared" ref="CM15:DB15" si="53">+CM13-CM14</f>
        <v>1.5497634930260764E-3</v>
      </c>
      <c r="CN15" s="204">
        <f t="shared" si="53"/>
        <v>1.5328743065815514E-3</v>
      </c>
      <c r="CO15" s="204">
        <f t="shared" si="53"/>
        <v>1.3792817563596678E-3</v>
      </c>
      <c r="CP15" s="204">
        <f t="shared" si="53"/>
        <v>8.8304303678825215E-4</v>
      </c>
      <c r="CQ15" s="204">
        <f t="shared" si="53"/>
        <v>1.5497634930260764E-3</v>
      </c>
      <c r="CR15" s="204">
        <f t="shared" si="53"/>
        <v>1.5328743065815514E-3</v>
      </c>
      <c r="CS15" s="204">
        <f t="shared" si="53"/>
        <v>1.3792817563596678E-3</v>
      </c>
      <c r="CT15" s="204">
        <f t="shared" si="53"/>
        <v>8.8304303678825215E-4</v>
      </c>
      <c r="CU15" s="204">
        <f t="shared" si="53"/>
        <v>1.5497634930260764E-3</v>
      </c>
      <c r="CV15" s="204">
        <f t="shared" si="53"/>
        <v>1.5328743065815514E-3</v>
      </c>
      <c r="CW15" s="204">
        <f t="shared" si="53"/>
        <v>1.3792817563596678E-3</v>
      </c>
      <c r="CX15" s="204">
        <f t="shared" si="53"/>
        <v>8.8304303678825215E-4</v>
      </c>
      <c r="CY15" s="204">
        <f t="shared" si="53"/>
        <v>1.5497634930260764E-3</v>
      </c>
      <c r="CZ15" s="204">
        <f t="shared" si="53"/>
        <v>1.5328743065815514E-3</v>
      </c>
      <c r="DA15" s="204">
        <f t="shared" si="53"/>
        <v>1.3792817563596678E-3</v>
      </c>
      <c r="DB15" s="204">
        <f t="shared" si="53"/>
        <v>8.8304303678825215E-4</v>
      </c>
      <c r="DE15" s="205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89"/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9"/>
      <c r="CK16" s="189"/>
      <c r="CL16" s="189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06" customFormat="1" x14ac:dyDescent="0.2">
      <c r="A18" s="151" t="s">
        <v>500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5"/>
      <c r="AB18" s="105"/>
      <c r="AC18" s="105"/>
      <c r="AD18" s="105"/>
      <c r="AE18" s="105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106" customFormat="1" x14ac:dyDescent="0.2">
      <c r="A19" s="151" t="s">
        <v>485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05"/>
      <c r="AC19" s="105"/>
      <c r="AD19" s="105"/>
      <c r="AE19" s="105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60"/>
      <c r="CK19" s="160"/>
      <c r="CL19" s="160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E19" s="118"/>
    </row>
    <row r="20" spans="1:110" s="25" customFormat="1" outlineLevel="1" x14ac:dyDescent="0.2">
      <c r="A20" s="25" t="s">
        <v>430</v>
      </c>
      <c r="B20" s="25">
        <f>'Annual Raw'!C6</f>
        <v>0</v>
      </c>
      <c r="C20" s="25">
        <f>'Annual Raw'!D6</f>
        <v>0</v>
      </c>
      <c r="D20" s="25">
        <f>'Annual Raw'!E6</f>
        <v>0</v>
      </c>
      <c r="E20" s="25">
        <f>'Annual Raw'!F6</f>
        <v>0</v>
      </c>
      <c r="F20" s="25">
        <f>'Annual Raw'!G6</f>
        <v>0</v>
      </c>
      <c r="G20" s="25">
        <f>'Annual Raw'!H6</f>
        <v>0</v>
      </c>
      <c r="H20" s="25">
        <f>'Annual Raw'!I6</f>
        <v>0</v>
      </c>
      <c r="I20" s="25">
        <f>'Annual Raw'!J6</f>
        <v>0</v>
      </c>
      <c r="J20" s="25">
        <f>'Annual Raw'!K6</f>
        <v>1.6416811</v>
      </c>
      <c r="K20" s="25">
        <f>'Annual Raw'!L6</f>
        <v>2.0119999000000002</v>
      </c>
      <c r="L20" s="25">
        <f>'Annual Raw'!M6</f>
        <v>2.012</v>
      </c>
      <c r="M20" s="25">
        <f>'Annual Raw'!N6</f>
        <v>0.94233259999999996</v>
      </c>
      <c r="N20" s="25">
        <f>'Annual Raw'!O6</f>
        <v>0.63295319999999999</v>
      </c>
      <c r="O20" s="25">
        <f>'Annual Raw'!P6</f>
        <v>0.503</v>
      </c>
      <c r="P20" s="25">
        <f>'Annual Raw'!Q6</f>
        <v>0</v>
      </c>
      <c r="Q20" s="25">
        <f>'Annual Raw'!R6</f>
        <v>0.47499999999999998</v>
      </c>
      <c r="R20" s="25">
        <f>'Annual Raw'!S6</f>
        <v>41.014000000000003</v>
      </c>
      <c r="S20" s="25">
        <f>'Annual Raw'!T6</f>
        <v>221.03200000000001</v>
      </c>
      <c r="T20" s="25">
        <f>'Annual Raw'!U6</f>
        <v>276.58699999999999</v>
      </c>
      <c r="U20" s="25">
        <f>'Annual Raw'!V6</f>
        <v>331.827</v>
      </c>
      <c r="V20" s="25">
        <f>'Annual Raw'!W6</f>
        <v>265.33019999999999</v>
      </c>
      <c r="W20" s="25">
        <f>'Annual Raw'!X6</f>
        <v>417.48509999999999</v>
      </c>
      <c r="X20" s="25">
        <f>'Annual Raw'!Y6</f>
        <v>548.63160000000005</v>
      </c>
      <c r="Y20" s="25">
        <f>'Annual Raw'!Z6</f>
        <v>724.32249999999999</v>
      </c>
      <c r="Z20" s="25">
        <f>'Annual Raw'!AA6</f>
        <v>939.09460000000001</v>
      </c>
      <c r="AA20" s="25">
        <f>'Annual Raw'!AB6</f>
        <v>1148.825</v>
      </c>
      <c r="AB20" s="17">
        <f>+SUM(CM20:CP20)</f>
        <v>1481.5132947404486</v>
      </c>
      <c r="AC20" s="17">
        <f>+SUM(CQ20:CT20)</f>
        <v>1925.9672831625833</v>
      </c>
      <c r="AD20" s="17">
        <f>+SUM(CU20:CX20)</f>
        <v>2503.7574681113583</v>
      </c>
      <c r="AE20" s="17">
        <f>+SUM(CY20:DB20)</f>
        <v>3254.8847085447655</v>
      </c>
      <c r="AI20" s="25">
        <f>'QTR Raw'!C6+'QTR Raw'!C8</f>
        <v>0</v>
      </c>
      <c r="AJ20" s="25">
        <f>'QTR Raw'!D6+'QTR Raw'!D8</f>
        <v>0</v>
      </c>
      <c r="AK20" s="25">
        <f>'QTR Raw'!E6+'QTR Raw'!E8</f>
        <v>0</v>
      </c>
      <c r="AL20" s="25">
        <f>'QTR Raw'!F6+'QTR Raw'!F8</f>
        <v>0</v>
      </c>
      <c r="AM20" s="25">
        <f>'QTR Raw'!G6+'QTR Raw'!G8</f>
        <v>0</v>
      </c>
      <c r="AN20" s="25">
        <f>'QTR Raw'!H6+'QTR Raw'!H8</f>
        <v>0</v>
      </c>
      <c r="AO20" s="25">
        <f>'QTR Raw'!I6+'QTR Raw'!I8</f>
        <v>0</v>
      </c>
      <c r="AP20" s="25">
        <f>'QTR Raw'!J6+'QTR Raw'!J8</f>
        <v>0</v>
      </c>
      <c r="AQ20" s="25">
        <f>'QTR Raw'!K6+'QTR Raw'!K8</f>
        <v>0</v>
      </c>
      <c r="AR20" s="25">
        <f>'QTR Raw'!L6+'QTR Raw'!L8</f>
        <v>0</v>
      </c>
      <c r="AS20" s="25">
        <f>'QTR Raw'!M6+'QTR Raw'!M8</f>
        <v>0</v>
      </c>
      <c r="AT20" s="25">
        <f>'QTR Raw'!N6+'QTR Raw'!N8</f>
        <v>0</v>
      </c>
      <c r="AU20" s="25">
        <f>'QTR Raw'!O6+'QTR Raw'!O8</f>
        <v>0</v>
      </c>
      <c r="AV20" s="25">
        <f>'QTR Raw'!P6+'QTR Raw'!P8</f>
        <v>0</v>
      </c>
      <c r="AW20" s="25">
        <f>'QTR Raw'!Q6+'QTR Raw'!Q8</f>
        <v>0</v>
      </c>
      <c r="AX20" s="25">
        <f>'QTR Raw'!R6+'QTR Raw'!R8</f>
        <v>0</v>
      </c>
      <c r="AY20" s="25">
        <f>'QTR Raw'!S6+'QTR Raw'!S8</f>
        <v>0</v>
      </c>
      <c r="AZ20" s="25">
        <f>'QTR Raw'!T6+'QTR Raw'!T8</f>
        <v>0</v>
      </c>
      <c r="BA20" s="25">
        <f>'QTR Raw'!U6+'QTR Raw'!U8</f>
        <v>0</v>
      </c>
      <c r="BB20" s="25">
        <f>'QTR Raw'!V6+'QTR Raw'!V8</f>
        <v>0</v>
      </c>
      <c r="BC20" s="25">
        <f>'QTR Raw'!W6+'QTR Raw'!W8</f>
        <v>0</v>
      </c>
      <c r="BD20" s="25">
        <f>'QTR Raw'!X6+'QTR Raw'!X8</f>
        <v>0</v>
      </c>
      <c r="BE20" s="25">
        <f>'QTR Raw'!Y6+'QTR Raw'!Y8</f>
        <v>0</v>
      </c>
      <c r="BF20" s="25">
        <f>'QTR Raw'!Z6+'QTR Raw'!Z8</f>
        <v>0</v>
      </c>
      <c r="BG20" s="25">
        <f>'QTR Raw'!AA6+'QTR Raw'!AA8</f>
        <v>0</v>
      </c>
      <c r="BH20" s="25">
        <f>'QTR Raw'!AB6+'QTR Raw'!AB8</f>
        <v>0</v>
      </c>
      <c r="BI20" s="25">
        <f>'QTR Raw'!AC6+'QTR Raw'!AC8</f>
        <v>0</v>
      </c>
      <c r="BJ20" s="25">
        <f>'QTR Raw'!AD6+'QTR Raw'!AD8</f>
        <v>0</v>
      </c>
      <c r="BK20" s="25">
        <f>'QTR Raw'!AE6+'QTR Raw'!AE8</f>
        <v>0</v>
      </c>
      <c r="BL20" s="25">
        <f>'QTR Raw'!AF6+'QTR Raw'!AF8</f>
        <v>0</v>
      </c>
      <c r="BM20" s="25">
        <f>'QTR Raw'!AG6+'QTR Raw'!AG8</f>
        <v>0</v>
      </c>
      <c r="BN20" s="25">
        <f>'QTR Raw'!AH6+'QTR Raw'!AH8</f>
        <v>0</v>
      </c>
      <c r="BO20" s="25">
        <f>'QTR Raw'!AI6+'QTR Raw'!AI8</f>
        <v>0</v>
      </c>
      <c r="BP20" s="25">
        <f>'QTR Raw'!AJ6+'QTR Raw'!AJ8</f>
        <v>0</v>
      </c>
      <c r="BQ20" s="25">
        <f>'QTR Raw'!AK6+'QTR Raw'!AK8</f>
        <v>68.081999999999994</v>
      </c>
      <c r="BR20" s="25">
        <f>'QTR Raw'!AL6+'QTR Raw'!AL8</f>
        <v>70.203000000000003</v>
      </c>
      <c r="BS20" s="25">
        <f>'QTR Raw'!AM6+'QTR Raw'!AM8</f>
        <v>97.552000000000007</v>
      </c>
      <c r="BT20" s="25">
        <f>'QTR Raw'!AN6+'QTR Raw'!AN8</f>
        <v>101.72499999999999</v>
      </c>
      <c r="BU20" s="25">
        <f>'QTR Raw'!AO6+'QTR Raw'!AO8</f>
        <v>105.693</v>
      </c>
      <c r="BV20" s="25">
        <f>'QTR Raw'!AP6+'QTR Raw'!AP8</f>
        <v>112.515</v>
      </c>
      <c r="BW20" s="25">
        <f>'QTR Raw'!AQ6+'QTR Raw'!AQ8</f>
        <v>131.607</v>
      </c>
      <c r="BX20" s="25">
        <f>'QTR Raw'!AR6+'QTR Raw'!AR8</f>
        <v>136.06299999999999</v>
      </c>
      <c r="BY20" s="25">
        <f>'QTR Raw'!AS6+'QTR Raw'!AS8</f>
        <v>138.00200000000001</v>
      </c>
      <c r="BZ20" s="25">
        <f>'QTR Raw'!AT6+'QTR Raw'!AT8</f>
        <v>142.96</v>
      </c>
      <c r="CA20" s="25">
        <f>'QTR Raw'!AU6+'QTR Raw'!AU8</f>
        <v>175.02600000000001</v>
      </c>
      <c r="CB20" s="25">
        <f>'QTR Raw'!AV6+'QTR Raw'!AV8</f>
        <v>182.58099999999999</v>
      </c>
      <c r="CC20" s="25">
        <f>'QTR Raw'!AW6+'QTR Raw'!AW8</f>
        <v>182.43100000000001</v>
      </c>
      <c r="CD20" s="25">
        <f>'QTR Raw'!AX6+'QTR Raw'!AX8</f>
        <v>184.28399999999999</v>
      </c>
      <c r="CE20" s="25">
        <f>'QTR Raw'!AY6+'QTR Raw'!AY8</f>
        <v>237.614</v>
      </c>
      <c r="CF20" s="25">
        <f>'QTR Raw'!AZ6+'QTR Raw'!AZ8</f>
        <v>242.48099999999999</v>
      </c>
      <c r="CG20" s="25">
        <f>'QTR Raw'!BA6+'QTR Raw'!BA8</f>
        <v>237.04</v>
      </c>
      <c r="CH20" s="25">
        <f>'QTR Raw'!BB6+'QTR Raw'!BB8</f>
        <v>221.96</v>
      </c>
      <c r="CI20" s="25">
        <f>'QTR Raw'!BC6+'QTR Raw'!BC8</f>
        <v>274.017</v>
      </c>
      <c r="CJ20" s="25">
        <f>'QTR Raw'!BD6+'QTR Raw'!BD8</f>
        <v>297.36599999999999</v>
      </c>
      <c r="CK20" s="25">
        <f>'QTR Raw'!BE6+'QTR Raw'!BE8</f>
        <v>289.62400000000002</v>
      </c>
      <c r="CL20" s="25">
        <f>'QTR Raw'!BF6+'QTR Raw'!BF8</f>
        <v>287.81799999999998</v>
      </c>
      <c r="CM20" s="17">
        <f t="shared" ref="CM20:DB20" si="54">+CM13*AVERAGE(CL8:CM8)</f>
        <v>344.26289474044876</v>
      </c>
      <c r="CN20" s="17">
        <f t="shared" si="54"/>
        <v>386.57579999999996</v>
      </c>
      <c r="CO20" s="17">
        <f t="shared" si="54"/>
        <v>376.51120000000003</v>
      </c>
      <c r="CP20" s="17">
        <f t="shared" si="54"/>
        <v>374.16339999999997</v>
      </c>
      <c r="CQ20" s="17">
        <f t="shared" si="54"/>
        <v>447.54176316258344</v>
      </c>
      <c r="CR20" s="17">
        <f t="shared" si="54"/>
        <v>502.54853999999995</v>
      </c>
      <c r="CS20" s="17">
        <f t="shared" si="54"/>
        <v>489.46455999999995</v>
      </c>
      <c r="CT20" s="17">
        <f t="shared" si="54"/>
        <v>486.41241999999994</v>
      </c>
      <c r="CU20" s="17">
        <f t="shared" si="54"/>
        <v>581.80429211135834</v>
      </c>
      <c r="CV20" s="17">
        <f t="shared" si="54"/>
        <v>653.31310199999996</v>
      </c>
      <c r="CW20" s="17">
        <f t="shared" si="54"/>
        <v>636.30392799999993</v>
      </c>
      <c r="CX20" s="17">
        <f t="shared" si="54"/>
        <v>632.33614599999987</v>
      </c>
      <c r="CY20" s="17">
        <f t="shared" si="54"/>
        <v>756.34557974476581</v>
      </c>
      <c r="CZ20" s="17">
        <f t="shared" si="54"/>
        <v>849.30703259999984</v>
      </c>
      <c r="DA20" s="17">
        <f t="shared" si="54"/>
        <v>827.1951064000001</v>
      </c>
      <c r="DB20" s="17">
        <f t="shared" si="54"/>
        <v>822.0369897999999</v>
      </c>
      <c r="DE20" s="119"/>
      <c r="DF20" s="25">
        <v>1148.825</v>
      </c>
    </row>
    <row r="21" spans="1:110" s="92" customFormat="1" outlineLevel="1" x14ac:dyDescent="0.2">
      <c r="A21" s="92" t="s">
        <v>109</v>
      </c>
      <c r="B21" s="92">
        <f>'Annual Raw'!C7+'Annual Raw'!C8+'Annual Raw'!C9</f>
        <v>0</v>
      </c>
      <c r="C21" s="92">
        <f>'Annual Raw'!D7+'Annual Raw'!D8+'Annual Raw'!D9</f>
        <v>0</v>
      </c>
      <c r="D21" s="92">
        <f>'Annual Raw'!E7+'Annual Raw'!E8+'Annual Raw'!E9</f>
        <v>0</v>
      </c>
      <c r="E21" s="92">
        <f>'Annual Raw'!F7+'Annual Raw'!F8+'Annual Raw'!F9</f>
        <v>0</v>
      </c>
      <c r="F21" s="92">
        <f>'Annual Raw'!G7+'Annual Raw'!G8+'Annual Raw'!G9</f>
        <v>0</v>
      </c>
      <c r="G21" s="92">
        <f>'Annual Raw'!H7+'Annual Raw'!H8+'Annual Raw'!H9</f>
        <v>0</v>
      </c>
      <c r="H21" s="92">
        <f>'Annual Raw'!I7+'Annual Raw'!I8+'Annual Raw'!I9</f>
        <v>0</v>
      </c>
      <c r="I21" s="92">
        <f>'Annual Raw'!J7+'Annual Raw'!J8+'Annual Raw'!J9</f>
        <v>0</v>
      </c>
      <c r="J21" s="92">
        <f>'Annual Raw'!K7+'Annual Raw'!K8+'Annual Raw'!K9</f>
        <v>0</v>
      </c>
      <c r="K21" s="92">
        <f>'Annual Raw'!L7+'Annual Raw'!L8+'Annual Raw'!L9</f>
        <v>0</v>
      </c>
      <c r="L21" s="92">
        <f>'Annual Raw'!M7+'Annual Raw'!M8+'Annual Raw'!M9</f>
        <v>0</v>
      </c>
      <c r="M21" s="92">
        <f>'Annual Raw'!N7+'Annual Raw'!N8+'Annual Raw'!N9</f>
        <v>0</v>
      </c>
      <c r="N21" s="92">
        <f>'Annual Raw'!O7+'Annual Raw'!O8+'Annual Raw'!O9</f>
        <v>0</v>
      </c>
      <c r="O21" s="92">
        <f>'Annual Raw'!P7+'Annual Raw'!P8+'Annual Raw'!P9</f>
        <v>0</v>
      </c>
      <c r="P21" s="92">
        <f>'Annual Raw'!Q7+'Annual Raw'!Q8+'Annual Raw'!Q9</f>
        <v>0</v>
      </c>
      <c r="Q21" s="92">
        <f>'Annual Raw'!R7+'Annual Raw'!R8+'Annual Raw'!R9</f>
        <v>0</v>
      </c>
      <c r="R21" s="92">
        <f>'Annual Raw'!S7+'Annual Raw'!S8+'Annual Raw'!S9</f>
        <v>0</v>
      </c>
      <c r="S21" s="92">
        <f>'Annual Raw'!T7+'Annual Raw'!T8+'Annual Raw'!T9</f>
        <v>0</v>
      </c>
      <c r="T21" s="92">
        <f>'Annual Raw'!U7+'Annual Raw'!U8+'Annual Raw'!U9</f>
        <v>0</v>
      </c>
      <c r="U21" s="92">
        <f>'Annual Raw'!V7+'Annual Raw'!V8+'Annual Raw'!V9</f>
        <v>0</v>
      </c>
      <c r="V21" s="92">
        <f>'Annual Raw'!W7+'Annual Raw'!W8+'Annual Raw'!W9</f>
        <v>0</v>
      </c>
      <c r="W21" s="92">
        <f>'Annual Raw'!X7+'Annual Raw'!X8+'Annual Raw'!X9</f>
        <v>0</v>
      </c>
      <c r="X21" s="92">
        <f>'Annual Raw'!Y7+'Annual Raw'!Y8+'Annual Raw'!Y9</f>
        <v>0</v>
      </c>
      <c r="Y21" s="92">
        <f>'Annual Raw'!Z7+'Annual Raw'!Z8+'Annual Raw'!Z9</f>
        <v>0</v>
      </c>
      <c r="Z21" s="92">
        <f>'Annual Raw'!AA7+'Annual Raw'!AA8+'Annual Raw'!AA9</f>
        <v>0</v>
      </c>
      <c r="AA21" s="92">
        <f>'Annual Raw'!AB7+'Annual Raw'!AB8+'Annual Raw'!AB9</f>
        <v>0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92">
        <f>+'QTR Raw'!C20+'QTR Raw'!C19+'QTR Raw'!C13+'QTR Raw'!C7</f>
        <v>0</v>
      </c>
      <c r="AJ21" s="92">
        <f>+'QTR Raw'!D20+'QTR Raw'!D19+'QTR Raw'!D13+'QTR Raw'!D7</f>
        <v>0</v>
      </c>
      <c r="AK21" s="92">
        <f>+'QTR Raw'!E20+'QTR Raw'!E19+'QTR Raw'!E13+'QTR Raw'!E7</f>
        <v>0</v>
      </c>
      <c r="AL21" s="92">
        <f>+'QTR Raw'!F20+'QTR Raw'!F19+'QTR Raw'!F13+'QTR Raw'!F7</f>
        <v>0</v>
      </c>
      <c r="AM21" s="92">
        <f>+'QTR Raw'!G20+'QTR Raw'!G19+'QTR Raw'!G13+'QTR Raw'!G7</f>
        <v>0</v>
      </c>
      <c r="AN21" s="92">
        <f>+'QTR Raw'!H20+'QTR Raw'!H19+'QTR Raw'!H13+'QTR Raw'!H7</f>
        <v>0</v>
      </c>
      <c r="AO21" s="92">
        <f>+'QTR Raw'!I20+'QTR Raw'!I19+'QTR Raw'!I13+'QTR Raw'!I7</f>
        <v>0</v>
      </c>
      <c r="AP21" s="92">
        <f>+'QTR Raw'!J20+'QTR Raw'!J19+'QTR Raw'!J13+'QTR Raw'!J7</f>
        <v>0</v>
      </c>
      <c r="AQ21" s="92">
        <f>+'QTR Raw'!K20+'QTR Raw'!K19+'QTR Raw'!K13+'QTR Raw'!K7</f>
        <v>0</v>
      </c>
      <c r="AR21" s="92">
        <f>+'QTR Raw'!L20+'QTR Raw'!L19+'QTR Raw'!L13+'QTR Raw'!L7</f>
        <v>0</v>
      </c>
      <c r="AS21" s="92">
        <f>+'QTR Raw'!M20+'QTR Raw'!M19+'QTR Raw'!M13+'QTR Raw'!M7</f>
        <v>0</v>
      </c>
      <c r="AT21" s="92">
        <f>+'QTR Raw'!N20+'QTR Raw'!N19+'QTR Raw'!N13+'QTR Raw'!N7</f>
        <v>0</v>
      </c>
      <c r="AU21" s="92">
        <f>+'QTR Raw'!O20+'QTR Raw'!O19+'QTR Raw'!O13+'QTR Raw'!O7</f>
        <v>0</v>
      </c>
      <c r="AV21" s="92">
        <f>+'QTR Raw'!P20+'QTR Raw'!P19+'QTR Raw'!P13+'QTR Raw'!P7</f>
        <v>0</v>
      </c>
      <c r="AW21" s="92">
        <f>+'QTR Raw'!Q20+'QTR Raw'!Q19+'QTR Raw'!Q13+'QTR Raw'!Q7</f>
        <v>0</v>
      </c>
      <c r="AX21" s="92">
        <f>+'QTR Raw'!R20+'QTR Raw'!R19+'QTR Raw'!R13+'QTR Raw'!R7</f>
        <v>0</v>
      </c>
      <c r="AY21" s="92">
        <f>+'QTR Raw'!S20+'QTR Raw'!S19+'QTR Raw'!S13+'QTR Raw'!S7</f>
        <v>0</v>
      </c>
      <c r="AZ21" s="92">
        <f>+'QTR Raw'!T20+'QTR Raw'!T19+'QTR Raw'!T13+'QTR Raw'!T7</f>
        <v>0</v>
      </c>
      <c r="BA21" s="92">
        <f>+'QTR Raw'!U20+'QTR Raw'!U19+'QTR Raw'!U13+'QTR Raw'!U7</f>
        <v>0</v>
      </c>
      <c r="BB21" s="92">
        <f>+'QTR Raw'!V20+'QTR Raw'!V19+'QTR Raw'!V13+'QTR Raw'!V7</f>
        <v>0</v>
      </c>
      <c r="BC21" s="92">
        <f>+'QTR Raw'!W20+'QTR Raw'!W19+'QTR Raw'!W13+'QTR Raw'!W7</f>
        <v>0</v>
      </c>
      <c r="BD21" s="92">
        <f>+'QTR Raw'!X20+'QTR Raw'!X19+'QTR Raw'!X13+'QTR Raw'!X7</f>
        <v>0</v>
      </c>
      <c r="BE21" s="92">
        <f>+'QTR Raw'!Y20+'QTR Raw'!Y19+'QTR Raw'!Y13+'QTR Raw'!Y7</f>
        <v>0</v>
      </c>
      <c r="BF21" s="92">
        <f>+'QTR Raw'!Z20+'QTR Raw'!Z19+'QTR Raw'!Z13+'QTR Raw'!Z7</f>
        <v>0</v>
      </c>
      <c r="BG21" s="92">
        <f>+'QTR Raw'!AA20+'QTR Raw'!AA19+'QTR Raw'!AA13+'QTR Raw'!AA7</f>
        <v>0</v>
      </c>
      <c r="BH21" s="92">
        <f>+'QTR Raw'!AB20+'QTR Raw'!AB19+'QTR Raw'!AB13+'QTR Raw'!AB7</f>
        <v>0</v>
      </c>
      <c r="BI21" s="92">
        <f>+'QTR Raw'!AC20+'QTR Raw'!AC19+'QTR Raw'!AC13+'QTR Raw'!AC7</f>
        <v>0</v>
      </c>
      <c r="BJ21" s="92">
        <f>+'QTR Raw'!AD20+'QTR Raw'!AD19+'QTR Raw'!AD13+'QTR Raw'!AD7</f>
        <v>0</v>
      </c>
      <c r="BK21" s="92">
        <f>+'QTR Raw'!AE20+'QTR Raw'!AE19+'QTR Raw'!AE13+'QTR Raw'!AE7</f>
        <v>0</v>
      </c>
      <c r="BL21" s="92">
        <f>+'QTR Raw'!AF20+'QTR Raw'!AF19+'QTR Raw'!AF13+'QTR Raw'!AF7</f>
        <v>0</v>
      </c>
      <c r="BM21" s="92">
        <f>+'QTR Raw'!AG20+'QTR Raw'!AG19+'QTR Raw'!AG13+'QTR Raw'!AG7</f>
        <v>0</v>
      </c>
      <c r="BN21" s="92">
        <f>+'QTR Raw'!AH20+'QTR Raw'!AH19+'QTR Raw'!AH13+'QTR Raw'!AH7</f>
        <v>0</v>
      </c>
      <c r="BO21" s="92">
        <f>+'QTR Raw'!AI20+'QTR Raw'!AI19+'QTR Raw'!AI13+'QTR Raw'!AI7</f>
        <v>0</v>
      </c>
      <c r="BP21" s="92">
        <f>+'QTR Raw'!AJ20+'QTR Raw'!AJ19+'QTR Raw'!AJ13+'QTR Raw'!AJ7</f>
        <v>0</v>
      </c>
      <c r="BQ21" s="92">
        <f>+'QTR Raw'!AK20+'QTR Raw'!AK19+'QTR Raw'!AK13+'QTR Raw'!AK7</f>
        <v>0</v>
      </c>
      <c r="BR21" s="92">
        <f>+'QTR Raw'!AL20+'QTR Raw'!AL19+'QTR Raw'!AL13+'QTR Raw'!AL7</f>
        <v>0</v>
      </c>
      <c r="BS21" s="92">
        <f>+'QTR Raw'!AM20+'QTR Raw'!AM19+'QTR Raw'!AM13+'QTR Raw'!AM7</f>
        <v>0</v>
      </c>
      <c r="BT21" s="92">
        <f>+'QTR Raw'!AN20+'QTR Raw'!AN19+'QTR Raw'!AN13+'QTR Raw'!AN7</f>
        <v>0</v>
      </c>
      <c r="BU21" s="92">
        <f>+'QTR Raw'!AO20+'QTR Raw'!AO19+'QTR Raw'!AO13+'QTR Raw'!AO7</f>
        <v>0</v>
      </c>
      <c r="BV21" s="92">
        <f>+'QTR Raw'!AP20+'QTR Raw'!AP19+'QTR Raw'!AP13+'QTR Raw'!AP7</f>
        <v>0</v>
      </c>
      <c r="BW21" s="92">
        <f>+'QTR Raw'!AQ20+'QTR Raw'!AQ19+'QTR Raw'!AQ13+'QTR Raw'!AQ7</f>
        <v>0</v>
      </c>
      <c r="BX21" s="92">
        <f>+'QTR Raw'!AR20+'QTR Raw'!AR19+'QTR Raw'!AR13+'QTR Raw'!AR7</f>
        <v>0</v>
      </c>
      <c r="BY21" s="92">
        <f>+'QTR Raw'!AS20+'QTR Raw'!AS19+'QTR Raw'!AS13+'QTR Raw'!AS7</f>
        <v>0</v>
      </c>
      <c r="BZ21" s="92">
        <f>+'QTR Raw'!AT20+'QTR Raw'!AT19+'QTR Raw'!AT13+'QTR Raw'!AT7</f>
        <v>0</v>
      </c>
      <c r="CA21" s="92">
        <f>+'QTR Raw'!AU20+'QTR Raw'!AU19+'QTR Raw'!AU13+'QTR Raw'!AU7</f>
        <v>0</v>
      </c>
      <c r="CB21" s="92">
        <f>+'QTR Raw'!AV20+'QTR Raw'!AV19+'QTR Raw'!AV13+'QTR Raw'!AV7</f>
        <v>0</v>
      </c>
      <c r="CC21" s="92">
        <f>+'QTR Raw'!AW20+'QTR Raw'!AW19+'QTR Raw'!AW13+'QTR Raw'!AW7</f>
        <v>0</v>
      </c>
      <c r="CD21" s="92">
        <f>+'QTR Raw'!AX20+'QTR Raw'!AX19+'QTR Raw'!AX13+'QTR Raw'!AX7</f>
        <v>0</v>
      </c>
      <c r="CE21" s="92">
        <f>+'QTR Raw'!AY20+'QTR Raw'!AY19+'QTR Raw'!AY13+'QTR Raw'!AY7</f>
        <v>0</v>
      </c>
      <c r="CF21" s="92">
        <f>+'QTR Raw'!AZ20+'QTR Raw'!AZ19+'QTR Raw'!AZ13+'QTR Raw'!AZ7</f>
        <v>0</v>
      </c>
      <c r="CG21" s="92">
        <f>+'QTR Raw'!BA20+'QTR Raw'!BA19+'QTR Raw'!BA13+'QTR Raw'!BA7</f>
        <v>0</v>
      </c>
      <c r="CH21" s="92">
        <f>+'QTR Raw'!BB20+'QTR Raw'!BB19+'QTR Raw'!BB13+'QTR Raw'!BB7</f>
        <v>0</v>
      </c>
      <c r="CI21" s="92">
        <f>+'QTR Raw'!BC20+'QTR Raw'!BC19+'QTR Raw'!BC13+'QTR Raw'!BC7</f>
        <v>0</v>
      </c>
      <c r="CJ21" s="92">
        <f>+'QTR Raw'!BD20+'QTR Raw'!BD19+'QTR Raw'!BD13+'QTR Raw'!BD7</f>
        <v>0</v>
      </c>
      <c r="CK21" s="92">
        <f>+'QTR Raw'!BE20+'QTR Raw'!BE19+'QTR Raw'!BE13+'QTR Raw'!BE7</f>
        <v>0</v>
      </c>
      <c r="CL21" s="92">
        <f>+'QTR Raw'!BF20+'QTR Raw'!BF19+'QTR Raw'!BF13+'QTR Raw'!BF7</f>
        <v>0</v>
      </c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E21" s="120"/>
      <c r="DF21" s="92">
        <v>0</v>
      </c>
    </row>
    <row r="22" spans="1:110" s="26" customFormat="1" x14ac:dyDescent="0.2">
      <c r="A22" s="26" t="s">
        <v>431</v>
      </c>
      <c r="B22" s="26">
        <f>+B20-B21</f>
        <v>0</v>
      </c>
      <c r="C22" s="26">
        <f>+C20-C21</f>
        <v>0</v>
      </c>
      <c r="D22" s="26">
        <f t="shared" ref="D22:U22" si="55">+D20-D21</f>
        <v>0</v>
      </c>
      <c r="E22" s="26">
        <f t="shared" si="55"/>
        <v>0</v>
      </c>
      <c r="F22" s="26">
        <f t="shared" si="55"/>
        <v>0</v>
      </c>
      <c r="G22" s="26">
        <f t="shared" si="55"/>
        <v>0</v>
      </c>
      <c r="H22" s="26">
        <f t="shared" si="55"/>
        <v>0</v>
      </c>
      <c r="I22" s="26">
        <f t="shared" si="55"/>
        <v>0</v>
      </c>
      <c r="J22" s="26">
        <f t="shared" si="55"/>
        <v>1.6416811</v>
      </c>
      <c r="K22" s="26">
        <f t="shared" si="55"/>
        <v>2.0119999000000002</v>
      </c>
      <c r="L22" s="26">
        <f t="shared" si="55"/>
        <v>2.012</v>
      </c>
      <c r="M22" s="26">
        <f t="shared" si="55"/>
        <v>0.94233259999999996</v>
      </c>
      <c r="N22" s="26">
        <f t="shared" si="55"/>
        <v>0.63295319999999999</v>
      </c>
      <c r="O22" s="26">
        <f t="shared" si="55"/>
        <v>0.503</v>
      </c>
      <c r="P22" s="26">
        <f t="shared" si="55"/>
        <v>0</v>
      </c>
      <c r="Q22" s="26">
        <f t="shared" si="55"/>
        <v>0.47499999999999998</v>
      </c>
      <c r="R22" s="26">
        <f t="shared" si="55"/>
        <v>41.014000000000003</v>
      </c>
      <c r="S22" s="26">
        <f t="shared" si="55"/>
        <v>221.03200000000001</v>
      </c>
      <c r="T22" s="26">
        <f t="shared" si="55"/>
        <v>276.58699999999999</v>
      </c>
      <c r="U22" s="26">
        <f t="shared" si="55"/>
        <v>331.827</v>
      </c>
      <c r="V22" s="26">
        <f t="shared" ref="V22:AA22" si="56">+V20-V21</f>
        <v>265.33019999999999</v>
      </c>
      <c r="W22" s="26">
        <f t="shared" si="56"/>
        <v>417.48509999999999</v>
      </c>
      <c r="X22" s="26">
        <f t="shared" si="56"/>
        <v>548.63160000000005</v>
      </c>
      <c r="Y22" s="26">
        <f t="shared" si="56"/>
        <v>724.32249999999999</v>
      </c>
      <c r="Z22" s="26">
        <f t="shared" si="56"/>
        <v>939.09460000000001</v>
      </c>
      <c r="AA22" s="26">
        <f t="shared" si="56"/>
        <v>1148.825</v>
      </c>
      <c r="AB22" s="27">
        <f t="shared" ref="AB22:AD22" si="57">+AB20-AB21</f>
        <v>1481.5132947404486</v>
      </c>
      <c r="AC22" s="27">
        <f t="shared" si="57"/>
        <v>1925.9672831625833</v>
      </c>
      <c r="AD22" s="27">
        <f t="shared" si="57"/>
        <v>2503.7574681113583</v>
      </c>
      <c r="AE22" s="27">
        <f t="shared" ref="AE22" si="58">+AE20-AE21</f>
        <v>3254.8847085447655</v>
      </c>
      <c r="AI22" s="26">
        <f t="shared" ref="AI22" si="59">+AI20-AI21</f>
        <v>0</v>
      </c>
      <c r="AJ22" s="26">
        <f t="shared" ref="AJ22" si="60">+AJ20-AJ21</f>
        <v>0</v>
      </c>
      <c r="AK22" s="26">
        <f t="shared" ref="AK22:AM22" si="61">+AK20-AK21</f>
        <v>0</v>
      </c>
      <c r="AL22" s="26">
        <f t="shared" si="61"/>
        <v>0</v>
      </c>
      <c r="AM22" s="26">
        <f t="shared" si="61"/>
        <v>0</v>
      </c>
      <c r="AN22" s="26">
        <f t="shared" ref="AN22:AO22" si="62">+AN20-AN21</f>
        <v>0</v>
      </c>
      <c r="AO22" s="26">
        <f t="shared" si="62"/>
        <v>0</v>
      </c>
      <c r="AP22" s="26">
        <f t="shared" ref="AP22:AW22" si="63">+AP20-AP21</f>
        <v>0</v>
      </c>
      <c r="AQ22" s="26">
        <f t="shared" si="63"/>
        <v>0</v>
      </c>
      <c r="AR22" s="26">
        <f t="shared" si="63"/>
        <v>0</v>
      </c>
      <c r="AS22" s="26">
        <f t="shared" si="63"/>
        <v>0</v>
      </c>
      <c r="AT22" s="26">
        <f t="shared" si="63"/>
        <v>0</v>
      </c>
      <c r="AU22" s="26">
        <f t="shared" si="63"/>
        <v>0</v>
      </c>
      <c r="AV22" s="26">
        <f t="shared" si="63"/>
        <v>0</v>
      </c>
      <c r="AW22" s="26">
        <f t="shared" si="63"/>
        <v>0</v>
      </c>
      <c r="AX22" s="26">
        <f t="shared" ref="AX22:CF22" si="64">+AX20-AX21</f>
        <v>0</v>
      </c>
      <c r="AY22" s="26">
        <f t="shared" si="64"/>
        <v>0</v>
      </c>
      <c r="AZ22" s="26">
        <f t="shared" si="64"/>
        <v>0</v>
      </c>
      <c r="BA22" s="26">
        <f t="shared" si="64"/>
        <v>0</v>
      </c>
      <c r="BB22" s="26">
        <f t="shared" si="64"/>
        <v>0</v>
      </c>
      <c r="BC22" s="26">
        <f t="shared" si="64"/>
        <v>0</v>
      </c>
      <c r="BD22" s="26">
        <f t="shared" si="64"/>
        <v>0</v>
      </c>
      <c r="BE22" s="26">
        <f t="shared" si="64"/>
        <v>0</v>
      </c>
      <c r="BF22" s="26">
        <f t="shared" si="64"/>
        <v>0</v>
      </c>
      <c r="BG22" s="26">
        <f t="shared" si="64"/>
        <v>0</v>
      </c>
      <c r="BH22" s="26">
        <f t="shared" si="64"/>
        <v>0</v>
      </c>
      <c r="BI22" s="26">
        <f t="shared" si="64"/>
        <v>0</v>
      </c>
      <c r="BJ22" s="26">
        <f t="shared" si="64"/>
        <v>0</v>
      </c>
      <c r="BK22" s="26">
        <f t="shared" si="64"/>
        <v>0</v>
      </c>
      <c r="BL22" s="26">
        <f t="shared" si="64"/>
        <v>0</v>
      </c>
      <c r="BM22" s="26">
        <f t="shared" si="64"/>
        <v>0</v>
      </c>
      <c r="BN22" s="26">
        <f t="shared" si="64"/>
        <v>0</v>
      </c>
      <c r="BO22" s="26">
        <f t="shared" si="64"/>
        <v>0</v>
      </c>
      <c r="BP22" s="26">
        <f t="shared" si="64"/>
        <v>0</v>
      </c>
      <c r="BQ22" s="26">
        <f t="shared" si="64"/>
        <v>68.081999999999994</v>
      </c>
      <c r="BR22" s="26">
        <f t="shared" si="64"/>
        <v>70.203000000000003</v>
      </c>
      <c r="BS22" s="26">
        <f t="shared" si="64"/>
        <v>97.552000000000007</v>
      </c>
      <c r="BT22" s="26">
        <f t="shared" si="64"/>
        <v>101.72499999999999</v>
      </c>
      <c r="BU22" s="26">
        <f t="shared" si="64"/>
        <v>105.693</v>
      </c>
      <c r="BV22" s="26">
        <f t="shared" si="64"/>
        <v>112.515</v>
      </c>
      <c r="BW22" s="26">
        <f t="shared" si="64"/>
        <v>131.607</v>
      </c>
      <c r="BX22" s="26">
        <f t="shared" si="64"/>
        <v>136.06299999999999</v>
      </c>
      <c r="BY22" s="26">
        <f t="shared" si="64"/>
        <v>138.00200000000001</v>
      </c>
      <c r="BZ22" s="26">
        <f t="shared" si="64"/>
        <v>142.96</v>
      </c>
      <c r="CA22" s="26">
        <f t="shared" si="64"/>
        <v>175.02600000000001</v>
      </c>
      <c r="CB22" s="26">
        <f t="shared" si="64"/>
        <v>182.58099999999999</v>
      </c>
      <c r="CC22" s="26">
        <f t="shared" si="64"/>
        <v>182.43100000000001</v>
      </c>
      <c r="CD22" s="26">
        <f t="shared" si="64"/>
        <v>184.28399999999999</v>
      </c>
      <c r="CE22" s="26">
        <f t="shared" si="64"/>
        <v>237.614</v>
      </c>
      <c r="CF22" s="26">
        <f t="shared" si="64"/>
        <v>242.48099999999999</v>
      </c>
      <c r="CG22" s="26">
        <f t="shared" ref="CG22:CH22" si="65">+CG20-CG21</f>
        <v>237.04</v>
      </c>
      <c r="CH22" s="26">
        <f t="shared" si="65"/>
        <v>221.96</v>
      </c>
      <c r="CI22" s="26">
        <f t="shared" ref="CI22:CJ22" si="66">+CI20-CI21</f>
        <v>274.017</v>
      </c>
      <c r="CJ22" s="26">
        <f t="shared" si="66"/>
        <v>297.36599999999999</v>
      </c>
      <c r="CK22" s="26">
        <f t="shared" ref="CK22:DB22" si="67">+CK20-CK21</f>
        <v>289.62400000000002</v>
      </c>
      <c r="CL22" s="26">
        <f t="shared" ref="CL22" si="68">+CL20-CL21</f>
        <v>287.81799999999998</v>
      </c>
      <c r="CM22" s="27">
        <f t="shared" si="67"/>
        <v>344.26289474044876</v>
      </c>
      <c r="CN22" s="27">
        <f t="shared" si="67"/>
        <v>386.57579999999996</v>
      </c>
      <c r="CO22" s="27">
        <f t="shared" si="67"/>
        <v>376.51120000000003</v>
      </c>
      <c r="CP22" s="27">
        <f t="shared" si="67"/>
        <v>374.16339999999997</v>
      </c>
      <c r="CQ22" s="27">
        <f t="shared" si="67"/>
        <v>447.54176316258344</v>
      </c>
      <c r="CR22" s="27">
        <f t="shared" si="67"/>
        <v>502.54853999999995</v>
      </c>
      <c r="CS22" s="27">
        <f t="shared" si="67"/>
        <v>489.46455999999995</v>
      </c>
      <c r="CT22" s="27">
        <f t="shared" si="67"/>
        <v>486.41241999999994</v>
      </c>
      <c r="CU22" s="27">
        <f t="shared" si="67"/>
        <v>581.80429211135834</v>
      </c>
      <c r="CV22" s="27">
        <f t="shared" si="67"/>
        <v>653.31310199999996</v>
      </c>
      <c r="CW22" s="27">
        <f t="shared" si="67"/>
        <v>636.30392799999993</v>
      </c>
      <c r="CX22" s="27">
        <f t="shared" si="67"/>
        <v>632.33614599999987</v>
      </c>
      <c r="CY22" s="27">
        <f t="shared" si="67"/>
        <v>756.34557974476581</v>
      </c>
      <c r="CZ22" s="27">
        <f t="shared" si="67"/>
        <v>849.30703259999984</v>
      </c>
      <c r="DA22" s="27">
        <f t="shared" si="67"/>
        <v>827.1951064000001</v>
      </c>
      <c r="DB22" s="27">
        <f t="shared" si="67"/>
        <v>822.0369897999999</v>
      </c>
      <c r="DE22" s="121"/>
      <c r="DF22" s="26">
        <v>1148.825</v>
      </c>
    </row>
    <row r="23" spans="1:110" s="39" customFormat="1" x14ac:dyDescent="0.2">
      <c r="A23" s="39" t="s">
        <v>484</v>
      </c>
      <c r="C23" s="39" t="e">
        <f t="shared" ref="C23" si="69">C22/B22-1</f>
        <v>#DIV/0!</v>
      </c>
      <c r="D23" s="39" t="e">
        <f t="shared" ref="D23" si="70">D22/C22-1</f>
        <v>#DIV/0!</v>
      </c>
      <c r="E23" s="39" t="e">
        <f t="shared" ref="E23" si="71">E22/D22-1</f>
        <v>#DIV/0!</v>
      </c>
      <c r="F23" s="39" t="e">
        <f t="shared" ref="F23:R23" si="72">F22/E22-1</f>
        <v>#DIV/0!</v>
      </c>
      <c r="G23" s="39" t="e">
        <f t="shared" si="72"/>
        <v>#DIV/0!</v>
      </c>
      <c r="H23" s="39" t="e">
        <f t="shared" si="72"/>
        <v>#DIV/0!</v>
      </c>
      <c r="I23" s="39" t="e">
        <f t="shared" si="72"/>
        <v>#DIV/0!</v>
      </c>
      <c r="J23" s="39" t="e">
        <f t="shared" si="72"/>
        <v>#DIV/0!</v>
      </c>
      <c r="K23" s="39">
        <f>K22/J22-1</f>
        <v>0.22557292034366494</v>
      </c>
      <c r="L23" s="39">
        <f t="shared" si="72"/>
        <v>4.9701791571266085E-8</v>
      </c>
      <c r="M23" s="39">
        <f t="shared" si="72"/>
        <v>-0.53164383697813122</v>
      </c>
      <c r="N23" s="39">
        <f t="shared" si="72"/>
        <v>-0.32831231775277647</v>
      </c>
      <c r="O23" s="39">
        <f t="shared" si="72"/>
        <v>-0.2053124938779044</v>
      </c>
      <c r="P23" s="39">
        <f t="shared" si="72"/>
        <v>-1</v>
      </c>
      <c r="Q23" s="39" t="e">
        <f t="shared" si="72"/>
        <v>#DIV/0!</v>
      </c>
      <c r="R23" s="39">
        <f t="shared" si="72"/>
        <v>85.345263157894749</v>
      </c>
      <c r="S23" s="39">
        <f t="shared" ref="S23:AA23" si="73">S22/R22-1</f>
        <v>4.3891841810113617</v>
      </c>
      <c r="T23" s="39">
        <f t="shared" si="73"/>
        <v>0.25134369684027646</v>
      </c>
      <c r="U23" s="39">
        <f t="shared" si="73"/>
        <v>0.19972016038353213</v>
      </c>
      <c r="V23" s="39">
        <f t="shared" si="73"/>
        <v>-0.2003959894764441</v>
      </c>
      <c r="W23" s="39">
        <f t="shared" si="73"/>
        <v>0.57345488753259155</v>
      </c>
      <c r="X23" s="39">
        <f t="shared" si="73"/>
        <v>0.3141345643233735</v>
      </c>
      <c r="Y23" s="39">
        <f t="shared" si="73"/>
        <v>0.3202347440431792</v>
      </c>
      <c r="Z23" s="39">
        <f t="shared" si="73"/>
        <v>0.29651446696740758</v>
      </c>
      <c r="AA23" s="39">
        <f t="shared" si="73"/>
        <v>0.22333255882847158</v>
      </c>
      <c r="AB23" s="40">
        <f t="shared" ref="AB23" si="74">AB22/AA22-1</f>
        <v>0.28959005483032541</v>
      </c>
      <c r="AC23" s="40">
        <f t="shared" ref="AC23" si="75">AC22/AB22-1</f>
        <v>0.30000000000000004</v>
      </c>
      <c r="AD23" s="40">
        <f t="shared" ref="AD23" si="76">AD22/AC22-1</f>
        <v>0.30000000000000004</v>
      </c>
      <c r="AE23" s="40">
        <f t="shared" ref="AE23" si="77">AE22/AD22-1</f>
        <v>0.29999999999999982</v>
      </c>
      <c r="AM23" s="39" t="e">
        <f t="shared" ref="AM23:CI23" si="78">+IF(AI22&lt;0,1-AM22/AI22,AM22/AI22-1)</f>
        <v>#DIV/0!</v>
      </c>
      <c r="AN23" s="39" t="e">
        <f t="shared" si="78"/>
        <v>#DIV/0!</v>
      </c>
      <c r="AO23" s="39" t="e">
        <f t="shared" si="78"/>
        <v>#DIV/0!</v>
      </c>
      <c r="AP23" s="39" t="e">
        <f t="shared" si="78"/>
        <v>#DIV/0!</v>
      </c>
      <c r="AQ23" s="39" t="e">
        <f t="shared" si="78"/>
        <v>#DIV/0!</v>
      </c>
      <c r="AR23" s="39" t="e">
        <f t="shared" si="78"/>
        <v>#DIV/0!</v>
      </c>
      <c r="AS23" s="39" t="e">
        <f t="shared" si="78"/>
        <v>#DIV/0!</v>
      </c>
      <c r="AT23" s="39" t="e">
        <f t="shared" si="78"/>
        <v>#DIV/0!</v>
      </c>
      <c r="AU23" s="39" t="e">
        <f t="shared" si="78"/>
        <v>#DIV/0!</v>
      </c>
      <c r="AV23" s="39" t="e">
        <f t="shared" si="78"/>
        <v>#DIV/0!</v>
      </c>
      <c r="AW23" s="39" t="e">
        <f t="shared" si="78"/>
        <v>#DIV/0!</v>
      </c>
      <c r="AX23" s="39" t="e">
        <f t="shared" si="78"/>
        <v>#DIV/0!</v>
      </c>
      <c r="AY23" s="39" t="e">
        <f t="shared" si="78"/>
        <v>#DIV/0!</v>
      </c>
      <c r="AZ23" s="39" t="e">
        <f t="shared" si="78"/>
        <v>#DIV/0!</v>
      </c>
      <c r="BA23" s="39" t="e">
        <f t="shared" si="78"/>
        <v>#DIV/0!</v>
      </c>
      <c r="BB23" s="39" t="e">
        <f t="shared" si="78"/>
        <v>#DIV/0!</v>
      </c>
      <c r="BC23" s="39" t="e">
        <f t="shared" si="78"/>
        <v>#DIV/0!</v>
      </c>
      <c r="BD23" s="39" t="e">
        <f t="shared" si="78"/>
        <v>#DIV/0!</v>
      </c>
      <c r="BE23" s="39" t="e">
        <f t="shared" si="78"/>
        <v>#DIV/0!</v>
      </c>
      <c r="BF23" s="39" t="e">
        <f t="shared" si="78"/>
        <v>#DIV/0!</v>
      </c>
      <c r="BG23" s="39" t="e">
        <f t="shared" si="78"/>
        <v>#DIV/0!</v>
      </c>
      <c r="BH23" s="39" t="e">
        <f t="shared" si="78"/>
        <v>#DIV/0!</v>
      </c>
      <c r="BI23" s="39" t="e">
        <f t="shared" si="78"/>
        <v>#DIV/0!</v>
      </c>
      <c r="BJ23" s="39" t="e">
        <f t="shared" si="78"/>
        <v>#DIV/0!</v>
      </c>
      <c r="BK23" s="39" t="e">
        <f t="shared" si="78"/>
        <v>#DIV/0!</v>
      </c>
      <c r="BL23" s="39" t="e">
        <f t="shared" si="78"/>
        <v>#DIV/0!</v>
      </c>
      <c r="BM23" s="39" t="e">
        <f t="shared" si="78"/>
        <v>#DIV/0!</v>
      </c>
      <c r="BN23" s="39" t="e">
        <f t="shared" si="78"/>
        <v>#DIV/0!</v>
      </c>
      <c r="BO23" s="39" t="e">
        <f t="shared" si="78"/>
        <v>#DIV/0!</v>
      </c>
      <c r="BP23" s="39" t="e">
        <f t="shared" si="78"/>
        <v>#DIV/0!</v>
      </c>
      <c r="BQ23" s="39" t="e">
        <f t="shared" si="78"/>
        <v>#DIV/0!</v>
      </c>
      <c r="BR23" s="39" t="e">
        <f t="shared" si="78"/>
        <v>#DIV/0!</v>
      </c>
      <c r="BS23" s="39" t="e">
        <f t="shared" si="78"/>
        <v>#DIV/0!</v>
      </c>
      <c r="BT23" s="39" t="e">
        <f t="shared" si="78"/>
        <v>#DIV/0!</v>
      </c>
      <c r="BU23" s="39">
        <f t="shared" si="78"/>
        <v>0.55243676742751391</v>
      </c>
      <c r="BV23" s="39">
        <f t="shared" si="78"/>
        <v>0.6027092859279517</v>
      </c>
      <c r="BW23" s="39">
        <f t="shared" si="78"/>
        <v>0.34909586681974725</v>
      </c>
      <c r="BX23" s="39">
        <f t="shared" si="78"/>
        <v>0.33755713934627662</v>
      </c>
      <c r="BY23" s="39">
        <f t="shared" si="78"/>
        <v>0.30568722621176447</v>
      </c>
      <c r="BZ23" s="39">
        <f t="shared" si="78"/>
        <v>0.27058614406967973</v>
      </c>
      <c r="CA23" s="39">
        <f t="shared" si="78"/>
        <v>0.329914062321913</v>
      </c>
      <c r="CB23" s="39">
        <f t="shared" si="78"/>
        <v>0.34188574410383432</v>
      </c>
      <c r="CC23" s="39">
        <f t="shared" si="78"/>
        <v>0.32194460949841308</v>
      </c>
      <c r="CD23" s="39">
        <f t="shared" si="78"/>
        <v>0.2890598768886401</v>
      </c>
      <c r="CE23" s="39">
        <f t="shared" si="78"/>
        <v>0.35759258624432944</v>
      </c>
      <c r="CF23" s="39">
        <f t="shared" si="78"/>
        <v>0.32807356734819071</v>
      </c>
      <c r="CG23" s="39">
        <f t="shared" si="78"/>
        <v>0.29934057260005131</v>
      </c>
      <c r="CH23" s="39">
        <f t="shared" si="78"/>
        <v>0.20444531266957533</v>
      </c>
      <c r="CI23" s="39">
        <f t="shared" si="78"/>
        <v>0.15320225239253582</v>
      </c>
      <c r="CJ23" s="39">
        <f>+IF(CF22&lt;0,1-CJ22/CF22,CJ22/CF22-1)</f>
        <v>0.22634763136080771</v>
      </c>
      <c r="CK23" s="39">
        <f>+IF(CG22&lt;0,1-CK22/CG22,CK22/CG22-1)</f>
        <v>0.2218359770502869</v>
      </c>
      <c r="CL23" s="39">
        <f>+IF(CH22&lt;0,1-CL22/CH22,CL22/CH22-1)</f>
        <v>0.29671111912056225</v>
      </c>
      <c r="CM23" s="40">
        <f t="shared" ref="CM23:DB23" si="79">+IF(CI22&lt;0,1-CM22/CI22,CM22/CI22-1)</f>
        <v>0.25635597331716187</v>
      </c>
      <c r="CN23" s="40">
        <f t="shared" si="79"/>
        <v>0.29999999999999982</v>
      </c>
      <c r="CO23" s="40">
        <f t="shared" si="79"/>
        <v>0.30000000000000004</v>
      </c>
      <c r="CP23" s="40">
        <f t="shared" si="79"/>
        <v>0.30000000000000004</v>
      </c>
      <c r="CQ23" s="40">
        <f t="shared" si="79"/>
        <v>0.30000000000000004</v>
      </c>
      <c r="CR23" s="40">
        <f t="shared" si="79"/>
        <v>0.30000000000000004</v>
      </c>
      <c r="CS23" s="40">
        <f t="shared" si="79"/>
        <v>0.29999999999999982</v>
      </c>
      <c r="CT23" s="40">
        <f t="shared" si="79"/>
        <v>0.30000000000000004</v>
      </c>
      <c r="CU23" s="40">
        <f t="shared" si="79"/>
        <v>0.2999999999999996</v>
      </c>
      <c r="CV23" s="40">
        <f t="shared" si="79"/>
        <v>0.30000000000000004</v>
      </c>
      <c r="CW23" s="40">
        <f t="shared" si="79"/>
        <v>0.30000000000000004</v>
      </c>
      <c r="CX23" s="40">
        <f t="shared" si="79"/>
        <v>0.29999999999999982</v>
      </c>
      <c r="CY23" s="40">
        <f t="shared" si="79"/>
        <v>0.30000000000000004</v>
      </c>
      <c r="CZ23" s="40">
        <f t="shared" si="79"/>
        <v>0.29999999999999982</v>
      </c>
      <c r="DA23" s="40">
        <f t="shared" si="79"/>
        <v>0.30000000000000027</v>
      </c>
      <c r="DB23" s="40">
        <f t="shared" si="79"/>
        <v>0.30000000000000004</v>
      </c>
      <c r="DE23" s="122"/>
      <c r="DF23" s="39">
        <v>0.22333255882847158</v>
      </c>
    </row>
    <row r="24" spans="1:110" s="39" customFormat="1" x14ac:dyDescent="0.2">
      <c r="A24" s="39" t="s">
        <v>446</v>
      </c>
      <c r="AB24" s="40"/>
      <c r="AC24" s="40"/>
      <c r="AD24" s="40"/>
      <c r="AE24" s="40"/>
      <c r="AJ24" s="39" t="e">
        <f t="shared" ref="AJ24:AL24" si="80">+IF(AI22&lt;0,1-AJ22/AI22,AJ22/AI22-1)</f>
        <v>#DIV/0!</v>
      </c>
      <c r="AK24" s="39" t="e">
        <f t="shared" si="80"/>
        <v>#DIV/0!</v>
      </c>
      <c r="AL24" s="39" t="e">
        <f t="shared" si="80"/>
        <v>#DIV/0!</v>
      </c>
      <c r="AM24" s="39" t="e">
        <f t="shared" ref="AM24:CI24" si="81">+IF(AL22&lt;0,1-AM22/AL22,AM22/AL22-1)</f>
        <v>#DIV/0!</v>
      </c>
      <c r="AN24" s="39" t="e">
        <f t="shared" si="81"/>
        <v>#DIV/0!</v>
      </c>
      <c r="AO24" s="39" t="e">
        <f t="shared" si="81"/>
        <v>#DIV/0!</v>
      </c>
      <c r="AP24" s="39" t="e">
        <f t="shared" si="81"/>
        <v>#DIV/0!</v>
      </c>
      <c r="AQ24" s="39" t="e">
        <f t="shared" si="81"/>
        <v>#DIV/0!</v>
      </c>
      <c r="AR24" s="39" t="e">
        <f t="shared" si="81"/>
        <v>#DIV/0!</v>
      </c>
      <c r="AS24" s="39" t="e">
        <f t="shared" si="81"/>
        <v>#DIV/0!</v>
      </c>
      <c r="AT24" s="39" t="e">
        <f t="shared" si="81"/>
        <v>#DIV/0!</v>
      </c>
      <c r="AU24" s="39" t="e">
        <f t="shared" si="81"/>
        <v>#DIV/0!</v>
      </c>
      <c r="AV24" s="39" t="e">
        <f t="shared" si="81"/>
        <v>#DIV/0!</v>
      </c>
      <c r="AW24" s="39" t="e">
        <f t="shared" si="81"/>
        <v>#DIV/0!</v>
      </c>
      <c r="AX24" s="39" t="e">
        <f t="shared" si="81"/>
        <v>#DIV/0!</v>
      </c>
      <c r="AY24" s="39" t="e">
        <f t="shared" si="81"/>
        <v>#DIV/0!</v>
      </c>
      <c r="AZ24" s="39" t="e">
        <f t="shared" si="81"/>
        <v>#DIV/0!</v>
      </c>
      <c r="BA24" s="39" t="e">
        <f t="shared" si="81"/>
        <v>#DIV/0!</v>
      </c>
      <c r="BB24" s="39" t="e">
        <f t="shared" si="81"/>
        <v>#DIV/0!</v>
      </c>
      <c r="BC24" s="39" t="e">
        <f t="shared" si="81"/>
        <v>#DIV/0!</v>
      </c>
      <c r="BD24" s="39" t="e">
        <f t="shared" si="81"/>
        <v>#DIV/0!</v>
      </c>
      <c r="BE24" s="39" t="e">
        <f t="shared" si="81"/>
        <v>#DIV/0!</v>
      </c>
      <c r="BF24" s="39" t="e">
        <f t="shared" si="81"/>
        <v>#DIV/0!</v>
      </c>
      <c r="BG24" s="39" t="e">
        <f t="shared" si="81"/>
        <v>#DIV/0!</v>
      </c>
      <c r="BH24" s="39" t="e">
        <f t="shared" si="81"/>
        <v>#DIV/0!</v>
      </c>
      <c r="BI24" s="39" t="e">
        <f t="shared" si="81"/>
        <v>#DIV/0!</v>
      </c>
      <c r="BJ24" s="39" t="e">
        <f t="shared" si="81"/>
        <v>#DIV/0!</v>
      </c>
      <c r="BK24" s="39" t="e">
        <f t="shared" si="81"/>
        <v>#DIV/0!</v>
      </c>
      <c r="BL24" s="39" t="e">
        <f t="shared" si="81"/>
        <v>#DIV/0!</v>
      </c>
      <c r="BM24" s="39" t="e">
        <f t="shared" si="81"/>
        <v>#DIV/0!</v>
      </c>
      <c r="BN24" s="39" t="e">
        <f t="shared" si="81"/>
        <v>#DIV/0!</v>
      </c>
      <c r="BO24" s="39" t="e">
        <f t="shared" si="81"/>
        <v>#DIV/0!</v>
      </c>
      <c r="BP24" s="39" t="e">
        <f t="shared" si="81"/>
        <v>#DIV/0!</v>
      </c>
      <c r="BQ24" s="39" t="e">
        <f t="shared" si="81"/>
        <v>#DIV/0!</v>
      </c>
      <c r="BR24" s="39">
        <f t="shared" si="81"/>
        <v>3.1153608883405459E-2</v>
      </c>
      <c r="BS24" s="39">
        <f t="shared" si="81"/>
        <v>0.3895702462857713</v>
      </c>
      <c r="BT24" s="39">
        <f t="shared" si="81"/>
        <v>4.2777185501065906E-2</v>
      </c>
      <c r="BU24" s="39">
        <f t="shared" si="81"/>
        <v>3.9007127058245272E-2</v>
      </c>
      <c r="BV24" s="39">
        <f t="shared" si="81"/>
        <v>6.454542874173308E-2</v>
      </c>
      <c r="BW24" s="39">
        <f t="shared" si="81"/>
        <v>0.16968404212771637</v>
      </c>
      <c r="BX24" s="39">
        <f t="shared" si="81"/>
        <v>3.3858381393086834E-2</v>
      </c>
      <c r="BY24" s="39">
        <f t="shared" si="81"/>
        <v>1.4250751490118674E-2</v>
      </c>
      <c r="BZ24" s="39">
        <f t="shared" si="81"/>
        <v>3.5927015550499153E-2</v>
      </c>
      <c r="CA24" s="39">
        <f t="shared" si="81"/>
        <v>0.22430050363738108</v>
      </c>
      <c r="CB24" s="39">
        <f t="shared" si="81"/>
        <v>4.3165015483413782E-2</v>
      </c>
      <c r="CC24" s="39">
        <f t="shared" si="81"/>
        <v>-8.2155317365983915E-4</v>
      </c>
      <c r="CD24" s="39">
        <f t="shared" si="81"/>
        <v>1.0157264938524646E-2</v>
      </c>
      <c r="CE24" s="39">
        <f t="shared" si="81"/>
        <v>0.28939028890191243</v>
      </c>
      <c r="CF24" s="39">
        <f t="shared" si="81"/>
        <v>2.0482799835026544E-2</v>
      </c>
      <c r="CG24" s="39">
        <f t="shared" si="81"/>
        <v>-2.2438871499210311E-2</v>
      </c>
      <c r="CH24" s="39">
        <f t="shared" si="81"/>
        <v>-6.36179547755652E-2</v>
      </c>
      <c r="CI24" s="39">
        <f t="shared" si="81"/>
        <v>0.23453324923409613</v>
      </c>
      <c r="CJ24" s="39">
        <f>+IF(CI22&lt;0,1-CJ22/CI22,CJ22/CI22-1)</f>
        <v>8.5210041712740381E-2</v>
      </c>
      <c r="CK24" s="39">
        <f>+IF(CJ22&lt;0,1-CK22/CJ22,CK22/CJ22-1)</f>
        <v>-2.603525621624514E-2</v>
      </c>
      <c r="CL24" s="39">
        <f>+IF(CK22&lt;0,1-CL22/CK22,CL22/CK22-1)</f>
        <v>-6.2356710769827517E-3</v>
      </c>
      <c r="CM24" s="40">
        <f t="shared" ref="CM24:DB24" si="82">+IF(CL22&lt;0,1-CM22/CL22,CM22/CL22-1)</f>
        <v>0.19611315046469913</v>
      </c>
      <c r="CN24" s="40">
        <f t="shared" si="82"/>
        <v>0.1229087011873653</v>
      </c>
      <c r="CO24" s="40">
        <f t="shared" si="82"/>
        <v>-2.603525621624514E-2</v>
      </c>
      <c r="CP24" s="40">
        <f t="shared" si="82"/>
        <v>-6.2356710769827517E-3</v>
      </c>
      <c r="CQ24" s="40">
        <f t="shared" si="82"/>
        <v>0.19611315046469935</v>
      </c>
      <c r="CR24" s="40">
        <f t="shared" si="82"/>
        <v>0.12290870118736508</v>
      </c>
      <c r="CS24" s="40">
        <f t="shared" si="82"/>
        <v>-2.6035256216245251E-2</v>
      </c>
      <c r="CT24" s="40">
        <f t="shared" si="82"/>
        <v>-6.2356710769826407E-3</v>
      </c>
      <c r="CU24" s="40">
        <f t="shared" si="82"/>
        <v>0.19611315046469913</v>
      </c>
      <c r="CV24" s="40">
        <f t="shared" si="82"/>
        <v>0.12290870118736552</v>
      </c>
      <c r="CW24" s="40">
        <f t="shared" si="82"/>
        <v>-2.6035256216245362E-2</v>
      </c>
      <c r="CX24" s="40">
        <f t="shared" si="82"/>
        <v>-6.2356710769826407E-3</v>
      </c>
      <c r="CY24" s="40">
        <f t="shared" si="82"/>
        <v>0.19611315046469913</v>
      </c>
      <c r="CZ24" s="40">
        <f t="shared" si="82"/>
        <v>0.1229087011873653</v>
      </c>
      <c r="DA24" s="40">
        <f t="shared" si="82"/>
        <v>-2.6035256216245029E-2</v>
      </c>
      <c r="DB24" s="40">
        <f t="shared" si="82"/>
        <v>-6.2356710769828627E-3</v>
      </c>
      <c r="DE24" s="122"/>
    </row>
    <row r="25" spans="1:110" s="23" customFormat="1" outlineLevel="1" x14ac:dyDescent="0.2">
      <c r="A25" s="23" t="s">
        <v>2</v>
      </c>
      <c r="B25" s="23">
        <f>'Annual Raw'!C11</f>
        <v>0</v>
      </c>
      <c r="C25" s="23">
        <f>'Annual Raw'!D11</f>
        <v>0</v>
      </c>
      <c r="D25" s="23">
        <f>'Annual Raw'!E11</f>
        <v>0</v>
      </c>
      <c r="E25" s="23">
        <f>'Annual Raw'!F11</f>
        <v>0</v>
      </c>
      <c r="F25" s="23">
        <f>'Annual Raw'!G11</f>
        <v>0</v>
      </c>
      <c r="G25" s="23">
        <f>'Annual Raw'!H11</f>
        <v>0</v>
      </c>
      <c r="H25" s="23">
        <f>'Annual Raw'!I11</f>
        <v>0</v>
      </c>
      <c r="I25" s="23">
        <f>'Annual Raw'!J11</f>
        <v>0</v>
      </c>
      <c r="J25" s="23">
        <f>'Annual Raw'!K11</f>
        <v>0</v>
      </c>
      <c r="K25" s="23">
        <f>'Annual Raw'!L11</f>
        <v>0</v>
      </c>
      <c r="L25" s="23">
        <f>'Annual Raw'!M11</f>
        <v>0</v>
      </c>
      <c r="M25" s="23">
        <f>'Annual Raw'!N11</f>
        <v>0</v>
      </c>
      <c r="N25" s="23">
        <f>'Annual Raw'!O11</f>
        <v>0</v>
      </c>
      <c r="O25" s="23">
        <f>'Annual Raw'!P11</f>
        <v>0</v>
      </c>
      <c r="P25" s="23">
        <f>'Annual Raw'!Q11</f>
        <v>0</v>
      </c>
      <c r="Q25" s="23">
        <f>'Annual Raw'!R11</f>
        <v>0</v>
      </c>
      <c r="R25" s="23">
        <f>'Annual Raw'!S11</f>
        <v>0</v>
      </c>
      <c r="S25" s="23">
        <f>'Annual Raw'!T11</f>
        <v>0</v>
      </c>
      <c r="T25" s="23">
        <f>'Annual Raw'!U11</f>
        <v>0</v>
      </c>
      <c r="U25" s="23">
        <f>'Annual Raw'!V11</f>
        <v>0</v>
      </c>
      <c r="V25" s="23">
        <f>'Annual Raw'!W11</f>
        <v>0</v>
      </c>
      <c r="W25" s="23">
        <f>'Annual Raw'!X11</f>
        <v>0</v>
      </c>
      <c r="X25" s="23">
        <f>'Annual Raw'!Y11</f>
        <v>0</v>
      </c>
      <c r="Y25" s="23">
        <f>'Annual Raw'!Z11</f>
        <v>0</v>
      </c>
      <c r="Z25" s="23">
        <f>'Annual Raw'!AA11</f>
        <v>0</v>
      </c>
      <c r="AA25" s="23">
        <f>'Annual Raw'!AB11</f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>
        <f>'QTR Raw'!C10</f>
        <v>0</v>
      </c>
      <c r="AJ25" s="23">
        <f>'QTR Raw'!D10</f>
        <v>0</v>
      </c>
      <c r="AK25" s="23">
        <f>'QTR Raw'!E10</f>
        <v>0</v>
      </c>
      <c r="AL25" s="23">
        <f>'QTR Raw'!F10</f>
        <v>0</v>
      </c>
      <c r="AM25" s="23">
        <f>'QTR Raw'!G10</f>
        <v>0</v>
      </c>
      <c r="AN25" s="23">
        <f>'QTR Raw'!H10</f>
        <v>0</v>
      </c>
      <c r="AO25" s="23">
        <f>'QTR Raw'!I10</f>
        <v>0</v>
      </c>
      <c r="AP25" s="23">
        <f>'QTR Raw'!J10</f>
        <v>0</v>
      </c>
      <c r="AQ25" s="23">
        <f>'QTR Raw'!K10</f>
        <v>0</v>
      </c>
      <c r="AR25" s="23">
        <f>'QTR Raw'!L10</f>
        <v>0</v>
      </c>
      <c r="AS25" s="23">
        <f>'QTR Raw'!M10</f>
        <v>0</v>
      </c>
      <c r="AT25" s="23">
        <f>'QTR Raw'!N10</f>
        <v>0</v>
      </c>
      <c r="AU25" s="23">
        <f>'QTR Raw'!O10</f>
        <v>0</v>
      </c>
      <c r="AV25" s="23">
        <f>'QTR Raw'!P10</f>
        <v>0</v>
      </c>
      <c r="AW25" s="23">
        <f>'QTR Raw'!Q10</f>
        <v>0</v>
      </c>
      <c r="AX25" s="23">
        <f>'QTR Raw'!R10</f>
        <v>0</v>
      </c>
      <c r="AY25" s="23">
        <f>'QTR Raw'!S10</f>
        <v>0</v>
      </c>
      <c r="AZ25" s="23">
        <f>'QTR Raw'!T10</f>
        <v>0</v>
      </c>
      <c r="BA25" s="23">
        <f>'QTR Raw'!U10</f>
        <v>0</v>
      </c>
      <c r="BB25" s="23">
        <f>'QTR Raw'!V10</f>
        <v>0</v>
      </c>
      <c r="BC25" s="23">
        <f>'QTR Raw'!W10</f>
        <v>0</v>
      </c>
      <c r="BD25" s="23">
        <f>'QTR Raw'!X10</f>
        <v>0</v>
      </c>
      <c r="BE25" s="23">
        <f>'QTR Raw'!Y10</f>
        <v>0</v>
      </c>
      <c r="BF25" s="23">
        <f>'QTR Raw'!Z10</f>
        <v>0</v>
      </c>
      <c r="BG25" s="23">
        <f>'QTR Raw'!AA10</f>
        <v>0</v>
      </c>
      <c r="BH25" s="23">
        <f>'QTR Raw'!AB10</f>
        <v>0</v>
      </c>
      <c r="BI25" s="23">
        <f>'QTR Raw'!AC10</f>
        <v>0</v>
      </c>
      <c r="BJ25" s="23">
        <f>'QTR Raw'!AD10</f>
        <v>0</v>
      </c>
      <c r="BK25" s="23">
        <f>'QTR Raw'!AE10</f>
        <v>0</v>
      </c>
      <c r="BL25" s="23">
        <f>'QTR Raw'!AF10</f>
        <v>0</v>
      </c>
      <c r="BM25" s="23">
        <f>'QTR Raw'!AG10</f>
        <v>0</v>
      </c>
      <c r="BN25" s="23">
        <f>'QTR Raw'!AH10</f>
        <v>0</v>
      </c>
      <c r="BO25" s="23">
        <f>'QTR Raw'!AI10</f>
        <v>0</v>
      </c>
      <c r="BP25" s="23">
        <f>'QTR Raw'!AJ10</f>
        <v>0</v>
      </c>
      <c r="BQ25" s="23">
        <f>'QTR Raw'!AK10</f>
        <v>0</v>
      </c>
      <c r="BR25" s="23">
        <f>'QTR Raw'!AL10</f>
        <v>0</v>
      </c>
      <c r="BS25" s="23">
        <f>'QTR Raw'!AM10</f>
        <v>0</v>
      </c>
      <c r="BT25" s="23">
        <f>'QTR Raw'!AN10</f>
        <v>0</v>
      </c>
      <c r="BU25" s="23">
        <f>'QTR Raw'!AO10</f>
        <v>0</v>
      </c>
      <c r="BV25" s="23">
        <f>'QTR Raw'!AP10</f>
        <v>0</v>
      </c>
      <c r="BW25" s="23">
        <f>'QTR Raw'!AQ10</f>
        <v>0</v>
      </c>
      <c r="BX25" s="23">
        <f>'QTR Raw'!AR10</f>
        <v>0</v>
      </c>
      <c r="BY25" s="23">
        <f>'QTR Raw'!AS10</f>
        <v>0</v>
      </c>
      <c r="BZ25" s="23">
        <f>'QTR Raw'!AT10</f>
        <v>0</v>
      </c>
      <c r="CA25" s="23">
        <f>'QTR Raw'!AU10</f>
        <v>0</v>
      </c>
      <c r="CB25" s="23">
        <f>'QTR Raw'!AV10</f>
        <v>0</v>
      </c>
      <c r="CC25" s="23">
        <f>'QTR Raw'!AW10</f>
        <v>0</v>
      </c>
      <c r="CD25" s="23">
        <f>'QTR Raw'!AX10</f>
        <v>0</v>
      </c>
      <c r="CE25" s="23">
        <f>'QTR Raw'!AY10</f>
        <v>0</v>
      </c>
      <c r="CF25" s="23">
        <f>'QTR Raw'!AZ10</f>
        <v>0</v>
      </c>
      <c r="CG25" s="23">
        <f>'QTR Raw'!BA10</f>
        <v>0</v>
      </c>
      <c r="CH25" s="23">
        <f>'QTR Raw'!BB10</f>
        <v>0</v>
      </c>
      <c r="CI25" s="23">
        <f>'QTR Raw'!BC10</f>
        <v>0</v>
      </c>
      <c r="CJ25" s="23">
        <f>'QTR Raw'!BD10</f>
        <v>0</v>
      </c>
      <c r="CK25" s="23">
        <f>'QTR Raw'!BE10</f>
        <v>0</v>
      </c>
      <c r="CL25" s="23">
        <f>'QTR Raw'!BF10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3" customFormat="1" outlineLevel="1" x14ac:dyDescent="0.2">
      <c r="A26" s="23" t="s">
        <v>3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76">
        <f>+SUM(CM26:CP26)</f>
        <v>0</v>
      </c>
      <c r="AC26" s="76">
        <f>+SUM(CQ26:CT26)</f>
        <v>0</v>
      </c>
      <c r="AD26" s="76">
        <f>+SUM(CU26:CX26)</f>
        <v>0</v>
      </c>
      <c r="AE26" s="76">
        <f>+SUM(CY26:DB26)</f>
        <v>0</v>
      </c>
      <c r="AI26" s="23">
        <f>'QTR Raw'!C12</f>
        <v>0</v>
      </c>
      <c r="AJ26" s="23">
        <f>'QTR Raw'!D12</f>
        <v>0</v>
      </c>
      <c r="AK26" s="23">
        <f>'QTR Raw'!E12</f>
        <v>0</v>
      </c>
      <c r="AL26" s="23">
        <f>'QTR Raw'!F12</f>
        <v>0</v>
      </c>
      <c r="AM26" s="23">
        <f>'QTR Raw'!G12</f>
        <v>0</v>
      </c>
      <c r="AN26" s="23">
        <f>'QTR Raw'!H12</f>
        <v>0</v>
      </c>
      <c r="AO26" s="23">
        <f>'QTR Raw'!I12</f>
        <v>0</v>
      </c>
      <c r="AP26" s="23">
        <f>'QTR Raw'!J12</f>
        <v>0</v>
      </c>
      <c r="AQ26" s="23">
        <f>'QTR Raw'!K12</f>
        <v>0</v>
      </c>
      <c r="AR26" s="23">
        <f>'QTR Raw'!L12</f>
        <v>0</v>
      </c>
      <c r="AS26" s="23">
        <f>'QTR Raw'!M12</f>
        <v>0</v>
      </c>
      <c r="AT26" s="23">
        <f>'QTR Raw'!N12</f>
        <v>0</v>
      </c>
      <c r="AU26" s="23">
        <f>'QTR Raw'!O12</f>
        <v>0</v>
      </c>
      <c r="AV26" s="23">
        <f>'QTR Raw'!P12</f>
        <v>0</v>
      </c>
      <c r="AW26" s="23">
        <f>'QTR Raw'!Q12</f>
        <v>0</v>
      </c>
      <c r="AX26" s="23">
        <f>'QTR Raw'!R12</f>
        <v>0</v>
      </c>
      <c r="AY26" s="23">
        <f>'QTR Raw'!S12</f>
        <v>0</v>
      </c>
      <c r="AZ26" s="23">
        <f>'QTR Raw'!T12</f>
        <v>0</v>
      </c>
      <c r="BA26" s="23">
        <f>'QTR Raw'!U12</f>
        <v>0</v>
      </c>
      <c r="BB26" s="23">
        <f>'QTR Raw'!V12</f>
        <v>0</v>
      </c>
      <c r="BC26" s="23">
        <f>'QTR Raw'!W12</f>
        <v>0</v>
      </c>
      <c r="BD26" s="23">
        <f>'QTR Raw'!X12</f>
        <v>0</v>
      </c>
      <c r="BE26" s="23">
        <f>'QTR Raw'!Y12</f>
        <v>0</v>
      </c>
      <c r="BF26" s="23">
        <f>'QTR Raw'!Z12</f>
        <v>0</v>
      </c>
      <c r="BG26" s="23">
        <f>'QTR Raw'!AA12</f>
        <v>0</v>
      </c>
      <c r="BH26" s="23">
        <f>'QTR Raw'!AB12</f>
        <v>0</v>
      </c>
      <c r="BI26" s="23">
        <f>'QTR Raw'!AC12</f>
        <v>0</v>
      </c>
      <c r="BJ26" s="23">
        <f>'QTR Raw'!AD12</f>
        <v>0</v>
      </c>
      <c r="BK26" s="23">
        <f>'QTR Raw'!AE12</f>
        <v>0</v>
      </c>
      <c r="BL26" s="23">
        <f>'QTR Raw'!AF12</f>
        <v>0</v>
      </c>
      <c r="BM26" s="23">
        <f>'QTR Raw'!AG12</f>
        <v>0</v>
      </c>
      <c r="BN26" s="23">
        <f>'QTR Raw'!AH12</f>
        <v>0</v>
      </c>
      <c r="BO26" s="23">
        <f>'QTR Raw'!AI12</f>
        <v>0</v>
      </c>
      <c r="BP26" s="23">
        <f>'QTR Raw'!AJ12</f>
        <v>0</v>
      </c>
      <c r="BQ26" s="23">
        <f>'QTR Raw'!AK12</f>
        <v>0</v>
      </c>
      <c r="BR26" s="23">
        <f>'QTR Raw'!AL12</f>
        <v>0</v>
      </c>
      <c r="BS26" s="23">
        <f>'QTR Raw'!AM12</f>
        <v>0</v>
      </c>
      <c r="BT26" s="23">
        <f>'QTR Raw'!AN12</f>
        <v>0</v>
      </c>
      <c r="BU26" s="23">
        <f>'QTR Raw'!AO12</f>
        <v>0</v>
      </c>
      <c r="BV26" s="23">
        <f>'QTR Raw'!AP12</f>
        <v>0</v>
      </c>
      <c r="BW26" s="23">
        <f>'QTR Raw'!AQ12</f>
        <v>0</v>
      </c>
      <c r="BX26" s="23">
        <f>'QTR Raw'!AR12</f>
        <v>0</v>
      </c>
      <c r="BY26" s="23">
        <f>'QTR Raw'!AS12</f>
        <v>0</v>
      </c>
      <c r="BZ26" s="23">
        <f>'QTR Raw'!AT12</f>
        <v>0</v>
      </c>
      <c r="CA26" s="23">
        <f>'QTR Raw'!AU12</f>
        <v>0</v>
      </c>
      <c r="CB26" s="23">
        <f>'QTR Raw'!AV12</f>
        <v>0</v>
      </c>
      <c r="CC26" s="23">
        <f>'QTR Raw'!AW12</f>
        <v>0</v>
      </c>
      <c r="CD26" s="23">
        <f>'QTR Raw'!AX12</f>
        <v>0</v>
      </c>
      <c r="CE26" s="23">
        <f>'QTR Raw'!AY12</f>
        <v>0</v>
      </c>
      <c r="CF26" s="23">
        <f>'QTR Raw'!AZ12</f>
        <v>0</v>
      </c>
      <c r="CG26" s="23">
        <f>'QTR Raw'!BA12</f>
        <v>0</v>
      </c>
      <c r="CH26" s="23">
        <f>'QTR Raw'!BB12</f>
        <v>0</v>
      </c>
      <c r="CI26" s="23">
        <f>'QTR Raw'!BC12</f>
        <v>0</v>
      </c>
      <c r="CJ26" s="23">
        <f>'QTR Raw'!BD12</f>
        <v>0</v>
      </c>
      <c r="CK26" s="23">
        <f>'QTR Raw'!BE12</f>
        <v>0</v>
      </c>
      <c r="CL26" s="23">
        <f>'QTR Raw'!BF12</f>
        <v>0</v>
      </c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E26" s="123"/>
      <c r="DF26" s="23">
        <v>0</v>
      </c>
    </row>
    <row r="27" spans="1:110" s="23" customFormat="1" outlineLevel="1" x14ac:dyDescent="0.2">
      <c r="A27" s="23" t="s">
        <v>4</v>
      </c>
      <c r="B27" s="23">
        <f>'Annual Raw'!C12</f>
        <v>0</v>
      </c>
      <c r="C27" s="23">
        <f>'Annual Raw'!D12</f>
        <v>0</v>
      </c>
      <c r="D27" s="23">
        <f>'Annual Raw'!E12</f>
        <v>0</v>
      </c>
      <c r="E27" s="23">
        <f>'Annual Raw'!F12</f>
        <v>0</v>
      </c>
      <c r="F27" s="23">
        <f>'Annual Raw'!G12</f>
        <v>0</v>
      </c>
      <c r="G27" s="23">
        <f>'Annual Raw'!H12</f>
        <v>0</v>
      </c>
      <c r="H27" s="23">
        <f>'Annual Raw'!I12</f>
        <v>0</v>
      </c>
      <c r="I27" s="23">
        <f>'Annual Raw'!J12</f>
        <v>0</v>
      </c>
      <c r="J27" s="23">
        <f>'Annual Raw'!K12</f>
        <v>0</v>
      </c>
      <c r="K27" s="23">
        <f>'Annual Raw'!L12</f>
        <v>0</v>
      </c>
      <c r="L27" s="23">
        <f>'Annual Raw'!M12</f>
        <v>0</v>
      </c>
      <c r="M27" s="23">
        <f>'Annual Raw'!N12</f>
        <v>0</v>
      </c>
      <c r="N27" s="23">
        <f>'Annual Raw'!O12</f>
        <v>0</v>
      </c>
      <c r="O27" s="23">
        <f>'Annual Raw'!P12</f>
        <v>0</v>
      </c>
      <c r="P27" s="23">
        <f>'Annual Raw'!Q12</f>
        <v>0</v>
      </c>
      <c r="Q27" s="23">
        <f>'Annual Raw'!R12</f>
        <v>0</v>
      </c>
      <c r="R27" s="23">
        <f>'Annual Raw'!S12</f>
        <v>0</v>
      </c>
      <c r="S27" s="23">
        <f>'Annual Raw'!T12</f>
        <v>0</v>
      </c>
      <c r="T27" s="23">
        <f>'Annual Raw'!U12</f>
        <v>0</v>
      </c>
      <c r="U27" s="23">
        <f>'Annual Raw'!V12</f>
        <v>0</v>
      </c>
      <c r="V27" s="23">
        <f>'Annual Raw'!W12</f>
        <v>0</v>
      </c>
      <c r="W27" s="23">
        <f>'Annual Raw'!X12</f>
        <v>0</v>
      </c>
      <c r="X27" s="23">
        <f>'Annual Raw'!Y12</f>
        <v>0</v>
      </c>
      <c r="Y27" s="23">
        <f>'Annual Raw'!Z12</f>
        <v>0</v>
      </c>
      <c r="Z27" s="23">
        <f>'Annual Raw'!AA12</f>
        <v>0</v>
      </c>
      <c r="AA27" s="23">
        <f>'Annual Raw'!AB12</f>
        <v>0</v>
      </c>
      <c r="AB27" s="24">
        <f>+SUM(CM27:CP27)</f>
        <v>0</v>
      </c>
      <c r="AC27" s="24">
        <f>+SUM(CQ27:CT27)</f>
        <v>0</v>
      </c>
      <c r="AD27" s="24">
        <f>+SUM(CU27:CX27)</f>
        <v>0</v>
      </c>
      <c r="AE27" s="24">
        <f>+SUM(CY27:DB27)</f>
        <v>0</v>
      </c>
      <c r="AI27" s="23">
        <f>'QTR Raw'!C11</f>
        <v>0</v>
      </c>
      <c r="AJ27" s="23">
        <f>'QTR Raw'!D11</f>
        <v>0</v>
      </c>
      <c r="AK27" s="23">
        <f>'QTR Raw'!E11</f>
        <v>0</v>
      </c>
      <c r="AL27" s="23">
        <f>'QTR Raw'!F11</f>
        <v>0</v>
      </c>
      <c r="AM27" s="23">
        <f>'QTR Raw'!G11</f>
        <v>0</v>
      </c>
      <c r="AN27" s="23">
        <f>'QTR Raw'!H11</f>
        <v>0</v>
      </c>
      <c r="AO27" s="23">
        <f>'QTR Raw'!I11</f>
        <v>0</v>
      </c>
      <c r="AP27" s="23">
        <f>'QTR Raw'!J11</f>
        <v>0</v>
      </c>
      <c r="AQ27" s="23">
        <f>'QTR Raw'!K11</f>
        <v>0</v>
      </c>
      <c r="AR27" s="23">
        <f>'QTR Raw'!L11</f>
        <v>0</v>
      </c>
      <c r="AS27" s="23">
        <f>'QTR Raw'!M11</f>
        <v>0</v>
      </c>
      <c r="AT27" s="23">
        <f>'QTR Raw'!N11</f>
        <v>0</v>
      </c>
      <c r="AU27" s="23">
        <f>'QTR Raw'!O11</f>
        <v>0</v>
      </c>
      <c r="AV27" s="23">
        <f>'QTR Raw'!P11</f>
        <v>0</v>
      </c>
      <c r="AW27" s="23">
        <f>'QTR Raw'!Q11</f>
        <v>0</v>
      </c>
      <c r="AX27" s="23">
        <f>'QTR Raw'!R11</f>
        <v>0</v>
      </c>
      <c r="AY27" s="23">
        <f>'QTR Raw'!S11</f>
        <v>0</v>
      </c>
      <c r="AZ27" s="23">
        <f>'QTR Raw'!T11</f>
        <v>0</v>
      </c>
      <c r="BA27" s="23">
        <f>'QTR Raw'!U11</f>
        <v>0</v>
      </c>
      <c r="BB27" s="23">
        <f>'QTR Raw'!V11</f>
        <v>0</v>
      </c>
      <c r="BC27" s="23">
        <f>'QTR Raw'!W11</f>
        <v>0</v>
      </c>
      <c r="BD27" s="23">
        <f>'QTR Raw'!X11</f>
        <v>0</v>
      </c>
      <c r="BE27" s="23">
        <f>'QTR Raw'!Y11</f>
        <v>0</v>
      </c>
      <c r="BF27" s="23">
        <f>'QTR Raw'!Z11</f>
        <v>0</v>
      </c>
      <c r="BG27" s="23">
        <f>'QTR Raw'!AA11</f>
        <v>0</v>
      </c>
      <c r="BH27" s="23">
        <f>'QTR Raw'!AB11</f>
        <v>0</v>
      </c>
      <c r="BI27" s="23">
        <f>'QTR Raw'!AC11</f>
        <v>0</v>
      </c>
      <c r="BJ27" s="23">
        <f>'QTR Raw'!AD11</f>
        <v>0</v>
      </c>
      <c r="BK27" s="23">
        <f>'QTR Raw'!AE11</f>
        <v>0</v>
      </c>
      <c r="BL27" s="23">
        <f>'QTR Raw'!AF11</f>
        <v>0</v>
      </c>
      <c r="BM27" s="23">
        <f>'QTR Raw'!AG11</f>
        <v>0</v>
      </c>
      <c r="BN27" s="23">
        <f>'QTR Raw'!AH11</f>
        <v>0</v>
      </c>
      <c r="BO27" s="23">
        <f>'QTR Raw'!AI11</f>
        <v>0</v>
      </c>
      <c r="BP27" s="23">
        <f>'QTR Raw'!AJ11</f>
        <v>0</v>
      </c>
      <c r="BQ27" s="23">
        <f>'QTR Raw'!AK11</f>
        <v>0</v>
      </c>
      <c r="BR27" s="23">
        <f>'QTR Raw'!AL11</f>
        <v>0</v>
      </c>
      <c r="BS27" s="23">
        <f>'QTR Raw'!AM11</f>
        <v>0</v>
      </c>
      <c r="BT27" s="23">
        <f>'QTR Raw'!AN11</f>
        <v>0</v>
      </c>
      <c r="BU27" s="23">
        <f>'QTR Raw'!AO11</f>
        <v>0</v>
      </c>
      <c r="BV27" s="23">
        <f>'QTR Raw'!AP11</f>
        <v>0</v>
      </c>
      <c r="BW27" s="23">
        <f>'QTR Raw'!AQ11</f>
        <v>0</v>
      </c>
      <c r="BX27" s="23">
        <f>'QTR Raw'!AR11</f>
        <v>0</v>
      </c>
      <c r="BY27" s="23">
        <f>'QTR Raw'!AS11</f>
        <v>0</v>
      </c>
      <c r="BZ27" s="23">
        <f>'QTR Raw'!AT11</f>
        <v>0</v>
      </c>
      <c r="CA27" s="23">
        <f>'QTR Raw'!AU11</f>
        <v>0</v>
      </c>
      <c r="CB27" s="23">
        <f>'QTR Raw'!AV11</f>
        <v>0</v>
      </c>
      <c r="CC27" s="23">
        <f>'QTR Raw'!AW11</f>
        <v>0</v>
      </c>
      <c r="CD27" s="23">
        <f>'QTR Raw'!AX11</f>
        <v>0</v>
      </c>
      <c r="CE27" s="23">
        <f>'QTR Raw'!AY11</f>
        <v>0</v>
      </c>
      <c r="CF27" s="23">
        <f>'QTR Raw'!AZ11</f>
        <v>0</v>
      </c>
      <c r="CG27" s="23">
        <f>'QTR Raw'!BA11</f>
        <v>0</v>
      </c>
      <c r="CH27" s="23">
        <f>'QTR Raw'!BB11</f>
        <v>0</v>
      </c>
      <c r="CI27" s="23">
        <f>'QTR Raw'!BC11</f>
        <v>0</v>
      </c>
      <c r="CJ27" s="23">
        <f>'QTR Raw'!BD11</f>
        <v>0</v>
      </c>
      <c r="CK27" s="23">
        <f>'QTR Raw'!BE11</f>
        <v>0</v>
      </c>
      <c r="CL27" s="23">
        <f>'QTR Raw'!BF11</f>
        <v>0</v>
      </c>
      <c r="CM27" s="24">
        <f t="shared" ref="CM27:DB27" si="83">+CM22-CM28</f>
        <v>0</v>
      </c>
      <c r="CN27" s="24">
        <f t="shared" si="83"/>
        <v>0</v>
      </c>
      <c r="CO27" s="24">
        <f t="shared" si="83"/>
        <v>0</v>
      </c>
      <c r="CP27" s="24">
        <f t="shared" si="83"/>
        <v>0</v>
      </c>
      <c r="CQ27" s="24">
        <f t="shared" si="83"/>
        <v>0</v>
      </c>
      <c r="CR27" s="24">
        <f t="shared" si="83"/>
        <v>0</v>
      </c>
      <c r="CS27" s="24">
        <f t="shared" si="83"/>
        <v>0</v>
      </c>
      <c r="CT27" s="24">
        <f t="shared" si="83"/>
        <v>0</v>
      </c>
      <c r="CU27" s="24">
        <f t="shared" si="83"/>
        <v>0</v>
      </c>
      <c r="CV27" s="24">
        <f t="shared" si="83"/>
        <v>0</v>
      </c>
      <c r="CW27" s="24">
        <f t="shared" si="83"/>
        <v>0</v>
      </c>
      <c r="CX27" s="24">
        <f t="shared" si="83"/>
        <v>0</v>
      </c>
      <c r="CY27" s="24">
        <f t="shared" si="83"/>
        <v>0</v>
      </c>
      <c r="CZ27" s="24">
        <f t="shared" si="83"/>
        <v>0</v>
      </c>
      <c r="DA27" s="24">
        <f t="shared" si="83"/>
        <v>0</v>
      </c>
      <c r="DB27" s="24">
        <f t="shared" si="83"/>
        <v>0</v>
      </c>
      <c r="DE27" s="123"/>
      <c r="DF27" s="23">
        <v>0</v>
      </c>
    </row>
    <row r="28" spans="1:110" s="31" customFormat="1" x14ac:dyDescent="0.2">
      <c r="A28" s="31" t="s">
        <v>5</v>
      </c>
      <c r="B28" s="31">
        <f t="shared" ref="B28:T28" si="84">B22-B25-B27-B26</f>
        <v>0</v>
      </c>
      <c r="C28" s="31">
        <f t="shared" si="84"/>
        <v>0</v>
      </c>
      <c r="D28" s="31">
        <f t="shared" si="84"/>
        <v>0</v>
      </c>
      <c r="E28" s="31">
        <f t="shared" si="84"/>
        <v>0</v>
      </c>
      <c r="F28" s="31">
        <f t="shared" si="84"/>
        <v>0</v>
      </c>
      <c r="G28" s="31">
        <f t="shared" si="84"/>
        <v>0</v>
      </c>
      <c r="H28" s="31">
        <f t="shared" si="84"/>
        <v>0</v>
      </c>
      <c r="I28" s="31">
        <f t="shared" si="84"/>
        <v>0</v>
      </c>
      <c r="J28" s="31">
        <f t="shared" si="84"/>
        <v>1.6416811</v>
      </c>
      <c r="K28" s="31">
        <f t="shared" si="84"/>
        <v>2.0119999000000002</v>
      </c>
      <c r="L28" s="31">
        <f t="shared" si="84"/>
        <v>2.012</v>
      </c>
      <c r="M28" s="31">
        <f t="shared" si="84"/>
        <v>0.94233259999999996</v>
      </c>
      <c r="N28" s="31">
        <f t="shared" si="84"/>
        <v>0.63295319999999999</v>
      </c>
      <c r="O28" s="31">
        <f t="shared" si="84"/>
        <v>0.503</v>
      </c>
      <c r="P28" s="31">
        <f t="shared" si="84"/>
        <v>0</v>
      </c>
      <c r="Q28" s="31">
        <f t="shared" si="84"/>
        <v>0.47499999999999998</v>
      </c>
      <c r="R28" s="31">
        <f t="shared" si="84"/>
        <v>41.014000000000003</v>
      </c>
      <c r="S28" s="31">
        <f t="shared" si="84"/>
        <v>221.03200000000001</v>
      </c>
      <c r="T28" s="31">
        <f t="shared" si="84"/>
        <v>276.58699999999999</v>
      </c>
      <c r="U28" s="31">
        <f t="shared" ref="U28:Z28" si="85">U22-U25-U27-U26</f>
        <v>331.827</v>
      </c>
      <c r="V28" s="31">
        <f t="shared" si="85"/>
        <v>265.33019999999999</v>
      </c>
      <c r="W28" s="31">
        <f t="shared" si="85"/>
        <v>417.48509999999999</v>
      </c>
      <c r="X28" s="31">
        <f t="shared" si="85"/>
        <v>548.63160000000005</v>
      </c>
      <c r="Y28" s="31">
        <f t="shared" si="85"/>
        <v>724.32249999999999</v>
      </c>
      <c r="Z28" s="31">
        <f t="shared" si="85"/>
        <v>939.09460000000001</v>
      </c>
      <c r="AA28" s="31">
        <f t="shared" ref="AA28" si="86">AA22-AA25-AA27-AA26</f>
        <v>1148.825</v>
      </c>
      <c r="AB28" s="32">
        <f t="shared" ref="AB28:AD28" si="87">AB22-AB25-AB27-AB26</f>
        <v>1481.5132947404486</v>
      </c>
      <c r="AC28" s="32">
        <f t="shared" si="87"/>
        <v>1925.9672831625833</v>
      </c>
      <c r="AD28" s="32">
        <f t="shared" si="87"/>
        <v>2503.7574681113583</v>
      </c>
      <c r="AE28" s="32">
        <f t="shared" ref="AE28" si="88">AE22-AE25-AE27-AE26</f>
        <v>3254.8847085447655</v>
      </c>
      <c r="AI28" s="31">
        <f t="shared" ref="AI28" si="89">AI22-AI25-AI27-AI26</f>
        <v>0</v>
      </c>
      <c r="AJ28" s="31">
        <f t="shared" ref="AJ28" si="90">AJ22-AJ25-AJ27-AJ26</f>
        <v>0</v>
      </c>
      <c r="AK28" s="31">
        <f t="shared" ref="AK28:AM28" si="91">AK22-AK25-AK27-AK26</f>
        <v>0</v>
      </c>
      <c r="AL28" s="31">
        <f t="shared" si="91"/>
        <v>0</v>
      </c>
      <c r="AM28" s="31">
        <f t="shared" si="91"/>
        <v>0</v>
      </c>
      <c r="AN28" s="31">
        <f t="shared" ref="AN28:AO28" si="92">AN22-AN25-AN27-AN26</f>
        <v>0</v>
      </c>
      <c r="AO28" s="31">
        <f t="shared" si="92"/>
        <v>0</v>
      </c>
      <c r="AP28" s="31">
        <f t="shared" ref="AP28:CD28" si="93">AP22-AP25-AP27-AP26</f>
        <v>0</v>
      </c>
      <c r="AQ28" s="31">
        <f t="shared" si="93"/>
        <v>0</v>
      </c>
      <c r="AR28" s="31">
        <f t="shared" si="93"/>
        <v>0</v>
      </c>
      <c r="AS28" s="31">
        <f t="shared" si="93"/>
        <v>0</v>
      </c>
      <c r="AT28" s="31">
        <f t="shared" si="93"/>
        <v>0</v>
      </c>
      <c r="AU28" s="31">
        <f t="shared" si="93"/>
        <v>0</v>
      </c>
      <c r="AV28" s="31">
        <f t="shared" si="93"/>
        <v>0</v>
      </c>
      <c r="AW28" s="31">
        <f t="shared" si="93"/>
        <v>0</v>
      </c>
      <c r="AX28" s="31">
        <f t="shared" si="93"/>
        <v>0</v>
      </c>
      <c r="AY28" s="31">
        <f t="shared" si="93"/>
        <v>0</v>
      </c>
      <c r="AZ28" s="31">
        <f t="shared" si="93"/>
        <v>0</v>
      </c>
      <c r="BA28" s="31">
        <f t="shared" si="93"/>
        <v>0</v>
      </c>
      <c r="BB28" s="31">
        <f t="shared" si="93"/>
        <v>0</v>
      </c>
      <c r="BC28" s="31">
        <f t="shared" si="93"/>
        <v>0</v>
      </c>
      <c r="BD28" s="31">
        <f t="shared" si="93"/>
        <v>0</v>
      </c>
      <c r="BE28" s="31">
        <f t="shared" si="93"/>
        <v>0</v>
      </c>
      <c r="BF28" s="31">
        <f t="shared" si="93"/>
        <v>0</v>
      </c>
      <c r="BG28" s="31">
        <f t="shared" si="93"/>
        <v>0</v>
      </c>
      <c r="BH28" s="31">
        <f t="shared" si="93"/>
        <v>0</v>
      </c>
      <c r="BI28" s="31">
        <f t="shared" si="93"/>
        <v>0</v>
      </c>
      <c r="BJ28" s="31">
        <f t="shared" si="93"/>
        <v>0</v>
      </c>
      <c r="BK28" s="31">
        <f t="shared" si="93"/>
        <v>0</v>
      </c>
      <c r="BL28" s="31">
        <f t="shared" si="93"/>
        <v>0</v>
      </c>
      <c r="BM28" s="31">
        <f t="shared" si="93"/>
        <v>0</v>
      </c>
      <c r="BN28" s="31">
        <f t="shared" si="93"/>
        <v>0</v>
      </c>
      <c r="BO28" s="31">
        <f t="shared" si="93"/>
        <v>0</v>
      </c>
      <c r="BP28" s="31">
        <f t="shared" si="93"/>
        <v>0</v>
      </c>
      <c r="BQ28" s="31">
        <f t="shared" si="93"/>
        <v>68.081999999999994</v>
      </c>
      <c r="BR28" s="31">
        <f t="shared" si="93"/>
        <v>70.203000000000003</v>
      </c>
      <c r="BS28" s="31">
        <f t="shared" si="93"/>
        <v>97.552000000000007</v>
      </c>
      <c r="BT28" s="31">
        <f t="shared" si="93"/>
        <v>101.72499999999999</v>
      </c>
      <c r="BU28" s="31">
        <f t="shared" si="93"/>
        <v>105.693</v>
      </c>
      <c r="BV28" s="31">
        <f t="shared" si="93"/>
        <v>112.515</v>
      </c>
      <c r="BW28" s="31">
        <f t="shared" si="93"/>
        <v>131.607</v>
      </c>
      <c r="BX28" s="31">
        <f t="shared" si="93"/>
        <v>136.06299999999999</v>
      </c>
      <c r="BY28" s="31">
        <f t="shared" si="93"/>
        <v>138.00200000000001</v>
      </c>
      <c r="BZ28" s="31">
        <f t="shared" si="93"/>
        <v>142.96</v>
      </c>
      <c r="CA28" s="31">
        <f t="shared" si="93"/>
        <v>175.02600000000001</v>
      </c>
      <c r="CB28" s="31">
        <f t="shared" si="93"/>
        <v>182.58099999999999</v>
      </c>
      <c r="CC28" s="31">
        <f t="shared" si="93"/>
        <v>182.43100000000001</v>
      </c>
      <c r="CD28" s="31">
        <f t="shared" si="93"/>
        <v>184.28399999999999</v>
      </c>
      <c r="CE28" s="31">
        <f t="shared" ref="CE28:CF28" si="94">CE22-CE25-CE27-CE26</f>
        <v>237.614</v>
      </c>
      <c r="CF28" s="31">
        <f t="shared" si="94"/>
        <v>242.48099999999999</v>
      </c>
      <c r="CG28" s="31">
        <f t="shared" ref="CG28:CH28" si="95">CG22-CG25-CG27-CG26</f>
        <v>237.04</v>
      </c>
      <c r="CH28" s="31">
        <f t="shared" si="95"/>
        <v>221.96</v>
      </c>
      <c r="CI28" s="31">
        <f t="shared" ref="CI28:CJ28" si="96">CI22-CI25-CI27-CI26</f>
        <v>274.017</v>
      </c>
      <c r="CJ28" s="31">
        <f t="shared" si="96"/>
        <v>297.36599999999999</v>
      </c>
      <c r="CK28" s="31">
        <f t="shared" ref="CK28:CL28" si="97">CK22-CK25-CK27-CK26</f>
        <v>289.62400000000002</v>
      </c>
      <c r="CL28" s="31">
        <f t="shared" si="97"/>
        <v>287.81799999999998</v>
      </c>
      <c r="CM28" s="32">
        <f t="shared" ref="CM28:DB28" si="98">+CM29*CM22</f>
        <v>344.26289474044876</v>
      </c>
      <c r="CN28" s="32">
        <f t="shared" si="98"/>
        <v>386.57579999999996</v>
      </c>
      <c r="CO28" s="32">
        <f t="shared" si="98"/>
        <v>376.51120000000003</v>
      </c>
      <c r="CP28" s="32">
        <f t="shared" si="98"/>
        <v>374.16339999999997</v>
      </c>
      <c r="CQ28" s="32">
        <f t="shared" si="98"/>
        <v>447.54176316258344</v>
      </c>
      <c r="CR28" s="32">
        <f t="shared" si="98"/>
        <v>502.54853999999995</v>
      </c>
      <c r="CS28" s="32">
        <f t="shared" si="98"/>
        <v>489.46455999999995</v>
      </c>
      <c r="CT28" s="32">
        <f t="shared" si="98"/>
        <v>486.41241999999994</v>
      </c>
      <c r="CU28" s="32">
        <f t="shared" si="98"/>
        <v>581.80429211135834</v>
      </c>
      <c r="CV28" s="32">
        <f t="shared" si="98"/>
        <v>653.31310199999996</v>
      </c>
      <c r="CW28" s="32">
        <f t="shared" si="98"/>
        <v>636.30392799999993</v>
      </c>
      <c r="CX28" s="32">
        <f t="shared" si="98"/>
        <v>632.33614599999987</v>
      </c>
      <c r="CY28" s="32">
        <f t="shared" si="98"/>
        <v>756.34557974476581</v>
      </c>
      <c r="CZ28" s="32">
        <f t="shared" si="98"/>
        <v>849.30703259999984</v>
      </c>
      <c r="DA28" s="32">
        <f t="shared" si="98"/>
        <v>827.1951064000001</v>
      </c>
      <c r="DB28" s="32">
        <f t="shared" si="98"/>
        <v>822.0369897999999</v>
      </c>
      <c r="DE28" s="124"/>
      <c r="DF28" s="31">
        <v>1148.825</v>
      </c>
    </row>
    <row r="29" spans="1:110" s="41" customFormat="1" x14ac:dyDescent="0.2">
      <c r="A29" s="41" t="s">
        <v>6</v>
      </c>
      <c r="B29" s="41" t="e">
        <f>B28/B22</f>
        <v>#DIV/0!</v>
      </c>
      <c r="C29" s="41" t="e">
        <f t="shared" ref="C29:U29" si="99">C28/C22</f>
        <v>#DIV/0!</v>
      </c>
      <c r="D29" s="41" t="e">
        <f t="shared" si="99"/>
        <v>#DIV/0!</v>
      </c>
      <c r="E29" s="41" t="e">
        <f t="shared" si="99"/>
        <v>#DIV/0!</v>
      </c>
      <c r="F29" s="41" t="e">
        <f t="shared" si="99"/>
        <v>#DIV/0!</v>
      </c>
      <c r="G29" s="41" t="e">
        <f t="shared" si="99"/>
        <v>#DIV/0!</v>
      </c>
      <c r="H29" s="41" t="e">
        <f t="shared" si="99"/>
        <v>#DIV/0!</v>
      </c>
      <c r="I29" s="41" t="e">
        <f t="shared" si="99"/>
        <v>#DIV/0!</v>
      </c>
      <c r="J29" s="41">
        <f t="shared" si="99"/>
        <v>1</v>
      </c>
      <c r="K29" s="41">
        <f t="shared" si="99"/>
        <v>1</v>
      </c>
      <c r="L29" s="41">
        <f t="shared" si="99"/>
        <v>1</v>
      </c>
      <c r="M29" s="41">
        <f t="shared" si="99"/>
        <v>1</v>
      </c>
      <c r="N29" s="41">
        <f t="shared" si="99"/>
        <v>1</v>
      </c>
      <c r="O29" s="41">
        <f t="shared" si="99"/>
        <v>1</v>
      </c>
      <c r="P29" s="41" t="e">
        <f t="shared" si="99"/>
        <v>#DIV/0!</v>
      </c>
      <c r="Q29" s="41">
        <f t="shared" si="99"/>
        <v>1</v>
      </c>
      <c r="R29" s="41">
        <f t="shared" si="99"/>
        <v>1</v>
      </c>
      <c r="S29" s="41">
        <f t="shared" si="99"/>
        <v>1</v>
      </c>
      <c r="T29" s="41">
        <f t="shared" si="99"/>
        <v>1</v>
      </c>
      <c r="U29" s="41">
        <f t="shared" si="99"/>
        <v>1</v>
      </c>
      <c r="V29" s="41">
        <f t="shared" ref="V29:AA29" si="100">V28/V22</f>
        <v>1</v>
      </c>
      <c r="W29" s="41">
        <f t="shared" si="100"/>
        <v>1</v>
      </c>
      <c r="X29" s="41">
        <f t="shared" si="100"/>
        <v>1</v>
      </c>
      <c r="Y29" s="41">
        <f t="shared" si="100"/>
        <v>1</v>
      </c>
      <c r="Z29" s="41">
        <f t="shared" si="100"/>
        <v>1</v>
      </c>
      <c r="AA29" s="41">
        <f t="shared" si="100"/>
        <v>1</v>
      </c>
      <c r="AB29" s="42">
        <f t="shared" ref="AB29:AD29" si="101">AB28/AB22</f>
        <v>1</v>
      </c>
      <c r="AC29" s="42">
        <f t="shared" si="101"/>
        <v>1</v>
      </c>
      <c r="AD29" s="42">
        <f t="shared" si="101"/>
        <v>1</v>
      </c>
      <c r="AE29" s="42">
        <f t="shared" ref="AE29" si="102">AE28/AE22</f>
        <v>1</v>
      </c>
      <c r="AI29" s="41" t="e">
        <f t="shared" ref="AI29" si="103">AI28/AI22</f>
        <v>#DIV/0!</v>
      </c>
      <c r="AJ29" s="41" t="e">
        <f t="shared" ref="AJ29" si="104">AJ28/AJ22</f>
        <v>#DIV/0!</v>
      </c>
      <c r="AK29" s="41" t="e">
        <f t="shared" ref="AK29:AM29" si="105">AK28/AK22</f>
        <v>#DIV/0!</v>
      </c>
      <c r="AL29" s="41" t="e">
        <f t="shared" si="105"/>
        <v>#DIV/0!</v>
      </c>
      <c r="AM29" s="41" t="e">
        <f t="shared" si="105"/>
        <v>#DIV/0!</v>
      </c>
      <c r="AN29" s="41" t="e">
        <f t="shared" ref="AN29:AO29" si="106">AN28/AN22</f>
        <v>#DIV/0!</v>
      </c>
      <c r="AO29" s="41" t="e">
        <f t="shared" si="106"/>
        <v>#DIV/0!</v>
      </c>
      <c r="AP29" s="41" t="e">
        <f t="shared" ref="AP29:CD29" si="107">AP28/AP22</f>
        <v>#DIV/0!</v>
      </c>
      <c r="AQ29" s="41" t="e">
        <f t="shared" si="107"/>
        <v>#DIV/0!</v>
      </c>
      <c r="AR29" s="41" t="e">
        <f t="shared" si="107"/>
        <v>#DIV/0!</v>
      </c>
      <c r="AS29" s="41" t="e">
        <f t="shared" si="107"/>
        <v>#DIV/0!</v>
      </c>
      <c r="AT29" s="41" t="e">
        <f t="shared" si="107"/>
        <v>#DIV/0!</v>
      </c>
      <c r="AU29" s="41" t="e">
        <f t="shared" si="107"/>
        <v>#DIV/0!</v>
      </c>
      <c r="AV29" s="41" t="e">
        <f t="shared" si="107"/>
        <v>#DIV/0!</v>
      </c>
      <c r="AW29" s="41" t="e">
        <f t="shared" si="107"/>
        <v>#DIV/0!</v>
      </c>
      <c r="AX29" s="41" t="e">
        <f t="shared" si="107"/>
        <v>#DIV/0!</v>
      </c>
      <c r="AY29" s="41" t="e">
        <f t="shared" si="107"/>
        <v>#DIV/0!</v>
      </c>
      <c r="AZ29" s="41" t="e">
        <f t="shared" si="107"/>
        <v>#DIV/0!</v>
      </c>
      <c r="BA29" s="41" t="e">
        <f t="shared" si="107"/>
        <v>#DIV/0!</v>
      </c>
      <c r="BB29" s="41" t="e">
        <f t="shared" si="107"/>
        <v>#DIV/0!</v>
      </c>
      <c r="BC29" s="41" t="e">
        <f t="shared" si="107"/>
        <v>#DIV/0!</v>
      </c>
      <c r="BD29" s="41" t="e">
        <f t="shared" si="107"/>
        <v>#DIV/0!</v>
      </c>
      <c r="BE29" s="41" t="e">
        <f t="shared" si="107"/>
        <v>#DIV/0!</v>
      </c>
      <c r="BF29" s="41" t="e">
        <f t="shared" si="107"/>
        <v>#DIV/0!</v>
      </c>
      <c r="BG29" s="41" t="e">
        <f t="shared" si="107"/>
        <v>#DIV/0!</v>
      </c>
      <c r="BH29" s="41" t="e">
        <f t="shared" si="107"/>
        <v>#DIV/0!</v>
      </c>
      <c r="BI29" s="41" t="e">
        <f t="shared" si="107"/>
        <v>#DIV/0!</v>
      </c>
      <c r="BJ29" s="41" t="e">
        <f t="shared" si="107"/>
        <v>#DIV/0!</v>
      </c>
      <c r="BK29" s="41" t="e">
        <f t="shared" si="107"/>
        <v>#DIV/0!</v>
      </c>
      <c r="BL29" s="41" t="e">
        <f t="shared" si="107"/>
        <v>#DIV/0!</v>
      </c>
      <c r="BM29" s="41" t="e">
        <f t="shared" si="107"/>
        <v>#DIV/0!</v>
      </c>
      <c r="BN29" s="41" t="e">
        <f t="shared" si="107"/>
        <v>#DIV/0!</v>
      </c>
      <c r="BO29" s="41" t="e">
        <f t="shared" si="107"/>
        <v>#DIV/0!</v>
      </c>
      <c r="BP29" s="41" t="e">
        <f t="shared" si="107"/>
        <v>#DIV/0!</v>
      </c>
      <c r="BQ29" s="41">
        <f t="shared" si="107"/>
        <v>1</v>
      </c>
      <c r="BR29" s="41">
        <f t="shared" si="107"/>
        <v>1</v>
      </c>
      <c r="BS29" s="41">
        <f t="shared" si="107"/>
        <v>1</v>
      </c>
      <c r="BT29" s="41">
        <f t="shared" si="107"/>
        <v>1</v>
      </c>
      <c r="BU29" s="41">
        <f t="shared" si="107"/>
        <v>1</v>
      </c>
      <c r="BV29" s="41">
        <f t="shared" si="107"/>
        <v>1</v>
      </c>
      <c r="BW29" s="41">
        <f t="shared" si="107"/>
        <v>1</v>
      </c>
      <c r="BX29" s="41">
        <f t="shared" si="107"/>
        <v>1</v>
      </c>
      <c r="BY29" s="41">
        <f t="shared" si="107"/>
        <v>1</v>
      </c>
      <c r="BZ29" s="41">
        <f t="shared" si="107"/>
        <v>1</v>
      </c>
      <c r="CA29" s="41">
        <f t="shared" si="107"/>
        <v>1</v>
      </c>
      <c r="CB29" s="41">
        <f t="shared" si="107"/>
        <v>1</v>
      </c>
      <c r="CC29" s="41">
        <f t="shared" si="107"/>
        <v>1</v>
      </c>
      <c r="CD29" s="41">
        <f t="shared" si="107"/>
        <v>1</v>
      </c>
      <c r="CE29" s="41">
        <f t="shared" ref="CE29:CF29" si="108">CE28/CE22</f>
        <v>1</v>
      </c>
      <c r="CF29" s="41">
        <f t="shared" si="108"/>
        <v>1</v>
      </c>
      <c r="CG29" s="41">
        <f t="shared" ref="CG29:CH29" si="109">CG28/CG22</f>
        <v>1</v>
      </c>
      <c r="CH29" s="41">
        <f t="shared" si="109"/>
        <v>1</v>
      </c>
      <c r="CI29" s="41">
        <f t="shared" ref="CI29:CJ29" si="110">CI28/CI22</f>
        <v>1</v>
      </c>
      <c r="CJ29" s="41">
        <f t="shared" si="110"/>
        <v>1</v>
      </c>
      <c r="CK29" s="41">
        <f t="shared" ref="CK29:CL29" si="111">CK28/CK22</f>
        <v>1</v>
      </c>
      <c r="CL29" s="41">
        <f t="shared" si="111"/>
        <v>1</v>
      </c>
      <c r="CM29" s="42">
        <f t="shared" ref="CM29:DB29" si="112">AVERAGE(CI29:CL29)</f>
        <v>1</v>
      </c>
      <c r="CN29" s="42">
        <f t="shared" si="112"/>
        <v>1</v>
      </c>
      <c r="CO29" s="42">
        <f t="shared" si="112"/>
        <v>1</v>
      </c>
      <c r="CP29" s="42">
        <f t="shared" si="112"/>
        <v>1</v>
      </c>
      <c r="CQ29" s="42">
        <f t="shared" si="112"/>
        <v>1</v>
      </c>
      <c r="CR29" s="42">
        <f t="shared" si="112"/>
        <v>1</v>
      </c>
      <c r="CS29" s="42">
        <f t="shared" si="112"/>
        <v>1</v>
      </c>
      <c r="CT29" s="42">
        <f t="shared" si="112"/>
        <v>1</v>
      </c>
      <c r="CU29" s="42">
        <f t="shared" si="112"/>
        <v>1</v>
      </c>
      <c r="CV29" s="42">
        <f t="shared" si="112"/>
        <v>1</v>
      </c>
      <c r="CW29" s="42">
        <f t="shared" si="112"/>
        <v>1</v>
      </c>
      <c r="CX29" s="42">
        <f t="shared" si="112"/>
        <v>1</v>
      </c>
      <c r="CY29" s="42">
        <f t="shared" si="112"/>
        <v>1</v>
      </c>
      <c r="CZ29" s="42">
        <f t="shared" si="112"/>
        <v>1</v>
      </c>
      <c r="DA29" s="42">
        <f t="shared" si="112"/>
        <v>1</v>
      </c>
      <c r="DB29" s="42">
        <f t="shared" si="112"/>
        <v>1</v>
      </c>
      <c r="DE29" s="125"/>
      <c r="DF29" s="41">
        <v>1</v>
      </c>
    </row>
    <row r="30" spans="1:110" s="39" customFormat="1" x14ac:dyDescent="0.2">
      <c r="A30" s="39" t="s">
        <v>447</v>
      </c>
      <c r="C30" s="39" t="e">
        <f t="shared" ref="C30:AE30" si="113">+IF(B28&lt;0,1-C28/B28,C28/B28-1)</f>
        <v>#DIV/0!</v>
      </c>
      <c r="D30" s="39" t="e">
        <f t="shared" si="113"/>
        <v>#DIV/0!</v>
      </c>
      <c r="E30" s="39" t="e">
        <f t="shared" si="113"/>
        <v>#DIV/0!</v>
      </c>
      <c r="F30" s="39" t="e">
        <f t="shared" si="113"/>
        <v>#DIV/0!</v>
      </c>
      <c r="G30" s="39" t="e">
        <f t="shared" si="113"/>
        <v>#DIV/0!</v>
      </c>
      <c r="H30" s="39" t="e">
        <f t="shared" si="113"/>
        <v>#DIV/0!</v>
      </c>
      <c r="I30" s="39" t="e">
        <f t="shared" si="113"/>
        <v>#DIV/0!</v>
      </c>
      <c r="J30" s="39" t="e">
        <f t="shared" si="113"/>
        <v>#DIV/0!</v>
      </c>
      <c r="K30" s="39">
        <f t="shared" si="113"/>
        <v>0.22557292034366494</v>
      </c>
      <c r="L30" s="39">
        <f t="shared" si="113"/>
        <v>4.9701791571266085E-8</v>
      </c>
      <c r="M30" s="39">
        <f t="shared" si="113"/>
        <v>-0.53164383697813122</v>
      </c>
      <c r="N30" s="39">
        <f t="shared" si="113"/>
        <v>-0.32831231775277647</v>
      </c>
      <c r="O30" s="39">
        <f t="shared" si="113"/>
        <v>-0.2053124938779044</v>
      </c>
      <c r="P30" s="39">
        <f t="shared" si="113"/>
        <v>-1</v>
      </c>
      <c r="Q30" s="39" t="e">
        <f t="shared" si="113"/>
        <v>#DIV/0!</v>
      </c>
      <c r="R30" s="39">
        <f t="shared" si="113"/>
        <v>85.345263157894749</v>
      </c>
      <c r="S30" s="39">
        <f t="shared" si="113"/>
        <v>4.3891841810113617</v>
      </c>
      <c r="T30" s="39">
        <f t="shared" si="113"/>
        <v>0.25134369684027646</v>
      </c>
      <c r="U30" s="39">
        <f t="shared" si="113"/>
        <v>0.19972016038353213</v>
      </c>
      <c r="V30" s="39">
        <f t="shared" si="113"/>
        <v>-0.2003959894764441</v>
      </c>
      <c r="W30" s="39">
        <f t="shared" si="113"/>
        <v>0.57345488753259155</v>
      </c>
      <c r="X30" s="39">
        <f t="shared" si="113"/>
        <v>0.3141345643233735</v>
      </c>
      <c r="Y30" s="39">
        <f t="shared" si="113"/>
        <v>0.3202347440431792</v>
      </c>
      <c r="Z30" s="39">
        <f t="shared" si="113"/>
        <v>0.29651446696740758</v>
      </c>
      <c r="AA30" s="39">
        <f t="shared" si="113"/>
        <v>0.22333255882847158</v>
      </c>
      <c r="AB30" s="40">
        <f t="shared" si="113"/>
        <v>0.28959005483032541</v>
      </c>
      <c r="AC30" s="40">
        <f t="shared" si="113"/>
        <v>0.30000000000000004</v>
      </c>
      <c r="AD30" s="40">
        <f t="shared" si="113"/>
        <v>0.30000000000000004</v>
      </c>
      <c r="AE30" s="40">
        <f t="shared" si="113"/>
        <v>0.29999999999999982</v>
      </c>
      <c r="AM30" s="39" t="e">
        <f>+IF(AI28&lt;0,1-AM28/AI28,AM28/AI28-1)</f>
        <v>#DIV/0!</v>
      </c>
      <c r="AN30" s="39" t="e">
        <f t="shared" ref="AN30" si="114">+IF(AJ28&lt;0,1-AN28/AJ28,AN28/AJ28-1)</f>
        <v>#DIV/0!</v>
      </c>
      <c r="AO30" s="39" t="e">
        <f t="shared" ref="AO30" si="115">+IF(AK28&lt;0,1-AO28/AK28,AO28/AK28-1)</f>
        <v>#DIV/0!</v>
      </c>
      <c r="AP30" s="39" t="e">
        <f t="shared" ref="AP30" si="116">+IF(AL28&lt;0,1-AP28/AL28,AP28/AL28-1)</f>
        <v>#DIV/0!</v>
      </c>
      <c r="AQ30" s="39" t="e">
        <f t="shared" ref="AQ30" si="117">+IF(AM28&lt;0,1-AQ28/AM28,AQ28/AM28-1)</f>
        <v>#DIV/0!</v>
      </c>
      <c r="AR30" s="39" t="e">
        <f t="shared" ref="AR30" si="118">+IF(AN28&lt;0,1-AR28/AN28,AR28/AN28-1)</f>
        <v>#DIV/0!</v>
      </c>
      <c r="AS30" s="39" t="e">
        <f t="shared" ref="AS30" si="119">+IF(AO28&lt;0,1-AS28/AO28,AS28/AO28-1)</f>
        <v>#DIV/0!</v>
      </c>
      <c r="AT30" s="39" t="e">
        <f t="shared" ref="AT30" si="120">+IF(AP28&lt;0,1-AT28/AP28,AT28/AP28-1)</f>
        <v>#DIV/0!</v>
      </c>
      <c r="AU30" s="39" t="e">
        <f t="shared" ref="AU30" si="121">+IF(AQ28&lt;0,1-AU28/AQ28,AU28/AQ28-1)</f>
        <v>#DIV/0!</v>
      </c>
      <c r="AV30" s="39" t="e">
        <f t="shared" ref="AV30" si="122">+IF(AR28&lt;0,1-AV28/AR28,AV28/AR28-1)</f>
        <v>#DIV/0!</v>
      </c>
      <c r="AW30" s="39" t="e">
        <f t="shared" ref="AW30" si="123">+IF(AS28&lt;0,1-AW28/AS28,AW28/AS28-1)</f>
        <v>#DIV/0!</v>
      </c>
      <c r="AX30" s="39" t="e">
        <f t="shared" ref="AX30" si="124">+IF(AT28&lt;0,1-AX28/AT28,AX28/AT28-1)</f>
        <v>#DIV/0!</v>
      </c>
      <c r="AY30" s="39" t="e">
        <f t="shared" ref="AY30" si="125">+IF(AU28&lt;0,1-AY28/AU28,AY28/AU28-1)</f>
        <v>#DIV/0!</v>
      </c>
      <c r="AZ30" s="39" t="e">
        <f t="shared" ref="AZ30" si="126">+IF(AV28&lt;0,1-AZ28/AV28,AZ28/AV28-1)</f>
        <v>#DIV/0!</v>
      </c>
      <c r="BA30" s="39" t="e">
        <f t="shared" ref="BA30" si="127">+IF(AW28&lt;0,1-BA28/AW28,BA28/AW28-1)</f>
        <v>#DIV/0!</v>
      </c>
      <c r="BB30" s="39" t="e">
        <f t="shared" ref="BB30" si="128">+IF(AX28&lt;0,1-BB28/AX28,BB28/AX28-1)</f>
        <v>#DIV/0!</v>
      </c>
      <c r="BC30" s="39" t="e">
        <f t="shared" ref="BC30" si="129">+IF(AY28&lt;0,1-BC28/AY28,BC28/AY28-1)</f>
        <v>#DIV/0!</v>
      </c>
      <c r="BD30" s="39" t="e">
        <f t="shared" ref="BD30" si="130">+IF(AZ28&lt;0,1-BD28/AZ28,BD28/AZ28-1)</f>
        <v>#DIV/0!</v>
      </c>
      <c r="BE30" s="39" t="e">
        <f t="shared" ref="BE30" si="131">+IF(BA28&lt;0,1-BE28/BA28,BE28/BA28-1)</f>
        <v>#DIV/0!</v>
      </c>
      <c r="BF30" s="39" t="e">
        <f t="shared" ref="BF30" si="132">+IF(BB28&lt;0,1-BF28/BB28,BF28/BB28-1)</f>
        <v>#DIV/0!</v>
      </c>
      <c r="BG30" s="39" t="e">
        <f t="shared" ref="BG30" si="133">+IF(BC28&lt;0,1-BG28/BC28,BG28/BC28-1)</f>
        <v>#DIV/0!</v>
      </c>
      <c r="BH30" s="39" t="e">
        <f t="shared" ref="BH30" si="134">+IF(BD28&lt;0,1-BH28/BD28,BH28/BD28-1)</f>
        <v>#DIV/0!</v>
      </c>
      <c r="BI30" s="39" t="e">
        <f t="shared" ref="BI30" si="135">+IF(BE28&lt;0,1-BI28/BE28,BI28/BE28-1)</f>
        <v>#DIV/0!</v>
      </c>
      <c r="BJ30" s="39" t="e">
        <f t="shared" ref="BJ30" si="136">+IF(BF28&lt;0,1-BJ28/BF28,BJ28/BF28-1)</f>
        <v>#DIV/0!</v>
      </c>
      <c r="BK30" s="39" t="e">
        <f t="shared" ref="BK30" si="137">+IF(BG28&lt;0,1-BK28/BG28,BK28/BG28-1)</f>
        <v>#DIV/0!</v>
      </c>
      <c r="BL30" s="39" t="e">
        <f t="shared" ref="BL30" si="138">+IF(BH28&lt;0,1-BL28/BH28,BL28/BH28-1)</f>
        <v>#DIV/0!</v>
      </c>
      <c r="BM30" s="39" t="e">
        <f t="shared" ref="BM30" si="139">+IF(BI28&lt;0,1-BM28/BI28,BM28/BI28-1)</f>
        <v>#DIV/0!</v>
      </c>
      <c r="BN30" s="39" t="e">
        <f t="shared" ref="BN30" si="140">+IF(BJ28&lt;0,1-BN28/BJ28,BN28/BJ28-1)</f>
        <v>#DIV/0!</v>
      </c>
      <c r="BO30" s="39" t="e">
        <f t="shared" ref="BO30" si="141">+IF(BK28&lt;0,1-BO28/BK28,BO28/BK28-1)</f>
        <v>#DIV/0!</v>
      </c>
      <c r="BP30" s="39" t="e">
        <f t="shared" ref="BP30" si="142">+IF(BL28&lt;0,1-BP28/BL28,BP28/BL28-1)</f>
        <v>#DIV/0!</v>
      </c>
      <c r="BQ30" s="39" t="e">
        <f t="shared" ref="BQ30" si="143">+IF(BM28&lt;0,1-BQ28/BM28,BQ28/BM28-1)</f>
        <v>#DIV/0!</v>
      </c>
      <c r="BR30" s="39" t="e">
        <f t="shared" ref="BR30" si="144">+IF(BN28&lt;0,1-BR28/BN28,BR28/BN28-1)</f>
        <v>#DIV/0!</v>
      </c>
      <c r="BS30" s="39" t="e">
        <f t="shared" ref="BS30" si="145">+IF(BO28&lt;0,1-BS28/BO28,BS28/BO28-1)</f>
        <v>#DIV/0!</v>
      </c>
      <c r="BT30" s="39" t="e">
        <f t="shared" ref="BT30" si="146">+IF(BP28&lt;0,1-BT28/BP28,BT28/BP28-1)</f>
        <v>#DIV/0!</v>
      </c>
      <c r="BU30" s="39">
        <f t="shared" ref="BU30" si="147">+IF(BQ28&lt;0,1-BU28/BQ28,BU28/BQ28-1)</f>
        <v>0.55243676742751391</v>
      </c>
      <c r="BV30" s="39">
        <f t="shared" ref="BV30" si="148">+IF(BR28&lt;0,1-BV28/BR28,BV28/BR28-1)</f>
        <v>0.6027092859279517</v>
      </c>
      <c r="BW30" s="39">
        <f t="shared" ref="BW30" si="149">+IF(BS28&lt;0,1-BW28/BS28,BW28/BS28-1)</f>
        <v>0.34909586681974725</v>
      </c>
      <c r="BX30" s="39">
        <f t="shared" ref="BX30" si="150">+IF(BT28&lt;0,1-BX28/BT28,BX28/BT28-1)</f>
        <v>0.33755713934627662</v>
      </c>
      <c r="BY30" s="39">
        <f t="shared" ref="BY30" si="151">+IF(BU28&lt;0,1-BY28/BU28,BY28/BU28-1)</f>
        <v>0.30568722621176447</v>
      </c>
      <c r="BZ30" s="39">
        <f t="shared" ref="BZ30" si="152">+IF(BV28&lt;0,1-BZ28/BV28,BZ28/BV28-1)</f>
        <v>0.27058614406967973</v>
      </c>
      <c r="CA30" s="39">
        <f t="shared" ref="CA30" si="153">+IF(BW28&lt;0,1-CA28/BW28,CA28/BW28-1)</f>
        <v>0.329914062321913</v>
      </c>
      <c r="CB30" s="39">
        <f t="shared" ref="CB30" si="154">+IF(BX28&lt;0,1-CB28/BX28,CB28/BX28-1)</f>
        <v>0.34188574410383432</v>
      </c>
      <c r="CC30" s="39">
        <f t="shared" ref="CC30" si="155">+IF(BY28&lt;0,1-CC28/BY28,CC28/BY28-1)</f>
        <v>0.32194460949841308</v>
      </c>
      <c r="CD30" s="39">
        <f t="shared" ref="CD30" si="156">+IF(BZ28&lt;0,1-CD28/BZ28,CD28/BZ28-1)</f>
        <v>0.2890598768886401</v>
      </c>
      <c r="CE30" s="39">
        <f t="shared" ref="CE30" si="157">+IF(CA28&lt;0,1-CE28/CA28,CE28/CA28-1)</f>
        <v>0.35759258624432944</v>
      </c>
      <c r="CF30" s="39">
        <f t="shared" ref="CF30" si="158">+IF(CB28&lt;0,1-CF28/CB28,CF28/CB28-1)</f>
        <v>0.32807356734819071</v>
      </c>
      <c r="CG30" s="39">
        <f t="shared" ref="CG30" si="159">+IF(CC28&lt;0,1-CG28/CC28,CG28/CC28-1)</f>
        <v>0.29934057260005131</v>
      </c>
      <c r="CH30" s="39">
        <f t="shared" ref="CH30:CL30" si="160">+IF(CD28&lt;0,1-CH28/CD28,CH28/CD28-1)</f>
        <v>0.20444531266957533</v>
      </c>
      <c r="CI30" s="39">
        <f t="shared" si="160"/>
        <v>0.15320225239253582</v>
      </c>
      <c r="CJ30" s="39">
        <f t="shared" si="160"/>
        <v>0.22634763136080771</v>
      </c>
      <c r="CK30" s="39">
        <f t="shared" si="160"/>
        <v>0.2218359770502869</v>
      </c>
      <c r="CL30" s="39">
        <f t="shared" si="160"/>
        <v>0.29671111912056225</v>
      </c>
      <c r="CM30" s="40">
        <f t="shared" ref="CM30" si="161">+CM28/CI28-1</f>
        <v>0.25635597331716187</v>
      </c>
      <c r="CN30" s="40">
        <f t="shared" ref="CN30" si="162">+CN28/CJ28-1</f>
        <v>0.29999999999999982</v>
      </c>
      <c r="CO30" s="40">
        <f t="shared" ref="CO30" si="163">+CO28/CK28-1</f>
        <v>0.30000000000000004</v>
      </c>
      <c r="CP30" s="40">
        <f t="shared" ref="CP30" si="164">+CP28/CL28-1</f>
        <v>0.30000000000000004</v>
      </c>
      <c r="CQ30" s="40">
        <f t="shared" ref="CQ30" si="165">+CQ28/CM28-1</f>
        <v>0.30000000000000004</v>
      </c>
      <c r="CR30" s="40">
        <f t="shared" ref="CR30" si="166">+CR28/CN28-1</f>
        <v>0.30000000000000004</v>
      </c>
      <c r="CS30" s="40">
        <f t="shared" ref="CS30" si="167">+CS28/CO28-1</f>
        <v>0.29999999999999982</v>
      </c>
      <c r="CT30" s="40">
        <f t="shared" ref="CT30" si="168">+CT28/CP28-1</f>
        <v>0.30000000000000004</v>
      </c>
      <c r="CU30" s="40">
        <f t="shared" ref="CU30" si="169">+CU28/CQ28-1</f>
        <v>0.2999999999999996</v>
      </c>
      <c r="CV30" s="40">
        <f t="shared" ref="CV30" si="170">+CV28/CR28-1</f>
        <v>0.30000000000000004</v>
      </c>
      <c r="CW30" s="40">
        <f t="shared" ref="CW30" si="171">+CW28/CS28-1</f>
        <v>0.30000000000000004</v>
      </c>
      <c r="CX30" s="40">
        <f t="shared" ref="CX30" si="172">+CX28/CT28-1</f>
        <v>0.29999999999999982</v>
      </c>
      <c r="CY30" s="40">
        <f t="shared" ref="CY30" si="173">+CY28/CU28-1</f>
        <v>0.30000000000000004</v>
      </c>
      <c r="CZ30" s="40">
        <f t="shared" ref="CZ30" si="174">+CZ28/CV28-1</f>
        <v>0.29999999999999982</v>
      </c>
      <c r="DA30" s="40">
        <f t="shared" ref="DA30" si="175">+DA28/CW28-1</f>
        <v>0.30000000000000027</v>
      </c>
      <c r="DB30" s="40">
        <f t="shared" ref="DB30" si="176">+DB28/CX28-1</f>
        <v>0.30000000000000004</v>
      </c>
      <c r="DE30" s="122"/>
      <c r="DF30" s="39">
        <v>0.22333255882847158</v>
      </c>
    </row>
    <row r="31" spans="1:110" s="39" customFormat="1" x14ac:dyDescent="0.2">
      <c r="A31" s="39" t="s">
        <v>448</v>
      </c>
      <c r="AB31" s="40"/>
      <c r="AC31" s="40"/>
      <c r="AD31" s="40"/>
      <c r="AE31" s="40"/>
      <c r="AJ31" s="39" t="e">
        <f>+IF(AI28&lt;0,1-AJ28/AI28,AJ28/AI28-1)</f>
        <v>#DIV/0!</v>
      </c>
      <c r="AK31" s="39" t="e">
        <f t="shared" ref="AK31" si="177">+IF(AJ28&lt;0,1-AK28/AJ28,AK28/AJ28-1)</f>
        <v>#DIV/0!</v>
      </c>
      <c r="AL31" s="39" t="e">
        <f t="shared" ref="AL31" si="178">+IF(AK28&lt;0,1-AL28/AK28,AL28/AK28-1)</f>
        <v>#DIV/0!</v>
      </c>
      <c r="AM31" s="39" t="e">
        <f t="shared" ref="AM31" si="179">+IF(AL28&lt;0,1-AM28/AL28,AM28/AL28-1)</f>
        <v>#DIV/0!</v>
      </c>
      <c r="AN31" s="39" t="e">
        <f t="shared" ref="AN31" si="180">+IF(AM28&lt;0,1-AN28/AM28,AN28/AM28-1)</f>
        <v>#DIV/0!</v>
      </c>
      <c r="AO31" s="39" t="e">
        <f t="shared" ref="AO31" si="181">+IF(AN28&lt;0,1-AO28/AN28,AO28/AN28-1)</f>
        <v>#DIV/0!</v>
      </c>
      <c r="AP31" s="39" t="e">
        <f t="shared" ref="AP31" si="182">+IF(AO28&lt;0,1-AP28/AO28,AP28/AO28-1)</f>
        <v>#DIV/0!</v>
      </c>
      <c r="AQ31" s="39" t="e">
        <f t="shared" ref="AQ31" si="183">+IF(AP28&lt;0,1-AQ28/AP28,AQ28/AP28-1)</f>
        <v>#DIV/0!</v>
      </c>
      <c r="AR31" s="39" t="e">
        <f t="shared" ref="AR31" si="184">+IF(AQ28&lt;0,1-AR28/AQ28,AR28/AQ28-1)</f>
        <v>#DIV/0!</v>
      </c>
      <c r="AS31" s="39" t="e">
        <f t="shared" ref="AS31" si="185">+IF(AR28&lt;0,1-AS28/AR28,AS28/AR28-1)</f>
        <v>#DIV/0!</v>
      </c>
      <c r="AT31" s="39" t="e">
        <f t="shared" ref="AT31" si="186">+IF(AS28&lt;0,1-AT28/AS28,AT28/AS28-1)</f>
        <v>#DIV/0!</v>
      </c>
      <c r="AU31" s="39" t="e">
        <f t="shared" ref="AU31" si="187">+IF(AT28&lt;0,1-AU28/AT28,AU28/AT28-1)</f>
        <v>#DIV/0!</v>
      </c>
      <c r="AV31" s="39" t="e">
        <f t="shared" ref="AV31" si="188">+IF(AU28&lt;0,1-AV28/AU28,AV28/AU28-1)</f>
        <v>#DIV/0!</v>
      </c>
      <c r="AW31" s="39" t="e">
        <f t="shared" ref="AW31" si="189">+IF(AV28&lt;0,1-AW28/AV28,AW28/AV28-1)</f>
        <v>#DIV/0!</v>
      </c>
      <c r="AX31" s="39" t="e">
        <f t="shared" ref="AX31" si="190">+IF(AW28&lt;0,1-AX28/AW28,AX28/AW28-1)</f>
        <v>#DIV/0!</v>
      </c>
      <c r="AY31" s="39" t="e">
        <f t="shared" ref="AY31" si="191">+IF(AX28&lt;0,1-AY28/AX28,AY28/AX28-1)</f>
        <v>#DIV/0!</v>
      </c>
      <c r="AZ31" s="39" t="e">
        <f t="shared" ref="AZ31" si="192">+IF(AY28&lt;0,1-AZ28/AY28,AZ28/AY28-1)</f>
        <v>#DIV/0!</v>
      </c>
      <c r="BA31" s="39" t="e">
        <f t="shared" ref="BA31" si="193">+IF(AZ28&lt;0,1-BA28/AZ28,BA28/AZ28-1)</f>
        <v>#DIV/0!</v>
      </c>
      <c r="BB31" s="39" t="e">
        <f t="shared" ref="BB31" si="194">+IF(BA28&lt;0,1-BB28/BA28,BB28/BA28-1)</f>
        <v>#DIV/0!</v>
      </c>
      <c r="BC31" s="39" t="e">
        <f t="shared" ref="BC31" si="195">+IF(BB28&lt;0,1-BC28/BB28,BC28/BB28-1)</f>
        <v>#DIV/0!</v>
      </c>
      <c r="BD31" s="39" t="e">
        <f t="shared" ref="BD31" si="196">+IF(BC28&lt;0,1-BD28/BC28,BD28/BC28-1)</f>
        <v>#DIV/0!</v>
      </c>
      <c r="BE31" s="39" t="e">
        <f t="shared" ref="BE31" si="197">+IF(BD28&lt;0,1-BE28/BD28,BE28/BD28-1)</f>
        <v>#DIV/0!</v>
      </c>
      <c r="BF31" s="39" t="e">
        <f t="shared" ref="BF31" si="198">+IF(BE28&lt;0,1-BF28/BE28,BF28/BE28-1)</f>
        <v>#DIV/0!</v>
      </c>
      <c r="BG31" s="39" t="e">
        <f t="shared" ref="BG31" si="199">+IF(BF28&lt;0,1-BG28/BF28,BG28/BF28-1)</f>
        <v>#DIV/0!</v>
      </c>
      <c r="BH31" s="39" t="e">
        <f t="shared" ref="BH31" si="200">+IF(BG28&lt;0,1-BH28/BG28,BH28/BG28-1)</f>
        <v>#DIV/0!</v>
      </c>
      <c r="BI31" s="39" t="e">
        <f t="shared" ref="BI31" si="201">+IF(BH28&lt;0,1-BI28/BH28,BI28/BH28-1)</f>
        <v>#DIV/0!</v>
      </c>
      <c r="BJ31" s="39" t="e">
        <f t="shared" ref="BJ31" si="202">+IF(BI28&lt;0,1-BJ28/BI28,BJ28/BI28-1)</f>
        <v>#DIV/0!</v>
      </c>
      <c r="BK31" s="39" t="e">
        <f t="shared" ref="BK31" si="203">+IF(BJ28&lt;0,1-BK28/BJ28,BK28/BJ28-1)</f>
        <v>#DIV/0!</v>
      </c>
      <c r="BL31" s="39" t="e">
        <f t="shared" ref="BL31" si="204">+IF(BK28&lt;0,1-BL28/BK28,BL28/BK28-1)</f>
        <v>#DIV/0!</v>
      </c>
      <c r="BM31" s="39" t="e">
        <f t="shared" ref="BM31" si="205">+IF(BL28&lt;0,1-BM28/BL28,BM28/BL28-1)</f>
        <v>#DIV/0!</v>
      </c>
      <c r="BN31" s="39" t="e">
        <f t="shared" ref="BN31" si="206">+IF(BM28&lt;0,1-BN28/BM28,BN28/BM28-1)</f>
        <v>#DIV/0!</v>
      </c>
      <c r="BO31" s="39" t="e">
        <f t="shared" ref="BO31" si="207">+IF(BN28&lt;0,1-BO28/BN28,BO28/BN28-1)</f>
        <v>#DIV/0!</v>
      </c>
      <c r="BP31" s="39" t="e">
        <f t="shared" ref="BP31" si="208">+IF(BO28&lt;0,1-BP28/BO28,BP28/BO28-1)</f>
        <v>#DIV/0!</v>
      </c>
      <c r="BQ31" s="39" t="e">
        <f t="shared" ref="BQ31" si="209">+IF(BP28&lt;0,1-BQ28/BP28,BQ28/BP28-1)</f>
        <v>#DIV/0!</v>
      </c>
      <c r="BR31" s="39">
        <f t="shared" ref="BR31" si="210">+IF(BQ28&lt;0,1-BR28/BQ28,BR28/BQ28-1)</f>
        <v>3.1153608883405459E-2</v>
      </c>
      <c r="BS31" s="39">
        <f t="shared" ref="BS31" si="211">+IF(BR28&lt;0,1-BS28/BR28,BS28/BR28-1)</f>
        <v>0.3895702462857713</v>
      </c>
      <c r="BT31" s="39">
        <f t="shared" ref="BT31" si="212">+IF(BS28&lt;0,1-BT28/BS28,BT28/BS28-1)</f>
        <v>4.2777185501065906E-2</v>
      </c>
      <c r="BU31" s="39">
        <f t="shared" ref="BU31" si="213">+IF(BT28&lt;0,1-BU28/BT28,BU28/BT28-1)</f>
        <v>3.9007127058245272E-2</v>
      </c>
      <c r="BV31" s="39">
        <f t="shared" ref="BV31" si="214">+IF(BU28&lt;0,1-BV28/BU28,BV28/BU28-1)</f>
        <v>6.454542874173308E-2</v>
      </c>
      <c r="BW31" s="39">
        <f t="shared" ref="BW31" si="215">+IF(BV28&lt;0,1-BW28/BV28,BW28/BV28-1)</f>
        <v>0.16968404212771637</v>
      </c>
      <c r="BX31" s="39">
        <f t="shared" ref="BX31" si="216">+IF(BW28&lt;0,1-BX28/BW28,BX28/BW28-1)</f>
        <v>3.3858381393086834E-2</v>
      </c>
      <c r="BY31" s="39">
        <f t="shared" ref="BY31" si="217">+IF(BX28&lt;0,1-BY28/BX28,BY28/BX28-1)</f>
        <v>1.4250751490118674E-2</v>
      </c>
      <c r="BZ31" s="39">
        <f t="shared" ref="BZ31" si="218">+IF(BY28&lt;0,1-BZ28/BY28,BZ28/BY28-1)</f>
        <v>3.5927015550499153E-2</v>
      </c>
      <c r="CA31" s="39">
        <f t="shared" ref="CA31" si="219">+IF(BZ28&lt;0,1-CA28/BZ28,CA28/BZ28-1)</f>
        <v>0.22430050363738108</v>
      </c>
      <c r="CB31" s="39">
        <f t="shared" ref="CB31" si="220">+IF(CA28&lt;0,1-CB28/CA28,CB28/CA28-1)</f>
        <v>4.3165015483413782E-2</v>
      </c>
      <c r="CC31" s="39">
        <f t="shared" ref="CC31" si="221">+IF(CB28&lt;0,1-CC28/CB28,CC28/CB28-1)</f>
        <v>-8.2155317365983915E-4</v>
      </c>
      <c r="CD31" s="39">
        <f t="shared" ref="CD31" si="222">+IF(CC28&lt;0,1-CD28/CC28,CD28/CC28-1)</f>
        <v>1.0157264938524646E-2</v>
      </c>
      <c r="CE31" s="39">
        <f t="shared" ref="CE31" si="223">+IF(CD28&lt;0,1-CE28/CD28,CE28/CD28-1)</f>
        <v>0.28939028890191243</v>
      </c>
      <c r="CF31" s="39">
        <f t="shared" ref="CF31" si="224">+IF(CE28&lt;0,1-CF28/CE28,CF28/CE28-1)</f>
        <v>2.0482799835026544E-2</v>
      </c>
      <c r="CG31" s="39">
        <f t="shared" ref="CG31" si="225">+IF(CF28&lt;0,1-CG28/CF28,CG28/CF28-1)</f>
        <v>-2.2438871499210311E-2</v>
      </c>
      <c r="CH31" s="39">
        <f t="shared" ref="CH31:CL31" si="226">+IF(CG28&lt;0,1-CH28/CG28,CH28/CG28-1)</f>
        <v>-6.36179547755652E-2</v>
      </c>
      <c r="CI31" s="39">
        <f t="shared" si="226"/>
        <v>0.23453324923409613</v>
      </c>
      <c r="CJ31" s="39">
        <f t="shared" si="226"/>
        <v>8.5210041712740381E-2</v>
      </c>
      <c r="CK31" s="39">
        <f t="shared" si="226"/>
        <v>-2.603525621624514E-2</v>
      </c>
      <c r="CL31" s="39">
        <f t="shared" si="226"/>
        <v>-6.2356710769827517E-3</v>
      </c>
      <c r="CM31" s="40">
        <f t="shared" ref="CM31" si="227">+CM28/CL28-1</f>
        <v>0.19611315046469913</v>
      </c>
      <c r="CN31" s="40">
        <f t="shared" ref="CN31" si="228">+CN28/CM28-1</f>
        <v>0.1229087011873653</v>
      </c>
      <c r="CO31" s="40">
        <f t="shared" ref="CO31" si="229">+CO28/CN28-1</f>
        <v>-2.603525621624514E-2</v>
      </c>
      <c r="CP31" s="40">
        <f t="shared" ref="CP31" si="230">+CP28/CO28-1</f>
        <v>-6.2356710769827517E-3</v>
      </c>
      <c r="CQ31" s="40">
        <f t="shared" ref="CQ31" si="231">+CQ28/CP28-1</f>
        <v>0.19611315046469935</v>
      </c>
      <c r="CR31" s="40">
        <f t="shared" ref="CR31" si="232">+CR28/CQ28-1</f>
        <v>0.12290870118736508</v>
      </c>
      <c r="CS31" s="40">
        <f t="shared" ref="CS31" si="233">+CS28/CR28-1</f>
        <v>-2.6035256216245251E-2</v>
      </c>
      <c r="CT31" s="40">
        <f t="shared" ref="CT31" si="234">+CT28/CS28-1</f>
        <v>-6.2356710769826407E-3</v>
      </c>
      <c r="CU31" s="40">
        <f t="shared" ref="CU31" si="235">+CU28/CT28-1</f>
        <v>0.19611315046469913</v>
      </c>
      <c r="CV31" s="40">
        <f t="shared" ref="CV31" si="236">+CV28/CU28-1</f>
        <v>0.12290870118736552</v>
      </c>
      <c r="CW31" s="40">
        <f t="shared" ref="CW31" si="237">+CW28/CV28-1</f>
        <v>-2.6035256216245362E-2</v>
      </c>
      <c r="CX31" s="40">
        <f t="shared" ref="CX31" si="238">+CX28/CW28-1</f>
        <v>-6.2356710769826407E-3</v>
      </c>
      <c r="CY31" s="40">
        <f t="shared" ref="CY31" si="239">+CY28/CX28-1</f>
        <v>0.19611315046469913</v>
      </c>
      <c r="CZ31" s="40">
        <f t="shared" ref="CZ31" si="240">+CZ28/CY28-1</f>
        <v>0.1229087011873653</v>
      </c>
      <c r="DA31" s="40">
        <f t="shared" ref="DA31" si="241">+DA28/CZ28-1</f>
        <v>-2.6035256216245029E-2</v>
      </c>
      <c r="DB31" s="40">
        <f t="shared" ref="DB31" si="242">+DB28/DA28-1</f>
        <v>-6.2356710769828627E-3</v>
      </c>
      <c r="DE31" s="122"/>
    </row>
    <row r="32" spans="1:110" s="23" customFormat="1" outlineLevel="1" x14ac:dyDescent="0.2">
      <c r="A32" s="23" t="s">
        <v>8</v>
      </c>
      <c r="B32" s="23">
        <f>'Annual Raw'!C14</f>
        <v>0</v>
      </c>
      <c r="C32" s="23">
        <f>'Annual Raw'!D14</f>
        <v>0</v>
      </c>
      <c r="D32" s="23">
        <f>'Annual Raw'!E14</f>
        <v>0</v>
      </c>
      <c r="E32" s="23">
        <f>'Annual Raw'!F14</f>
        <v>0</v>
      </c>
      <c r="F32" s="23">
        <f>'Annual Raw'!G14</f>
        <v>0</v>
      </c>
      <c r="G32" s="23">
        <f>'Annual Raw'!H14</f>
        <v>0</v>
      </c>
      <c r="H32" s="23">
        <f>'Annual Raw'!I14</f>
        <v>0</v>
      </c>
      <c r="I32" s="23">
        <f>'Annual Raw'!J14</f>
        <v>0</v>
      </c>
      <c r="J32" s="23">
        <f>'Annual Raw'!K14</f>
        <v>0.97256810000000005</v>
      </c>
      <c r="K32" s="23">
        <f>'Annual Raw'!L14</f>
        <v>1.1739754</v>
      </c>
      <c r="L32" s="23">
        <f>'Annual Raw'!M14</f>
        <v>0.70853299999999997</v>
      </c>
      <c r="M32" s="23">
        <f>'Annual Raw'!N14</f>
        <v>0.55831039999999998</v>
      </c>
      <c r="N32" s="23">
        <f>'Annual Raw'!O14</f>
        <v>0.27886260000000002</v>
      </c>
      <c r="O32" s="23">
        <f>'Annual Raw'!P14</f>
        <v>0.45279819999999998</v>
      </c>
      <c r="P32" s="23">
        <f>'Annual Raw'!Q14</f>
        <v>8.64486E-2</v>
      </c>
      <c r="Q32" s="23">
        <f>'Annual Raw'!R14</f>
        <v>9.6000000000000002E-2</v>
      </c>
      <c r="R32" s="23">
        <f>'Annual Raw'!S14</f>
        <v>35.055</v>
      </c>
      <c r="S32" s="23">
        <f>'Annual Raw'!T14</f>
        <v>104.229</v>
      </c>
      <c r="T32" s="23">
        <f>'Annual Raw'!U14</f>
        <v>132.173</v>
      </c>
      <c r="U32" s="23">
        <f>'Annual Raw'!V14</f>
        <v>166.57300000000001</v>
      </c>
      <c r="V32" s="23">
        <f>'Annual Raw'!W14</f>
        <v>150.75479999999999</v>
      </c>
      <c r="W32" s="23">
        <f>'Annual Raw'!X14</f>
        <v>192.0436</v>
      </c>
      <c r="X32" s="23">
        <f>'Annual Raw'!Y14</f>
        <v>241.8245</v>
      </c>
      <c r="Y32" s="23">
        <f>'Annual Raw'!Z14</f>
        <v>322.2192</v>
      </c>
      <c r="Z32" s="23">
        <f>'Annual Raw'!AA14</f>
        <v>419.87979999999999</v>
      </c>
      <c r="AA32" s="23">
        <f>'Annual Raw'!AB14</f>
        <v>529.88869999999997</v>
      </c>
      <c r="AB32" s="76">
        <f t="shared" ref="AB32:AB37" si="243">+SUM(CM32:CP32)</f>
        <v>566.9812300000001</v>
      </c>
      <c r="AC32" s="76">
        <f t="shared" ref="AC32:AC37" si="244">+SUM(CQ32:CT32)</f>
        <v>606.66991610000002</v>
      </c>
      <c r="AD32" s="76">
        <f t="shared" ref="AD32:AD37" si="245">+SUM(CU32:CX32)</f>
        <v>649.13681022700007</v>
      </c>
      <c r="AE32" s="76">
        <f t="shared" ref="AE32:AE37" si="246">+SUM(CY32:DB32)</f>
        <v>694.57638694289028</v>
      </c>
      <c r="AI32" s="23">
        <f>'QTR Raw'!C16</f>
        <v>0</v>
      </c>
      <c r="AJ32" s="23">
        <f>'QTR Raw'!D16</f>
        <v>0</v>
      </c>
      <c r="AK32" s="23">
        <f>'QTR Raw'!E16</f>
        <v>0</v>
      </c>
      <c r="AL32" s="23">
        <f>'QTR Raw'!F16</f>
        <v>0</v>
      </c>
      <c r="AM32" s="23">
        <f>'QTR Raw'!G16</f>
        <v>0</v>
      </c>
      <c r="AN32" s="23">
        <f>'QTR Raw'!H16</f>
        <v>0</v>
      </c>
      <c r="AO32" s="23">
        <f>'QTR Raw'!I16</f>
        <v>0</v>
      </c>
      <c r="AP32" s="23">
        <f>'QTR Raw'!J16</f>
        <v>0</v>
      </c>
      <c r="AQ32" s="23">
        <f>'QTR Raw'!K16</f>
        <v>0</v>
      </c>
      <c r="AR32" s="23">
        <f>'QTR Raw'!L16</f>
        <v>0</v>
      </c>
      <c r="AS32" s="23">
        <f>'QTR Raw'!M16</f>
        <v>0</v>
      </c>
      <c r="AT32" s="23">
        <f>'QTR Raw'!N16</f>
        <v>0</v>
      </c>
      <c r="AU32" s="23">
        <f>'QTR Raw'!O16</f>
        <v>0</v>
      </c>
      <c r="AV32" s="23">
        <f>'QTR Raw'!P16</f>
        <v>0</v>
      </c>
      <c r="AW32" s="23">
        <f>'QTR Raw'!Q16</f>
        <v>0</v>
      </c>
      <c r="AX32" s="23">
        <f>'QTR Raw'!R16</f>
        <v>0</v>
      </c>
      <c r="AY32" s="23">
        <f>'QTR Raw'!S16</f>
        <v>0</v>
      </c>
      <c r="AZ32" s="23">
        <f>'QTR Raw'!T16</f>
        <v>0</v>
      </c>
      <c r="BA32" s="23">
        <f>'QTR Raw'!U16</f>
        <v>0</v>
      </c>
      <c r="BB32" s="23">
        <f>'QTR Raw'!V16</f>
        <v>0</v>
      </c>
      <c r="BC32" s="23">
        <f>'QTR Raw'!W16</f>
        <v>0</v>
      </c>
      <c r="BD32" s="23">
        <f>'QTR Raw'!X16</f>
        <v>0</v>
      </c>
      <c r="BE32" s="23">
        <f>'QTR Raw'!Y16</f>
        <v>0</v>
      </c>
      <c r="BF32" s="23">
        <f>'QTR Raw'!Z16</f>
        <v>0</v>
      </c>
      <c r="BG32" s="23">
        <f>'QTR Raw'!AA16</f>
        <v>0</v>
      </c>
      <c r="BH32" s="23">
        <f>'QTR Raw'!AB16</f>
        <v>0</v>
      </c>
      <c r="BI32" s="23">
        <f>'QTR Raw'!AC16</f>
        <v>0</v>
      </c>
      <c r="BJ32" s="23">
        <f>'QTR Raw'!AD16</f>
        <v>0</v>
      </c>
      <c r="BK32" s="23">
        <f>'QTR Raw'!AE16</f>
        <v>0</v>
      </c>
      <c r="BL32" s="23">
        <f>'QTR Raw'!AF16</f>
        <v>0</v>
      </c>
      <c r="BM32" s="23">
        <f>'QTR Raw'!AG16</f>
        <v>0</v>
      </c>
      <c r="BN32" s="23">
        <f>'QTR Raw'!AH16</f>
        <v>0</v>
      </c>
      <c r="BO32" s="23">
        <f>'QTR Raw'!AI16</f>
        <v>0</v>
      </c>
      <c r="BP32" s="23">
        <f>'QTR Raw'!AJ16</f>
        <v>0</v>
      </c>
      <c r="BQ32" s="23">
        <f>'QTR Raw'!AK16</f>
        <v>34.701999999999998</v>
      </c>
      <c r="BR32" s="23">
        <f>'QTR Raw'!AL16</f>
        <v>41.981999999999999</v>
      </c>
      <c r="BS32" s="23">
        <f>'QTR Raw'!AM16</f>
        <v>42.896000000000001</v>
      </c>
      <c r="BT32" s="23">
        <f>'QTR Raw'!AN16</f>
        <v>46.587000000000003</v>
      </c>
      <c r="BU32" s="23">
        <f>'QTR Raw'!AO16</f>
        <v>49.847000000000001</v>
      </c>
      <c r="BV32" s="23">
        <f>'QTR Raw'!AP16</f>
        <v>52.173000000000002</v>
      </c>
      <c r="BW32" s="23">
        <f>'QTR Raw'!AQ16</f>
        <v>60.261000000000003</v>
      </c>
      <c r="BX32" s="23">
        <f>'QTR Raw'!AR16</f>
        <v>59.103999999999999</v>
      </c>
      <c r="BY32" s="23">
        <f>'QTR Raw'!AS16</f>
        <v>58.896999999999998</v>
      </c>
      <c r="BZ32" s="23">
        <f>'QTR Raw'!AT16</f>
        <v>62.871000000000002</v>
      </c>
      <c r="CA32" s="23">
        <f>'QTR Raw'!AU16</f>
        <v>78.924000000000007</v>
      </c>
      <c r="CB32" s="23">
        <f>'QTR Raw'!AV16</f>
        <v>80.884</v>
      </c>
      <c r="CC32" s="23">
        <f>'QTR Raw'!AW16</f>
        <v>78.373999999999995</v>
      </c>
      <c r="CD32" s="23">
        <f>'QTR Raw'!AX16</f>
        <v>84.037000000000006</v>
      </c>
      <c r="CE32" s="23">
        <f>'QTR Raw'!AY16</f>
        <v>108.73099999999999</v>
      </c>
      <c r="CF32" s="23">
        <f>'QTR Raw'!AZ16</f>
        <v>109.447</v>
      </c>
      <c r="CG32" s="23">
        <f>'QTR Raw'!BA16</f>
        <v>100.589</v>
      </c>
      <c r="CH32" s="23">
        <f>'QTR Raw'!BB16</f>
        <v>101.11199999999999</v>
      </c>
      <c r="CI32" s="23">
        <f>'QTR Raw'!BC16</f>
        <v>114.813</v>
      </c>
      <c r="CJ32" s="23">
        <f>'QTR Raw'!BD16</f>
        <v>124.922</v>
      </c>
      <c r="CK32" s="23">
        <f>'QTR Raw'!BE16</f>
        <v>121.655</v>
      </c>
      <c r="CL32" s="23">
        <f>'QTR Raw'!BF16</f>
        <v>168.499</v>
      </c>
      <c r="CM32" s="24">
        <f t="shared" ref="CM32:DB32" si="247">CI32*107%</f>
        <v>122.84991000000001</v>
      </c>
      <c r="CN32" s="24">
        <f t="shared" si="247"/>
        <v>133.66654</v>
      </c>
      <c r="CO32" s="24">
        <f t="shared" si="247"/>
        <v>130.17085</v>
      </c>
      <c r="CP32" s="24">
        <f t="shared" si="247"/>
        <v>180.29393000000002</v>
      </c>
      <c r="CQ32" s="24">
        <f t="shared" si="247"/>
        <v>131.4494037</v>
      </c>
      <c r="CR32" s="24">
        <f t="shared" si="247"/>
        <v>143.02319780000002</v>
      </c>
      <c r="CS32" s="24">
        <f t="shared" si="247"/>
        <v>139.28280950000001</v>
      </c>
      <c r="CT32" s="24">
        <f t="shared" si="247"/>
        <v>192.91450510000004</v>
      </c>
      <c r="CU32" s="24">
        <f t="shared" si="247"/>
        <v>140.65086195900003</v>
      </c>
      <c r="CV32" s="24">
        <f t="shared" si="247"/>
        <v>153.03482164600004</v>
      </c>
      <c r="CW32" s="24">
        <f t="shared" si="247"/>
        <v>149.03260616500003</v>
      </c>
      <c r="CX32" s="24">
        <f t="shared" si="247"/>
        <v>206.41852045700006</v>
      </c>
      <c r="CY32" s="24">
        <f t="shared" si="247"/>
        <v>150.49642229613005</v>
      </c>
      <c r="CZ32" s="24">
        <f t="shared" si="247"/>
        <v>163.74725916122006</v>
      </c>
      <c r="DA32" s="24">
        <f t="shared" si="247"/>
        <v>159.46488859655005</v>
      </c>
      <c r="DB32" s="24">
        <f t="shared" si="247"/>
        <v>220.86781688899006</v>
      </c>
      <c r="DE32" s="123"/>
      <c r="DF32" s="23">
        <v>529.88869999999997</v>
      </c>
    </row>
    <row r="33" spans="1:110" s="23" customFormat="1" outlineLevel="1" x14ac:dyDescent="0.2">
      <c r="A33" s="23" t="s">
        <v>10</v>
      </c>
      <c r="B33" s="23">
        <f>'Annual Raw'!C17</f>
        <v>0</v>
      </c>
      <c r="C33" s="23">
        <f>'Annual Raw'!D17</f>
        <v>0</v>
      </c>
      <c r="D33" s="23">
        <f>'Annual Raw'!E17</f>
        <v>0</v>
      </c>
      <c r="E33" s="23">
        <f>'Annual Raw'!F17</f>
        <v>0</v>
      </c>
      <c r="F33" s="23">
        <f>'Annual Raw'!G17</f>
        <v>0</v>
      </c>
      <c r="G33" s="23">
        <f>'Annual Raw'!H17</f>
        <v>0</v>
      </c>
      <c r="H33" s="23">
        <f>'Annual Raw'!I17</f>
        <v>0</v>
      </c>
      <c r="I33" s="23">
        <f>'Annual Raw'!J17</f>
        <v>0</v>
      </c>
      <c r="J33" s="23">
        <f>'Annual Raw'!K17</f>
        <v>4.4350500000000001E-2</v>
      </c>
      <c r="K33" s="23">
        <f>'Annual Raw'!L17</f>
        <v>3.4292200000000002E-2</v>
      </c>
      <c r="L33" s="23">
        <f>'Annual Raw'!M17</f>
        <v>2.3367300000000001E-2</v>
      </c>
      <c r="M33" s="23">
        <f>'Annual Raw'!N17</f>
        <v>9.5315E-3</v>
      </c>
      <c r="N33" s="23">
        <f>'Annual Raw'!O17</f>
        <v>3.1811000000000001E-3</v>
      </c>
      <c r="O33" s="23">
        <f>'Annual Raw'!P17</f>
        <v>3.2504000000000001E-3</v>
      </c>
      <c r="P33" s="23">
        <f>'Annual Raw'!Q17</f>
        <v>1.9319999999999999E-3</v>
      </c>
      <c r="Q33" s="23">
        <f>'Annual Raw'!R17</f>
        <v>6.0000000000000001E-3</v>
      </c>
      <c r="R33" s="23">
        <f>'Annual Raw'!S17</f>
        <v>2.427</v>
      </c>
      <c r="S33" s="23">
        <f>'Annual Raw'!T17</f>
        <v>7.6740000000000004</v>
      </c>
      <c r="T33" s="23">
        <f>'Annual Raw'!U17</f>
        <v>15.407999999999999</v>
      </c>
      <c r="U33" s="23">
        <f>'Annual Raw'!V17</f>
        <v>16.606999999999999</v>
      </c>
      <c r="V33" s="23">
        <f>'Annual Raw'!W17</f>
        <v>17.751999999999999</v>
      </c>
      <c r="W33" s="23">
        <f>'Annual Raw'!X17</f>
        <v>20.264299999999999</v>
      </c>
      <c r="X33" s="23">
        <f>'Annual Raw'!Y17</f>
        <v>25.434999999999999</v>
      </c>
      <c r="Y33" s="23">
        <f>'Annual Raw'!Z17</f>
        <v>35.8812</v>
      </c>
      <c r="Z33" s="23">
        <f>'Annual Raw'!AA17</f>
        <v>41.407800000000002</v>
      </c>
      <c r="AA33" s="23">
        <f>'Annual Raw'!AB17</f>
        <v>48.085099999999997</v>
      </c>
      <c r="AB33" s="76">
        <f t="shared" si="243"/>
        <v>0</v>
      </c>
      <c r="AC33" s="76">
        <f t="shared" si="244"/>
        <v>0</v>
      </c>
      <c r="AD33" s="76">
        <f t="shared" si="245"/>
        <v>0</v>
      </c>
      <c r="AE33" s="76">
        <f t="shared" si="246"/>
        <v>0</v>
      </c>
      <c r="AI33" s="23">
        <f>'QTR Raw'!C17</f>
        <v>0</v>
      </c>
      <c r="AJ33" s="23">
        <f>'QTR Raw'!D17</f>
        <v>0</v>
      </c>
      <c r="AK33" s="23">
        <f>'QTR Raw'!E17</f>
        <v>0</v>
      </c>
      <c r="AL33" s="23">
        <f>'QTR Raw'!F17</f>
        <v>0</v>
      </c>
      <c r="AM33" s="23">
        <f>'QTR Raw'!G17</f>
        <v>0</v>
      </c>
      <c r="AN33" s="23">
        <f>'QTR Raw'!H17</f>
        <v>0</v>
      </c>
      <c r="AO33" s="23">
        <f>'QTR Raw'!I17</f>
        <v>0</v>
      </c>
      <c r="AP33" s="23">
        <f>'QTR Raw'!J17</f>
        <v>0</v>
      </c>
      <c r="AQ33" s="23">
        <f>'QTR Raw'!K17</f>
        <v>0</v>
      </c>
      <c r="AR33" s="23">
        <f>'QTR Raw'!L17</f>
        <v>0</v>
      </c>
      <c r="AS33" s="23">
        <f>'QTR Raw'!M17</f>
        <v>0</v>
      </c>
      <c r="AT33" s="23">
        <f>'QTR Raw'!N17</f>
        <v>0</v>
      </c>
      <c r="AU33" s="23">
        <f>'QTR Raw'!O17</f>
        <v>0</v>
      </c>
      <c r="AV33" s="23">
        <f>'QTR Raw'!P17</f>
        <v>0</v>
      </c>
      <c r="AW33" s="23">
        <f>'QTR Raw'!Q17</f>
        <v>0</v>
      </c>
      <c r="AX33" s="23">
        <f>'QTR Raw'!R17</f>
        <v>0</v>
      </c>
      <c r="AY33" s="23">
        <f>'QTR Raw'!S17</f>
        <v>0</v>
      </c>
      <c r="AZ33" s="23">
        <f>'QTR Raw'!T17</f>
        <v>0</v>
      </c>
      <c r="BA33" s="23">
        <f>'QTR Raw'!U17</f>
        <v>0</v>
      </c>
      <c r="BB33" s="23">
        <f>'QTR Raw'!V17</f>
        <v>0</v>
      </c>
      <c r="BC33" s="23">
        <f>'QTR Raw'!W17</f>
        <v>0</v>
      </c>
      <c r="BD33" s="23">
        <f>'QTR Raw'!X17</f>
        <v>0</v>
      </c>
      <c r="BE33" s="23">
        <f>'QTR Raw'!Y17</f>
        <v>0</v>
      </c>
      <c r="BF33" s="23">
        <f>'QTR Raw'!Z17</f>
        <v>0</v>
      </c>
      <c r="BG33" s="23">
        <f>'QTR Raw'!AA17</f>
        <v>0</v>
      </c>
      <c r="BH33" s="23">
        <f>'QTR Raw'!AB17</f>
        <v>0</v>
      </c>
      <c r="BI33" s="23">
        <f>'QTR Raw'!AC17</f>
        <v>0</v>
      </c>
      <c r="BJ33" s="23">
        <f>'QTR Raw'!AD17</f>
        <v>0</v>
      </c>
      <c r="BK33" s="23">
        <f>'QTR Raw'!AE17</f>
        <v>0</v>
      </c>
      <c r="BL33" s="23">
        <f>'QTR Raw'!AF17</f>
        <v>0</v>
      </c>
      <c r="BM33" s="23">
        <f>'QTR Raw'!AG17</f>
        <v>0</v>
      </c>
      <c r="BN33" s="23">
        <f>'QTR Raw'!AH17</f>
        <v>0</v>
      </c>
      <c r="BO33" s="23">
        <f>'QTR Raw'!AI17</f>
        <v>0</v>
      </c>
      <c r="BP33" s="23">
        <f>'QTR Raw'!AJ17</f>
        <v>0</v>
      </c>
      <c r="BQ33" s="23">
        <f>'QTR Raw'!AK17</f>
        <v>0</v>
      </c>
      <c r="BR33" s="23">
        <f>'QTR Raw'!AL17</f>
        <v>0</v>
      </c>
      <c r="BS33" s="23">
        <f>'QTR Raw'!AM17</f>
        <v>0</v>
      </c>
      <c r="BT33" s="23">
        <f>'QTR Raw'!AN17</f>
        <v>0</v>
      </c>
      <c r="BU33" s="23">
        <f>'QTR Raw'!AO17</f>
        <v>0</v>
      </c>
      <c r="BV33" s="23">
        <f>'QTR Raw'!AP17</f>
        <v>0</v>
      </c>
      <c r="BW33" s="23">
        <f>'QTR Raw'!AQ17</f>
        <v>0</v>
      </c>
      <c r="BX33" s="23">
        <f>'QTR Raw'!AR17</f>
        <v>0</v>
      </c>
      <c r="BY33" s="23">
        <f>'QTR Raw'!AS17</f>
        <v>0</v>
      </c>
      <c r="BZ33" s="23">
        <f>'QTR Raw'!AT17</f>
        <v>0</v>
      </c>
      <c r="CA33" s="23">
        <f>'QTR Raw'!AU17</f>
        <v>0</v>
      </c>
      <c r="CB33" s="23">
        <f>'QTR Raw'!AV17</f>
        <v>0</v>
      </c>
      <c r="CC33" s="23">
        <f>'QTR Raw'!AW17</f>
        <v>0</v>
      </c>
      <c r="CD33" s="23">
        <f>'QTR Raw'!AX17</f>
        <v>0</v>
      </c>
      <c r="CE33" s="23">
        <f>'QTR Raw'!AY17</f>
        <v>0</v>
      </c>
      <c r="CF33" s="23">
        <f>'QTR Raw'!AZ17</f>
        <v>0</v>
      </c>
      <c r="CG33" s="23">
        <f>'QTR Raw'!BA17</f>
        <v>0</v>
      </c>
      <c r="CH33" s="23">
        <f>'QTR Raw'!BB17</f>
        <v>0</v>
      </c>
      <c r="CI33" s="23">
        <f>'QTR Raw'!BC17</f>
        <v>0</v>
      </c>
      <c r="CJ33" s="23">
        <f>'QTR Raw'!BD17</f>
        <v>0</v>
      </c>
      <c r="CK33" s="23">
        <f>'QTR Raw'!BE17</f>
        <v>0</v>
      </c>
      <c r="CL33" s="23">
        <f>'QTR Raw'!BF17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48.085099999999997</v>
      </c>
    </row>
    <row r="34" spans="1:110" s="23" customFormat="1" outlineLevel="1" x14ac:dyDescent="0.2">
      <c r="A34" s="23" t="s">
        <v>12</v>
      </c>
      <c r="B34" s="23">
        <f>'Annual Raw'!C19-'Annual Raw'!C20</f>
        <v>0</v>
      </c>
      <c r="C34" s="23">
        <f>'Annual Raw'!D19-'Annual Raw'!D20</f>
        <v>0</v>
      </c>
      <c r="D34" s="23">
        <f>'Annual Raw'!E19-'Annual Raw'!E20</f>
        <v>0</v>
      </c>
      <c r="E34" s="23">
        <f>'Annual Raw'!F19-'Annual Raw'!F20</f>
        <v>0</v>
      </c>
      <c r="F34" s="23">
        <f>'Annual Raw'!G19-'Annual Raw'!G20</f>
        <v>0</v>
      </c>
      <c r="G34" s="23">
        <f>'Annual Raw'!H19-'Annual Raw'!H20</f>
        <v>0</v>
      </c>
      <c r="H34" s="23">
        <f>'Annual Raw'!I19-'Annual Raw'!I20</f>
        <v>0</v>
      </c>
      <c r="I34" s="23">
        <f>'Annual Raw'!J19-'Annual Raw'!J20</f>
        <v>0</v>
      </c>
      <c r="J34" s="23">
        <f>'Annual Raw'!K19-'Annual Raw'!K20</f>
        <v>4.6269600000000001E-2</v>
      </c>
      <c r="K34" s="23">
        <f>'Annual Raw'!L19-'Annual Raw'!L20</f>
        <v>0.17255090000000001</v>
      </c>
      <c r="L34" s="23">
        <f>'Annual Raw'!M19-'Annual Raw'!M20</f>
        <v>2.1388000000000002E-3</v>
      </c>
      <c r="M34" s="23">
        <f>'Annual Raw'!N19-'Annual Raw'!N20</f>
        <v>4.3000000000000002E-5</v>
      </c>
      <c r="N34" s="23">
        <f>'Annual Raw'!O19-'Annual Raw'!O20</f>
        <v>1.4999999999999999E-4</v>
      </c>
      <c r="O34" s="23">
        <f>'Annual Raw'!P19-'Annual Raw'!P20</f>
        <v>2.9080000000000002E-4</v>
      </c>
      <c r="P34" s="23">
        <f>'Annual Raw'!Q19-'Annual Raw'!Q20</f>
        <v>5.0000000000000001E-4</v>
      </c>
      <c r="Q34" s="23">
        <f>'Annual Raw'!R19-'Annual Raw'!R20</f>
        <v>3.0000000000000001E-3</v>
      </c>
      <c r="R34" s="23">
        <f>'Annual Raw'!S19-'Annual Raw'!S20</f>
        <v>0.69899999999999995</v>
      </c>
      <c r="S34" s="23">
        <f>'Annual Raw'!T19-'Annual Raw'!T20</f>
        <v>4.1550000000000002</v>
      </c>
      <c r="T34" s="23">
        <f>'Annual Raw'!U19-'Annual Raw'!U20</f>
        <v>1.474</v>
      </c>
      <c r="U34" s="23">
        <f>'Annual Raw'!V19-'Annual Raw'!V20</f>
        <v>3.88</v>
      </c>
      <c r="V34" s="23">
        <f>'Annual Raw'!W19-'Annual Raw'!W20</f>
        <v>6.4375</v>
      </c>
      <c r="W34" s="23">
        <f>'Annual Raw'!X19-'Annual Raw'!X20</f>
        <v>5.5750000000000002</v>
      </c>
      <c r="X34" s="23">
        <f>'Annual Raw'!Y19-'Annual Raw'!Y20</f>
        <v>9.2124000000000006</v>
      </c>
      <c r="Y34" s="23">
        <f>'Annual Raw'!Z19-'Annual Raw'!Z20</f>
        <v>11.853400000000001</v>
      </c>
      <c r="Z34" s="23">
        <f>'Annual Raw'!AA19-'Annual Raw'!AA20</f>
        <v>15.963100000000001</v>
      </c>
      <c r="AA34" s="23">
        <f>'Annual Raw'!AB19-'Annual Raw'!AB20</f>
        <v>17.102699999999999</v>
      </c>
      <c r="AB34" s="76">
        <f t="shared" si="243"/>
        <v>0</v>
      </c>
      <c r="AC34" s="76">
        <f t="shared" si="244"/>
        <v>0</v>
      </c>
      <c r="AD34" s="76">
        <f t="shared" si="245"/>
        <v>0</v>
      </c>
      <c r="AE34" s="76">
        <f t="shared" si="246"/>
        <v>0</v>
      </c>
      <c r="AI34" s="23">
        <f>+'QTR Raw'!C21</f>
        <v>0</v>
      </c>
      <c r="AJ34" s="23">
        <f>+'QTR Raw'!D21</f>
        <v>0</v>
      </c>
      <c r="AK34" s="23">
        <f>+'QTR Raw'!E21</f>
        <v>0</v>
      </c>
      <c r="AL34" s="23">
        <f>+'QTR Raw'!F21</f>
        <v>0</v>
      </c>
      <c r="AM34" s="23">
        <f>+'QTR Raw'!G21</f>
        <v>0</v>
      </c>
      <c r="AN34" s="23">
        <f>+'QTR Raw'!H21</f>
        <v>0</v>
      </c>
      <c r="AO34" s="23">
        <f>+'QTR Raw'!I21</f>
        <v>0</v>
      </c>
      <c r="AP34" s="23">
        <f>+'QTR Raw'!J21</f>
        <v>0</v>
      </c>
      <c r="AQ34" s="23">
        <f>+'QTR Raw'!K21</f>
        <v>0</v>
      </c>
      <c r="AR34" s="23">
        <f>+'QTR Raw'!L21</f>
        <v>0</v>
      </c>
      <c r="AS34" s="23">
        <f>+'QTR Raw'!M21</f>
        <v>0</v>
      </c>
      <c r="AT34" s="23">
        <f>+'QTR Raw'!N21</f>
        <v>0</v>
      </c>
      <c r="AU34" s="23">
        <f>+'QTR Raw'!O21</f>
        <v>0</v>
      </c>
      <c r="AV34" s="23">
        <f>+'QTR Raw'!P21</f>
        <v>0</v>
      </c>
      <c r="AW34" s="23">
        <f>+'QTR Raw'!Q21</f>
        <v>0</v>
      </c>
      <c r="AX34" s="23">
        <f>+'QTR Raw'!R21</f>
        <v>0</v>
      </c>
      <c r="AY34" s="23">
        <f>+'QTR Raw'!S21</f>
        <v>0</v>
      </c>
      <c r="AZ34" s="23">
        <f>+'QTR Raw'!T21</f>
        <v>0</v>
      </c>
      <c r="BA34" s="23">
        <f>+'QTR Raw'!U21</f>
        <v>0</v>
      </c>
      <c r="BB34" s="23">
        <f>+'QTR Raw'!V21</f>
        <v>0</v>
      </c>
      <c r="BC34" s="23">
        <f>+'QTR Raw'!W21</f>
        <v>0</v>
      </c>
      <c r="BD34" s="23">
        <f>+'QTR Raw'!X21</f>
        <v>0</v>
      </c>
      <c r="BE34" s="23">
        <f>+'QTR Raw'!Y21</f>
        <v>0</v>
      </c>
      <c r="BF34" s="23">
        <f>+'QTR Raw'!Z21</f>
        <v>0</v>
      </c>
      <c r="BG34" s="23">
        <f>+'QTR Raw'!AA21</f>
        <v>0</v>
      </c>
      <c r="BH34" s="23">
        <f>+'QTR Raw'!AB21</f>
        <v>0</v>
      </c>
      <c r="BI34" s="23">
        <f>+'QTR Raw'!AC21</f>
        <v>0</v>
      </c>
      <c r="BJ34" s="23">
        <f>+'QTR Raw'!AD21</f>
        <v>0</v>
      </c>
      <c r="BK34" s="23">
        <f>+'QTR Raw'!AE21</f>
        <v>0</v>
      </c>
      <c r="BL34" s="23">
        <f>+'QTR Raw'!AF21</f>
        <v>0</v>
      </c>
      <c r="BM34" s="23">
        <f>+'QTR Raw'!AG21</f>
        <v>0</v>
      </c>
      <c r="BN34" s="23">
        <f>+'QTR Raw'!AH21</f>
        <v>0</v>
      </c>
      <c r="BO34" s="23">
        <f>+'QTR Raw'!AI21</f>
        <v>0</v>
      </c>
      <c r="BP34" s="23">
        <f>+'QTR Raw'!AJ21</f>
        <v>0</v>
      </c>
      <c r="BQ34" s="23">
        <f>+'QTR Raw'!AK21</f>
        <v>0</v>
      </c>
      <c r="BR34" s="23">
        <f>+'QTR Raw'!AL21</f>
        <v>0</v>
      </c>
      <c r="BS34" s="23">
        <f>+'QTR Raw'!AM21</f>
        <v>0</v>
      </c>
      <c r="BT34" s="23">
        <f>+'QTR Raw'!AN21</f>
        <v>0</v>
      </c>
      <c r="BU34" s="23">
        <f>+'QTR Raw'!AO21</f>
        <v>0</v>
      </c>
      <c r="BV34" s="23">
        <f>+'QTR Raw'!AP21</f>
        <v>0</v>
      </c>
      <c r="BW34" s="23">
        <f>+'QTR Raw'!AQ21</f>
        <v>0</v>
      </c>
      <c r="BX34" s="23">
        <f>+'QTR Raw'!AR21</f>
        <v>0</v>
      </c>
      <c r="BY34" s="23">
        <f>+'QTR Raw'!AS21</f>
        <v>0</v>
      </c>
      <c r="BZ34" s="23">
        <f>+'QTR Raw'!AT21</f>
        <v>0</v>
      </c>
      <c r="CA34" s="23">
        <f>+'QTR Raw'!AU21</f>
        <v>0</v>
      </c>
      <c r="CB34" s="23">
        <f>+'QTR Raw'!AV21</f>
        <v>0</v>
      </c>
      <c r="CC34" s="23">
        <f>+'QTR Raw'!AW21</f>
        <v>0</v>
      </c>
      <c r="CD34" s="23">
        <f>+'QTR Raw'!AX21</f>
        <v>0</v>
      </c>
      <c r="CE34" s="23">
        <f>+'QTR Raw'!AY21</f>
        <v>0</v>
      </c>
      <c r="CF34" s="23">
        <f>+'QTR Raw'!AZ21</f>
        <v>0</v>
      </c>
      <c r="CG34" s="23">
        <f>+'QTR Raw'!BA21</f>
        <v>0</v>
      </c>
      <c r="CH34" s="23">
        <f>+'QTR Raw'!BB21</f>
        <v>0</v>
      </c>
      <c r="CI34" s="23">
        <f>+'QTR Raw'!BC21</f>
        <v>0</v>
      </c>
      <c r="CJ34" s="23">
        <f>+'QTR Raw'!BD21</f>
        <v>0</v>
      </c>
      <c r="CK34" s="23">
        <f>+'QTR Raw'!BE21</f>
        <v>0</v>
      </c>
      <c r="CL34" s="23">
        <f>+'QTR Raw'!BF21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17.102699999999999</v>
      </c>
    </row>
    <row r="35" spans="1:110" s="23" customFormat="1" outlineLevel="1" x14ac:dyDescent="0.2">
      <c r="A35" s="23" t="s">
        <v>9</v>
      </c>
      <c r="B35" s="23">
        <f>'Annual Raw'!C15+'Annual Raw'!C16</f>
        <v>0</v>
      </c>
      <c r="C35" s="23">
        <f>'Annual Raw'!D15+'Annual Raw'!D16</f>
        <v>0</v>
      </c>
      <c r="D35" s="23">
        <f>'Annual Raw'!E15+'Annual Raw'!E16</f>
        <v>0</v>
      </c>
      <c r="E35" s="23">
        <f>'Annual Raw'!F15+'Annual Raw'!F16</f>
        <v>0</v>
      </c>
      <c r="F35" s="23">
        <f>'Annual Raw'!G15+'Annual Raw'!G16</f>
        <v>0</v>
      </c>
      <c r="G35" s="23">
        <f>'Annual Raw'!H15+'Annual Raw'!H16</f>
        <v>0</v>
      </c>
      <c r="H35" s="23">
        <f>'Annual Raw'!I15+'Annual Raw'!I16</f>
        <v>0</v>
      </c>
      <c r="I35" s="23">
        <f>'Annual Raw'!J15+'Annual Raw'!J16</f>
        <v>0</v>
      </c>
      <c r="J35" s="23">
        <f>'Annual Raw'!K15+'Annual Raw'!K16</f>
        <v>0.26317099999999999</v>
      </c>
      <c r="K35" s="23">
        <f>'Annual Raw'!L15+'Annual Raw'!L16</f>
        <v>0.62403039999999999</v>
      </c>
      <c r="L35" s="23">
        <f>'Annual Raw'!M15+'Annual Raw'!M16</f>
        <v>0.90292150000000004</v>
      </c>
      <c r="M35" s="23">
        <f>'Annual Raw'!N15+'Annual Raw'!N16</f>
        <v>0.65085559999999998</v>
      </c>
      <c r="N35" s="23">
        <f>'Annual Raw'!O15+'Annual Raw'!O16</f>
        <v>0.34731200000000001</v>
      </c>
      <c r="O35" s="23">
        <f>'Annual Raw'!P15+'Annual Raw'!P16</f>
        <v>0.24</v>
      </c>
      <c r="P35" s="23">
        <f>'Annual Raw'!Q15+'Annual Raw'!Q16</f>
        <v>0</v>
      </c>
      <c r="Q35" s="23">
        <f>'Annual Raw'!R15+'Annual Raw'!R16</f>
        <v>0.42</v>
      </c>
      <c r="R35" s="23">
        <f>'Annual Raw'!S15+'Annual Raw'!S16</f>
        <v>1.8480000000000001</v>
      </c>
      <c r="S35" s="23">
        <f>'Annual Raw'!T15+'Annual Raw'!T16</f>
        <v>18.443000000000001</v>
      </c>
      <c r="T35" s="23">
        <f>'Annual Raw'!U15+'Annual Raw'!U16</f>
        <v>12.866</v>
      </c>
      <c r="U35" s="23">
        <f>'Annual Raw'!V15+'Annual Raw'!V16</f>
        <v>20.52</v>
      </c>
      <c r="V35" s="23">
        <f>'Annual Raw'!W15+'Annual Raw'!W16</f>
        <v>14.9039</v>
      </c>
      <c r="W35" s="23">
        <f>'Annual Raw'!X15+'Annual Raw'!X16</f>
        <v>11.632099999999999</v>
      </c>
      <c r="X35" s="23">
        <f>'Annual Raw'!Y15+'Annual Raw'!Y16</f>
        <v>10.312900000000001</v>
      </c>
      <c r="Y35" s="23">
        <f>'Annual Raw'!Z15+'Annual Raw'!Z16</f>
        <v>15.223000000000001</v>
      </c>
      <c r="Z35" s="23">
        <f>'Annual Raw'!AA15+'Annual Raw'!AA16</f>
        <v>16.757400000000001</v>
      </c>
      <c r="AA35" s="23">
        <f>'Annual Raw'!AB15+'Annual Raw'!AB16</f>
        <v>20.993600000000001</v>
      </c>
      <c r="AB35" s="76">
        <f t="shared" si="243"/>
        <v>322.68496860121087</v>
      </c>
      <c r="AC35" s="76">
        <f t="shared" si="244"/>
        <v>559.71644053744978</v>
      </c>
      <c r="AD35" s="76">
        <f t="shared" si="245"/>
        <v>869.88986051790744</v>
      </c>
      <c r="AE35" s="76">
        <f t="shared" si="246"/>
        <v>1280.799187632113</v>
      </c>
      <c r="AI35" s="23">
        <f>'QTR Raw'!C14</f>
        <v>0</v>
      </c>
      <c r="AJ35" s="23">
        <f>'QTR Raw'!D14</f>
        <v>0</v>
      </c>
      <c r="AK35" s="23">
        <f>'QTR Raw'!E14</f>
        <v>0</v>
      </c>
      <c r="AL35" s="23">
        <f>'QTR Raw'!F14</f>
        <v>0</v>
      </c>
      <c r="AM35" s="23">
        <f>'QTR Raw'!G14</f>
        <v>0</v>
      </c>
      <c r="AN35" s="23">
        <f>'QTR Raw'!H14</f>
        <v>0</v>
      </c>
      <c r="AO35" s="23">
        <f>'QTR Raw'!I14</f>
        <v>0</v>
      </c>
      <c r="AP35" s="23">
        <f>'QTR Raw'!J14</f>
        <v>0</v>
      </c>
      <c r="AQ35" s="23">
        <f>'QTR Raw'!K14</f>
        <v>0</v>
      </c>
      <c r="AR35" s="23">
        <f>'QTR Raw'!L14</f>
        <v>0</v>
      </c>
      <c r="AS35" s="23">
        <f>'QTR Raw'!M14</f>
        <v>0</v>
      </c>
      <c r="AT35" s="23">
        <f>'QTR Raw'!N14</f>
        <v>0</v>
      </c>
      <c r="AU35" s="23">
        <f>'QTR Raw'!O14</f>
        <v>0</v>
      </c>
      <c r="AV35" s="23">
        <f>'QTR Raw'!P14</f>
        <v>0</v>
      </c>
      <c r="AW35" s="23">
        <f>'QTR Raw'!Q14</f>
        <v>0</v>
      </c>
      <c r="AX35" s="23">
        <f>'QTR Raw'!R14</f>
        <v>0</v>
      </c>
      <c r="AY35" s="23">
        <f>'QTR Raw'!S14</f>
        <v>0</v>
      </c>
      <c r="AZ35" s="23">
        <f>'QTR Raw'!T14</f>
        <v>0</v>
      </c>
      <c r="BA35" s="23">
        <f>'QTR Raw'!U14</f>
        <v>0</v>
      </c>
      <c r="BB35" s="23">
        <f>'QTR Raw'!V14</f>
        <v>0</v>
      </c>
      <c r="BC35" s="23">
        <f>'QTR Raw'!W14</f>
        <v>0</v>
      </c>
      <c r="BD35" s="23">
        <f>'QTR Raw'!X14</f>
        <v>0</v>
      </c>
      <c r="BE35" s="23">
        <f>'QTR Raw'!Y14</f>
        <v>0</v>
      </c>
      <c r="BF35" s="23">
        <f>'QTR Raw'!Z14</f>
        <v>0</v>
      </c>
      <c r="BG35" s="23">
        <f>'QTR Raw'!AA14</f>
        <v>0</v>
      </c>
      <c r="BH35" s="23">
        <f>'QTR Raw'!AB14</f>
        <v>0</v>
      </c>
      <c r="BI35" s="23">
        <f>'QTR Raw'!AC14</f>
        <v>0</v>
      </c>
      <c r="BJ35" s="23">
        <f>'QTR Raw'!AD14</f>
        <v>0</v>
      </c>
      <c r="BK35" s="23">
        <f>'QTR Raw'!AE14</f>
        <v>0</v>
      </c>
      <c r="BL35" s="23">
        <f>'QTR Raw'!AF14</f>
        <v>0</v>
      </c>
      <c r="BM35" s="23">
        <f>'QTR Raw'!AG14</f>
        <v>0</v>
      </c>
      <c r="BN35" s="23">
        <f>'QTR Raw'!AH14</f>
        <v>0</v>
      </c>
      <c r="BO35" s="23">
        <f>'QTR Raw'!AI14</f>
        <v>0</v>
      </c>
      <c r="BP35" s="23">
        <f>'QTR Raw'!AJ14</f>
        <v>0</v>
      </c>
      <c r="BQ35" s="23">
        <f>'QTR Raw'!AK14</f>
        <v>12.37</v>
      </c>
      <c r="BR35" s="23">
        <f>'QTR Raw'!AL14</f>
        <v>13.725</v>
      </c>
      <c r="BS35" s="23">
        <f>'QTR Raw'!AM14</f>
        <v>11.189</v>
      </c>
      <c r="BT35" s="23">
        <f>'QTR Raw'!AN14</f>
        <v>11.663</v>
      </c>
      <c r="BU35" s="23">
        <f>'QTR Raw'!AO14</f>
        <v>11.377000000000001</v>
      </c>
      <c r="BV35" s="23">
        <f>'QTR Raw'!AP14</f>
        <v>14.537000000000001</v>
      </c>
      <c r="BW35" s="23">
        <f>'QTR Raw'!AQ14</f>
        <v>15.637</v>
      </c>
      <c r="BX35" s="23">
        <f>'QTR Raw'!AR14</f>
        <v>16.550999999999998</v>
      </c>
      <c r="BY35" s="23">
        <f>'QTR Raw'!AS14</f>
        <v>17.388000000000002</v>
      </c>
      <c r="BZ35" s="23">
        <f>'QTR Raw'!AT14</f>
        <v>19.266999999999999</v>
      </c>
      <c r="CA35" s="23">
        <f>'QTR Raw'!AU14</f>
        <v>22.745999999999999</v>
      </c>
      <c r="CB35" s="23">
        <f>'QTR Raw'!AV14</f>
        <v>24.23</v>
      </c>
      <c r="CC35" s="23">
        <f>'QTR Raw'!AW14</f>
        <v>24.228000000000002</v>
      </c>
      <c r="CD35" s="23">
        <f>'QTR Raw'!AX14</f>
        <v>27.11</v>
      </c>
      <c r="CE35" s="23">
        <f>'QTR Raw'!AY14</f>
        <v>30.649000000000001</v>
      </c>
      <c r="CF35" s="23">
        <f>'QTR Raw'!AZ14</f>
        <v>28.914999999999999</v>
      </c>
      <c r="CG35" s="23">
        <f>'QTR Raw'!BA14</f>
        <v>29.382000000000001</v>
      </c>
      <c r="CH35" s="23">
        <f>'QTR Raw'!BB14</f>
        <v>30.007000000000001</v>
      </c>
      <c r="CI35" s="23">
        <f>'QTR Raw'!BC14</f>
        <v>31.425999999999998</v>
      </c>
      <c r="CJ35" s="23">
        <f>'QTR Raw'!BD14</f>
        <v>34.972000000000001</v>
      </c>
      <c r="CK35" s="23">
        <f>'QTR Raw'!BE14</f>
        <v>36.54</v>
      </c>
      <c r="CL35" s="23">
        <f>'QTR Raw'!BF14</f>
        <v>34.527000000000001</v>
      </c>
      <c r="CM35" s="24">
        <f t="shared" ref="CM35:DB35" si="248">CM38-CM32-CM33-CM34-CM36-CM37</f>
        <v>77.080097302815702</v>
      </c>
      <c r="CN35" s="24">
        <f t="shared" si="248"/>
        <v>95.384880866722</v>
      </c>
      <c r="CO35" s="24">
        <f t="shared" si="248"/>
        <v>98.076546955870441</v>
      </c>
      <c r="CP35" s="24">
        <f t="shared" si="248"/>
        <v>52.143443475802712</v>
      </c>
      <c r="CQ35" s="24">
        <f t="shared" si="248"/>
        <v>137.15367288432299</v>
      </c>
      <c r="CR35" s="24">
        <f t="shared" si="248"/>
        <v>161.03419495843539</v>
      </c>
      <c r="CS35" s="24">
        <f t="shared" si="248"/>
        <v>158.39006354963496</v>
      </c>
      <c r="CT35" s="24">
        <f t="shared" si="248"/>
        <v>103.13850914505645</v>
      </c>
      <c r="CU35" s="24">
        <f t="shared" si="248"/>
        <v>211.63331280851949</v>
      </c>
      <c r="CV35" s="24">
        <f t="shared" si="248"/>
        <v>243.41844692009713</v>
      </c>
      <c r="CW35" s="24">
        <f t="shared" si="248"/>
        <v>237.3858928056176</v>
      </c>
      <c r="CX35" s="24">
        <f t="shared" si="248"/>
        <v>177.4522079836733</v>
      </c>
      <c r="CY35" s="24">
        <f t="shared" si="248"/>
        <v>308.35791700051283</v>
      </c>
      <c r="CZ35" s="24">
        <f t="shared" si="248"/>
        <v>351.75268988646098</v>
      </c>
      <c r="DA35" s="24">
        <f t="shared" si="248"/>
        <v>342.64084165101059</v>
      </c>
      <c r="DB35" s="24">
        <f t="shared" si="248"/>
        <v>278.04773909412859</v>
      </c>
      <c r="DE35" s="123"/>
      <c r="DF35" s="23">
        <v>20.993600000000001</v>
      </c>
    </row>
    <row r="36" spans="1:110" s="23" customFormat="1" outlineLevel="1" x14ac:dyDescent="0.2">
      <c r="A36" s="23" t="s">
        <v>7</v>
      </c>
      <c r="B36" s="23">
        <f>'Annual Raw'!C13</f>
        <v>0</v>
      </c>
      <c r="C36" s="23">
        <f>'Annual Raw'!D13</f>
        <v>0</v>
      </c>
      <c r="D36" s="23">
        <f>'Annual Raw'!E13</f>
        <v>0</v>
      </c>
      <c r="E36" s="23">
        <f>'Annual Raw'!F13</f>
        <v>0</v>
      </c>
      <c r="F36" s="23">
        <f>'Annual Raw'!G13</f>
        <v>0</v>
      </c>
      <c r="G36" s="23">
        <f>'Annual Raw'!H13</f>
        <v>0</v>
      </c>
      <c r="H36" s="23">
        <f>'Annual Raw'!I13</f>
        <v>0</v>
      </c>
      <c r="I36" s="23">
        <f>'Annual Raw'!J13</f>
        <v>0</v>
      </c>
      <c r="J36" s="23">
        <f>'Annual Raw'!K13</f>
        <v>0</v>
      </c>
      <c r="K36" s="23">
        <f>'Annual Raw'!L13</f>
        <v>0</v>
      </c>
      <c r="L36" s="23">
        <f>'Annual Raw'!M13</f>
        <v>0</v>
      </c>
      <c r="M36" s="23">
        <f>'Annual Raw'!N13</f>
        <v>0</v>
      </c>
      <c r="N36" s="23">
        <f>'Annual Raw'!O13</f>
        <v>0</v>
      </c>
      <c r="O36" s="23">
        <f>'Annual Raw'!P13</f>
        <v>0</v>
      </c>
      <c r="P36" s="23">
        <f>'Annual Raw'!Q13</f>
        <v>0</v>
      </c>
      <c r="Q36" s="23">
        <f>'Annual Raw'!R13</f>
        <v>0</v>
      </c>
      <c r="R36" s="23">
        <f>'Annual Raw'!S13</f>
        <v>0.16600000000000001</v>
      </c>
      <c r="S36" s="23">
        <f>'Annual Raw'!T13</f>
        <v>0.46100000000000002</v>
      </c>
      <c r="T36" s="23">
        <f>'Annual Raw'!U13</f>
        <v>0.66100000000000003</v>
      </c>
      <c r="U36" s="23">
        <f>'Annual Raw'!V13</f>
        <v>0.79100000000000004</v>
      </c>
      <c r="V36" s="23">
        <f>'Annual Raw'!W13</f>
        <v>0.65410000000000001</v>
      </c>
      <c r="W36" s="23">
        <f>'Annual Raw'!X13</f>
        <v>0.8276</v>
      </c>
      <c r="X36" s="23">
        <f>'Annual Raw'!Y13</f>
        <v>1.1726000000000001</v>
      </c>
      <c r="Y36" s="23">
        <f>'Annual Raw'!Z13</f>
        <v>1.4404999999999999</v>
      </c>
      <c r="Z36" s="23">
        <f>'Annual Raw'!AA13</f>
        <v>2.0623</v>
      </c>
      <c r="AA36" s="23">
        <f>'Annual Raw'!AB13</f>
        <v>2.1665000000000001</v>
      </c>
      <c r="AB36" s="76">
        <f t="shared" si="243"/>
        <v>0</v>
      </c>
      <c r="AC36" s="76">
        <f t="shared" si="244"/>
        <v>0</v>
      </c>
      <c r="AD36" s="76">
        <f t="shared" si="245"/>
        <v>0</v>
      </c>
      <c r="AE36" s="76">
        <f t="shared" si="246"/>
        <v>0</v>
      </c>
      <c r="AI36" s="23">
        <f>'QTR Raw'!C15</f>
        <v>0</v>
      </c>
      <c r="AJ36" s="23">
        <f>'QTR Raw'!D15</f>
        <v>0</v>
      </c>
      <c r="AK36" s="23">
        <f>'QTR Raw'!E15</f>
        <v>0</v>
      </c>
      <c r="AL36" s="23">
        <f>'QTR Raw'!F15</f>
        <v>0</v>
      </c>
      <c r="AM36" s="23">
        <f>'QTR Raw'!G15</f>
        <v>0</v>
      </c>
      <c r="AN36" s="23">
        <f>'QTR Raw'!H15</f>
        <v>0</v>
      </c>
      <c r="AO36" s="23">
        <f>'QTR Raw'!I15</f>
        <v>0</v>
      </c>
      <c r="AP36" s="23">
        <f>'QTR Raw'!J15</f>
        <v>0</v>
      </c>
      <c r="AQ36" s="23">
        <f>'QTR Raw'!K15</f>
        <v>0</v>
      </c>
      <c r="AR36" s="23">
        <f>'QTR Raw'!L15</f>
        <v>0</v>
      </c>
      <c r="AS36" s="23">
        <f>'QTR Raw'!M15</f>
        <v>0</v>
      </c>
      <c r="AT36" s="23">
        <f>'QTR Raw'!N15</f>
        <v>0</v>
      </c>
      <c r="AU36" s="23">
        <f>'QTR Raw'!O15</f>
        <v>0</v>
      </c>
      <c r="AV36" s="23">
        <f>'QTR Raw'!P15</f>
        <v>0</v>
      </c>
      <c r="AW36" s="23">
        <f>'QTR Raw'!Q15</f>
        <v>0</v>
      </c>
      <c r="AX36" s="23">
        <f>'QTR Raw'!R15</f>
        <v>0</v>
      </c>
      <c r="AY36" s="23">
        <f>'QTR Raw'!S15</f>
        <v>0</v>
      </c>
      <c r="AZ36" s="23">
        <f>'QTR Raw'!T15</f>
        <v>0</v>
      </c>
      <c r="BA36" s="23">
        <f>'QTR Raw'!U15</f>
        <v>0</v>
      </c>
      <c r="BB36" s="23">
        <f>'QTR Raw'!V15</f>
        <v>0</v>
      </c>
      <c r="BC36" s="23">
        <f>'QTR Raw'!W15</f>
        <v>0</v>
      </c>
      <c r="BD36" s="23">
        <f>'QTR Raw'!X15</f>
        <v>0</v>
      </c>
      <c r="BE36" s="23">
        <f>'QTR Raw'!Y15</f>
        <v>0</v>
      </c>
      <c r="BF36" s="23">
        <f>'QTR Raw'!Z15</f>
        <v>0</v>
      </c>
      <c r="BG36" s="23">
        <f>'QTR Raw'!AA15</f>
        <v>0</v>
      </c>
      <c r="BH36" s="23">
        <f>'QTR Raw'!AB15</f>
        <v>0</v>
      </c>
      <c r="BI36" s="23">
        <f>'QTR Raw'!AC15</f>
        <v>0</v>
      </c>
      <c r="BJ36" s="23">
        <f>'QTR Raw'!AD15</f>
        <v>0</v>
      </c>
      <c r="BK36" s="23">
        <f>'QTR Raw'!AE15</f>
        <v>0</v>
      </c>
      <c r="BL36" s="23">
        <f>'QTR Raw'!AF15</f>
        <v>0</v>
      </c>
      <c r="BM36" s="23">
        <f>'QTR Raw'!AG15</f>
        <v>0</v>
      </c>
      <c r="BN36" s="23">
        <f>'QTR Raw'!AH15</f>
        <v>0</v>
      </c>
      <c r="BO36" s="23">
        <f>'QTR Raw'!AI15</f>
        <v>0</v>
      </c>
      <c r="BP36" s="23">
        <f>'QTR Raw'!AJ15</f>
        <v>0</v>
      </c>
      <c r="BQ36" s="23">
        <f>'QTR Raw'!AK15</f>
        <v>0</v>
      </c>
      <c r="BR36" s="23">
        <f>'QTR Raw'!AL15</f>
        <v>0</v>
      </c>
      <c r="BS36" s="23">
        <f>'QTR Raw'!AM15</f>
        <v>0</v>
      </c>
      <c r="BT36" s="23">
        <f>'QTR Raw'!AN15</f>
        <v>0</v>
      </c>
      <c r="BU36" s="23">
        <f>'QTR Raw'!AO15</f>
        <v>0</v>
      </c>
      <c r="BV36" s="23">
        <f>'QTR Raw'!AP15</f>
        <v>0</v>
      </c>
      <c r="BW36" s="23">
        <f>'QTR Raw'!AQ15</f>
        <v>0</v>
      </c>
      <c r="BX36" s="23">
        <f>'QTR Raw'!AR15</f>
        <v>0</v>
      </c>
      <c r="BY36" s="23">
        <f>'QTR Raw'!AS15</f>
        <v>0</v>
      </c>
      <c r="BZ36" s="23">
        <f>'QTR Raw'!AT15</f>
        <v>0</v>
      </c>
      <c r="CA36" s="23">
        <f>'QTR Raw'!AU15</f>
        <v>0</v>
      </c>
      <c r="CB36" s="23">
        <f>'QTR Raw'!AV15</f>
        <v>0</v>
      </c>
      <c r="CC36" s="23">
        <f>'QTR Raw'!AW15</f>
        <v>0</v>
      </c>
      <c r="CD36" s="23">
        <f>'QTR Raw'!AX15</f>
        <v>0</v>
      </c>
      <c r="CE36" s="23">
        <f>'QTR Raw'!AY15</f>
        <v>0</v>
      </c>
      <c r="CF36" s="23">
        <f>'QTR Raw'!AZ15</f>
        <v>0</v>
      </c>
      <c r="CG36" s="23">
        <f>'QTR Raw'!BA15</f>
        <v>0</v>
      </c>
      <c r="CH36" s="23">
        <f>'QTR Raw'!BB15</f>
        <v>0</v>
      </c>
      <c r="CI36" s="23">
        <f>'QTR Raw'!BC15</f>
        <v>0</v>
      </c>
      <c r="CJ36" s="23">
        <f>'QTR Raw'!BD15</f>
        <v>0</v>
      </c>
      <c r="CK36" s="23">
        <f>'QTR Raw'!BE15</f>
        <v>0</v>
      </c>
      <c r="CL36" s="23">
        <f>'QTR Raw'!BF15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2.1665000000000001</v>
      </c>
    </row>
    <row r="37" spans="1:110" s="23" customFormat="1" outlineLevel="1" x14ac:dyDescent="0.2">
      <c r="A37" s="23" t="s">
        <v>11</v>
      </c>
      <c r="B37" s="23">
        <f>'Annual Raw'!C18</f>
        <v>0</v>
      </c>
      <c r="C37" s="23">
        <f>'Annual Raw'!D18</f>
        <v>0</v>
      </c>
      <c r="D37" s="23">
        <f>'Annual Raw'!E18</f>
        <v>0</v>
      </c>
      <c r="E37" s="23">
        <f>'Annual Raw'!F18</f>
        <v>0</v>
      </c>
      <c r="F37" s="23">
        <f>'Annual Raw'!G18</f>
        <v>0</v>
      </c>
      <c r="G37" s="23">
        <f>'Annual Raw'!H18</f>
        <v>0</v>
      </c>
      <c r="H37" s="23">
        <f>'Annual Raw'!I18</f>
        <v>0</v>
      </c>
      <c r="I37" s="23">
        <f>'Annual Raw'!J18</f>
        <v>0</v>
      </c>
      <c r="J37" s="23">
        <f>'Annual Raw'!K18</f>
        <v>0</v>
      </c>
      <c r="K37" s="23">
        <f>'Annual Raw'!L18</f>
        <v>0</v>
      </c>
      <c r="L37" s="23">
        <f>'Annual Raw'!M18</f>
        <v>0</v>
      </c>
      <c r="M37" s="23">
        <f>'Annual Raw'!N18</f>
        <v>0</v>
      </c>
      <c r="N37" s="23">
        <f>'Annual Raw'!O18</f>
        <v>0</v>
      </c>
      <c r="O37" s="23">
        <f>'Annual Raw'!P18</f>
        <v>0</v>
      </c>
      <c r="P37" s="23">
        <f>'Annual Raw'!Q18</f>
        <v>0</v>
      </c>
      <c r="Q37" s="23">
        <f>'Annual Raw'!R18</f>
        <v>0</v>
      </c>
      <c r="R37" s="23">
        <f>'Annual Raw'!S18</f>
        <v>1.742</v>
      </c>
      <c r="S37" s="23">
        <f>'Annual Raw'!T18</f>
        <v>7.5439999999999996</v>
      </c>
      <c r="T37" s="23">
        <f>'Annual Raw'!U18</f>
        <v>16.126999999999999</v>
      </c>
      <c r="U37" s="23">
        <f>'Annual Raw'!V18</f>
        <v>16.738</v>
      </c>
      <c r="V37" s="23">
        <f>'Annual Raw'!W18</f>
        <v>5.2446999999999999</v>
      </c>
      <c r="W37" s="23">
        <f>'Annual Raw'!X18</f>
        <v>9.8567999999999998</v>
      </c>
      <c r="X37" s="23">
        <f>'Annual Raw'!Y18</f>
        <v>22.018599999999999</v>
      </c>
      <c r="Y37" s="23">
        <f>'Annual Raw'!Z18</f>
        <v>33.9148</v>
      </c>
      <c r="Z37" s="23">
        <f>'Annual Raw'!AA18</f>
        <v>42.7455</v>
      </c>
      <c r="AA37" s="23">
        <f>'Annual Raw'!AB18</f>
        <v>49.100299999999997</v>
      </c>
      <c r="AB37" s="76">
        <f t="shared" si="243"/>
        <v>0</v>
      </c>
      <c r="AC37" s="76">
        <f t="shared" si="244"/>
        <v>0</v>
      </c>
      <c r="AD37" s="76">
        <f t="shared" si="245"/>
        <v>0</v>
      </c>
      <c r="AE37" s="76">
        <f t="shared" si="246"/>
        <v>0</v>
      </c>
      <c r="AI37" s="23">
        <f>'QTR Raw'!C18</f>
        <v>0</v>
      </c>
      <c r="AJ37" s="23">
        <f>'QTR Raw'!D18</f>
        <v>0</v>
      </c>
      <c r="AK37" s="23">
        <f>'QTR Raw'!E18</f>
        <v>0</v>
      </c>
      <c r="AL37" s="23">
        <f>'QTR Raw'!F18</f>
        <v>0</v>
      </c>
      <c r="AM37" s="23">
        <f>'QTR Raw'!G18</f>
        <v>0</v>
      </c>
      <c r="AN37" s="23">
        <f>'QTR Raw'!H18</f>
        <v>0</v>
      </c>
      <c r="AO37" s="23">
        <f>'QTR Raw'!I18</f>
        <v>0</v>
      </c>
      <c r="AP37" s="23">
        <f>'QTR Raw'!J18</f>
        <v>0</v>
      </c>
      <c r="AQ37" s="23">
        <f>'QTR Raw'!K18</f>
        <v>0</v>
      </c>
      <c r="AR37" s="23">
        <f>'QTR Raw'!L18</f>
        <v>0</v>
      </c>
      <c r="AS37" s="23">
        <f>'QTR Raw'!M18</f>
        <v>0</v>
      </c>
      <c r="AT37" s="23">
        <f>'QTR Raw'!N18</f>
        <v>0</v>
      </c>
      <c r="AU37" s="23">
        <f>'QTR Raw'!O18</f>
        <v>0</v>
      </c>
      <c r="AV37" s="23">
        <f>'QTR Raw'!P18</f>
        <v>0</v>
      </c>
      <c r="AW37" s="23">
        <f>'QTR Raw'!Q18</f>
        <v>0</v>
      </c>
      <c r="AX37" s="23">
        <f>'QTR Raw'!R18</f>
        <v>0</v>
      </c>
      <c r="AY37" s="23">
        <f>'QTR Raw'!S18</f>
        <v>0</v>
      </c>
      <c r="AZ37" s="23">
        <f>'QTR Raw'!T18</f>
        <v>0</v>
      </c>
      <c r="BA37" s="23">
        <f>'QTR Raw'!U18</f>
        <v>0</v>
      </c>
      <c r="BB37" s="23">
        <f>'QTR Raw'!V18</f>
        <v>0</v>
      </c>
      <c r="BC37" s="23">
        <f>'QTR Raw'!W18</f>
        <v>0</v>
      </c>
      <c r="BD37" s="23">
        <f>'QTR Raw'!X18</f>
        <v>0</v>
      </c>
      <c r="BE37" s="23">
        <f>'QTR Raw'!Y18</f>
        <v>0</v>
      </c>
      <c r="BF37" s="23">
        <f>'QTR Raw'!Z18</f>
        <v>0</v>
      </c>
      <c r="BG37" s="23">
        <f>'QTR Raw'!AA18</f>
        <v>0</v>
      </c>
      <c r="BH37" s="23">
        <f>'QTR Raw'!AB18</f>
        <v>0</v>
      </c>
      <c r="BI37" s="23">
        <f>'QTR Raw'!AC18</f>
        <v>0</v>
      </c>
      <c r="BJ37" s="23">
        <f>'QTR Raw'!AD18</f>
        <v>0</v>
      </c>
      <c r="BK37" s="23">
        <f>'QTR Raw'!AE18</f>
        <v>0</v>
      </c>
      <c r="BL37" s="23">
        <f>'QTR Raw'!AF18</f>
        <v>0</v>
      </c>
      <c r="BM37" s="23">
        <f>'QTR Raw'!AG18</f>
        <v>0</v>
      </c>
      <c r="BN37" s="23">
        <f>'QTR Raw'!AH18</f>
        <v>0</v>
      </c>
      <c r="BO37" s="23">
        <f>'QTR Raw'!AI18</f>
        <v>0</v>
      </c>
      <c r="BP37" s="23">
        <f>'QTR Raw'!AJ18</f>
        <v>0</v>
      </c>
      <c r="BQ37" s="23">
        <f>'QTR Raw'!AK18</f>
        <v>0</v>
      </c>
      <c r="BR37" s="23">
        <f>'QTR Raw'!AL18</f>
        <v>0</v>
      </c>
      <c r="BS37" s="23">
        <f>'QTR Raw'!AM18</f>
        <v>0</v>
      </c>
      <c r="BT37" s="23">
        <f>'QTR Raw'!AN18</f>
        <v>0</v>
      </c>
      <c r="BU37" s="23">
        <f>'QTR Raw'!AO18</f>
        <v>0</v>
      </c>
      <c r="BV37" s="23">
        <f>'QTR Raw'!AP18</f>
        <v>0</v>
      </c>
      <c r="BW37" s="23">
        <f>'QTR Raw'!AQ18</f>
        <v>0</v>
      </c>
      <c r="BX37" s="23">
        <f>'QTR Raw'!AR18</f>
        <v>0</v>
      </c>
      <c r="BY37" s="23">
        <f>'QTR Raw'!AS18</f>
        <v>0</v>
      </c>
      <c r="BZ37" s="23">
        <f>'QTR Raw'!AT18</f>
        <v>0</v>
      </c>
      <c r="CA37" s="23">
        <f>'QTR Raw'!AU18</f>
        <v>0</v>
      </c>
      <c r="CB37" s="23">
        <f>'QTR Raw'!AV18</f>
        <v>0</v>
      </c>
      <c r="CC37" s="23">
        <f>'QTR Raw'!AW18</f>
        <v>0</v>
      </c>
      <c r="CD37" s="23">
        <f>'QTR Raw'!AX18</f>
        <v>0</v>
      </c>
      <c r="CE37" s="23">
        <f>'QTR Raw'!AY18</f>
        <v>0</v>
      </c>
      <c r="CF37" s="23">
        <f>'QTR Raw'!AZ18</f>
        <v>0</v>
      </c>
      <c r="CG37" s="23">
        <f>'QTR Raw'!BA18</f>
        <v>0</v>
      </c>
      <c r="CH37" s="23">
        <f>'QTR Raw'!BB18</f>
        <v>0</v>
      </c>
      <c r="CI37" s="23">
        <f>'QTR Raw'!BC18</f>
        <v>0</v>
      </c>
      <c r="CJ37" s="23">
        <f>'QTR Raw'!BD18</f>
        <v>0</v>
      </c>
      <c r="CK37" s="23">
        <f>'QTR Raw'!BE18</f>
        <v>0</v>
      </c>
      <c r="CL37" s="23">
        <f>'QTR Raw'!BF18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49.100299999999997</v>
      </c>
    </row>
    <row r="38" spans="1:110" s="22" customFormat="1" x14ac:dyDescent="0.2">
      <c r="A38" s="33" t="s">
        <v>348</v>
      </c>
      <c r="B38" s="22">
        <f t="shared" ref="B38:E38" si="249">+SUM(B32:B37)</f>
        <v>0</v>
      </c>
      <c r="C38" s="22">
        <f t="shared" si="249"/>
        <v>0</v>
      </c>
      <c r="D38" s="22">
        <f t="shared" si="249"/>
        <v>0</v>
      </c>
      <c r="E38" s="22">
        <f t="shared" si="249"/>
        <v>0</v>
      </c>
      <c r="F38" s="22">
        <f t="shared" ref="F38:AE38" si="250">+SUM(F32:F37)</f>
        <v>0</v>
      </c>
      <c r="G38" s="22">
        <f t="shared" si="250"/>
        <v>0</v>
      </c>
      <c r="H38" s="22">
        <f t="shared" si="250"/>
        <v>0</v>
      </c>
      <c r="I38" s="22">
        <f t="shared" si="250"/>
        <v>0</v>
      </c>
      <c r="J38" s="22">
        <f t="shared" si="250"/>
        <v>1.3263592000000002</v>
      </c>
      <c r="K38" s="22">
        <f t="shared" si="250"/>
        <v>2.0048489000000003</v>
      </c>
      <c r="L38" s="22">
        <f t="shared" si="250"/>
        <v>1.6369606000000001</v>
      </c>
      <c r="M38" s="22">
        <f t="shared" si="250"/>
        <v>1.2187405</v>
      </c>
      <c r="N38" s="22">
        <f t="shared" si="250"/>
        <v>0.62950569999999995</v>
      </c>
      <c r="O38" s="22">
        <f t="shared" si="250"/>
        <v>0.69633939999999994</v>
      </c>
      <c r="P38" s="22">
        <f t="shared" si="250"/>
        <v>8.8880600000000004E-2</v>
      </c>
      <c r="Q38" s="22">
        <f t="shared" si="250"/>
        <v>0.52500000000000002</v>
      </c>
      <c r="R38" s="22">
        <f t="shared" si="250"/>
        <v>41.936999999999991</v>
      </c>
      <c r="S38" s="22">
        <f t="shared" si="250"/>
        <v>142.50600000000003</v>
      </c>
      <c r="T38" s="22">
        <f t="shared" si="250"/>
        <v>178.709</v>
      </c>
      <c r="U38" s="22">
        <f t="shared" si="250"/>
        <v>225.10900000000001</v>
      </c>
      <c r="V38" s="22">
        <f t="shared" si="250"/>
        <v>195.74699999999999</v>
      </c>
      <c r="W38" s="22">
        <f t="shared" si="250"/>
        <v>240.19939999999997</v>
      </c>
      <c r="X38" s="22">
        <f t="shared" si="250"/>
        <v>309.976</v>
      </c>
      <c r="Y38" s="22">
        <f t="shared" si="250"/>
        <v>420.53210000000001</v>
      </c>
      <c r="Z38" s="22">
        <f t="shared" ref="Z38:AA38" si="251">+SUM(Z32:Z37)</f>
        <v>538.81590000000006</v>
      </c>
      <c r="AA38" s="22">
        <f t="shared" ref="AA38" si="252">+SUM(AA32:AA37)</f>
        <v>667.33690000000001</v>
      </c>
      <c r="AB38" s="21">
        <f t="shared" si="250"/>
        <v>889.66619860121091</v>
      </c>
      <c r="AC38" s="21">
        <f t="shared" si="250"/>
        <v>1166.3863566374498</v>
      </c>
      <c r="AD38" s="21">
        <f t="shared" si="250"/>
        <v>1519.0266707449075</v>
      </c>
      <c r="AE38" s="21">
        <f t="shared" si="250"/>
        <v>1975.3755745750032</v>
      </c>
      <c r="AI38" s="22">
        <f t="shared" ref="AI38:BN38" si="253">+SUM(AI32:AI37)</f>
        <v>0</v>
      </c>
      <c r="AJ38" s="22">
        <f t="shared" si="253"/>
        <v>0</v>
      </c>
      <c r="AK38" s="22">
        <f t="shared" si="253"/>
        <v>0</v>
      </c>
      <c r="AL38" s="22">
        <f t="shared" si="253"/>
        <v>0</v>
      </c>
      <c r="AM38" s="22">
        <f t="shared" si="253"/>
        <v>0</v>
      </c>
      <c r="AN38" s="22">
        <f t="shared" si="253"/>
        <v>0</v>
      </c>
      <c r="AO38" s="22">
        <f t="shared" si="253"/>
        <v>0</v>
      </c>
      <c r="AP38" s="22">
        <f t="shared" si="253"/>
        <v>0</v>
      </c>
      <c r="AQ38" s="22">
        <f t="shared" si="253"/>
        <v>0</v>
      </c>
      <c r="AR38" s="22">
        <f t="shared" si="253"/>
        <v>0</v>
      </c>
      <c r="AS38" s="22">
        <f t="shared" si="253"/>
        <v>0</v>
      </c>
      <c r="AT38" s="22">
        <f t="shared" si="253"/>
        <v>0</v>
      </c>
      <c r="AU38" s="22">
        <f t="shared" si="253"/>
        <v>0</v>
      </c>
      <c r="AV38" s="22">
        <f t="shared" si="253"/>
        <v>0</v>
      </c>
      <c r="AW38" s="22">
        <f t="shared" si="253"/>
        <v>0</v>
      </c>
      <c r="AX38" s="22">
        <f t="shared" si="253"/>
        <v>0</v>
      </c>
      <c r="AY38" s="22">
        <f t="shared" si="253"/>
        <v>0</v>
      </c>
      <c r="AZ38" s="22">
        <f t="shared" si="253"/>
        <v>0</v>
      </c>
      <c r="BA38" s="22">
        <f t="shared" si="253"/>
        <v>0</v>
      </c>
      <c r="BB38" s="22">
        <f t="shared" si="253"/>
        <v>0</v>
      </c>
      <c r="BC38" s="22">
        <f t="shared" si="253"/>
        <v>0</v>
      </c>
      <c r="BD38" s="22">
        <f t="shared" si="253"/>
        <v>0</v>
      </c>
      <c r="BE38" s="22">
        <f t="shared" si="253"/>
        <v>0</v>
      </c>
      <c r="BF38" s="22">
        <f t="shared" si="253"/>
        <v>0</v>
      </c>
      <c r="BG38" s="22">
        <f t="shared" si="253"/>
        <v>0</v>
      </c>
      <c r="BH38" s="22">
        <f t="shared" si="253"/>
        <v>0</v>
      </c>
      <c r="BI38" s="22">
        <f t="shared" si="253"/>
        <v>0</v>
      </c>
      <c r="BJ38" s="22">
        <f t="shared" si="253"/>
        <v>0</v>
      </c>
      <c r="BK38" s="22">
        <f t="shared" si="253"/>
        <v>0</v>
      </c>
      <c r="BL38" s="22">
        <f t="shared" si="253"/>
        <v>0</v>
      </c>
      <c r="BM38" s="22">
        <f t="shared" si="253"/>
        <v>0</v>
      </c>
      <c r="BN38" s="22">
        <f t="shared" si="253"/>
        <v>0</v>
      </c>
      <c r="BO38" s="22">
        <f t="shared" ref="BO38:CH38" si="254">+SUM(BO32:BO37)</f>
        <v>0</v>
      </c>
      <c r="BP38" s="22">
        <f t="shared" si="254"/>
        <v>0</v>
      </c>
      <c r="BQ38" s="22">
        <f t="shared" si="254"/>
        <v>47.071999999999996</v>
      </c>
      <c r="BR38" s="22">
        <f t="shared" si="254"/>
        <v>55.707000000000001</v>
      </c>
      <c r="BS38" s="22">
        <f t="shared" si="254"/>
        <v>54.085000000000001</v>
      </c>
      <c r="BT38" s="22">
        <f t="shared" si="254"/>
        <v>58.25</v>
      </c>
      <c r="BU38" s="22">
        <f t="shared" si="254"/>
        <v>61.224000000000004</v>
      </c>
      <c r="BV38" s="22">
        <f t="shared" si="254"/>
        <v>66.710000000000008</v>
      </c>
      <c r="BW38" s="22">
        <f t="shared" si="254"/>
        <v>75.897999999999996</v>
      </c>
      <c r="BX38" s="22">
        <f t="shared" si="254"/>
        <v>75.655000000000001</v>
      </c>
      <c r="BY38" s="22">
        <f t="shared" si="254"/>
        <v>76.284999999999997</v>
      </c>
      <c r="BZ38" s="22">
        <f t="shared" si="254"/>
        <v>82.138000000000005</v>
      </c>
      <c r="CA38" s="22">
        <f t="shared" si="254"/>
        <v>101.67</v>
      </c>
      <c r="CB38" s="22">
        <f t="shared" si="254"/>
        <v>105.114</v>
      </c>
      <c r="CC38" s="22">
        <f t="shared" si="254"/>
        <v>102.602</v>
      </c>
      <c r="CD38" s="22">
        <f t="shared" si="254"/>
        <v>111.14700000000001</v>
      </c>
      <c r="CE38" s="22">
        <f t="shared" si="254"/>
        <v>139.38</v>
      </c>
      <c r="CF38" s="22">
        <f t="shared" si="254"/>
        <v>138.36199999999999</v>
      </c>
      <c r="CG38" s="22">
        <f t="shared" si="254"/>
        <v>129.971</v>
      </c>
      <c r="CH38" s="22">
        <f t="shared" si="254"/>
        <v>131.119</v>
      </c>
      <c r="CI38" s="22">
        <f t="shared" ref="CI38:CJ38" si="255">+SUM(CI32:CI37)</f>
        <v>146.239</v>
      </c>
      <c r="CJ38" s="22">
        <f t="shared" si="255"/>
        <v>159.89400000000001</v>
      </c>
      <c r="CK38" s="22">
        <f t="shared" ref="CK38:CL38" si="256">+SUM(CK32:CK37)</f>
        <v>158.19499999999999</v>
      </c>
      <c r="CL38" s="22">
        <f t="shared" si="256"/>
        <v>203.02600000000001</v>
      </c>
      <c r="CM38" s="21">
        <f t="shared" ref="CM38:DB38" si="257">CM39*CM22</f>
        <v>199.93000730281571</v>
      </c>
      <c r="CN38" s="21">
        <f t="shared" si="257"/>
        <v>229.051420866722</v>
      </c>
      <c r="CO38" s="21">
        <f t="shared" si="257"/>
        <v>228.24739695587044</v>
      </c>
      <c r="CP38" s="21">
        <f t="shared" si="257"/>
        <v>232.43737347580273</v>
      </c>
      <c r="CQ38" s="21">
        <f t="shared" si="257"/>
        <v>268.60307658432299</v>
      </c>
      <c r="CR38" s="21">
        <f t="shared" si="257"/>
        <v>304.05739275843541</v>
      </c>
      <c r="CS38" s="21">
        <f t="shared" si="257"/>
        <v>297.67287304963497</v>
      </c>
      <c r="CT38" s="21">
        <f t="shared" si="257"/>
        <v>296.05301424505649</v>
      </c>
      <c r="CU38" s="21">
        <f t="shared" si="257"/>
        <v>352.28417476751952</v>
      </c>
      <c r="CV38" s="21">
        <f t="shared" si="257"/>
        <v>396.45326856609717</v>
      </c>
      <c r="CW38" s="21">
        <f t="shared" si="257"/>
        <v>386.41849897061763</v>
      </c>
      <c r="CX38" s="21">
        <f t="shared" si="257"/>
        <v>383.87072844067336</v>
      </c>
      <c r="CY38" s="21">
        <f t="shared" si="257"/>
        <v>458.85433929664288</v>
      </c>
      <c r="CZ38" s="21">
        <f t="shared" si="257"/>
        <v>515.49994904768107</v>
      </c>
      <c r="DA38" s="21">
        <f t="shared" si="257"/>
        <v>502.10573024756064</v>
      </c>
      <c r="DB38" s="21">
        <f t="shared" si="257"/>
        <v>498.91555598311868</v>
      </c>
      <c r="DE38" s="126"/>
      <c r="DF38" s="22">
        <v>667.33690000000001</v>
      </c>
    </row>
    <row r="39" spans="1:110" s="44" customFormat="1" x14ac:dyDescent="0.2">
      <c r="A39" s="43" t="s">
        <v>349</v>
      </c>
      <c r="B39" s="44" t="e">
        <f t="shared" ref="B39:E39" si="258">B38/B22</f>
        <v>#DIV/0!</v>
      </c>
      <c r="C39" s="44" t="e">
        <f t="shared" si="258"/>
        <v>#DIV/0!</v>
      </c>
      <c r="D39" s="44" t="e">
        <f t="shared" si="258"/>
        <v>#DIV/0!</v>
      </c>
      <c r="E39" s="44" t="e">
        <f t="shared" si="258"/>
        <v>#DIV/0!</v>
      </c>
      <c r="F39" s="44" t="e">
        <f t="shared" ref="F39:AE39" si="259">F38/F22</f>
        <v>#DIV/0!</v>
      </c>
      <c r="G39" s="44" t="e">
        <f t="shared" si="259"/>
        <v>#DIV/0!</v>
      </c>
      <c r="H39" s="44" t="e">
        <f t="shared" si="259"/>
        <v>#DIV/0!</v>
      </c>
      <c r="I39" s="44" t="e">
        <f t="shared" si="259"/>
        <v>#DIV/0!</v>
      </c>
      <c r="J39" s="44">
        <f t="shared" si="259"/>
        <v>0.80792743487148644</v>
      </c>
      <c r="K39" s="44">
        <f t="shared" si="259"/>
        <v>0.996445824873053</v>
      </c>
      <c r="L39" s="44">
        <f t="shared" si="259"/>
        <v>0.8135987077534792</v>
      </c>
      <c r="M39" s="44">
        <f t="shared" si="259"/>
        <v>1.2933230793458701</v>
      </c>
      <c r="N39" s="44">
        <f t="shared" si="259"/>
        <v>0.99455330978656864</v>
      </c>
      <c r="O39" s="44">
        <f t="shared" si="259"/>
        <v>1.3843725646123259</v>
      </c>
      <c r="P39" s="44" t="e">
        <f t="shared" si="259"/>
        <v>#DIV/0!</v>
      </c>
      <c r="Q39" s="44">
        <f t="shared" si="259"/>
        <v>1.1052631578947369</v>
      </c>
      <c r="R39" s="44">
        <f t="shared" si="259"/>
        <v>1.022504510654898</v>
      </c>
      <c r="S39" s="44">
        <f t="shared" si="259"/>
        <v>0.64473017481631634</v>
      </c>
      <c r="T39" s="44">
        <f t="shared" si="259"/>
        <v>0.64612219663252435</v>
      </c>
      <c r="U39" s="44">
        <f t="shared" si="259"/>
        <v>0.67839265641433644</v>
      </c>
      <c r="V39" s="44">
        <f t="shared" si="259"/>
        <v>0.73774866185605703</v>
      </c>
      <c r="W39" s="44">
        <f t="shared" si="259"/>
        <v>0.57534843758495802</v>
      </c>
      <c r="X39" s="44">
        <f t="shared" si="259"/>
        <v>0.56499844339990624</v>
      </c>
      <c r="Y39" s="44">
        <f t="shared" si="259"/>
        <v>0.58058682423920283</v>
      </c>
      <c r="Z39" s="44">
        <f t="shared" ref="Z39:AA39" si="260">Z38/Z22</f>
        <v>0.57376104601176503</v>
      </c>
      <c r="AA39" s="44">
        <f t="shared" ref="AA39" si="261">AA38/AA22</f>
        <v>0.58088647095945856</v>
      </c>
      <c r="AB39" s="52">
        <f t="shared" si="259"/>
        <v>0.6005117886958109</v>
      </c>
      <c r="AC39" s="52">
        <f t="shared" si="259"/>
        <v>0.60561068032378806</v>
      </c>
      <c r="AD39" s="52">
        <f t="shared" si="259"/>
        <v>0.60669880772866713</v>
      </c>
      <c r="AE39" s="52">
        <f t="shared" si="259"/>
        <v>0.60689571258521746</v>
      </c>
      <c r="AI39" s="44" t="e">
        <f t="shared" ref="AI39:BN39" si="262">AI38/AI22</f>
        <v>#DIV/0!</v>
      </c>
      <c r="AJ39" s="44" t="e">
        <f t="shared" si="262"/>
        <v>#DIV/0!</v>
      </c>
      <c r="AK39" s="44" t="e">
        <f t="shared" si="262"/>
        <v>#DIV/0!</v>
      </c>
      <c r="AL39" s="44" t="e">
        <f t="shared" si="262"/>
        <v>#DIV/0!</v>
      </c>
      <c r="AM39" s="44" t="e">
        <f t="shared" si="262"/>
        <v>#DIV/0!</v>
      </c>
      <c r="AN39" s="44" t="e">
        <f t="shared" si="262"/>
        <v>#DIV/0!</v>
      </c>
      <c r="AO39" s="44" t="e">
        <f t="shared" si="262"/>
        <v>#DIV/0!</v>
      </c>
      <c r="AP39" s="44" t="e">
        <f t="shared" si="262"/>
        <v>#DIV/0!</v>
      </c>
      <c r="AQ39" s="44" t="e">
        <f t="shared" si="262"/>
        <v>#DIV/0!</v>
      </c>
      <c r="AR39" s="44" t="e">
        <f t="shared" si="262"/>
        <v>#DIV/0!</v>
      </c>
      <c r="AS39" s="44" t="e">
        <f t="shared" si="262"/>
        <v>#DIV/0!</v>
      </c>
      <c r="AT39" s="44" t="e">
        <f t="shared" si="262"/>
        <v>#DIV/0!</v>
      </c>
      <c r="AU39" s="44" t="e">
        <f t="shared" si="262"/>
        <v>#DIV/0!</v>
      </c>
      <c r="AV39" s="44" t="e">
        <f t="shared" si="262"/>
        <v>#DIV/0!</v>
      </c>
      <c r="AW39" s="44" t="e">
        <f t="shared" si="262"/>
        <v>#DIV/0!</v>
      </c>
      <c r="AX39" s="44" t="e">
        <f t="shared" si="262"/>
        <v>#DIV/0!</v>
      </c>
      <c r="AY39" s="44" t="e">
        <f t="shared" si="262"/>
        <v>#DIV/0!</v>
      </c>
      <c r="AZ39" s="44" t="e">
        <f t="shared" si="262"/>
        <v>#DIV/0!</v>
      </c>
      <c r="BA39" s="44" t="e">
        <f t="shared" si="262"/>
        <v>#DIV/0!</v>
      </c>
      <c r="BB39" s="44" t="e">
        <f t="shared" si="262"/>
        <v>#DIV/0!</v>
      </c>
      <c r="BC39" s="44" t="e">
        <f t="shared" si="262"/>
        <v>#DIV/0!</v>
      </c>
      <c r="BD39" s="44" t="e">
        <f t="shared" si="262"/>
        <v>#DIV/0!</v>
      </c>
      <c r="BE39" s="44" t="e">
        <f t="shared" si="262"/>
        <v>#DIV/0!</v>
      </c>
      <c r="BF39" s="44" t="e">
        <f t="shared" si="262"/>
        <v>#DIV/0!</v>
      </c>
      <c r="BG39" s="44" t="e">
        <f t="shared" si="262"/>
        <v>#DIV/0!</v>
      </c>
      <c r="BH39" s="44" t="e">
        <f t="shared" si="262"/>
        <v>#DIV/0!</v>
      </c>
      <c r="BI39" s="44" t="e">
        <f t="shared" si="262"/>
        <v>#DIV/0!</v>
      </c>
      <c r="BJ39" s="44" t="e">
        <f t="shared" si="262"/>
        <v>#DIV/0!</v>
      </c>
      <c r="BK39" s="44" t="e">
        <f t="shared" si="262"/>
        <v>#DIV/0!</v>
      </c>
      <c r="BL39" s="44" t="e">
        <f t="shared" si="262"/>
        <v>#DIV/0!</v>
      </c>
      <c r="BM39" s="44" t="e">
        <f t="shared" si="262"/>
        <v>#DIV/0!</v>
      </c>
      <c r="BN39" s="44" t="e">
        <f t="shared" si="262"/>
        <v>#DIV/0!</v>
      </c>
      <c r="BO39" s="44" t="e">
        <f t="shared" ref="BO39:CH39" si="263">BO38/BO22</f>
        <v>#DIV/0!</v>
      </c>
      <c r="BP39" s="44" t="e">
        <f t="shared" si="263"/>
        <v>#DIV/0!</v>
      </c>
      <c r="BQ39" s="44">
        <f t="shared" si="263"/>
        <v>0.69140154519549957</v>
      </c>
      <c r="BR39" s="44">
        <f t="shared" si="263"/>
        <v>0.7935130977308662</v>
      </c>
      <c r="BS39" s="44">
        <f t="shared" si="263"/>
        <v>0.55442225684762991</v>
      </c>
      <c r="BT39" s="44">
        <f t="shared" si="263"/>
        <v>0.57262226591300081</v>
      </c>
      <c r="BU39" s="44">
        <f t="shared" si="263"/>
        <v>0.57926258124946783</v>
      </c>
      <c r="BV39" s="44">
        <f t="shared" si="263"/>
        <v>0.59289872461449589</v>
      </c>
      <c r="BW39" s="44">
        <f t="shared" si="263"/>
        <v>0.57670184716618411</v>
      </c>
      <c r="BX39" s="44">
        <f t="shared" si="263"/>
        <v>0.55602919235942183</v>
      </c>
      <c r="BY39" s="44">
        <f t="shared" si="263"/>
        <v>0.55278184374139494</v>
      </c>
      <c r="BZ39" s="44">
        <f t="shared" si="263"/>
        <v>0.57455232232792386</v>
      </c>
      <c r="CA39" s="44">
        <f t="shared" si="263"/>
        <v>0.5808851256384765</v>
      </c>
      <c r="CB39" s="44">
        <f t="shared" si="263"/>
        <v>0.57571160197391846</v>
      </c>
      <c r="CC39" s="44">
        <f t="shared" si="263"/>
        <v>0.56241537896519778</v>
      </c>
      <c r="CD39" s="44">
        <f t="shared" si="263"/>
        <v>0.60312886631503559</v>
      </c>
      <c r="CE39" s="44">
        <f t="shared" si="263"/>
        <v>0.58658159872734772</v>
      </c>
      <c r="CF39" s="44">
        <f t="shared" si="263"/>
        <v>0.57060965601428559</v>
      </c>
      <c r="CG39" s="44">
        <f t="shared" si="263"/>
        <v>0.54830830239622008</v>
      </c>
      <c r="CH39" s="44">
        <f t="shared" si="263"/>
        <v>0.59073256442602273</v>
      </c>
      <c r="CI39" s="44">
        <f t="shared" ref="CI39:CJ39" si="264">CI38/CI22</f>
        <v>0.53368586620538139</v>
      </c>
      <c r="CJ39" s="44">
        <f t="shared" si="264"/>
        <v>0.53770101491091793</v>
      </c>
      <c r="CK39" s="44">
        <f t="shared" ref="CK39:CL39" si="265">CK38/CK22</f>
        <v>0.5462081871668093</v>
      </c>
      <c r="CL39" s="44">
        <f t="shared" si="265"/>
        <v>0.70539716070572378</v>
      </c>
      <c r="CM39" s="52">
        <f t="shared" ref="CM39:DB39" si="266">AVERAGE(CI39:CL39)</f>
        <v>0.58074805724720813</v>
      </c>
      <c r="CN39" s="52">
        <f t="shared" si="266"/>
        <v>0.59251360500766481</v>
      </c>
      <c r="CO39" s="52">
        <f t="shared" si="266"/>
        <v>0.60621675253185148</v>
      </c>
      <c r="CP39" s="52">
        <f t="shared" si="266"/>
        <v>0.62121889387311202</v>
      </c>
      <c r="CQ39" s="52">
        <f t="shared" si="266"/>
        <v>0.60017432716495911</v>
      </c>
      <c r="CR39" s="52">
        <f t="shared" si="266"/>
        <v>0.60503089464439685</v>
      </c>
      <c r="CS39" s="52">
        <f t="shared" si="266"/>
        <v>0.60816021705357992</v>
      </c>
      <c r="CT39" s="52">
        <f t="shared" si="266"/>
        <v>0.60864608318401192</v>
      </c>
      <c r="CU39" s="52">
        <f t="shared" si="266"/>
        <v>0.60550288051173695</v>
      </c>
      <c r="CV39" s="52">
        <f t="shared" si="266"/>
        <v>0.60683501884843138</v>
      </c>
      <c r="CW39" s="52">
        <f t="shared" si="266"/>
        <v>0.60728604989944002</v>
      </c>
      <c r="CX39" s="52">
        <f t="shared" si="266"/>
        <v>0.60706750811090504</v>
      </c>
      <c r="CY39" s="52">
        <f t="shared" si="266"/>
        <v>0.60667286434262835</v>
      </c>
      <c r="CZ39" s="52">
        <f t="shared" si="266"/>
        <v>0.6069653603003512</v>
      </c>
      <c r="DA39" s="52">
        <f t="shared" si="266"/>
        <v>0.6069979456633311</v>
      </c>
      <c r="DB39" s="52">
        <f t="shared" si="266"/>
        <v>0.60692591960430387</v>
      </c>
      <c r="DE39" s="128"/>
      <c r="DF39" s="44">
        <v>0.58088647095945856</v>
      </c>
    </row>
    <row r="40" spans="1:110" s="26" customFormat="1" x14ac:dyDescent="0.2">
      <c r="A40" s="34" t="s">
        <v>13</v>
      </c>
      <c r="B40" s="26">
        <f t="shared" ref="B40:E40" si="267">B28-B38</f>
        <v>0</v>
      </c>
      <c r="C40" s="26">
        <f t="shared" si="267"/>
        <v>0</v>
      </c>
      <c r="D40" s="26">
        <f t="shared" si="267"/>
        <v>0</v>
      </c>
      <c r="E40" s="26">
        <f t="shared" si="267"/>
        <v>0</v>
      </c>
      <c r="F40" s="26">
        <f t="shared" ref="F40:AE40" si="268">F28-F38</f>
        <v>0</v>
      </c>
      <c r="G40" s="26">
        <f t="shared" si="268"/>
        <v>0</v>
      </c>
      <c r="H40" s="26">
        <f t="shared" si="268"/>
        <v>0</v>
      </c>
      <c r="I40" s="26">
        <f t="shared" si="268"/>
        <v>0</v>
      </c>
      <c r="J40" s="26">
        <f t="shared" si="268"/>
        <v>0.31532189999999982</v>
      </c>
      <c r="K40" s="26">
        <f t="shared" si="268"/>
        <v>7.1509999999999074E-3</v>
      </c>
      <c r="L40" s="26">
        <f t="shared" si="268"/>
        <v>0.37503939999999991</v>
      </c>
      <c r="M40" s="26">
        <f t="shared" si="268"/>
        <v>-0.27640790000000004</v>
      </c>
      <c r="N40" s="26">
        <f t="shared" si="268"/>
        <v>3.4475000000000477E-3</v>
      </c>
      <c r="O40" s="26">
        <f t="shared" si="268"/>
        <v>-0.19333939999999994</v>
      </c>
      <c r="P40" s="26">
        <f t="shared" si="268"/>
        <v>-8.8880600000000004E-2</v>
      </c>
      <c r="Q40" s="26">
        <f t="shared" si="268"/>
        <v>-5.0000000000000044E-2</v>
      </c>
      <c r="R40" s="26">
        <f t="shared" si="268"/>
        <v>-0.92299999999998761</v>
      </c>
      <c r="S40" s="26">
        <f t="shared" si="268"/>
        <v>78.525999999999982</v>
      </c>
      <c r="T40" s="26">
        <f t="shared" si="268"/>
        <v>97.877999999999986</v>
      </c>
      <c r="U40" s="26">
        <f t="shared" si="268"/>
        <v>106.71799999999999</v>
      </c>
      <c r="V40" s="26">
        <f t="shared" si="268"/>
        <v>69.583200000000005</v>
      </c>
      <c r="W40" s="26">
        <f t="shared" si="268"/>
        <v>177.28570000000002</v>
      </c>
      <c r="X40" s="26">
        <f t="shared" si="268"/>
        <v>238.65560000000005</v>
      </c>
      <c r="Y40" s="26">
        <f t="shared" si="268"/>
        <v>303.79039999999998</v>
      </c>
      <c r="Z40" s="26">
        <f t="shared" ref="Z40:AA40" si="269">Z28-Z38</f>
        <v>400.27869999999996</v>
      </c>
      <c r="AA40" s="26">
        <f t="shared" ref="AA40" si="270">AA28-AA38</f>
        <v>481.48810000000003</v>
      </c>
      <c r="AB40" s="27">
        <f t="shared" si="268"/>
        <v>591.84709613923769</v>
      </c>
      <c r="AC40" s="27">
        <f t="shared" si="268"/>
        <v>759.58092652513346</v>
      </c>
      <c r="AD40" s="27">
        <f t="shared" si="268"/>
        <v>984.73079736645082</v>
      </c>
      <c r="AE40" s="27">
        <f t="shared" si="268"/>
        <v>1279.5091339697624</v>
      </c>
      <c r="AI40" s="26">
        <f t="shared" ref="AI40:BN40" si="271">AI28-AI38</f>
        <v>0</v>
      </c>
      <c r="AJ40" s="26">
        <f t="shared" si="271"/>
        <v>0</v>
      </c>
      <c r="AK40" s="26">
        <f t="shared" si="271"/>
        <v>0</v>
      </c>
      <c r="AL40" s="26">
        <f t="shared" si="271"/>
        <v>0</v>
      </c>
      <c r="AM40" s="26">
        <f t="shared" si="271"/>
        <v>0</v>
      </c>
      <c r="AN40" s="26">
        <f t="shared" si="271"/>
        <v>0</v>
      </c>
      <c r="AO40" s="26">
        <f t="shared" si="271"/>
        <v>0</v>
      </c>
      <c r="AP40" s="26">
        <f t="shared" si="271"/>
        <v>0</v>
      </c>
      <c r="AQ40" s="26">
        <f t="shared" si="271"/>
        <v>0</v>
      </c>
      <c r="AR40" s="26">
        <f t="shared" si="271"/>
        <v>0</v>
      </c>
      <c r="AS40" s="26">
        <f t="shared" si="271"/>
        <v>0</v>
      </c>
      <c r="AT40" s="26">
        <f t="shared" si="271"/>
        <v>0</v>
      </c>
      <c r="AU40" s="26">
        <f t="shared" si="271"/>
        <v>0</v>
      </c>
      <c r="AV40" s="26">
        <f t="shared" si="271"/>
        <v>0</v>
      </c>
      <c r="AW40" s="26">
        <f t="shared" si="271"/>
        <v>0</v>
      </c>
      <c r="AX40" s="26">
        <f t="shared" si="271"/>
        <v>0</v>
      </c>
      <c r="AY40" s="26">
        <f t="shared" si="271"/>
        <v>0</v>
      </c>
      <c r="AZ40" s="26">
        <f t="shared" si="271"/>
        <v>0</v>
      </c>
      <c r="BA40" s="26">
        <f t="shared" si="271"/>
        <v>0</v>
      </c>
      <c r="BB40" s="26">
        <f t="shared" si="271"/>
        <v>0</v>
      </c>
      <c r="BC40" s="26">
        <f t="shared" si="271"/>
        <v>0</v>
      </c>
      <c r="BD40" s="26">
        <f t="shared" si="271"/>
        <v>0</v>
      </c>
      <c r="BE40" s="26">
        <f t="shared" si="271"/>
        <v>0</v>
      </c>
      <c r="BF40" s="26">
        <f t="shared" si="271"/>
        <v>0</v>
      </c>
      <c r="BG40" s="26">
        <f t="shared" si="271"/>
        <v>0</v>
      </c>
      <c r="BH40" s="26">
        <f t="shared" si="271"/>
        <v>0</v>
      </c>
      <c r="BI40" s="26">
        <f t="shared" si="271"/>
        <v>0</v>
      </c>
      <c r="BJ40" s="26">
        <f t="shared" si="271"/>
        <v>0</v>
      </c>
      <c r="BK40" s="26">
        <f t="shared" si="271"/>
        <v>0</v>
      </c>
      <c r="BL40" s="26">
        <f t="shared" si="271"/>
        <v>0</v>
      </c>
      <c r="BM40" s="26">
        <f t="shared" si="271"/>
        <v>0</v>
      </c>
      <c r="BN40" s="26">
        <f t="shared" si="271"/>
        <v>0</v>
      </c>
      <c r="BO40" s="26">
        <f t="shared" ref="BO40:CT40" si="272">BO28-BO38</f>
        <v>0</v>
      </c>
      <c r="BP40" s="26">
        <f t="shared" si="272"/>
        <v>0</v>
      </c>
      <c r="BQ40" s="26">
        <f t="shared" si="272"/>
        <v>21.009999999999998</v>
      </c>
      <c r="BR40" s="26">
        <f t="shared" si="272"/>
        <v>14.496000000000002</v>
      </c>
      <c r="BS40" s="26">
        <f t="shared" si="272"/>
        <v>43.467000000000006</v>
      </c>
      <c r="BT40" s="26">
        <f t="shared" si="272"/>
        <v>43.474999999999994</v>
      </c>
      <c r="BU40" s="26">
        <f t="shared" si="272"/>
        <v>44.468999999999994</v>
      </c>
      <c r="BV40" s="26">
        <f t="shared" si="272"/>
        <v>45.804999999999993</v>
      </c>
      <c r="BW40" s="26">
        <f t="shared" si="272"/>
        <v>55.709000000000003</v>
      </c>
      <c r="BX40" s="26">
        <f t="shared" si="272"/>
        <v>60.407999999999987</v>
      </c>
      <c r="BY40" s="26">
        <f t="shared" si="272"/>
        <v>61.717000000000013</v>
      </c>
      <c r="BZ40" s="26">
        <f t="shared" si="272"/>
        <v>60.822000000000003</v>
      </c>
      <c r="CA40" s="26">
        <f t="shared" si="272"/>
        <v>73.356000000000009</v>
      </c>
      <c r="CB40" s="26">
        <f t="shared" si="272"/>
        <v>77.466999999999985</v>
      </c>
      <c r="CC40" s="26">
        <f t="shared" si="272"/>
        <v>79.829000000000008</v>
      </c>
      <c r="CD40" s="26">
        <f t="shared" si="272"/>
        <v>73.136999999999986</v>
      </c>
      <c r="CE40" s="26">
        <f t="shared" si="272"/>
        <v>98.234000000000009</v>
      </c>
      <c r="CF40" s="26">
        <f t="shared" si="272"/>
        <v>104.119</v>
      </c>
      <c r="CG40" s="26">
        <f t="shared" si="272"/>
        <v>107.06899999999999</v>
      </c>
      <c r="CH40" s="26">
        <f t="shared" si="272"/>
        <v>90.841000000000008</v>
      </c>
      <c r="CI40" s="26">
        <f t="shared" ref="CI40:CJ40" si="273">CI28-CI38</f>
        <v>127.77799999999999</v>
      </c>
      <c r="CJ40" s="26">
        <f t="shared" si="273"/>
        <v>137.47199999999998</v>
      </c>
      <c r="CK40" s="26">
        <f t="shared" ref="CK40:CL40" si="274">CK28-CK38</f>
        <v>131.42900000000003</v>
      </c>
      <c r="CL40" s="26">
        <f t="shared" si="274"/>
        <v>84.791999999999973</v>
      </c>
      <c r="CM40" s="27">
        <f t="shared" si="272"/>
        <v>144.33288743763305</v>
      </c>
      <c r="CN40" s="27">
        <f t="shared" si="272"/>
        <v>157.52437913327796</v>
      </c>
      <c r="CO40" s="27">
        <f t="shared" si="272"/>
        <v>148.26380304412959</v>
      </c>
      <c r="CP40" s="27">
        <f t="shared" si="272"/>
        <v>141.72602652419724</v>
      </c>
      <c r="CQ40" s="27">
        <f t="shared" si="272"/>
        <v>178.93868657826044</v>
      </c>
      <c r="CR40" s="27">
        <f t="shared" si="272"/>
        <v>198.49114724156453</v>
      </c>
      <c r="CS40" s="27">
        <f t="shared" si="272"/>
        <v>191.79168695036498</v>
      </c>
      <c r="CT40" s="27">
        <f t="shared" si="272"/>
        <v>190.35940575494345</v>
      </c>
      <c r="CU40" s="27">
        <f t="shared" ref="CU40:DB40" si="275">CU28-CU38</f>
        <v>229.52011734383882</v>
      </c>
      <c r="CV40" s="27">
        <f t="shared" si="275"/>
        <v>256.85983343390279</v>
      </c>
      <c r="CW40" s="27">
        <f t="shared" si="275"/>
        <v>249.88542902938229</v>
      </c>
      <c r="CX40" s="27">
        <f t="shared" si="275"/>
        <v>248.46541755932651</v>
      </c>
      <c r="CY40" s="27">
        <f t="shared" si="275"/>
        <v>297.49124044812294</v>
      </c>
      <c r="CZ40" s="27">
        <f t="shared" si="275"/>
        <v>333.80708355231877</v>
      </c>
      <c r="DA40" s="27">
        <f t="shared" si="275"/>
        <v>325.08937615243946</v>
      </c>
      <c r="DB40" s="27">
        <f t="shared" si="275"/>
        <v>323.12143381688122</v>
      </c>
      <c r="DE40" s="121"/>
      <c r="DF40" s="26">
        <v>481.48810000000003</v>
      </c>
    </row>
    <row r="41" spans="1:110" s="168" customFormat="1" x14ac:dyDescent="0.2">
      <c r="A41" s="165" t="s">
        <v>14</v>
      </c>
      <c r="B41" s="166" t="e">
        <f t="shared" ref="B41:E41" si="276">B40/B22</f>
        <v>#DIV/0!</v>
      </c>
      <c r="C41" s="166" t="e">
        <f t="shared" si="276"/>
        <v>#DIV/0!</v>
      </c>
      <c r="D41" s="166" t="e">
        <f t="shared" si="276"/>
        <v>#DIV/0!</v>
      </c>
      <c r="E41" s="166" t="e">
        <f t="shared" si="276"/>
        <v>#DIV/0!</v>
      </c>
      <c r="F41" s="166" t="e">
        <f t="shared" ref="F41:AE41" si="277">F40/F22</f>
        <v>#DIV/0!</v>
      </c>
      <c r="G41" s="166" t="e">
        <f t="shared" si="277"/>
        <v>#DIV/0!</v>
      </c>
      <c r="H41" s="166" t="e">
        <f t="shared" si="277"/>
        <v>#DIV/0!</v>
      </c>
      <c r="I41" s="166" t="e">
        <f t="shared" si="277"/>
        <v>#DIV/0!</v>
      </c>
      <c r="J41" s="166">
        <f t="shared" si="277"/>
        <v>0.19207256512851359</v>
      </c>
      <c r="K41" s="166">
        <f t="shared" si="277"/>
        <v>3.5541751269470277E-3</v>
      </c>
      <c r="L41" s="166">
        <f t="shared" si="277"/>
        <v>0.18640129224652083</v>
      </c>
      <c r="M41" s="166">
        <f t="shared" si="277"/>
        <v>-0.2933230793458701</v>
      </c>
      <c r="N41" s="166">
        <f t="shared" si="277"/>
        <v>5.4466902134313374E-3</v>
      </c>
      <c r="O41" s="166">
        <f t="shared" si="277"/>
        <v>-0.38437256461232594</v>
      </c>
      <c r="P41" s="166" t="e">
        <f t="shared" si="277"/>
        <v>#DIV/0!</v>
      </c>
      <c r="Q41" s="166">
        <f t="shared" si="277"/>
        <v>-0.10526315789473695</v>
      </c>
      <c r="R41" s="166">
        <f t="shared" si="277"/>
        <v>-2.2504510654898023E-2</v>
      </c>
      <c r="S41" s="166">
        <f t="shared" si="277"/>
        <v>0.35526982518368372</v>
      </c>
      <c r="T41" s="166">
        <f t="shared" si="277"/>
        <v>0.35387780336747565</v>
      </c>
      <c r="U41" s="166">
        <f t="shared" si="277"/>
        <v>0.32160734358566356</v>
      </c>
      <c r="V41" s="166">
        <f t="shared" si="277"/>
        <v>0.26225133814394291</v>
      </c>
      <c r="W41" s="166">
        <f t="shared" si="277"/>
        <v>0.42465156241504193</v>
      </c>
      <c r="X41" s="166">
        <f t="shared" si="277"/>
        <v>0.43500155660009382</v>
      </c>
      <c r="Y41" s="166">
        <f t="shared" si="277"/>
        <v>0.41941317576079712</v>
      </c>
      <c r="Z41" s="166">
        <f t="shared" ref="Z41:AA41" si="278">Z40/Z22</f>
        <v>0.42623895398823503</v>
      </c>
      <c r="AA41" s="166">
        <f t="shared" ref="AA41" si="279">AA40/AA22</f>
        <v>0.41911352904054144</v>
      </c>
      <c r="AB41" s="167">
        <f t="shared" si="277"/>
        <v>0.3994882113041891</v>
      </c>
      <c r="AC41" s="167">
        <f t="shared" si="277"/>
        <v>0.39438931967621194</v>
      </c>
      <c r="AD41" s="167">
        <f t="shared" si="277"/>
        <v>0.39330119227133281</v>
      </c>
      <c r="AE41" s="167">
        <f t="shared" si="277"/>
        <v>0.39310428741478259</v>
      </c>
      <c r="AI41" s="166" t="e">
        <f t="shared" ref="AI41:BN41" si="280">AI40/AI22</f>
        <v>#DIV/0!</v>
      </c>
      <c r="AJ41" s="166" t="e">
        <f t="shared" si="280"/>
        <v>#DIV/0!</v>
      </c>
      <c r="AK41" s="166" t="e">
        <f t="shared" si="280"/>
        <v>#DIV/0!</v>
      </c>
      <c r="AL41" s="166" t="e">
        <f t="shared" si="280"/>
        <v>#DIV/0!</v>
      </c>
      <c r="AM41" s="166" t="e">
        <f t="shared" si="280"/>
        <v>#DIV/0!</v>
      </c>
      <c r="AN41" s="166" t="e">
        <f t="shared" si="280"/>
        <v>#DIV/0!</v>
      </c>
      <c r="AO41" s="166" t="e">
        <f t="shared" si="280"/>
        <v>#DIV/0!</v>
      </c>
      <c r="AP41" s="166" t="e">
        <f t="shared" si="280"/>
        <v>#DIV/0!</v>
      </c>
      <c r="AQ41" s="166" t="e">
        <f t="shared" si="280"/>
        <v>#DIV/0!</v>
      </c>
      <c r="AR41" s="166" t="e">
        <f t="shared" si="280"/>
        <v>#DIV/0!</v>
      </c>
      <c r="AS41" s="166" t="e">
        <f t="shared" si="280"/>
        <v>#DIV/0!</v>
      </c>
      <c r="AT41" s="166" t="e">
        <f t="shared" si="280"/>
        <v>#DIV/0!</v>
      </c>
      <c r="AU41" s="166" t="e">
        <f t="shared" si="280"/>
        <v>#DIV/0!</v>
      </c>
      <c r="AV41" s="166" t="e">
        <f t="shared" si="280"/>
        <v>#DIV/0!</v>
      </c>
      <c r="AW41" s="166" t="e">
        <f t="shared" si="280"/>
        <v>#DIV/0!</v>
      </c>
      <c r="AX41" s="166" t="e">
        <f t="shared" si="280"/>
        <v>#DIV/0!</v>
      </c>
      <c r="AY41" s="166" t="e">
        <f t="shared" si="280"/>
        <v>#DIV/0!</v>
      </c>
      <c r="AZ41" s="166" t="e">
        <f t="shared" si="280"/>
        <v>#DIV/0!</v>
      </c>
      <c r="BA41" s="166" t="e">
        <f t="shared" si="280"/>
        <v>#DIV/0!</v>
      </c>
      <c r="BB41" s="166" t="e">
        <f t="shared" si="280"/>
        <v>#DIV/0!</v>
      </c>
      <c r="BC41" s="166" t="e">
        <f t="shared" si="280"/>
        <v>#DIV/0!</v>
      </c>
      <c r="BD41" s="166" t="e">
        <f t="shared" si="280"/>
        <v>#DIV/0!</v>
      </c>
      <c r="BE41" s="166" t="e">
        <f t="shared" si="280"/>
        <v>#DIV/0!</v>
      </c>
      <c r="BF41" s="166" t="e">
        <f t="shared" si="280"/>
        <v>#DIV/0!</v>
      </c>
      <c r="BG41" s="166" t="e">
        <f t="shared" si="280"/>
        <v>#DIV/0!</v>
      </c>
      <c r="BH41" s="166" t="e">
        <f t="shared" si="280"/>
        <v>#DIV/0!</v>
      </c>
      <c r="BI41" s="166" t="e">
        <f t="shared" si="280"/>
        <v>#DIV/0!</v>
      </c>
      <c r="BJ41" s="166" t="e">
        <f t="shared" si="280"/>
        <v>#DIV/0!</v>
      </c>
      <c r="BK41" s="166" t="e">
        <f t="shared" si="280"/>
        <v>#DIV/0!</v>
      </c>
      <c r="BL41" s="166" t="e">
        <f t="shared" si="280"/>
        <v>#DIV/0!</v>
      </c>
      <c r="BM41" s="166" t="e">
        <f t="shared" si="280"/>
        <v>#DIV/0!</v>
      </c>
      <c r="BN41" s="166" t="e">
        <f t="shared" si="280"/>
        <v>#DIV/0!</v>
      </c>
      <c r="BO41" s="166" t="e">
        <f t="shared" ref="BO41:CT41" si="281">BO40/BO22</f>
        <v>#DIV/0!</v>
      </c>
      <c r="BP41" s="166" t="e">
        <f t="shared" si="281"/>
        <v>#DIV/0!</v>
      </c>
      <c r="BQ41" s="166">
        <f t="shared" si="281"/>
        <v>0.30859845480450043</v>
      </c>
      <c r="BR41" s="166">
        <f t="shared" si="281"/>
        <v>0.20648690226913383</v>
      </c>
      <c r="BS41" s="166">
        <f t="shared" si="281"/>
        <v>0.44557774315237003</v>
      </c>
      <c r="BT41" s="166">
        <f t="shared" si="281"/>
        <v>0.42737773408699925</v>
      </c>
      <c r="BU41" s="166">
        <f t="shared" si="281"/>
        <v>0.42073741875053217</v>
      </c>
      <c r="BV41" s="166">
        <f t="shared" si="281"/>
        <v>0.40710127538550411</v>
      </c>
      <c r="BW41" s="166">
        <f t="shared" si="281"/>
        <v>0.42329815283381583</v>
      </c>
      <c r="BX41" s="166">
        <f t="shared" si="281"/>
        <v>0.44397080764057822</v>
      </c>
      <c r="BY41" s="166">
        <f t="shared" si="281"/>
        <v>0.447218156258605</v>
      </c>
      <c r="BZ41" s="166">
        <f t="shared" si="281"/>
        <v>0.42544767767207609</v>
      </c>
      <c r="CA41" s="166">
        <f t="shared" si="281"/>
        <v>0.41911487436152345</v>
      </c>
      <c r="CB41" s="166">
        <f t="shared" si="281"/>
        <v>0.42428839802608154</v>
      </c>
      <c r="CC41" s="166">
        <f t="shared" si="281"/>
        <v>0.43758462103480222</v>
      </c>
      <c r="CD41" s="166">
        <f t="shared" si="281"/>
        <v>0.39687113368496446</v>
      </c>
      <c r="CE41" s="166">
        <f t="shared" si="281"/>
        <v>0.41341840127265234</v>
      </c>
      <c r="CF41" s="166">
        <f t="shared" si="281"/>
        <v>0.42939034398571435</v>
      </c>
      <c r="CG41" s="166">
        <f t="shared" si="281"/>
        <v>0.45169169760377992</v>
      </c>
      <c r="CH41" s="166">
        <f t="shared" si="281"/>
        <v>0.40926743557397732</v>
      </c>
      <c r="CI41" s="166">
        <f t="shared" ref="CI41:CJ41" si="282">CI40/CI22</f>
        <v>0.46631413379461856</v>
      </c>
      <c r="CJ41" s="166">
        <f t="shared" si="282"/>
        <v>0.46229898508908207</v>
      </c>
      <c r="CK41" s="166">
        <f t="shared" ref="CK41:CL41" si="283">CK40/CK22</f>
        <v>0.4537918128331907</v>
      </c>
      <c r="CL41" s="166">
        <f t="shared" si="283"/>
        <v>0.29460283929427616</v>
      </c>
      <c r="CM41" s="167">
        <f t="shared" si="281"/>
        <v>0.41925194275279193</v>
      </c>
      <c r="CN41" s="167">
        <f t="shared" si="281"/>
        <v>0.40748639499233519</v>
      </c>
      <c r="CO41" s="167">
        <f t="shared" si="281"/>
        <v>0.39378324746814858</v>
      </c>
      <c r="CP41" s="167">
        <f t="shared" si="281"/>
        <v>0.37878110612688803</v>
      </c>
      <c r="CQ41" s="167">
        <f t="shared" si="281"/>
        <v>0.39982567283504089</v>
      </c>
      <c r="CR41" s="167">
        <f t="shared" si="281"/>
        <v>0.39496910535560315</v>
      </c>
      <c r="CS41" s="167">
        <f t="shared" si="281"/>
        <v>0.39183978294642008</v>
      </c>
      <c r="CT41" s="167">
        <f t="shared" si="281"/>
        <v>0.39135391681598813</v>
      </c>
      <c r="CU41" s="167">
        <f t="shared" ref="CU41:DB41" si="284">CU40/CU22</f>
        <v>0.39449711948826305</v>
      </c>
      <c r="CV41" s="167">
        <f t="shared" si="284"/>
        <v>0.39316498115156862</v>
      </c>
      <c r="CW41" s="167">
        <f t="shared" si="284"/>
        <v>0.39271395010055998</v>
      </c>
      <c r="CX41" s="167">
        <f t="shared" si="284"/>
        <v>0.39293249188909496</v>
      </c>
      <c r="CY41" s="167">
        <f t="shared" si="284"/>
        <v>0.39332713565737171</v>
      </c>
      <c r="CZ41" s="167">
        <f t="shared" si="284"/>
        <v>0.39303463969964875</v>
      </c>
      <c r="DA41" s="167">
        <f t="shared" si="284"/>
        <v>0.3930020543366689</v>
      </c>
      <c r="DB41" s="167">
        <f t="shared" si="284"/>
        <v>0.39307408039569613</v>
      </c>
      <c r="DE41" s="169"/>
      <c r="DF41" s="168">
        <v>0.41911352904054144</v>
      </c>
    </row>
    <row r="42" spans="1:110" s="38" customFormat="1" x14ac:dyDescent="0.2">
      <c r="A42" s="39" t="s">
        <v>449</v>
      </c>
      <c r="B42" s="39"/>
      <c r="C42" s="39" t="e">
        <f t="shared" ref="C42:E42" si="285">+IF(B40&lt;0,1-C40/B40,C40/B40-1)</f>
        <v>#DIV/0!</v>
      </c>
      <c r="D42" s="39" t="e">
        <f t="shared" si="285"/>
        <v>#DIV/0!</v>
      </c>
      <c r="E42" s="39" t="e">
        <f t="shared" si="285"/>
        <v>#DIV/0!</v>
      </c>
      <c r="F42" s="39" t="e">
        <f t="shared" ref="F42:Y42" si="286">+IF(E40&lt;0,1-F40/E40,F40/E40-1)</f>
        <v>#DIV/0!</v>
      </c>
      <c r="G42" s="39" t="e">
        <f t="shared" si="286"/>
        <v>#DIV/0!</v>
      </c>
      <c r="H42" s="39" t="e">
        <f t="shared" si="286"/>
        <v>#DIV/0!</v>
      </c>
      <c r="I42" s="39" t="e">
        <f t="shared" si="286"/>
        <v>#DIV/0!</v>
      </c>
      <c r="J42" s="39" t="e">
        <f t="shared" si="286"/>
        <v>#DIV/0!</v>
      </c>
      <c r="K42" s="39">
        <f t="shared" si="286"/>
        <v>-0.97732158787575518</v>
      </c>
      <c r="L42" s="39">
        <f t="shared" si="286"/>
        <v>51.445727870228609</v>
      </c>
      <c r="M42" s="39">
        <f t="shared" si="286"/>
        <v>-1.7370102981180113</v>
      </c>
      <c r="N42" s="39">
        <f t="shared" si="286"/>
        <v>1.01247250892612</v>
      </c>
      <c r="O42" s="39">
        <f t="shared" si="286"/>
        <v>-57.081044234952067</v>
      </c>
      <c r="P42" s="39">
        <f t="shared" si="286"/>
        <v>0.54028718409180931</v>
      </c>
      <c r="Q42" s="39">
        <f t="shared" si="286"/>
        <v>0.4374475419832895</v>
      </c>
      <c r="R42" s="39">
        <f t="shared" si="286"/>
        <v>-17.459999999999734</v>
      </c>
      <c r="S42" s="39">
        <f t="shared" si="286"/>
        <v>86.076923076924203</v>
      </c>
      <c r="T42" s="39">
        <f t="shared" si="286"/>
        <v>0.24644066933245057</v>
      </c>
      <c r="U42" s="39">
        <f t="shared" si="286"/>
        <v>9.0316516479699294E-2</v>
      </c>
      <c r="V42" s="39">
        <f t="shared" si="286"/>
        <v>-0.34797128881725659</v>
      </c>
      <c r="W42" s="39">
        <f t="shared" si="286"/>
        <v>1.5478233251704436</v>
      </c>
      <c r="X42" s="39">
        <f t="shared" si="286"/>
        <v>0.34616384739434714</v>
      </c>
      <c r="Y42" s="39">
        <f t="shared" si="286"/>
        <v>0.27292382831159179</v>
      </c>
      <c r="Z42" s="39">
        <f t="shared" ref="Z42:AE42" si="287">+IF(Y40&lt;0,1-Z40/Y40,Z40/Y40-1)</f>
        <v>0.31761471066893487</v>
      </c>
      <c r="AA42" s="39">
        <f t="shared" si="287"/>
        <v>0.20288214186765385</v>
      </c>
      <c r="AB42" s="40">
        <f t="shared" si="287"/>
        <v>0.22920399515426793</v>
      </c>
      <c r="AC42" s="40">
        <f t="shared" si="287"/>
        <v>0.28340737241098979</v>
      </c>
      <c r="AD42" s="40">
        <f t="shared" si="287"/>
        <v>0.29641327603013146</v>
      </c>
      <c r="AE42" s="40">
        <f t="shared" si="287"/>
        <v>0.29934915957910757</v>
      </c>
      <c r="AI42" s="39"/>
      <c r="AJ42" s="39"/>
      <c r="AK42" s="39"/>
      <c r="AL42" s="39"/>
      <c r="AM42" s="39" t="e">
        <f>+IF(AI40&lt;0,1-AM40/AI40,AM40/AI40-1)</f>
        <v>#DIV/0!</v>
      </c>
      <c r="AN42" s="39" t="e">
        <f t="shared" ref="AN42" si="288">+IF(AJ40&lt;0,1-AN40/AJ40,AN40/AJ40-1)</f>
        <v>#DIV/0!</v>
      </c>
      <c r="AO42" s="39" t="e">
        <f t="shared" ref="AO42" si="289">+IF(AK40&lt;0,1-AO40/AK40,AO40/AK40-1)</f>
        <v>#DIV/0!</v>
      </c>
      <c r="AP42" s="39" t="e">
        <f t="shared" ref="AP42" si="290">+IF(AL40&lt;0,1-AP40/AL40,AP40/AL40-1)</f>
        <v>#DIV/0!</v>
      </c>
      <c r="AQ42" s="39" t="e">
        <f t="shared" ref="AQ42" si="291">+IF(AM40&lt;0,1-AQ40/AM40,AQ40/AM40-1)</f>
        <v>#DIV/0!</v>
      </c>
      <c r="AR42" s="39" t="e">
        <f t="shared" ref="AR42" si="292">+IF(AN40&lt;0,1-AR40/AN40,AR40/AN40-1)</f>
        <v>#DIV/0!</v>
      </c>
      <c r="AS42" s="39" t="e">
        <f t="shared" ref="AS42" si="293">+IF(AO40&lt;0,1-AS40/AO40,AS40/AO40-1)</f>
        <v>#DIV/0!</v>
      </c>
      <c r="AT42" s="39" t="e">
        <f t="shared" ref="AT42" si="294">+IF(AP40&lt;0,1-AT40/AP40,AT40/AP40-1)</f>
        <v>#DIV/0!</v>
      </c>
      <c r="AU42" s="39" t="e">
        <f t="shared" ref="AU42" si="295">+IF(AQ40&lt;0,1-AU40/AQ40,AU40/AQ40-1)</f>
        <v>#DIV/0!</v>
      </c>
      <c r="AV42" s="39" t="e">
        <f t="shared" ref="AV42" si="296">+IF(AR40&lt;0,1-AV40/AR40,AV40/AR40-1)</f>
        <v>#DIV/0!</v>
      </c>
      <c r="AW42" s="39" t="e">
        <f t="shared" ref="AW42" si="297">+IF(AS40&lt;0,1-AW40/AS40,AW40/AS40-1)</f>
        <v>#DIV/0!</v>
      </c>
      <c r="AX42" s="39" t="e">
        <f t="shared" ref="AX42" si="298">+IF(AT40&lt;0,1-AX40/AT40,AX40/AT40-1)</f>
        <v>#DIV/0!</v>
      </c>
      <c r="AY42" s="39" t="e">
        <f t="shared" ref="AY42" si="299">+IF(AU40&lt;0,1-AY40/AU40,AY40/AU40-1)</f>
        <v>#DIV/0!</v>
      </c>
      <c r="AZ42" s="39" t="e">
        <f t="shared" ref="AZ42" si="300">+IF(AV40&lt;0,1-AZ40/AV40,AZ40/AV40-1)</f>
        <v>#DIV/0!</v>
      </c>
      <c r="BA42" s="39" t="e">
        <f t="shared" ref="BA42" si="301">+IF(AW40&lt;0,1-BA40/AW40,BA40/AW40-1)</f>
        <v>#DIV/0!</v>
      </c>
      <c r="BB42" s="39" t="e">
        <f t="shared" ref="BB42" si="302">+IF(AX40&lt;0,1-BB40/AX40,BB40/AX40-1)</f>
        <v>#DIV/0!</v>
      </c>
      <c r="BC42" s="39" t="e">
        <f t="shared" ref="BC42" si="303">+IF(AY40&lt;0,1-BC40/AY40,BC40/AY40-1)</f>
        <v>#DIV/0!</v>
      </c>
      <c r="BD42" s="39" t="e">
        <f t="shared" ref="BD42" si="304">+IF(AZ40&lt;0,1-BD40/AZ40,BD40/AZ40-1)</f>
        <v>#DIV/0!</v>
      </c>
      <c r="BE42" s="39" t="e">
        <f t="shared" ref="BE42" si="305">+IF(BA40&lt;0,1-BE40/BA40,BE40/BA40-1)</f>
        <v>#DIV/0!</v>
      </c>
      <c r="BF42" s="39" t="e">
        <f t="shared" ref="BF42" si="306">+IF(BB40&lt;0,1-BF40/BB40,BF40/BB40-1)</f>
        <v>#DIV/0!</v>
      </c>
      <c r="BG42" s="39" t="e">
        <f t="shared" ref="BG42" si="307">+IF(BC40&lt;0,1-BG40/BC40,BG40/BC40-1)</f>
        <v>#DIV/0!</v>
      </c>
      <c r="BH42" s="39" t="e">
        <f t="shared" ref="BH42" si="308">+IF(BD40&lt;0,1-BH40/BD40,BH40/BD40-1)</f>
        <v>#DIV/0!</v>
      </c>
      <c r="BI42" s="39" t="e">
        <f t="shared" ref="BI42" si="309">+IF(BE40&lt;0,1-BI40/BE40,BI40/BE40-1)</f>
        <v>#DIV/0!</v>
      </c>
      <c r="BJ42" s="39" t="e">
        <f t="shared" ref="BJ42" si="310">+IF(BF40&lt;0,1-BJ40/BF40,BJ40/BF40-1)</f>
        <v>#DIV/0!</v>
      </c>
      <c r="BK42" s="39" t="e">
        <f t="shared" ref="BK42" si="311">+IF(BG40&lt;0,1-BK40/BG40,BK40/BG40-1)</f>
        <v>#DIV/0!</v>
      </c>
      <c r="BL42" s="39" t="e">
        <f t="shared" ref="BL42" si="312">+IF(BH40&lt;0,1-BL40/BH40,BL40/BH40-1)</f>
        <v>#DIV/0!</v>
      </c>
      <c r="BM42" s="39" t="e">
        <f t="shared" ref="BM42" si="313">+IF(BI40&lt;0,1-BM40/BI40,BM40/BI40-1)</f>
        <v>#DIV/0!</v>
      </c>
      <c r="BN42" s="39" t="e">
        <f t="shared" ref="BN42" si="314">+IF(BJ40&lt;0,1-BN40/BJ40,BN40/BJ40-1)</f>
        <v>#DIV/0!</v>
      </c>
      <c r="BO42" s="39" t="e">
        <f t="shared" ref="BO42" si="315">+IF(BK40&lt;0,1-BO40/BK40,BO40/BK40-1)</f>
        <v>#DIV/0!</v>
      </c>
      <c r="BP42" s="39" t="e">
        <f t="shared" ref="BP42" si="316">+IF(BL40&lt;0,1-BP40/BL40,BP40/BL40-1)</f>
        <v>#DIV/0!</v>
      </c>
      <c r="BQ42" s="39" t="e">
        <f t="shared" ref="BQ42" si="317">+IF(BM40&lt;0,1-BQ40/BM40,BQ40/BM40-1)</f>
        <v>#DIV/0!</v>
      </c>
      <c r="BR42" s="39" t="e">
        <f t="shared" ref="BR42" si="318">+IF(BN40&lt;0,1-BR40/BN40,BR40/BN40-1)</f>
        <v>#DIV/0!</v>
      </c>
      <c r="BS42" s="39" t="e">
        <f t="shared" ref="BS42" si="319">+IF(BO40&lt;0,1-BS40/BO40,BS40/BO40-1)</f>
        <v>#DIV/0!</v>
      </c>
      <c r="BT42" s="39" t="e">
        <f t="shared" ref="BT42" si="320">+IF(BP40&lt;0,1-BT40/BP40,BT40/BP40-1)</f>
        <v>#DIV/0!</v>
      </c>
      <c r="BU42" s="39">
        <f t="shared" ref="BU42" si="321">+IF(BQ40&lt;0,1-BU40/BQ40,BU40/BQ40-1)</f>
        <v>1.116563541170871</v>
      </c>
      <c r="BV42" s="39">
        <f t="shared" ref="BV42" si="322">+IF(BR40&lt;0,1-BV40/BR40,BV40/BR40-1)</f>
        <v>2.1598371964679903</v>
      </c>
      <c r="BW42" s="39">
        <f t="shared" ref="BW42" si="323">+IF(BS40&lt;0,1-BW40/BS40,BW40/BS40-1)</f>
        <v>0.28163894448662186</v>
      </c>
      <c r="BX42" s="39">
        <f t="shared" ref="BX42" si="324">+IF(BT40&lt;0,1-BX40/BT40,BX40/BT40-1)</f>
        <v>0.3894882116158711</v>
      </c>
      <c r="BY42" s="39">
        <f t="shared" ref="BY42" si="325">+IF(BU40&lt;0,1-BY40/BU40,BY40/BU40-1)</f>
        <v>0.38786570419843081</v>
      </c>
      <c r="BZ42" s="39">
        <f t="shared" ref="BZ42" si="326">+IF(BV40&lt;0,1-BZ40/BV40,BZ40/BV40-1)</f>
        <v>0.32784630498853873</v>
      </c>
      <c r="CA42" s="39">
        <f t="shared" ref="CA42" si="327">+IF(BW40&lt;0,1-CA40/BW40,CA40/BW40-1)</f>
        <v>0.31677107828178586</v>
      </c>
      <c r="CB42" s="39">
        <f t="shared" ref="CB42" si="328">+IF(BX40&lt;0,1-CB40/BX40,CB40/BX40-1)</f>
        <v>0.28239637134154427</v>
      </c>
      <c r="CC42" s="39">
        <f t="shared" ref="CC42" si="329">+IF(BY40&lt;0,1-CC40/BY40,CC40/BY40-1)</f>
        <v>0.29346857429881545</v>
      </c>
      <c r="CD42" s="39">
        <f t="shared" ref="CD42" si="330">+IF(BZ40&lt;0,1-CD40/BZ40,CD40/BZ40-1)</f>
        <v>0.20247607773502985</v>
      </c>
      <c r="CE42" s="39">
        <f t="shared" ref="CE42" si="331">+IF(CA40&lt;0,1-CE40/CA40,CE40/CA40-1)</f>
        <v>0.33914062926004696</v>
      </c>
      <c r="CF42" s="39">
        <f t="shared" ref="CF42" si="332">+IF(CB40&lt;0,1-CF40/CB40,CF40/CB40-1)</f>
        <v>0.34404327003756463</v>
      </c>
      <c r="CG42" s="39">
        <f t="shared" ref="CG42" si="333">+IF(CC40&lt;0,1-CG40/CC40,CG40/CC40-1)</f>
        <v>0.34122937779503659</v>
      </c>
      <c r="CH42" s="39">
        <f t="shared" ref="CH42:CL42" si="334">+IF(CD40&lt;0,1-CH40/CD40,CH40/CD40-1)</f>
        <v>0.24206625921216385</v>
      </c>
      <c r="CI42" s="39">
        <f t="shared" si="334"/>
        <v>0.30075126738196523</v>
      </c>
      <c r="CJ42" s="39">
        <f t="shared" si="334"/>
        <v>0.32033538547239204</v>
      </c>
      <c r="CK42" s="39">
        <f t="shared" si="334"/>
        <v>0.22751683493821773</v>
      </c>
      <c r="CL42" s="39">
        <f t="shared" si="334"/>
        <v>-6.6588875067425835E-2</v>
      </c>
      <c r="CM42" s="40">
        <f t="shared" ref="CM42" si="335">+CM40/CI40-1</f>
        <v>0.12955976332101815</v>
      </c>
      <c r="CN42" s="40">
        <f t="shared" ref="CN42" si="336">+CN40/CJ40-1</f>
        <v>0.14586518806213622</v>
      </c>
      <c r="CO42" s="40">
        <f t="shared" ref="CO42" si="337">+CO40/CK40-1</f>
        <v>0.128090475040741</v>
      </c>
      <c r="CP42" s="40">
        <f t="shared" ref="CP42" si="338">+CP40/CL40-1</f>
        <v>0.67145516704638752</v>
      </c>
      <c r="CQ42" s="40">
        <f t="shared" ref="CQ42" si="339">+CQ40/CM40-1</f>
        <v>0.23976378325820402</v>
      </c>
      <c r="CR42" s="40">
        <f t="shared" ref="CR42" si="340">+CR40/CN40-1</f>
        <v>0.26006620901279964</v>
      </c>
      <c r="CS42" s="40">
        <f t="shared" ref="CS42" si="341">+CS40/CO40-1</f>
        <v>0.29358402396625194</v>
      </c>
      <c r="CT42" s="40">
        <f t="shared" ref="CT42" si="342">+CT40/CP40-1</f>
        <v>0.34315065781120246</v>
      </c>
      <c r="CU42" s="40">
        <f t="shared" ref="CU42" si="343">+CU40/CQ40-1</f>
        <v>0.28267465092550648</v>
      </c>
      <c r="CV42" s="40">
        <f t="shared" ref="CV42" si="344">+CV40/CR40-1</f>
        <v>0.2940619115939882</v>
      </c>
      <c r="CW42" s="40">
        <f t="shared" ref="CW42" si="345">+CW40/CS40-1</f>
        <v>0.30290020909014559</v>
      </c>
      <c r="CX42" s="40">
        <f t="shared" ref="CX42" si="346">+CX40/CT40-1</f>
        <v>0.30524371293312935</v>
      </c>
      <c r="CY42" s="40">
        <f t="shared" ref="CY42" si="347">+CY40/CU40-1</f>
        <v>0.29614451182271817</v>
      </c>
      <c r="CZ42" s="40">
        <f t="shared" ref="CZ42" si="348">+CZ40/CV40-1</f>
        <v>0.29956902599260093</v>
      </c>
      <c r="DA42" s="40">
        <f t="shared" ref="DA42" si="349">+DA40/CW40-1</f>
        <v>0.30095371072722465</v>
      </c>
      <c r="DB42" s="40">
        <f t="shared" ref="DB42" si="350">+DB40/CX40-1</f>
        <v>0.30046843939450429</v>
      </c>
      <c r="DE42" s="122"/>
      <c r="DF42" s="38">
        <v>0.20288214186765385</v>
      </c>
    </row>
    <row r="43" spans="1:110" s="38" customFormat="1" x14ac:dyDescent="0.2">
      <c r="A43" s="39" t="s">
        <v>450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40"/>
      <c r="AI43" s="39"/>
      <c r="AJ43" s="39" t="e">
        <f>+IF(AI40&lt;0,1-AJ40/AI40,AJ40/AI40-1)</f>
        <v>#DIV/0!</v>
      </c>
      <c r="AK43" s="39" t="e">
        <f t="shared" ref="AK43:AM43" si="351">+IF(AJ40&lt;0,1-AK40/AJ40,AK40/AJ40-1)</f>
        <v>#DIV/0!</v>
      </c>
      <c r="AL43" s="39" t="e">
        <f t="shared" si="351"/>
        <v>#DIV/0!</v>
      </c>
      <c r="AM43" s="39" t="e">
        <f t="shared" si="351"/>
        <v>#DIV/0!</v>
      </c>
      <c r="AN43" s="39" t="e">
        <f t="shared" ref="AN43" si="352">+IF(AM40&lt;0,1-AN40/AM40,AN40/AM40-1)</f>
        <v>#DIV/0!</v>
      </c>
      <c r="AO43" s="39" t="e">
        <f t="shared" ref="AO43" si="353">+IF(AN40&lt;0,1-AO40/AN40,AO40/AN40-1)</f>
        <v>#DIV/0!</v>
      </c>
      <c r="AP43" s="39" t="e">
        <f t="shared" ref="AP43" si="354">+IF(AO40&lt;0,1-AP40/AO40,AP40/AO40-1)</f>
        <v>#DIV/0!</v>
      </c>
      <c r="AQ43" s="39" t="e">
        <f t="shared" ref="AQ43" si="355">+IF(AP40&lt;0,1-AQ40/AP40,AQ40/AP40-1)</f>
        <v>#DIV/0!</v>
      </c>
      <c r="AR43" s="39" t="e">
        <f t="shared" ref="AR43" si="356">+IF(AQ40&lt;0,1-AR40/AQ40,AR40/AQ40-1)</f>
        <v>#DIV/0!</v>
      </c>
      <c r="AS43" s="39" t="e">
        <f t="shared" ref="AS43" si="357">+IF(AR40&lt;0,1-AS40/AR40,AS40/AR40-1)</f>
        <v>#DIV/0!</v>
      </c>
      <c r="AT43" s="39" t="e">
        <f t="shared" ref="AT43" si="358">+IF(AS40&lt;0,1-AT40/AS40,AT40/AS40-1)</f>
        <v>#DIV/0!</v>
      </c>
      <c r="AU43" s="39" t="e">
        <f t="shared" ref="AU43" si="359">+IF(AT40&lt;0,1-AU40/AT40,AU40/AT40-1)</f>
        <v>#DIV/0!</v>
      </c>
      <c r="AV43" s="39" t="e">
        <f t="shared" ref="AV43" si="360">+IF(AU40&lt;0,1-AV40/AU40,AV40/AU40-1)</f>
        <v>#DIV/0!</v>
      </c>
      <c r="AW43" s="39" t="e">
        <f t="shared" ref="AW43" si="361">+IF(AV40&lt;0,1-AW40/AV40,AW40/AV40-1)</f>
        <v>#DIV/0!</v>
      </c>
      <c r="AX43" s="39" t="e">
        <f t="shared" ref="AX43" si="362">+IF(AW40&lt;0,1-AX40/AW40,AX40/AW40-1)</f>
        <v>#DIV/0!</v>
      </c>
      <c r="AY43" s="39" t="e">
        <f t="shared" ref="AY43" si="363">+IF(AX40&lt;0,1-AY40/AX40,AY40/AX40-1)</f>
        <v>#DIV/0!</v>
      </c>
      <c r="AZ43" s="39" t="e">
        <f t="shared" ref="AZ43" si="364">+IF(AY40&lt;0,1-AZ40/AY40,AZ40/AY40-1)</f>
        <v>#DIV/0!</v>
      </c>
      <c r="BA43" s="39" t="e">
        <f t="shared" ref="BA43" si="365">+IF(AZ40&lt;0,1-BA40/AZ40,BA40/AZ40-1)</f>
        <v>#DIV/0!</v>
      </c>
      <c r="BB43" s="39" t="e">
        <f t="shared" ref="BB43" si="366">+IF(BA40&lt;0,1-BB40/BA40,BB40/BA40-1)</f>
        <v>#DIV/0!</v>
      </c>
      <c r="BC43" s="39" t="e">
        <f t="shared" ref="BC43" si="367">+IF(BB40&lt;0,1-BC40/BB40,BC40/BB40-1)</f>
        <v>#DIV/0!</v>
      </c>
      <c r="BD43" s="39" t="e">
        <f t="shared" ref="BD43" si="368">+IF(BC40&lt;0,1-BD40/BC40,BD40/BC40-1)</f>
        <v>#DIV/0!</v>
      </c>
      <c r="BE43" s="39" t="e">
        <f t="shared" ref="BE43" si="369">+IF(BD40&lt;0,1-BE40/BD40,BE40/BD40-1)</f>
        <v>#DIV/0!</v>
      </c>
      <c r="BF43" s="39" t="e">
        <f t="shared" ref="BF43" si="370">+IF(BE40&lt;0,1-BF40/BE40,BF40/BE40-1)</f>
        <v>#DIV/0!</v>
      </c>
      <c r="BG43" s="39" t="e">
        <f t="shared" ref="BG43" si="371">+IF(BF40&lt;0,1-BG40/BF40,BG40/BF40-1)</f>
        <v>#DIV/0!</v>
      </c>
      <c r="BH43" s="39" t="e">
        <f t="shared" ref="BH43" si="372">+IF(BG40&lt;0,1-BH40/BG40,BH40/BG40-1)</f>
        <v>#DIV/0!</v>
      </c>
      <c r="BI43" s="39" t="e">
        <f t="shared" ref="BI43" si="373">+IF(BH40&lt;0,1-BI40/BH40,BI40/BH40-1)</f>
        <v>#DIV/0!</v>
      </c>
      <c r="BJ43" s="39" t="e">
        <f t="shared" ref="BJ43" si="374">+IF(BI40&lt;0,1-BJ40/BI40,BJ40/BI40-1)</f>
        <v>#DIV/0!</v>
      </c>
      <c r="BK43" s="39" t="e">
        <f t="shared" ref="BK43" si="375">+IF(BJ40&lt;0,1-BK40/BJ40,BK40/BJ40-1)</f>
        <v>#DIV/0!</v>
      </c>
      <c r="BL43" s="39" t="e">
        <f t="shared" ref="BL43" si="376">+IF(BK40&lt;0,1-BL40/BK40,BL40/BK40-1)</f>
        <v>#DIV/0!</v>
      </c>
      <c r="BM43" s="39" t="e">
        <f t="shared" ref="BM43" si="377">+IF(BL40&lt;0,1-BM40/BL40,BM40/BL40-1)</f>
        <v>#DIV/0!</v>
      </c>
      <c r="BN43" s="39" t="e">
        <f t="shared" ref="BN43" si="378">+IF(BM40&lt;0,1-BN40/BM40,BN40/BM40-1)</f>
        <v>#DIV/0!</v>
      </c>
      <c r="BO43" s="39" t="e">
        <f t="shared" ref="BO43" si="379">+IF(BN40&lt;0,1-BO40/BN40,BO40/BN40-1)</f>
        <v>#DIV/0!</v>
      </c>
      <c r="BP43" s="39" t="e">
        <f t="shared" ref="BP43" si="380">+IF(BO40&lt;0,1-BP40/BO40,BP40/BO40-1)</f>
        <v>#DIV/0!</v>
      </c>
      <c r="BQ43" s="39" t="e">
        <f t="shared" ref="BQ43" si="381">+IF(BP40&lt;0,1-BQ40/BP40,BQ40/BP40-1)</f>
        <v>#DIV/0!</v>
      </c>
      <c r="BR43" s="39">
        <f t="shared" ref="BR43" si="382">+IF(BQ40&lt;0,1-BR40/BQ40,BR40/BQ40-1)</f>
        <v>-0.31004283674440725</v>
      </c>
      <c r="BS43" s="39">
        <f t="shared" ref="BS43" si="383">+IF(BR40&lt;0,1-BS40/BR40,BS40/BR40-1)</f>
        <v>1.9985513245033113</v>
      </c>
      <c r="BT43" s="39">
        <f t="shared" ref="BT43" si="384">+IF(BS40&lt;0,1-BT40/BS40,BT40/BS40-1)</f>
        <v>1.8404766834589914E-4</v>
      </c>
      <c r="BU43" s="39">
        <f t="shared" ref="BU43" si="385">+IF(BT40&lt;0,1-BU40/BT40,BU40/BT40-1)</f>
        <v>2.2863714778608379E-2</v>
      </c>
      <c r="BV43" s="39">
        <f t="shared" ref="BV43" si="386">+IF(BU40&lt;0,1-BV40/BU40,BV40/BU40-1)</f>
        <v>3.0043401020935834E-2</v>
      </c>
      <c r="BW43" s="39">
        <f t="shared" ref="BW43" si="387">+IF(BV40&lt;0,1-BW40/BV40,BW40/BV40-1)</f>
        <v>0.21622093657897645</v>
      </c>
      <c r="BX43" s="39">
        <f t="shared" ref="BX43" si="388">+IF(BW40&lt;0,1-BX40/BW40,BX40/BW40-1)</f>
        <v>8.4349027984705893E-2</v>
      </c>
      <c r="BY43" s="39">
        <f t="shared" ref="BY43" si="389">+IF(BX40&lt;0,1-BY40/BX40,BY40/BX40-1)</f>
        <v>2.1669315322474292E-2</v>
      </c>
      <c r="BZ43" s="39">
        <f t="shared" ref="BZ43" si="390">+IF(BY40&lt;0,1-BZ40/BY40,BZ40/BY40-1)</f>
        <v>-1.4501677009576164E-2</v>
      </c>
      <c r="CA43" s="39">
        <f t="shared" ref="CA43" si="391">+IF(BZ40&lt;0,1-CA40/BZ40,CA40/BZ40-1)</f>
        <v>0.20607674854493441</v>
      </c>
      <c r="CB43" s="39">
        <f t="shared" ref="CB43" si="392">+IF(CA40&lt;0,1-CB40/CA40,CB40/CA40-1)</f>
        <v>5.6041768907791889E-2</v>
      </c>
      <c r="CC43" s="39">
        <f t="shared" ref="CC43" si="393">+IF(CB40&lt;0,1-CC40/CB40,CC40/CB40-1)</f>
        <v>3.0490402364878211E-2</v>
      </c>
      <c r="CD43" s="39">
        <f t="shared" ref="CD43" si="394">+IF(CC40&lt;0,1-CD40/CC40,CD40/CC40-1)</f>
        <v>-8.382918488268698E-2</v>
      </c>
      <c r="CE43" s="39">
        <f t="shared" ref="CE43" si="395">+IF(CD40&lt;0,1-CE40/CD40,CE40/CD40-1)</f>
        <v>0.34315052572569327</v>
      </c>
      <c r="CF43" s="39">
        <f t="shared" ref="CF43" si="396">+IF(CE40&lt;0,1-CF40/CE40,CF40/CE40-1)</f>
        <v>5.9907974835596622E-2</v>
      </c>
      <c r="CG43" s="39">
        <f t="shared" ref="CG43" si="397">+IF(CF40&lt;0,1-CG40/CF40,CG40/CF40-1)</f>
        <v>2.8332965164859392E-2</v>
      </c>
      <c r="CH43" s="39">
        <f t="shared" ref="CH43:CI43" si="398">+IF(CG40&lt;0,1-CH40/CG40,CH40/CG40-1)</f>
        <v>-0.15156581270022118</v>
      </c>
      <c r="CI43" s="39">
        <f t="shared" si="398"/>
        <v>0.40661155205248711</v>
      </c>
      <c r="CJ43" s="39">
        <f>+IF(CI40&gt;1,CJ40/CI40-1,1-CJ40/CI40)</f>
        <v>7.5865955015730346E-2</v>
      </c>
      <c r="CK43" s="39">
        <f>+IF(CJ40&gt;1,CK40/CJ40-1,1-CK40/CJ40)</f>
        <v>-4.3958042364990346E-2</v>
      </c>
      <c r="CL43" s="39">
        <f>+IF(CK40&gt;1,CL40/CK40-1,1-CL40/CK40)</f>
        <v>-0.35484558202527638</v>
      </c>
      <c r="CM43" s="40">
        <f t="shared" ref="CM43" si="399">+CM40/CL40-1</f>
        <v>0.70219935179772963</v>
      </c>
      <c r="CN43" s="40">
        <f t="shared" ref="CN43" si="400">+CN40/CM40-1</f>
        <v>9.1396298721904357E-2</v>
      </c>
      <c r="CO43" s="40">
        <f t="shared" ref="CO43" si="401">+CO40/CN40-1</f>
        <v>-5.8788208784579354E-2</v>
      </c>
      <c r="CP43" s="40">
        <f t="shared" ref="CP43" si="402">+CP40/CO40-1</f>
        <v>-4.4095567398783286E-2</v>
      </c>
      <c r="CQ43" s="40">
        <f t="shared" ref="CQ43" si="403">+CQ40/CP40-1</f>
        <v>0.26256758173989869</v>
      </c>
      <c r="CR43" s="40">
        <f t="shared" ref="CR43" si="404">+CR40/CQ40-1</f>
        <v>0.10926905208255588</v>
      </c>
      <c r="CS43" s="40">
        <f t="shared" ref="CS43" si="405">+CS40/CR40-1</f>
        <v>-3.3751934956808394E-2</v>
      </c>
      <c r="CT43" s="40">
        <f t="shared" ref="CT43" si="406">+CT40/CS40-1</f>
        <v>-7.4679002943031092E-3</v>
      </c>
      <c r="CU43" s="40">
        <f t="shared" ref="CU43" si="407">+CU40/CT40-1</f>
        <v>0.20571986676249865</v>
      </c>
      <c r="CV43" s="40">
        <f t="shared" ref="CV43" si="408">+CV40/CU40-1</f>
        <v>0.11911686176557224</v>
      </c>
      <c r="CW43" s="40">
        <f t="shared" ref="CW43" si="409">+CW40/CV40-1</f>
        <v>-2.7152569209756172E-2</v>
      </c>
      <c r="CX43" s="40">
        <f t="shared" ref="CX43" si="410">+CX40/CW40-1</f>
        <v>-5.6826501471952673E-3</v>
      </c>
      <c r="CY43" s="40">
        <f t="shared" ref="CY43" si="411">+CY40/CX40-1</f>
        <v>0.19731447285653125</v>
      </c>
      <c r="CZ43" s="40">
        <f t="shared" ref="CZ43" si="412">+CZ40/CY40-1</f>
        <v>0.12207365517549973</v>
      </c>
      <c r="DA43" s="40">
        <f t="shared" ref="DA43" si="413">+DA40/CZ40-1</f>
        <v>-2.61160048106438E-2</v>
      </c>
      <c r="DB43" s="40">
        <f t="shared" ref="DB43" si="414">+DB40/DA40-1</f>
        <v>-6.0535424406962246E-3</v>
      </c>
      <c r="DE43" s="122"/>
    </row>
    <row r="44" spans="1:110" s="23" customFormat="1" x14ac:dyDescent="0.2">
      <c r="A44" s="23" t="s">
        <v>15</v>
      </c>
      <c r="B44" s="23">
        <f>'Annual Raw'!C27</f>
        <v>0</v>
      </c>
      <c r="C44" s="23">
        <f>'Annual Raw'!D27</f>
        <v>0</v>
      </c>
      <c r="D44" s="23">
        <f>'Annual Raw'!E27</f>
        <v>0</v>
      </c>
      <c r="E44" s="23">
        <f>'Annual Raw'!F27</f>
        <v>0</v>
      </c>
      <c r="F44" s="23">
        <f>'Annual Raw'!G27</f>
        <v>0</v>
      </c>
      <c r="G44" s="23">
        <f>'Annual Raw'!H27</f>
        <v>0</v>
      </c>
      <c r="H44" s="23">
        <f>'Annual Raw'!I27</f>
        <v>0</v>
      </c>
      <c r="I44" s="23">
        <f>'Annual Raw'!J27</f>
        <v>0</v>
      </c>
      <c r="J44" s="23">
        <f>'Annual Raw'!K27</f>
        <v>7.2963999999999998E-3</v>
      </c>
      <c r="K44" s="23">
        <f>'Annual Raw'!L27</f>
        <v>0</v>
      </c>
      <c r="L44" s="23">
        <f>'Annual Raw'!M27</f>
        <v>0</v>
      </c>
      <c r="M44" s="23">
        <f>'Annual Raw'!N27</f>
        <v>0</v>
      </c>
      <c r="N44" s="23">
        <f>'Annual Raw'!O27</f>
        <v>0</v>
      </c>
      <c r="O44" s="23">
        <f>'Annual Raw'!P27</f>
        <v>0</v>
      </c>
      <c r="P44" s="23">
        <f>'Annual Raw'!Q27</f>
        <v>0</v>
      </c>
      <c r="Q44" s="23">
        <f>'Annual Raw'!R27</f>
        <v>0</v>
      </c>
      <c r="R44" s="23">
        <f>'Annual Raw'!S27</f>
        <v>1.034</v>
      </c>
      <c r="S44" s="23">
        <f>'Annual Raw'!T27</f>
        <v>5.18</v>
      </c>
      <c r="T44" s="23">
        <f>'Annual Raw'!U27</f>
        <v>16.268999999999998</v>
      </c>
      <c r="U44" s="23">
        <f>'Annual Raw'!V27</f>
        <v>21.047999999999998</v>
      </c>
      <c r="V44" s="23">
        <f>'Annual Raw'!W27</f>
        <v>17.728999999999999</v>
      </c>
      <c r="W44" s="23">
        <f>'Annual Raw'!X27</f>
        <v>15.650700000000001</v>
      </c>
      <c r="X44" s="23">
        <f>'Annual Raw'!Y27</f>
        <v>16.612200000000001</v>
      </c>
      <c r="Y44" s="23">
        <f>'Annual Raw'!Z27</f>
        <v>19.357500000000002</v>
      </c>
      <c r="Z44" s="23">
        <f>'Annual Raw'!AA27</f>
        <v>25.450399999999998</v>
      </c>
      <c r="AA44" s="23">
        <f>'Annual Raw'!AB27</f>
        <v>34.139299999999999</v>
      </c>
      <c r="AB44" s="76">
        <f>+SUM(CM44:CP44)</f>
        <v>35.483962961133258</v>
      </c>
      <c r="AC44" s="76">
        <f>+SUM(CQ44:CT44)</f>
        <v>25.63029436073824</v>
      </c>
      <c r="AD44" s="76">
        <f>+SUM(CU44:CX44)</f>
        <v>18.512926240443534</v>
      </c>
      <c r="AE44" s="76">
        <f>+SUM(CY44:DB44)</f>
        <v>13.372005532215478</v>
      </c>
      <c r="AI44" s="23">
        <f>'QTR Raw'!C28</f>
        <v>0</v>
      </c>
      <c r="AJ44" s="23">
        <f>'QTR Raw'!D28</f>
        <v>0</v>
      </c>
      <c r="AK44" s="23">
        <f>'QTR Raw'!E28</f>
        <v>0</v>
      </c>
      <c r="AL44" s="23">
        <f>'QTR Raw'!F28</f>
        <v>0</v>
      </c>
      <c r="AM44" s="23">
        <f>'QTR Raw'!G28</f>
        <v>0</v>
      </c>
      <c r="AN44" s="23">
        <f>'QTR Raw'!H28</f>
        <v>0</v>
      </c>
      <c r="AO44" s="23">
        <f>'QTR Raw'!I28</f>
        <v>0</v>
      </c>
      <c r="AP44" s="23">
        <f>'QTR Raw'!J28</f>
        <v>0</v>
      </c>
      <c r="AQ44" s="23">
        <f>'QTR Raw'!K28</f>
        <v>0</v>
      </c>
      <c r="AR44" s="23">
        <f>'QTR Raw'!L28</f>
        <v>0</v>
      </c>
      <c r="AS44" s="23">
        <f>'QTR Raw'!M28</f>
        <v>0</v>
      </c>
      <c r="AT44" s="23">
        <f>'QTR Raw'!N28</f>
        <v>0</v>
      </c>
      <c r="AU44" s="23">
        <f>'QTR Raw'!O28</f>
        <v>0</v>
      </c>
      <c r="AV44" s="23">
        <f>'QTR Raw'!P28</f>
        <v>0</v>
      </c>
      <c r="AW44" s="23">
        <f>'QTR Raw'!Q28</f>
        <v>0</v>
      </c>
      <c r="AX44" s="23">
        <f>'QTR Raw'!R28</f>
        <v>0</v>
      </c>
      <c r="AY44" s="23">
        <f>'QTR Raw'!S28</f>
        <v>0</v>
      </c>
      <c r="AZ44" s="23">
        <f>'QTR Raw'!T28</f>
        <v>0</v>
      </c>
      <c r="BA44" s="23">
        <f>'QTR Raw'!U28</f>
        <v>0</v>
      </c>
      <c r="BB44" s="23">
        <f>'QTR Raw'!V28</f>
        <v>0</v>
      </c>
      <c r="BC44" s="23">
        <f>'QTR Raw'!W28</f>
        <v>0</v>
      </c>
      <c r="BD44" s="23">
        <f>'QTR Raw'!X28</f>
        <v>0</v>
      </c>
      <c r="BE44" s="23">
        <f>'QTR Raw'!Y28</f>
        <v>0</v>
      </c>
      <c r="BF44" s="23">
        <f>'QTR Raw'!Z28</f>
        <v>0</v>
      </c>
      <c r="BG44" s="23">
        <f>'QTR Raw'!AA28</f>
        <v>0</v>
      </c>
      <c r="BH44" s="23">
        <f>'QTR Raw'!AB28</f>
        <v>0</v>
      </c>
      <c r="BI44" s="23">
        <f>'QTR Raw'!AC28</f>
        <v>0</v>
      </c>
      <c r="BJ44" s="23">
        <f>'QTR Raw'!AD28</f>
        <v>0</v>
      </c>
      <c r="BK44" s="23">
        <f>'QTR Raw'!AE28</f>
        <v>0</v>
      </c>
      <c r="BL44" s="23">
        <f>'QTR Raw'!AF28</f>
        <v>0</v>
      </c>
      <c r="BM44" s="23">
        <f>'QTR Raw'!AG28</f>
        <v>0</v>
      </c>
      <c r="BN44" s="23">
        <f>'QTR Raw'!AH28</f>
        <v>0</v>
      </c>
      <c r="BO44" s="23">
        <f>'QTR Raw'!AI28</f>
        <v>0</v>
      </c>
      <c r="BP44" s="23">
        <f>'QTR Raw'!AJ28</f>
        <v>0</v>
      </c>
      <c r="BQ44" s="23">
        <f>'QTR Raw'!AK28</f>
        <v>4.327</v>
      </c>
      <c r="BR44" s="23">
        <f>'QTR Raw'!AL28</f>
        <v>4.0129999999999999</v>
      </c>
      <c r="BS44" s="23">
        <f>'QTR Raw'!AM28</f>
        <v>4.0579999999999998</v>
      </c>
      <c r="BT44" s="23">
        <f>'QTR Raw'!AN28</f>
        <v>4.0369999999999999</v>
      </c>
      <c r="BU44" s="23">
        <f>'QTR Raw'!AO28</f>
        <v>4.2439999999999998</v>
      </c>
      <c r="BV44" s="23">
        <f>'QTR Raw'!AP28</f>
        <v>3.3119999999999998</v>
      </c>
      <c r="BW44" s="23">
        <f>'QTR Raw'!AQ28</f>
        <v>3.827</v>
      </c>
      <c r="BX44" s="23">
        <f>'QTR Raw'!AR28</f>
        <v>4.0810000000000004</v>
      </c>
      <c r="BY44" s="23">
        <f>'QTR Raw'!AS28</f>
        <v>4.3940000000000001</v>
      </c>
      <c r="BZ44" s="23">
        <f>'QTR Raw'!AT28</f>
        <v>4.3109999999999999</v>
      </c>
      <c r="CA44" s="23">
        <f>'QTR Raw'!AU28</f>
        <v>4.5119999999999996</v>
      </c>
      <c r="CB44" s="23">
        <f>'QTR Raw'!AV28</f>
        <v>4.6130000000000004</v>
      </c>
      <c r="CC44" s="23">
        <f>'QTR Raw'!AW28</f>
        <v>5.0199999999999996</v>
      </c>
      <c r="CD44" s="23">
        <f>'QTR Raw'!AX28</f>
        <v>5.2119999999999997</v>
      </c>
      <c r="CE44" s="23">
        <f>'QTR Raw'!AY28</f>
        <v>5.6660000000000004</v>
      </c>
      <c r="CF44" s="23">
        <f>'QTR Raw'!AZ28</f>
        <v>6.1310000000000002</v>
      </c>
      <c r="CG44" s="23">
        <f>'QTR Raw'!BA28</f>
        <v>6.5270000000000001</v>
      </c>
      <c r="CH44" s="23">
        <f>'QTR Raw'!BB28</f>
        <v>7.1260000000000003</v>
      </c>
      <c r="CI44" s="23">
        <f>'QTR Raw'!BC28</f>
        <v>7.6760000000000002</v>
      </c>
      <c r="CJ44" s="23">
        <f>'QTR Raw'!BD28</f>
        <v>8.3040000000000003</v>
      </c>
      <c r="CK44" s="23">
        <f>'QTR Raw'!BE28</f>
        <v>8.6379999999999999</v>
      </c>
      <c r="CL44" s="23">
        <f>'QTR Raw'!BF28</f>
        <v>9.5229999999999997</v>
      </c>
      <c r="CM44" s="24">
        <f t="shared" ref="CM44:DB44" si="415">CM45*CL146</f>
        <v>9.9806307557290737</v>
      </c>
      <c r="CN44" s="24">
        <f t="shared" si="415"/>
        <v>9.2010704902576439</v>
      </c>
      <c r="CO44" s="24">
        <f t="shared" si="415"/>
        <v>8.4823995836228807</v>
      </c>
      <c r="CP44" s="24">
        <f t="shared" si="415"/>
        <v>7.8198621315236645</v>
      </c>
      <c r="CQ44" s="24">
        <f t="shared" si="415"/>
        <v>7.209073700571909</v>
      </c>
      <c r="CR44" s="24">
        <f t="shared" si="415"/>
        <v>6.6459923136971337</v>
      </c>
      <c r="CS44" s="24">
        <f t="shared" si="415"/>
        <v>6.1268917018031557</v>
      </c>
      <c r="CT44" s="24">
        <f t="shared" si="415"/>
        <v>5.6483366446660401</v>
      </c>
      <c r="CU44" s="24">
        <f t="shared" si="415"/>
        <v>5.2071602378883073</v>
      </c>
      <c r="CV44" s="24">
        <f t="shared" si="415"/>
        <v>4.8004429354702829</v>
      </c>
      <c r="CW44" s="24">
        <f t="shared" si="415"/>
        <v>4.4254932293099234</v>
      </c>
      <c r="CX44" s="24">
        <f t="shared" si="415"/>
        <v>4.0798298377750211</v>
      </c>
      <c r="CY44" s="24">
        <f t="shared" si="415"/>
        <v>3.7611652854782127</v>
      </c>
      <c r="CZ44" s="24">
        <f t="shared" si="415"/>
        <v>3.4673907655916549</v>
      </c>
      <c r="DA44" s="24">
        <f t="shared" si="415"/>
        <v>3.1965621845256509</v>
      </c>
      <c r="DB44" s="24">
        <f t="shared" si="415"/>
        <v>2.9468872966199591</v>
      </c>
      <c r="DE44" s="123"/>
      <c r="DF44" s="23">
        <v>34.139299999999999</v>
      </c>
    </row>
    <row r="45" spans="1:110" s="46" customFormat="1" x14ac:dyDescent="0.2">
      <c r="A45" s="46" t="s">
        <v>483</v>
      </c>
      <c r="B45" s="46" t="e">
        <f t="shared" ref="B45:D45" si="416">+B44/B146</f>
        <v>#DIV/0!</v>
      </c>
      <c r="C45" s="46" t="e">
        <f t="shared" si="416"/>
        <v>#DIV/0!</v>
      </c>
      <c r="D45" s="46" t="e">
        <f t="shared" si="416"/>
        <v>#DIV/0!</v>
      </c>
      <c r="E45" s="46" t="e">
        <f t="shared" ref="E45:AE45" si="417">+E44/E146</f>
        <v>#DIV/0!</v>
      </c>
      <c r="F45" s="46" t="e">
        <f t="shared" si="417"/>
        <v>#DIV/0!</v>
      </c>
      <c r="G45" s="46" t="e">
        <f t="shared" si="417"/>
        <v>#DIV/0!</v>
      </c>
      <c r="H45" s="46" t="e">
        <f t="shared" si="417"/>
        <v>#DIV/0!</v>
      </c>
      <c r="I45" s="46" t="e">
        <f t="shared" si="417"/>
        <v>#DIV/0!</v>
      </c>
      <c r="J45" s="46" t="e">
        <f t="shared" si="417"/>
        <v>#DIV/0!</v>
      </c>
      <c r="K45" s="46" t="e">
        <f t="shared" si="417"/>
        <v>#DIV/0!</v>
      </c>
      <c r="L45" s="46" t="e">
        <f t="shared" si="417"/>
        <v>#DIV/0!</v>
      </c>
      <c r="M45" s="46" t="e">
        <f t="shared" si="417"/>
        <v>#DIV/0!</v>
      </c>
      <c r="N45" s="46" t="e">
        <f t="shared" si="417"/>
        <v>#DIV/0!</v>
      </c>
      <c r="O45" s="46" t="e">
        <f t="shared" si="417"/>
        <v>#DIV/0!</v>
      </c>
      <c r="P45" s="46" t="e">
        <f t="shared" si="417"/>
        <v>#DIV/0!</v>
      </c>
      <c r="Q45" s="46" t="e">
        <f t="shared" si="417"/>
        <v>#DIV/0!</v>
      </c>
      <c r="R45" s="46">
        <f t="shared" si="417"/>
        <v>0.22414914372425757</v>
      </c>
      <c r="S45" s="46">
        <f t="shared" si="417"/>
        <v>0.40649768500353139</v>
      </c>
      <c r="T45" s="46">
        <f t="shared" si="417"/>
        <v>0.36886137940416258</v>
      </c>
      <c r="U45" s="46">
        <f t="shared" si="417"/>
        <v>0.29517852635121861</v>
      </c>
      <c r="V45" s="46">
        <f t="shared" si="417"/>
        <v>0.33923634032700939</v>
      </c>
      <c r="W45" s="46">
        <f t="shared" si="417"/>
        <v>0.12928714340235503</v>
      </c>
      <c r="X45" s="46">
        <f t="shared" si="417"/>
        <v>0.12473185451929787</v>
      </c>
      <c r="Y45" s="46">
        <f t="shared" si="417"/>
        <v>0.12952639809218308</v>
      </c>
      <c r="Z45" s="46">
        <f t="shared" si="417"/>
        <v>0.1372335446355199</v>
      </c>
      <c r="AA45" s="46">
        <f t="shared" ref="AA45" si="418">+AA44/AA146</f>
        <v>0.18105703625722927</v>
      </c>
      <c r="AB45" s="110">
        <f t="shared" si="417"/>
        <v>0.38445397706744128</v>
      </c>
      <c r="AC45" s="110">
        <f t="shared" si="417"/>
        <v>0.38445397706744128</v>
      </c>
      <c r="AD45" s="110">
        <f t="shared" si="417"/>
        <v>0.38445397706744117</v>
      </c>
      <c r="AE45" s="110">
        <f t="shared" si="417"/>
        <v>0.38445397706744133</v>
      </c>
      <c r="AI45" s="46" t="e">
        <f t="shared" ref="AI45:BN45" si="419">+AI44/AH146</f>
        <v>#DIV/0!</v>
      </c>
      <c r="AJ45" s="46" t="e">
        <f t="shared" si="419"/>
        <v>#DIV/0!</v>
      </c>
      <c r="AK45" s="46" t="e">
        <f t="shared" si="419"/>
        <v>#DIV/0!</v>
      </c>
      <c r="AL45" s="46" t="e">
        <f t="shared" si="419"/>
        <v>#DIV/0!</v>
      </c>
      <c r="AM45" s="46" t="e">
        <f t="shared" si="419"/>
        <v>#DIV/0!</v>
      </c>
      <c r="AN45" s="46" t="e">
        <f t="shared" si="419"/>
        <v>#DIV/0!</v>
      </c>
      <c r="AO45" s="46" t="e">
        <f t="shared" si="419"/>
        <v>#DIV/0!</v>
      </c>
      <c r="AP45" s="46" t="e">
        <f t="shared" si="419"/>
        <v>#DIV/0!</v>
      </c>
      <c r="AQ45" s="46" t="e">
        <f t="shared" si="419"/>
        <v>#DIV/0!</v>
      </c>
      <c r="AR45" s="46" t="e">
        <f t="shared" si="419"/>
        <v>#DIV/0!</v>
      </c>
      <c r="AS45" s="46" t="e">
        <f t="shared" si="419"/>
        <v>#DIV/0!</v>
      </c>
      <c r="AT45" s="46" t="e">
        <f t="shared" si="419"/>
        <v>#DIV/0!</v>
      </c>
      <c r="AU45" s="46" t="e">
        <f t="shared" si="419"/>
        <v>#DIV/0!</v>
      </c>
      <c r="AV45" s="46" t="e">
        <f t="shared" si="419"/>
        <v>#DIV/0!</v>
      </c>
      <c r="AW45" s="46" t="e">
        <f t="shared" si="419"/>
        <v>#DIV/0!</v>
      </c>
      <c r="AX45" s="46" t="e">
        <f t="shared" si="419"/>
        <v>#DIV/0!</v>
      </c>
      <c r="AY45" s="46" t="e">
        <f t="shared" si="419"/>
        <v>#DIV/0!</v>
      </c>
      <c r="AZ45" s="46" t="e">
        <f t="shared" si="419"/>
        <v>#DIV/0!</v>
      </c>
      <c r="BA45" s="46" t="e">
        <f t="shared" si="419"/>
        <v>#DIV/0!</v>
      </c>
      <c r="BB45" s="46" t="e">
        <f t="shared" si="419"/>
        <v>#DIV/0!</v>
      </c>
      <c r="BC45" s="46" t="e">
        <f t="shared" si="419"/>
        <v>#DIV/0!</v>
      </c>
      <c r="BD45" s="46" t="e">
        <f t="shared" si="419"/>
        <v>#DIV/0!</v>
      </c>
      <c r="BE45" s="46" t="e">
        <f t="shared" si="419"/>
        <v>#DIV/0!</v>
      </c>
      <c r="BF45" s="46" t="e">
        <f t="shared" si="419"/>
        <v>#DIV/0!</v>
      </c>
      <c r="BG45" s="46" t="e">
        <f t="shared" si="419"/>
        <v>#DIV/0!</v>
      </c>
      <c r="BH45" s="46" t="e">
        <f t="shared" si="419"/>
        <v>#DIV/0!</v>
      </c>
      <c r="BI45" s="46" t="e">
        <f t="shared" si="419"/>
        <v>#DIV/0!</v>
      </c>
      <c r="BJ45" s="46" t="e">
        <f t="shared" si="419"/>
        <v>#DIV/0!</v>
      </c>
      <c r="BK45" s="46" t="e">
        <f t="shared" si="419"/>
        <v>#DIV/0!</v>
      </c>
      <c r="BL45" s="46" t="e">
        <f t="shared" si="419"/>
        <v>#DIV/0!</v>
      </c>
      <c r="BM45" s="46" t="e">
        <f t="shared" si="419"/>
        <v>#DIV/0!</v>
      </c>
      <c r="BN45" s="46" t="e">
        <f t="shared" si="419"/>
        <v>#DIV/0!</v>
      </c>
      <c r="BO45" s="46" t="e">
        <f t="shared" ref="BO45:CL45" si="420">+BO44/BN146</f>
        <v>#DIV/0!</v>
      </c>
      <c r="BP45" s="46" t="e">
        <f t="shared" si="420"/>
        <v>#DIV/0!</v>
      </c>
      <c r="BQ45" s="46" t="e">
        <f t="shared" si="420"/>
        <v>#DIV/0!</v>
      </c>
      <c r="BR45" s="46" t="e">
        <f t="shared" si="420"/>
        <v>#DIV/0!</v>
      </c>
      <c r="BS45" s="46">
        <f t="shared" si="420"/>
        <v>0.10314938613660049</v>
      </c>
      <c r="BT45" s="46">
        <f t="shared" si="420"/>
        <v>0.10261559187615972</v>
      </c>
      <c r="BU45" s="46" t="e">
        <f t="shared" si="420"/>
        <v>#DIV/0!</v>
      </c>
      <c r="BV45" s="46" t="e">
        <f t="shared" si="420"/>
        <v>#DIV/0!</v>
      </c>
      <c r="BW45" s="46">
        <f t="shared" si="420"/>
        <v>3.5472299721004387E-2</v>
      </c>
      <c r="BX45" s="46">
        <f t="shared" si="420"/>
        <v>3.782661488409169E-2</v>
      </c>
      <c r="BY45" s="46">
        <f t="shared" si="420"/>
        <v>3.7846683893195524E-2</v>
      </c>
      <c r="BZ45" s="46">
        <f t="shared" si="420"/>
        <v>3.7131782945736436E-2</v>
      </c>
      <c r="CA45" s="46">
        <f t="shared" si="420"/>
        <v>3.9331572478359784E-2</v>
      </c>
      <c r="CB45" s="46">
        <f t="shared" si="420"/>
        <v>4.0211999965131591E-2</v>
      </c>
      <c r="CC45" s="46">
        <f t="shared" si="420"/>
        <v>4.475230224742139E-2</v>
      </c>
      <c r="CD45" s="46">
        <f t="shared" si="420"/>
        <v>4.6463944086366595E-2</v>
      </c>
      <c r="CE45" s="46">
        <f t="shared" si="420"/>
        <v>5.2528623742641271E-2</v>
      </c>
      <c r="CF45" s="46">
        <f t="shared" si="420"/>
        <v>5.6839567978491636E-2</v>
      </c>
      <c r="CG45" s="46">
        <f t="shared" si="420"/>
        <v>6.1610345478572782E-2</v>
      </c>
      <c r="CH45" s="46">
        <f t="shared" si="420"/>
        <v>6.7264489333585059E-2</v>
      </c>
      <c r="CI45" s="46">
        <f t="shared" si="420"/>
        <v>4.1390496362424589E-2</v>
      </c>
      <c r="CJ45" s="46">
        <f t="shared" si="420"/>
        <v>4.6710151807993379E-2</v>
      </c>
      <c r="CK45" s="46">
        <f t="shared" si="420"/>
        <v>6.6161151960784315E-2</v>
      </c>
      <c r="CL45" s="46">
        <f t="shared" si="420"/>
        <v>7.8107314512557216E-2</v>
      </c>
      <c r="CM45" s="47">
        <f t="shared" ref="CM45" si="421">CL45</f>
        <v>7.8107314512557216E-2</v>
      </c>
      <c r="CN45" s="47">
        <f t="shared" ref="CN45" si="422">CM45</f>
        <v>7.8107314512557216E-2</v>
      </c>
      <c r="CO45" s="47">
        <f t="shared" ref="CO45" si="423">CN45</f>
        <v>7.8107314512557216E-2</v>
      </c>
      <c r="CP45" s="47">
        <f t="shared" ref="CP45" si="424">CO45</f>
        <v>7.8107314512557216E-2</v>
      </c>
      <c r="CQ45" s="47">
        <f t="shared" ref="CQ45" si="425">CP45</f>
        <v>7.8107314512557216E-2</v>
      </c>
      <c r="CR45" s="47">
        <f t="shared" ref="CR45" si="426">CQ45</f>
        <v>7.8107314512557216E-2</v>
      </c>
      <c r="CS45" s="47">
        <f t="shared" ref="CS45" si="427">CR45</f>
        <v>7.8107314512557216E-2</v>
      </c>
      <c r="CT45" s="47">
        <f t="shared" ref="CT45" si="428">CS45</f>
        <v>7.8107314512557216E-2</v>
      </c>
      <c r="CU45" s="47">
        <f t="shared" ref="CU45" si="429">CT45</f>
        <v>7.8107314512557216E-2</v>
      </c>
      <c r="CV45" s="47">
        <f t="shared" ref="CV45" si="430">CU45</f>
        <v>7.8107314512557216E-2</v>
      </c>
      <c r="CW45" s="47">
        <f t="shared" ref="CW45" si="431">CV45</f>
        <v>7.8107314512557216E-2</v>
      </c>
      <c r="CX45" s="47">
        <f t="shared" ref="CX45" si="432">CW45</f>
        <v>7.8107314512557216E-2</v>
      </c>
      <c r="CY45" s="47">
        <f t="shared" ref="CY45" si="433">CX45</f>
        <v>7.8107314512557216E-2</v>
      </c>
      <c r="CZ45" s="47">
        <f t="shared" ref="CZ45" si="434">CY45</f>
        <v>7.8107314512557216E-2</v>
      </c>
      <c r="DA45" s="47">
        <f t="shared" ref="DA45" si="435">CZ45</f>
        <v>7.8107314512557216E-2</v>
      </c>
      <c r="DB45" s="47">
        <f t="shared" ref="DB45" si="436">DA45</f>
        <v>7.8107314512557216E-2</v>
      </c>
      <c r="DE45" s="130"/>
      <c r="DF45" s="46">
        <v>0.18105703625722927</v>
      </c>
    </row>
    <row r="46" spans="1:110" s="26" customFormat="1" x14ac:dyDescent="0.2">
      <c r="A46" s="34" t="s">
        <v>16</v>
      </c>
      <c r="B46" s="26">
        <f>B40-B44</f>
        <v>0</v>
      </c>
      <c r="C46" s="26">
        <f t="shared" ref="C46:T46" si="437">C40-C44</f>
        <v>0</v>
      </c>
      <c r="D46" s="26">
        <f>D40-D44</f>
        <v>0</v>
      </c>
      <c r="E46" s="26">
        <f t="shared" si="437"/>
        <v>0</v>
      </c>
      <c r="F46" s="26">
        <f t="shared" si="437"/>
        <v>0</v>
      </c>
      <c r="G46" s="26">
        <f t="shared" si="437"/>
        <v>0</v>
      </c>
      <c r="H46" s="26">
        <f t="shared" si="437"/>
        <v>0</v>
      </c>
      <c r="I46" s="26">
        <f t="shared" si="437"/>
        <v>0</v>
      </c>
      <c r="J46" s="26">
        <f t="shared" si="437"/>
        <v>0.30802549999999984</v>
      </c>
      <c r="K46" s="26">
        <f t="shared" si="437"/>
        <v>7.1509999999999074E-3</v>
      </c>
      <c r="L46" s="26">
        <f t="shared" si="437"/>
        <v>0.37503939999999991</v>
      </c>
      <c r="M46" s="26">
        <f t="shared" si="437"/>
        <v>-0.27640790000000004</v>
      </c>
      <c r="N46" s="26">
        <f t="shared" si="437"/>
        <v>3.4475000000000477E-3</v>
      </c>
      <c r="O46" s="26">
        <f t="shared" si="437"/>
        <v>-0.19333939999999994</v>
      </c>
      <c r="P46" s="26">
        <f t="shared" si="437"/>
        <v>-8.8880600000000004E-2</v>
      </c>
      <c r="Q46" s="26">
        <f t="shared" si="437"/>
        <v>-5.0000000000000044E-2</v>
      </c>
      <c r="R46" s="26">
        <f t="shared" si="437"/>
        <v>-1.9569999999999876</v>
      </c>
      <c r="S46" s="26">
        <f t="shared" si="437"/>
        <v>73.345999999999975</v>
      </c>
      <c r="T46" s="26">
        <f t="shared" si="437"/>
        <v>81.60899999999998</v>
      </c>
      <c r="U46" s="26">
        <f t="shared" ref="U46:Z46" si="438">U40-U44</f>
        <v>85.669999999999987</v>
      </c>
      <c r="V46" s="26">
        <f t="shared" si="438"/>
        <v>51.854200000000006</v>
      </c>
      <c r="W46" s="26">
        <f t="shared" si="438"/>
        <v>161.63500000000002</v>
      </c>
      <c r="X46" s="26">
        <f t="shared" si="438"/>
        <v>222.04340000000005</v>
      </c>
      <c r="Y46" s="26">
        <f t="shared" si="438"/>
        <v>284.43289999999996</v>
      </c>
      <c r="Z46" s="26">
        <f t="shared" si="438"/>
        <v>374.82829999999996</v>
      </c>
      <c r="AA46" s="26">
        <f t="shared" ref="AA46" si="439">AA40-AA44</f>
        <v>447.34880000000004</v>
      </c>
      <c r="AB46" s="27">
        <f t="shared" ref="AB46:AD46" si="440">AB40-AB44</f>
        <v>556.36313317810448</v>
      </c>
      <c r="AC46" s="27">
        <f t="shared" si="440"/>
        <v>733.95063216439519</v>
      </c>
      <c r="AD46" s="27">
        <f t="shared" si="440"/>
        <v>966.21787112600725</v>
      </c>
      <c r="AE46" s="27">
        <f t="shared" ref="AE46" si="441">AE40-AE44</f>
        <v>1266.1371284375468</v>
      </c>
      <c r="AI46" s="26">
        <f t="shared" ref="AI46" si="442">AI40-AI44</f>
        <v>0</v>
      </c>
      <c r="AJ46" s="26">
        <f t="shared" ref="AJ46" si="443">AJ40-AJ44</f>
        <v>0</v>
      </c>
      <c r="AK46" s="26">
        <f t="shared" ref="AK46:AM46" si="444">AK40-AK44</f>
        <v>0</v>
      </c>
      <c r="AL46" s="26">
        <f t="shared" si="444"/>
        <v>0</v>
      </c>
      <c r="AM46" s="26">
        <f t="shared" si="444"/>
        <v>0</v>
      </c>
      <c r="AN46" s="26">
        <f t="shared" ref="AN46:AO46" si="445">AN40-AN44</f>
        <v>0</v>
      </c>
      <c r="AO46" s="26">
        <f t="shared" si="445"/>
        <v>0</v>
      </c>
      <c r="AP46" s="26">
        <f t="shared" ref="AP46:CD46" si="446">AP40-AP44</f>
        <v>0</v>
      </c>
      <c r="AQ46" s="26">
        <f t="shared" si="446"/>
        <v>0</v>
      </c>
      <c r="AR46" s="26">
        <f t="shared" si="446"/>
        <v>0</v>
      </c>
      <c r="AS46" s="26">
        <f t="shared" si="446"/>
        <v>0</v>
      </c>
      <c r="AT46" s="26">
        <f t="shared" si="446"/>
        <v>0</v>
      </c>
      <c r="AU46" s="26">
        <f t="shared" si="446"/>
        <v>0</v>
      </c>
      <c r="AV46" s="26">
        <f t="shared" si="446"/>
        <v>0</v>
      </c>
      <c r="AW46" s="26">
        <f t="shared" si="446"/>
        <v>0</v>
      </c>
      <c r="AX46" s="26">
        <f t="shared" si="446"/>
        <v>0</v>
      </c>
      <c r="AY46" s="26">
        <f t="shared" si="446"/>
        <v>0</v>
      </c>
      <c r="AZ46" s="26">
        <f t="shared" si="446"/>
        <v>0</v>
      </c>
      <c r="BA46" s="26">
        <f t="shared" si="446"/>
        <v>0</v>
      </c>
      <c r="BB46" s="26">
        <f t="shared" si="446"/>
        <v>0</v>
      </c>
      <c r="BC46" s="26">
        <f t="shared" si="446"/>
        <v>0</v>
      </c>
      <c r="BD46" s="26">
        <f t="shared" si="446"/>
        <v>0</v>
      </c>
      <c r="BE46" s="26">
        <f t="shared" si="446"/>
        <v>0</v>
      </c>
      <c r="BF46" s="26">
        <f t="shared" si="446"/>
        <v>0</v>
      </c>
      <c r="BG46" s="26">
        <f t="shared" si="446"/>
        <v>0</v>
      </c>
      <c r="BH46" s="26">
        <f t="shared" si="446"/>
        <v>0</v>
      </c>
      <c r="BI46" s="26">
        <f t="shared" si="446"/>
        <v>0</v>
      </c>
      <c r="BJ46" s="26">
        <f t="shared" si="446"/>
        <v>0</v>
      </c>
      <c r="BK46" s="26">
        <f t="shared" si="446"/>
        <v>0</v>
      </c>
      <c r="BL46" s="26">
        <f t="shared" si="446"/>
        <v>0</v>
      </c>
      <c r="BM46" s="26">
        <f t="shared" si="446"/>
        <v>0</v>
      </c>
      <c r="BN46" s="26">
        <f t="shared" si="446"/>
        <v>0</v>
      </c>
      <c r="BO46" s="26">
        <f t="shared" si="446"/>
        <v>0</v>
      </c>
      <c r="BP46" s="26">
        <f t="shared" si="446"/>
        <v>0</v>
      </c>
      <c r="BQ46" s="26">
        <f t="shared" si="446"/>
        <v>16.683</v>
      </c>
      <c r="BR46" s="26">
        <f t="shared" si="446"/>
        <v>10.483000000000002</v>
      </c>
      <c r="BS46" s="26">
        <f t="shared" si="446"/>
        <v>39.409000000000006</v>
      </c>
      <c r="BT46" s="26">
        <f t="shared" si="446"/>
        <v>39.437999999999995</v>
      </c>
      <c r="BU46" s="26">
        <f t="shared" si="446"/>
        <v>40.224999999999994</v>
      </c>
      <c r="BV46" s="26">
        <f t="shared" si="446"/>
        <v>42.492999999999995</v>
      </c>
      <c r="BW46" s="26">
        <f t="shared" si="446"/>
        <v>51.882000000000005</v>
      </c>
      <c r="BX46" s="26">
        <f t="shared" si="446"/>
        <v>56.326999999999984</v>
      </c>
      <c r="BY46" s="26">
        <f t="shared" si="446"/>
        <v>57.323000000000015</v>
      </c>
      <c r="BZ46" s="26">
        <f t="shared" si="446"/>
        <v>56.511000000000003</v>
      </c>
      <c r="CA46" s="26">
        <f t="shared" si="446"/>
        <v>68.844000000000008</v>
      </c>
      <c r="CB46" s="26">
        <f t="shared" si="446"/>
        <v>72.853999999999985</v>
      </c>
      <c r="CC46" s="26">
        <f t="shared" si="446"/>
        <v>74.809000000000012</v>
      </c>
      <c r="CD46" s="26">
        <f t="shared" si="446"/>
        <v>67.924999999999983</v>
      </c>
      <c r="CE46" s="26">
        <f t="shared" ref="CE46:CF46" si="447">CE40-CE44</f>
        <v>92.568000000000012</v>
      </c>
      <c r="CF46" s="26">
        <f t="shared" si="447"/>
        <v>97.988</v>
      </c>
      <c r="CG46" s="26">
        <f t="shared" ref="CG46:CH46" si="448">CG40-CG44</f>
        <v>100.54199999999999</v>
      </c>
      <c r="CH46" s="26">
        <f t="shared" si="448"/>
        <v>83.715000000000003</v>
      </c>
      <c r="CI46" s="26">
        <f t="shared" ref="CI46:CJ46" si="449">CI40-CI44</f>
        <v>120.10199999999999</v>
      </c>
      <c r="CJ46" s="26">
        <f t="shared" si="449"/>
        <v>129.16799999999998</v>
      </c>
      <c r="CK46" s="26">
        <f t="shared" ref="CK46:CL46" si="450">CK40-CK44</f>
        <v>122.79100000000003</v>
      </c>
      <c r="CL46" s="26">
        <f t="shared" si="450"/>
        <v>75.268999999999977</v>
      </c>
      <c r="CM46" s="27">
        <f t="shared" ref="CM46:DB46" si="451">CM40-CM44</f>
        <v>134.35225668190398</v>
      </c>
      <c r="CN46" s="27">
        <f t="shared" si="451"/>
        <v>148.32330864302031</v>
      </c>
      <c r="CO46" s="27">
        <f t="shared" si="451"/>
        <v>139.78140346050671</v>
      </c>
      <c r="CP46" s="27">
        <f t="shared" si="451"/>
        <v>133.90616439267356</v>
      </c>
      <c r="CQ46" s="27">
        <f t="shared" si="451"/>
        <v>171.72961287768854</v>
      </c>
      <c r="CR46" s="27">
        <f t="shared" si="451"/>
        <v>191.84515492786741</v>
      </c>
      <c r="CS46" s="27">
        <f t="shared" si="451"/>
        <v>185.66479524856183</v>
      </c>
      <c r="CT46" s="27">
        <f t="shared" si="451"/>
        <v>184.71106911027741</v>
      </c>
      <c r="CU46" s="27">
        <f t="shared" si="451"/>
        <v>224.31295710595052</v>
      </c>
      <c r="CV46" s="27">
        <f t="shared" si="451"/>
        <v>252.05939049843252</v>
      </c>
      <c r="CW46" s="27">
        <f t="shared" si="451"/>
        <v>245.45993580007237</v>
      </c>
      <c r="CX46" s="27">
        <f t="shared" si="451"/>
        <v>244.3855877215515</v>
      </c>
      <c r="CY46" s="27">
        <f t="shared" si="451"/>
        <v>293.73007516264471</v>
      </c>
      <c r="CZ46" s="27">
        <f t="shared" si="451"/>
        <v>330.33969278672714</v>
      </c>
      <c r="DA46" s="27">
        <f t="shared" si="451"/>
        <v>321.89281396791381</v>
      </c>
      <c r="DB46" s="27">
        <f t="shared" si="451"/>
        <v>320.17454652026129</v>
      </c>
      <c r="DE46" s="121"/>
      <c r="DF46" s="26">
        <v>447.34880000000004</v>
      </c>
    </row>
    <row r="47" spans="1:110" s="23" customFormat="1" x14ac:dyDescent="0.2">
      <c r="A47" s="23" t="s">
        <v>17</v>
      </c>
      <c r="B47" s="23">
        <f>'Annual Raw'!C23</f>
        <v>0</v>
      </c>
      <c r="C47" s="23">
        <f>'Annual Raw'!D23</f>
        <v>0</v>
      </c>
      <c r="D47" s="23">
        <f>'Annual Raw'!E23</f>
        <v>0</v>
      </c>
      <c r="E47" s="23">
        <f>'Annual Raw'!F23</f>
        <v>0</v>
      </c>
      <c r="F47" s="23">
        <f>'Annual Raw'!G23</f>
        <v>0</v>
      </c>
      <c r="G47" s="23">
        <f>'Annual Raw'!H23</f>
        <v>0</v>
      </c>
      <c r="H47" s="23">
        <f>'Annual Raw'!I23</f>
        <v>0</v>
      </c>
      <c r="I47" s="23">
        <f>'Annual Raw'!J23</f>
        <v>0</v>
      </c>
      <c r="J47" s="23">
        <f>'Annual Raw'!K23</f>
        <v>0.21435770000000001</v>
      </c>
      <c r="K47" s="23">
        <f>'Annual Raw'!L23</f>
        <v>0.3460106</v>
      </c>
      <c r="L47" s="23">
        <f>'Annual Raw'!M23</f>
        <v>0.3973158</v>
      </c>
      <c r="M47" s="23">
        <f>'Annual Raw'!N23</f>
        <v>0.43659229999999999</v>
      </c>
      <c r="N47" s="23">
        <f>'Annual Raw'!O23</f>
        <v>0.17733280000000001</v>
      </c>
      <c r="O47" s="23">
        <f>'Annual Raw'!P23</f>
        <v>0.49412010000000001</v>
      </c>
      <c r="P47" s="23">
        <f>'Annual Raw'!Q23</f>
        <v>0.17809410000000001</v>
      </c>
      <c r="Q47" s="23">
        <f>'Annual Raw'!R23</f>
        <v>0.246</v>
      </c>
      <c r="R47" s="23">
        <f>'Annual Raw'!S23</f>
        <v>1.5329999999999999</v>
      </c>
      <c r="S47" s="23">
        <f>'Annual Raw'!T23</f>
        <v>2.6880000000000002</v>
      </c>
      <c r="T47" s="23">
        <f>'Annual Raw'!U23</f>
        <v>7.6</v>
      </c>
      <c r="U47" s="23">
        <f>'Annual Raw'!V23</f>
        <v>4.5869999999999997</v>
      </c>
      <c r="V47" s="23">
        <f>'Annual Raw'!W23</f>
        <v>13.9183</v>
      </c>
      <c r="W47" s="23">
        <f>'Annual Raw'!X23</f>
        <v>7.734</v>
      </c>
      <c r="X47" s="23">
        <f>'Annual Raw'!Y23</f>
        <v>10.2774</v>
      </c>
      <c r="Y47" s="23">
        <f>'Annual Raw'!Z23</f>
        <v>27.643899999999999</v>
      </c>
      <c r="Z47" s="23">
        <f>'Annual Raw'!AA23</f>
        <v>41.15</v>
      </c>
      <c r="AA47" s="23">
        <f>'Annual Raw'!AB23</f>
        <v>104.2897</v>
      </c>
      <c r="AB47" s="76">
        <f t="shared" ref="AB47:AB48" si="452">+SUM(CM47:CP47)</f>
        <v>0</v>
      </c>
      <c r="AC47" s="76">
        <f t="shared" ref="AC47:AC48" si="453">+SUM(CQ47:CT47)</f>
        <v>0</v>
      </c>
      <c r="AD47" s="76">
        <f t="shared" ref="AD47:AD48" si="454">+SUM(CU47:CX47)</f>
        <v>0</v>
      </c>
      <c r="AE47" s="76">
        <f t="shared" ref="AE47:AE48" si="455">+SUM(CY47:DB47)</f>
        <v>0</v>
      </c>
      <c r="AI47" s="23">
        <f>'QTR Raw'!C23</f>
        <v>0</v>
      </c>
      <c r="AJ47" s="23">
        <f>'QTR Raw'!D23</f>
        <v>0</v>
      </c>
      <c r="AK47" s="23">
        <f>'QTR Raw'!E23</f>
        <v>0</v>
      </c>
      <c r="AL47" s="23">
        <f>'QTR Raw'!F23</f>
        <v>0</v>
      </c>
      <c r="AM47" s="23">
        <f>'QTR Raw'!G23</f>
        <v>0</v>
      </c>
      <c r="AN47" s="23">
        <f>'QTR Raw'!H23</f>
        <v>0</v>
      </c>
      <c r="AO47" s="23">
        <f>'QTR Raw'!I23</f>
        <v>0</v>
      </c>
      <c r="AP47" s="23">
        <f>'QTR Raw'!J23</f>
        <v>0</v>
      </c>
      <c r="AQ47" s="23">
        <f>'QTR Raw'!K23</f>
        <v>0</v>
      </c>
      <c r="AR47" s="23">
        <f>'QTR Raw'!L23</f>
        <v>0</v>
      </c>
      <c r="AS47" s="23">
        <f>'QTR Raw'!M23</f>
        <v>0</v>
      </c>
      <c r="AT47" s="23">
        <f>'QTR Raw'!N23</f>
        <v>0</v>
      </c>
      <c r="AU47" s="23">
        <f>'QTR Raw'!O23</f>
        <v>0</v>
      </c>
      <c r="AV47" s="23">
        <f>'QTR Raw'!P23</f>
        <v>0</v>
      </c>
      <c r="AW47" s="23">
        <f>'QTR Raw'!Q23</f>
        <v>0</v>
      </c>
      <c r="AX47" s="23">
        <f>'QTR Raw'!R23</f>
        <v>0</v>
      </c>
      <c r="AY47" s="23">
        <f>'QTR Raw'!S23</f>
        <v>0</v>
      </c>
      <c r="AZ47" s="23">
        <f>'QTR Raw'!T23</f>
        <v>0</v>
      </c>
      <c r="BA47" s="23">
        <f>'QTR Raw'!U23</f>
        <v>0</v>
      </c>
      <c r="BB47" s="23">
        <f>'QTR Raw'!V23</f>
        <v>0</v>
      </c>
      <c r="BC47" s="23">
        <f>'QTR Raw'!W23</f>
        <v>0</v>
      </c>
      <c r="BD47" s="23">
        <f>'QTR Raw'!X23</f>
        <v>0</v>
      </c>
      <c r="BE47" s="23">
        <f>'QTR Raw'!Y23</f>
        <v>0</v>
      </c>
      <c r="BF47" s="23">
        <f>'QTR Raw'!Z23</f>
        <v>0</v>
      </c>
      <c r="BG47" s="23">
        <f>'QTR Raw'!AA23</f>
        <v>0</v>
      </c>
      <c r="BH47" s="23">
        <f>'QTR Raw'!AB23</f>
        <v>0</v>
      </c>
      <c r="BI47" s="23">
        <f>'QTR Raw'!AC23</f>
        <v>0</v>
      </c>
      <c r="BJ47" s="23">
        <f>'QTR Raw'!AD23</f>
        <v>0</v>
      </c>
      <c r="BK47" s="23">
        <f>'QTR Raw'!AE23</f>
        <v>0</v>
      </c>
      <c r="BL47" s="23">
        <f>'QTR Raw'!AF23</f>
        <v>0</v>
      </c>
      <c r="BM47" s="23">
        <f>'QTR Raw'!AG23</f>
        <v>0</v>
      </c>
      <c r="BN47" s="23">
        <f>'QTR Raw'!AH23</f>
        <v>0</v>
      </c>
      <c r="BO47" s="23">
        <f>'QTR Raw'!AI23</f>
        <v>0</v>
      </c>
      <c r="BP47" s="23">
        <f>'QTR Raw'!AJ23</f>
        <v>0</v>
      </c>
      <c r="BQ47" s="23">
        <f>'QTR Raw'!AK23</f>
        <v>2.073</v>
      </c>
      <c r="BR47" s="23">
        <f>'QTR Raw'!AL23</f>
        <v>6.6029999999999998</v>
      </c>
      <c r="BS47" s="23">
        <f>'QTR Raw'!AM23</f>
        <v>0.876</v>
      </c>
      <c r="BT47" s="23">
        <f>'QTR Raw'!AN23</f>
        <v>2.0619999999999998</v>
      </c>
      <c r="BU47" s="23">
        <f>'QTR Raw'!AO23</f>
        <v>2.968</v>
      </c>
      <c r="BV47" s="23">
        <f>'QTR Raw'!AP23</f>
        <v>2.1339999999999999</v>
      </c>
      <c r="BW47" s="23">
        <f>'QTR Raw'!AQ23</f>
        <v>1.9319999999999999</v>
      </c>
      <c r="BX47" s="23">
        <f>'QTR Raw'!AR23</f>
        <v>2.0270000000000001</v>
      </c>
      <c r="BY47" s="23">
        <f>'QTR Raw'!AS23</f>
        <v>2.2080000000000002</v>
      </c>
      <c r="BZ47" s="23">
        <f>'QTR Raw'!AT23</f>
        <v>4.1100000000000003</v>
      </c>
      <c r="CA47" s="23">
        <f>'QTR Raw'!AU23</f>
        <v>3.411</v>
      </c>
      <c r="CB47" s="23">
        <f>'QTR Raw'!AV23</f>
        <v>6.49</v>
      </c>
      <c r="CC47" s="23">
        <f>'QTR Raw'!AW23</f>
        <v>4.8330000000000002</v>
      </c>
      <c r="CD47" s="23">
        <f>'QTR Raw'!AX23</f>
        <v>12.911</v>
      </c>
      <c r="CE47" s="23">
        <f>'QTR Raw'!AY23</f>
        <v>7.8070000000000004</v>
      </c>
      <c r="CF47" s="23">
        <f>'QTR Raw'!AZ23</f>
        <v>7.1509999999999998</v>
      </c>
      <c r="CG47" s="23">
        <f>'QTR Raw'!BA23</f>
        <v>7.069</v>
      </c>
      <c r="CH47" s="23">
        <f>'QTR Raw'!BB23</f>
        <v>19.303999999999998</v>
      </c>
      <c r="CI47" s="23">
        <f>'QTR Raw'!BC23</f>
        <v>10.244</v>
      </c>
      <c r="CJ47" s="23">
        <f>'QTR Raw'!BD23</f>
        <v>9.8140000000000001</v>
      </c>
      <c r="CK47" s="23">
        <f>'QTR Raw'!BE23</f>
        <v>16.106999999999999</v>
      </c>
      <c r="CL47" s="23">
        <f>'QTR Raw'!BF23</f>
        <v>68.396000000000001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104.2897</v>
      </c>
    </row>
    <row r="48" spans="1:110" s="23" customFormat="1" x14ac:dyDescent="0.2">
      <c r="A48" s="23" t="s">
        <v>18</v>
      </c>
      <c r="B48" s="23">
        <f>'Annual Raw'!C25</f>
        <v>0</v>
      </c>
      <c r="C48" s="23">
        <f>'Annual Raw'!D25</f>
        <v>0</v>
      </c>
      <c r="D48" s="23">
        <f>'Annual Raw'!E25</f>
        <v>0</v>
      </c>
      <c r="E48" s="23">
        <f>'Annual Raw'!F25</f>
        <v>0</v>
      </c>
      <c r="F48" s="23">
        <f>'Annual Raw'!G25</f>
        <v>0</v>
      </c>
      <c r="G48" s="23">
        <f>'Annual Raw'!H25</f>
        <v>0</v>
      </c>
      <c r="H48" s="23">
        <f>'Annual Raw'!I25</f>
        <v>0</v>
      </c>
      <c r="I48" s="23">
        <f>'Annual Raw'!J25</f>
        <v>0</v>
      </c>
      <c r="J48" s="23">
        <f>'Annual Raw'!K25</f>
        <v>3.5503000000000002E-3</v>
      </c>
      <c r="K48" s="23">
        <f>'Annual Raw'!L25</f>
        <v>3.9439999999999999E-4</v>
      </c>
      <c r="L48" s="23">
        <f>'Annual Raw'!M25</f>
        <v>0</v>
      </c>
      <c r="M48" s="23">
        <f>'Annual Raw'!N25</f>
        <v>0</v>
      </c>
      <c r="N48" s="23">
        <f>'Annual Raw'!O25</f>
        <v>0</v>
      </c>
      <c r="O48" s="23">
        <f>'Annual Raw'!P25</f>
        <v>2.0000000000000001E-4</v>
      </c>
      <c r="P48" s="23">
        <f>'Annual Raw'!Q25</f>
        <v>0</v>
      </c>
      <c r="Q48" s="23">
        <f>'Annual Raw'!R25</f>
        <v>3.0000000000000001E-3</v>
      </c>
      <c r="R48" s="23">
        <f>'Annual Raw'!S25</f>
        <v>0.11799999999999999</v>
      </c>
      <c r="S48" s="23">
        <f>'Annual Raw'!T25</f>
        <v>8.7319999999999993</v>
      </c>
      <c r="T48" s="23">
        <f>'Annual Raw'!U25</f>
        <v>6.11</v>
      </c>
      <c r="U48" s="23">
        <f>'Annual Raw'!V25</f>
        <v>3.2959999999999998</v>
      </c>
      <c r="V48" s="23">
        <f>'Annual Raw'!W25</f>
        <v>2.8898000000000001</v>
      </c>
      <c r="W48" s="23">
        <f>'Annual Raw'!X25</f>
        <v>2.0186000000000002</v>
      </c>
      <c r="X48" s="23">
        <f>'Annual Raw'!Y25</f>
        <v>3.9342000000000001</v>
      </c>
      <c r="Y48" s="23">
        <f>'Annual Raw'!Z25</f>
        <v>6.4669999999999996</v>
      </c>
      <c r="Z48" s="23">
        <f>'Annual Raw'!AA25</f>
        <v>11.542299999999999</v>
      </c>
      <c r="AA48" s="23">
        <f>'Annual Raw'!AB25</f>
        <v>15.7951</v>
      </c>
      <c r="AB48" s="76">
        <f t="shared" si="452"/>
        <v>-95.177859160548905</v>
      </c>
      <c r="AC48" s="76">
        <f t="shared" si="453"/>
        <v>-223.17470622622363</v>
      </c>
      <c r="AD48" s="76">
        <f t="shared" si="454"/>
        <v>-410.69036322752731</v>
      </c>
      <c r="AE48" s="76">
        <f t="shared" si="455"/>
        <v>-681.46823547803183</v>
      </c>
      <c r="AI48" s="23">
        <f>'QTR Raw'!C25</f>
        <v>0</v>
      </c>
      <c r="AJ48" s="23">
        <f>'QTR Raw'!D25</f>
        <v>0</v>
      </c>
      <c r="AK48" s="23">
        <f>'QTR Raw'!E25</f>
        <v>0</v>
      </c>
      <c r="AL48" s="23">
        <f>'QTR Raw'!F25</f>
        <v>0</v>
      </c>
      <c r="AM48" s="23">
        <f>'QTR Raw'!G25</f>
        <v>0</v>
      </c>
      <c r="AN48" s="23">
        <f>'QTR Raw'!H25</f>
        <v>0</v>
      </c>
      <c r="AO48" s="23">
        <f>'QTR Raw'!I25</f>
        <v>0</v>
      </c>
      <c r="AP48" s="23">
        <f>'QTR Raw'!J25</f>
        <v>0</v>
      </c>
      <c r="AQ48" s="23">
        <f>'QTR Raw'!K25</f>
        <v>0</v>
      </c>
      <c r="AR48" s="23">
        <f>'QTR Raw'!L25</f>
        <v>0</v>
      </c>
      <c r="AS48" s="23">
        <f>'QTR Raw'!M25</f>
        <v>0</v>
      </c>
      <c r="AT48" s="23">
        <f>'QTR Raw'!N25</f>
        <v>0</v>
      </c>
      <c r="AU48" s="23">
        <f>'QTR Raw'!O25</f>
        <v>0</v>
      </c>
      <c r="AV48" s="23">
        <f>'QTR Raw'!P25</f>
        <v>0</v>
      </c>
      <c r="AW48" s="23">
        <f>'QTR Raw'!Q25</f>
        <v>0</v>
      </c>
      <c r="AX48" s="23">
        <f>'QTR Raw'!R25</f>
        <v>0</v>
      </c>
      <c r="AY48" s="23">
        <f>'QTR Raw'!S25</f>
        <v>0</v>
      </c>
      <c r="AZ48" s="23">
        <f>'QTR Raw'!T25</f>
        <v>0</v>
      </c>
      <c r="BA48" s="23">
        <f>'QTR Raw'!U25</f>
        <v>0</v>
      </c>
      <c r="BB48" s="23">
        <f>'QTR Raw'!V25</f>
        <v>0</v>
      </c>
      <c r="BC48" s="23">
        <f>'QTR Raw'!W25</f>
        <v>0</v>
      </c>
      <c r="BD48" s="23">
        <f>'QTR Raw'!X25</f>
        <v>0</v>
      </c>
      <c r="BE48" s="23">
        <f>'QTR Raw'!Y25</f>
        <v>0</v>
      </c>
      <c r="BF48" s="23">
        <f>'QTR Raw'!Z25</f>
        <v>0</v>
      </c>
      <c r="BG48" s="23">
        <f>'QTR Raw'!AA25</f>
        <v>0</v>
      </c>
      <c r="BH48" s="23">
        <f>'QTR Raw'!AB25</f>
        <v>0</v>
      </c>
      <c r="BI48" s="23">
        <f>'QTR Raw'!AC25</f>
        <v>0</v>
      </c>
      <c r="BJ48" s="23">
        <f>'QTR Raw'!AD25</f>
        <v>0</v>
      </c>
      <c r="BK48" s="23">
        <f>'QTR Raw'!AE25</f>
        <v>0</v>
      </c>
      <c r="BL48" s="23">
        <f>'QTR Raw'!AF25</f>
        <v>0</v>
      </c>
      <c r="BM48" s="23">
        <f>'QTR Raw'!AG25</f>
        <v>0</v>
      </c>
      <c r="BN48" s="23">
        <f>'QTR Raw'!AH25</f>
        <v>0</v>
      </c>
      <c r="BO48" s="23">
        <f>'QTR Raw'!AI25</f>
        <v>0</v>
      </c>
      <c r="BP48" s="23">
        <f>'QTR Raw'!AJ25</f>
        <v>0</v>
      </c>
      <c r="BQ48" s="23">
        <f>'QTR Raw'!AK25</f>
        <v>0.94599999999999995</v>
      </c>
      <c r="BR48" s="23">
        <f>'QTR Raw'!AL25</f>
        <v>0.73899999999999999</v>
      </c>
      <c r="BS48" s="23">
        <f>'QTR Raw'!AM25</f>
        <v>0.68100000000000005</v>
      </c>
      <c r="BT48" s="23">
        <f>'QTR Raw'!AN25</f>
        <v>0.38</v>
      </c>
      <c r="BU48" s="23">
        <f>'QTR Raw'!AO25</f>
        <v>0.32300000000000001</v>
      </c>
      <c r="BV48" s="23">
        <f>'QTR Raw'!AP25</f>
        <v>0.63600000000000001</v>
      </c>
      <c r="BW48" s="23">
        <f>'QTR Raw'!AQ25</f>
        <v>0.89500000000000002</v>
      </c>
      <c r="BX48" s="23">
        <f>'QTR Raw'!AR25</f>
        <v>0.82099999999999995</v>
      </c>
      <c r="BY48" s="23">
        <f>'QTR Raw'!AS25</f>
        <v>1.141</v>
      </c>
      <c r="BZ48" s="23">
        <f>'QTR Raw'!AT25</f>
        <v>1.0780000000000001</v>
      </c>
      <c r="CA48" s="23">
        <f>'QTR Raw'!AU25</f>
        <v>1.3660000000000001</v>
      </c>
      <c r="CB48" s="23">
        <f>'QTR Raw'!AV25</f>
        <v>1.623</v>
      </c>
      <c r="CC48" s="23">
        <f>'QTR Raw'!AW25</f>
        <v>1.6379999999999999</v>
      </c>
      <c r="CD48" s="23">
        <f>'QTR Raw'!AX25</f>
        <v>1.841</v>
      </c>
      <c r="CE48" s="23">
        <f>'QTR Raw'!AY25</f>
        <v>1.3819999999999999</v>
      </c>
      <c r="CF48" s="23">
        <f>'QTR Raw'!AZ25</f>
        <v>2.952</v>
      </c>
      <c r="CG48" s="23">
        <f>'QTR Raw'!BA25</f>
        <v>3.536</v>
      </c>
      <c r="CH48" s="23">
        <f>'QTR Raw'!BB25</f>
        <v>3.6720000000000002</v>
      </c>
      <c r="CI48" s="23">
        <f>'QTR Raw'!BC25</f>
        <v>3.9929999999999999</v>
      </c>
      <c r="CJ48" s="23">
        <f>'QTR Raw'!BD25</f>
        <v>4.8330000000000002</v>
      </c>
      <c r="CK48" s="23">
        <f>'QTR Raw'!BE25</f>
        <v>3.5710000000000002</v>
      </c>
      <c r="CL48" s="23">
        <f>'QTR Raw'!BF25</f>
        <v>3.399</v>
      </c>
      <c r="CM48" s="24">
        <f t="shared" ref="CM48:DB48" si="456">CM49*CL180</f>
        <v>-16.362265414979483</v>
      </c>
      <c r="CN48" s="24">
        <f t="shared" si="456"/>
        <v>-19.282802548748254</v>
      </c>
      <c r="CO48" s="24">
        <f t="shared" si="456"/>
        <v>-24.527707021858443</v>
      </c>
      <c r="CP48" s="24">
        <f t="shared" si="456"/>
        <v>-35.005084174962711</v>
      </c>
      <c r="CQ48" s="24">
        <f t="shared" si="456"/>
        <v>-44.875643219242725</v>
      </c>
      <c r="CR48" s="24">
        <f t="shared" si="456"/>
        <v>-49.361889650143794</v>
      </c>
      <c r="CS48" s="24">
        <f t="shared" si="456"/>
        <v>-57.047460733589453</v>
      </c>
      <c r="CT48" s="24">
        <f t="shared" si="456"/>
        <v>-71.889712623247689</v>
      </c>
      <c r="CU48" s="24">
        <f t="shared" si="456"/>
        <v>-86.397088182441365</v>
      </c>
      <c r="CV48" s="24">
        <f t="shared" si="456"/>
        <v>-93.496927320393084</v>
      </c>
      <c r="CW48" s="24">
        <f t="shared" si="456"/>
        <v>-104.93659409641454</v>
      </c>
      <c r="CX48" s="24">
        <f t="shared" si="456"/>
        <v>-125.8597536282783</v>
      </c>
      <c r="CY48" s="24">
        <f t="shared" si="456"/>
        <v>-146.46317348325215</v>
      </c>
      <c r="CZ48" s="24">
        <f t="shared" si="456"/>
        <v>-157.43226428449569</v>
      </c>
      <c r="DA48" s="24">
        <f t="shared" si="456"/>
        <v>-174.18401508970481</v>
      </c>
      <c r="DB48" s="24">
        <f t="shared" si="456"/>
        <v>-203.38878262057918</v>
      </c>
      <c r="DE48" s="123"/>
      <c r="DF48" s="23">
        <v>15.7951</v>
      </c>
    </row>
    <row r="49" spans="1:110" s="46" customFormat="1" x14ac:dyDescent="0.2">
      <c r="A49" s="46" t="s">
        <v>482</v>
      </c>
      <c r="B49" s="46" t="e">
        <f t="shared" ref="B49:D49" si="457">+B48/B140</f>
        <v>#DIV/0!</v>
      </c>
      <c r="C49" s="46" t="e">
        <f t="shared" si="457"/>
        <v>#DIV/0!</v>
      </c>
      <c r="D49" s="46" t="e">
        <f t="shared" si="457"/>
        <v>#DIV/0!</v>
      </c>
      <c r="E49" s="46" t="e">
        <f t="shared" ref="E49:AE49" si="458">+E48/E140</f>
        <v>#DIV/0!</v>
      </c>
      <c r="F49" s="46" t="e">
        <f t="shared" si="458"/>
        <v>#DIV/0!</v>
      </c>
      <c r="G49" s="46" t="e">
        <f t="shared" si="458"/>
        <v>#DIV/0!</v>
      </c>
      <c r="H49" s="46" t="e">
        <f t="shared" si="458"/>
        <v>#DIV/0!</v>
      </c>
      <c r="I49" s="46" t="e">
        <f t="shared" si="458"/>
        <v>#DIV/0!</v>
      </c>
      <c r="J49" s="46" t="e">
        <f t="shared" si="458"/>
        <v>#DIV/0!</v>
      </c>
      <c r="K49" s="46" t="e">
        <f t="shared" si="458"/>
        <v>#DIV/0!</v>
      </c>
      <c r="L49" s="46" t="e">
        <f t="shared" si="458"/>
        <v>#DIV/0!</v>
      </c>
      <c r="M49" s="46" t="e">
        <f t="shared" si="458"/>
        <v>#DIV/0!</v>
      </c>
      <c r="N49" s="46" t="e">
        <f t="shared" si="458"/>
        <v>#DIV/0!</v>
      </c>
      <c r="O49" s="46" t="e">
        <f t="shared" si="458"/>
        <v>#DIV/0!</v>
      </c>
      <c r="P49" s="46" t="e">
        <f t="shared" si="458"/>
        <v>#DIV/0!</v>
      </c>
      <c r="Q49" s="46" t="e">
        <f t="shared" si="458"/>
        <v>#DIV/0!</v>
      </c>
      <c r="R49" s="46">
        <f t="shared" si="458"/>
        <v>4.6625572941362409E-3</v>
      </c>
      <c r="S49" s="46">
        <f t="shared" si="458"/>
        <v>12.747445255474451</v>
      </c>
      <c r="T49" s="46">
        <f t="shared" si="458"/>
        <v>10.251677852348994</v>
      </c>
      <c r="U49" s="46">
        <f t="shared" si="458"/>
        <v>7.8983944404505152E-2</v>
      </c>
      <c r="V49" s="46">
        <f t="shared" si="458"/>
        <v>8.6624959906954166E-2</v>
      </c>
      <c r="W49" s="46">
        <f t="shared" si="458"/>
        <v>8.0901272072909744E-2</v>
      </c>
      <c r="X49" s="46">
        <f t="shared" si="458"/>
        <v>0.23394740910766743</v>
      </c>
      <c r="Y49" s="46">
        <f t="shared" si="458"/>
        <v>0.76213260423786733</v>
      </c>
      <c r="Z49" s="46">
        <f t="shared" si="458"/>
        <v>0.52835569471337607</v>
      </c>
      <c r="AA49" s="46">
        <f t="shared" ref="AA49" si="459">+AA48/AA140</f>
        <v>0.9280426326983866</v>
      </c>
      <c r="AB49" s="110">
        <f t="shared" si="458"/>
        <v>-5.5921186345798422</v>
      </c>
      <c r="AC49" s="110">
        <f t="shared" si="458"/>
        <v>-13.112497428097747</v>
      </c>
      <c r="AD49" s="110">
        <f t="shared" si="458"/>
        <v>-24.129868579760711</v>
      </c>
      <c r="AE49" s="110">
        <f t="shared" si="458"/>
        <v>-40.039261778967791</v>
      </c>
      <c r="AI49" s="46" t="e">
        <f t="shared" ref="AI49:BN49" si="460">(AI48-AI47)/AH180</f>
        <v>#DIV/0!</v>
      </c>
      <c r="AJ49" s="46" t="e">
        <f t="shared" si="460"/>
        <v>#DIV/0!</v>
      </c>
      <c r="AK49" s="46" t="e">
        <f t="shared" si="460"/>
        <v>#DIV/0!</v>
      </c>
      <c r="AL49" s="46" t="e">
        <f t="shared" si="460"/>
        <v>#DIV/0!</v>
      </c>
      <c r="AM49" s="46" t="e">
        <f t="shared" si="460"/>
        <v>#DIV/0!</v>
      </c>
      <c r="AN49" s="46" t="e">
        <f t="shared" si="460"/>
        <v>#DIV/0!</v>
      </c>
      <c r="AO49" s="46" t="e">
        <f t="shared" si="460"/>
        <v>#DIV/0!</v>
      </c>
      <c r="AP49" s="46" t="e">
        <f t="shared" si="460"/>
        <v>#DIV/0!</v>
      </c>
      <c r="AQ49" s="46" t="e">
        <f t="shared" si="460"/>
        <v>#DIV/0!</v>
      </c>
      <c r="AR49" s="46" t="e">
        <f t="shared" si="460"/>
        <v>#DIV/0!</v>
      </c>
      <c r="AS49" s="46" t="e">
        <f t="shared" si="460"/>
        <v>#DIV/0!</v>
      </c>
      <c r="AT49" s="46" t="e">
        <f t="shared" si="460"/>
        <v>#DIV/0!</v>
      </c>
      <c r="AU49" s="46" t="e">
        <f t="shared" si="460"/>
        <v>#DIV/0!</v>
      </c>
      <c r="AV49" s="46" t="e">
        <f t="shared" si="460"/>
        <v>#DIV/0!</v>
      </c>
      <c r="AW49" s="46" t="e">
        <f t="shared" si="460"/>
        <v>#DIV/0!</v>
      </c>
      <c r="AX49" s="46" t="e">
        <f t="shared" si="460"/>
        <v>#DIV/0!</v>
      </c>
      <c r="AY49" s="46" t="e">
        <f t="shared" si="460"/>
        <v>#DIV/0!</v>
      </c>
      <c r="AZ49" s="46" t="e">
        <f t="shared" si="460"/>
        <v>#DIV/0!</v>
      </c>
      <c r="BA49" s="46" t="e">
        <f t="shared" si="460"/>
        <v>#DIV/0!</v>
      </c>
      <c r="BB49" s="46" t="e">
        <f t="shared" si="460"/>
        <v>#DIV/0!</v>
      </c>
      <c r="BC49" s="46" t="e">
        <f t="shared" si="460"/>
        <v>#DIV/0!</v>
      </c>
      <c r="BD49" s="46" t="e">
        <f t="shared" si="460"/>
        <v>#DIV/0!</v>
      </c>
      <c r="BE49" s="46" t="e">
        <f t="shared" si="460"/>
        <v>#DIV/0!</v>
      </c>
      <c r="BF49" s="46" t="e">
        <f t="shared" si="460"/>
        <v>#DIV/0!</v>
      </c>
      <c r="BG49" s="46" t="e">
        <f t="shared" si="460"/>
        <v>#DIV/0!</v>
      </c>
      <c r="BH49" s="46" t="e">
        <f t="shared" si="460"/>
        <v>#DIV/0!</v>
      </c>
      <c r="BI49" s="46" t="e">
        <f t="shared" si="460"/>
        <v>#DIV/0!</v>
      </c>
      <c r="BJ49" s="46" t="e">
        <f t="shared" si="460"/>
        <v>#DIV/0!</v>
      </c>
      <c r="BK49" s="46" t="e">
        <f t="shared" si="460"/>
        <v>#DIV/0!</v>
      </c>
      <c r="BL49" s="46" t="e">
        <f t="shared" si="460"/>
        <v>#DIV/0!</v>
      </c>
      <c r="BM49" s="46" t="e">
        <f t="shared" si="460"/>
        <v>#DIV/0!</v>
      </c>
      <c r="BN49" s="46" t="e">
        <f t="shared" si="460"/>
        <v>#DIV/0!</v>
      </c>
      <c r="BO49" s="46" t="e">
        <f t="shared" ref="BO49:CL49" si="461">(BO48-BO47)/BN180</f>
        <v>#DIV/0!</v>
      </c>
      <c r="BP49" s="46" t="e">
        <f t="shared" si="461"/>
        <v>#DIV/0!</v>
      </c>
      <c r="BQ49" s="46" t="e">
        <f t="shared" si="461"/>
        <v>#DIV/0!</v>
      </c>
      <c r="BR49" s="46" t="e">
        <f t="shared" si="461"/>
        <v>#DIV/0!</v>
      </c>
      <c r="BS49" s="46">
        <f t="shared" si="461"/>
        <v>5.6223510076982954E-3</v>
      </c>
      <c r="BT49" s="46">
        <f t="shared" si="461"/>
        <v>2.7924241682481594E-2</v>
      </c>
      <c r="BU49" s="46" t="e">
        <f t="shared" si="461"/>
        <v>#DIV/0!</v>
      </c>
      <c r="BV49" s="46">
        <f t="shared" si="461"/>
        <v>4.6781799444114792E-2</v>
      </c>
      <c r="BW49" s="46">
        <f t="shared" si="461"/>
        <v>1.6683290968177871E-2</v>
      </c>
      <c r="BX49" s="46">
        <f t="shared" si="461"/>
        <v>1.2140995316783065E-2</v>
      </c>
      <c r="BY49" s="46">
        <f t="shared" si="461"/>
        <v>5.5074378800235389E-3</v>
      </c>
      <c r="BZ49" s="46">
        <f t="shared" si="461"/>
        <v>1.2810856511320046E-2</v>
      </c>
      <c r="CA49" s="46">
        <f t="shared" si="461"/>
        <v>4.2652150335794434E-2</v>
      </c>
      <c r="CB49" s="46">
        <f t="shared" si="461"/>
        <v>5.005304798689942E-2</v>
      </c>
      <c r="CC49" s="46">
        <f t="shared" si="461"/>
        <v>1.9654886038571562E-2</v>
      </c>
      <c r="CD49" s="46">
        <f t="shared" si="461"/>
        <v>5.0227853596192293E-2</v>
      </c>
      <c r="CE49" s="46">
        <f t="shared" si="461"/>
        <v>0.24931124131776028</v>
      </c>
      <c r="CF49" s="46">
        <f t="shared" si="461"/>
        <v>4.6222919142278322E-2</v>
      </c>
      <c r="CG49" s="46">
        <f t="shared" si="461"/>
        <v>3.0513451656086713E-2</v>
      </c>
      <c r="CH49" s="46">
        <f t="shared" si="461"/>
        <v>8.0736548485783502E-2</v>
      </c>
      <c r="CI49" s="46">
        <f t="shared" si="461"/>
        <v>0.26667633658128692</v>
      </c>
      <c r="CJ49" s="46">
        <f t="shared" si="461"/>
        <v>7.2683707133120182E-2</v>
      </c>
      <c r="CK49" s="46">
        <f t="shared" si="461"/>
        <v>0.16951765358142554</v>
      </c>
      <c r="CL49" s="46">
        <f t="shared" si="461"/>
        <v>0.33718400127217607</v>
      </c>
      <c r="CM49" s="47">
        <f>CJ49</f>
        <v>7.2683707133120182E-2</v>
      </c>
      <c r="CN49" s="47">
        <f t="shared" ref="CN49" si="462">+CM49</f>
        <v>7.2683707133120182E-2</v>
      </c>
      <c r="CO49" s="47">
        <f t="shared" ref="CO49" si="463">+CN49</f>
        <v>7.2683707133120182E-2</v>
      </c>
      <c r="CP49" s="47">
        <f t="shared" ref="CP49" si="464">+CO49</f>
        <v>7.2683707133120182E-2</v>
      </c>
      <c r="CQ49" s="47">
        <f t="shared" ref="CQ49" si="465">+CP49</f>
        <v>7.2683707133120182E-2</v>
      </c>
      <c r="CR49" s="47">
        <f t="shared" ref="CR49" si="466">+CQ49</f>
        <v>7.2683707133120182E-2</v>
      </c>
      <c r="CS49" s="47">
        <f t="shared" ref="CS49" si="467">+CR49</f>
        <v>7.2683707133120182E-2</v>
      </c>
      <c r="CT49" s="47">
        <f t="shared" ref="CT49" si="468">+CS49</f>
        <v>7.2683707133120182E-2</v>
      </c>
      <c r="CU49" s="47">
        <f t="shared" ref="CU49" si="469">+CT49</f>
        <v>7.2683707133120182E-2</v>
      </c>
      <c r="CV49" s="47">
        <f t="shared" ref="CV49" si="470">+CU49</f>
        <v>7.2683707133120182E-2</v>
      </c>
      <c r="CW49" s="47">
        <f t="shared" ref="CW49" si="471">+CV49</f>
        <v>7.2683707133120182E-2</v>
      </c>
      <c r="CX49" s="47">
        <f t="shared" ref="CX49" si="472">+CW49</f>
        <v>7.2683707133120182E-2</v>
      </c>
      <c r="CY49" s="47">
        <f t="shared" ref="CY49" si="473">+CX49</f>
        <v>7.2683707133120182E-2</v>
      </c>
      <c r="CZ49" s="47">
        <f t="shared" ref="CZ49" si="474">+CY49</f>
        <v>7.2683707133120182E-2</v>
      </c>
      <c r="DA49" s="47">
        <f t="shared" ref="DA49" si="475">+CZ49</f>
        <v>7.2683707133120182E-2</v>
      </c>
      <c r="DB49" s="47">
        <f t="shared" ref="DB49" si="476">+DA49</f>
        <v>7.2683707133120182E-2</v>
      </c>
      <c r="DE49" s="130"/>
      <c r="DF49" s="46">
        <v>0.9280426326983866</v>
      </c>
    </row>
    <row r="50" spans="1:110" s="26" customFormat="1" x14ac:dyDescent="0.2">
      <c r="A50" s="26" t="s">
        <v>20</v>
      </c>
      <c r="B50" s="26">
        <f>B46+B47-B48</f>
        <v>0</v>
      </c>
      <c r="C50" s="26">
        <f t="shared" ref="C50:T50" si="477">C46+C47-C48</f>
        <v>0</v>
      </c>
      <c r="D50" s="26">
        <f>D46+D47-D48</f>
        <v>0</v>
      </c>
      <c r="E50" s="26">
        <f t="shared" si="477"/>
        <v>0</v>
      </c>
      <c r="F50" s="26">
        <f t="shared" si="477"/>
        <v>0</v>
      </c>
      <c r="G50" s="26">
        <f t="shared" si="477"/>
        <v>0</v>
      </c>
      <c r="H50" s="26">
        <f t="shared" si="477"/>
        <v>0</v>
      </c>
      <c r="I50" s="26">
        <f t="shared" si="477"/>
        <v>0</v>
      </c>
      <c r="J50" s="26">
        <f t="shared" si="477"/>
        <v>0.51883289999999982</v>
      </c>
      <c r="K50" s="26">
        <f t="shared" si="477"/>
        <v>0.35276719999999989</v>
      </c>
      <c r="L50" s="26">
        <f t="shared" si="477"/>
        <v>0.77235519999999991</v>
      </c>
      <c r="M50" s="26">
        <f t="shared" si="477"/>
        <v>0.16018439999999995</v>
      </c>
      <c r="N50" s="26">
        <f t="shared" si="477"/>
        <v>0.18078030000000006</v>
      </c>
      <c r="O50" s="26">
        <f t="shared" si="477"/>
        <v>0.30058070000000009</v>
      </c>
      <c r="P50" s="26">
        <f t="shared" si="477"/>
        <v>8.9213500000000001E-2</v>
      </c>
      <c r="Q50" s="26">
        <f t="shared" si="477"/>
        <v>0.19299999999999995</v>
      </c>
      <c r="R50" s="26">
        <f t="shared" si="477"/>
        <v>-0.54199999999998771</v>
      </c>
      <c r="S50" s="26">
        <f t="shared" si="477"/>
        <v>67.301999999999978</v>
      </c>
      <c r="T50" s="26">
        <f t="shared" si="477"/>
        <v>83.098999999999975</v>
      </c>
      <c r="U50" s="26">
        <f t="shared" ref="U50:Z50" si="478">U46+U47-U48</f>
        <v>86.960999999999984</v>
      </c>
      <c r="V50" s="26">
        <f t="shared" si="478"/>
        <v>62.882700000000007</v>
      </c>
      <c r="W50" s="26">
        <f t="shared" si="478"/>
        <v>167.35040000000004</v>
      </c>
      <c r="X50" s="26">
        <f t="shared" si="478"/>
        <v>228.38660000000004</v>
      </c>
      <c r="Y50" s="26">
        <f t="shared" si="478"/>
        <v>305.60979999999995</v>
      </c>
      <c r="Z50" s="26">
        <f t="shared" si="478"/>
        <v>404.43599999999992</v>
      </c>
      <c r="AA50" s="26">
        <f t="shared" ref="AA50" si="479">AA46+AA47-AA48</f>
        <v>535.84339999999997</v>
      </c>
      <c r="AB50" s="27">
        <f t="shared" ref="AB50:AD50" si="480">AB46+AB47-AB48</f>
        <v>651.54099233865338</v>
      </c>
      <c r="AC50" s="27">
        <f t="shared" si="480"/>
        <v>957.12533839061882</v>
      </c>
      <c r="AD50" s="27">
        <f t="shared" si="480"/>
        <v>1376.9082343535347</v>
      </c>
      <c r="AE50" s="27">
        <f t="shared" ref="AE50" si="481">AE46+AE47-AE48</f>
        <v>1947.6053639155787</v>
      </c>
      <c r="AI50" s="26">
        <f>AI46+AI47-AI48</f>
        <v>0</v>
      </c>
      <c r="AJ50" s="26">
        <f t="shared" ref="AJ50" si="482">AJ46+AJ47-AJ48</f>
        <v>0</v>
      </c>
      <c r="AK50" s="26">
        <f t="shared" ref="AK50:AM50" si="483">AK46+AK47-AK48</f>
        <v>0</v>
      </c>
      <c r="AL50" s="26">
        <f t="shared" si="483"/>
        <v>0</v>
      </c>
      <c r="AM50" s="26">
        <f t="shared" si="483"/>
        <v>0</v>
      </c>
      <c r="AN50" s="26">
        <f t="shared" ref="AN50:AO50" si="484">AN46+AN47-AN48</f>
        <v>0</v>
      </c>
      <c r="AO50" s="26">
        <f t="shared" si="484"/>
        <v>0</v>
      </c>
      <c r="AP50" s="26">
        <f t="shared" ref="AP50:CD50" si="485">AP46+AP47-AP48</f>
        <v>0</v>
      </c>
      <c r="AQ50" s="26">
        <f t="shared" si="485"/>
        <v>0</v>
      </c>
      <c r="AR50" s="26">
        <f t="shared" si="485"/>
        <v>0</v>
      </c>
      <c r="AS50" s="26">
        <f t="shared" si="485"/>
        <v>0</v>
      </c>
      <c r="AT50" s="26">
        <f t="shared" si="485"/>
        <v>0</v>
      </c>
      <c r="AU50" s="26">
        <f t="shared" si="485"/>
        <v>0</v>
      </c>
      <c r="AV50" s="26">
        <f t="shared" si="485"/>
        <v>0</v>
      </c>
      <c r="AW50" s="26">
        <f t="shared" si="485"/>
        <v>0</v>
      </c>
      <c r="AX50" s="26">
        <f t="shared" si="485"/>
        <v>0</v>
      </c>
      <c r="AY50" s="26">
        <f t="shared" si="485"/>
        <v>0</v>
      </c>
      <c r="AZ50" s="26">
        <f t="shared" si="485"/>
        <v>0</v>
      </c>
      <c r="BA50" s="26">
        <f t="shared" si="485"/>
        <v>0</v>
      </c>
      <c r="BB50" s="26">
        <f t="shared" si="485"/>
        <v>0</v>
      </c>
      <c r="BC50" s="26">
        <f t="shared" si="485"/>
        <v>0</v>
      </c>
      <c r="BD50" s="26">
        <f t="shared" si="485"/>
        <v>0</v>
      </c>
      <c r="BE50" s="26">
        <f t="shared" si="485"/>
        <v>0</v>
      </c>
      <c r="BF50" s="26">
        <f t="shared" si="485"/>
        <v>0</v>
      </c>
      <c r="BG50" s="26">
        <f t="shared" si="485"/>
        <v>0</v>
      </c>
      <c r="BH50" s="26">
        <f t="shared" si="485"/>
        <v>0</v>
      </c>
      <c r="BI50" s="26">
        <f t="shared" si="485"/>
        <v>0</v>
      </c>
      <c r="BJ50" s="26">
        <f t="shared" si="485"/>
        <v>0</v>
      </c>
      <c r="BK50" s="26">
        <f t="shared" si="485"/>
        <v>0</v>
      </c>
      <c r="BL50" s="26">
        <f t="shared" si="485"/>
        <v>0</v>
      </c>
      <c r="BM50" s="26">
        <f t="shared" si="485"/>
        <v>0</v>
      </c>
      <c r="BN50" s="26">
        <f t="shared" si="485"/>
        <v>0</v>
      </c>
      <c r="BO50" s="26">
        <f t="shared" si="485"/>
        <v>0</v>
      </c>
      <c r="BP50" s="26">
        <f t="shared" si="485"/>
        <v>0</v>
      </c>
      <c r="BQ50" s="26">
        <f t="shared" si="485"/>
        <v>17.809999999999999</v>
      </c>
      <c r="BR50" s="26">
        <f t="shared" si="485"/>
        <v>16.347000000000001</v>
      </c>
      <c r="BS50" s="26">
        <f t="shared" si="485"/>
        <v>39.604000000000006</v>
      </c>
      <c r="BT50" s="26">
        <f t="shared" si="485"/>
        <v>41.11999999999999</v>
      </c>
      <c r="BU50" s="26">
        <f t="shared" si="485"/>
        <v>42.87</v>
      </c>
      <c r="BV50" s="26">
        <f t="shared" si="485"/>
        <v>43.990999999999993</v>
      </c>
      <c r="BW50" s="26">
        <f t="shared" si="485"/>
        <v>52.919000000000004</v>
      </c>
      <c r="BX50" s="26">
        <f t="shared" si="485"/>
        <v>57.532999999999987</v>
      </c>
      <c r="BY50" s="26">
        <f t="shared" si="485"/>
        <v>58.390000000000015</v>
      </c>
      <c r="BZ50" s="26">
        <f t="shared" si="485"/>
        <v>59.542999999999999</v>
      </c>
      <c r="CA50" s="26">
        <f t="shared" si="485"/>
        <v>70.88900000000001</v>
      </c>
      <c r="CB50" s="26">
        <f t="shared" si="485"/>
        <v>77.720999999999975</v>
      </c>
      <c r="CC50" s="26">
        <f t="shared" si="485"/>
        <v>78.004000000000005</v>
      </c>
      <c r="CD50" s="26">
        <f t="shared" si="485"/>
        <v>78.99499999999999</v>
      </c>
      <c r="CE50" s="26">
        <f t="shared" ref="CE50:CF50" si="486">CE46+CE47-CE48</f>
        <v>98.993000000000009</v>
      </c>
      <c r="CF50" s="26">
        <f t="shared" si="486"/>
        <v>102.187</v>
      </c>
      <c r="CG50" s="26">
        <f t="shared" ref="CG50:CH50" si="487">CG46+CG47-CG48</f>
        <v>104.07499999999999</v>
      </c>
      <c r="CH50" s="26">
        <f t="shared" si="487"/>
        <v>99.347000000000008</v>
      </c>
      <c r="CI50" s="26">
        <f t="shared" ref="CI50:CJ50" si="488">CI46+CI47-CI48</f>
        <v>126.35300000000001</v>
      </c>
      <c r="CJ50" s="26">
        <f t="shared" si="488"/>
        <v>134.14899999999997</v>
      </c>
      <c r="CK50" s="26">
        <f t="shared" ref="CK50:CL50" si="489">CK46+CK47-CK48</f>
        <v>135.32700000000003</v>
      </c>
      <c r="CL50" s="26">
        <f t="shared" si="489"/>
        <v>140.26599999999996</v>
      </c>
      <c r="CM50" s="27">
        <f t="shared" ref="CM50:DB50" si="490">CM46+CM47-CM48</f>
        <v>150.71452209688346</v>
      </c>
      <c r="CN50" s="27">
        <f t="shared" si="490"/>
        <v>167.60611119176858</v>
      </c>
      <c r="CO50" s="27">
        <f t="shared" si="490"/>
        <v>164.30911048236516</v>
      </c>
      <c r="CP50" s="27">
        <f t="shared" si="490"/>
        <v>168.91124856763628</v>
      </c>
      <c r="CQ50" s="27">
        <f t="shared" si="490"/>
        <v>216.60525609693127</v>
      </c>
      <c r="CR50" s="27">
        <f t="shared" si="490"/>
        <v>241.20704457801122</v>
      </c>
      <c r="CS50" s="27">
        <f t="shared" si="490"/>
        <v>242.71225598215128</v>
      </c>
      <c r="CT50" s="27">
        <f t="shared" si="490"/>
        <v>256.60078173352508</v>
      </c>
      <c r="CU50" s="27">
        <f t="shared" si="490"/>
        <v>310.71004528839188</v>
      </c>
      <c r="CV50" s="27">
        <f t="shared" si="490"/>
        <v>345.55631781882562</v>
      </c>
      <c r="CW50" s="27">
        <f t="shared" si="490"/>
        <v>350.39652989648692</v>
      </c>
      <c r="CX50" s="27">
        <f t="shared" si="490"/>
        <v>370.2453413498298</v>
      </c>
      <c r="CY50" s="27">
        <f t="shared" si="490"/>
        <v>440.19324864589686</v>
      </c>
      <c r="CZ50" s="27">
        <f t="shared" si="490"/>
        <v>487.7719570712228</v>
      </c>
      <c r="DA50" s="27">
        <f t="shared" si="490"/>
        <v>496.07682905761862</v>
      </c>
      <c r="DB50" s="27">
        <f t="shared" si="490"/>
        <v>523.56332914084044</v>
      </c>
      <c r="DE50" s="121"/>
      <c r="DF50" s="26">
        <v>535.84339999999997</v>
      </c>
    </row>
    <row r="51" spans="1:110" s="23" customFormat="1" x14ac:dyDescent="0.2">
      <c r="A51" s="23" t="s">
        <v>21</v>
      </c>
      <c r="B51" s="23">
        <f>'Annual Raw'!C30</f>
        <v>0</v>
      </c>
      <c r="C51" s="23">
        <f>'Annual Raw'!D30</f>
        <v>0</v>
      </c>
      <c r="D51" s="23">
        <f>'Annual Raw'!E30</f>
        <v>0</v>
      </c>
      <c r="E51" s="23">
        <f>'Annual Raw'!F30</f>
        <v>0</v>
      </c>
      <c r="F51" s="23">
        <f>'Annual Raw'!G30</f>
        <v>0</v>
      </c>
      <c r="G51" s="23">
        <f>'Annual Raw'!H30</f>
        <v>0</v>
      </c>
      <c r="H51" s="23">
        <f>'Annual Raw'!I30</f>
        <v>0</v>
      </c>
      <c r="I51" s="23">
        <f>'Annual Raw'!J30</f>
        <v>0</v>
      </c>
      <c r="J51" s="23">
        <f>'Annual Raw'!K30</f>
        <v>0.16028229999999999</v>
      </c>
      <c r="K51" s="23">
        <f>'Annual Raw'!L30</f>
        <v>0.16299369999999999</v>
      </c>
      <c r="L51" s="23">
        <f>'Annual Raw'!M30</f>
        <v>0.25146370000000001</v>
      </c>
      <c r="M51" s="23">
        <f>'Annual Raw'!N30</f>
        <v>5.3042699999999998E-2</v>
      </c>
      <c r="N51" s="23">
        <f>'Annual Raw'!O30</f>
        <v>3.8181E-2</v>
      </c>
      <c r="O51" s="23">
        <f>'Annual Raw'!P30</f>
        <v>1.40234E-2</v>
      </c>
      <c r="P51" s="23">
        <f>'Annual Raw'!Q30</f>
        <v>0.1166055</v>
      </c>
      <c r="Q51" s="23">
        <f>'Annual Raw'!R30</f>
        <v>3.5999999999999997E-2</v>
      </c>
      <c r="R51" s="23">
        <f>'Annual Raw'!S30</f>
        <v>-0.38200000000000001</v>
      </c>
      <c r="S51" s="23">
        <f>'Annual Raw'!T30</f>
        <v>21.22</v>
      </c>
      <c r="T51" s="23">
        <f>'Annual Raw'!U30</f>
        <v>24.666</v>
      </c>
      <c r="U51" s="23">
        <f>'Annual Raw'!V30</f>
        <v>25.347000000000001</v>
      </c>
      <c r="V51" s="23">
        <f>'Annual Raw'!W30</f>
        <v>18.258299999999998</v>
      </c>
      <c r="W51" s="23">
        <f>'Annual Raw'!X30</f>
        <v>40.789700000000003</v>
      </c>
      <c r="X51" s="23">
        <f>'Annual Raw'!Y30</f>
        <v>59.785499999999999</v>
      </c>
      <c r="Y51" s="23">
        <f>'Annual Raw'!Z30</f>
        <v>79.787499999999994</v>
      </c>
      <c r="Z51" s="23">
        <f>'Annual Raw'!AA30</f>
        <v>103.92610000000001</v>
      </c>
      <c r="AA51" s="23">
        <f>'Annual Raw'!AB30</f>
        <v>138.678</v>
      </c>
      <c r="AB51" s="24">
        <f>+SUM(CM51:CP51)</f>
        <v>169.13341586104832</v>
      </c>
      <c r="AC51" s="24">
        <f>+SUM(CQ51:CT51)</f>
        <v>248.65108314954017</v>
      </c>
      <c r="AD51" s="24">
        <f>+SUM(CU51:CX51)</f>
        <v>357.75662563851188</v>
      </c>
      <c r="AE51" s="24">
        <f>+SUM(CY51:DB51)</f>
        <v>506.0500541503975</v>
      </c>
      <c r="AI51" s="23">
        <f>'QTR Raw'!C29</f>
        <v>0</v>
      </c>
      <c r="AJ51" s="23">
        <f>'QTR Raw'!D29</f>
        <v>0</v>
      </c>
      <c r="AK51" s="23">
        <f>'QTR Raw'!E29</f>
        <v>0</v>
      </c>
      <c r="AL51" s="23">
        <f>'QTR Raw'!F29</f>
        <v>0</v>
      </c>
      <c r="AM51" s="23">
        <f>'QTR Raw'!G29</f>
        <v>0</v>
      </c>
      <c r="AN51" s="23">
        <f>'QTR Raw'!H29</f>
        <v>0</v>
      </c>
      <c r="AO51" s="23">
        <f>'QTR Raw'!I29</f>
        <v>0</v>
      </c>
      <c r="AP51" s="23">
        <f>'QTR Raw'!J29</f>
        <v>0</v>
      </c>
      <c r="AQ51" s="23">
        <f>'QTR Raw'!K29</f>
        <v>0</v>
      </c>
      <c r="AR51" s="23">
        <f>'QTR Raw'!L29</f>
        <v>0</v>
      </c>
      <c r="AS51" s="23">
        <f>'QTR Raw'!M29</f>
        <v>0</v>
      </c>
      <c r="AT51" s="23">
        <f>'QTR Raw'!N29</f>
        <v>0</v>
      </c>
      <c r="AU51" s="23">
        <f>'QTR Raw'!O29</f>
        <v>0</v>
      </c>
      <c r="AV51" s="23">
        <f>'QTR Raw'!P29</f>
        <v>0</v>
      </c>
      <c r="AW51" s="23">
        <f>'QTR Raw'!Q29</f>
        <v>0</v>
      </c>
      <c r="AX51" s="23">
        <f>'QTR Raw'!R29</f>
        <v>0</v>
      </c>
      <c r="AY51" s="23">
        <f>'QTR Raw'!S29</f>
        <v>0</v>
      </c>
      <c r="AZ51" s="23">
        <f>'QTR Raw'!T29</f>
        <v>0</v>
      </c>
      <c r="BA51" s="23">
        <f>'QTR Raw'!U29</f>
        <v>0</v>
      </c>
      <c r="BB51" s="23">
        <f>'QTR Raw'!V29</f>
        <v>0</v>
      </c>
      <c r="BC51" s="23">
        <f>'QTR Raw'!W29</f>
        <v>0</v>
      </c>
      <c r="BD51" s="23">
        <f>'QTR Raw'!X29</f>
        <v>0</v>
      </c>
      <c r="BE51" s="23">
        <f>'QTR Raw'!Y29</f>
        <v>0</v>
      </c>
      <c r="BF51" s="23">
        <f>'QTR Raw'!Z29</f>
        <v>0</v>
      </c>
      <c r="BG51" s="23">
        <f>'QTR Raw'!AA29</f>
        <v>0</v>
      </c>
      <c r="BH51" s="23">
        <f>'QTR Raw'!AB29</f>
        <v>0</v>
      </c>
      <c r="BI51" s="23">
        <f>'QTR Raw'!AC29</f>
        <v>0</v>
      </c>
      <c r="BJ51" s="23">
        <f>'QTR Raw'!AD29</f>
        <v>0</v>
      </c>
      <c r="BK51" s="23">
        <f>'QTR Raw'!AE29</f>
        <v>0</v>
      </c>
      <c r="BL51" s="23">
        <f>'QTR Raw'!AF29</f>
        <v>0</v>
      </c>
      <c r="BM51" s="23">
        <f>'QTR Raw'!AG29</f>
        <v>0</v>
      </c>
      <c r="BN51" s="23">
        <f>'QTR Raw'!AH29</f>
        <v>0</v>
      </c>
      <c r="BO51" s="23">
        <f>'QTR Raw'!AI29</f>
        <v>0</v>
      </c>
      <c r="BP51" s="23">
        <f>'QTR Raw'!AJ29</f>
        <v>0</v>
      </c>
      <c r="BQ51" s="23">
        <f>'QTR Raw'!AK29</f>
        <v>4.6890000000000001</v>
      </c>
      <c r="BR51" s="23">
        <f>'QTR Raw'!AL29</f>
        <v>6.1390000000000002</v>
      </c>
      <c r="BS51" s="23">
        <f>'QTR Raw'!AM29</f>
        <v>9.8879999999999999</v>
      </c>
      <c r="BT51" s="23">
        <f>'QTR Raw'!AN29</f>
        <v>10.673999999999999</v>
      </c>
      <c r="BU51" s="23">
        <f>'QTR Raw'!AO29</f>
        <v>10.834</v>
      </c>
      <c r="BV51" s="23">
        <f>'QTR Raw'!AP29</f>
        <v>9.4540000000000006</v>
      </c>
      <c r="BW51" s="23">
        <f>'QTR Raw'!AQ29</f>
        <v>13.205</v>
      </c>
      <c r="BX51" s="23">
        <f>'QTR Raw'!AR29</f>
        <v>14.582000000000001</v>
      </c>
      <c r="BY51" s="23">
        <f>'QTR Raw'!AS29</f>
        <v>15.164999999999999</v>
      </c>
      <c r="BZ51" s="23">
        <f>'QTR Raw'!AT29</f>
        <v>16.832999999999998</v>
      </c>
      <c r="CA51" s="23">
        <f>'QTR Raw'!AU29</f>
        <v>17.655999999999999</v>
      </c>
      <c r="CB51" s="23">
        <f>'QTR Raw'!AV29</f>
        <v>20.036000000000001</v>
      </c>
      <c r="CC51" s="23">
        <f>'QTR Raw'!AW29</f>
        <v>19.960999999999999</v>
      </c>
      <c r="CD51" s="23">
        <f>'QTR Raw'!AX29</f>
        <v>22.135000000000002</v>
      </c>
      <c r="CE51" s="23">
        <f>'QTR Raw'!AY29</f>
        <v>25.55</v>
      </c>
      <c r="CF51" s="23">
        <f>'QTR Raw'!AZ29</f>
        <v>25.876999999999999</v>
      </c>
      <c r="CG51" s="23">
        <f>'QTR Raw'!BA29</f>
        <v>26.843</v>
      </c>
      <c r="CH51" s="23">
        <f>'QTR Raw'!BB29</f>
        <v>25.698</v>
      </c>
      <c r="CI51" s="23">
        <f>'QTR Raw'!BC29</f>
        <v>32.444000000000003</v>
      </c>
      <c r="CJ51" s="23">
        <f>'QTR Raw'!BD29</f>
        <v>34.253999999999998</v>
      </c>
      <c r="CK51" s="23">
        <f>'QTR Raw'!BE29</f>
        <v>35.223999999999997</v>
      </c>
      <c r="CL51" s="23">
        <f>'QTR Raw'!BF29</f>
        <v>36.82</v>
      </c>
      <c r="CM51" s="24">
        <f t="shared" ref="CM51:DB51" si="491">+CM50*CM52</f>
        <v>38.993800206753562</v>
      </c>
      <c r="CN51" s="24">
        <f t="shared" si="491"/>
        <v>43.445953621343051</v>
      </c>
      <c r="CO51" s="24">
        <f t="shared" si="491"/>
        <v>42.750360746777972</v>
      </c>
      <c r="CP51" s="24">
        <f t="shared" si="491"/>
        <v>43.943301286173728</v>
      </c>
      <c r="CQ51" s="24">
        <f t="shared" si="491"/>
        <v>56.224201248633044</v>
      </c>
      <c r="CR51" s="24">
        <f t="shared" si="491"/>
        <v>62.660958433001113</v>
      </c>
      <c r="CS51" s="24">
        <f t="shared" si="491"/>
        <v>63.086338304213946</v>
      </c>
      <c r="CT51" s="24">
        <f t="shared" si="491"/>
        <v>66.679585163692096</v>
      </c>
      <c r="CU51" s="24">
        <f t="shared" si="491"/>
        <v>80.717057241627344</v>
      </c>
      <c r="CV51" s="24">
        <f t="shared" si="491"/>
        <v>89.787886432201759</v>
      </c>
      <c r="CW51" s="24">
        <f t="shared" si="491"/>
        <v>91.050360729094407</v>
      </c>
      <c r="CX51" s="24">
        <f t="shared" si="491"/>
        <v>96.201321235588381</v>
      </c>
      <c r="CY51" s="24">
        <f t="shared" si="491"/>
        <v>114.37311269556571</v>
      </c>
      <c r="CZ51" s="24">
        <f t="shared" si="491"/>
        <v>126.7403856241626</v>
      </c>
      <c r="DA51" s="24">
        <f t="shared" si="491"/>
        <v>128.89823168804966</v>
      </c>
      <c r="DB51" s="24">
        <f t="shared" si="491"/>
        <v>136.03832414261959</v>
      </c>
      <c r="DE51" s="123"/>
      <c r="DF51" s="23">
        <v>138.678</v>
      </c>
    </row>
    <row r="52" spans="1:110" s="90" customFormat="1" x14ac:dyDescent="0.2">
      <c r="A52" s="90" t="s">
        <v>106</v>
      </c>
      <c r="B52" s="90" t="e">
        <f t="shared" ref="B52:E52" si="492">B51/B50</f>
        <v>#DIV/0!</v>
      </c>
      <c r="C52" s="90" t="e">
        <f t="shared" si="492"/>
        <v>#DIV/0!</v>
      </c>
      <c r="D52" s="90" t="e">
        <f t="shared" si="492"/>
        <v>#DIV/0!</v>
      </c>
      <c r="E52" s="90" t="e">
        <f t="shared" si="492"/>
        <v>#DIV/0!</v>
      </c>
      <c r="F52" s="90" t="e">
        <f t="shared" ref="F52:T52" si="493">F51/F50</f>
        <v>#DIV/0!</v>
      </c>
      <c r="G52" s="90" t="e">
        <f t="shared" si="493"/>
        <v>#DIV/0!</v>
      </c>
      <c r="H52" s="90" t="e">
        <f t="shared" si="493"/>
        <v>#DIV/0!</v>
      </c>
      <c r="I52" s="90" t="e">
        <f t="shared" si="493"/>
        <v>#DIV/0!</v>
      </c>
      <c r="J52" s="90">
        <f t="shared" si="493"/>
        <v>0.30892855869394564</v>
      </c>
      <c r="K52" s="90">
        <f t="shared" si="493"/>
        <v>0.46204323984769569</v>
      </c>
      <c r="L52" s="90">
        <f t="shared" si="493"/>
        <v>0.32558038063315953</v>
      </c>
      <c r="M52" s="90">
        <f t="shared" si="493"/>
        <v>0.33113524163401686</v>
      </c>
      <c r="N52" s="90">
        <f t="shared" si="493"/>
        <v>0.21120110985544324</v>
      </c>
      <c r="O52" s="90">
        <f t="shared" si="493"/>
        <v>4.6654359378363271E-2</v>
      </c>
      <c r="P52" s="90">
        <f t="shared" si="493"/>
        <v>1.3070387329271915</v>
      </c>
      <c r="Q52" s="90">
        <f t="shared" si="493"/>
        <v>0.18652849740932645</v>
      </c>
      <c r="R52" s="90">
        <f t="shared" si="493"/>
        <v>0.70479704797049569</v>
      </c>
      <c r="S52" s="90">
        <f t="shared" si="493"/>
        <v>0.31529523639713536</v>
      </c>
      <c r="T52" s="90">
        <f t="shared" si="493"/>
        <v>0.29682667661464046</v>
      </c>
      <c r="U52" s="90">
        <f t="shared" ref="U52:Z52" si="494">U51/U50</f>
        <v>0.29147548901231596</v>
      </c>
      <c r="V52" s="90">
        <f t="shared" si="494"/>
        <v>0.29035489888315857</v>
      </c>
      <c r="W52" s="90">
        <f t="shared" si="494"/>
        <v>0.24373828804711548</v>
      </c>
      <c r="X52" s="90">
        <f t="shared" si="494"/>
        <v>0.26177323888529358</v>
      </c>
      <c r="Y52" s="90">
        <f t="shared" si="494"/>
        <v>0.26107637909517301</v>
      </c>
      <c r="Z52" s="90">
        <f t="shared" si="494"/>
        <v>0.25696550257642747</v>
      </c>
      <c r="AA52" s="90">
        <f t="shared" ref="AA52" si="495">AA51/AA50</f>
        <v>0.25880322497207209</v>
      </c>
      <c r="AB52" s="91">
        <f t="shared" ref="AB52:AD52" si="496">AB51/AB50</f>
        <v>0.25958983064742819</v>
      </c>
      <c r="AC52" s="91">
        <f t="shared" si="496"/>
        <v>0.25978946871016961</v>
      </c>
      <c r="AD52" s="91">
        <f t="shared" si="496"/>
        <v>0.25982604847045626</v>
      </c>
      <c r="AE52" s="91">
        <f t="shared" ref="AE52" si="497">AE51/AE50</f>
        <v>0.25983192669638427</v>
      </c>
      <c r="AI52" s="90" t="e">
        <f t="shared" ref="AI52" si="498">AI51/AI50</f>
        <v>#DIV/0!</v>
      </c>
      <c r="AJ52" s="90" t="e">
        <f t="shared" ref="AJ52" si="499">AJ51/AJ50</f>
        <v>#DIV/0!</v>
      </c>
      <c r="AK52" s="90" t="e">
        <f t="shared" ref="AK52:AM52" si="500">AK51/AK50</f>
        <v>#DIV/0!</v>
      </c>
      <c r="AL52" s="90" t="e">
        <f t="shared" si="500"/>
        <v>#DIV/0!</v>
      </c>
      <c r="AM52" s="90" t="e">
        <f t="shared" si="500"/>
        <v>#DIV/0!</v>
      </c>
      <c r="AN52" s="90" t="e">
        <f t="shared" ref="AN52:AO52" si="501">AN51/AN50</f>
        <v>#DIV/0!</v>
      </c>
      <c r="AO52" s="90" t="e">
        <f t="shared" si="501"/>
        <v>#DIV/0!</v>
      </c>
      <c r="AP52" s="90" t="e">
        <f t="shared" ref="AP52:CD52" si="502">AP51/AP50</f>
        <v>#DIV/0!</v>
      </c>
      <c r="AQ52" s="90" t="e">
        <f t="shared" si="502"/>
        <v>#DIV/0!</v>
      </c>
      <c r="AR52" s="90" t="e">
        <f t="shared" si="502"/>
        <v>#DIV/0!</v>
      </c>
      <c r="AS52" s="90" t="e">
        <f t="shared" si="502"/>
        <v>#DIV/0!</v>
      </c>
      <c r="AT52" s="90" t="e">
        <f t="shared" si="502"/>
        <v>#DIV/0!</v>
      </c>
      <c r="AU52" s="90" t="e">
        <f t="shared" si="502"/>
        <v>#DIV/0!</v>
      </c>
      <c r="AV52" s="90" t="e">
        <f t="shared" si="502"/>
        <v>#DIV/0!</v>
      </c>
      <c r="AW52" s="90" t="e">
        <f t="shared" si="502"/>
        <v>#DIV/0!</v>
      </c>
      <c r="AX52" s="90" t="e">
        <f t="shared" si="502"/>
        <v>#DIV/0!</v>
      </c>
      <c r="AY52" s="90" t="e">
        <f t="shared" si="502"/>
        <v>#DIV/0!</v>
      </c>
      <c r="AZ52" s="90" t="e">
        <f t="shared" si="502"/>
        <v>#DIV/0!</v>
      </c>
      <c r="BA52" s="90" t="e">
        <f t="shared" si="502"/>
        <v>#DIV/0!</v>
      </c>
      <c r="BB52" s="90" t="e">
        <f t="shared" si="502"/>
        <v>#DIV/0!</v>
      </c>
      <c r="BC52" s="90" t="e">
        <f t="shared" si="502"/>
        <v>#DIV/0!</v>
      </c>
      <c r="BD52" s="90" t="e">
        <f t="shared" si="502"/>
        <v>#DIV/0!</v>
      </c>
      <c r="BE52" s="90" t="e">
        <f t="shared" si="502"/>
        <v>#DIV/0!</v>
      </c>
      <c r="BF52" s="90" t="e">
        <f t="shared" si="502"/>
        <v>#DIV/0!</v>
      </c>
      <c r="BG52" s="90" t="e">
        <f t="shared" si="502"/>
        <v>#DIV/0!</v>
      </c>
      <c r="BH52" s="90" t="e">
        <f t="shared" si="502"/>
        <v>#DIV/0!</v>
      </c>
      <c r="BI52" s="90" t="e">
        <f t="shared" si="502"/>
        <v>#DIV/0!</v>
      </c>
      <c r="BJ52" s="90" t="e">
        <f t="shared" si="502"/>
        <v>#DIV/0!</v>
      </c>
      <c r="BK52" s="90" t="e">
        <f t="shared" si="502"/>
        <v>#DIV/0!</v>
      </c>
      <c r="BL52" s="90" t="e">
        <f t="shared" si="502"/>
        <v>#DIV/0!</v>
      </c>
      <c r="BM52" s="90" t="e">
        <f t="shared" si="502"/>
        <v>#DIV/0!</v>
      </c>
      <c r="BN52" s="90" t="e">
        <f t="shared" si="502"/>
        <v>#DIV/0!</v>
      </c>
      <c r="BO52" s="90" t="e">
        <f t="shared" si="502"/>
        <v>#DIV/0!</v>
      </c>
      <c r="BP52" s="90" t="e">
        <f t="shared" si="502"/>
        <v>#DIV/0!</v>
      </c>
      <c r="BQ52" s="90">
        <f t="shared" si="502"/>
        <v>0.26327905670971369</v>
      </c>
      <c r="BR52" s="90">
        <f t="shared" si="502"/>
        <v>0.37554291307273502</v>
      </c>
      <c r="BS52" s="90">
        <f t="shared" si="502"/>
        <v>0.24967175032824962</v>
      </c>
      <c r="BT52" s="90">
        <f t="shared" si="502"/>
        <v>0.25958171206225683</v>
      </c>
      <c r="BU52" s="90">
        <f t="shared" si="502"/>
        <v>0.25271751807790999</v>
      </c>
      <c r="BV52" s="90">
        <f t="shared" si="502"/>
        <v>0.21490759473528681</v>
      </c>
      <c r="BW52" s="90">
        <f t="shared" si="502"/>
        <v>0.24953230408737881</v>
      </c>
      <c r="BX52" s="90">
        <f t="shared" si="502"/>
        <v>0.25345453913406224</v>
      </c>
      <c r="BY52" s="90">
        <f t="shared" si="502"/>
        <v>0.25971912998801155</v>
      </c>
      <c r="BZ52" s="90">
        <f t="shared" si="502"/>
        <v>0.28270325647011402</v>
      </c>
      <c r="CA52" s="90">
        <f t="shared" si="502"/>
        <v>0.24906544033630035</v>
      </c>
      <c r="CB52" s="90">
        <f t="shared" si="502"/>
        <v>0.25779390383551432</v>
      </c>
      <c r="CC52" s="90">
        <f t="shared" si="502"/>
        <v>0.25589713348033433</v>
      </c>
      <c r="CD52" s="90">
        <f t="shared" si="502"/>
        <v>0.28020760807646061</v>
      </c>
      <c r="CE52" s="90">
        <f t="shared" ref="CE52:CF52" si="503">CE51/CE50</f>
        <v>0.25809905750911677</v>
      </c>
      <c r="CF52" s="90">
        <f t="shared" si="503"/>
        <v>0.25323182009453254</v>
      </c>
      <c r="CG52" s="90">
        <f t="shared" ref="CG52:CH52" si="504">CG51/CG50</f>
        <v>0.25791976939706945</v>
      </c>
      <c r="CH52" s="90">
        <f t="shared" si="504"/>
        <v>0.25866910928362202</v>
      </c>
      <c r="CI52" s="90">
        <f t="shared" ref="CI52:CJ52" si="505">CI51/CI50</f>
        <v>0.25677269237770373</v>
      </c>
      <c r="CJ52" s="90">
        <f t="shared" si="505"/>
        <v>0.25534293956719772</v>
      </c>
      <c r="CK52" s="90">
        <f t="shared" ref="CK52:CL52" si="506">CK51/CK50</f>
        <v>0.26028804303649672</v>
      </c>
      <c r="CL52" s="90">
        <f t="shared" si="506"/>
        <v>0.262501247629504</v>
      </c>
      <c r="CM52" s="91">
        <f t="shared" ref="CM52:DB52" si="507">AVERAGE(CI52:CL52)</f>
        <v>0.25872623065272549</v>
      </c>
      <c r="CN52" s="91">
        <f t="shared" si="507"/>
        <v>0.25921461522148098</v>
      </c>
      <c r="CO52" s="91">
        <f t="shared" si="507"/>
        <v>0.26018253413505182</v>
      </c>
      <c r="CP52" s="91">
        <f t="shared" si="507"/>
        <v>0.26015615690969057</v>
      </c>
      <c r="CQ52" s="91">
        <f t="shared" si="507"/>
        <v>0.25956988422973726</v>
      </c>
      <c r="CR52" s="91">
        <f t="shared" si="507"/>
        <v>0.2597807976239902</v>
      </c>
      <c r="CS52" s="91">
        <f t="shared" si="507"/>
        <v>0.25992234322461749</v>
      </c>
      <c r="CT52" s="91">
        <f t="shared" si="507"/>
        <v>0.25985729549700887</v>
      </c>
      <c r="CU52" s="91">
        <f t="shared" si="507"/>
        <v>0.25978258014383848</v>
      </c>
      <c r="CV52" s="91">
        <f t="shared" si="507"/>
        <v>0.25983575412236376</v>
      </c>
      <c r="CW52" s="91">
        <f t="shared" si="507"/>
        <v>0.25984949324695716</v>
      </c>
      <c r="CX52" s="91">
        <f t="shared" si="507"/>
        <v>0.25983128075254203</v>
      </c>
      <c r="CY52" s="91">
        <f t="shared" si="507"/>
        <v>0.25982477706642537</v>
      </c>
      <c r="CZ52" s="91">
        <f t="shared" si="507"/>
        <v>0.25983532629707207</v>
      </c>
      <c r="DA52" s="91">
        <f t="shared" si="507"/>
        <v>0.25983521934074916</v>
      </c>
      <c r="DB52" s="91">
        <f t="shared" si="507"/>
        <v>0.25983165086419713</v>
      </c>
      <c r="DE52" s="127"/>
      <c r="DF52" s="90">
        <v>0.25880322497207209</v>
      </c>
    </row>
    <row r="53" spans="1:110" s="26" customFormat="1" x14ac:dyDescent="0.2">
      <c r="A53" s="26" t="s">
        <v>22</v>
      </c>
      <c r="B53" s="26">
        <f t="shared" ref="B53:E53" si="508">B50-B51</f>
        <v>0</v>
      </c>
      <c r="C53" s="26">
        <f t="shared" si="508"/>
        <v>0</v>
      </c>
      <c r="D53" s="26">
        <f t="shared" si="508"/>
        <v>0</v>
      </c>
      <c r="E53" s="26">
        <f t="shared" si="508"/>
        <v>0</v>
      </c>
      <c r="F53" s="26">
        <f t="shared" ref="F53:T53" si="509">F50-F51</f>
        <v>0</v>
      </c>
      <c r="G53" s="26">
        <f t="shared" si="509"/>
        <v>0</v>
      </c>
      <c r="H53" s="26">
        <f t="shared" si="509"/>
        <v>0</v>
      </c>
      <c r="I53" s="26">
        <f t="shared" si="509"/>
        <v>0</v>
      </c>
      <c r="J53" s="26">
        <f t="shared" si="509"/>
        <v>0.35855059999999983</v>
      </c>
      <c r="K53" s="26">
        <f t="shared" si="509"/>
        <v>0.1897734999999999</v>
      </c>
      <c r="L53" s="26">
        <f t="shared" si="509"/>
        <v>0.52089149999999984</v>
      </c>
      <c r="M53" s="26">
        <f t="shared" si="509"/>
        <v>0.10714169999999995</v>
      </c>
      <c r="N53" s="26">
        <f t="shared" si="509"/>
        <v>0.14259930000000007</v>
      </c>
      <c r="O53" s="26">
        <f t="shared" si="509"/>
        <v>0.28655730000000007</v>
      </c>
      <c r="P53" s="26">
        <f t="shared" si="509"/>
        <v>-2.7392E-2</v>
      </c>
      <c r="Q53" s="26">
        <f t="shared" si="509"/>
        <v>0.15699999999999995</v>
      </c>
      <c r="R53" s="26">
        <f t="shared" si="509"/>
        <v>-0.15999999999998771</v>
      </c>
      <c r="S53" s="26">
        <f t="shared" si="509"/>
        <v>46.081999999999979</v>
      </c>
      <c r="T53" s="26">
        <f t="shared" si="509"/>
        <v>58.432999999999979</v>
      </c>
      <c r="U53" s="26">
        <f t="shared" ref="U53:Z53" si="510">U50-U51</f>
        <v>61.613999999999983</v>
      </c>
      <c r="V53" s="26">
        <f t="shared" si="510"/>
        <v>44.624400000000009</v>
      </c>
      <c r="W53" s="26">
        <f t="shared" si="510"/>
        <v>126.56070000000003</v>
      </c>
      <c r="X53" s="26">
        <f t="shared" si="510"/>
        <v>168.60110000000003</v>
      </c>
      <c r="Y53" s="26">
        <f t="shared" si="510"/>
        <v>225.82229999999996</v>
      </c>
      <c r="Z53" s="26">
        <f t="shared" si="510"/>
        <v>300.5098999999999</v>
      </c>
      <c r="AA53" s="26">
        <f t="shared" ref="AA53" si="511">AA50-AA51</f>
        <v>397.16539999999998</v>
      </c>
      <c r="AB53" s="27">
        <f t="shared" ref="AB53:AD53" si="512">AB50-AB51</f>
        <v>482.40757647760506</v>
      </c>
      <c r="AC53" s="27">
        <f t="shared" si="512"/>
        <v>708.47425524107871</v>
      </c>
      <c r="AD53" s="27">
        <f t="shared" si="512"/>
        <v>1019.1516087150228</v>
      </c>
      <c r="AE53" s="27">
        <f t="shared" ref="AE53" si="513">AE50-AE51</f>
        <v>1441.5553097651812</v>
      </c>
      <c r="AI53" s="26">
        <f>AI50-AI51</f>
        <v>0</v>
      </c>
      <c r="AJ53" s="26">
        <f t="shared" ref="AJ53" si="514">AJ50-AJ51</f>
        <v>0</v>
      </c>
      <c r="AK53" s="26">
        <f t="shared" ref="AK53:AM53" si="515">AK50-AK51</f>
        <v>0</v>
      </c>
      <c r="AL53" s="26">
        <f t="shared" si="515"/>
        <v>0</v>
      </c>
      <c r="AM53" s="26">
        <f t="shared" si="515"/>
        <v>0</v>
      </c>
      <c r="AN53" s="26">
        <f t="shared" ref="AN53:AO53" si="516">AN50-AN51</f>
        <v>0</v>
      </c>
      <c r="AO53" s="26">
        <f t="shared" si="516"/>
        <v>0</v>
      </c>
      <c r="AP53" s="26">
        <f t="shared" ref="AP53:CD53" si="517">AP50-AP51</f>
        <v>0</v>
      </c>
      <c r="AQ53" s="26">
        <f t="shared" si="517"/>
        <v>0</v>
      </c>
      <c r="AR53" s="26">
        <f t="shared" si="517"/>
        <v>0</v>
      </c>
      <c r="AS53" s="26">
        <f t="shared" si="517"/>
        <v>0</v>
      </c>
      <c r="AT53" s="26">
        <f t="shared" si="517"/>
        <v>0</v>
      </c>
      <c r="AU53" s="26">
        <f t="shared" si="517"/>
        <v>0</v>
      </c>
      <c r="AV53" s="26">
        <f t="shared" si="517"/>
        <v>0</v>
      </c>
      <c r="AW53" s="26">
        <f t="shared" si="517"/>
        <v>0</v>
      </c>
      <c r="AX53" s="26">
        <f t="shared" si="517"/>
        <v>0</v>
      </c>
      <c r="AY53" s="26">
        <f t="shared" si="517"/>
        <v>0</v>
      </c>
      <c r="AZ53" s="26">
        <f t="shared" si="517"/>
        <v>0</v>
      </c>
      <c r="BA53" s="26">
        <f t="shared" si="517"/>
        <v>0</v>
      </c>
      <c r="BB53" s="26">
        <f t="shared" si="517"/>
        <v>0</v>
      </c>
      <c r="BC53" s="26">
        <f t="shared" si="517"/>
        <v>0</v>
      </c>
      <c r="BD53" s="26">
        <f t="shared" si="517"/>
        <v>0</v>
      </c>
      <c r="BE53" s="26">
        <f t="shared" si="517"/>
        <v>0</v>
      </c>
      <c r="BF53" s="26">
        <f t="shared" si="517"/>
        <v>0</v>
      </c>
      <c r="BG53" s="26">
        <f t="shared" si="517"/>
        <v>0</v>
      </c>
      <c r="BH53" s="26">
        <f t="shared" si="517"/>
        <v>0</v>
      </c>
      <c r="BI53" s="26">
        <f t="shared" si="517"/>
        <v>0</v>
      </c>
      <c r="BJ53" s="26">
        <f t="shared" si="517"/>
        <v>0</v>
      </c>
      <c r="BK53" s="26">
        <f t="shared" si="517"/>
        <v>0</v>
      </c>
      <c r="BL53" s="26">
        <f t="shared" si="517"/>
        <v>0</v>
      </c>
      <c r="BM53" s="26">
        <f t="shared" si="517"/>
        <v>0</v>
      </c>
      <c r="BN53" s="26">
        <f t="shared" si="517"/>
        <v>0</v>
      </c>
      <c r="BO53" s="26">
        <f t="shared" si="517"/>
        <v>0</v>
      </c>
      <c r="BP53" s="26">
        <f t="shared" si="517"/>
        <v>0</v>
      </c>
      <c r="BQ53" s="26">
        <f t="shared" si="517"/>
        <v>13.120999999999999</v>
      </c>
      <c r="BR53" s="26">
        <f t="shared" si="517"/>
        <v>10.208000000000002</v>
      </c>
      <c r="BS53" s="26">
        <f t="shared" si="517"/>
        <v>29.716000000000008</v>
      </c>
      <c r="BT53" s="26">
        <f t="shared" si="517"/>
        <v>30.445999999999991</v>
      </c>
      <c r="BU53" s="26">
        <f t="shared" si="517"/>
        <v>32.036000000000001</v>
      </c>
      <c r="BV53" s="26">
        <f t="shared" si="517"/>
        <v>34.536999999999992</v>
      </c>
      <c r="BW53" s="26">
        <f t="shared" si="517"/>
        <v>39.714000000000006</v>
      </c>
      <c r="BX53" s="26">
        <f t="shared" si="517"/>
        <v>42.950999999999986</v>
      </c>
      <c r="BY53" s="26">
        <f t="shared" si="517"/>
        <v>43.225000000000016</v>
      </c>
      <c r="BZ53" s="26">
        <f t="shared" si="517"/>
        <v>42.71</v>
      </c>
      <c r="CA53" s="26">
        <f t="shared" si="517"/>
        <v>53.233000000000011</v>
      </c>
      <c r="CB53" s="26">
        <f t="shared" si="517"/>
        <v>57.684999999999974</v>
      </c>
      <c r="CC53" s="26">
        <f t="shared" si="517"/>
        <v>58.043000000000006</v>
      </c>
      <c r="CD53" s="26">
        <f t="shared" si="517"/>
        <v>56.859999999999985</v>
      </c>
      <c r="CE53" s="26">
        <f t="shared" ref="CE53:CF53" si="518">CE50-CE51</f>
        <v>73.443000000000012</v>
      </c>
      <c r="CF53" s="26">
        <f t="shared" si="518"/>
        <v>76.31</v>
      </c>
      <c r="CG53" s="26">
        <f t="shared" ref="CG53:CH53" si="519">CG50-CG51</f>
        <v>77.231999999999985</v>
      </c>
      <c r="CH53" s="26">
        <f t="shared" si="519"/>
        <v>73.649000000000001</v>
      </c>
      <c r="CI53" s="26">
        <f t="shared" ref="CI53:CJ53" si="520">CI50-CI51</f>
        <v>93.909000000000006</v>
      </c>
      <c r="CJ53" s="26">
        <f t="shared" si="520"/>
        <v>99.894999999999982</v>
      </c>
      <c r="CK53" s="26">
        <f t="shared" ref="CK53:CL53" si="521">CK50-CK51</f>
        <v>100.10300000000004</v>
      </c>
      <c r="CL53" s="26">
        <f t="shared" si="521"/>
        <v>103.44599999999997</v>
      </c>
      <c r="CM53" s="27">
        <f t="shared" ref="CM53:DB53" si="522">CM50-CM51</f>
        <v>111.72072189012989</v>
      </c>
      <c r="CN53" s="27">
        <f t="shared" si="522"/>
        <v>124.16015757042553</v>
      </c>
      <c r="CO53" s="27">
        <f t="shared" si="522"/>
        <v>121.55874973558718</v>
      </c>
      <c r="CP53" s="27">
        <f t="shared" si="522"/>
        <v>124.96794728146256</v>
      </c>
      <c r="CQ53" s="27">
        <f t="shared" si="522"/>
        <v>160.38105484829822</v>
      </c>
      <c r="CR53" s="27">
        <f t="shared" si="522"/>
        <v>178.54608614501012</v>
      </c>
      <c r="CS53" s="27">
        <f t="shared" si="522"/>
        <v>179.62591767793734</v>
      </c>
      <c r="CT53" s="27">
        <f t="shared" si="522"/>
        <v>189.921196569833</v>
      </c>
      <c r="CU53" s="27">
        <f t="shared" si="522"/>
        <v>229.99298804676454</v>
      </c>
      <c r="CV53" s="27">
        <f t="shared" si="522"/>
        <v>255.76843138662386</v>
      </c>
      <c r="CW53" s="27">
        <f t="shared" si="522"/>
        <v>259.34616916739253</v>
      </c>
      <c r="CX53" s="27">
        <f t="shared" si="522"/>
        <v>274.04402011424145</v>
      </c>
      <c r="CY53" s="27">
        <f t="shared" si="522"/>
        <v>325.82013595033118</v>
      </c>
      <c r="CZ53" s="27">
        <f t="shared" si="522"/>
        <v>361.03157144706017</v>
      </c>
      <c r="DA53" s="27">
        <f t="shared" si="522"/>
        <v>367.17859736956893</v>
      </c>
      <c r="DB53" s="27">
        <f t="shared" si="522"/>
        <v>387.52500499822088</v>
      </c>
      <c r="DE53" s="121"/>
      <c r="DF53" s="26">
        <v>397.16539999999998</v>
      </c>
    </row>
    <row r="54" spans="1:110" s="45" customFormat="1" x14ac:dyDescent="0.2">
      <c r="A54" s="45" t="s">
        <v>107</v>
      </c>
      <c r="B54" s="45" t="e">
        <f t="shared" ref="B54:E54" si="523">+B53/B22</f>
        <v>#DIV/0!</v>
      </c>
      <c r="C54" s="45" t="e">
        <f t="shared" si="523"/>
        <v>#DIV/0!</v>
      </c>
      <c r="D54" s="45" t="e">
        <f t="shared" si="523"/>
        <v>#DIV/0!</v>
      </c>
      <c r="E54" s="45" t="e">
        <f t="shared" si="523"/>
        <v>#DIV/0!</v>
      </c>
      <c r="F54" s="45" t="e">
        <f t="shared" ref="F54:AE54" si="524">+F53/F22</f>
        <v>#DIV/0!</v>
      </c>
      <c r="G54" s="45" t="e">
        <f t="shared" si="524"/>
        <v>#DIV/0!</v>
      </c>
      <c r="H54" s="45" t="e">
        <f t="shared" si="524"/>
        <v>#DIV/0!</v>
      </c>
      <c r="I54" s="45" t="e">
        <f t="shared" si="524"/>
        <v>#DIV/0!</v>
      </c>
      <c r="J54" s="45">
        <f t="shared" si="524"/>
        <v>0.21840453666671306</v>
      </c>
      <c r="K54" s="45">
        <f t="shared" si="524"/>
        <v>9.4320829737615741E-2</v>
      </c>
      <c r="L54" s="45">
        <f t="shared" si="524"/>
        <v>0.25889239562624244</v>
      </c>
      <c r="M54" s="45">
        <f t="shared" si="524"/>
        <v>0.11369839056825579</v>
      </c>
      <c r="N54" s="45">
        <f t="shared" si="524"/>
        <v>0.22529201211084812</v>
      </c>
      <c r="O54" s="45">
        <f t="shared" si="524"/>
        <v>0.56969642147117305</v>
      </c>
      <c r="P54" s="45" t="e">
        <f t="shared" si="524"/>
        <v>#DIV/0!</v>
      </c>
      <c r="Q54" s="45">
        <f t="shared" si="524"/>
        <v>0.33052631578947356</v>
      </c>
      <c r="R54" s="45">
        <f t="shared" si="524"/>
        <v>-3.901106939093668E-3</v>
      </c>
      <c r="S54" s="45">
        <f t="shared" si="524"/>
        <v>0.20848564913677647</v>
      </c>
      <c r="T54" s="45">
        <f t="shared" si="524"/>
        <v>0.21126444843756206</v>
      </c>
      <c r="U54" s="45">
        <f t="shared" si="524"/>
        <v>0.18568109285862808</v>
      </c>
      <c r="V54" s="45">
        <f t="shared" si="524"/>
        <v>0.16818439815746572</v>
      </c>
      <c r="W54" s="45">
        <f t="shared" si="524"/>
        <v>0.30315022021145194</v>
      </c>
      <c r="X54" s="45">
        <f t="shared" si="524"/>
        <v>0.30731204691818703</v>
      </c>
      <c r="Y54" s="45">
        <f t="shared" si="524"/>
        <v>0.31177037852613987</v>
      </c>
      <c r="Z54" s="45">
        <f t="shared" ref="Z54:AA54" si="525">+Z53/Z22</f>
        <v>0.31999960387377363</v>
      </c>
      <c r="AA54" s="45">
        <f t="shared" ref="AA54" si="526">+AA53/AA22</f>
        <v>0.34571444737013901</v>
      </c>
      <c r="AB54" s="48">
        <f t="shared" si="524"/>
        <v>0.32561812181518068</v>
      </c>
      <c r="AC54" s="48">
        <f t="shared" si="524"/>
        <v>0.3678537332564189</v>
      </c>
      <c r="AD54" s="48">
        <f t="shared" si="524"/>
        <v>0.40704885425016513</v>
      </c>
      <c r="AE54" s="48">
        <f t="shared" si="524"/>
        <v>0.44288982217428208</v>
      </c>
      <c r="AI54" s="45" t="e">
        <f t="shared" ref="AI54:BN54" si="527">+AI53/AI22</f>
        <v>#DIV/0!</v>
      </c>
      <c r="AJ54" s="45" t="e">
        <f t="shared" si="527"/>
        <v>#DIV/0!</v>
      </c>
      <c r="AK54" s="45" t="e">
        <f t="shared" si="527"/>
        <v>#DIV/0!</v>
      </c>
      <c r="AL54" s="45" t="e">
        <f t="shared" si="527"/>
        <v>#DIV/0!</v>
      </c>
      <c r="AM54" s="45" t="e">
        <f t="shared" si="527"/>
        <v>#DIV/0!</v>
      </c>
      <c r="AN54" s="45" t="e">
        <f t="shared" si="527"/>
        <v>#DIV/0!</v>
      </c>
      <c r="AO54" s="45" t="e">
        <f t="shared" si="527"/>
        <v>#DIV/0!</v>
      </c>
      <c r="AP54" s="45" t="e">
        <f t="shared" si="527"/>
        <v>#DIV/0!</v>
      </c>
      <c r="AQ54" s="45" t="e">
        <f t="shared" si="527"/>
        <v>#DIV/0!</v>
      </c>
      <c r="AR54" s="45" t="e">
        <f t="shared" si="527"/>
        <v>#DIV/0!</v>
      </c>
      <c r="AS54" s="45" t="e">
        <f t="shared" si="527"/>
        <v>#DIV/0!</v>
      </c>
      <c r="AT54" s="45" t="e">
        <f t="shared" si="527"/>
        <v>#DIV/0!</v>
      </c>
      <c r="AU54" s="45" t="e">
        <f t="shared" si="527"/>
        <v>#DIV/0!</v>
      </c>
      <c r="AV54" s="45" t="e">
        <f t="shared" si="527"/>
        <v>#DIV/0!</v>
      </c>
      <c r="AW54" s="45" t="e">
        <f t="shared" si="527"/>
        <v>#DIV/0!</v>
      </c>
      <c r="AX54" s="45" t="e">
        <f t="shared" si="527"/>
        <v>#DIV/0!</v>
      </c>
      <c r="AY54" s="45" t="e">
        <f t="shared" si="527"/>
        <v>#DIV/0!</v>
      </c>
      <c r="AZ54" s="45" t="e">
        <f t="shared" si="527"/>
        <v>#DIV/0!</v>
      </c>
      <c r="BA54" s="45" t="e">
        <f t="shared" si="527"/>
        <v>#DIV/0!</v>
      </c>
      <c r="BB54" s="45" t="e">
        <f t="shared" si="527"/>
        <v>#DIV/0!</v>
      </c>
      <c r="BC54" s="45" t="e">
        <f t="shared" si="527"/>
        <v>#DIV/0!</v>
      </c>
      <c r="BD54" s="45" t="e">
        <f t="shared" si="527"/>
        <v>#DIV/0!</v>
      </c>
      <c r="BE54" s="45" t="e">
        <f t="shared" si="527"/>
        <v>#DIV/0!</v>
      </c>
      <c r="BF54" s="45" t="e">
        <f t="shared" si="527"/>
        <v>#DIV/0!</v>
      </c>
      <c r="BG54" s="45" t="e">
        <f t="shared" si="527"/>
        <v>#DIV/0!</v>
      </c>
      <c r="BH54" s="45" t="e">
        <f t="shared" si="527"/>
        <v>#DIV/0!</v>
      </c>
      <c r="BI54" s="45" t="e">
        <f t="shared" si="527"/>
        <v>#DIV/0!</v>
      </c>
      <c r="BJ54" s="45" t="e">
        <f t="shared" si="527"/>
        <v>#DIV/0!</v>
      </c>
      <c r="BK54" s="45" t="e">
        <f t="shared" si="527"/>
        <v>#DIV/0!</v>
      </c>
      <c r="BL54" s="45" t="e">
        <f t="shared" si="527"/>
        <v>#DIV/0!</v>
      </c>
      <c r="BM54" s="45" t="e">
        <f t="shared" si="527"/>
        <v>#DIV/0!</v>
      </c>
      <c r="BN54" s="45" t="e">
        <f t="shared" si="527"/>
        <v>#DIV/0!</v>
      </c>
      <c r="BO54" s="45" t="e">
        <f t="shared" ref="BO54:CT54" si="528">+BO53/BO22</f>
        <v>#DIV/0!</v>
      </c>
      <c r="BP54" s="45" t="e">
        <f t="shared" si="528"/>
        <v>#DIV/0!</v>
      </c>
      <c r="BQ54" s="45">
        <f t="shared" si="528"/>
        <v>0.1927234805087982</v>
      </c>
      <c r="BR54" s="45">
        <f t="shared" si="528"/>
        <v>0.14540689144338564</v>
      </c>
      <c r="BS54" s="45">
        <f t="shared" si="528"/>
        <v>0.30461702476627855</v>
      </c>
      <c r="BT54" s="45">
        <f t="shared" si="528"/>
        <v>0.2992971246006389</v>
      </c>
      <c r="BU54" s="45">
        <f t="shared" si="528"/>
        <v>0.3031042736983528</v>
      </c>
      <c r="BV54" s="45">
        <f t="shared" si="528"/>
        <v>0.30695462827178593</v>
      </c>
      <c r="BW54" s="45">
        <f t="shared" si="528"/>
        <v>0.30176206432788533</v>
      </c>
      <c r="BX54" s="45">
        <f t="shared" si="528"/>
        <v>0.31566994700984097</v>
      </c>
      <c r="BY54" s="45">
        <f t="shared" si="528"/>
        <v>0.31322009825944563</v>
      </c>
      <c r="BZ54" s="45">
        <f t="shared" si="528"/>
        <v>0.29875489647453835</v>
      </c>
      <c r="CA54" s="45">
        <f t="shared" si="528"/>
        <v>0.30414338441145894</v>
      </c>
      <c r="CB54" s="45">
        <f t="shared" si="528"/>
        <v>0.31594196548381254</v>
      </c>
      <c r="CC54" s="45">
        <f t="shared" si="528"/>
        <v>0.31816412780722575</v>
      </c>
      <c r="CD54" s="45">
        <f t="shared" si="528"/>
        <v>0.30854550584966678</v>
      </c>
      <c r="CE54" s="45">
        <f t="shared" si="528"/>
        <v>0.30908532325536381</v>
      </c>
      <c r="CF54" s="45">
        <f t="shared" si="528"/>
        <v>0.31470506967556222</v>
      </c>
      <c r="CG54" s="45">
        <f t="shared" si="528"/>
        <v>0.32581842726965909</v>
      </c>
      <c r="CH54" s="45">
        <f t="shared" si="528"/>
        <v>0.33181203820508198</v>
      </c>
      <c r="CI54" s="45">
        <f t="shared" ref="CI54:CJ54" si="529">+CI53/CI22</f>
        <v>0.34271231346960229</v>
      </c>
      <c r="CJ54" s="45">
        <f t="shared" si="529"/>
        <v>0.33593282352387288</v>
      </c>
      <c r="CK54" s="45">
        <f t="shared" ref="CK54:CL54" si="530">+CK53/CK22</f>
        <v>0.34563088694307109</v>
      </c>
      <c r="CL54" s="45">
        <f t="shared" si="530"/>
        <v>0.3594146300787302</v>
      </c>
      <c r="CM54" s="48">
        <f t="shared" si="528"/>
        <v>0.32452153164621433</v>
      </c>
      <c r="CN54" s="48">
        <f t="shared" si="528"/>
        <v>0.32117933292882156</v>
      </c>
      <c r="CO54" s="48">
        <f t="shared" si="528"/>
        <v>0.32285560093720234</v>
      </c>
      <c r="CP54" s="48">
        <f t="shared" si="528"/>
        <v>0.33399297547932955</v>
      </c>
      <c r="CQ54" s="48">
        <f t="shared" si="528"/>
        <v>0.35835997453054413</v>
      </c>
      <c r="CR54" s="48">
        <f t="shared" si="528"/>
        <v>0.35528127520778419</v>
      </c>
      <c r="CS54" s="48">
        <f t="shared" si="528"/>
        <v>0.36698452218468558</v>
      </c>
      <c r="CT54" s="48">
        <f t="shared" si="528"/>
        <v>0.39045301633094198</v>
      </c>
      <c r="CU54" s="48">
        <f t="shared" ref="CU54:DB54" si="531">+CU53/CU22</f>
        <v>0.39530988541202355</v>
      </c>
      <c r="CV54" s="48">
        <f t="shared" si="531"/>
        <v>0.39149441608263336</v>
      </c>
      <c r="CW54" s="48">
        <f t="shared" si="531"/>
        <v>0.40758222251205806</v>
      </c>
      <c r="CX54" s="48">
        <f t="shared" si="531"/>
        <v>0.4333834493690979</v>
      </c>
      <c r="CY54" s="48">
        <f t="shared" si="531"/>
        <v>0.43078209838984116</v>
      </c>
      <c r="CZ54" s="48">
        <f t="shared" si="531"/>
        <v>0.42508958196404817</v>
      </c>
      <c r="DA54" s="48">
        <f t="shared" si="531"/>
        <v>0.44388390904239139</v>
      </c>
      <c r="DB54" s="48">
        <f t="shared" si="531"/>
        <v>0.47142039811676234</v>
      </c>
      <c r="DE54" s="129"/>
      <c r="DF54" s="45">
        <v>0.34571444737013901</v>
      </c>
    </row>
    <row r="55" spans="1:110" s="39" customFormat="1" x14ac:dyDescent="0.2">
      <c r="A55" s="39" t="s">
        <v>451</v>
      </c>
      <c r="C55" s="39" t="e">
        <f t="shared" ref="C55:E55" si="532">+IF(B53&lt;0,1-C53/B53,C53/B53-1)</f>
        <v>#DIV/0!</v>
      </c>
      <c r="D55" s="39" t="e">
        <f t="shared" si="532"/>
        <v>#DIV/0!</v>
      </c>
      <c r="E55" s="39" t="e">
        <f t="shared" si="532"/>
        <v>#DIV/0!</v>
      </c>
      <c r="F55" s="39" t="e">
        <f t="shared" ref="F55:AE55" si="533">+IF(E53&lt;0,1-F53/E53,F53/E53-1)</f>
        <v>#DIV/0!</v>
      </c>
      <c r="G55" s="39" t="e">
        <f t="shared" si="533"/>
        <v>#DIV/0!</v>
      </c>
      <c r="H55" s="39" t="e">
        <f t="shared" si="533"/>
        <v>#DIV/0!</v>
      </c>
      <c r="I55" s="39" t="e">
        <f t="shared" si="533"/>
        <v>#DIV/0!</v>
      </c>
      <c r="J55" s="39" t="e">
        <f t="shared" si="533"/>
        <v>#DIV/0!</v>
      </c>
      <c r="K55" s="39">
        <f t="shared" si="533"/>
        <v>-0.47072045061422296</v>
      </c>
      <c r="L55" s="39">
        <f t="shared" si="533"/>
        <v>1.7448063085731156</v>
      </c>
      <c r="M55" s="39">
        <f t="shared" si="533"/>
        <v>-0.79431090735786625</v>
      </c>
      <c r="N55" s="39">
        <f t="shared" si="533"/>
        <v>0.33094117416468216</v>
      </c>
      <c r="O55" s="39">
        <f t="shared" si="533"/>
        <v>1.0095280972627489</v>
      </c>
      <c r="P55" s="39">
        <f t="shared" si="533"/>
        <v>-1.0955899570522196</v>
      </c>
      <c r="Q55" s="39">
        <f t="shared" si="533"/>
        <v>6.7316004672897174</v>
      </c>
      <c r="R55" s="39">
        <f t="shared" si="533"/>
        <v>-2.0191082802546991</v>
      </c>
      <c r="S55" s="39">
        <f t="shared" si="533"/>
        <v>289.01250000002199</v>
      </c>
      <c r="T55" s="39">
        <f t="shared" si="533"/>
        <v>0.2680222212577581</v>
      </c>
      <c r="U55" s="39">
        <f t="shared" si="533"/>
        <v>5.4438416648127097E-2</v>
      </c>
      <c r="V55" s="39">
        <f t="shared" si="533"/>
        <v>-0.27574252604927418</v>
      </c>
      <c r="W55" s="39">
        <f t="shared" si="533"/>
        <v>1.8361322505176538</v>
      </c>
      <c r="X55" s="39">
        <f t="shared" si="533"/>
        <v>0.33217578600624043</v>
      </c>
      <c r="Y55" s="39">
        <f t="shared" si="533"/>
        <v>0.33938805855952259</v>
      </c>
      <c r="Z55" s="39">
        <f t="shared" ref="Z55:AA55" si="534">+IF(Y53&lt;0,1-Z53/Y53,Z53/Y53-1)</f>
        <v>0.33073615847504856</v>
      </c>
      <c r="AA55" s="39">
        <f t="shared" si="534"/>
        <v>0.32163832206526344</v>
      </c>
      <c r="AB55" s="40">
        <f t="shared" si="533"/>
        <v>0.21462639111464665</v>
      </c>
      <c r="AC55" s="40">
        <f t="shared" si="533"/>
        <v>0.46862174183528471</v>
      </c>
      <c r="AD55" s="40">
        <f t="shared" si="533"/>
        <v>0.43851608040185908</v>
      </c>
      <c r="AE55" s="40">
        <f t="shared" si="533"/>
        <v>0.41446601019718532</v>
      </c>
      <c r="AM55" s="39" t="e">
        <f>+IF(AI53&lt;0,1-AM53/AI53,AM53/AI53-1)</f>
        <v>#DIV/0!</v>
      </c>
      <c r="AN55" s="39" t="e">
        <f t="shared" ref="AN55" si="535">+IF(AJ53&lt;0,1-AN53/AJ53,AN53/AJ53-1)</f>
        <v>#DIV/0!</v>
      </c>
      <c r="AO55" s="39" t="e">
        <f t="shared" ref="AO55" si="536">+IF(AK53&lt;0,1-AO53/AK53,AO53/AK53-1)</f>
        <v>#DIV/0!</v>
      </c>
      <c r="AP55" s="39" t="e">
        <f t="shared" ref="AP55" si="537">+IF(AL53&lt;0,1-AP53/AL53,AP53/AL53-1)</f>
        <v>#DIV/0!</v>
      </c>
      <c r="AQ55" s="39" t="e">
        <f t="shared" ref="AQ55" si="538">+IF(AM53&lt;0,1-AQ53/AM53,AQ53/AM53-1)</f>
        <v>#DIV/0!</v>
      </c>
      <c r="AR55" s="39" t="e">
        <f t="shared" ref="AR55" si="539">+IF(AN53&lt;0,1-AR53/AN53,AR53/AN53-1)</f>
        <v>#DIV/0!</v>
      </c>
      <c r="AS55" s="39" t="e">
        <f t="shared" ref="AS55" si="540">+IF(AO53&lt;0,1-AS53/AO53,AS53/AO53-1)</f>
        <v>#DIV/0!</v>
      </c>
      <c r="AT55" s="39" t="e">
        <f t="shared" ref="AT55" si="541">+IF(AP53&lt;0,1-AT53/AP53,AT53/AP53-1)</f>
        <v>#DIV/0!</v>
      </c>
      <c r="AU55" s="39" t="e">
        <f t="shared" ref="AU55" si="542">+IF(AQ53&lt;0,1-AU53/AQ53,AU53/AQ53-1)</f>
        <v>#DIV/0!</v>
      </c>
      <c r="AV55" s="39" t="e">
        <f t="shared" ref="AV55" si="543">+IF(AR53&lt;0,1-AV53/AR53,AV53/AR53-1)</f>
        <v>#DIV/0!</v>
      </c>
      <c r="AW55" s="39" t="e">
        <f t="shared" ref="AW55" si="544">+IF(AS53&lt;0,1-AW53/AS53,AW53/AS53-1)</f>
        <v>#DIV/0!</v>
      </c>
      <c r="AX55" s="39" t="e">
        <f t="shared" ref="AX55" si="545">+IF(AT53&lt;0,1-AX53/AT53,AX53/AT53-1)</f>
        <v>#DIV/0!</v>
      </c>
      <c r="AY55" s="39" t="e">
        <f t="shared" ref="AY55" si="546">+IF(AU53&lt;0,1-AY53/AU53,AY53/AU53-1)</f>
        <v>#DIV/0!</v>
      </c>
      <c r="AZ55" s="39" t="e">
        <f t="shared" ref="AZ55" si="547">+IF(AV53&lt;0,1-AZ53/AV53,AZ53/AV53-1)</f>
        <v>#DIV/0!</v>
      </c>
      <c r="BA55" s="39" t="e">
        <f t="shared" ref="BA55" si="548">+IF(AW53&lt;0,1-BA53/AW53,BA53/AW53-1)</f>
        <v>#DIV/0!</v>
      </c>
      <c r="BB55" s="39" t="e">
        <f t="shared" ref="BB55" si="549">+IF(AX53&lt;0,1-BB53/AX53,BB53/AX53-1)</f>
        <v>#DIV/0!</v>
      </c>
      <c r="BC55" s="39" t="e">
        <f t="shared" ref="BC55" si="550">+IF(AY53&lt;0,1-BC53/AY53,BC53/AY53-1)</f>
        <v>#DIV/0!</v>
      </c>
      <c r="BD55" s="39" t="e">
        <f t="shared" ref="BD55" si="551">+IF(AZ53&lt;0,1-BD53/AZ53,BD53/AZ53-1)</f>
        <v>#DIV/0!</v>
      </c>
      <c r="BE55" s="39" t="e">
        <f t="shared" ref="BE55" si="552">+IF(BA53&lt;0,1-BE53/BA53,BE53/BA53-1)</f>
        <v>#DIV/0!</v>
      </c>
      <c r="BF55" s="39" t="e">
        <f t="shared" ref="BF55" si="553">+IF(BB53&lt;0,1-BF53/BB53,BF53/BB53-1)</f>
        <v>#DIV/0!</v>
      </c>
      <c r="BG55" s="39" t="e">
        <f t="shared" ref="BG55" si="554">+IF(BC53&lt;0,1-BG53/BC53,BG53/BC53-1)</f>
        <v>#DIV/0!</v>
      </c>
      <c r="BH55" s="39" t="e">
        <f t="shared" ref="BH55" si="555">+IF(BD53&lt;0,1-BH53/BD53,BH53/BD53-1)</f>
        <v>#DIV/0!</v>
      </c>
      <c r="BI55" s="39" t="e">
        <f t="shared" ref="BI55" si="556">+IF(BE53&lt;0,1-BI53/BE53,BI53/BE53-1)</f>
        <v>#DIV/0!</v>
      </c>
      <c r="BJ55" s="39" t="e">
        <f t="shared" ref="BJ55" si="557">+IF(BF53&lt;0,1-BJ53/BF53,BJ53/BF53-1)</f>
        <v>#DIV/0!</v>
      </c>
      <c r="BK55" s="39" t="e">
        <f t="shared" ref="BK55" si="558">+IF(BG53&lt;0,1-BK53/BG53,BK53/BG53-1)</f>
        <v>#DIV/0!</v>
      </c>
      <c r="BL55" s="39" t="e">
        <f t="shared" ref="BL55" si="559">+IF(BH53&lt;0,1-BL53/BH53,BL53/BH53-1)</f>
        <v>#DIV/0!</v>
      </c>
      <c r="BM55" s="39" t="e">
        <f t="shared" ref="BM55" si="560">+IF(BI53&lt;0,1-BM53/BI53,BM53/BI53-1)</f>
        <v>#DIV/0!</v>
      </c>
      <c r="BN55" s="39" t="e">
        <f t="shared" ref="BN55" si="561">+IF(BJ53&lt;0,1-BN53/BJ53,BN53/BJ53-1)</f>
        <v>#DIV/0!</v>
      </c>
      <c r="BO55" s="39" t="e">
        <f t="shared" ref="BO55" si="562">+IF(BK53&lt;0,1-BO53/BK53,BO53/BK53-1)</f>
        <v>#DIV/0!</v>
      </c>
      <c r="BP55" s="39" t="e">
        <f t="shared" ref="BP55" si="563">+IF(BL53&lt;0,1-BP53/BL53,BP53/BL53-1)</f>
        <v>#DIV/0!</v>
      </c>
      <c r="BQ55" s="39" t="e">
        <f t="shared" ref="BQ55" si="564">+IF(BM53&lt;0,1-BQ53/BM53,BQ53/BM53-1)</f>
        <v>#DIV/0!</v>
      </c>
      <c r="BR55" s="39" t="e">
        <f t="shared" ref="BR55" si="565">+IF(BN53&lt;0,1-BR53/BN53,BR53/BN53-1)</f>
        <v>#DIV/0!</v>
      </c>
      <c r="BS55" s="39" t="e">
        <f t="shared" ref="BS55" si="566">+IF(BO53&lt;0,1-BS53/BO53,BS53/BO53-1)</f>
        <v>#DIV/0!</v>
      </c>
      <c r="BT55" s="39" t="e">
        <f t="shared" ref="BT55" si="567">+IF(BP53&lt;0,1-BT53/BP53,BT53/BP53-1)</f>
        <v>#DIV/0!</v>
      </c>
      <c r="BU55" s="39">
        <f t="shared" ref="BU55" si="568">+IF(BQ53&lt;0,1-BU53/BQ53,BU53/BQ53-1)</f>
        <v>1.4415821964789273</v>
      </c>
      <c r="BV55" s="39">
        <f t="shared" ref="BV55" si="569">+IF(BR53&lt;0,1-BV53/BR53,BV53/BR53-1)</f>
        <v>2.3833268025078356</v>
      </c>
      <c r="BW55" s="39">
        <f t="shared" ref="BW55" si="570">+IF(BS53&lt;0,1-BW53/BS53,BW53/BS53-1)</f>
        <v>0.33645174316866311</v>
      </c>
      <c r="BX55" s="39">
        <f t="shared" ref="BX55" si="571">+IF(BT53&lt;0,1-BX53/BT53,BX53/BT53-1)</f>
        <v>0.41072718912172368</v>
      </c>
      <c r="BY55" s="39">
        <f t="shared" ref="BY55" si="572">+IF(BU53&lt;0,1-BY53/BU53,BY53/BU53-1)</f>
        <v>0.34926332875515098</v>
      </c>
      <c r="BZ55" s="39">
        <f t="shared" ref="BZ55" si="573">+IF(BV53&lt;0,1-BZ53/BV53,BZ53/BV53-1)</f>
        <v>0.23664475779598715</v>
      </c>
      <c r="CA55" s="39">
        <f t="shared" ref="CA55" si="574">+IF(BW53&lt;0,1-CA53/BW53,CA53/BW53-1)</f>
        <v>0.34040892380520726</v>
      </c>
      <c r="CB55" s="39">
        <f t="shared" ref="CB55" si="575">+IF(BX53&lt;0,1-CB53/BX53,CB53/BX53-1)</f>
        <v>0.34304207119741092</v>
      </c>
      <c r="CC55" s="39">
        <f t="shared" ref="CC55" si="576">+IF(BY53&lt;0,1-CC53/BY53,CC53/BY53-1)</f>
        <v>0.34281087333718885</v>
      </c>
      <c r="CD55" s="39">
        <f t="shared" ref="CD55" si="577">+IF(BZ53&lt;0,1-CD53/BZ53,CD53/BZ53-1)</f>
        <v>0.33130414422851762</v>
      </c>
      <c r="CE55" s="39">
        <f t="shared" ref="CE55" si="578">+IF(CA53&lt;0,1-CE53/CA53,CE53/CA53-1)</f>
        <v>0.37965171979786971</v>
      </c>
      <c r="CF55" s="39">
        <f t="shared" ref="CF55" si="579">+IF(CB53&lt;0,1-CF53/CB53,CF53/CB53-1)</f>
        <v>0.32287423073589383</v>
      </c>
      <c r="CG55" s="39">
        <f t="shared" ref="CG55" si="580">+IF(CC53&lt;0,1-CG53/CC53,CG53/CC53-1)</f>
        <v>0.33059972778801883</v>
      </c>
      <c r="CH55" s="39">
        <f t="shared" ref="CH55:CL55" si="581">+IF(CD53&lt;0,1-CH53/CD53,CH53/CD53-1)</f>
        <v>0.29526908195568091</v>
      </c>
      <c r="CI55" s="39">
        <f t="shared" si="581"/>
        <v>0.27866508721048966</v>
      </c>
      <c r="CJ55" s="39">
        <f t="shared" si="581"/>
        <v>0.30906827414493487</v>
      </c>
      <c r="CK55" s="39">
        <f t="shared" si="581"/>
        <v>0.29613372695255924</v>
      </c>
      <c r="CL55" s="39">
        <f t="shared" si="581"/>
        <v>0.40458118915395946</v>
      </c>
      <c r="CM55" s="40">
        <f t="shared" ref="CM55" si="582">+CM53/CI53-1</f>
        <v>0.18967001980779141</v>
      </c>
      <c r="CN55" s="40">
        <f t="shared" ref="CN55" si="583">+CN53/CJ53-1</f>
        <v>0.24290662766330184</v>
      </c>
      <c r="CO55" s="40">
        <f t="shared" ref="CO55" si="584">+CO53/CK53-1</f>
        <v>0.21433673052343227</v>
      </c>
      <c r="CP55" s="40">
        <f t="shared" ref="CP55" si="585">+CP53/CL53-1</f>
        <v>0.20805006748895649</v>
      </c>
      <c r="CQ55" s="40">
        <f t="shared" ref="CQ55" si="586">+CQ53/CM53-1</f>
        <v>0.43555333455527268</v>
      </c>
      <c r="CR55" s="40">
        <f t="shared" ref="CR55" si="587">+CR53/CN53-1</f>
        <v>0.43803044099501953</v>
      </c>
      <c r="CS55" s="40">
        <f t="shared" ref="CS55" si="588">+CS53/CO53-1</f>
        <v>0.47768809788400257</v>
      </c>
      <c r="CT55" s="40">
        <f t="shared" ref="CT55" si="589">+CT53/CP53-1</f>
        <v>0.51975927188815607</v>
      </c>
      <c r="CU55" s="40">
        <f t="shared" ref="CU55" si="590">+CU53/CQ53-1</f>
        <v>0.43404087386949231</v>
      </c>
      <c r="CV55" s="40">
        <f t="shared" ref="CV55" si="591">+CV53/CR53-1</f>
        <v>0.43250651363422166</v>
      </c>
      <c r="CW55" s="40">
        <f t="shared" ref="CW55" si="592">+CW53/CS53-1</f>
        <v>0.44381263305438279</v>
      </c>
      <c r="CX55" s="40">
        <f t="shared" ref="CX55" si="593">+CX53/CT53-1</f>
        <v>0.44293541249608204</v>
      </c>
      <c r="CY55" s="40">
        <f t="shared" ref="CY55" si="594">+CY53/CU53-1</f>
        <v>0.41665247587496923</v>
      </c>
      <c r="CZ55" s="40">
        <f t="shared" ref="CZ55" si="595">+CZ53/CV53-1</f>
        <v>0.41155642035165307</v>
      </c>
      <c r="DA55" s="40">
        <f t="shared" ref="DA55" si="596">+DA53/CW53-1</f>
        <v>0.41578569889180428</v>
      </c>
      <c r="DB55" s="40">
        <f t="shared" ref="DB55" si="597">+DB53/CX53-1</f>
        <v>0.41409765057698511</v>
      </c>
      <c r="DE55" s="122"/>
      <c r="DF55" s="39">
        <v>0.32163832206526344</v>
      </c>
    </row>
    <row r="56" spans="1:110" s="39" customFormat="1" x14ac:dyDescent="0.2">
      <c r="A56" s="39" t="s">
        <v>452</v>
      </c>
      <c r="AB56" s="40"/>
      <c r="AC56" s="40"/>
      <c r="AD56" s="40"/>
      <c r="AE56" s="40"/>
      <c r="AJ56" s="39" t="e">
        <f>+IF(AI53&lt;0,1-AJ53/AI53,AJ53/AI53-1)</f>
        <v>#DIV/0!</v>
      </c>
      <c r="AK56" s="39" t="e">
        <f t="shared" ref="AK56:AM56" si="598">+IF(AJ53&lt;0,1-AK53/AJ53,AK53/AJ53-1)</f>
        <v>#DIV/0!</v>
      </c>
      <c r="AL56" s="39" t="e">
        <f t="shared" si="598"/>
        <v>#DIV/0!</v>
      </c>
      <c r="AM56" s="39" t="e">
        <f t="shared" si="598"/>
        <v>#DIV/0!</v>
      </c>
      <c r="AN56" s="39" t="e">
        <f t="shared" ref="AN56" si="599">+IF(AM53&lt;0,1-AN53/AM53,AN53/AM53-1)</f>
        <v>#DIV/0!</v>
      </c>
      <c r="AO56" s="39" t="e">
        <f t="shared" ref="AO56" si="600">+IF(AN53&lt;0,1-AO53/AN53,AO53/AN53-1)</f>
        <v>#DIV/0!</v>
      </c>
      <c r="AP56" s="39" t="e">
        <f t="shared" ref="AP56" si="601">+IF(AO53&lt;0,1-AP53/AO53,AP53/AO53-1)</f>
        <v>#DIV/0!</v>
      </c>
      <c r="AQ56" s="39" t="e">
        <f t="shared" ref="AQ56" si="602">+IF(AP53&lt;0,1-AQ53/AP53,AQ53/AP53-1)</f>
        <v>#DIV/0!</v>
      </c>
      <c r="AR56" s="39" t="e">
        <f t="shared" ref="AR56" si="603">+IF(AQ53&lt;0,1-AR53/AQ53,AR53/AQ53-1)</f>
        <v>#DIV/0!</v>
      </c>
      <c r="AS56" s="39" t="e">
        <f t="shared" ref="AS56" si="604">+IF(AR53&lt;0,1-AS53/AR53,AS53/AR53-1)</f>
        <v>#DIV/0!</v>
      </c>
      <c r="AT56" s="39" t="e">
        <f t="shared" ref="AT56" si="605">+IF(AS53&lt;0,1-AT53/AS53,AT53/AS53-1)</f>
        <v>#DIV/0!</v>
      </c>
      <c r="AU56" s="39" t="e">
        <f t="shared" ref="AU56" si="606">+IF(AT53&lt;0,1-AU53/AT53,AU53/AT53-1)</f>
        <v>#DIV/0!</v>
      </c>
      <c r="AV56" s="39" t="e">
        <f t="shared" ref="AV56" si="607">+IF(AU53&lt;0,1-AV53/AU53,AV53/AU53-1)</f>
        <v>#DIV/0!</v>
      </c>
      <c r="AW56" s="39" t="e">
        <f t="shared" ref="AW56" si="608">+IF(AV53&lt;0,1-AW53/AV53,AW53/AV53-1)</f>
        <v>#DIV/0!</v>
      </c>
      <c r="AX56" s="39" t="e">
        <f t="shared" ref="AX56" si="609">+IF(AW53&lt;0,1-AX53/AW53,AX53/AW53-1)</f>
        <v>#DIV/0!</v>
      </c>
      <c r="AY56" s="39" t="e">
        <f t="shared" ref="AY56" si="610">+IF(AX53&lt;0,1-AY53/AX53,AY53/AX53-1)</f>
        <v>#DIV/0!</v>
      </c>
      <c r="AZ56" s="39" t="e">
        <f t="shared" ref="AZ56" si="611">+IF(AY53&lt;0,1-AZ53/AY53,AZ53/AY53-1)</f>
        <v>#DIV/0!</v>
      </c>
      <c r="BA56" s="39" t="e">
        <f t="shared" ref="BA56" si="612">+IF(AZ53&lt;0,1-BA53/AZ53,BA53/AZ53-1)</f>
        <v>#DIV/0!</v>
      </c>
      <c r="BB56" s="39" t="e">
        <f t="shared" ref="BB56" si="613">+IF(BA53&lt;0,1-BB53/BA53,BB53/BA53-1)</f>
        <v>#DIV/0!</v>
      </c>
      <c r="BC56" s="39" t="e">
        <f t="shared" ref="BC56" si="614">+IF(BB53&lt;0,1-BC53/BB53,BC53/BB53-1)</f>
        <v>#DIV/0!</v>
      </c>
      <c r="BD56" s="39" t="e">
        <f t="shared" ref="BD56" si="615">+IF(BC53&lt;0,1-BD53/BC53,BD53/BC53-1)</f>
        <v>#DIV/0!</v>
      </c>
      <c r="BE56" s="39" t="e">
        <f t="shared" ref="BE56" si="616">+IF(BD53&lt;0,1-BE53/BD53,BE53/BD53-1)</f>
        <v>#DIV/0!</v>
      </c>
      <c r="BF56" s="39" t="e">
        <f t="shared" ref="BF56" si="617">+IF(BE53&lt;0,1-BF53/BE53,BF53/BE53-1)</f>
        <v>#DIV/0!</v>
      </c>
      <c r="BG56" s="39" t="e">
        <f t="shared" ref="BG56" si="618">+IF(BF53&lt;0,1-BG53/BF53,BG53/BF53-1)</f>
        <v>#DIV/0!</v>
      </c>
      <c r="BH56" s="39" t="e">
        <f t="shared" ref="BH56" si="619">+IF(BG53&lt;0,1-BH53/BG53,BH53/BG53-1)</f>
        <v>#DIV/0!</v>
      </c>
      <c r="BI56" s="39" t="e">
        <f t="shared" ref="BI56" si="620">+IF(BH53&lt;0,1-BI53/BH53,BI53/BH53-1)</f>
        <v>#DIV/0!</v>
      </c>
      <c r="BJ56" s="39" t="e">
        <f t="shared" ref="BJ56" si="621">+IF(BI53&lt;0,1-BJ53/BI53,BJ53/BI53-1)</f>
        <v>#DIV/0!</v>
      </c>
      <c r="BK56" s="39" t="e">
        <f t="shared" ref="BK56" si="622">+IF(BJ53&lt;0,1-BK53/BJ53,BK53/BJ53-1)</f>
        <v>#DIV/0!</v>
      </c>
      <c r="BL56" s="39" t="e">
        <f t="shared" ref="BL56" si="623">+IF(BK53&lt;0,1-BL53/BK53,BL53/BK53-1)</f>
        <v>#DIV/0!</v>
      </c>
      <c r="BM56" s="39" t="e">
        <f t="shared" ref="BM56" si="624">+IF(BL53&lt;0,1-BM53/BL53,BM53/BL53-1)</f>
        <v>#DIV/0!</v>
      </c>
      <c r="BN56" s="39" t="e">
        <f t="shared" ref="BN56" si="625">+IF(BM53&lt;0,1-BN53/BM53,BN53/BM53-1)</f>
        <v>#DIV/0!</v>
      </c>
      <c r="BO56" s="39" t="e">
        <f t="shared" ref="BO56" si="626">+IF(BN53&lt;0,1-BO53/BN53,BO53/BN53-1)</f>
        <v>#DIV/0!</v>
      </c>
      <c r="BP56" s="39" t="e">
        <f t="shared" ref="BP56" si="627">+IF(BO53&lt;0,1-BP53/BO53,BP53/BO53-1)</f>
        <v>#DIV/0!</v>
      </c>
      <c r="BQ56" s="39" t="e">
        <f t="shared" ref="BQ56" si="628">+IF(BP53&lt;0,1-BQ53/BP53,BQ53/BP53-1)</f>
        <v>#DIV/0!</v>
      </c>
      <c r="BR56" s="39">
        <f t="shared" ref="BR56" si="629">+IF(BQ53&lt;0,1-BR53/BQ53,BR53/BQ53-1)</f>
        <v>-0.22201051749104461</v>
      </c>
      <c r="BS56" s="39">
        <f t="shared" ref="BS56" si="630">+IF(BR53&lt;0,1-BS53/BR53,BS53/BR53-1)</f>
        <v>1.9110501567398122</v>
      </c>
      <c r="BT56" s="39">
        <f t="shared" ref="BT56" si="631">+IF(BS53&lt;0,1-BT53/BS53,BT53/BS53-1)</f>
        <v>2.4565890429397719E-2</v>
      </c>
      <c r="BU56" s="39">
        <f t="shared" ref="BU56" si="632">+IF(BT53&lt;0,1-BU53/BT53,BU53/BT53-1)</f>
        <v>5.222360901267864E-2</v>
      </c>
      <c r="BV56" s="39">
        <f t="shared" ref="BV56" si="633">+IF(BU53&lt;0,1-BV53/BU53,BV53/BU53-1)</f>
        <v>7.8068423024097555E-2</v>
      </c>
      <c r="BW56" s="39">
        <f t="shared" ref="BW56" si="634">+IF(BV53&lt;0,1-BW53/BV53,BW53/BV53-1)</f>
        <v>0.14989721168601844</v>
      </c>
      <c r="BX56" s="39">
        <f t="shared" ref="BX56" si="635">+IF(BW53&lt;0,1-BX53/BW53,BX53/BW53-1)</f>
        <v>8.1507780631514759E-2</v>
      </c>
      <c r="BY56" s="39">
        <f t="shared" ref="BY56" si="636">+IF(BX53&lt;0,1-BY53/BX53,BY53/BX53-1)</f>
        <v>6.3793625293946388E-3</v>
      </c>
      <c r="BZ56" s="39">
        <f t="shared" ref="BZ56" si="637">+IF(BY53&lt;0,1-BZ53/BY53,BZ53/BY53-1)</f>
        <v>-1.1914401388085971E-2</v>
      </c>
      <c r="CA56" s="39">
        <f t="shared" ref="CA56" si="638">+IF(BZ53&lt;0,1-CA53/BZ53,CA53/BZ53-1)</f>
        <v>0.24638258019199277</v>
      </c>
      <c r="CB56" s="39">
        <f t="shared" ref="CB56" si="639">+IF(CA53&lt;0,1-CB53/CA53,CB53/CA53-1)</f>
        <v>8.3632333327070763E-2</v>
      </c>
      <c r="CC56" s="39">
        <f t="shared" ref="CC56" si="640">+IF(CB53&lt;0,1-CC53/CB53,CC53/CB53-1)</f>
        <v>6.2061194417966092E-3</v>
      </c>
      <c r="CD56" s="39">
        <f t="shared" ref="CD56" si="641">+IF(CC53&lt;0,1-CD53/CC53,CD53/CC53-1)</f>
        <v>-2.0381441345209916E-2</v>
      </c>
      <c r="CE56" s="39">
        <f t="shared" ref="CE56" si="642">+IF(CD53&lt;0,1-CE53/CD53,CE53/CD53-1)</f>
        <v>0.29164614843475256</v>
      </c>
      <c r="CF56" s="39">
        <f t="shared" ref="CF56" si="643">+IF(CE53&lt;0,1-CF53/CE53,CF53/CE53-1)</f>
        <v>3.9037076372152368E-2</v>
      </c>
      <c r="CG56" s="39">
        <f t="shared" ref="CG56" si="644">+IF(CF53&lt;0,1-CG53/CF53,CG53/CF53-1)</f>
        <v>1.2082295898309336E-2</v>
      </c>
      <c r="CH56" s="39">
        <f t="shared" ref="CH56:CL56" si="645">+IF(CG53&lt;0,1-CH53/CG53,CH53/CG53-1)</f>
        <v>-4.6392686969131791E-2</v>
      </c>
      <c r="CI56" s="39">
        <f t="shared" si="645"/>
        <v>0.27508859590761592</v>
      </c>
      <c r="CJ56" s="39">
        <f t="shared" si="645"/>
        <v>6.3742559286117162E-2</v>
      </c>
      <c r="CK56" s="39">
        <f t="shared" si="645"/>
        <v>2.082186295610855E-3</v>
      </c>
      <c r="CL56" s="39">
        <f t="shared" si="645"/>
        <v>3.3395602529393997E-2</v>
      </c>
      <c r="CM56" s="40">
        <f t="shared" ref="CM56" si="646">+CM53/CL53-1</f>
        <v>7.999073806749335E-2</v>
      </c>
      <c r="CN56" s="40">
        <f t="shared" ref="CN56" si="647">+CN53/CM53-1</f>
        <v>0.11134403242156821</v>
      </c>
      <c r="CO56" s="40">
        <f t="shared" ref="CO56" si="648">+CO53/CN53-1</f>
        <v>-2.095203393538525E-2</v>
      </c>
      <c r="CP56" s="40">
        <f t="shared" ref="CP56" si="649">+CP53/CO53-1</f>
        <v>2.8045677940016667E-2</v>
      </c>
      <c r="CQ56" s="40">
        <f t="shared" ref="CQ56" si="650">+CQ53/CP53-1</f>
        <v>0.28337752469499633</v>
      </c>
      <c r="CR56" s="40">
        <f t="shared" ref="CR56" si="651">+CR53/CQ53-1</f>
        <v>0.11326170234940713</v>
      </c>
      <c r="CS56" s="40">
        <f t="shared" ref="CS56" si="652">+CS53/CR53-1</f>
        <v>6.0479148898857638E-3</v>
      </c>
      <c r="CT56" s="40">
        <f t="shared" ref="CT56" si="653">+CT53/CS53-1</f>
        <v>5.7315108114602387E-2</v>
      </c>
      <c r="CU56" s="40">
        <f t="shared" ref="CU56" si="654">+CU53/CT53-1</f>
        <v>0.2109916754984078</v>
      </c>
      <c r="CV56" s="40">
        <f t="shared" ref="CV56" si="655">+CV53/CU53-1</f>
        <v>0.11207056162346296</v>
      </c>
      <c r="CW56" s="40">
        <f t="shared" ref="CW56" si="656">+CW53/CV53-1</f>
        <v>1.3988191433056407E-2</v>
      </c>
      <c r="CX56" s="40">
        <f t="shared" ref="CX56" si="657">+CX53/CW53-1</f>
        <v>5.6672712745420739E-2</v>
      </c>
      <c r="CY56" s="40">
        <f t="shared" ref="CY56" si="658">+CY53/CX53-1</f>
        <v>0.18893357284171231</v>
      </c>
      <c r="CZ56" s="40">
        <f t="shared" ref="CZ56" si="659">+CZ53/CY53-1</f>
        <v>0.10807016390815294</v>
      </c>
      <c r="DA56" s="40">
        <f t="shared" ref="DA56" si="660">+DA53/CZ53-1</f>
        <v>1.7026283595838132E-2</v>
      </c>
      <c r="DB56" s="40">
        <f t="shared" ref="DB56" si="661">+DB53/DA53-1</f>
        <v>5.5412836626131279E-2</v>
      </c>
      <c r="DE56" s="122"/>
    </row>
    <row r="57" spans="1:110" s="75" customFormat="1" x14ac:dyDescent="0.2">
      <c r="A57" s="23" t="s">
        <v>23</v>
      </c>
      <c r="B57" s="75">
        <f>'Annual Raw'!C32</f>
        <v>0</v>
      </c>
      <c r="C57" s="75">
        <f>'Annual Raw'!D32</f>
        <v>0</v>
      </c>
      <c r="D57" s="75">
        <f>'Annual Raw'!E32</f>
        <v>0</v>
      </c>
      <c r="E57" s="75">
        <f>'Annual Raw'!F32</f>
        <v>0</v>
      </c>
      <c r="F57" s="75">
        <f>'Annual Raw'!G32</f>
        <v>0</v>
      </c>
      <c r="G57" s="75">
        <f>'Annual Raw'!H32</f>
        <v>0</v>
      </c>
      <c r="H57" s="75">
        <f>'Annual Raw'!I32</f>
        <v>0</v>
      </c>
      <c r="I57" s="75">
        <f>'Annual Raw'!J32</f>
        <v>0</v>
      </c>
      <c r="J57" s="75">
        <f>'Annual Raw'!K32</f>
        <v>0</v>
      </c>
      <c r="K57" s="75">
        <f>'Annual Raw'!L32</f>
        <v>0</v>
      </c>
      <c r="L57" s="75">
        <f>'Annual Raw'!M32</f>
        <v>0</v>
      </c>
      <c r="M57" s="75">
        <f>'Annual Raw'!N32</f>
        <v>0</v>
      </c>
      <c r="N57" s="75">
        <f>'Annual Raw'!O32</f>
        <v>0</v>
      </c>
      <c r="O57" s="75">
        <f>'Annual Raw'!P32</f>
        <v>0</v>
      </c>
      <c r="P57" s="75">
        <f>'Annual Raw'!Q32</f>
        <v>0</v>
      </c>
      <c r="Q57" s="75">
        <f>'Annual Raw'!R32</f>
        <v>0</v>
      </c>
      <c r="R57" s="75">
        <f>'Annual Raw'!S32</f>
        <v>8.7999999999999995E-2</v>
      </c>
      <c r="S57" s="75">
        <f>'Annual Raw'!T32</f>
        <v>0.17100000000000001</v>
      </c>
      <c r="T57" s="75">
        <f>'Annual Raw'!U32</f>
        <v>0.77300000000000002</v>
      </c>
      <c r="U57" s="75">
        <f>'Annual Raw'!V32</f>
        <v>-0.23100000000000001</v>
      </c>
      <c r="V57" s="75">
        <f>'Annual Raw'!W32</f>
        <v>-1.06E-2</v>
      </c>
      <c r="W57" s="75">
        <f>'Annual Raw'!X32</f>
        <v>-7.2300000000000003E-2</v>
      </c>
      <c r="X57" s="75">
        <f>'Annual Raw'!Y32</f>
        <v>-0.19470000000000001</v>
      </c>
      <c r="Y57" s="75">
        <f>'Annual Raw'!Z32</f>
        <v>-0.84789999999999999</v>
      </c>
      <c r="Z57" s="75">
        <f>'Annual Raw'!AA32</f>
        <v>-0.96379999999999999</v>
      </c>
      <c r="AA57" s="75">
        <f>'Annual Raw'!AB32</f>
        <v>-1.5289999999999999</v>
      </c>
      <c r="AB57" s="76">
        <f t="shared" ref="AB57:AB58" si="662">+SUM(CM57:CP57)</f>
        <v>-1.448</v>
      </c>
      <c r="AC57" s="76">
        <f t="shared" ref="AC57:AC58" si="663">+SUM(CQ57:CT57)</f>
        <v>-1.448</v>
      </c>
      <c r="AD57" s="76">
        <f t="shared" ref="AD57:AD58" si="664">+SUM(CU57:CX57)</f>
        <v>-1.448</v>
      </c>
      <c r="AE57" s="76">
        <f t="shared" ref="AE57:AE58" si="665">+SUM(CY57:DB57)</f>
        <v>-1.448</v>
      </c>
      <c r="AI57" s="75">
        <f>'QTR Raw'!C34</f>
        <v>0</v>
      </c>
      <c r="AJ57" s="75">
        <f>'QTR Raw'!D34</f>
        <v>0</v>
      </c>
      <c r="AK57" s="75">
        <f>'QTR Raw'!E34</f>
        <v>0</v>
      </c>
      <c r="AL57" s="75">
        <f>'QTR Raw'!F34</f>
        <v>0</v>
      </c>
      <c r="AM57" s="75">
        <f>'QTR Raw'!G34</f>
        <v>0</v>
      </c>
      <c r="AN57" s="75">
        <f>'QTR Raw'!H34</f>
        <v>0</v>
      </c>
      <c r="AO57" s="75">
        <f>'QTR Raw'!I34</f>
        <v>0</v>
      </c>
      <c r="AP57" s="75">
        <f>'QTR Raw'!J34</f>
        <v>0</v>
      </c>
      <c r="AQ57" s="75">
        <f>'QTR Raw'!K34</f>
        <v>0</v>
      </c>
      <c r="AR57" s="75">
        <f>'QTR Raw'!L34</f>
        <v>0</v>
      </c>
      <c r="AS57" s="75">
        <f>'QTR Raw'!M34</f>
        <v>0</v>
      </c>
      <c r="AT57" s="75">
        <f>'QTR Raw'!N34</f>
        <v>0</v>
      </c>
      <c r="AU57" s="75">
        <f>'QTR Raw'!O34</f>
        <v>0</v>
      </c>
      <c r="AV57" s="75">
        <f>'QTR Raw'!P34</f>
        <v>0</v>
      </c>
      <c r="AW57" s="75">
        <f>'QTR Raw'!Q34</f>
        <v>0</v>
      </c>
      <c r="AX57" s="75">
        <f>'QTR Raw'!R34</f>
        <v>0</v>
      </c>
      <c r="AY57" s="75">
        <f>'QTR Raw'!S34</f>
        <v>0</v>
      </c>
      <c r="AZ57" s="75">
        <f>'QTR Raw'!T34</f>
        <v>0</v>
      </c>
      <c r="BA57" s="75">
        <f>'QTR Raw'!U34</f>
        <v>0</v>
      </c>
      <c r="BB57" s="75">
        <f>'QTR Raw'!V34</f>
        <v>0</v>
      </c>
      <c r="BC57" s="75">
        <f>'QTR Raw'!W34</f>
        <v>0</v>
      </c>
      <c r="BD57" s="75">
        <f>'QTR Raw'!X34</f>
        <v>0</v>
      </c>
      <c r="BE57" s="75">
        <f>'QTR Raw'!Y34</f>
        <v>0</v>
      </c>
      <c r="BF57" s="75">
        <f>'QTR Raw'!Z34</f>
        <v>0</v>
      </c>
      <c r="BG57" s="75">
        <f>'QTR Raw'!AA34</f>
        <v>0</v>
      </c>
      <c r="BH57" s="75">
        <f>'QTR Raw'!AB34</f>
        <v>0</v>
      </c>
      <c r="BI57" s="75">
        <f>'QTR Raw'!AC34</f>
        <v>0</v>
      </c>
      <c r="BJ57" s="75">
        <f>'QTR Raw'!AD34</f>
        <v>0</v>
      </c>
      <c r="BK57" s="75">
        <f>'QTR Raw'!AE34</f>
        <v>0</v>
      </c>
      <c r="BL57" s="75">
        <f>'QTR Raw'!AF34</f>
        <v>0</v>
      </c>
      <c r="BM57" s="75">
        <f>'QTR Raw'!AG34</f>
        <v>0</v>
      </c>
      <c r="BN57" s="75">
        <f>'QTR Raw'!AH34</f>
        <v>0</v>
      </c>
      <c r="BO57" s="75">
        <f>'QTR Raw'!AI34</f>
        <v>0</v>
      </c>
      <c r="BP57" s="75">
        <f>'QTR Raw'!AJ34</f>
        <v>0</v>
      </c>
      <c r="BQ57" s="75">
        <f>'QTR Raw'!AK34</f>
        <v>-3.7999999999999999E-2</v>
      </c>
      <c r="BR57" s="75">
        <f>'QTR Raw'!AL34</f>
        <v>-0.51500000000000001</v>
      </c>
      <c r="BS57" s="75">
        <f>'QTR Raw'!AM34</f>
        <v>-1.0999999999999999E-2</v>
      </c>
      <c r="BT57" s="75">
        <f>'QTR Raw'!AN34</f>
        <v>-5.0000000000000001E-3</v>
      </c>
      <c r="BU57" s="75">
        <f>'QTR Raw'!AO34</f>
        <v>-1.4999999999999999E-2</v>
      </c>
      <c r="BV57" s="75">
        <f>'QTR Raw'!AP34</f>
        <v>-4.1000000000000002E-2</v>
      </c>
      <c r="BW57" s="75">
        <f>'QTR Raw'!AQ34</f>
        <v>-1.0999999999999999E-2</v>
      </c>
      <c r="BX57" s="75">
        <f>'QTR Raw'!AR34</f>
        <v>-2.8000000000000001E-2</v>
      </c>
      <c r="BY57" s="75">
        <f>'QTR Raw'!AS34</f>
        <v>-0.06</v>
      </c>
      <c r="BZ57" s="75">
        <f>'QTR Raw'!AT34</f>
        <v>-9.6000000000000002E-2</v>
      </c>
      <c r="CA57" s="75">
        <f>'QTR Raw'!AU34</f>
        <v>-0.17100000000000001</v>
      </c>
      <c r="CB57" s="75">
        <f>'QTR Raw'!AV34</f>
        <v>-0.193</v>
      </c>
      <c r="CC57" s="75">
        <f>'QTR Raw'!AW34</f>
        <v>-0.22</v>
      </c>
      <c r="CD57" s="75">
        <f>'QTR Raw'!AX34</f>
        <v>-0.26300000000000001</v>
      </c>
      <c r="CE57" s="75">
        <f>'QTR Raw'!AY34</f>
        <v>-0.20300000000000001</v>
      </c>
      <c r="CF57" s="75">
        <f>'QTR Raw'!AZ34</f>
        <v>-0.19800000000000001</v>
      </c>
      <c r="CG57" s="75">
        <f>'QTR Raw'!BA34</f>
        <v>-0.27800000000000002</v>
      </c>
      <c r="CH57" s="75">
        <f>'QTR Raw'!BB34</f>
        <v>-0.28399999999999997</v>
      </c>
      <c r="CI57" s="75">
        <f>'QTR Raw'!BC34</f>
        <v>-0.28599999999999998</v>
      </c>
      <c r="CJ57" s="75">
        <f>'QTR Raw'!BD34</f>
        <v>-0.54500000000000004</v>
      </c>
      <c r="CK57" s="75">
        <f>'QTR Raw'!BE34</f>
        <v>-0.33500000000000002</v>
      </c>
      <c r="CL57" s="75">
        <f>'QTR Raw'!BF34</f>
        <v>-0.36199999999999999</v>
      </c>
      <c r="CM57" s="76">
        <f t="shared" ref="CM57:CM58" si="666">+CL57</f>
        <v>-0.36199999999999999</v>
      </c>
      <c r="CN57" s="76">
        <f t="shared" ref="CN57:CN58" si="667">+CM57</f>
        <v>-0.36199999999999999</v>
      </c>
      <c r="CO57" s="76">
        <f t="shared" ref="CO57:CO58" si="668">+CN57</f>
        <v>-0.36199999999999999</v>
      </c>
      <c r="CP57" s="76">
        <f t="shared" ref="CP57:CP58" si="669">+CO57</f>
        <v>-0.36199999999999999</v>
      </c>
      <c r="CQ57" s="76">
        <f t="shared" ref="CQ57:CQ58" si="670">+CP57</f>
        <v>-0.36199999999999999</v>
      </c>
      <c r="CR57" s="76">
        <f t="shared" ref="CR57:CR58" si="671">+CQ57</f>
        <v>-0.36199999999999999</v>
      </c>
      <c r="CS57" s="76">
        <f t="shared" ref="CS57:CS58" si="672">+CR57</f>
        <v>-0.36199999999999999</v>
      </c>
      <c r="CT57" s="76">
        <f t="shared" ref="CT57:CT58" si="673">+CS57</f>
        <v>-0.36199999999999999</v>
      </c>
      <c r="CU57" s="76">
        <f t="shared" ref="CU57:CU58" si="674">+CT57</f>
        <v>-0.36199999999999999</v>
      </c>
      <c r="CV57" s="76">
        <f t="shared" ref="CV57:CV58" si="675">+CU57</f>
        <v>-0.36199999999999999</v>
      </c>
      <c r="CW57" s="76">
        <f t="shared" ref="CW57:CW58" si="676">+CV57</f>
        <v>-0.36199999999999999</v>
      </c>
      <c r="CX57" s="76">
        <f t="shared" ref="CX57:CX58" si="677">+CW57</f>
        <v>-0.36199999999999999</v>
      </c>
      <c r="CY57" s="76">
        <f t="shared" ref="CY57:CY58" si="678">+CX57</f>
        <v>-0.36199999999999999</v>
      </c>
      <c r="CZ57" s="76">
        <f t="shared" ref="CZ57:CZ58" si="679">+CY57</f>
        <v>-0.36199999999999999</v>
      </c>
      <c r="DA57" s="76">
        <f t="shared" ref="DA57:DA58" si="680">+CZ57</f>
        <v>-0.36199999999999999</v>
      </c>
      <c r="DB57" s="76">
        <f t="shared" ref="DB57:DB58" si="681">+DA57</f>
        <v>-0.36199999999999999</v>
      </c>
      <c r="DE57" s="131"/>
      <c r="DF57" s="75">
        <v>-1.5289999999999999</v>
      </c>
    </row>
    <row r="58" spans="1:110" s="75" customFormat="1" x14ac:dyDescent="0.2">
      <c r="A58" s="23" t="s">
        <v>24</v>
      </c>
      <c r="B58" s="75">
        <f>'Annual Raw'!C33+'Annual Raw'!C28</f>
        <v>0</v>
      </c>
      <c r="C58" s="75">
        <f>'Annual Raw'!D33+'Annual Raw'!D28</f>
        <v>0</v>
      </c>
      <c r="D58" s="75">
        <f>'Annual Raw'!E33+'Annual Raw'!E28</f>
        <v>0</v>
      </c>
      <c r="E58" s="75">
        <f>'Annual Raw'!F33+'Annual Raw'!F28</f>
        <v>0</v>
      </c>
      <c r="F58" s="75">
        <f>'Annual Raw'!G33+'Annual Raw'!G28</f>
        <v>0</v>
      </c>
      <c r="G58" s="75">
        <f>'Annual Raw'!H33+'Annual Raw'!H28</f>
        <v>0</v>
      </c>
      <c r="H58" s="75">
        <f>'Annual Raw'!I33+'Annual Raw'!I28</f>
        <v>0</v>
      </c>
      <c r="I58" s="75">
        <f>'Annual Raw'!J33+'Annual Raw'!J28</f>
        <v>0</v>
      </c>
      <c r="J58" s="75">
        <f>'Annual Raw'!K33+'Annual Raw'!K28</f>
        <v>0</v>
      </c>
      <c r="K58" s="75">
        <f>'Annual Raw'!L33+'Annual Raw'!L28</f>
        <v>0</v>
      </c>
      <c r="L58" s="75">
        <f>'Annual Raw'!M33+'Annual Raw'!M28</f>
        <v>0</v>
      </c>
      <c r="M58" s="75">
        <f>'Annual Raw'!N33+'Annual Raw'!N28</f>
        <v>0</v>
      </c>
      <c r="N58" s="75">
        <f>'Annual Raw'!O33+'Annual Raw'!O28</f>
        <v>0</v>
      </c>
      <c r="O58" s="75">
        <f>'Annual Raw'!P33+'Annual Raw'!P28</f>
        <v>0</v>
      </c>
      <c r="P58" s="75">
        <f>'Annual Raw'!Q33+'Annual Raw'!Q28</f>
        <v>0</v>
      </c>
      <c r="Q58" s="75">
        <f>'Annual Raw'!R33+'Annual Raw'!R28</f>
        <v>0</v>
      </c>
      <c r="R58" s="75">
        <f>'Annual Raw'!S33+'Annual Raw'!S28</f>
        <v>0</v>
      </c>
      <c r="S58" s="75">
        <f>'Annual Raw'!T33+'Annual Raw'!T28</f>
        <v>0</v>
      </c>
      <c r="T58" s="75">
        <f>'Annual Raw'!U33+'Annual Raw'!U28</f>
        <v>0</v>
      </c>
      <c r="U58" s="75">
        <f>'Annual Raw'!V33+'Annual Raw'!V28</f>
        <v>0</v>
      </c>
      <c r="V58" s="75">
        <f>'Annual Raw'!W33+'Annual Raw'!W28</f>
        <v>0</v>
      </c>
      <c r="W58" s="75">
        <f>'Annual Raw'!X33+'Annual Raw'!X28</f>
        <v>0</v>
      </c>
      <c r="X58" s="75">
        <f>'Annual Raw'!Y33+'Annual Raw'!Y28</f>
        <v>0</v>
      </c>
      <c r="Y58" s="75">
        <f>'Annual Raw'!Z33+'Annual Raw'!Z28</f>
        <v>0</v>
      </c>
      <c r="Z58" s="75">
        <f>'Annual Raw'!AA33+'Annual Raw'!AA28</f>
        <v>0</v>
      </c>
      <c r="AA58" s="75">
        <f>'Annual Raw'!AB33+'Annual Raw'!AB28</f>
        <v>0</v>
      </c>
      <c r="AB58" s="76">
        <f t="shared" si="662"/>
        <v>0</v>
      </c>
      <c r="AC58" s="76">
        <f t="shared" si="663"/>
        <v>0</v>
      </c>
      <c r="AD58" s="76">
        <f t="shared" si="664"/>
        <v>0</v>
      </c>
      <c r="AE58" s="76">
        <f t="shared" si="665"/>
        <v>0</v>
      </c>
      <c r="AI58" s="75">
        <f>'QTR Raw'!C35</f>
        <v>0</v>
      </c>
      <c r="AJ58" s="75">
        <f>'QTR Raw'!D35</f>
        <v>0</v>
      </c>
      <c r="AK58" s="75">
        <f>'QTR Raw'!E35</f>
        <v>0</v>
      </c>
      <c r="AL58" s="75">
        <f>'QTR Raw'!F35</f>
        <v>0</v>
      </c>
      <c r="AM58" s="75">
        <f>'QTR Raw'!G35</f>
        <v>0</v>
      </c>
      <c r="AN58" s="75">
        <f>'QTR Raw'!H35</f>
        <v>0</v>
      </c>
      <c r="AO58" s="75">
        <f>'QTR Raw'!I35</f>
        <v>0</v>
      </c>
      <c r="AP58" s="75">
        <f>'QTR Raw'!J35</f>
        <v>0</v>
      </c>
      <c r="AQ58" s="75">
        <f>'QTR Raw'!K35</f>
        <v>0</v>
      </c>
      <c r="AR58" s="75">
        <f>'QTR Raw'!L35</f>
        <v>0</v>
      </c>
      <c r="AS58" s="75">
        <f>'QTR Raw'!M35</f>
        <v>0</v>
      </c>
      <c r="AT58" s="75">
        <f>'QTR Raw'!N35</f>
        <v>0</v>
      </c>
      <c r="AU58" s="75">
        <f>'QTR Raw'!O35</f>
        <v>0</v>
      </c>
      <c r="AV58" s="75">
        <f>'QTR Raw'!P35</f>
        <v>0</v>
      </c>
      <c r="AW58" s="75">
        <f>'QTR Raw'!Q35</f>
        <v>0</v>
      </c>
      <c r="AX58" s="75">
        <f>'QTR Raw'!R35</f>
        <v>0</v>
      </c>
      <c r="AY58" s="75">
        <f>'QTR Raw'!S35</f>
        <v>0</v>
      </c>
      <c r="AZ58" s="75">
        <f>'QTR Raw'!T35</f>
        <v>0</v>
      </c>
      <c r="BA58" s="75">
        <f>'QTR Raw'!U35</f>
        <v>0</v>
      </c>
      <c r="BB58" s="75">
        <f>'QTR Raw'!V35</f>
        <v>0</v>
      </c>
      <c r="BC58" s="75">
        <f>'QTR Raw'!W35</f>
        <v>0</v>
      </c>
      <c r="BD58" s="75">
        <f>'QTR Raw'!X35</f>
        <v>0</v>
      </c>
      <c r="BE58" s="75">
        <f>'QTR Raw'!Y35</f>
        <v>0</v>
      </c>
      <c r="BF58" s="75">
        <f>'QTR Raw'!Z35</f>
        <v>0</v>
      </c>
      <c r="BG58" s="75">
        <f>'QTR Raw'!AA35</f>
        <v>0</v>
      </c>
      <c r="BH58" s="75">
        <f>'QTR Raw'!AB35</f>
        <v>0</v>
      </c>
      <c r="BI58" s="75">
        <f>'QTR Raw'!AC35</f>
        <v>0</v>
      </c>
      <c r="BJ58" s="75">
        <f>'QTR Raw'!AD35</f>
        <v>0</v>
      </c>
      <c r="BK58" s="75">
        <f>'QTR Raw'!AE35</f>
        <v>0</v>
      </c>
      <c r="BL58" s="75">
        <f>'QTR Raw'!AF35</f>
        <v>0</v>
      </c>
      <c r="BM58" s="75">
        <f>'QTR Raw'!AG35</f>
        <v>0</v>
      </c>
      <c r="BN58" s="75">
        <f>'QTR Raw'!AH35</f>
        <v>0</v>
      </c>
      <c r="BO58" s="75">
        <f>'QTR Raw'!AI35</f>
        <v>0</v>
      </c>
      <c r="BP58" s="75">
        <f>'QTR Raw'!AJ35</f>
        <v>0</v>
      </c>
      <c r="BQ58" s="75">
        <f>'QTR Raw'!AK35</f>
        <v>0</v>
      </c>
      <c r="BR58" s="75">
        <f>'QTR Raw'!AL35</f>
        <v>0</v>
      </c>
      <c r="BS58" s="75">
        <f>'QTR Raw'!AM35</f>
        <v>0</v>
      </c>
      <c r="BT58" s="75">
        <f>'QTR Raw'!AN35</f>
        <v>0</v>
      </c>
      <c r="BU58" s="75">
        <f>'QTR Raw'!AO35</f>
        <v>0</v>
      </c>
      <c r="BV58" s="75">
        <f>'QTR Raw'!AP35</f>
        <v>0</v>
      </c>
      <c r="BW58" s="75">
        <f>'QTR Raw'!AQ35</f>
        <v>0</v>
      </c>
      <c r="BX58" s="75">
        <f>'QTR Raw'!AR35</f>
        <v>0</v>
      </c>
      <c r="BY58" s="75">
        <f>'QTR Raw'!AS35</f>
        <v>0</v>
      </c>
      <c r="BZ58" s="75">
        <f>'QTR Raw'!AT35</f>
        <v>0</v>
      </c>
      <c r="CA58" s="75">
        <f>'QTR Raw'!AU35</f>
        <v>0</v>
      </c>
      <c r="CB58" s="75">
        <f>'QTR Raw'!AV35</f>
        <v>0</v>
      </c>
      <c r="CC58" s="75">
        <f>'QTR Raw'!AW35</f>
        <v>0</v>
      </c>
      <c r="CD58" s="75">
        <f>'QTR Raw'!AX35</f>
        <v>0</v>
      </c>
      <c r="CE58" s="75">
        <f>'QTR Raw'!AY35</f>
        <v>0</v>
      </c>
      <c r="CF58" s="75">
        <f>'QTR Raw'!AZ35</f>
        <v>0</v>
      </c>
      <c r="CG58" s="75">
        <f>'QTR Raw'!BA35</f>
        <v>0</v>
      </c>
      <c r="CH58" s="75">
        <f>'QTR Raw'!BB35</f>
        <v>0</v>
      </c>
      <c r="CI58" s="75">
        <f>'QTR Raw'!BC35</f>
        <v>0</v>
      </c>
      <c r="CJ58" s="75">
        <f>'QTR Raw'!BD35</f>
        <v>0</v>
      </c>
      <c r="CK58" s="75">
        <f>'QTR Raw'!BE35</f>
        <v>0</v>
      </c>
      <c r="CL58" s="75">
        <f>'QTR Raw'!BF35</f>
        <v>0</v>
      </c>
      <c r="CM58" s="76">
        <f t="shared" si="666"/>
        <v>0</v>
      </c>
      <c r="CN58" s="76">
        <f t="shared" si="667"/>
        <v>0</v>
      </c>
      <c r="CO58" s="76">
        <f t="shared" si="668"/>
        <v>0</v>
      </c>
      <c r="CP58" s="76">
        <f t="shared" si="669"/>
        <v>0</v>
      </c>
      <c r="CQ58" s="76">
        <f t="shared" si="670"/>
        <v>0</v>
      </c>
      <c r="CR58" s="76">
        <f t="shared" si="671"/>
        <v>0</v>
      </c>
      <c r="CS58" s="76">
        <f t="shared" si="672"/>
        <v>0</v>
      </c>
      <c r="CT58" s="76">
        <f t="shared" si="673"/>
        <v>0</v>
      </c>
      <c r="CU58" s="76">
        <f t="shared" si="674"/>
        <v>0</v>
      </c>
      <c r="CV58" s="76">
        <f t="shared" si="675"/>
        <v>0</v>
      </c>
      <c r="CW58" s="76">
        <f t="shared" si="676"/>
        <v>0</v>
      </c>
      <c r="CX58" s="76">
        <f t="shared" si="677"/>
        <v>0</v>
      </c>
      <c r="CY58" s="76">
        <f t="shared" si="678"/>
        <v>0</v>
      </c>
      <c r="CZ58" s="76">
        <f t="shared" si="679"/>
        <v>0</v>
      </c>
      <c r="DA58" s="76">
        <f t="shared" si="680"/>
        <v>0</v>
      </c>
      <c r="DB58" s="76">
        <f t="shared" si="681"/>
        <v>0</v>
      </c>
      <c r="DE58" s="131"/>
      <c r="DF58" s="75">
        <v>0</v>
      </c>
    </row>
    <row r="59" spans="1:110" s="23" customFormat="1" x14ac:dyDescent="0.2">
      <c r="A59" s="23" t="s">
        <v>19</v>
      </c>
      <c r="B59" s="75">
        <f>'Annual Raw'!C29+'Annual Raw'!C31+'Annual Raw'!C34+'Annual Raw'!C36</f>
        <v>0</v>
      </c>
      <c r="C59" s="75">
        <f>'Annual Raw'!D29+'Annual Raw'!D31+'Annual Raw'!D34+'Annual Raw'!D36</f>
        <v>0</v>
      </c>
      <c r="D59" s="75">
        <f>'Annual Raw'!E29+'Annual Raw'!E31+'Annual Raw'!E34+'Annual Raw'!E36</f>
        <v>0</v>
      </c>
      <c r="E59" s="75">
        <f>'Annual Raw'!F29+'Annual Raw'!F31+'Annual Raw'!F34+'Annual Raw'!F36</f>
        <v>0</v>
      </c>
      <c r="F59" s="75">
        <f>'Annual Raw'!G29+'Annual Raw'!G31+'Annual Raw'!G34+'Annual Raw'!G36</f>
        <v>0</v>
      </c>
      <c r="G59" s="75">
        <f>'Annual Raw'!H29+'Annual Raw'!H31+'Annual Raw'!H34+'Annual Raw'!H36</f>
        <v>0</v>
      </c>
      <c r="H59" s="75">
        <f>'Annual Raw'!I29+'Annual Raw'!I31+'Annual Raw'!I34+'Annual Raw'!I36</f>
        <v>0</v>
      </c>
      <c r="I59" s="75">
        <f>'Annual Raw'!J29+'Annual Raw'!J31+'Annual Raw'!J34+'Annual Raw'!J36</f>
        <v>0</v>
      </c>
      <c r="J59" s="75">
        <f>'Annual Raw'!K29+'Annual Raw'!K31+'Annual Raw'!K34+'Annual Raw'!K36</f>
        <v>0</v>
      </c>
      <c r="K59" s="75">
        <f>'Annual Raw'!L29+'Annual Raw'!L31+'Annual Raw'!L34+'Annual Raw'!L36</f>
        <v>0</v>
      </c>
      <c r="L59" s="75">
        <f>'Annual Raw'!M29+'Annual Raw'!M31+'Annual Raw'!M34+'Annual Raw'!M36</f>
        <v>0</v>
      </c>
      <c r="M59" s="75">
        <f>'Annual Raw'!N29+'Annual Raw'!N31+'Annual Raw'!N34+'Annual Raw'!N36</f>
        <v>0</v>
      </c>
      <c r="N59" s="75">
        <f>'Annual Raw'!O29+'Annual Raw'!O31+'Annual Raw'!O34+'Annual Raw'!O36</f>
        <v>0</v>
      </c>
      <c r="O59" s="75">
        <f>'Annual Raw'!P29+'Annual Raw'!P31+'Annual Raw'!P34+'Annual Raw'!P36</f>
        <v>0</v>
      </c>
      <c r="P59" s="75">
        <f>'Annual Raw'!Q29+'Annual Raw'!Q31+'Annual Raw'!Q34+'Annual Raw'!Q36</f>
        <v>0</v>
      </c>
      <c r="Q59" s="75">
        <f>'Annual Raw'!R29+'Annual Raw'!R31+'Annual Raw'!R34+'Annual Raw'!R36</f>
        <v>0</v>
      </c>
      <c r="R59" s="75">
        <f>'Annual Raw'!S29+'Annual Raw'!S31+'Annual Raw'!S34+'Annual Raw'!S36</f>
        <v>0</v>
      </c>
      <c r="S59" s="75">
        <f>'Annual Raw'!T29+'Annual Raw'!T31+'Annual Raw'!T34+'Annual Raw'!T36</f>
        <v>0</v>
      </c>
      <c r="T59" s="75">
        <f>'Annual Raw'!U29+'Annual Raw'!U31+'Annual Raw'!U34+'Annual Raw'!U36</f>
        <v>0</v>
      </c>
      <c r="U59" s="75">
        <f>'Annual Raw'!V29+'Annual Raw'!V31+'Annual Raw'!V34+'Annual Raw'!V36</f>
        <v>0</v>
      </c>
      <c r="V59" s="75">
        <f>'Annual Raw'!W29+'Annual Raw'!W31+'Annual Raw'!W34+'Annual Raw'!W36</f>
        <v>-7.4899999999999994E-2</v>
      </c>
      <c r="W59" s="75">
        <f>'Annual Raw'!X29+'Annual Raw'!X31+'Annual Raw'!X34+'Annual Raw'!X36</f>
        <v>0.2379</v>
      </c>
      <c r="X59" s="75">
        <f>'Annual Raw'!Y29+'Annual Raw'!Y31+'Annual Raw'!Y34+'Annual Raw'!Y36</f>
        <v>0</v>
      </c>
      <c r="Y59" s="75">
        <f>'Annual Raw'!Z29+'Annual Raw'!Z31+'Annual Raw'!Z34+'Annual Raw'!Z36</f>
        <v>0</v>
      </c>
      <c r="Z59" s="75">
        <f>'Annual Raw'!AA29+'Annual Raw'!AA31+'Annual Raw'!AA34+'Annual Raw'!AA36</f>
        <v>0.2792</v>
      </c>
      <c r="AA59" s="75">
        <f>'Annual Raw'!AB29+'Annual Raw'!AB31+'Annual Raw'!AB34+'Annual Raw'!AB36</f>
        <v>0.27510000000000001</v>
      </c>
      <c r="AB59" s="76">
        <f>+SUM(CM59:CP59)</f>
        <v>0</v>
      </c>
      <c r="AC59" s="76">
        <f>+SUM(CQ59:CT59)</f>
        <v>0</v>
      </c>
      <c r="AD59" s="76">
        <f>+SUM(CU59:CX59)</f>
        <v>0</v>
      </c>
      <c r="AE59" s="76">
        <f>+SUM(CY59:DB59)</f>
        <v>0</v>
      </c>
      <c r="AI59" s="75">
        <f>'QTR Raw'!C26+'QTR Raw'!C31+'QTR Raw'!C32+'QTR Raw'!C33+'QTR Raw'!C36+'QTR Raw'!C37+'QTR Raw'!C39</f>
        <v>0</v>
      </c>
      <c r="AJ59" s="75">
        <f>'QTR Raw'!D26+'QTR Raw'!D31+'QTR Raw'!D32+'QTR Raw'!D33+'QTR Raw'!D36+'QTR Raw'!D37+'QTR Raw'!D39</f>
        <v>0</v>
      </c>
      <c r="AK59" s="75">
        <f>'QTR Raw'!E26+'QTR Raw'!E31+'QTR Raw'!E32+'QTR Raw'!E33+'QTR Raw'!E36+'QTR Raw'!E37+'QTR Raw'!E39</f>
        <v>0</v>
      </c>
      <c r="AL59" s="75">
        <f>'QTR Raw'!F26+'QTR Raw'!F31+'QTR Raw'!F32+'QTR Raw'!F33+'QTR Raw'!F36+'QTR Raw'!F37+'QTR Raw'!F39</f>
        <v>0</v>
      </c>
      <c r="AM59" s="75">
        <f>'QTR Raw'!G26+'QTR Raw'!G31+'QTR Raw'!G32+'QTR Raw'!G33+'QTR Raw'!G36+'QTR Raw'!G37+'QTR Raw'!G39</f>
        <v>0</v>
      </c>
      <c r="AN59" s="75">
        <f>'QTR Raw'!H26+'QTR Raw'!H31+'QTR Raw'!H32+'QTR Raw'!H33+'QTR Raw'!H36+'QTR Raw'!H37+'QTR Raw'!H39</f>
        <v>0</v>
      </c>
      <c r="AO59" s="75">
        <f>'QTR Raw'!I26+'QTR Raw'!I31+'QTR Raw'!I32+'QTR Raw'!I33+'QTR Raw'!I36+'QTR Raw'!I37+'QTR Raw'!I39</f>
        <v>0</v>
      </c>
      <c r="AP59" s="75">
        <f>'QTR Raw'!J26+'QTR Raw'!J31+'QTR Raw'!J32+'QTR Raw'!J33+'QTR Raw'!J36+'QTR Raw'!J37+'QTR Raw'!J39</f>
        <v>0</v>
      </c>
      <c r="AQ59" s="75">
        <f>'QTR Raw'!K26+'QTR Raw'!K31+'QTR Raw'!K32+'QTR Raw'!K33+'QTR Raw'!K36+'QTR Raw'!K37+'QTR Raw'!K39</f>
        <v>0</v>
      </c>
      <c r="AR59" s="75">
        <f>'QTR Raw'!L26+'QTR Raw'!L31+'QTR Raw'!L32+'QTR Raw'!L33+'QTR Raw'!L36+'QTR Raw'!L37+'QTR Raw'!L39</f>
        <v>0</v>
      </c>
      <c r="AS59" s="75">
        <f>'QTR Raw'!M26+'QTR Raw'!M31+'QTR Raw'!M32+'QTR Raw'!M33+'QTR Raw'!M36+'QTR Raw'!M37+'QTR Raw'!M39</f>
        <v>0</v>
      </c>
      <c r="AT59" s="75">
        <f>'QTR Raw'!N26+'QTR Raw'!N31+'QTR Raw'!N32+'QTR Raw'!N33+'QTR Raw'!N36+'QTR Raw'!N37+'QTR Raw'!N39</f>
        <v>0</v>
      </c>
      <c r="AU59" s="75">
        <f>'QTR Raw'!O26+'QTR Raw'!O31+'QTR Raw'!O32+'QTR Raw'!O33+'QTR Raw'!O36+'QTR Raw'!O37+'QTR Raw'!O39</f>
        <v>0</v>
      </c>
      <c r="AV59" s="75">
        <f>'QTR Raw'!P26+'QTR Raw'!P31+'QTR Raw'!P32+'QTR Raw'!P33+'QTR Raw'!P36+'QTR Raw'!P37+'QTR Raw'!P39</f>
        <v>0</v>
      </c>
      <c r="AW59" s="75">
        <f>'QTR Raw'!Q26+'QTR Raw'!Q31+'QTR Raw'!Q32+'QTR Raw'!Q33+'QTR Raw'!Q36+'QTR Raw'!Q37+'QTR Raw'!Q39</f>
        <v>0</v>
      </c>
      <c r="AX59" s="75">
        <f>'QTR Raw'!R26+'QTR Raw'!R31+'QTR Raw'!R32+'QTR Raw'!R33+'QTR Raw'!R36+'QTR Raw'!R37+'QTR Raw'!R39</f>
        <v>0</v>
      </c>
      <c r="AY59" s="75">
        <f>'QTR Raw'!S26+'QTR Raw'!S31+'QTR Raw'!S32+'QTR Raw'!S33+'QTR Raw'!S36+'QTR Raw'!S37+'QTR Raw'!S39</f>
        <v>0</v>
      </c>
      <c r="AZ59" s="75">
        <f>'QTR Raw'!T26+'QTR Raw'!T31+'QTR Raw'!T32+'QTR Raw'!T33+'QTR Raw'!T36+'QTR Raw'!T37+'QTR Raw'!T39</f>
        <v>0</v>
      </c>
      <c r="BA59" s="75">
        <f>'QTR Raw'!U26+'QTR Raw'!U31+'QTR Raw'!U32+'QTR Raw'!U33+'QTR Raw'!U36+'QTR Raw'!U37+'QTR Raw'!U39</f>
        <v>0</v>
      </c>
      <c r="BB59" s="75">
        <f>'QTR Raw'!V26+'QTR Raw'!V31+'QTR Raw'!V32+'QTR Raw'!V33+'QTR Raw'!V36+'QTR Raw'!V37+'QTR Raw'!V39</f>
        <v>0</v>
      </c>
      <c r="BC59" s="75">
        <f>'QTR Raw'!W26+'QTR Raw'!W31+'QTR Raw'!W32+'QTR Raw'!W33+'QTR Raw'!W36+'QTR Raw'!W37+'QTR Raw'!W39</f>
        <v>0</v>
      </c>
      <c r="BD59" s="75">
        <f>'QTR Raw'!X26+'QTR Raw'!X31+'QTR Raw'!X32+'QTR Raw'!X33+'QTR Raw'!X36+'QTR Raw'!X37+'QTR Raw'!X39</f>
        <v>0</v>
      </c>
      <c r="BE59" s="75">
        <f>'QTR Raw'!Y26+'QTR Raw'!Y31+'QTR Raw'!Y32+'QTR Raw'!Y33+'QTR Raw'!Y36+'QTR Raw'!Y37+'QTR Raw'!Y39</f>
        <v>0</v>
      </c>
      <c r="BF59" s="75">
        <f>'QTR Raw'!Z26+'QTR Raw'!Z31+'QTR Raw'!Z32+'QTR Raw'!Z33+'QTR Raw'!Z36+'QTR Raw'!Z37+'QTR Raw'!Z39</f>
        <v>0</v>
      </c>
      <c r="BG59" s="75">
        <f>'QTR Raw'!AA26+'QTR Raw'!AA31+'QTR Raw'!AA32+'QTR Raw'!AA33+'QTR Raw'!AA36+'QTR Raw'!AA37+'QTR Raw'!AA39</f>
        <v>0</v>
      </c>
      <c r="BH59" s="75">
        <f>'QTR Raw'!AB26+'QTR Raw'!AB31+'QTR Raw'!AB32+'QTR Raw'!AB33+'QTR Raw'!AB36+'QTR Raw'!AB37+'QTR Raw'!AB39</f>
        <v>0</v>
      </c>
      <c r="BI59" s="75">
        <f>'QTR Raw'!AC26+'QTR Raw'!AC31+'QTR Raw'!AC32+'QTR Raw'!AC33+'QTR Raw'!AC36+'QTR Raw'!AC37+'QTR Raw'!AC39</f>
        <v>0</v>
      </c>
      <c r="BJ59" s="75">
        <f>'QTR Raw'!AD26+'QTR Raw'!AD31+'QTR Raw'!AD32+'QTR Raw'!AD33+'QTR Raw'!AD36+'QTR Raw'!AD37+'QTR Raw'!AD39</f>
        <v>0</v>
      </c>
      <c r="BK59" s="75">
        <f>'QTR Raw'!AE26+'QTR Raw'!AE31+'QTR Raw'!AE32+'QTR Raw'!AE33+'QTR Raw'!AE36+'QTR Raw'!AE37+'QTR Raw'!AE39</f>
        <v>0</v>
      </c>
      <c r="BL59" s="75">
        <f>'QTR Raw'!AF26+'QTR Raw'!AF31+'QTR Raw'!AF32+'QTR Raw'!AF33+'QTR Raw'!AF36+'QTR Raw'!AF37+'QTR Raw'!AF39</f>
        <v>0</v>
      </c>
      <c r="BM59" s="75">
        <f>'QTR Raw'!AG26+'QTR Raw'!AG31+'QTR Raw'!AG32+'QTR Raw'!AG33+'QTR Raw'!AG36+'QTR Raw'!AG37+'QTR Raw'!AG39</f>
        <v>0</v>
      </c>
      <c r="BN59" s="75">
        <f>'QTR Raw'!AH26+'QTR Raw'!AH31+'QTR Raw'!AH32+'QTR Raw'!AH33+'QTR Raw'!AH36+'QTR Raw'!AH37+'QTR Raw'!AH39</f>
        <v>0</v>
      </c>
      <c r="BO59" s="75">
        <f>'QTR Raw'!AI26+'QTR Raw'!AI31+'QTR Raw'!AI32+'QTR Raw'!AI33+'QTR Raw'!AI36+'QTR Raw'!AI37+'QTR Raw'!AI39</f>
        <v>0</v>
      </c>
      <c r="BP59" s="75">
        <f>'QTR Raw'!AJ26+'QTR Raw'!AJ31+'QTR Raw'!AJ32+'QTR Raw'!AJ33+'QTR Raw'!AJ36+'QTR Raw'!AJ37+'QTR Raw'!AJ39</f>
        <v>0</v>
      </c>
      <c r="BQ59" s="75">
        <f>'QTR Raw'!AK26+'QTR Raw'!AK31+'QTR Raw'!AK32+'QTR Raw'!AK33+'QTR Raw'!AK36+'QTR Raw'!AK37+'QTR Raw'!AK39</f>
        <v>0</v>
      </c>
      <c r="BR59" s="75">
        <f>'QTR Raw'!AL26+'QTR Raw'!AL31+'QTR Raw'!AL32+'QTR Raw'!AL33+'QTR Raw'!AL36+'QTR Raw'!AL37+'QTR Raw'!AL39</f>
        <v>0</v>
      </c>
      <c r="BS59" s="75">
        <f>'QTR Raw'!AM26+'QTR Raw'!AM31+'QTR Raw'!AM32+'QTR Raw'!AM33+'QTR Raw'!AM36+'QTR Raw'!AM37+'QTR Raw'!AM39</f>
        <v>0</v>
      </c>
      <c r="BT59" s="75">
        <f>'QTR Raw'!AN26+'QTR Raw'!AN31+'QTR Raw'!AN32+'QTR Raw'!AN33+'QTR Raw'!AN36+'QTR Raw'!AN37+'QTR Raw'!AN39</f>
        <v>0</v>
      </c>
      <c r="BU59" s="75">
        <f>'QTR Raw'!AO26+'QTR Raw'!AO31+'QTR Raw'!AO32+'QTR Raw'!AO33+'QTR Raw'!AO36+'QTR Raw'!AO37+'QTR Raw'!AO39</f>
        <v>0</v>
      </c>
      <c r="BV59" s="75">
        <f>'QTR Raw'!AP26+'QTR Raw'!AP31+'QTR Raw'!AP32+'QTR Raw'!AP33+'QTR Raw'!AP36+'QTR Raw'!AP37+'QTR Raw'!AP39</f>
        <v>6.4000000000000001E-2</v>
      </c>
      <c r="BW59" s="75">
        <f>'QTR Raw'!AQ26+'QTR Raw'!AQ31+'QTR Raw'!AQ32+'QTR Raw'!AQ33+'QTR Raw'!AQ36+'QTR Raw'!AQ37+'QTR Raw'!AQ39</f>
        <v>0</v>
      </c>
      <c r="BX59" s="75">
        <f>'QTR Raw'!AR26+'QTR Raw'!AR31+'QTR Raw'!AR32+'QTR Raw'!AR33+'QTR Raw'!AR36+'QTR Raw'!AR37+'QTR Raw'!AR39</f>
        <v>0</v>
      </c>
      <c r="BY59" s="75">
        <f>'QTR Raw'!AS26+'QTR Raw'!AS31+'QTR Raw'!AS32+'QTR Raw'!AS33+'QTR Raw'!AS36+'QTR Raw'!AS37+'QTR Raw'!AS39</f>
        <v>0</v>
      </c>
      <c r="BZ59" s="75">
        <f>'QTR Raw'!AT26+'QTR Raw'!AT31+'QTR Raw'!AT32+'QTR Raw'!AT33+'QTR Raw'!AT36+'QTR Raw'!AT37+'QTR Raw'!AT39</f>
        <v>0</v>
      </c>
      <c r="CA59" s="75">
        <f>'QTR Raw'!AU26+'QTR Raw'!AU31+'QTR Raw'!AU32+'QTR Raw'!AU33+'QTR Raw'!AU36+'QTR Raw'!AU37+'QTR Raw'!AU39</f>
        <v>0</v>
      </c>
      <c r="CB59" s="75">
        <f>'QTR Raw'!AV26+'QTR Raw'!AV31+'QTR Raw'!AV32+'QTR Raw'!AV33+'QTR Raw'!AV36+'QTR Raw'!AV37+'QTR Raw'!AV39</f>
        <v>0</v>
      </c>
      <c r="CC59" s="75">
        <f>'QTR Raw'!AW26+'QTR Raw'!AW31+'QTR Raw'!AW32+'QTR Raw'!AW33+'QTR Raw'!AW36+'QTR Raw'!AW37+'QTR Raw'!AW39</f>
        <v>0</v>
      </c>
      <c r="CD59" s="75">
        <f>'QTR Raw'!AX26+'QTR Raw'!AX31+'QTR Raw'!AX32+'QTR Raw'!AX33+'QTR Raw'!AX36+'QTR Raw'!AX37+'QTR Raw'!AX39</f>
        <v>0</v>
      </c>
      <c r="CE59" s="75">
        <f>'QTR Raw'!AY26+'QTR Raw'!AY31+'QTR Raw'!AY32+'QTR Raw'!AY33+'QTR Raw'!AY36+'QTR Raw'!AY37+'QTR Raw'!AY39</f>
        <v>0</v>
      </c>
      <c r="CF59" s="75">
        <f>'QTR Raw'!AZ26+'QTR Raw'!AZ31+'QTR Raw'!AZ32+'QTR Raw'!AZ33+'QTR Raw'!AZ36+'QTR Raw'!AZ37+'QTR Raw'!AZ39</f>
        <v>0</v>
      </c>
      <c r="CG59" s="75">
        <f>'QTR Raw'!BA26+'QTR Raw'!BA31+'QTR Raw'!BA32+'QTR Raw'!BA33+'QTR Raw'!BA36+'QTR Raw'!BA37+'QTR Raw'!BA39</f>
        <v>6.9000000000000006E-2</v>
      </c>
      <c r="CH59" s="75">
        <f>'QTR Raw'!BB26+'QTR Raw'!BB31+'QTR Raw'!BB32+'QTR Raw'!BB33+'QTR Raw'!BB36+'QTR Raw'!BB37+'QTR Raw'!BB39</f>
        <v>8.7999999999999995E-2</v>
      </c>
      <c r="CI59" s="75">
        <f>'QTR Raw'!BC26+'QTR Raw'!BC31+'QTR Raw'!BC32+'QTR Raw'!BC33+'QTR Raw'!BC36+'QTR Raw'!BC37+'QTR Raw'!BC39</f>
        <v>0</v>
      </c>
      <c r="CJ59" s="75">
        <f>'QTR Raw'!BD26+'QTR Raw'!BD31+'QTR Raw'!BD32+'QTR Raw'!BD33+'QTR Raw'!BD36+'QTR Raw'!BD37+'QTR Raw'!BD39</f>
        <v>0</v>
      </c>
      <c r="CK59" s="75">
        <f>'QTR Raw'!BE26+'QTR Raw'!BE31+'QTR Raw'!BE32+'QTR Raw'!BE33+'QTR Raw'!BE36+'QTR Raw'!BE37+'QTR Raw'!BE39</f>
        <v>8.4000000000000005E-2</v>
      </c>
      <c r="CL59" s="75">
        <f>'QTR Raw'!BF26+'QTR Raw'!BF31+'QTR Raw'!BF32+'QTR Raw'!BF33+'QTR Raw'!BF36+'QTR Raw'!BF37+'QTR Raw'!BF39</f>
        <v>0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0.27510000000000001</v>
      </c>
    </row>
    <row r="60" spans="1:110" s="26" customFormat="1" x14ac:dyDescent="0.2">
      <c r="A60" s="35" t="s">
        <v>25</v>
      </c>
      <c r="B60" s="26">
        <f>B53+B57+B58+B59</f>
        <v>0</v>
      </c>
      <c r="C60" s="26">
        <f>C53+C57+C58+C59</f>
        <v>0</v>
      </c>
      <c r="D60" s="26">
        <f>D53+D57+D58+D59</f>
        <v>0</v>
      </c>
      <c r="E60" s="26">
        <f t="shared" ref="E60:U60" si="682">E53+E57+E58+E59</f>
        <v>0</v>
      </c>
      <c r="F60" s="26">
        <f t="shared" si="682"/>
        <v>0</v>
      </c>
      <c r="G60" s="26">
        <f t="shared" si="682"/>
        <v>0</v>
      </c>
      <c r="H60" s="26">
        <f t="shared" si="682"/>
        <v>0</v>
      </c>
      <c r="I60" s="26">
        <f t="shared" si="682"/>
        <v>0</v>
      </c>
      <c r="J60" s="26">
        <f t="shared" si="682"/>
        <v>0.35855059999999983</v>
      </c>
      <c r="K60" s="26">
        <f t="shared" si="682"/>
        <v>0.1897734999999999</v>
      </c>
      <c r="L60" s="26">
        <f t="shared" si="682"/>
        <v>0.52089149999999984</v>
      </c>
      <c r="M60" s="26">
        <f t="shared" si="682"/>
        <v>0.10714169999999995</v>
      </c>
      <c r="N60" s="26">
        <f t="shared" si="682"/>
        <v>0.14259930000000007</v>
      </c>
      <c r="O60" s="26">
        <f t="shared" si="682"/>
        <v>0.28655730000000007</v>
      </c>
      <c r="P60" s="26">
        <f t="shared" si="682"/>
        <v>-2.7392E-2</v>
      </c>
      <c r="Q60" s="26">
        <f t="shared" si="682"/>
        <v>0.15699999999999995</v>
      </c>
      <c r="R60" s="26">
        <f t="shared" si="682"/>
        <v>-7.1999999999987713E-2</v>
      </c>
      <c r="S60" s="26">
        <f t="shared" si="682"/>
        <v>46.252999999999979</v>
      </c>
      <c r="T60" s="26">
        <f t="shared" si="682"/>
        <v>59.205999999999982</v>
      </c>
      <c r="U60" s="26">
        <f t="shared" si="682"/>
        <v>61.382999999999981</v>
      </c>
      <c r="V60" s="26">
        <f t="shared" ref="V60:AA60" si="683">V53+V57+V58+V59</f>
        <v>44.538900000000012</v>
      </c>
      <c r="W60" s="26">
        <f t="shared" si="683"/>
        <v>126.72630000000002</v>
      </c>
      <c r="X60" s="26">
        <f t="shared" si="683"/>
        <v>168.40640000000002</v>
      </c>
      <c r="Y60" s="26">
        <f t="shared" si="683"/>
        <v>224.97439999999995</v>
      </c>
      <c r="Z60" s="26">
        <f t="shared" si="683"/>
        <v>299.82529999999991</v>
      </c>
      <c r="AA60" s="26">
        <f t="shared" si="683"/>
        <v>395.91149999999999</v>
      </c>
      <c r="AB60" s="27">
        <f t="shared" ref="AB60:AD60" si="684">AB53+AB57+AB58+AB59</f>
        <v>480.95957647760508</v>
      </c>
      <c r="AC60" s="27">
        <f t="shared" si="684"/>
        <v>707.02625524107873</v>
      </c>
      <c r="AD60" s="27">
        <f t="shared" si="684"/>
        <v>1017.7036087150228</v>
      </c>
      <c r="AE60" s="27">
        <f t="shared" ref="AE60" si="685">AE53+AE57+AE58+AE59</f>
        <v>1440.1073097651811</v>
      </c>
      <c r="AI60" s="26">
        <f t="shared" ref="AI60" si="686">AI53+AI57+AI58+AI59</f>
        <v>0</v>
      </c>
      <c r="AJ60" s="26">
        <f t="shared" ref="AJ60" si="687">AJ53+AJ57+AJ58+AJ59</f>
        <v>0</v>
      </c>
      <c r="AK60" s="26">
        <f t="shared" ref="AK60:AM60" si="688">AK53+AK57+AK58+AK59</f>
        <v>0</v>
      </c>
      <c r="AL60" s="26">
        <f t="shared" si="688"/>
        <v>0</v>
      </c>
      <c r="AM60" s="26">
        <f t="shared" si="688"/>
        <v>0</v>
      </c>
      <c r="AN60" s="26">
        <f t="shared" ref="AN60:AO60" si="689">AN53+AN57+AN58+AN59</f>
        <v>0</v>
      </c>
      <c r="AO60" s="26">
        <f t="shared" si="689"/>
        <v>0</v>
      </c>
      <c r="AP60" s="26">
        <f t="shared" ref="AP60:CD60" si="690">AP53+AP57+AP58+AP59</f>
        <v>0</v>
      </c>
      <c r="AQ60" s="26">
        <f t="shared" si="690"/>
        <v>0</v>
      </c>
      <c r="AR60" s="26">
        <f t="shared" si="690"/>
        <v>0</v>
      </c>
      <c r="AS60" s="26">
        <f t="shared" si="690"/>
        <v>0</v>
      </c>
      <c r="AT60" s="26">
        <f t="shared" si="690"/>
        <v>0</v>
      </c>
      <c r="AU60" s="26">
        <f t="shared" si="690"/>
        <v>0</v>
      </c>
      <c r="AV60" s="26">
        <f t="shared" si="690"/>
        <v>0</v>
      </c>
      <c r="AW60" s="26">
        <f t="shared" si="690"/>
        <v>0</v>
      </c>
      <c r="AX60" s="26">
        <f t="shared" si="690"/>
        <v>0</v>
      </c>
      <c r="AY60" s="26">
        <f t="shared" si="690"/>
        <v>0</v>
      </c>
      <c r="AZ60" s="26">
        <f t="shared" si="690"/>
        <v>0</v>
      </c>
      <c r="BA60" s="26">
        <f t="shared" si="690"/>
        <v>0</v>
      </c>
      <c r="BB60" s="26">
        <f t="shared" si="690"/>
        <v>0</v>
      </c>
      <c r="BC60" s="26">
        <f t="shared" si="690"/>
        <v>0</v>
      </c>
      <c r="BD60" s="26">
        <f t="shared" si="690"/>
        <v>0</v>
      </c>
      <c r="BE60" s="26">
        <f t="shared" si="690"/>
        <v>0</v>
      </c>
      <c r="BF60" s="26">
        <f t="shared" si="690"/>
        <v>0</v>
      </c>
      <c r="BG60" s="26">
        <f t="shared" si="690"/>
        <v>0</v>
      </c>
      <c r="BH60" s="26">
        <f t="shared" si="690"/>
        <v>0</v>
      </c>
      <c r="BI60" s="26">
        <f t="shared" si="690"/>
        <v>0</v>
      </c>
      <c r="BJ60" s="26">
        <f t="shared" si="690"/>
        <v>0</v>
      </c>
      <c r="BK60" s="26">
        <f t="shared" si="690"/>
        <v>0</v>
      </c>
      <c r="BL60" s="26">
        <f t="shared" si="690"/>
        <v>0</v>
      </c>
      <c r="BM60" s="26">
        <f t="shared" si="690"/>
        <v>0</v>
      </c>
      <c r="BN60" s="26">
        <f t="shared" si="690"/>
        <v>0</v>
      </c>
      <c r="BO60" s="26">
        <f t="shared" si="690"/>
        <v>0</v>
      </c>
      <c r="BP60" s="26">
        <f t="shared" si="690"/>
        <v>0</v>
      </c>
      <c r="BQ60" s="26">
        <f t="shared" si="690"/>
        <v>13.082999999999998</v>
      </c>
      <c r="BR60" s="26">
        <f t="shared" si="690"/>
        <v>9.6930000000000014</v>
      </c>
      <c r="BS60" s="26">
        <f t="shared" si="690"/>
        <v>29.705000000000009</v>
      </c>
      <c r="BT60" s="26">
        <f t="shared" si="690"/>
        <v>30.440999999999992</v>
      </c>
      <c r="BU60" s="26">
        <f t="shared" si="690"/>
        <v>32.021000000000001</v>
      </c>
      <c r="BV60" s="26">
        <f t="shared" si="690"/>
        <v>34.559999999999995</v>
      </c>
      <c r="BW60" s="26">
        <f t="shared" si="690"/>
        <v>39.703000000000003</v>
      </c>
      <c r="BX60" s="26">
        <f t="shared" si="690"/>
        <v>42.922999999999988</v>
      </c>
      <c r="BY60" s="26">
        <f t="shared" si="690"/>
        <v>43.165000000000013</v>
      </c>
      <c r="BZ60" s="26">
        <f t="shared" si="690"/>
        <v>42.614000000000004</v>
      </c>
      <c r="CA60" s="26">
        <f t="shared" si="690"/>
        <v>53.062000000000012</v>
      </c>
      <c r="CB60" s="26">
        <f t="shared" si="690"/>
        <v>57.491999999999976</v>
      </c>
      <c r="CC60" s="26">
        <f t="shared" si="690"/>
        <v>57.823000000000008</v>
      </c>
      <c r="CD60" s="26">
        <f t="shared" si="690"/>
        <v>56.596999999999987</v>
      </c>
      <c r="CE60" s="26">
        <f t="shared" ref="CE60:CF60" si="691">CE53+CE57+CE58+CE59</f>
        <v>73.240000000000009</v>
      </c>
      <c r="CF60" s="26">
        <f t="shared" si="691"/>
        <v>76.112000000000009</v>
      </c>
      <c r="CG60" s="26">
        <f t="shared" ref="CG60:CH60" si="692">CG53+CG57+CG58+CG59</f>
        <v>77.022999999999982</v>
      </c>
      <c r="CH60" s="26">
        <f t="shared" si="692"/>
        <v>73.452999999999989</v>
      </c>
      <c r="CI60" s="26">
        <f t="shared" ref="CI60:CJ60" si="693">CI53+CI57+CI58+CI59</f>
        <v>93.623000000000005</v>
      </c>
      <c r="CJ60" s="26">
        <f t="shared" si="693"/>
        <v>99.34999999999998</v>
      </c>
      <c r="CK60" s="26">
        <f t="shared" ref="CK60:CL60" si="694">CK53+CK57+CK58+CK59</f>
        <v>99.852000000000046</v>
      </c>
      <c r="CL60" s="26">
        <f t="shared" si="694"/>
        <v>103.08399999999997</v>
      </c>
      <c r="CM60" s="27">
        <f t="shared" ref="CM60:DB60" si="695">CM53+CM57+CM58+CM59</f>
        <v>111.3587218901299</v>
      </c>
      <c r="CN60" s="27">
        <f t="shared" si="695"/>
        <v>123.79815757042553</v>
      </c>
      <c r="CO60" s="27">
        <f t="shared" si="695"/>
        <v>121.19674973558719</v>
      </c>
      <c r="CP60" s="27">
        <f t="shared" si="695"/>
        <v>124.60594728146256</v>
      </c>
      <c r="CQ60" s="27">
        <f t="shared" si="695"/>
        <v>160.01905484829823</v>
      </c>
      <c r="CR60" s="27">
        <f t="shared" si="695"/>
        <v>178.18408614501013</v>
      </c>
      <c r="CS60" s="27">
        <f t="shared" si="695"/>
        <v>179.26391767793734</v>
      </c>
      <c r="CT60" s="27">
        <f t="shared" si="695"/>
        <v>189.55919656983301</v>
      </c>
      <c r="CU60" s="27">
        <f t="shared" si="695"/>
        <v>229.63098804676454</v>
      </c>
      <c r="CV60" s="27">
        <f t="shared" si="695"/>
        <v>255.40643138662386</v>
      </c>
      <c r="CW60" s="27">
        <f t="shared" si="695"/>
        <v>258.98416916739251</v>
      </c>
      <c r="CX60" s="27">
        <f t="shared" si="695"/>
        <v>273.68202011424142</v>
      </c>
      <c r="CY60" s="27">
        <f t="shared" si="695"/>
        <v>325.45813595033115</v>
      </c>
      <c r="CZ60" s="27">
        <f t="shared" si="695"/>
        <v>360.66957144706015</v>
      </c>
      <c r="DA60" s="27">
        <f t="shared" si="695"/>
        <v>366.81659736956891</v>
      </c>
      <c r="DB60" s="27">
        <f t="shared" si="695"/>
        <v>387.16300499822086</v>
      </c>
      <c r="DE60" s="121"/>
      <c r="DF60" s="26">
        <v>395.91149999999999</v>
      </c>
    </row>
    <row r="61" spans="1:110" s="25" customFormat="1" x14ac:dyDescent="0.2">
      <c r="A61" s="151" t="s">
        <v>486</v>
      </c>
      <c r="AB61" s="17"/>
      <c r="AC61" s="17"/>
      <c r="AD61" s="17"/>
      <c r="AE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1" customFormat="1" x14ac:dyDescent="0.2">
      <c r="AB62" s="20"/>
      <c r="AC62" s="20"/>
      <c r="AD62" s="20"/>
      <c r="AE62" s="20"/>
      <c r="BV62" s="183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22" customFormat="1" x14ac:dyDescent="0.2">
      <c r="A63" s="22" t="s">
        <v>434</v>
      </c>
      <c r="B63" s="22">
        <f>'Annual Raw'!C35</f>
        <v>0</v>
      </c>
      <c r="C63" s="22">
        <f>'Annual Raw'!D35</f>
        <v>0</v>
      </c>
      <c r="D63" s="22">
        <f>'Annual Raw'!E35</f>
        <v>0</v>
      </c>
      <c r="E63" s="22">
        <f>'Annual Raw'!F35</f>
        <v>0</v>
      </c>
      <c r="F63" s="22">
        <f>'Annual Raw'!G35</f>
        <v>0</v>
      </c>
      <c r="G63" s="22">
        <f>'Annual Raw'!H35</f>
        <v>0</v>
      </c>
      <c r="H63" s="22">
        <f>'Annual Raw'!I35</f>
        <v>0</v>
      </c>
      <c r="I63" s="22">
        <f>'Annual Raw'!J35</f>
        <v>0</v>
      </c>
      <c r="J63" s="22">
        <f>'Annual Raw'!K35</f>
        <v>0.3585506</v>
      </c>
      <c r="K63" s="22">
        <f>'Annual Raw'!L35</f>
        <v>0.18977350000000001</v>
      </c>
      <c r="L63" s="22">
        <f>'Annual Raw'!M35</f>
        <v>0.52089149999999995</v>
      </c>
      <c r="M63" s="22">
        <f>'Annual Raw'!N35</f>
        <v>0.10714170000000001</v>
      </c>
      <c r="N63" s="22">
        <f>'Annual Raw'!O35</f>
        <v>0.14259930000000001</v>
      </c>
      <c r="O63" s="22">
        <f>'Annual Raw'!P35</f>
        <v>0.28655730000000001</v>
      </c>
      <c r="P63" s="22">
        <f>'Annual Raw'!Q35</f>
        <v>-2.7392E-2</v>
      </c>
      <c r="Q63" s="22">
        <f>'Annual Raw'!R35</f>
        <v>0.157</v>
      </c>
      <c r="R63" s="22">
        <f>'Annual Raw'!S35</f>
        <v>-7.1999999999999995E-2</v>
      </c>
      <c r="S63" s="22">
        <f>'Annual Raw'!T35</f>
        <v>46.253</v>
      </c>
      <c r="T63" s="22">
        <f>'Annual Raw'!U35</f>
        <v>59.206000000000003</v>
      </c>
      <c r="U63" s="22">
        <f>'Annual Raw'!V35</f>
        <v>61.383000000000003</v>
      </c>
      <c r="V63" s="22">
        <f>'Annual Raw'!W35</f>
        <v>44.538899999999998</v>
      </c>
      <c r="W63" s="22">
        <f>'Annual Raw'!X35</f>
        <v>126.72629999999999</v>
      </c>
      <c r="X63" s="22">
        <f>'Annual Raw'!Y35</f>
        <v>168.40639999999999</v>
      </c>
      <c r="Y63" s="22">
        <f>'Annual Raw'!Z35</f>
        <v>224.9744</v>
      </c>
      <c r="Z63" s="22">
        <f>'Annual Raw'!AA35</f>
        <v>299.82530000000003</v>
      </c>
      <c r="AA63" s="22">
        <f>'Annual Raw'!AB35</f>
        <v>395.91149999999999</v>
      </c>
      <c r="AB63" s="21">
        <f t="shared" ref="AB63:AD63" si="696">+AB60</f>
        <v>480.95957647760508</v>
      </c>
      <c r="AC63" s="21">
        <f t="shared" si="696"/>
        <v>707.02625524107873</v>
      </c>
      <c r="AD63" s="21">
        <f t="shared" si="696"/>
        <v>1017.7036087150228</v>
      </c>
      <c r="AE63" s="21">
        <f t="shared" ref="AE63" si="697">+AE60</f>
        <v>1440.1073097651811</v>
      </c>
      <c r="AI63" s="22">
        <f>'QTR Raw'!C42</f>
        <v>0</v>
      </c>
      <c r="AJ63" s="22">
        <f>'QTR Raw'!D42</f>
        <v>0</v>
      </c>
      <c r="AK63" s="22">
        <f>'QTR Raw'!E42</f>
        <v>0</v>
      </c>
      <c r="AL63" s="22">
        <f>'QTR Raw'!F42</f>
        <v>0</v>
      </c>
      <c r="AM63" s="22">
        <f>'QTR Raw'!G42</f>
        <v>0</v>
      </c>
      <c r="AN63" s="22">
        <f>'QTR Raw'!H42</f>
        <v>0</v>
      </c>
      <c r="AO63" s="22">
        <f>'QTR Raw'!I42</f>
        <v>0</v>
      </c>
      <c r="AP63" s="22">
        <f>'QTR Raw'!J42</f>
        <v>0</v>
      </c>
      <c r="AQ63" s="22">
        <f>'QTR Raw'!K42</f>
        <v>0</v>
      </c>
      <c r="AR63" s="22">
        <f>'QTR Raw'!L42</f>
        <v>0</v>
      </c>
      <c r="AS63" s="22">
        <f>'QTR Raw'!M42</f>
        <v>0</v>
      </c>
      <c r="AT63" s="22">
        <f>'QTR Raw'!N42</f>
        <v>0</v>
      </c>
      <c r="AU63" s="22">
        <f>'QTR Raw'!O42</f>
        <v>0</v>
      </c>
      <c r="AV63" s="22">
        <f>'QTR Raw'!P42</f>
        <v>0</v>
      </c>
      <c r="AW63" s="22">
        <f>'QTR Raw'!Q42</f>
        <v>0</v>
      </c>
      <c r="AX63" s="22">
        <f>'QTR Raw'!R42</f>
        <v>0</v>
      </c>
      <c r="AY63" s="22">
        <f>'QTR Raw'!S42</f>
        <v>0</v>
      </c>
      <c r="AZ63" s="22">
        <f>'QTR Raw'!T42</f>
        <v>0</v>
      </c>
      <c r="BA63" s="22">
        <f>'QTR Raw'!U42</f>
        <v>0</v>
      </c>
      <c r="BB63" s="22">
        <f>'QTR Raw'!V42</f>
        <v>0</v>
      </c>
      <c r="BC63" s="22">
        <f>'QTR Raw'!W42</f>
        <v>0</v>
      </c>
      <c r="BD63" s="22">
        <f>'QTR Raw'!X42</f>
        <v>0</v>
      </c>
      <c r="BE63" s="22">
        <f>'QTR Raw'!Y42</f>
        <v>0</v>
      </c>
      <c r="BF63" s="22">
        <f>'QTR Raw'!Z42</f>
        <v>0</v>
      </c>
      <c r="BG63" s="22">
        <f>'QTR Raw'!AA42</f>
        <v>0</v>
      </c>
      <c r="BH63" s="22">
        <f>'QTR Raw'!AB42</f>
        <v>0</v>
      </c>
      <c r="BI63" s="22">
        <f>'QTR Raw'!AC42</f>
        <v>0</v>
      </c>
      <c r="BJ63" s="22">
        <f>'QTR Raw'!AD42</f>
        <v>0</v>
      </c>
      <c r="BK63" s="22">
        <f>'QTR Raw'!AE42</f>
        <v>0</v>
      </c>
      <c r="BL63" s="22">
        <f>'QTR Raw'!AF42</f>
        <v>0</v>
      </c>
      <c r="BM63" s="22">
        <f>'QTR Raw'!AG42</f>
        <v>0</v>
      </c>
      <c r="BN63" s="22">
        <f>'QTR Raw'!AH42</f>
        <v>0</v>
      </c>
      <c r="BO63" s="22">
        <f>'QTR Raw'!AI42</f>
        <v>0</v>
      </c>
      <c r="BP63" s="22">
        <f>'QTR Raw'!AJ42</f>
        <v>0</v>
      </c>
      <c r="BQ63" s="22">
        <f>'QTR Raw'!AK42</f>
        <v>13.082000000000001</v>
      </c>
      <c r="BR63" s="22">
        <f>'QTR Raw'!AL42</f>
        <v>9.6929999999999996</v>
      </c>
      <c r="BS63" s="22">
        <f>'QTR Raw'!AM42</f>
        <v>29.704000000000001</v>
      </c>
      <c r="BT63" s="22">
        <f>'QTR Raw'!AN42</f>
        <v>30.440999999999999</v>
      </c>
      <c r="BU63" s="22">
        <f>'QTR Raw'!AO42</f>
        <v>32.021000000000001</v>
      </c>
      <c r="BV63" s="22">
        <f>'QTR Raw'!AP42</f>
        <v>34.56</v>
      </c>
      <c r="BW63" s="22">
        <f>'QTR Raw'!AQ42</f>
        <v>39.703000000000003</v>
      </c>
      <c r="BX63" s="22">
        <f>'QTR Raw'!AR42</f>
        <v>42.923999999999999</v>
      </c>
      <c r="BY63" s="22">
        <f>'QTR Raw'!AS42</f>
        <v>43.165999999999997</v>
      </c>
      <c r="BZ63" s="22">
        <f>'QTR Raw'!AT42</f>
        <v>42.613</v>
      </c>
      <c r="CA63" s="22">
        <f>'QTR Raw'!AU42</f>
        <v>53.061</v>
      </c>
      <c r="CB63" s="22">
        <f>'QTR Raw'!AV42</f>
        <v>57.491999999999997</v>
      </c>
      <c r="CC63" s="22">
        <f>'QTR Raw'!AW42</f>
        <v>57.823999999999998</v>
      </c>
      <c r="CD63" s="22">
        <f>'QTR Raw'!AX42</f>
        <v>56.597999999999999</v>
      </c>
      <c r="CE63" s="22">
        <f>'QTR Raw'!AY42</f>
        <v>73.239000000000004</v>
      </c>
      <c r="CF63" s="22">
        <f>'QTR Raw'!AZ42</f>
        <v>76.113</v>
      </c>
      <c r="CG63" s="22">
        <f>'QTR Raw'!BA42</f>
        <v>77.022999999999996</v>
      </c>
      <c r="CH63" s="22">
        <f>'QTR Raw'!BB42</f>
        <v>73.450999999999993</v>
      </c>
      <c r="CI63" s="22">
        <f>'QTR Raw'!BC42</f>
        <v>93.623999999999995</v>
      </c>
      <c r="CJ63" s="22">
        <f>'QTR Raw'!BD42</f>
        <v>99.350999999999999</v>
      </c>
      <c r="CK63" s="22">
        <f>'QTR Raw'!BE42</f>
        <v>99.850999999999999</v>
      </c>
      <c r="CL63" s="22">
        <f>'QTR Raw'!BF42</f>
        <v>103.086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2">
        <v>395.91149999999999</v>
      </c>
    </row>
    <row r="64" spans="1:110" s="25" customFormat="1" x14ac:dyDescent="0.2">
      <c r="A64" s="36" t="s">
        <v>435</v>
      </c>
      <c r="B64" s="25">
        <f t="shared" ref="B64:V64" si="698">B63-B60</f>
        <v>0</v>
      </c>
      <c r="C64" s="25">
        <f>C63-C60</f>
        <v>0</v>
      </c>
      <c r="D64" s="25">
        <f t="shared" si="698"/>
        <v>0</v>
      </c>
      <c r="E64" s="25">
        <f t="shared" si="698"/>
        <v>0</v>
      </c>
      <c r="F64" s="25">
        <f t="shared" si="698"/>
        <v>0</v>
      </c>
      <c r="G64" s="25">
        <f t="shared" si="698"/>
        <v>0</v>
      </c>
      <c r="H64" s="25">
        <f t="shared" si="698"/>
        <v>0</v>
      </c>
      <c r="I64" s="25">
        <f t="shared" si="698"/>
        <v>0</v>
      </c>
      <c r="J64" s="25">
        <f t="shared" si="698"/>
        <v>0</v>
      </c>
      <c r="K64" s="25">
        <f t="shared" si="698"/>
        <v>0</v>
      </c>
      <c r="L64" s="25">
        <f t="shared" si="698"/>
        <v>0</v>
      </c>
      <c r="M64" s="25">
        <f t="shared" si="698"/>
        <v>0</v>
      </c>
      <c r="N64" s="25">
        <f t="shared" si="698"/>
        <v>0</v>
      </c>
      <c r="O64" s="25">
        <f t="shared" si="698"/>
        <v>0</v>
      </c>
      <c r="P64" s="25">
        <f t="shared" si="698"/>
        <v>0</v>
      </c>
      <c r="Q64" s="25">
        <f t="shared" si="698"/>
        <v>0</v>
      </c>
      <c r="R64" s="25">
        <f t="shared" si="698"/>
        <v>-1.2281842209915794E-14</v>
      </c>
      <c r="S64" s="25">
        <f t="shared" si="698"/>
        <v>0</v>
      </c>
      <c r="T64" s="25">
        <f t="shared" si="698"/>
        <v>0</v>
      </c>
      <c r="U64" s="25">
        <f t="shared" si="698"/>
        <v>0</v>
      </c>
      <c r="V64" s="25">
        <f t="shared" si="698"/>
        <v>0</v>
      </c>
      <c r="W64" s="25">
        <f t="shared" ref="W64" si="699">W63-W60</f>
        <v>0</v>
      </c>
      <c r="X64" s="25">
        <f t="shared" ref="X64:Y64" si="700">X63-X60</f>
        <v>0</v>
      </c>
      <c r="Y64" s="25">
        <f t="shared" si="700"/>
        <v>0</v>
      </c>
      <c r="Z64" s="25">
        <f t="shared" ref="Z64:AA64" si="701">Z63-Z60</f>
        <v>0</v>
      </c>
      <c r="AA64" s="25">
        <f t="shared" ref="AA64" si="702">AA63-AA60</f>
        <v>0</v>
      </c>
      <c r="AB64" s="17">
        <f t="shared" ref="AB64:AD64" si="703">AB63-AB60</f>
        <v>0</v>
      </c>
      <c r="AC64" s="17">
        <f t="shared" si="703"/>
        <v>0</v>
      </c>
      <c r="AD64" s="17">
        <f t="shared" si="703"/>
        <v>0</v>
      </c>
      <c r="AE64" s="17">
        <f t="shared" ref="AE64" si="704">AE63-AE60</f>
        <v>0</v>
      </c>
      <c r="AI64" s="25">
        <f t="shared" ref="AI64" si="705">AI63-AI60</f>
        <v>0</v>
      </c>
      <c r="AJ64" s="25">
        <f t="shared" ref="AJ64" si="706">AJ63-AJ60</f>
        <v>0</v>
      </c>
      <c r="AK64" s="25">
        <f t="shared" ref="AK64:AM64" si="707">AK63-AK60</f>
        <v>0</v>
      </c>
      <c r="AL64" s="25">
        <f t="shared" si="707"/>
        <v>0</v>
      </c>
      <c r="AM64" s="25">
        <f t="shared" si="707"/>
        <v>0</v>
      </c>
      <c r="AN64" s="25">
        <f t="shared" ref="AN64:AO64" si="708">AN63-AN60</f>
        <v>0</v>
      </c>
      <c r="AO64" s="25">
        <f t="shared" si="708"/>
        <v>0</v>
      </c>
      <c r="AP64" s="25">
        <f t="shared" ref="AP64:CD64" si="709">AP63-AP60</f>
        <v>0</v>
      </c>
      <c r="AQ64" s="25">
        <f t="shared" si="709"/>
        <v>0</v>
      </c>
      <c r="AR64" s="25">
        <f t="shared" si="709"/>
        <v>0</v>
      </c>
      <c r="AS64" s="25">
        <f t="shared" si="709"/>
        <v>0</v>
      </c>
      <c r="AT64" s="25">
        <f t="shared" si="709"/>
        <v>0</v>
      </c>
      <c r="AU64" s="25">
        <f t="shared" si="709"/>
        <v>0</v>
      </c>
      <c r="AV64" s="25">
        <f t="shared" si="709"/>
        <v>0</v>
      </c>
      <c r="AW64" s="25">
        <f t="shared" si="709"/>
        <v>0</v>
      </c>
      <c r="AX64" s="25">
        <f t="shared" si="709"/>
        <v>0</v>
      </c>
      <c r="AY64" s="25">
        <f t="shared" si="709"/>
        <v>0</v>
      </c>
      <c r="AZ64" s="25">
        <f t="shared" si="709"/>
        <v>0</v>
      </c>
      <c r="BA64" s="25">
        <f t="shared" si="709"/>
        <v>0</v>
      </c>
      <c r="BB64" s="25">
        <f t="shared" si="709"/>
        <v>0</v>
      </c>
      <c r="BC64" s="25">
        <f t="shared" si="709"/>
        <v>0</v>
      </c>
      <c r="BD64" s="25">
        <f t="shared" si="709"/>
        <v>0</v>
      </c>
      <c r="BE64" s="25">
        <f t="shared" si="709"/>
        <v>0</v>
      </c>
      <c r="BF64" s="25">
        <f t="shared" si="709"/>
        <v>0</v>
      </c>
      <c r="BG64" s="25">
        <f t="shared" si="709"/>
        <v>0</v>
      </c>
      <c r="BH64" s="25">
        <f t="shared" si="709"/>
        <v>0</v>
      </c>
      <c r="BI64" s="25">
        <f t="shared" si="709"/>
        <v>0</v>
      </c>
      <c r="BJ64" s="25">
        <f t="shared" si="709"/>
        <v>0</v>
      </c>
      <c r="BK64" s="25">
        <f t="shared" si="709"/>
        <v>0</v>
      </c>
      <c r="BL64" s="25">
        <f t="shared" si="709"/>
        <v>0</v>
      </c>
      <c r="BM64" s="25">
        <f t="shared" si="709"/>
        <v>0</v>
      </c>
      <c r="BN64" s="25">
        <f t="shared" si="709"/>
        <v>0</v>
      </c>
      <c r="BO64" s="25">
        <f t="shared" si="709"/>
        <v>0</v>
      </c>
      <c r="BP64" s="25">
        <f t="shared" si="709"/>
        <v>0</v>
      </c>
      <c r="BQ64" s="25">
        <f t="shared" si="709"/>
        <v>-9.9999999999766942E-4</v>
      </c>
      <c r="BR64" s="25">
        <f t="shared" si="709"/>
        <v>0</v>
      </c>
      <c r="BS64" s="25">
        <f t="shared" si="709"/>
        <v>-1.0000000000083276E-3</v>
      </c>
      <c r="BT64" s="25">
        <f t="shared" si="709"/>
        <v>0</v>
      </c>
      <c r="BU64" s="25">
        <f t="shared" si="709"/>
        <v>0</v>
      </c>
      <c r="BV64" s="25">
        <f t="shared" si="709"/>
        <v>0</v>
      </c>
      <c r="BW64" s="25">
        <f t="shared" si="709"/>
        <v>0</v>
      </c>
      <c r="BX64" s="25">
        <f t="shared" si="709"/>
        <v>1.0000000000118803E-3</v>
      </c>
      <c r="BY64" s="25">
        <f t="shared" si="709"/>
        <v>9.9999999998345857E-4</v>
      </c>
      <c r="BZ64" s="25">
        <f t="shared" si="709"/>
        <v>-1.0000000000047748E-3</v>
      </c>
      <c r="CA64" s="25">
        <f t="shared" si="709"/>
        <v>-1.0000000000118803E-3</v>
      </c>
      <c r="CB64" s="25">
        <f t="shared" si="709"/>
        <v>0</v>
      </c>
      <c r="CC64" s="25">
        <f t="shared" si="709"/>
        <v>9.9999999999056399E-4</v>
      </c>
      <c r="CD64" s="25">
        <f t="shared" si="709"/>
        <v>1.0000000000118803E-3</v>
      </c>
      <c r="CE64" s="25">
        <f t="shared" ref="CE64:CF64" si="710">CE63-CE60</f>
        <v>-1.0000000000047748E-3</v>
      </c>
      <c r="CF64" s="25">
        <f t="shared" si="710"/>
        <v>9.9999999999056399E-4</v>
      </c>
      <c r="CG64" s="25">
        <f t="shared" ref="CG64:CH64" si="711">CG63-CG60</f>
        <v>0</v>
      </c>
      <c r="CH64" s="25">
        <f t="shared" si="711"/>
        <v>-1.9999999999953388E-3</v>
      </c>
      <c r="CI64" s="25">
        <f t="shared" ref="CI64:CJ64" si="712">CI63-CI60</f>
        <v>9.9999999999056399E-4</v>
      </c>
      <c r="CJ64" s="25">
        <f t="shared" si="712"/>
        <v>1.0000000000189857E-3</v>
      </c>
      <c r="CK64" s="25">
        <f t="shared" ref="CK64:CL64" si="713">CK63-CK60</f>
        <v>-1.0000000000474074E-3</v>
      </c>
      <c r="CL64" s="25">
        <f t="shared" si="713"/>
        <v>2.0000000000237605E-3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  <c r="DF64" s="25">
        <v>0</v>
      </c>
    </row>
    <row r="65" spans="1:110" s="1" customFormat="1" x14ac:dyDescent="0.2">
      <c r="A65" s="150" t="s">
        <v>487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38" customFormat="1" x14ac:dyDescent="0.2">
      <c r="A66" s="38" t="s">
        <v>350</v>
      </c>
      <c r="B66" s="39" t="e">
        <f t="shared" ref="B66:AE66" si="714">(B60-B59)/B132</f>
        <v>#DIV/0!</v>
      </c>
      <c r="C66" s="39" t="e">
        <f t="shared" si="714"/>
        <v>#DIV/0!</v>
      </c>
      <c r="D66" s="39" t="e">
        <f t="shared" si="714"/>
        <v>#DIV/0!</v>
      </c>
      <c r="E66" s="39" t="e">
        <f t="shared" si="714"/>
        <v>#DIV/0!</v>
      </c>
      <c r="F66" s="39" t="e">
        <f t="shared" si="714"/>
        <v>#DIV/0!</v>
      </c>
      <c r="G66" s="39" t="e">
        <f t="shared" si="714"/>
        <v>#DIV/0!</v>
      </c>
      <c r="H66" s="39" t="e">
        <f t="shared" si="714"/>
        <v>#DIV/0!</v>
      </c>
      <c r="I66" s="39" t="e">
        <f t="shared" si="714"/>
        <v>#DIV/0!</v>
      </c>
      <c r="J66" s="39">
        <f t="shared" si="714"/>
        <v>7.0332645295320767E-2</v>
      </c>
      <c r="K66" s="39">
        <f t="shared" si="714"/>
        <v>3.5894077032333861E-2</v>
      </c>
      <c r="L66" s="39">
        <f t="shared" si="714"/>
        <v>8.968619941374327E-2</v>
      </c>
      <c r="M66" s="39">
        <f t="shared" si="714"/>
        <v>1.8113328159998224E-2</v>
      </c>
      <c r="N66" s="39">
        <f t="shared" si="714"/>
        <v>2.3540270717083426E-2</v>
      </c>
      <c r="O66" s="39">
        <f t="shared" si="714"/>
        <v>4.5168162910312289E-2</v>
      </c>
      <c r="P66" s="39">
        <f t="shared" si="714"/>
        <v>-4.3363453878838155E-3</v>
      </c>
      <c r="Q66" s="39">
        <f t="shared" si="714"/>
        <v>2.439403356121814E-2</v>
      </c>
      <c r="R66" s="39">
        <f t="shared" si="714"/>
        <v>-5.5329286098507423E-3</v>
      </c>
      <c r="S66" s="39">
        <f t="shared" si="714"/>
        <v>0.59022522809927869</v>
      </c>
      <c r="T66" s="39">
        <f t="shared" si="714"/>
        <v>0.47771430415698413</v>
      </c>
      <c r="U66" s="39">
        <f t="shared" si="714"/>
        <v>0.33086463672967764</v>
      </c>
      <c r="V66" s="39">
        <f t="shared" si="714"/>
        <v>0.18467933688337843</v>
      </c>
      <c r="W66" s="39">
        <f t="shared" si="714"/>
        <v>0.36805533732091672</v>
      </c>
      <c r="X66" s="39">
        <f t="shared" si="714"/>
        <v>0.35966443985033064</v>
      </c>
      <c r="Y66" s="39">
        <f t="shared" si="714"/>
        <v>0.34672571229803428</v>
      </c>
      <c r="Z66" s="39">
        <f t="shared" si="714"/>
        <v>0.44444683490532499</v>
      </c>
      <c r="AA66" s="39">
        <f t="shared" ref="AA66" si="715">(AA60-AA59)/AA132</f>
        <v>0.39636801608408795</v>
      </c>
      <c r="AB66" s="40">
        <f t="shared" si="714"/>
        <v>0.32516744090942173</v>
      </c>
      <c r="AC66" s="40">
        <f t="shared" si="714"/>
        <v>0.32341309781874006</v>
      </c>
      <c r="AD66" s="40">
        <f t="shared" si="714"/>
        <v>0.31765085517950764</v>
      </c>
      <c r="AE66" s="40">
        <f t="shared" si="714"/>
        <v>0.31010391522853797</v>
      </c>
      <c r="AF66" s="39"/>
      <c r="AG66" s="39"/>
      <c r="AH66" s="39"/>
      <c r="AI66" s="39"/>
      <c r="AJ66" s="39"/>
      <c r="AK66" s="39"/>
      <c r="AL66" s="39" t="e">
        <f t="shared" ref="AL66:BQ66" si="716">(SUM(AI60:AL60)-SUM(AI59:AL59))/AL132</f>
        <v>#DIV/0!</v>
      </c>
      <c r="AM66" s="39" t="e">
        <f t="shared" si="716"/>
        <v>#DIV/0!</v>
      </c>
      <c r="AN66" s="39" t="e">
        <f t="shared" si="716"/>
        <v>#DIV/0!</v>
      </c>
      <c r="AO66" s="39" t="e">
        <f t="shared" si="716"/>
        <v>#DIV/0!</v>
      </c>
      <c r="AP66" s="39" t="e">
        <f t="shared" si="716"/>
        <v>#DIV/0!</v>
      </c>
      <c r="AQ66" s="39" t="e">
        <f t="shared" si="716"/>
        <v>#DIV/0!</v>
      </c>
      <c r="AR66" s="39" t="e">
        <f t="shared" si="716"/>
        <v>#DIV/0!</v>
      </c>
      <c r="AS66" s="39" t="e">
        <f t="shared" si="716"/>
        <v>#DIV/0!</v>
      </c>
      <c r="AT66" s="39" t="e">
        <f t="shared" si="716"/>
        <v>#DIV/0!</v>
      </c>
      <c r="AU66" s="39" t="e">
        <f t="shared" si="716"/>
        <v>#DIV/0!</v>
      </c>
      <c r="AV66" s="39" t="e">
        <f t="shared" si="716"/>
        <v>#DIV/0!</v>
      </c>
      <c r="AW66" s="39" t="e">
        <f t="shared" si="716"/>
        <v>#DIV/0!</v>
      </c>
      <c r="AX66" s="39" t="e">
        <f t="shared" si="716"/>
        <v>#DIV/0!</v>
      </c>
      <c r="AY66" s="39" t="e">
        <f t="shared" si="716"/>
        <v>#DIV/0!</v>
      </c>
      <c r="AZ66" s="39" t="e">
        <f t="shared" si="716"/>
        <v>#DIV/0!</v>
      </c>
      <c r="BA66" s="39" t="e">
        <f t="shared" si="716"/>
        <v>#DIV/0!</v>
      </c>
      <c r="BB66" s="39" t="e">
        <f t="shared" si="716"/>
        <v>#DIV/0!</v>
      </c>
      <c r="BC66" s="39" t="e">
        <f t="shared" si="716"/>
        <v>#DIV/0!</v>
      </c>
      <c r="BD66" s="39" t="e">
        <f t="shared" si="716"/>
        <v>#DIV/0!</v>
      </c>
      <c r="BE66" s="39" t="e">
        <f t="shared" si="716"/>
        <v>#DIV/0!</v>
      </c>
      <c r="BF66" s="39" t="e">
        <f t="shared" si="716"/>
        <v>#DIV/0!</v>
      </c>
      <c r="BG66" s="39" t="e">
        <f t="shared" si="716"/>
        <v>#DIV/0!</v>
      </c>
      <c r="BH66" s="39" t="e">
        <f t="shared" si="716"/>
        <v>#DIV/0!</v>
      </c>
      <c r="BI66" s="39" t="e">
        <f t="shared" si="716"/>
        <v>#DIV/0!</v>
      </c>
      <c r="BJ66" s="39" t="e">
        <f t="shared" si="716"/>
        <v>#DIV/0!</v>
      </c>
      <c r="BK66" s="39" t="e">
        <f t="shared" si="716"/>
        <v>#DIV/0!</v>
      </c>
      <c r="BL66" s="39" t="e">
        <f t="shared" si="716"/>
        <v>#DIV/0!</v>
      </c>
      <c r="BM66" s="39" t="e">
        <f t="shared" si="716"/>
        <v>#DIV/0!</v>
      </c>
      <c r="BN66" s="39" t="e">
        <f t="shared" si="716"/>
        <v>#DIV/0!</v>
      </c>
      <c r="BO66" s="39" t="e">
        <f t="shared" si="716"/>
        <v>#DIV/0!</v>
      </c>
      <c r="BP66" s="39" t="e">
        <f t="shared" si="716"/>
        <v>#DIV/0!</v>
      </c>
      <c r="BQ66" s="39">
        <f t="shared" si="716"/>
        <v>1</v>
      </c>
      <c r="BR66" s="39">
        <f t="shared" ref="BR66:CW66" si="717">(SUM(BO60:BR60)-SUM(BO59:BR59))/BR132</f>
        <v>9.4281279105867741E-2</v>
      </c>
      <c r="BS66" s="39">
        <f t="shared" si="717"/>
        <v>0.19345694485402537</v>
      </c>
      <c r="BT66" s="39" t="e">
        <f t="shared" si="717"/>
        <v>#DIV/0!</v>
      </c>
      <c r="BU66" s="39">
        <f t="shared" si="717"/>
        <v>3.1810374441772584</v>
      </c>
      <c r="BV66" s="39">
        <f t="shared" si="717"/>
        <v>0.36856317307160719</v>
      </c>
      <c r="BW66" s="39">
        <f t="shared" si="717"/>
        <v>0.3564728591178235</v>
      </c>
      <c r="BX66" s="39">
        <f t="shared" si="717"/>
        <v>0.37153946375233859</v>
      </c>
      <c r="BY66" s="39">
        <f t="shared" si="717"/>
        <v>0.3605325427815666</v>
      </c>
      <c r="BZ66" s="39">
        <f t="shared" si="717"/>
        <v>0.3596614498795469</v>
      </c>
      <c r="CA66" s="39">
        <f t="shared" si="717"/>
        <v>0.34867848085725139</v>
      </c>
      <c r="CB66" s="39">
        <f t="shared" si="717"/>
        <v>0.35501585820558174</v>
      </c>
      <c r="CC66" s="39">
        <f t="shared" si="717"/>
        <v>0.34540614783686319</v>
      </c>
      <c r="CD66" s="39">
        <f t="shared" si="717"/>
        <v>0.34672514926316239</v>
      </c>
      <c r="CE66" s="39">
        <f t="shared" si="717"/>
        <v>0.3395015053441795</v>
      </c>
      <c r="CF66" s="39">
        <f t="shared" si="717"/>
        <v>0.47644094431298883</v>
      </c>
      <c r="CG66" s="39">
        <f t="shared" si="717"/>
        <v>0.44858741653492484</v>
      </c>
      <c r="CH66" s="39">
        <f t="shared" si="717"/>
        <v>0.44463215332435874</v>
      </c>
      <c r="CI66" s="39">
        <f t="shared" si="717"/>
        <v>0.41695517484996375</v>
      </c>
      <c r="CJ66" s="39">
        <f t="shared" si="717"/>
        <v>0.42459833520921197</v>
      </c>
      <c r="CK66" s="39">
        <f t="shared" si="717"/>
        <v>0.40303975727738495</v>
      </c>
      <c r="CL66" s="39">
        <f t="shared" si="717"/>
        <v>0.3965570443037848</v>
      </c>
      <c r="CM66" s="40">
        <f t="shared" si="717"/>
        <v>0.37274085617116792</v>
      </c>
      <c r="CN66" s="40">
        <f t="shared" si="717"/>
        <v>0.35514880048097736</v>
      </c>
      <c r="CO66" s="40">
        <f t="shared" si="717"/>
        <v>0.33919161420213206</v>
      </c>
      <c r="CP66" s="40">
        <f t="shared" si="717"/>
        <v>0.32516744090942185</v>
      </c>
      <c r="CQ66" s="40">
        <f t="shared" si="717"/>
        <v>0.32310985658760333</v>
      </c>
      <c r="CR66" s="40">
        <f t="shared" si="717"/>
        <v>0.32135611387710977</v>
      </c>
      <c r="CS66" s="40">
        <f t="shared" si="717"/>
        <v>0.32158631344475597</v>
      </c>
      <c r="CT66" s="40">
        <f t="shared" si="717"/>
        <v>0.32341309781874006</v>
      </c>
      <c r="CU66" s="40">
        <f t="shared" si="717"/>
        <v>0.32148669984967787</v>
      </c>
      <c r="CV66" s="40">
        <f t="shared" si="717"/>
        <v>0.31965701014894865</v>
      </c>
      <c r="CW66" s="40">
        <f t="shared" si="717"/>
        <v>0.31861070134109848</v>
      </c>
      <c r="CX66" s="40">
        <f t="shared" ref="CX66:DB66" si="718">(SUM(CU60:CX60)-SUM(CU59:CX59))/CX132</f>
        <v>0.31765085517950747</v>
      </c>
      <c r="CY66" s="40">
        <f t="shared" si="718"/>
        <v>0.31551023127909117</v>
      </c>
      <c r="CZ66" s="40">
        <f t="shared" si="718"/>
        <v>0.31331695027058981</v>
      </c>
      <c r="DA66" s="40">
        <f t="shared" si="718"/>
        <v>0.31164962978877958</v>
      </c>
      <c r="DB66" s="40">
        <f t="shared" si="718"/>
        <v>0.31010391522853797</v>
      </c>
      <c r="DE66" s="122"/>
      <c r="DF66" s="38">
        <v>0.39636801608408795</v>
      </c>
    </row>
    <row r="67" spans="1:110" s="38" customFormat="1" x14ac:dyDescent="0.2">
      <c r="A67" s="38" t="s">
        <v>351</v>
      </c>
      <c r="B67" s="39" t="e">
        <f t="shared" ref="B67:AE67" si="719">+B46/B141</f>
        <v>#DIV/0!</v>
      </c>
      <c r="C67" s="39" t="e">
        <f t="shared" si="719"/>
        <v>#DIV/0!</v>
      </c>
      <c r="D67" s="39" t="e">
        <f t="shared" si="719"/>
        <v>#DIV/0!</v>
      </c>
      <c r="E67" s="39" t="e">
        <f t="shared" si="719"/>
        <v>#DIV/0!</v>
      </c>
      <c r="F67" s="39" t="e">
        <f t="shared" si="719"/>
        <v>#DIV/0!</v>
      </c>
      <c r="G67" s="39" t="e">
        <f t="shared" si="719"/>
        <v>#DIV/0!</v>
      </c>
      <c r="H67" s="39" t="e">
        <f t="shared" si="719"/>
        <v>#DIV/0!</v>
      </c>
      <c r="I67" s="39" t="e">
        <f t="shared" si="719"/>
        <v>#DIV/0!</v>
      </c>
      <c r="J67" s="39">
        <f t="shared" si="719"/>
        <v>6.042173192127924E-2</v>
      </c>
      <c r="K67" s="39">
        <f t="shared" si="719"/>
        <v>1.3525520942503366E-3</v>
      </c>
      <c r="L67" s="39">
        <f t="shared" si="719"/>
        <v>6.4573636575775625E-2</v>
      </c>
      <c r="M67" s="39">
        <f t="shared" si="719"/>
        <v>-4.6729396665499766E-2</v>
      </c>
      <c r="N67" s="39">
        <f t="shared" si="719"/>
        <v>5.6911277472712835E-4</v>
      </c>
      <c r="O67" s="39">
        <f t="shared" si="719"/>
        <v>-3.047483179169411E-2</v>
      </c>
      <c r="P67" s="39">
        <f t="shared" si="719"/>
        <v>-1.4070421286592664E-2</v>
      </c>
      <c r="Q67" s="39">
        <f t="shared" si="719"/>
        <v>-7.7688004972032388E-3</v>
      </c>
      <c r="R67" s="39">
        <f t="shared" si="719"/>
        <v>-5.0560636593809431E-2</v>
      </c>
      <c r="S67" s="39">
        <f t="shared" si="719"/>
        <v>0.93022017045454497</v>
      </c>
      <c r="T67" s="39">
        <f t="shared" si="719"/>
        <v>0.59538192164587422</v>
      </c>
      <c r="U67" s="39">
        <f t="shared" si="719"/>
        <v>0.3586950150311089</v>
      </c>
      <c r="V67" s="39">
        <f t="shared" si="719"/>
        <v>0.18097011669794855</v>
      </c>
      <c r="W67" s="39">
        <f t="shared" si="719"/>
        <v>0.42503369161489662</v>
      </c>
      <c r="X67" s="39">
        <f t="shared" si="719"/>
        <v>0.44684823270849211</v>
      </c>
      <c r="Y67" s="39">
        <f t="shared" si="719"/>
        <v>0.42450149976165596</v>
      </c>
      <c r="Z67" s="39">
        <f t="shared" si="719"/>
        <v>0.52831642580611149</v>
      </c>
      <c r="AA67" s="39">
        <f t="shared" ref="AA67" si="720">+AA46/AA141</f>
        <v>0.43479411979103394</v>
      </c>
      <c r="AB67" s="40">
        <f t="shared" si="719"/>
        <v>0.36849277519930801</v>
      </c>
      <c r="AC67" s="40">
        <f t="shared" si="719"/>
        <v>0.33107654827180977</v>
      </c>
      <c r="AD67" s="40">
        <f t="shared" si="719"/>
        <v>0.29871653167511236</v>
      </c>
      <c r="AE67" s="40">
        <f t="shared" si="719"/>
        <v>0.27085048878216483</v>
      </c>
      <c r="AF67" s="39"/>
      <c r="AG67" s="39"/>
      <c r="AH67" s="39"/>
      <c r="AI67" s="39"/>
      <c r="AJ67" s="39"/>
      <c r="AK67" s="39"/>
      <c r="AL67" s="39" t="e">
        <f t="shared" ref="AL67:BQ67" si="721">+SUM(AI46:AL46)/AL141</f>
        <v>#DIV/0!</v>
      </c>
      <c r="AM67" s="39" t="e">
        <f t="shared" si="721"/>
        <v>#DIV/0!</v>
      </c>
      <c r="AN67" s="39" t="e">
        <f t="shared" si="721"/>
        <v>#DIV/0!</v>
      </c>
      <c r="AO67" s="39" t="e">
        <f t="shared" si="721"/>
        <v>#DIV/0!</v>
      </c>
      <c r="AP67" s="39" t="e">
        <f t="shared" si="721"/>
        <v>#DIV/0!</v>
      </c>
      <c r="AQ67" s="39" t="e">
        <f t="shared" si="721"/>
        <v>#DIV/0!</v>
      </c>
      <c r="AR67" s="39" t="e">
        <f t="shared" si="721"/>
        <v>#DIV/0!</v>
      </c>
      <c r="AS67" s="39" t="e">
        <f t="shared" si="721"/>
        <v>#DIV/0!</v>
      </c>
      <c r="AT67" s="39" t="e">
        <f t="shared" si="721"/>
        <v>#DIV/0!</v>
      </c>
      <c r="AU67" s="39" t="e">
        <f t="shared" si="721"/>
        <v>#DIV/0!</v>
      </c>
      <c r="AV67" s="39" t="e">
        <f t="shared" si="721"/>
        <v>#DIV/0!</v>
      </c>
      <c r="AW67" s="39" t="e">
        <f t="shared" si="721"/>
        <v>#DIV/0!</v>
      </c>
      <c r="AX67" s="39" t="e">
        <f t="shared" si="721"/>
        <v>#DIV/0!</v>
      </c>
      <c r="AY67" s="39" t="e">
        <f t="shared" si="721"/>
        <v>#DIV/0!</v>
      </c>
      <c r="AZ67" s="39" t="e">
        <f t="shared" si="721"/>
        <v>#DIV/0!</v>
      </c>
      <c r="BA67" s="39" t="e">
        <f t="shared" si="721"/>
        <v>#DIV/0!</v>
      </c>
      <c r="BB67" s="39" t="e">
        <f t="shared" si="721"/>
        <v>#DIV/0!</v>
      </c>
      <c r="BC67" s="39" t="e">
        <f t="shared" si="721"/>
        <v>#DIV/0!</v>
      </c>
      <c r="BD67" s="39" t="e">
        <f t="shared" si="721"/>
        <v>#DIV/0!</v>
      </c>
      <c r="BE67" s="39" t="e">
        <f t="shared" si="721"/>
        <v>#DIV/0!</v>
      </c>
      <c r="BF67" s="39" t="e">
        <f t="shared" si="721"/>
        <v>#DIV/0!</v>
      </c>
      <c r="BG67" s="39" t="e">
        <f t="shared" si="721"/>
        <v>#DIV/0!</v>
      </c>
      <c r="BH67" s="39" t="e">
        <f t="shared" si="721"/>
        <v>#DIV/0!</v>
      </c>
      <c r="BI67" s="39" t="e">
        <f t="shared" si="721"/>
        <v>#DIV/0!</v>
      </c>
      <c r="BJ67" s="39" t="e">
        <f t="shared" si="721"/>
        <v>#DIV/0!</v>
      </c>
      <c r="BK67" s="39" t="e">
        <f t="shared" si="721"/>
        <v>#DIV/0!</v>
      </c>
      <c r="BL67" s="39" t="e">
        <f t="shared" si="721"/>
        <v>#DIV/0!</v>
      </c>
      <c r="BM67" s="39" t="e">
        <f t="shared" si="721"/>
        <v>#DIV/0!</v>
      </c>
      <c r="BN67" s="39" t="e">
        <f t="shared" si="721"/>
        <v>#DIV/0!</v>
      </c>
      <c r="BO67" s="39" t="e">
        <f t="shared" si="721"/>
        <v>#DIV/0!</v>
      </c>
      <c r="BP67" s="39" t="e">
        <f t="shared" si="721"/>
        <v>#DIV/0!</v>
      </c>
      <c r="BQ67" s="39">
        <f t="shared" si="721"/>
        <v>1.2751662462737905</v>
      </c>
      <c r="BR67" s="39">
        <f t="shared" ref="BR67:CW67" si="722">+SUM(BO46:BR46)/BR141</f>
        <v>9.4808662118065865E-2</v>
      </c>
      <c r="BS67" s="39">
        <f t="shared" si="722"/>
        <v>0.21052049076650647</v>
      </c>
      <c r="BT67" s="39" t="e">
        <f t="shared" si="722"/>
        <v>#DIV/0!</v>
      </c>
      <c r="BU67" s="39">
        <f t="shared" si="722"/>
        <v>4.0459386027919182</v>
      </c>
      <c r="BV67" s="39">
        <f t="shared" si="722"/>
        <v>0.42485017894379773</v>
      </c>
      <c r="BW67" s="39">
        <f t="shared" si="722"/>
        <v>0.41438605681087642</v>
      </c>
      <c r="BX67" s="39">
        <f t="shared" si="722"/>
        <v>0.44005374857100704</v>
      </c>
      <c r="BY67" s="39">
        <f t="shared" si="722"/>
        <v>0.43607728540972712</v>
      </c>
      <c r="BZ67" s="39">
        <f t="shared" si="722"/>
        <v>0.4468475176591335</v>
      </c>
      <c r="CA67" s="39">
        <f t="shared" si="722"/>
        <v>0.43457666935771277</v>
      </c>
      <c r="CB67" s="39">
        <f t="shared" si="722"/>
        <v>0.44217185612785564</v>
      </c>
      <c r="CC67" s="39">
        <f t="shared" si="722"/>
        <v>0.42945927877620049</v>
      </c>
      <c r="CD67" s="39">
        <f t="shared" si="722"/>
        <v>0.42450066339422032</v>
      </c>
      <c r="CE67" s="39">
        <f t="shared" si="722"/>
        <v>0.41458994536371935</v>
      </c>
      <c r="CF67" s="39">
        <f t="shared" si="722"/>
        <v>0.58366153970085799</v>
      </c>
      <c r="CG67" s="39">
        <f t="shared" si="722"/>
        <v>0.55399996296616338</v>
      </c>
      <c r="CH67" s="39">
        <f t="shared" si="722"/>
        <v>0.52829486062195963</v>
      </c>
      <c r="CI67" s="39">
        <f t="shared" si="722"/>
        <v>0.50099246681514964</v>
      </c>
      <c r="CJ67" s="39">
        <f t="shared" si="722"/>
        <v>0.51453057794741786</v>
      </c>
      <c r="CK67" s="39">
        <f t="shared" si="722"/>
        <v>0.48362301309394967</v>
      </c>
      <c r="CL67" s="39">
        <f t="shared" si="722"/>
        <v>0.43477584740614755</v>
      </c>
      <c r="CM67" s="40">
        <f t="shared" si="722"/>
        <v>0.40481196777513018</v>
      </c>
      <c r="CN67" s="40">
        <f t="shared" si="722"/>
        <v>0.38031917797048398</v>
      </c>
      <c r="CO67" s="40">
        <f t="shared" si="722"/>
        <v>0.35930961741258893</v>
      </c>
      <c r="CP67" s="40">
        <f t="shared" si="722"/>
        <v>0.36849277519930801</v>
      </c>
      <c r="CQ67" s="40">
        <f t="shared" si="722"/>
        <v>0.35556439093553671</v>
      </c>
      <c r="CR67" s="40">
        <f t="shared" si="722"/>
        <v>0.34483188824243582</v>
      </c>
      <c r="CS67" s="40">
        <f t="shared" si="722"/>
        <v>0.33697290802837671</v>
      </c>
      <c r="CT67" s="40">
        <f t="shared" si="722"/>
        <v>0.33107654827180977</v>
      </c>
      <c r="CU67" s="40">
        <f t="shared" si="722"/>
        <v>0.32149462754715613</v>
      </c>
      <c r="CV67" s="40">
        <f t="shared" si="722"/>
        <v>0.31339011807797501</v>
      </c>
      <c r="CW67" s="40">
        <f t="shared" si="722"/>
        <v>0.30617337125360117</v>
      </c>
      <c r="CX67" s="40">
        <f t="shared" ref="CX67:DB67" si="723">+SUM(CU46:CX46)/CX141</f>
        <v>0.29871653167511225</v>
      </c>
      <c r="CY67" s="40">
        <f t="shared" si="723"/>
        <v>0.29090685998812099</v>
      </c>
      <c r="CZ67" s="40">
        <f t="shared" si="723"/>
        <v>0.28411189898885753</v>
      </c>
      <c r="DA67" s="40">
        <f t="shared" si="723"/>
        <v>0.27763165987038135</v>
      </c>
      <c r="DB67" s="40">
        <f t="shared" si="723"/>
        <v>0.27085048878216483</v>
      </c>
      <c r="DE67" s="122"/>
      <c r="DF67" s="38">
        <v>0.43479411979103394</v>
      </c>
    </row>
    <row r="68" spans="1:110" s="1" customFormat="1" x14ac:dyDescent="0.2">
      <c r="A68" s="150" t="s">
        <v>488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8" customFormat="1" x14ac:dyDescent="0.2">
      <c r="A69" s="12" t="s">
        <v>26</v>
      </c>
      <c r="AB69" s="58"/>
      <c r="AC69" s="58"/>
      <c r="AD69" s="58"/>
      <c r="AE69" s="58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E69" s="132"/>
    </row>
    <row r="70" spans="1:110" s="9" customFormat="1" x14ac:dyDescent="0.2">
      <c r="A70" s="9" t="s">
        <v>453</v>
      </c>
      <c r="N70" s="9">
        <f>N22-SUM(AI22:AL22)</f>
        <v>0.63295319999999999</v>
      </c>
      <c r="O70" s="9">
        <f>O22-SUM(AM22:AP22)</f>
        <v>0.503</v>
      </c>
      <c r="P70" s="9">
        <f>P22-SUM(AQ22:AT22)</f>
        <v>0</v>
      </c>
      <c r="Q70" s="9">
        <f>Q22-SUM(AU22:AX22)</f>
        <v>0.47499999999999998</v>
      </c>
      <c r="R70" s="9">
        <f>R22-SUM(AY22:BB22)</f>
        <v>41.014000000000003</v>
      </c>
      <c r="S70" s="9">
        <f>S22-SUM(BC22:BF22)</f>
        <v>221.03200000000001</v>
      </c>
      <c r="T70" s="9">
        <f>T22-SUM(BG22:BJ22)</f>
        <v>276.58699999999999</v>
      </c>
      <c r="U70" s="9">
        <f>U22-SUM(BK22:BN22)</f>
        <v>331.827</v>
      </c>
      <c r="V70" s="9">
        <f>V22-SUM(BO22:BR22)</f>
        <v>127.04519999999999</v>
      </c>
      <c r="W70" s="9">
        <f>W22-SUM(BS22:BV22)</f>
        <v>1.0000000003174137E-4</v>
      </c>
      <c r="X70" s="9">
        <f>X22-SUM(BW22:BZ22)</f>
        <v>-3.9999999989959178E-4</v>
      </c>
      <c r="Y70" s="9">
        <f>Y22-SUM(CA22:CD22)</f>
        <v>4.9999999998817657E-4</v>
      </c>
      <c r="Z70" s="9">
        <f>Z22-SUM(CE22:CH22)</f>
        <v>-4.0000000001327862E-4</v>
      </c>
      <c r="AA70" s="9">
        <f>AA22-SUM(CF22:CI22)</f>
        <v>173.327</v>
      </c>
      <c r="AB70" s="15">
        <f>AB22-SUM(CM22:CP22)</f>
        <v>0</v>
      </c>
      <c r="AC70" s="15">
        <f>AC22-SUM(CQ22:CT22)</f>
        <v>0</v>
      </c>
      <c r="AD70" s="15">
        <f>AD22-SUM(CU22:CX22)</f>
        <v>0</v>
      </c>
      <c r="AE70" s="15">
        <f>AE22-SUM(CY22:DB22)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173.327</v>
      </c>
    </row>
    <row r="71" spans="1:110" s="9" customFormat="1" x14ac:dyDescent="0.2">
      <c r="A71" s="9" t="s">
        <v>454</v>
      </c>
      <c r="N71" s="9">
        <f>N28-SUM(AI28:AL28)</f>
        <v>0.63295319999999999</v>
      </c>
      <c r="O71" s="9">
        <f>O28-SUM(AM28:AP28)</f>
        <v>0.503</v>
      </c>
      <c r="P71" s="9">
        <f>P28-SUM(AQ28:AT28)</f>
        <v>0</v>
      </c>
      <c r="Q71" s="9">
        <f>Q28-SUM(AU28:AX28)</f>
        <v>0.47499999999999998</v>
      </c>
      <c r="R71" s="9">
        <f>R28-SUM(AY28:BB28)</f>
        <v>41.014000000000003</v>
      </c>
      <c r="S71" s="9">
        <f>S28-SUM(BC28:BF28)</f>
        <v>221.03200000000001</v>
      </c>
      <c r="T71" s="9">
        <f>T28-SUM(BG28:BJ28)</f>
        <v>276.58699999999999</v>
      </c>
      <c r="U71" s="9">
        <f>U28-SUM(BK28:BN28)</f>
        <v>331.827</v>
      </c>
      <c r="V71" s="9">
        <f>V28-SUM(BO28:BR28)</f>
        <v>127.04519999999999</v>
      </c>
      <c r="W71" s="9">
        <f>W28-SUM(BS28:BV28)</f>
        <v>1.0000000003174137E-4</v>
      </c>
      <c r="X71" s="9">
        <f>X28-SUM(BW28:BZ28)</f>
        <v>-3.9999999989959178E-4</v>
      </c>
      <c r="Y71" s="9">
        <f>Y28-SUM(CA28:CD28)</f>
        <v>4.9999999998817657E-4</v>
      </c>
      <c r="Z71" s="9">
        <f>Z28-SUM(CE28:CH28)</f>
        <v>-4.0000000001327862E-4</v>
      </c>
      <c r="AA71" s="9">
        <f>AA28-SUM(CF28:CI28)</f>
        <v>173.327</v>
      </c>
      <c r="AB71" s="15">
        <f>AB28-SUM(CM28:CP28)</f>
        <v>0</v>
      </c>
      <c r="AC71" s="15">
        <f>AC28-SUM(CQ28:CT28)</f>
        <v>0</v>
      </c>
      <c r="AD71" s="15">
        <f>AD28-SUM(CU28:CX28)</f>
        <v>0</v>
      </c>
      <c r="AE71" s="15">
        <f>AE28-SUM(CY28:DB28)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173.327</v>
      </c>
    </row>
    <row r="72" spans="1:110" s="9" customFormat="1" x14ac:dyDescent="0.2">
      <c r="A72" s="9" t="s">
        <v>455</v>
      </c>
      <c r="N72" s="9">
        <f>N40-SUM(AI40:AL40)</f>
        <v>3.4475000000000477E-3</v>
      </c>
      <c r="O72" s="9">
        <f>O40-SUM(AM40:AP40)</f>
        <v>-0.19333939999999994</v>
      </c>
      <c r="P72" s="9">
        <f>P40-SUM(AQ40:AT40)</f>
        <v>-8.8880600000000004E-2</v>
      </c>
      <c r="Q72" s="9">
        <f>Q40-SUM(AU40:AX40)</f>
        <v>-5.0000000000000044E-2</v>
      </c>
      <c r="R72" s="9">
        <f>R40-SUM(AY40:BB40)</f>
        <v>-0.92299999999998761</v>
      </c>
      <c r="S72" s="9">
        <f>S40-SUM(BC40:BF40)</f>
        <v>78.525999999999982</v>
      </c>
      <c r="T72" s="9">
        <f>T40-SUM(BG40:BJ40)</f>
        <v>97.877999999999986</v>
      </c>
      <c r="U72" s="9">
        <f>U40-SUM(BK40:BN40)</f>
        <v>106.71799999999999</v>
      </c>
      <c r="V72" s="9">
        <f>V40-SUM(BO40:BR40)</f>
        <v>34.077200000000005</v>
      </c>
      <c r="W72" s="9">
        <f>W40-SUM(BS40:BV40)</f>
        <v>6.9700000000011642E-2</v>
      </c>
      <c r="X72" s="9">
        <f>X40-SUM(BW40:BZ40)</f>
        <v>-3.999999999564352E-4</v>
      </c>
      <c r="Y72" s="9">
        <f>Y40-SUM(CA40:CD40)</f>
        <v>1.3999999999896318E-3</v>
      </c>
      <c r="Z72" s="9">
        <f>Z40-SUM(CE40:CH40)</f>
        <v>1.569999999992433E-2</v>
      </c>
      <c r="AA72" s="9">
        <f>AA40-SUM(CF40:CI40)</f>
        <v>51.681100000000015</v>
      </c>
      <c r="AB72" s="15">
        <f>AB40-SUM(CM40:CP40)</f>
        <v>0</v>
      </c>
      <c r="AC72" s="15">
        <f>AC40-SUM(CQ40:CT40)</f>
        <v>0</v>
      </c>
      <c r="AD72" s="15">
        <f>AD40-SUM(CU40:CX40)</f>
        <v>0</v>
      </c>
      <c r="AE72" s="15">
        <f>AE40-SUM(CY40:DB40)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51.681100000000015</v>
      </c>
    </row>
    <row r="73" spans="1:110" s="9" customFormat="1" x14ac:dyDescent="0.2">
      <c r="A73" s="9" t="s">
        <v>456</v>
      </c>
      <c r="N73" s="9">
        <f>N60-SUM(AI60:AL60)</f>
        <v>0.14259930000000007</v>
      </c>
      <c r="O73" s="9">
        <f>O60-SUM(AM60:AP60)</f>
        <v>0.28655730000000007</v>
      </c>
      <c r="P73" s="9">
        <f>P60-SUM(AQ60:AT60)</f>
        <v>-2.7392E-2</v>
      </c>
      <c r="Q73" s="9">
        <f>Q60-SUM(AU60:AX60)</f>
        <v>0.15699999999999995</v>
      </c>
      <c r="R73" s="9">
        <f>R60-SUM(AY60:BB60)</f>
        <v>-7.1999999999987713E-2</v>
      </c>
      <c r="S73" s="9">
        <f>S60-SUM(BC60:BF60)</f>
        <v>46.252999999999979</v>
      </c>
      <c r="T73" s="9">
        <f>T60-SUM(BG60:BJ60)</f>
        <v>59.205999999999982</v>
      </c>
      <c r="U73" s="9">
        <f>U60-SUM(BK60:BN60)</f>
        <v>61.382999999999981</v>
      </c>
      <c r="V73" s="9">
        <f>V60-SUM(BO60:BR60)</f>
        <v>21.762900000000013</v>
      </c>
      <c r="W73" s="9">
        <f>W53-SUM(BS53:BV53)</f>
        <v>-0.17429999999997392</v>
      </c>
      <c r="X73" s="9">
        <f>X53-SUM(BW53:BZ53)</f>
        <v>1.1000000000080945E-3</v>
      </c>
      <c r="Y73" s="9">
        <f>Y53-SUM(CA53:CD53)</f>
        <v>1.2999999999863121E-3</v>
      </c>
      <c r="Z73" s="9">
        <f>Z53-SUM(CE53:CH53)</f>
        <v>-0.12410000000011223</v>
      </c>
      <c r="AA73" s="9">
        <f>AA53-SUM(CF53:CI53)</f>
        <v>76.065400000000011</v>
      </c>
      <c r="AB73" s="15">
        <f>AB53-SUM(CM53:CP53)</f>
        <v>0</v>
      </c>
      <c r="AC73" s="15">
        <f>AC53-SUM(CQ53:CT53)</f>
        <v>0</v>
      </c>
      <c r="AD73" s="15">
        <f>AD53-SUM(CU53:CX53)</f>
        <v>0</v>
      </c>
      <c r="AE73" s="15">
        <f>AE53-SUM(CY53:DB53)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76.065400000000011</v>
      </c>
    </row>
    <row r="74" spans="1:110" s="8" customFormat="1" x14ac:dyDescent="0.2">
      <c r="A74" s="149" t="s">
        <v>489</v>
      </c>
      <c r="AB74" s="58"/>
      <c r="AC74" s="58"/>
      <c r="AD74" s="58"/>
      <c r="AE74" s="58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E74" s="132"/>
    </row>
    <row r="75" spans="1:110" s="3" customFormat="1" x14ac:dyDescent="0.2">
      <c r="A75" s="3" t="s">
        <v>27</v>
      </c>
      <c r="B75" s="3">
        <f>'Annual Raw'!C104</f>
        <v>0</v>
      </c>
      <c r="C75" s="3">
        <f>'Annual Raw'!D104</f>
        <v>0</v>
      </c>
      <c r="D75" s="3">
        <f>'Annual Raw'!E104</f>
        <v>0</v>
      </c>
      <c r="E75" s="3">
        <f t="shared" ref="E75:Y75" ca="1" si="724">+F75</f>
        <v>41.51</v>
      </c>
      <c r="F75" s="3">
        <f t="shared" ca="1" si="724"/>
        <v>41.51</v>
      </c>
      <c r="G75" s="3">
        <f t="shared" ca="1" si="724"/>
        <v>41.51</v>
      </c>
      <c r="H75" s="3">
        <f t="shared" ca="1" si="724"/>
        <v>41.51</v>
      </c>
      <c r="I75" s="3">
        <f t="shared" ca="1" si="724"/>
        <v>41.51</v>
      </c>
      <c r="J75" s="3">
        <f t="shared" ca="1" si="724"/>
        <v>41.51</v>
      </c>
      <c r="K75" s="3">
        <f t="shared" ca="1" si="724"/>
        <v>41.51</v>
      </c>
      <c r="L75" s="3">
        <f t="shared" ca="1" si="724"/>
        <v>41.51</v>
      </c>
      <c r="M75" s="3">
        <f t="shared" ca="1" si="724"/>
        <v>41.51</v>
      </c>
      <c r="N75" s="3">
        <f t="shared" ca="1" si="724"/>
        <v>41.51</v>
      </c>
      <c r="O75" s="3">
        <f t="shared" ca="1" si="724"/>
        <v>41.51</v>
      </c>
      <c r="P75" s="3">
        <f t="shared" ca="1" si="724"/>
        <v>41.51</v>
      </c>
      <c r="Q75" s="3">
        <f t="shared" ca="1" si="724"/>
        <v>41.51</v>
      </c>
      <c r="R75" s="3">
        <f t="shared" ca="1" si="724"/>
        <v>41.51</v>
      </c>
      <c r="S75" s="3">
        <f t="shared" ca="1" si="724"/>
        <v>41.51</v>
      </c>
      <c r="T75" s="3">
        <f t="shared" ca="1" si="724"/>
        <v>41.51</v>
      </c>
      <c r="U75" s="3">
        <f t="shared" ca="1" si="724"/>
        <v>41.51</v>
      </c>
      <c r="V75" s="3">
        <f t="shared" ca="1" si="724"/>
        <v>41.51</v>
      </c>
      <c r="W75" s="3">
        <f t="shared" ca="1" si="724"/>
        <v>41.51</v>
      </c>
      <c r="X75" s="3">
        <f t="shared" ca="1" si="724"/>
        <v>41.51</v>
      </c>
      <c r="Y75" s="3">
        <f t="shared" ca="1" si="724"/>
        <v>41.51</v>
      </c>
      <c r="Z75" s="3">
        <f ca="1">+AA75</f>
        <v>41.51</v>
      </c>
      <c r="AA75" s="3">
        <f ca="1">+AB75</f>
        <v>41.51</v>
      </c>
      <c r="AB75" s="37">
        <f t="shared" ref="AB75:AB76" ca="1" si="725">AA75</f>
        <v>41.51</v>
      </c>
      <c r="AC75" s="37">
        <f t="shared" ref="AC75:AC76" ca="1" si="726">AB75</f>
        <v>41.51</v>
      </c>
      <c r="AD75" s="37">
        <f t="shared" ref="AD75:AD76" ca="1" si="727">AC75</f>
        <v>41.51</v>
      </c>
      <c r="AE75" s="37">
        <f t="shared" ref="AE75:AE76" ca="1" si="728">AD75</f>
        <v>41.51</v>
      </c>
      <c r="AI75" s="3">
        <f t="shared" ref="AI75:CH75" si="729">+AJ75</f>
        <v>41.51</v>
      </c>
      <c r="AJ75" s="3">
        <f t="shared" si="729"/>
        <v>41.51</v>
      </c>
      <c r="AK75" s="3">
        <f t="shared" si="729"/>
        <v>41.51</v>
      </c>
      <c r="AL75" s="3">
        <f t="shared" si="729"/>
        <v>41.51</v>
      </c>
      <c r="AM75" s="3">
        <f t="shared" si="729"/>
        <v>41.51</v>
      </c>
      <c r="AN75" s="3">
        <f t="shared" si="729"/>
        <v>41.51</v>
      </c>
      <c r="AO75" s="3">
        <f t="shared" si="729"/>
        <v>41.51</v>
      </c>
      <c r="AP75" s="3">
        <f t="shared" si="729"/>
        <v>41.51</v>
      </c>
      <c r="AQ75" s="3">
        <f t="shared" si="729"/>
        <v>41.51</v>
      </c>
      <c r="AR75" s="3">
        <f t="shared" si="729"/>
        <v>41.51</v>
      </c>
      <c r="AS75" s="3">
        <f t="shared" si="729"/>
        <v>41.51</v>
      </c>
      <c r="AT75" s="3">
        <f t="shared" si="729"/>
        <v>41.51</v>
      </c>
      <c r="AU75" s="3">
        <f t="shared" si="729"/>
        <v>41.51</v>
      </c>
      <c r="AV75" s="3">
        <f t="shared" si="729"/>
        <v>41.51</v>
      </c>
      <c r="AW75" s="3">
        <f t="shared" si="729"/>
        <v>41.51</v>
      </c>
      <c r="AX75" s="3">
        <f t="shared" si="729"/>
        <v>41.51</v>
      </c>
      <c r="AY75" s="3">
        <f t="shared" si="729"/>
        <v>41.51</v>
      </c>
      <c r="AZ75" s="3">
        <f t="shared" si="729"/>
        <v>41.51</v>
      </c>
      <c r="BA75" s="3">
        <f t="shared" si="729"/>
        <v>41.51</v>
      </c>
      <c r="BB75" s="3">
        <f t="shared" si="729"/>
        <v>41.51</v>
      </c>
      <c r="BC75" s="3">
        <f t="shared" si="729"/>
        <v>41.51</v>
      </c>
      <c r="BD75" s="3">
        <f t="shared" si="729"/>
        <v>41.51</v>
      </c>
      <c r="BE75" s="3">
        <f t="shared" si="729"/>
        <v>41.51</v>
      </c>
      <c r="BF75" s="3">
        <f t="shared" si="729"/>
        <v>41.51</v>
      </c>
      <c r="BG75" s="3">
        <f t="shared" si="729"/>
        <v>41.51</v>
      </c>
      <c r="BH75" s="3">
        <f t="shared" si="729"/>
        <v>41.51</v>
      </c>
      <c r="BI75" s="3">
        <f t="shared" si="729"/>
        <v>41.51</v>
      </c>
      <c r="BJ75" s="3">
        <f t="shared" si="729"/>
        <v>41.51</v>
      </c>
      <c r="BK75" s="3">
        <f t="shared" si="729"/>
        <v>41.51</v>
      </c>
      <c r="BL75" s="3">
        <f t="shared" si="729"/>
        <v>41.51</v>
      </c>
      <c r="BM75" s="3">
        <f t="shared" si="729"/>
        <v>41.51</v>
      </c>
      <c r="BN75" s="3">
        <f t="shared" si="729"/>
        <v>41.51</v>
      </c>
      <c r="BO75" s="3">
        <f t="shared" si="729"/>
        <v>41.51</v>
      </c>
      <c r="BP75" s="3">
        <f t="shared" si="729"/>
        <v>41.51</v>
      </c>
      <c r="BQ75" s="3">
        <f t="shared" si="729"/>
        <v>41.51</v>
      </c>
      <c r="BR75" s="3">
        <f t="shared" si="729"/>
        <v>41.51</v>
      </c>
      <c r="BS75" s="3">
        <f t="shared" si="729"/>
        <v>41.51</v>
      </c>
      <c r="BT75" s="3">
        <f t="shared" si="729"/>
        <v>41.51</v>
      </c>
      <c r="BU75" s="3">
        <f t="shared" si="729"/>
        <v>41.51</v>
      </c>
      <c r="BV75" s="3">
        <f t="shared" si="729"/>
        <v>41.51</v>
      </c>
      <c r="BW75" s="3">
        <f t="shared" si="729"/>
        <v>41.51</v>
      </c>
      <c r="BX75" s="3">
        <f t="shared" si="729"/>
        <v>41.51</v>
      </c>
      <c r="BY75" s="3">
        <f t="shared" si="729"/>
        <v>41.51</v>
      </c>
      <c r="BZ75" s="3">
        <f t="shared" si="729"/>
        <v>41.51</v>
      </c>
      <c r="CA75" s="3">
        <f t="shared" si="729"/>
        <v>41.51</v>
      </c>
      <c r="CB75" s="3">
        <f t="shared" si="729"/>
        <v>41.51</v>
      </c>
      <c r="CC75" s="3">
        <f t="shared" si="729"/>
        <v>41.51</v>
      </c>
      <c r="CD75" s="3">
        <f t="shared" si="729"/>
        <v>41.51</v>
      </c>
      <c r="CE75" s="3">
        <f t="shared" si="729"/>
        <v>41.51</v>
      </c>
      <c r="CF75" s="3">
        <f t="shared" si="729"/>
        <v>41.51</v>
      </c>
      <c r="CG75" s="3">
        <f t="shared" si="729"/>
        <v>41.51</v>
      </c>
      <c r="CH75" s="3">
        <f t="shared" si="729"/>
        <v>41.51</v>
      </c>
      <c r="CI75" s="3">
        <f>+CJ75</f>
        <v>41.51</v>
      </c>
      <c r="CJ75" s="3">
        <f>'QTR Raw'!BD45</f>
        <v>41.51</v>
      </c>
      <c r="CK75" s="3">
        <f>'QTR Raw'!BE45</f>
        <v>41.51</v>
      </c>
      <c r="CL75" s="3">
        <f>'QTR Raw'!BF45</f>
        <v>41.51</v>
      </c>
      <c r="CM75" s="37">
        <f t="shared" ref="CM75:CM76" si="730">+CL75</f>
        <v>41.51</v>
      </c>
      <c r="CN75" s="37">
        <f t="shared" ref="CN75:CN76" si="731">+CM75</f>
        <v>41.51</v>
      </c>
      <c r="CO75" s="37">
        <f t="shared" ref="CO75:CO76" si="732">+CN75</f>
        <v>41.51</v>
      </c>
      <c r="CP75" s="37">
        <f t="shared" ref="CP75:CP76" si="733">+CO75</f>
        <v>41.51</v>
      </c>
      <c r="CQ75" s="37">
        <f t="shared" ref="CQ75:CQ76" si="734">+CP75</f>
        <v>41.51</v>
      </c>
      <c r="CR75" s="37">
        <f t="shared" ref="CR75:CR76" si="735">+CQ75</f>
        <v>41.51</v>
      </c>
      <c r="CS75" s="37">
        <f t="shared" ref="CS75:CS76" si="736">+CR75</f>
        <v>41.51</v>
      </c>
      <c r="CT75" s="37">
        <f t="shared" ref="CT75:CT76" si="737">+CS75</f>
        <v>41.51</v>
      </c>
      <c r="CU75" s="37">
        <f t="shared" ref="CU75:CU76" si="738">+CT75</f>
        <v>41.51</v>
      </c>
      <c r="CV75" s="37">
        <f t="shared" ref="CV75:CV76" si="739">+CU75</f>
        <v>41.51</v>
      </c>
      <c r="CW75" s="37">
        <f t="shared" ref="CW75:CW76" si="740">+CV75</f>
        <v>41.51</v>
      </c>
      <c r="CX75" s="37">
        <f t="shared" ref="CX75:CX76" si="741">+CW75</f>
        <v>41.51</v>
      </c>
      <c r="CY75" s="37">
        <f t="shared" ref="CY75:CY76" si="742">+CX75</f>
        <v>41.51</v>
      </c>
      <c r="CZ75" s="37">
        <f t="shared" ref="CZ75:CZ76" si="743">+CY75</f>
        <v>41.51</v>
      </c>
      <c r="DA75" s="37">
        <f t="shared" ref="DA75:DA76" si="744">+CZ75</f>
        <v>41.51</v>
      </c>
      <c r="DB75" s="37">
        <f t="shared" ref="DB75:DB76" si="745">+DA75</f>
        <v>41.51</v>
      </c>
      <c r="DE75" s="134"/>
      <c r="DF75" s="3">
        <v>41.51</v>
      </c>
    </row>
    <row r="76" spans="1:110" s="3" customFormat="1" x14ac:dyDescent="0.2">
      <c r="A76" s="3" t="s">
        <v>28</v>
      </c>
      <c r="B76" s="3">
        <f>'Annual Raw'!C105</f>
        <v>0</v>
      </c>
      <c r="C76" s="3">
        <f>'Annual Raw'!D105</f>
        <v>0</v>
      </c>
      <c r="D76" s="3">
        <f>'Annual Raw'!E105</f>
        <v>0</v>
      </c>
      <c r="E76" s="3">
        <f t="shared" ref="E76:Y76" ca="1" si="746">+F76</f>
        <v>5</v>
      </c>
      <c r="F76" s="3">
        <f t="shared" ca="1" si="746"/>
        <v>5</v>
      </c>
      <c r="G76" s="3">
        <f t="shared" ca="1" si="746"/>
        <v>5</v>
      </c>
      <c r="H76" s="3">
        <f t="shared" ca="1" si="746"/>
        <v>5</v>
      </c>
      <c r="I76" s="3">
        <f t="shared" ca="1" si="746"/>
        <v>5</v>
      </c>
      <c r="J76" s="3">
        <f t="shared" ca="1" si="746"/>
        <v>5</v>
      </c>
      <c r="K76" s="3">
        <f t="shared" ca="1" si="746"/>
        <v>5</v>
      </c>
      <c r="L76" s="3">
        <f t="shared" ca="1" si="746"/>
        <v>5</v>
      </c>
      <c r="M76" s="3">
        <f t="shared" ca="1" si="746"/>
        <v>5</v>
      </c>
      <c r="N76" s="3">
        <f t="shared" ca="1" si="746"/>
        <v>5</v>
      </c>
      <c r="O76" s="3">
        <f t="shared" ca="1" si="746"/>
        <v>5</v>
      </c>
      <c r="P76" s="3">
        <f t="shared" ca="1" si="746"/>
        <v>5</v>
      </c>
      <c r="Q76" s="3">
        <f t="shared" ca="1" si="746"/>
        <v>5</v>
      </c>
      <c r="R76" s="3">
        <f t="shared" ca="1" si="746"/>
        <v>5</v>
      </c>
      <c r="S76" s="3">
        <f t="shared" ca="1" si="746"/>
        <v>5</v>
      </c>
      <c r="T76" s="3">
        <f t="shared" ca="1" si="746"/>
        <v>5</v>
      </c>
      <c r="U76" s="3">
        <f t="shared" ca="1" si="746"/>
        <v>5</v>
      </c>
      <c r="V76" s="3">
        <f t="shared" ca="1" si="746"/>
        <v>5</v>
      </c>
      <c r="W76" s="3">
        <f t="shared" ca="1" si="746"/>
        <v>5</v>
      </c>
      <c r="X76" s="3">
        <f t="shared" ca="1" si="746"/>
        <v>5</v>
      </c>
      <c r="Y76" s="3">
        <f t="shared" ca="1" si="746"/>
        <v>5</v>
      </c>
      <c r="Z76" s="3">
        <f ca="1">+AA76</f>
        <v>5</v>
      </c>
      <c r="AA76" s="3">
        <f ca="1">+AB76</f>
        <v>5</v>
      </c>
      <c r="AB76" s="37">
        <f t="shared" ca="1" si="725"/>
        <v>5</v>
      </c>
      <c r="AC76" s="37">
        <f t="shared" ca="1" si="726"/>
        <v>5</v>
      </c>
      <c r="AD76" s="37">
        <f t="shared" ca="1" si="727"/>
        <v>5</v>
      </c>
      <c r="AE76" s="37">
        <f t="shared" ca="1" si="728"/>
        <v>5</v>
      </c>
      <c r="AI76" s="3">
        <f t="shared" ref="AI76:CH76" si="747">AJ76</f>
        <v>5</v>
      </c>
      <c r="AJ76" s="3">
        <f t="shared" si="747"/>
        <v>5</v>
      </c>
      <c r="AK76" s="3">
        <f t="shared" si="747"/>
        <v>5</v>
      </c>
      <c r="AL76" s="3">
        <f t="shared" si="747"/>
        <v>5</v>
      </c>
      <c r="AM76" s="3">
        <f t="shared" si="747"/>
        <v>5</v>
      </c>
      <c r="AN76" s="3">
        <f t="shared" si="747"/>
        <v>5</v>
      </c>
      <c r="AO76" s="3">
        <f t="shared" si="747"/>
        <v>5</v>
      </c>
      <c r="AP76" s="3">
        <f t="shared" si="747"/>
        <v>5</v>
      </c>
      <c r="AQ76" s="3">
        <f t="shared" si="747"/>
        <v>5</v>
      </c>
      <c r="AR76" s="3">
        <f t="shared" si="747"/>
        <v>5</v>
      </c>
      <c r="AS76" s="3">
        <f t="shared" si="747"/>
        <v>5</v>
      </c>
      <c r="AT76" s="3">
        <f t="shared" si="747"/>
        <v>5</v>
      </c>
      <c r="AU76" s="3">
        <f t="shared" si="747"/>
        <v>5</v>
      </c>
      <c r="AV76" s="3">
        <f t="shared" si="747"/>
        <v>5</v>
      </c>
      <c r="AW76" s="3">
        <f t="shared" si="747"/>
        <v>5</v>
      </c>
      <c r="AX76" s="3">
        <f t="shared" si="747"/>
        <v>5</v>
      </c>
      <c r="AY76" s="3">
        <f t="shared" si="747"/>
        <v>5</v>
      </c>
      <c r="AZ76" s="3">
        <f t="shared" si="747"/>
        <v>5</v>
      </c>
      <c r="BA76" s="3">
        <f t="shared" si="747"/>
        <v>5</v>
      </c>
      <c r="BB76" s="3">
        <f t="shared" si="747"/>
        <v>5</v>
      </c>
      <c r="BC76" s="3">
        <f t="shared" si="747"/>
        <v>5</v>
      </c>
      <c r="BD76" s="3">
        <f t="shared" si="747"/>
        <v>5</v>
      </c>
      <c r="BE76" s="3">
        <f t="shared" si="747"/>
        <v>5</v>
      </c>
      <c r="BF76" s="3">
        <f t="shared" si="747"/>
        <v>5</v>
      </c>
      <c r="BG76" s="3">
        <f t="shared" si="747"/>
        <v>5</v>
      </c>
      <c r="BH76" s="3">
        <f t="shared" si="747"/>
        <v>5</v>
      </c>
      <c r="BI76" s="3">
        <f t="shared" si="747"/>
        <v>5</v>
      </c>
      <c r="BJ76" s="3">
        <f t="shared" si="747"/>
        <v>5</v>
      </c>
      <c r="BK76" s="3">
        <f t="shared" si="747"/>
        <v>5</v>
      </c>
      <c r="BL76" s="3">
        <f t="shared" si="747"/>
        <v>5</v>
      </c>
      <c r="BM76" s="3">
        <f t="shared" si="747"/>
        <v>5</v>
      </c>
      <c r="BN76" s="3">
        <f t="shared" si="747"/>
        <v>5</v>
      </c>
      <c r="BO76" s="3">
        <f t="shared" si="747"/>
        <v>5</v>
      </c>
      <c r="BP76" s="3">
        <f t="shared" si="747"/>
        <v>5</v>
      </c>
      <c r="BQ76" s="3">
        <f t="shared" si="747"/>
        <v>5</v>
      </c>
      <c r="BR76" s="3">
        <f t="shared" si="747"/>
        <v>5</v>
      </c>
      <c r="BS76" s="3">
        <f t="shared" si="747"/>
        <v>5</v>
      </c>
      <c r="BT76" s="3">
        <f t="shared" si="747"/>
        <v>5</v>
      </c>
      <c r="BU76" s="3">
        <f t="shared" si="747"/>
        <v>5</v>
      </c>
      <c r="BV76" s="3">
        <f t="shared" si="747"/>
        <v>5</v>
      </c>
      <c r="BW76" s="3">
        <f t="shared" si="747"/>
        <v>5</v>
      </c>
      <c r="BX76" s="3">
        <f t="shared" si="747"/>
        <v>5</v>
      </c>
      <c r="BY76" s="3">
        <f t="shared" si="747"/>
        <v>5</v>
      </c>
      <c r="BZ76" s="3">
        <f t="shared" si="747"/>
        <v>5</v>
      </c>
      <c r="CA76" s="3">
        <f t="shared" si="747"/>
        <v>5</v>
      </c>
      <c r="CB76" s="3">
        <f t="shared" si="747"/>
        <v>5</v>
      </c>
      <c r="CC76" s="3">
        <f t="shared" si="747"/>
        <v>5</v>
      </c>
      <c r="CD76" s="3">
        <f t="shared" si="747"/>
        <v>5</v>
      </c>
      <c r="CE76" s="3">
        <f t="shared" si="747"/>
        <v>5</v>
      </c>
      <c r="CF76" s="3">
        <f t="shared" si="747"/>
        <v>5</v>
      </c>
      <c r="CG76" s="3">
        <f t="shared" si="747"/>
        <v>5</v>
      </c>
      <c r="CH76" s="3">
        <f t="shared" si="747"/>
        <v>5</v>
      </c>
      <c r="CI76" s="3">
        <f>CJ76</f>
        <v>5</v>
      </c>
      <c r="CJ76" s="3">
        <f>'QTR Raw'!BD46</f>
        <v>5</v>
      </c>
      <c r="CK76" s="3">
        <f>'QTR Raw'!BE46</f>
        <v>5</v>
      </c>
      <c r="CL76" s="3">
        <f>'QTR Raw'!BF46</f>
        <v>5</v>
      </c>
      <c r="CM76" s="37">
        <f t="shared" si="730"/>
        <v>5</v>
      </c>
      <c r="CN76" s="37">
        <f t="shared" si="731"/>
        <v>5</v>
      </c>
      <c r="CO76" s="37">
        <f t="shared" si="732"/>
        <v>5</v>
      </c>
      <c r="CP76" s="37">
        <f t="shared" si="733"/>
        <v>5</v>
      </c>
      <c r="CQ76" s="37">
        <f t="shared" si="734"/>
        <v>5</v>
      </c>
      <c r="CR76" s="37">
        <f t="shared" si="735"/>
        <v>5</v>
      </c>
      <c r="CS76" s="37">
        <f t="shared" si="736"/>
        <v>5</v>
      </c>
      <c r="CT76" s="37">
        <f t="shared" si="737"/>
        <v>5</v>
      </c>
      <c r="CU76" s="37">
        <f t="shared" si="738"/>
        <v>5</v>
      </c>
      <c r="CV76" s="37">
        <f t="shared" si="739"/>
        <v>5</v>
      </c>
      <c r="CW76" s="37">
        <f t="shared" si="740"/>
        <v>5</v>
      </c>
      <c r="CX76" s="37">
        <f t="shared" si="741"/>
        <v>5</v>
      </c>
      <c r="CY76" s="37">
        <f t="shared" si="742"/>
        <v>5</v>
      </c>
      <c r="CZ76" s="37">
        <f t="shared" si="743"/>
        <v>5</v>
      </c>
      <c r="DA76" s="37">
        <f t="shared" si="744"/>
        <v>5</v>
      </c>
      <c r="DB76" s="37">
        <f t="shared" si="745"/>
        <v>5</v>
      </c>
      <c r="DE76" s="134"/>
      <c r="DF76" s="3">
        <v>5</v>
      </c>
    </row>
    <row r="77" spans="1:110" s="3" customFormat="1" x14ac:dyDescent="0.2">
      <c r="A77" s="3" t="s">
        <v>29</v>
      </c>
      <c r="B77" s="3" t="e">
        <f>B75/B76</f>
        <v>#DIV/0!</v>
      </c>
      <c r="C77" s="3" t="e">
        <f t="shared" ref="C77:W77" si="748">C75/C76</f>
        <v>#DIV/0!</v>
      </c>
      <c r="D77" s="3" t="e">
        <f t="shared" si="748"/>
        <v>#DIV/0!</v>
      </c>
      <c r="E77" s="3">
        <f t="shared" ca="1" si="748"/>
        <v>8.3019999999999996</v>
      </c>
      <c r="F77" s="3">
        <f t="shared" ca="1" si="748"/>
        <v>8.3019999999999996</v>
      </c>
      <c r="G77" s="3">
        <f t="shared" ca="1" si="748"/>
        <v>8.3019999999999996</v>
      </c>
      <c r="H77" s="3">
        <f t="shared" ca="1" si="748"/>
        <v>8.3019999999999996</v>
      </c>
      <c r="I77" s="3">
        <f t="shared" ca="1" si="748"/>
        <v>8.3019999999999996</v>
      </c>
      <c r="J77" s="3">
        <f t="shared" ca="1" si="748"/>
        <v>8.3019999999999996</v>
      </c>
      <c r="K77" s="3">
        <f t="shared" ca="1" si="748"/>
        <v>8.3019999999999996</v>
      </c>
      <c r="L77" s="3">
        <f t="shared" ca="1" si="748"/>
        <v>8.3019999999999996</v>
      </c>
      <c r="M77" s="3">
        <f t="shared" ca="1" si="748"/>
        <v>8.3019999999999996</v>
      </c>
      <c r="N77" s="3">
        <f t="shared" ca="1" si="748"/>
        <v>8.3019999999999996</v>
      </c>
      <c r="O77" s="3">
        <f t="shared" ca="1" si="748"/>
        <v>8.3019999999999996</v>
      </c>
      <c r="P77" s="3">
        <f t="shared" ca="1" si="748"/>
        <v>8.3019999999999996</v>
      </c>
      <c r="Q77" s="3">
        <f t="shared" ca="1" si="748"/>
        <v>8.3019999999999996</v>
      </c>
      <c r="R77" s="3">
        <f t="shared" ca="1" si="748"/>
        <v>8.3019999999999996</v>
      </c>
      <c r="S77" s="3">
        <f t="shared" ca="1" si="748"/>
        <v>8.3019999999999996</v>
      </c>
      <c r="T77" s="3">
        <f t="shared" ca="1" si="748"/>
        <v>8.3019999999999996</v>
      </c>
      <c r="U77" s="3">
        <f t="shared" ca="1" si="748"/>
        <v>8.3019999999999996</v>
      </c>
      <c r="V77" s="3">
        <f ca="1">V75/V76</f>
        <v>8.3019999999999996</v>
      </c>
      <c r="W77" s="3">
        <f t="shared" ca="1" si="748"/>
        <v>8.3019999999999996</v>
      </c>
      <c r="X77" s="3">
        <f t="shared" ref="X77:Y77" ca="1" si="749">X75/X76</f>
        <v>8.3019999999999996</v>
      </c>
      <c r="Y77" s="3">
        <f t="shared" ca="1" si="749"/>
        <v>8.3019999999999996</v>
      </c>
      <c r="Z77" s="3">
        <f t="shared" ref="Z77:AA77" ca="1" si="750">Z75/Z76</f>
        <v>8.3019999999999996</v>
      </c>
      <c r="AA77" s="3">
        <f t="shared" ref="AA77" ca="1" si="751">AA75/AA76</f>
        <v>8.3019999999999996</v>
      </c>
      <c r="AB77" s="37">
        <f t="shared" ref="AB77:AD77" ca="1" si="752">AB75/AB76</f>
        <v>8.3019999999999996</v>
      </c>
      <c r="AC77" s="37">
        <f t="shared" ca="1" si="752"/>
        <v>8.3019999999999996</v>
      </c>
      <c r="AD77" s="37">
        <f t="shared" ca="1" si="752"/>
        <v>8.3019999999999996</v>
      </c>
      <c r="AE77" s="37">
        <f t="shared" ref="AE77" ca="1" si="753">AE75/AE76</f>
        <v>8.3019999999999996</v>
      </c>
      <c r="AI77" s="3">
        <f t="shared" ref="AI77" si="754">AI75/AI76</f>
        <v>8.3019999999999996</v>
      </c>
      <c r="AJ77" s="3">
        <f t="shared" ref="AJ77" si="755">AJ75/AJ76</f>
        <v>8.3019999999999996</v>
      </c>
      <c r="AK77" s="3">
        <f t="shared" ref="AK77:AM77" si="756">AK75/AK76</f>
        <v>8.3019999999999996</v>
      </c>
      <c r="AL77" s="3">
        <f t="shared" si="756"/>
        <v>8.3019999999999996</v>
      </c>
      <c r="AM77" s="3">
        <f t="shared" si="756"/>
        <v>8.3019999999999996</v>
      </c>
      <c r="AN77" s="3">
        <f t="shared" ref="AN77:AO77" si="757">AN75/AN76</f>
        <v>8.3019999999999996</v>
      </c>
      <c r="AO77" s="3">
        <f t="shared" si="757"/>
        <v>8.3019999999999996</v>
      </c>
      <c r="AP77" s="3">
        <f t="shared" ref="AP77:CD77" si="758">AP75/AP76</f>
        <v>8.3019999999999996</v>
      </c>
      <c r="AQ77" s="3">
        <f t="shared" si="758"/>
        <v>8.3019999999999996</v>
      </c>
      <c r="AR77" s="3">
        <f t="shared" si="758"/>
        <v>8.3019999999999996</v>
      </c>
      <c r="AS77" s="3">
        <f t="shared" si="758"/>
        <v>8.3019999999999996</v>
      </c>
      <c r="AT77" s="3">
        <f t="shared" si="758"/>
        <v>8.3019999999999996</v>
      </c>
      <c r="AU77" s="3">
        <f t="shared" si="758"/>
        <v>8.3019999999999996</v>
      </c>
      <c r="AV77" s="3">
        <f t="shared" si="758"/>
        <v>8.3019999999999996</v>
      </c>
      <c r="AW77" s="3">
        <f t="shared" si="758"/>
        <v>8.3019999999999996</v>
      </c>
      <c r="AX77" s="3">
        <f t="shared" si="758"/>
        <v>8.3019999999999996</v>
      </c>
      <c r="AY77" s="3">
        <f t="shared" si="758"/>
        <v>8.3019999999999996</v>
      </c>
      <c r="AZ77" s="3">
        <f t="shared" si="758"/>
        <v>8.3019999999999996</v>
      </c>
      <c r="BA77" s="3">
        <f t="shared" si="758"/>
        <v>8.3019999999999996</v>
      </c>
      <c r="BB77" s="3">
        <f t="shared" si="758"/>
        <v>8.3019999999999996</v>
      </c>
      <c r="BC77" s="3">
        <f t="shared" si="758"/>
        <v>8.3019999999999996</v>
      </c>
      <c r="BD77" s="3">
        <f t="shared" si="758"/>
        <v>8.3019999999999996</v>
      </c>
      <c r="BE77" s="3">
        <f t="shared" si="758"/>
        <v>8.3019999999999996</v>
      </c>
      <c r="BF77" s="3">
        <f t="shared" si="758"/>
        <v>8.3019999999999996</v>
      </c>
      <c r="BG77" s="3">
        <f t="shared" si="758"/>
        <v>8.3019999999999996</v>
      </c>
      <c r="BH77" s="3">
        <f t="shared" si="758"/>
        <v>8.3019999999999996</v>
      </c>
      <c r="BI77" s="3">
        <f t="shared" si="758"/>
        <v>8.3019999999999996</v>
      </c>
      <c r="BJ77" s="3">
        <f t="shared" si="758"/>
        <v>8.3019999999999996</v>
      </c>
      <c r="BK77" s="3">
        <f t="shared" si="758"/>
        <v>8.3019999999999996</v>
      </c>
      <c r="BL77" s="3">
        <f t="shared" si="758"/>
        <v>8.3019999999999996</v>
      </c>
      <c r="BM77" s="3">
        <f t="shared" si="758"/>
        <v>8.3019999999999996</v>
      </c>
      <c r="BN77" s="3">
        <f t="shared" si="758"/>
        <v>8.3019999999999996</v>
      </c>
      <c r="BO77" s="3">
        <f t="shared" si="758"/>
        <v>8.3019999999999996</v>
      </c>
      <c r="BP77" s="3">
        <f t="shared" si="758"/>
        <v>8.3019999999999996</v>
      </c>
      <c r="BQ77" s="3">
        <f t="shared" si="758"/>
        <v>8.3019999999999996</v>
      </c>
      <c r="BR77" s="3">
        <f t="shared" si="758"/>
        <v>8.3019999999999996</v>
      </c>
      <c r="BS77" s="3">
        <f t="shared" si="758"/>
        <v>8.3019999999999996</v>
      </c>
      <c r="BT77" s="3">
        <f t="shared" si="758"/>
        <v>8.3019999999999996</v>
      </c>
      <c r="BU77" s="3">
        <f t="shared" si="758"/>
        <v>8.3019999999999996</v>
      </c>
      <c r="BV77" s="3">
        <f t="shared" si="758"/>
        <v>8.3019999999999996</v>
      </c>
      <c r="BW77" s="3">
        <f t="shared" si="758"/>
        <v>8.3019999999999996</v>
      </c>
      <c r="BX77" s="3">
        <f t="shared" si="758"/>
        <v>8.3019999999999996</v>
      </c>
      <c r="BY77" s="3">
        <f t="shared" si="758"/>
        <v>8.3019999999999996</v>
      </c>
      <c r="BZ77" s="3">
        <f t="shared" si="758"/>
        <v>8.3019999999999996</v>
      </c>
      <c r="CA77" s="3">
        <f t="shared" si="758"/>
        <v>8.3019999999999996</v>
      </c>
      <c r="CB77" s="3">
        <f t="shared" si="758"/>
        <v>8.3019999999999996</v>
      </c>
      <c r="CC77" s="3">
        <f t="shared" si="758"/>
        <v>8.3019999999999996</v>
      </c>
      <c r="CD77" s="3">
        <f t="shared" si="758"/>
        <v>8.3019999999999996</v>
      </c>
      <c r="CE77" s="3">
        <f t="shared" ref="CE77:CF77" si="759">CE75/CE76</f>
        <v>8.3019999999999996</v>
      </c>
      <c r="CF77" s="3">
        <f t="shared" si="759"/>
        <v>8.3019999999999996</v>
      </c>
      <c r="CG77" s="3">
        <f t="shared" ref="CG77:CH77" si="760">CG75/CG76</f>
        <v>8.3019999999999996</v>
      </c>
      <c r="CH77" s="3">
        <f t="shared" si="760"/>
        <v>8.3019999999999996</v>
      </c>
      <c r="CI77" s="3">
        <f t="shared" ref="CI77:CJ77" si="761">CI75/CI76</f>
        <v>8.3019999999999996</v>
      </c>
      <c r="CJ77" s="3">
        <f t="shared" si="761"/>
        <v>8.3019999999999996</v>
      </c>
      <c r="CK77" s="3">
        <f t="shared" ref="CK77:CL77" si="762">CK75/CK76</f>
        <v>8.3019999999999996</v>
      </c>
      <c r="CL77" s="3">
        <f t="shared" si="762"/>
        <v>8.3019999999999996</v>
      </c>
      <c r="CM77" s="37">
        <f t="shared" ref="CM77:DB77" si="763">CM75/CM76</f>
        <v>8.3019999999999996</v>
      </c>
      <c r="CN77" s="37">
        <f t="shared" si="763"/>
        <v>8.3019999999999996</v>
      </c>
      <c r="CO77" s="37">
        <f t="shared" si="763"/>
        <v>8.3019999999999996</v>
      </c>
      <c r="CP77" s="37">
        <f t="shared" si="763"/>
        <v>8.3019999999999996</v>
      </c>
      <c r="CQ77" s="37">
        <f t="shared" si="763"/>
        <v>8.3019999999999996</v>
      </c>
      <c r="CR77" s="37">
        <f t="shared" si="763"/>
        <v>8.3019999999999996</v>
      </c>
      <c r="CS77" s="37">
        <f t="shared" si="763"/>
        <v>8.3019999999999996</v>
      </c>
      <c r="CT77" s="37">
        <f t="shared" si="763"/>
        <v>8.3019999999999996</v>
      </c>
      <c r="CU77" s="37">
        <f t="shared" si="763"/>
        <v>8.3019999999999996</v>
      </c>
      <c r="CV77" s="37">
        <f t="shared" si="763"/>
        <v>8.3019999999999996</v>
      </c>
      <c r="CW77" s="37">
        <f t="shared" si="763"/>
        <v>8.3019999999999996</v>
      </c>
      <c r="CX77" s="37">
        <f t="shared" si="763"/>
        <v>8.3019999999999996</v>
      </c>
      <c r="CY77" s="37">
        <f t="shared" si="763"/>
        <v>8.3019999999999996</v>
      </c>
      <c r="CZ77" s="37">
        <f t="shared" si="763"/>
        <v>8.3019999999999996</v>
      </c>
      <c r="DA77" s="37">
        <f t="shared" si="763"/>
        <v>8.3019999999999996</v>
      </c>
      <c r="DB77" s="37">
        <f t="shared" si="763"/>
        <v>8.3019999999999996</v>
      </c>
      <c r="DE77" s="134"/>
      <c r="DF77" s="3">
        <v>8.3019999999999996</v>
      </c>
    </row>
    <row r="78" spans="1:110" s="53" customFormat="1" x14ac:dyDescent="0.2">
      <c r="A78" s="53" t="s">
        <v>30</v>
      </c>
      <c r="B78" s="53" t="e">
        <f t="shared" ref="B78:AE78" si="764">(B60-B59)/B77</f>
        <v>#DIV/0!</v>
      </c>
      <c r="C78" s="53" t="e">
        <f t="shared" si="764"/>
        <v>#DIV/0!</v>
      </c>
      <c r="D78" s="53" t="e">
        <f t="shared" si="764"/>
        <v>#DIV/0!</v>
      </c>
      <c r="E78" s="53">
        <f t="shared" ca="1" si="764"/>
        <v>0</v>
      </c>
      <c r="F78" s="53">
        <f t="shared" ca="1" si="764"/>
        <v>0</v>
      </c>
      <c r="G78" s="53">
        <f t="shared" ca="1" si="764"/>
        <v>0</v>
      </c>
      <c r="H78" s="53">
        <f t="shared" ca="1" si="764"/>
        <v>0</v>
      </c>
      <c r="I78" s="53">
        <f t="shared" ca="1" si="764"/>
        <v>0</v>
      </c>
      <c r="J78" s="53">
        <f t="shared" ca="1" si="764"/>
        <v>4.3188460611900729E-2</v>
      </c>
      <c r="K78" s="53">
        <f t="shared" ca="1" si="764"/>
        <v>2.2858768971332197E-2</v>
      </c>
      <c r="L78" s="53">
        <f t="shared" ca="1" si="764"/>
        <v>6.2742893278728007E-2</v>
      </c>
      <c r="M78" s="53">
        <f t="shared" ca="1" si="764"/>
        <v>1.2905528788243791E-2</v>
      </c>
      <c r="N78" s="53">
        <f t="shared" ca="1" si="764"/>
        <v>1.7176499638641301E-2</v>
      </c>
      <c r="O78" s="53">
        <f t="shared" ca="1" si="764"/>
        <v>3.4516658636473151E-2</v>
      </c>
      <c r="P78" s="53">
        <f t="shared" ca="1" si="764"/>
        <v>-3.2994459166465913E-3</v>
      </c>
      <c r="Q78" s="53">
        <f t="shared" ca="1" si="764"/>
        <v>1.8911105757648754E-2</v>
      </c>
      <c r="R78" s="53">
        <f t="shared" ca="1" si="764"/>
        <v>-8.6726090098756588E-3</v>
      </c>
      <c r="S78" s="53">
        <f t="shared" ca="1" si="764"/>
        <v>5.5713081185256543</v>
      </c>
      <c r="T78" s="53">
        <f t="shared" ca="1" si="764"/>
        <v>7.1315345699831347</v>
      </c>
      <c r="U78" s="53">
        <f t="shared" ca="1" si="764"/>
        <v>7.3937605396290031</v>
      </c>
      <c r="V78" s="53">
        <f t="shared" ca="1" si="764"/>
        <v>5.3738617200674552</v>
      </c>
      <c r="W78" s="53">
        <f t="shared" ca="1" si="764"/>
        <v>15.235894965068661</v>
      </c>
      <c r="X78" s="53">
        <f t="shared" ca="1" si="764"/>
        <v>20.285039749457965</v>
      </c>
      <c r="Y78" s="53">
        <f t="shared" ca="1" si="764"/>
        <v>27.098819561551426</v>
      </c>
      <c r="Z78" s="53">
        <f t="shared" ca="1" si="764"/>
        <v>36.114827752348837</v>
      </c>
      <c r="AA78" s="53">
        <f t="shared" ref="AA78" ca="1" si="765">(AA60-AA59)/AA77</f>
        <v>36.114827752348837</v>
      </c>
      <c r="AB78" s="54">
        <f t="shared" ca="1" si="764"/>
        <v>57.932977171477368</v>
      </c>
      <c r="AC78" s="54">
        <f t="shared" ca="1" si="764"/>
        <v>85.163364880881559</v>
      </c>
      <c r="AD78" s="54">
        <f t="shared" ca="1" si="764"/>
        <v>122.58535397675534</v>
      </c>
      <c r="AE78" s="54">
        <f t="shared" ca="1" si="764"/>
        <v>173.46510597026995</v>
      </c>
      <c r="AI78" s="53">
        <f t="shared" ref="AI78:BN78" si="766">(AI60-AI59)/AI77</f>
        <v>0</v>
      </c>
      <c r="AJ78" s="53">
        <f t="shared" si="766"/>
        <v>0</v>
      </c>
      <c r="AK78" s="53">
        <f t="shared" si="766"/>
        <v>0</v>
      </c>
      <c r="AL78" s="53">
        <f t="shared" si="766"/>
        <v>0</v>
      </c>
      <c r="AM78" s="53">
        <f t="shared" si="766"/>
        <v>0</v>
      </c>
      <c r="AN78" s="53">
        <f t="shared" si="766"/>
        <v>0</v>
      </c>
      <c r="AO78" s="53">
        <f t="shared" si="766"/>
        <v>0</v>
      </c>
      <c r="AP78" s="53">
        <f t="shared" si="766"/>
        <v>0</v>
      </c>
      <c r="AQ78" s="53">
        <f t="shared" si="766"/>
        <v>0</v>
      </c>
      <c r="AR78" s="53">
        <f t="shared" si="766"/>
        <v>0</v>
      </c>
      <c r="AS78" s="53">
        <f t="shared" si="766"/>
        <v>0</v>
      </c>
      <c r="AT78" s="53">
        <f t="shared" si="766"/>
        <v>0</v>
      </c>
      <c r="AU78" s="53">
        <f t="shared" si="766"/>
        <v>0</v>
      </c>
      <c r="AV78" s="53">
        <f t="shared" si="766"/>
        <v>0</v>
      </c>
      <c r="AW78" s="53">
        <f t="shared" si="766"/>
        <v>0</v>
      </c>
      <c r="AX78" s="53">
        <f t="shared" si="766"/>
        <v>0</v>
      </c>
      <c r="AY78" s="53">
        <f t="shared" si="766"/>
        <v>0</v>
      </c>
      <c r="AZ78" s="53">
        <f t="shared" si="766"/>
        <v>0</v>
      </c>
      <c r="BA78" s="53">
        <f t="shared" si="766"/>
        <v>0</v>
      </c>
      <c r="BB78" s="53">
        <f t="shared" si="766"/>
        <v>0</v>
      </c>
      <c r="BC78" s="53">
        <f t="shared" si="766"/>
        <v>0</v>
      </c>
      <c r="BD78" s="53">
        <f t="shared" si="766"/>
        <v>0</v>
      </c>
      <c r="BE78" s="53">
        <f t="shared" si="766"/>
        <v>0</v>
      </c>
      <c r="BF78" s="53">
        <f t="shared" si="766"/>
        <v>0</v>
      </c>
      <c r="BG78" s="53">
        <f t="shared" si="766"/>
        <v>0</v>
      </c>
      <c r="BH78" s="53">
        <f t="shared" si="766"/>
        <v>0</v>
      </c>
      <c r="BI78" s="53">
        <f t="shared" si="766"/>
        <v>0</v>
      </c>
      <c r="BJ78" s="53">
        <f t="shared" si="766"/>
        <v>0</v>
      </c>
      <c r="BK78" s="53">
        <f t="shared" si="766"/>
        <v>0</v>
      </c>
      <c r="BL78" s="53">
        <f t="shared" si="766"/>
        <v>0</v>
      </c>
      <c r="BM78" s="53">
        <f t="shared" si="766"/>
        <v>0</v>
      </c>
      <c r="BN78" s="53">
        <f t="shared" si="766"/>
        <v>0</v>
      </c>
      <c r="BO78" s="53">
        <f t="shared" ref="BO78:CT78" si="767">(BO60-BO59)/BO77</f>
        <v>0</v>
      </c>
      <c r="BP78" s="53">
        <f t="shared" si="767"/>
        <v>0</v>
      </c>
      <c r="BQ78" s="53">
        <f t="shared" si="767"/>
        <v>1.5758853288364247</v>
      </c>
      <c r="BR78" s="53">
        <f t="shared" si="767"/>
        <v>1.16754998795471</v>
      </c>
      <c r="BS78" s="53">
        <f t="shared" si="767"/>
        <v>3.5780534810888955</v>
      </c>
      <c r="BT78" s="53">
        <f t="shared" si="767"/>
        <v>3.6667068176343043</v>
      </c>
      <c r="BU78" s="53">
        <f t="shared" si="767"/>
        <v>3.8570224042399426</v>
      </c>
      <c r="BV78" s="53">
        <f t="shared" si="767"/>
        <v>4.1551433389544687</v>
      </c>
      <c r="BW78" s="53">
        <f t="shared" si="767"/>
        <v>4.7823416044326672</v>
      </c>
      <c r="BX78" s="53">
        <f t="shared" si="767"/>
        <v>5.1701999518188373</v>
      </c>
      <c r="BY78" s="53">
        <f t="shared" si="767"/>
        <v>5.1993495543242609</v>
      </c>
      <c r="BZ78" s="53">
        <f t="shared" si="767"/>
        <v>5.1329800048181164</v>
      </c>
      <c r="CA78" s="53">
        <f t="shared" si="767"/>
        <v>6.3914719344736222</v>
      </c>
      <c r="CB78" s="53">
        <f t="shared" si="767"/>
        <v>6.9250782943868918</v>
      </c>
      <c r="CC78" s="53">
        <f t="shared" si="767"/>
        <v>6.9649482052517477</v>
      </c>
      <c r="CD78" s="53">
        <f t="shared" si="767"/>
        <v>6.8172729462780044</v>
      </c>
      <c r="CE78" s="53">
        <f t="shared" si="767"/>
        <v>8.8219706094916894</v>
      </c>
      <c r="CF78" s="53">
        <f t="shared" si="767"/>
        <v>9.1679113466634554</v>
      </c>
      <c r="CG78" s="53">
        <f t="shared" si="767"/>
        <v>9.2693326909178495</v>
      </c>
      <c r="CH78" s="53">
        <f t="shared" si="767"/>
        <v>8.837027222356058</v>
      </c>
      <c r="CI78" s="53">
        <f t="shared" si="767"/>
        <v>11.277162129607325</v>
      </c>
      <c r="CJ78" s="53">
        <f t="shared" si="767"/>
        <v>11.966995904601299</v>
      </c>
      <c r="CK78" s="53">
        <f t="shared" ref="CK78:CL78" si="768">(CK60-CK59)/CK77</f>
        <v>12.017345218019759</v>
      </c>
      <c r="CL78" s="53">
        <f t="shared" si="768"/>
        <v>12.416767044085759</v>
      </c>
      <c r="CM78" s="54">
        <f t="shared" si="767"/>
        <v>13.413481316565877</v>
      </c>
      <c r="CN78" s="54">
        <f t="shared" si="767"/>
        <v>14.911847454881418</v>
      </c>
      <c r="CO78" s="54">
        <f t="shared" si="767"/>
        <v>14.598500329509418</v>
      </c>
      <c r="CP78" s="54">
        <f t="shared" si="767"/>
        <v>15.009148070520666</v>
      </c>
      <c r="CQ78" s="54">
        <f t="shared" si="767"/>
        <v>19.274759678185767</v>
      </c>
      <c r="CR78" s="54">
        <f t="shared" si="767"/>
        <v>21.462790429415818</v>
      </c>
      <c r="CS78" s="54">
        <f t="shared" si="767"/>
        <v>21.592859272216014</v>
      </c>
      <c r="CT78" s="54">
        <f t="shared" si="767"/>
        <v>22.832955501063964</v>
      </c>
      <c r="CU78" s="54">
        <f t="shared" ref="CU78:DB78" si="769">(CU60-CU59)/CU77</f>
        <v>27.659719109463328</v>
      </c>
      <c r="CV78" s="54">
        <f t="shared" si="769"/>
        <v>30.764446083669462</v>
      </c>
      <c r="CW78" s="54">
        <f t="shared" si="769"/>
        <v>31.195394985231573</v>
      </c>
      <c r="CX78" s="54">
        <f t="shared" si="769"/>
        <v>32.965793798390919</v>
      </c>
      <c r="CY78" s="54">
        <f t="shared" si="769"/>
        <v>39.202377252509173</v>
      </c>
      <c r="CZ78" s="54">
        <f t="shared" si="769"/>
        <v>43.44369687389306</v>
      </c>
      <c r="DA78" s="54">
        <f t="shared" si="769"/>
        <v>44.184123990552749</v>
      </c>
      <c r="DB78" s="54">
        <f t="shared" si="769"/>
        <v>46.634907853314971</v>
      </c>
      <c r="DE78" s="132"/>
      <c r="DF78" s="53">
        <v>36.114827752348837</v>
      </c>
    </row>
    <row r="79" spans="1:110" s="3" customFormat="1" x14ac:dyDescent="0.2">
      <c r="A79" s="3" t="s">
        <v>31</v>
      </c>
      <c r="B79" s="3">
        <f>'Annual Raw'!C110</f>
        <v>0</v>
      </c>
      <c r="C79" s="3">
        <f>'Annual Raw'!D110</f>
        <v>0</v>
      </c>
      <c r="D79" s="3">
        <f>'Annual Raw'!E110</f>
        <v>0</v>
      </c>
      <c r="E79" s="3">
        <f>'Annual Raw'!F110</f>
        <v>0</v>
      </c>
      <c r="F79" s="3">
        <f>'Annual Raw'!G110</f>
        <v>0</v>
      </c>
      <c r="G79" s="3">
        <f>'Annual Raw'!H110</f>
        <v>0</v>
      </c>
      <c r="H79" s="3">
        <f>'Annual Raw'!I110</f>
        <v>0</v>
      </c>
      <c r="I79" s="3">
        <f>'Annual Raw'!J110</f>
        <v>0</v>
      </c>
      <c r="J79" s="3">
        <f>'Annual Raw'!K110</f>
        <v>0</v>
      </c>
      <c r="K79" s="3">
        <f>'Annual Raw'!L110</f>
        <v>0</v>
      </c>
      <c r="L79" s="3">
        <f>'Annual Raw'!M110</f>
        <v>0</v>
      </c>
      <c r="M79" s="3">
        <f>'Annual Raw'!N110</f>
        <v>0</v>
      </c>
      <c r="N79" s="3">
        <f>'Annual Raw'!O110</f>
        <v>0</v>
      </c>
      <c r="O79" s="3">
        <f>'Annual Raw'!P110</f>
        <v>0</v>
      </c>
      <c r="P79" s="3">
        <f>'Annual Raw'!Q110</f>
        <v>0</v>
      </c>
      <c r="Q79" s="3">
        <f>'Annual Raw'!R110</f>
        <v>0</v>
      </c>
      <c r="R79" s="3">
        <f>'Annual Raw'!S110</f>
        <v>0</v>
      </c>
      <c r="S79" s="3">
        <f>'Annual Raw'!T110</f>
        <v>0</v>
      </c>
      <c r="T79" s="3">
        <f>'Annual Raw'!U110</f>
        <v>0</v>
      </c>
      <c r="U79" s="3">
        <f>'Annual Raw'!V110</f>
        <v>0</v>
      </c>
      <c r="V79" s="3">
        <f>'Annual Raw'!W110</f>
        <v>0.83333333333333304</v>
      </c>
      <c r="W79" s="3">
        <f>'Annual Raw'!X110</f>
        <v>2.75</v>
      </c>
      <c r="X79" s="3">
        <f>'Annual Raw'!Y110</f>
        <v>3</v>
      </c>
      <c r="Y79" s="3">
        <f>'Annual Raw'!Z110</f>
        <v>3.5</v>
      </c>
      <c r="Z79" s="3">
        <f>'Annual Raw'!AA110</f>
        <v>7</v>
      </c>
      <c r="AA79" s="3">
        <f>'Annual Raw'!AB110</f>
        <v>6.5</v>
      </c>
      <c r="AB79" s="37"/>
      <c r="AC79" s="37"/>
      <c r="AD79" s="37"/>
      <c r="AE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  <c r="DF79" s="3">
        <v>6.5</v>
      </c>
    </row>
    <row r="80" spans="1:110" s="3" customFormat="1" x14ac:dyDescent="0.2">
      <c r="A80" s="3" t="s">
        <v>32</v>
      </c>
      <c r="B80" s="3" t="e">
        <f>B79/B78</f>
        <v>#DIV/0!</v>
      </c>
      <c r="C80" s="3" t="e">
        <f t="shared" ref="C80:U80" si="770">C79/C78</f>
        <v>#DIV/0!</v>
      </c>
      <c r="D80" s="3" t="e">
        <f t="shared" si="770"/>
        <v>#DIV/0!</v>
      </c>
      <c r="E80" s="3" t="e">
        <f t="shared" ca="1" si="770"/>
        <v>#DIV/0!</v>
      </c>
      <c r="F80" s="3" t="e">
        <f t="shared" ca="1" si="770"/>
        <v>#DIV/0!</v>
      </c>
      <c r="G80" s="3" t="e">
        <f t="shared" ca="1" si="770"/>
        <v>#DIV/0!</v>
      </c>
      <c r="H80" s="3" t="e">
        <f t="shared" ca="1" si="770"/>
        <v>#DIV/0!</v>
      </c>
      <c r="I80" s="3" t="e">
        <f t="shared" ca="1" si="770"/>
        <v>#DIV/0!</v>
      </c>
      <c r="J80" s="3">
        <f t="shared" ca="1" si="770"/>
        <v>0</v>
      </c>
      <c r="K80" s="3">
        <f t="shared" ca="1" si="770"/>
        <v>0</v>
      </c>
      <c r="L80" s="3">
        <f t="shared" ca="1" si="770"/>
        <v>0</v>
      </c>
      <c r="M80" s="3">
        <f t="shared" ca="1" si="770"/>
        <v>0</v>
      </c>
      <c r="N80" s="3">
        <f t="shared" ca="1" si="770"/>
        <v>0</v>
      </c>
      <c r="O80" s="3">
        <f t="shared" ca="1" si="770"/>
        <v>0</v>
      </c>
      <c r="P80" s="3">
        <f t="shared" ca="1" si="770"/>
        <v>0</v>
      </c>
      <c r="Q80" s="3">
        <f t="shared" ca="1" si="770"/>
        <v>0</v>
      </c>
      <c r="R80" s="3">
        <f t="shared" ca="1" si="770"/>
        <v>0</v>
      </c>
      <c r="S80" s="3">
        <f t="shared" ca="1" si="770"/>
        <v>0</v>
      </c>
      <c r="T80" s="3">
        <f t="shared" ca="1" si="770"/>
        <v>0</v>
      </c>
      <c r="U80" s="3">
        <f t="shared" ca="1" si="770"/>
        <v>0</v>
      </c>
      <c r="V80" s="3">
        <f ca="1">V79/V78</f>
        <v>0.3101431993389196</v>
      </c>
      <c r="W80" s="3">
        <f t="shared" ref="W80" ca="1" si="771">W79/W78</f>
        <v>0.36098962434499915</v>
      </c>
      <c r="X80" s="3">
        <f t="shared" ref="X80:Y80" ca="1" si="772">X79/X78</f>
        <v>0.2957844832500427</v>
      </c>
      <c r="Y80" s="3">
        <f t="shared" ca="1" si="772"/>
        <v>0.25831383481853942</v>
      </c>
      <c r="Z80" s="3">
        <f t="shared" ref="Z80:AA80" ca="1" si="773">Z79/Z78</f>
        <v>0.38765240958651581</v>
      </c>
      <c r="AA80" s="3">
        <f t="shared" ref="AA80" ca="1" si="774">AA79/AA78</f>
        <v>0.38765240958651581</v>
      </c>
      <c r="AB80" s="37">
        <f t="shared" ref="AB80:AD80" ca="1" si="775">AB79/AB78</f>
        <v>0</v>
      </c>
      <c r="AC80" s="37">
        <f t="shared" ca="1" si="775"/>
        <v>0</v>
      </c>
      <c r="AD80" s="37">
        <f t="shared" ca="1" si="775"/>
        <v>0</v>
      </c>
      <c r="AE80" s="37">
        <f t="shared" ref="AE80" ca="1" si="776">AE79/AE78</f>
        <v>0</v>
      </c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  <c r="DF80" s="3">
        <v>0.38765240958651581</v>
      </c>
    </row>
    <row r="81" spans="1:110" s="3" customFormat="1" x14ac:dyDescent="0.2">
      <c r="A81" s="3" t="s">
        <v>33</v>
      </c>
      <c r="B81" s="3" t="e">
        <f>+B78</f>
        <v>#DIV/0!</v>
      </c>
      <c r="C81" s="3" t="e">
        <f t="shared" ref="C81:U81" si="777">+C78</f>
        <v>#DIV/0!</v>
      </c>
      <c r="D81" s="3" t="e">
        <f t="shared" si="777"/>
        <v>#DIV/0!</v>
      </c>
      <c r="E81" s="3">
        <f t="shared" ca="1" si="777"/>
        <v>0</v>
      </c>
      <c r="F81" s="3">
        <f t="shared" ca="1" si="777"/>
        <v>0</v>
      </c>
      <c r="G81" s="3">
        <f t="shared" ca="1" si="777"/>
        <v>0</v>
      </c>
      <c r="H81" s="3">
        <f t="shared" ca="1" si="777"/>
        <v>0</v>
      </c>
      <c r="I81" s="3">
        <f t="shared" ca="1" si="777"/>
        <v>0</v>
      </c>
      <c r="J81" s="3">
        <f t="shared" ca="1" si="777"/>
        <v>4.3188460611900729E-2</v>
      </c>
      <c r="K81" s="3">
        <f t="shared" ca="1" si="777"/>
        <v>2.2858768971332197E-2</v>
      </c>
      <c r="L81" s="3">
        <f t="shared" ca="1" si="777"/>
        <v>6.2742893278728007E-2</v>
      </c>
      <c r="M81" s="3">
        <f t="shared" ca="1" si="777"/>
        <v>1.2905528788243791E-2</v>
      </c>
      <c r="N81" s="3">
        <f t="shared" ca="1" si="777"/>
        <v>1.7176499638641301E-2</v>
      </c>
      <c r="O81" s="3">
        <f t="shared" ca="1" si="777"/>
        <v>3.4516658636473151E-2</v>
      </c>
      <c r="P81" s="3">
        <f t="shared" ca="1" si="777"/>
        <v>-3.2994459166465913E-3</v>
      </c>
      <c r="Q81" s="3">
        <f t="shared" ca="1" si="777"/>
        <v>1.8911105757648754E-2</v>
      </c>
      <c r="R81" s="3">
        <f t="shared" ca="1" si="777"/>
        <v>-8.6726090098756588E-3</v>
      </c>
      <c r="S81" s="3">
        <f t="shared" ca="1" si="777"/>
        <v>5.5713081185256543</v>
      </c>
      <c r="T81" s="3">
        <f ca="1">+T78</f>
        <v>7.1315345699831347</v>
      </c>
      <c r="U81" s="3">
        <f t="shared" ca="1" si="777"/>
        <v>7.3937605396290031</v>
      </c>
      <c r="V81" s="3">
        <f ca="1">+V78</f>
        <v>5.3738617200674552</v>
      </c>
      <c r="W81" s="3">
        <f t="shared" ref="W81" ca="1" si="778">+W78</f>
        <v>15.235894965068661</v>
      </c>
      <c r="X81" s="3">
        <f t="shared" ref="X81:Y81" ca="1" si="779">+X78</f>
        <v>20.285039749457965</v>
      </c>
      <c r="Y81" s="3">
        <f t="shared" ca="1" si="779"/>
        <v>27.098819561551426</v>
      </c>
      <c r="Z81" s="3">
        <f t="shared" ref="Z81:AA81" ca="1" si="780">+Z78</f>
        <v>36.114827752348837</v>
      </c>
      <c r="AA81" s="3">
        <f t="shared" ref="AA81" ca="1" si="781">+AA78</f>
        <v>36.114827752348837</v>
      </c>
      <c r="AB81" s="37">
        <f t="shared" ref="AB81:AD81" ca="1" si="782">+AB78</f>
        <v>57.932977171477368</v>
      </c>
      <c r="AC81" s="37">
        <f t="shared" ca="1" si="782"/>
        <v>85.163364880881559</v>
      </c>
      <c r="AD81" s="37">
        <f t="shared" ca="1" si="782"/>
        <v>122.58535397675534</v>
      </c>
      <c r="AE81" s="37">
        <f t="shared" ref="AE81" ca="1" si="783">+AE78</f>
        <v>173.46510597026995</v>
      </c>
      <c r="AL81" s="3">
        <f>SUM(AI78:AL78)</f>
        <v>0</v>
      </c>
      <c r="AM81" s="3">
        <f t="shared" ref="AM81" si="784">SUM(AJ78:AM78)</f>
        <v>0</v>
      </c>
      <c r="AN81" s="3">
        <f t="shared" ref="AN81" si="785">SUM(AK78:AN78)</f>
        <v>0</v>
      </c>
      <c r="AO81" s="3">
        <f t="shared" ref="AO81" si="786">SUM(AL78:AO78)</f>
        <v>0</v>
      </c>
      <c r="AP81" s="3">
        <f t="shared" ref="AP81" si="787">SUM(AM78:AP78)</f>
        <v>0</v>
      </c>
      <c r="AQ81" s="3">
        <f t="shared" ref="AQ81" si="788">SUM(AN78:AQ78)</f>
        <v>0</v>
      </c>
      <c r="AR81" s="3">
        <f t="shared" ref="AR81" si="789">SUM(AO78:AR78)</f>
        <v>0</v>
      </c>
      <c r="AS81" s="3">
        <f t="shared" ref="AS81" si="790">SUM(AP78:AS78)</f>
        <v>0</v>
      </c>
      <c r="AT81" s="3">
        <f t="shared" ref="AT81" si="791">SUM(AQ78:AT78)</f>
        <v>0</v>
      </c>
      <c r="AU81" s="3">
        <f t="shared" ref="AU81" si="792">SUM(AR78:AU78)</f>
        <v>0</v>
      </c>
      <c r="AV81" s="3">
        <f t="shared" ref="AV81" si="793">SUM(AS78:AV78)</f>
        <v>0</v>
      </c>
      <c r="AW81" s="3">
        <f t="shared" ref="AW81" si="794">SUM(AT78:AW78)</f>
        <v>0</v>
      </c>
      <c r="AX81" s="3">
        <f t="shared" ref="AX81" si="795">SUM(AU78:AX78)</f>
        <v>0</v>
      </c>
      <c r="AY81" s="3">
        <f t="shared" ref="AY81" si="796">SUM(AV78:AY78)</f>
        <v>0</v>
      </c>
      <c r="AZ81" s="3">
        <f t="shared" ref="AZ81" si="797">SUM(AW78:AZ78)</f>
        <v>0</v>
      </c>
      <c r="BA81" s="3">
        <f t="shared" ref="BA81" si="798">SUM(AX78:BA78)</f>
        <v>0</v>
      </c>
      <c r="BB81" s="3">
        <f t="shared" ref="BB81" si="799">SUM(AY78:BB78)</f>
        <v>0</v>
      </c>
      <c r="BC81" s="3">
        <f t="shared" ref="BC81" si="800">SUM(AZ78:BC78)</f>
        <v>0</v>
      </c>
      <c r="BD81" s="3">
        <f t="shared" ref="BD81" si="801">SUM(BA78:BD78)</f>
        <v>0</v>
      </c>
      <c r="BE81" s="3">
        <f t="shared" ref="BE81" si="802">SUM(BB78:BE78)</f>
        <v>0</v>
      </c>
      <c r="BF81" s="3">
        <f t="shared" ref="BF81" si="803">SUM(BC78:BF78)</f>
        <v>0</v>
      </c>
      <c r="BG81" s="3">
        <f t="shared" ref="BG81" si="804">SUM(BD78:BG78)</f>
        <v>0</v>
      </c>
      <c r="BH81" s="3">
        <f t="shared" ref="BH81" si="805">SUM(BE78:BH78)</f>
        <v>0</v>
      </c>
      <c r="BI81" s="3">
        <f t="shared" ref="BI81" si="806">SUM(BF78:BI78)</f>
        <v>0</v>
      </c>
      <c r="BJ81" s="3">
        <f t="shared" ref="BJ81" si="807">SUM(BG78:BJ78)</f>
        <v>0</v>
      </c>
      <c r="BK81" s="3">
        <f t="shared" ref="BK81" si="808">SUM(BH78:BK78)</f>
        <v>0</v>
      </c>
      <c r="BL81" s="3">
        <f t="shared" ref="BL81" si="809">SUM(BI78:BL78)</f>
        <v>0</v>
      </c>
      <c r="BM81" s="3">
        <f t="shared" ref="BM81" si="810">SUM(BJ78:BM78)</f>
        <v>0</v>
      </c>
      <c r="BN81" s="3">
        <f t="shared" ref="BN81" si="811">SUM(BK78:BN78)</f>
        <v>0</v>
      </c>
      <c r="BO81" s="3">
        <f t="shared" ref="BO81" si="812">SUM(BL78:BO78)</f>
        <v>0</v>
      </c>
      <c r="BP81" s="3">
        <f t="shared" ref="BP81" si="813">SUM(BM78:BP78)</f>
        <v>0</v>
      </c>
      <c r="BQ81" s="3">
        <f t="shared" ref="BQ81" si="814">SUM(BN78:BQ78)</f>
        <v>1.5758853288364247</v>
      </c>
      <c r="BR81" s="3">
        <f t="shared" ref="BR81" si="815">SUM(BO78:BR78)</f>
        <v>2.7434353167911345</v>
      </c>
      <c r="BS81" s="3">
        <f t="shared" ref="BS81" si="816">SUM(BP78:BS78)</f>
        <v>6.32148879788003</v>
      </c>
      <c r="BT81" s="3">
        <f t="shared" ref="BT81" si="817">SUM(BQ78:BT78)</f>
        <v>9.9881956155143339</v>
      </c>
      <c r="BU81" s="3">
        <f t="shared" ref="BU81" si="818">SUM(BR78:BU78)</f>
        <v>12.269332690917853</v>
      </c>
      <c r="BV81" s="3">
        <f t="shared" ref="BV81" si="819">SUM(BS78:BV78)</f>
        <v>15.256926041917611</v>
      </c>
      <c r="BW81" s="3">
        <f t="shared" ref="BW81" si="820">SUM(BT78:BW78)</f>
        <v>16.461214165261381</v>
      </c>
      <c r="BX81" s="3">
        <f t="shared" ref="BX81" si="821">SUM(BU78:BX78)</f>
        <v>17.964707299445916</v>
      </c>
      <c r="BY81" s="3">
        <f t="shared" ref="BY81" si="822">SUM(BV78:BY78)</f>
        <v>19.307034449530235</v>
      </c>
      <c r="BZ81" s="3">
        <f t="shared" ref="BZ81" si="823">SUM(BW78:BZ78)</f>
        <v>20.28487111539388</v>
      </c>
      <c r="CA81" s="3">
        <f t="shared" ref="CA81" si="824">SUM(BX78:CA78)</f>
        <v>21.894001445434835</v>
      </c>
      <c r="CB81" s="3">
        <f t="shared" ref="CB81" si="825">SUM(BY78:CB78)</f>
        <v>23.64887978800289</v>
      </c>
      <c r="CC81" s="3">
        <f t="shared" ref="CC81" si="826">SUM(BZ78:CC78)</f>
        <v>25.414478438930377</v>
      </c>
      <c r="CD81" s="3">
        <f t="shared" ref="CD81" si="827">SUM(CA78:CD78)</f>
        <v>27.098771380390268</v>
      </c>
      <c r="CE81" s="3">
        <f t="shared" ref="CE81" si="828">SUM(CB78:CE78)</f>
        <v>29.529270055408336</v>
      </c>
      <c r="CF81" s="3">
        <f t="shared" ref="CF81" si="829">SUM(CC78:CF78)</f>
        <v>31.772103107684895</v>
      </c>
      <c r="CG81" s="3">
        <f t="shared" ref="CG81" si="830">SUM(CD78:CG78)</f>
        <v>34.076487593350997</v>
      </c>
      <c r="CH81" s="3">
        <f t="shared" ref="CH81:CL81" si="831">SUM(CE78:CH78)</f>
        <v>36.096241869429051</v>
      </c>
      <c r="CI81" s="3">
        <f t="shared" si="831"/>
        <v>38.551433389544691</v>
      </c>
      <c r="CJ81" s="3">
        <f t="shared" si="831"/>
        <v>41.35051794748253</v>
      </c>
      <c r="CK81" s="3">
        <f t="shared" si="831"/>
        <v>44.098530474584436</v>
      </c>
      <c r="CL81" s="3">
        <f t="shared" si="831"/>
        <v>47.678270296314139</v>
      </c>
      <c r="CM81" s="37">
        <f t="shared" ref="CM81" si="832">SUM(CJ78:CM78)</f>
        <v>49.814589483272698</v>
      </c>
      <c r="CN81" s="37">
        <f t="shared" ref="CN81" si="833">SUM(CK78:CN78)</f>
        <v>52.759441033552811</v>
      </c>
      <c r="CO81" s="37">
        <f t="shared" ref="CO81" si="834">SUM(CL78:CO78)</f>
        <v>55.340596145042475</v>
      </c>
      <c r="CP81" s="37">
        <f t="shared" ref="CP81" si="835">SUM(CM78:CP78)</f>
        <v>57.932977171477383</v>
      </c>
      <c r="CQ81" s="37">
        <f t="shared" ref="CQ81" si="836">SUM(CN78:CQ78)</f>
        <v>63.794255533097271</v>
      </c>
      <c r="CR81" s="37">
        <f t="shared" ref="CR81" si="837">SUM(CO78:CR78)</f>
        <v>70.345198507631665</v>
      </c>
      <c r="CS81" s="37">
        <f t="shared" ref="CS81" si="838">SUM(CP78:CS78)</f>
        <v>77.339557450338262</v>
      </c>
      <c r="CT81" s="37">
        <f t="shared" ref="CT81" si="839">SUM(CQ78:CT78)</f>
        <v>85.163364880881559</v>
      </c>
      <c r="CU81" s="37">
        <f t="shared" ref="CU81" si="840">SUM(CR78:CU78)</f>
        <v>93.548324312159124</v>
      </c>
      <c r="CV81" s="37">
        <f t="shared" ref="CV81" si="841">SUM(CS78:CV78)</f>
        <v>102.84997996641277</v>
      </c>
      <c r="CW81" s="37">
        <f t="shared" ref="CW81" si="842">SUM(CT78:CW78)</f>
        <v>112.45251567942832</v>
      </c>
      <c r="CX81" s="37">
        <f t="shared" ref="CX81" si="843">SUM(CU78:CX78)</f>
        <v>122.58535397675529</v>
      </c>
      <c r="CY81" s="37">
        <f t="shared" ref="CY81" si="844">SUM(CV78:CY78)</f>
        <v>134.12801211980113</v>
      </c>
      <c r="CZ81" s="37">
        <f t="shared" ref="CZ81" si="845">SUM(CW78:CZ78)</f>
        <v>146.80726291002472</v>
      </c>
      <c r="DA81" s="37">
        <f t="shared" ref="DA81" si="846">SUM(CX78:DA78)</f>
        <v>159.79599191534589</v>
      </c>
      <c r="DB81" s="37">
        <f t="shared" ref="DB81" si="847">SUM(CY78:DB78)</f>
        <v>173.46510597026995</v>
      </c>
      <c r="DE81" s="134"/>
      <c r="DF81" s="3">
        <v>36.114827752348837</v>
      </c>
    </row>
    <row r="82" spans="1:110" s="97" customFormat="1" x14ac:dyDescent="0.2">
      <c r="A82" s="97" t="s">
        <v>425</v>
      </c>
      <c r="C82" s="101" t="e">
        <f t="shared" ref="C82:AA82" si="848">+C81/B81-1</f>
        <v>#DIV/0!</v>
      </c>
      <c r="D82" s="101" t="e">
        <f t="shared" si="848"/>
        <v>#DIV/0!</v>
      </c>
      <c r="E82" s="101" t="e">
        <f t="shared" ca="1" si="848"/>
        <v>#DIV/0!</v>
      </c>
      <c r="F82" s="101" t="e">
        <f t="shared" ca="1" si="848"/>
        <v>#DIV/0!</v>
      </c>
      <c r="G82" s="101" t="e">
        <f t="shared" ca="1" si="848"/>
        <v>#DIV/0!</v>
      </c>
      <c r="H82" s="101" t="e">
        <f t="shared" ca="1" si="848"/>
        <v>#DIV/0!</v>
      </c>
      <c r="I82" s="101" t="e">
        <f t="shared" ca="1" si="848"/>
        <v>#DIV/0!</v>
      </c>
      <c r="J82" s="101" t="e">
        <f t="shared" ca="1" si="848"/>
        <v>#DIV/0!</v>
      </c>
      <c r="K82" s="101">
        <f t="shared" ca="1" si="848"/>
        <v>-0.47072045061422296</v>
      </c>
      <c r="L82" s="101">
        <f t="shared" ca="1" si="848"/>
        <v>1.744806308573116</v>
      </c>
      <c r="M82" s="101">
        <f t="shared" ca="1" si="848"/>
        <v>-0.79431090735786636</v>
      </c>
      <c r="N82" s="101">
        <f t="shared" ca="1" si="848"/>
        <v>0.33094117416468238</v>
      </c>
      <c r="O82" s="101">
        <f t="shared" ca="1" si="848"/>
        <v>1.0095280972627489</v>
      </c>
      <c r="P82" s="101">
        <f t="shared" ca="1" si="848"/>
        <v>-1.0955899570522196</v>
      </c>
      <c r="Q82" s="101">
        <f t="shared" ca="1" si="848"/>
        <v>-6.7316004672897174</v>
      </c>
      <c r="R82" s="101">
        <f t="shared" ca="1" si="848"/>
        <v>-1.4585987261145716</v>
      </c>
      <c r="S82" s="101">
        <f t="shared" ca="1" si="848"/>
        <v>-643.40277777788708</v>
      </c>
      <c r="T82" s="101">
        <f t="shared" ca="1" si="848"/>
        <v>0.2800466996735349</v>
      </c>
      <c r="U82" s="101">
        <f t="shared" ca="1" si="848"/>
        <v>3.676992196736828E-2</v>
      </c>
      <c r="V82" s="101">
        <f t="shared" ca="1" si="848"/>
        <v>-0.27318964534154366</v>
      </c>
      <c r="W82" s="101">
        <f t="shared" ca="1" si="848"/>
        <v>1.835185525554873</v>
      </c>
      <c r="X82" s="101">
        <f t="shared" ca="1" si="848"/>
        <v>0.33139797799640114</v>
      </c>
      <c r="Y82" s="101">
        <f t="shared" ca="1" si="848"/>
        <v>0.33590172344993952</v>
      </c>
      <c r="Z82" s="101">
        <f t="shared" ca="1" si="848"/>
        <v>0.33270852150289154</v>
      </c>
      <c r="AA82" s="101">
        <f t="shared" ca="1" si="848"/>
        <v>0.33270852150289154</v>
      </c>
      <c r="AB82" s="174">
        <f t="shared" ref="AB82" ca="1" si="849">+AB81/AA81-1</f>
        <v>0.2150813528140092</v>
      </c>
      <c r="AC82" s="174">
        <f t="shared" ref="AC82" ca="1" si="850">+AC81/AB81-1</f>
        <v>0.47003259695776101</v>
      </c>
      <c r="AD82" s="174">
        <f t="shared" ref="AD82" ca="1" si="851">+AD81/AC81-1</f>
        <v>0.43941416767897934</v>
      </c>
      <c r="AE82" s="174">
        <f t="shared" ref="AE82" ca="1" si="852">+AE81/AD81-1</f>
        <v>0.41505571704073585</v>
      </c>
      <c r="AL82" s="176"/>
      <c r="AM82" s="176"/>
      <c r="AN82" s="176"/>
      <c r="AO82" s="176"/>
      <c r="AP82" s="176" t="e">
        <f t="shared" ref="AP82:CL82" si="853">+IF(AL81&lt;0,1-AP81/AL81,AP81/AL81-1)</f>
        <v>#DIV/0!</v>
      </c>
      <c r="AQ82" s="176" t="e">
        <f t="shared" si="853"/>
        <v>#DIV/0!</v>
      </c>
      <c r="AR82" s="176" t="e">
        <f t="shared" si="853"/>
        <v>#DIV/0!</v>
      </c>
      <c r="AS82" s="176" t="e">
        <f t="shared" si="853"/>
        <v>#DIV/0!</v>
      </c>
      <c r="AT82" s="176" t="e">
        <f t="shared" si="853"/>
        <v>#DIV/0!</v>
      </c>
      <c r="AU82" s="176" t="e">
        <f t="shared" si="853"/>
        <v>#DIV/0!</v>
      </c>
      <c r="AV82" s="176" t="e">
        <f t="shared" si="853"/>
        <v>#DIV/0!</v>
      </c>
      <c r="AW82" s="176" t="e">
        <f t="shared" si="853"/>
        <v>#DIV/0!</v>
      </c>
      <c r="AX82" s="176" t="e">
        <f t="shared" si="853"/>
        <v>#DIV/0!</v>
      </c>
      <c r="AY82" s="176" t="e">
        <f t="shared" si="853"/>
        <v>#DIV/0!</v>
      </c>
      <c r="AZ82" s="176" t="e">
        <f t="shared" si="853"/>
        <v>#DIV/0!</v>
      </c>
      <c r="BA82" s="176" t="e">
        <f t="shared" si="853"/>
        <v>#DIV/0!</v>
      </c>
      <c r="BB82" s="176" t="e">
        <f t="shared" si="853"/>
        <v>#DIV/0!</v>
      </c>
      <c r="BC82" s="176" t="e">
        <f t="shared" si="853"/>
        <v>#DIV/0!</v>
      </c>
      <c r="BD82" s="176" t="e">
        <f t="shared" si="853"/>
        <v>#DIV/0!</v>
      </c>
      <c r="BE82" s="176" t="e">
        <f t="shared" si="853"/>
        <v>#DIV/0!</v>
      </c>
      <c r="BF82" s="176" t="e">
        <f t="shared" si="853"/>
        <v>#DIV/0!</v>
      </c>
      <c r="BG82" s="176" t="e">
        <f t="shared" si="853"/>
        <v>#DIV/0!</v>
      </c>
      <c r="BH82" s="176" t="e">
        <f t="shared" si="853"/>
        <v>#DIV/0!</v>
      </c>
      <c r="BI82" s="176" t="e">
        <f t="shared" si="853"/>
        <v>#DIV/0!</v>
      </c>
      <c r="BJ82" s="176" t="e">
        <f t="shared" si="853"/>
        <v>#DIV/0!</v>
      </c>
      <c r="BK82" s="176" t="e">
        <f t="shared" si="853"/>
        <v>#DIV/0!</v>
      </c>
      <c r="BL82" s="176" t="e">
        <f t="shared" si="853"/>
        <v>#DIV/0!</v>
      </c>
      <c r="BM82" s="176" t="e">
        <f t="shared" si="853"/>
        <v>#DIV/0!</v>
      </c>
      <c r="BN82" s="176" t="e">
        <f t="shared" si="853"/>
        <v>#DIV/0!</v>
      </c>
      <c r="BO82" s="176" t="e">
        <f t="shared" si="853"/>
        <v>#DIV/0!</v>
      </c>
      <c r="BP82" s="176" t="e">
        <f t="shared" si="853"/>
        <v>#DIV/0!</v>
      </c>
      <c r="BQ82" s="176" t="e">
        <f t="shared" si="853"/>
        <v>#DIV/0!</v>
      </c>
      <c r="BR82" s="176" t="e">
        <f t="shared" si="853"/>
        <v>#DIV/0!</v>
      </c>
      <c r="BS82" s="176" t="e">
        <f t="shared" si="853"/>
        <v>#DIV/0!</v>
      </c>
      <c r="BT82" s="176" t="e">
        <f t="shared" si="853"/>
        <v>#DIV/0!</v>
      </c>
      <c r="BU82" s="176">
        <f t="shared" si="853"/>
        <v>6.7856760681800834</v>
      </c>
      <c r="BV82" s="176">
        <f t="shared" si="853"/>
        <v>4.5612486828240257</v>
      </c>
      <c r="BW82" s="176">
        <f t="shared" si="853"/>
        <v>1.6040090699491238</v>
      </c>
      <c r="BX82" s="176">
        <f t="shared" si="853"/>
        <v>0.79859385928945259</v>
      </c>
      <c r="BY82" s="176">
        <f t="shared" si="853"/>
        <v>0.57360102100922816</v>
      </c>
      <c r="BZ82" s="176">
        <f t="shared" si="853"/>
        <v>0.32955164491603695</v>
      </c>
      <c r="CA82" s="176">
        <f t="shared" si="853"/>
        <v>0.33003563562391625</v>
      </c>
      <c r="CB82" s="176">
        <f t="shared" si="853"/>
        <v>0.31640774290446094</v>
      </c>
      <c r="CC82" s="176">
        <f t="shared" si="853"/>
        <v>0.31633257843742779</v>
      </c>
      <c r="CD82" s="176">
        <f t="shared" si="853"/>
        <v>0.33591045396514363</v>
      </c>
      <c r="CE82" s="176">
        <f t="shared" si="853"/>
        <v>0.34873792390132263</v>
      </c>
      <c r="CF82" s="176">
        <f t="shared" si="853"/>
        <v>0.34349294311195777</v>
      </c>
      <c r="CG82" s="176">
        <f t="shared" si="853"/>
        <v>0.34082970363664788</v>
      </c>
      <c r="CH82" s="176">
        <f t="shared" si="853"/>
        <v>0.33202503400392924</v>
      </c>
      <c r="CI82" s="176">
        <f t="shared" si="853"/>
        <v>0.30553289387808391</v>
      </c>
      <c r="CJ82" s="176">
        <f t="shared" si="853"/>
        <v>0.3014724838117766</v>
      </c>
      <c r="CK82" s="176">
        <f t="shared" si="853"/>
        <v>0.29410433964998606</v>
      </c>
      <c r="CL82" s="176">
        <f t="shared" si="853"/>
        <v>0.32086521551968672</v>
      </c>
      <c r="CM82" s="102">
        <f t="shared" ref="CM82:DB82" si="854">+IF(CI81&lt;0,1-CM81/CI81,CM81/CI81-1)</f>
        <v>0.29215920404097395</v>
      </c>
      <c r="CN82" s="102">
        <f t="shared" si="854"/>
        <v>0.27590762225905485</v>
      </c>
      <c r="CO82" s="102">
        <f t="shared" si="854"/>
        <v>0.25493061899051828</v>
      </c>
      <c r="CP82" s="102">
        <f t="shared" si="854"/>
        <v>0.21508135281400942</v>
      </c>
      <c r="CQ82" s="102">
        <f t="shared" si="854"/>
        <v>0.28063397078718921</v>
      </c>
      <c r="CR82" s="102">
        <f t="shared" si="854"/>
        <v>0.33331963208054161</v>
      </c>
      <c r="CS82" s="102">
        <f t="shared" si="854"/>
        <v>0.39751941319241646</v>
      </c>
      <c r="CT82" s="102">
        <f t="shared" si="854"/>
        <v>0.47003259695776056</v>
      </c>
      <c r="CU82" s="102">
        <f t="shared" si="854"/>
        <v>0.46640670904334103</v>
      </c>
      <c r="CV82" s="102">
        <f t="shared" si="854"/>
        <v>0.46207533916127486</v>
      </c>
      <c r="CW82" s="102">
        <f t="shared" si="854"/>
        <v>0.45401033296107229</v>
      </c>
      <c r="CX82" s="102">
        <f t="shared" si="854"/>
        <v>0.43941416767897867</v>
      </c>
      <c r="CY82" s="102">
        <f t="shared" si="854"/>
        <v>0.43378316079968071</v>
      </c>
      <c r="CZ82" s="102">
        <f t="shared" si="854"/>
        <v>0.42739223632291279</v>
      </c>
      <c r="DA82" s="102">
        <f t="shared" si="854"/>
        <v>0.42100860038454813</v>
      </c>
      <c r="DB82" s="102">
        <f t="shared" si="854"/>
        <v>0.41505571704073652</v>
      </c>
      <c r="DE82" s="135"/>
      <c r="DF82" s="97">
        <v>0.33270852150289154</v>
      </c>
    </row>
    <row r="83" spans="1:110" s="144" customFormat="1" x14ac:dyDescent="0.2">
      <c r="A83" s="144" t="s">
        <v>424</v>
      </c>
      <c r="AB83" s="145"/>
      <c r="AC83" s="145"/>
      <c r="AD83" s="145"/>
      <c r="AE83" s="145"/>
      <c r="CM83" s="145"/>
      <c r="CN83" s="145"/>
      <c r="CO83" s="145"/>
      <c r="CP83" s="145"/>
      <c r="CQ83" s="145"/>
      <c r="CR83" s="145"/>
      <c r="CS83" s="145"/>
      <c r="CT83" s="145"/>
      <c r="CU83" s="145"/>
      <c r="CV83" s="145"/>
      <c r="CW83" s="145"/>
      <c r="CX83" s="145"/>
      <c r="CY83" s="145"/>
      <c r="CZ83" s="145"/>
      <c r="DA83" s="145"/>
      <c r="DB83" s="145"/>
      <c r="DE83" s="146"/>
    </row>
    <row r="84" spans="1:110" s="144" customFormat="1" x14ac:dyDescent="0.2">
      <c r="A84" s="144" t="s">
        <v>436</v>
      </c>
      <c r="AB84" s="145"/>
      <c r="AC84" s="145"/>
      <c r="AD84" s="145"/>
      <c r="AE84" s="145"/>
      <c r="CM84" s="145"/>
      <c r="CN84" s="145"/>
      <c r="CO84" s="145"/>
      <c r="CP84" s="145"/>
      <c r="CQ84" s="145"/>
      <c r="CR84" s="145"/>
      <c r="CS84" s="145"/>
      <c r="CT84" s="145"/>
      <c r="CU84" s="145"/>
      <c r="CV84" s="145"/>
      <c r="CW84" s="145"/>
      <c r="CX84" s="145"/>
      <c r="CY84" s="145"/>
      <c r="CZ84" s="145"/>
      <c r="DA84" s="145"/>
      <c r="DB84" s="145"/>
      <c r="DE84" s="146"/>
    </row>
    <row r="85" spans="1:110" s="3" customFormat="1" x14ac:dyDescent="0.2">
      <c r="A85" s="3" t="s">
        <v>34</v>
      </c>
      <c r="B85" s="3">
        <f>'Annual Raw'!C112</f>
        <v>0</v>
      </c>
      <c r="C85" s="3">
        <f>'Annual Raw'!D112</f>
        <v>0</v>
      </c>
      <c r="D85" s="3">
        <f>'Annual Raw'!E112</f>
        <v>0</v>
      </c>
      <c r="E85" s="3">
        <f>'Annual Raw'!F112</f>
        <v>0</v>
      </c>
      <c r="F85" s="3">
        <f>'Annual Raw'!G112</f>
        <v>0</v>
      </c>
      <c r="G85" s="3">
        <f>'Annual Raw'!H112</f>
        <v>0</v>
      </c>
      <c r="H85" s="3">
        <f>'Annual Raw'!I112</f>
        <v>0</v>
      </c>
      <c r="I85" s="3">
        <f>'Annual Raw'!J112</f>
        <v>0</v>
      </c>
      <c r="J85" s="3">
        <f>'Annual Raw'!K112</f>
        <v>0</v>
      </c>
      <c r="K85" s="3">
        <f>'Annual Raw'!L112</f>
        <v>0</v>
      </c>
      <c r="L85" s="3">
        <f>'Annual Raw'!M112</f>
        <v>0</v>
      </c>
      <c r="M85" s="3">
        <f>'Annual Raw'!N112</f>
        <v>0</v>
      </c>
      <c r="N85" s="3">
        <f>'Annual Raw'!O112</f>
        <v>79.459999999999994</v>
      </c>
      <c r="O85" s="3">
        <f>'Annual Raw'!P112</f>
        <v>0</v>
      </c>
      <c r="P85" s="3">
        <f>'Annual Raw'!Q112</f>
        <v>0</v>
      </c>
      <c r="Q85" s="3">
        <f>'Annual Raw'!R112</f>
        <v>0</v>
      </c>
      <c r="R85" s="3">
        <f>'Annual Raw'!S112</f>
        <v>0</v>
      </c>
      <c r="S85" s="3">
        <f>'Annual Raw'!T112</f>
        <v>77.48</v>
      </c>
      <c r="T85" s="3">
        <f>'Annual Raw'!U112</f>
        <v>0</v>
      </c>
      <c r="U85" s="3">
        <f>'Annual Raw'!V112</f>
        <v>0</v>
      </c>
      <c r="V85" s="3">
        <f>'Annual Raw'!W112</f>
        <v>0</v>
      </c>
      <c r="W85" s="3">
        <f>'Annual Raw'!X112</f>
        <v>48.82</v>
      </c>
      <c r="X85" s="3">
        <f>'Annual Raw'!Y112</f>
        <v>48.74</v>
      </c>
      <c r="Y85" s="3">
        <f>'Annual Raw'!Z112</f>
        <v>48.03</v>
      </c>
      <c r="Z85" s="3">
        <f>'Annual Raw'!AA112</f>
        <v>47.29</v>
      </c>
      <c r="AA85" s="3">
        <f>'Annual Raw'!AB112</f>
        <v>43.11</v>
      </c>
      <c r="AB85" s="37"/>
      <c r="AC85" s="37"/>
      <c r="AD85" s="37"/>
      <c r="AE85" s="37"/>
      <c r="AI85" s="3">
        <f>'QTR Raw'!C49</f>
        <v>0</v>
      </c>
      <c r="AJ85" s="3">
        <f>'QTR Raw'!D49</f>
        <v>0</v>
      </c>
      <c r="AK85" s="3">
        <f>'QTR Raw'!E49</f>
        <v>0</v>
      </c>
      <c r="AL85" s="3">
        <f>'QTR Raw'!F49</f>
        <v>0</v>
      </c>
      <c r="AM85" s="3">
        <f>'QTR Raw'!G49</f>
        <v>0</v>
      </c>
      <c r="AN85" s="3">
        <f>'QTR Raw'!H49</f>
        <v>0</v>
      </c>
      <c r="AO85" s="3">
        <f>'QTR Raw'!I49</f>
        <v>0</v>
      </c>
      <c r="AP85" s="3">
        <f>'QTR Raw'!J49</f>
        <v>0</v>
      </c>
      <c r="AQ85" s="3">
        <f>'QTR Raw'!K49</f>
        <v>0</v>
      </c>
      <c r="AR85" s="3">
        <f>'QTR Raw'!L49</f>
        <v>0</v>
      </c>
      <c r="AS85" s="3">
        <f>'QTR Raw'!M49</f>
        <v>0</v>
      </c>
      <c r="AT85" s="3">
        <f>'QTR Raw'!N49</f>
        <v>0</v>
      </c>
      <c r="AU85" s="3">
        <f>'QTR Raw'!O49</f>
        <v>0</v>
      </c>
      <c r="AV85" s="3">
        <f>'QTR Raw'!P49</f>
        <v>0</v>
      </c>
      <c r="AW85" s="3">
        <f>'QTR Raw'!Q49</f>
        <v>0</v>
      </c>
      <c r="AX85" s="3">
        <f>'QTR Raw'!R49</f>
        <v>0</v>
      </c>
      <c r="AY85" s="3">
        <f>'QTR Raw'!S49</f>
        <v>0</v>
      </c>
      <c r="AZ85" s="3">
        <f>'QTR Raw'!T49</f>
        <v>0</v>
      </c>
      <c r="BA85" s="3">
        <f>'QTR Raw'!U49</f>
        <v>0</v>
      </c>
      <c r="BB85" s="3">
        <f>'QTR Raw'!V49</f>
        <v>0</v>
      </c>
      <c r="BC85" s="3">
        <f>'QTR Raw'!W49</f>
        <v>0</v>
      </c>
      <c r="BD85" s="3">
        <f>'QTR Raw'!X49</f>
        <v>0</v>
      </c>
      <c r="BE85" s="3">
        <f>'QTR Raw'!Y49</f>
        <v>0</v>
      </c>
      <c r="BF85" s="3">
        <f>'QTR Raw'!Z49</f>
        <v>0</v>
      </c>
      <c r="BG85" s="3">
        <f>'QTR Raw'!AA49</f>
        <v>0</v>
      </c>
      <c r="BH85" s="3">
        <f>'QTR Raw'!AB49</f>
        <v>0</v>
      </c>
      <c r="BI85" s="3">
        <f>'QTR Raw'!AC49</f>
        <v>0</v>
      </c>
      <c r="BJ85" s="3">
        <f>'QTR Raw'!AD49</f>
        <v>0</v>
      </c>
      <c r="BK85" s="3">
        <f>'QTR Raw'!AE49</f>
        <v>0</v>
      </c>
      <c r="BL85" s="3">
        <f>'QTR Raw'!AF49</f>
        <v>0</v>
      </c>
      <c r="BM85" s="3">
        <f>'QTR Raw'!AG49</f>
        <v>0</v>
      </c>
      <c r="BN85" s="3">
        <f>'QTR Raw'!AH49</f>
        <v>0</v>
      </c>
      <c r="BO85" s="3">
        <f>'QTR Raw'!AI49</f>
        <v>0</v>
      </c>
      <c r="BP85" s="3">
        <f>'QTR Raw'!AJ49</f>
        <v>0</v>
      </c>
      <c r="BQ85" s="3">
        <f>'QTR Raw'!AK49</f>
        <v>0</v>
      </c>
      <c r="BR85" s="3">
        <f>'QTR Raw'!AL49</f>
        <v>0</v>
      </c>
      <c r="BS85" s="3">
        <f>'QTR Raw'!AM49</f>
        <v>0</v>
      </c>
      <c r="BT85" s="3">
        <f>'QTR Raw'!AN49</f>
        <v>0</v>
      </c>
      <c r="BU85" s="3">
        <f>'QTR Raw'!AO49</f>
        <v>48.82</v>
      </c>
      <c r="BV85" s="3">
        <f>'QTR Raw'!AP49</f>
        <v>48.82</v>
      </c>
      <c r="BW85" s="3">
        <f>'QTR Raw'!AQ49</f>
        <v>48.82</v>
      </c>
      <c r="BX85" s="3">
        <f>'QTR Raw'!AR49</f>
        <v>48.74</v>
      </c>
      <c r="BY85" s="3">
        <f>'QTR Raw'!AS49</f>
        <v>48.74</v>
      </c>
      <c r="BZ85" s="3">
        <f>'QTR Raw'!AT49</f>
        <v>48.74</v>
      </c>
      <c r="CA85" s="3">
        <f>'QTR Raw'!AU49</f>
        <v>48.74</v>
      </c>
      <c r="CB85" s="3">
        <f>'QTR Raw'!AV49</f>
        <v>48.69</v>
      </c>
      <c r="CC85" s="3">
        <f>'QTR Raw'!AW49</f>
        <v>48.2</v>
      </c>
      <c r="CD85" s="3">
        <f>'QTR Raw'!AX49</f>
        <v>48.03</v>
      </c>
      <c r="CE85" s="3">
        <f>'QTR Raw'!AY49</f>
        <v>48.09</v>
      </c>
      <c r="CF85" s="3">
        <f>'QTR Raw'!AZ49</f>
        <v>47.99</v>
      </c>
      <c r="CG85" s="3">
        <f>'QTR Raw'!BA49</f>
        <v>47.99</v>
      </c>
      <c r="CH85" s="3">
        <f>'QTR Raw'!BB49</f>
        <v>47.29</v>
      </c>
      <c r="CI85" s="3">
        <f>'QTR Raw'!BC49</f>
        <v>42.72</v>
      </c>
      <c r="CJ85" s="3">
        <f>'QTR Raw'!BD49</f>
        <v>42.72</v>
      </c>
      <c r="CK85" s="3">
        <f>'QTR Raw'!BE49</f>
        <v>43.11</v>
      </c>
      <c r="CL85" s="3">
        <f>'QTR Raw'!BF49</f>
        <v>43.11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  <c r="DF85" s="3">
        <v>43.11</v>
      </c>
    </row>
    <row r="86" spans="1:110" s="3" customFormat="1" x14ac:dyDescent="0.2">
      <c r="A86" s="3" t="s">
        <v>35</v>
      </c>
      <c r="B86" s="3">
        <f>'Annual Raw'!C113</f>
        <v>0</v>
      </c>
      <c r="C86" s="3">
        <f>'Annual Raw'!D113</f>
        <v>0</v>
      </c>
      <c r="D86" s="3">
        <f>'Annual Raw'!E113</f>
        <v>0</v>
      </c>
      <c r="E86" s="3">
        <f>'Annual Raw'!F113</f>
        <v>0</v>
      </c>
      <c r="F86" s="3">
        <f>'Annual Raw'!G113</f>
        <v>0</v>
      </c>
      <c r="G86" s="3">
        <f>'Annual Raw'!H113</f>
        <v>0</v>
      </c>
      <c r="H86" s="3">
        <f>'Annual Raw'!I113</f>
        <v>0</v>
      </c>
      <c r="I86" s="3">
        <f>'Annual Raw'!J113</f>
        <v>0</v>
      </c>
      <c r="J86" s="3">
        <f>'Annual Raw'!K113</f>
        <v>0</v>
      </c>
      <c r="K86" s="3">
        <f>'Annual Raw'!L113</f>
        <v>0</v>
      </c>
      <c r="L86" s="3">
        <f>'Annual Raw'!M113</f>
        <v>0</v>
      </c>
      <c r="M86" s="3">
        <f>'Annual Raw'!N113</f>
        <v>0</v>
      </c>
      <c r="N86" s="3">
        <f>'Annual Raw'!O113</f>
        <v>0</v>
      </c>
      <c r="O86" s="3">
        <f>'Annual Raw'!P113</f>
        <v>0</v>
      </c>
      <c r="P86" s="3">
        <f>'Annual Raw'!Q113</f>
        <v>0</v>
      </c>
      <c r="Q86" s="3">
        <f>'Annual Raw'!R113</f>
        <v>0</v>
      </c>
      <c r="R86" s="3">
        <f>'Annual Raw'!S113</f>
        <v>0</v>
      </c>
      <c r="S86" s="3">
        <f>'Annual Raw'!T113</f>
        <v>0</v>
      </c>
      <c r="T86" s="3">
        <f>'Annual Raw'!U113</f>
        <v>0</v>
      </c>
      <c r="U86" s="3">
        <f>'Annual Raw'!V113</f>
        <v>0</v>
      </c>
      <c r="V86" s="3">
        <f>'Annual Raw'!W113</f>
        <v>0</v>
      </c>
      <c r="W86" s="3">
        <f>'Annual Raw'!X113</f>
        <v>0</v>
      </c>
      <c r="X86" s="3">
        <f>'Annual Raw'!Y113</f>
        <v>0</v>
      </c>
      <c r="Y86" s="3">
        <f>'Annual Raw'!Z113</f>
        <v>0.01</v>
      </c>
      <c r="Z86" s="3">
        <f>'Annual Raw'!AA113</f>
        <v>4.32</v>
      </c>
      <c r="AA86" s="3">
        <f>'Annual Raw'!AB113</f>
        <v>11.42</v>
      </c>
      <c r="AB86" s="37"/>
      <c r="AC86" s="37"/>
      <c r="AD86" s="37"/>
      <c r="AE86" s="37"/>
      <c r="AI86" s="3">
        <f>'QTR Raw'!C50</f>
        <v>0</v>
      </c>
      <c r="AJ86" s="3">
        <f>'QTR Raw'!D50</f>
        <v>0</v>
      </c>
      <c r="AK86" s="3">
        <f>'QTR Raw'!E50</f>
        <v>0</v>
      </c>
      <c r="AL86" s="3">
        <f>'QTR Raw'!F50</f>
        <v>0</v>
      </c>
      <c r="AM86" s="3">
        <f>'QTR Raw'!G50</f>
        <v>0</v>
      </c>
      <c r="AN86" s="3">
        <f>'QTR Raw'!H50</f>
        <v>0</v>
      </c>
      <c r="AO86" s="3">
        <f>'QTR Raw'!I50</f>
        <v>0</v>
      </c>
      <c r="AP86" s="3">
        <f>'QTR Raw'!J50</f>
        <v>0</v>
      </c>
      <c r="AQ86" s="3">
        <f>'QTR Raw'!K50</f>
        <v>0</v>
      </c>
      <c r="AR86" s="3">
        <f>'QTR Raw'!L50</f>
        <v>0</v>
      </c>
      <c r="AS86" s="3">
        <f>'QTR Raw'!M50</f>
        <v>0</v>
      </c>
      <c r="AT86" s="3">
        <f>'QTR Raw'!N50</f>
        <v>0</v>
      </c>
      <c r="AU86" s="3">
        <f>'QTR Raw'!O50</f>
        <v>0</v>
      </c>
      <c r="AV86" s="3">
        <f>'QTR Raw'!P50</f>
        <v>0</v>
      </c>
      <c r="AW86" s="3">
        <f>'QTR Raw'!Q50</f>
        <v>0</v>
      </c>
      <c r="AX86" s="3">
        <f>'QTR Raw'!R50</f>
        <v>0</v>
      </c>
      <c r="AY86" s="3">
        <f>'QTR Raw'!S50</f>
        <v>0</v>
      </c>
      <c r="AZ86" s="3">
        <f>'QTR Raw'!T50</f>
        <v>0</v>
      </c>
      <c r="BA86" s="3">
        <f>'QTR Raw'!U50</f>
        <v>0</v>
      </c>
      <c r="BB86" s="3">
        <f>'QTR Raw'!V50</f>
        <v>0</v>
      </c>
      <c r="BC86" s="3">
        <f>'QTR Raw'!W50</f>
        <v>0</v>
      </c>
      <c r="BD86" s="3">
        <f>'QTR Raw'!X50</f>
        <v>0</v>
      </c>
      <c r="BE86" s="3">
        <f>'QTR Raw'!Y50</f>
        <v>0</v>
      </c>
      <c r="BF86" s="3">
        <f>'QTR Raw'!Z50</f>
        <v>0</v>
      </c>
      <c r="BG86" s="3">
        <f>'QTR Raw'!AA50</f>
        <v>0</v>
      </c>
      <c r="BH86" s="3">
        <f>'QTR Raw'!AB50</f>
        <v>0</v>
      </c>
      <c r="BI86" s="3">
        <f>'QTR Raw'!AC50</f>
        <v>0</v>
      </c>
      <c r="BJ86" s="3">
        <f>'QTR Raw'!AD50</f>
        <v>0</v>
      </c>
      <c r="BK86" s="3">
        <f>'QTR Raw'!AE50</f>
        <v>0</v>
      </c>
      <c r="BL86" s="3">
        <f>'QTR Raw'!AF50</f>
        <v>0</v>
      </c>
      <c r="BM86" s="3">
        <f>'QTR Raw'!AG50</f>
        <v>0</v>
      </c>
      <c r="BN86" s="3">
        <f>'QTR Raw'!AH50</f>
        <v>0</v>
      </c>
      <c r="BO86" s="3">
        <f>'QTR Raw'!AI50</f>
        <v>0</v>
      </c>
      <c r="BP86" s="3">
        <f>'QTR Raw'!AJ50</f>
        <v>0</v>
      </c>
      <c r="BQ86" s="3">
        <f>'QTR Raw'!AK50</f>
        <v>0</v>
      </c>
      <c r="BR86" s="3">
        <f>'QTR Raw'!AL50</f>
        <v>0</v>
      </c>
      <c r="BS86" s="3">
        <f>'QTR Raw'!AM50</f>
        <v>0</v>
      </c>
      <c r="BT86" s="3">
        <f>'QTR Raw'!AN50</f>
        <v>0</v>
      </c>
      <c r="BU86" s="3">
        <f>'QTR Raw'!AO50</f>
        <v>0</v>
      </c>
      <c r="BV86" s="3">
        <f>'QTR Raw'!AP50</f>
        <v>0</v>
      </c>
      <c r="BW86" s="3">
        <f>'QTR Raw'!AQ50</f>
        <v>0</v>
      </c>
      <c r="BX86" s="3">
        <f>'QTR Raw'!AR50</f>
        <v>0</v>
      </c>
      <c r="BY86" s="3">
        <f>'QTR Raw'!AS50</f>
        <v>0</v>
      </c>
      <c r="BZ86" s="3">
        <f>'QTR Raw'!AT50</f>
        <v>0</v>
      </c>
      <c r="CA86" s="3">
        <f>'QTR Raw'!AU50</f>
        <v>0</v>
      </c>
      <c r="CB86" s="3">
        <f>'QTR Raw'!AV50</f>
        <v>0</v>
      </c>
      <c r="CC86" s="3">
        <f>'QTR Raw'!AW50</f>
        <v>0.01</v>
      </c>
      <c r="CD86" s="3">
        <f>'QTR Raw'!AX50</f>
        <v>0.01</v>
      </c>
      <c r="CE86" s="3">
        <f>'QTR Raw'!AY50</f>
        <v>0.01</v>
      </c>
      <c r="CF86" s="3">
        <f>'QTR Raw'!AZ50</f>
        <v>0.01</v>
      </c>
      <c r="CG86" s="3">
        <f>'QTR Raw'!BA50</f>
        <v>4.26</v>
      </c>
      <c r="CH86" s="3">
        <f>'QTR Raw'!BB50</f>
        <v>4.32</v>
      </c>
      <c r="CI86" s="3">
        <f>'QTR Raw'!BC50</f>
        <v>0.01</v>
      </c>
      <c r="CJ86" s="3">
        <f>'QTR Raw'!BD50</f>
        <v>0.01</v>
      </c>
      <c r="CK86" s="3">
        <f>'QTR Raw'!BE50</f>
        <v>0.01</v>
      </c>
      <c r="CL86" s="3">
        <f>'QTR Raw'!BF50</f>
        <v>11.42</v>
      </c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11.42</v>
      </c>
    </row>
    <row r="87" spans="1:110" s="3" customFormat="1" x14ac:dyDescent="0.2"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36</v>
      </c>
      <c r="AB88" s="37"/>
      <c r="AC88" s="37"/>
      <c r="AD88" s="37"/>
      <c r="AE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13" customFormat="1" x14ac:dyDescent="0.2">
      <c r="A89" s="13" t="s">
        <v>457</v>
      </c>
      <c r="B89" s="13">
        <f>'Annual Raw'!C106</f>
        <v>0</v>
      </c>
      <c r="C89" s="13">
        <f>'Annual Raw'!D106</f>
        <v>0</v>
      </c>
      <c r="D89" s="13">
        <f>'Annual Raw'!E106</f>
        <v>0</v>
      </c>
      <c r="E89" s="13">
        <f>'Annual Raw'!F106</f>
        <v>0</v>
      </c>
      <c r="F89" s="13">
        <f>'Annual Raw'!G106</f>
        <v>0</v>
      </c>
      <c r="G89" s="13">
        <f>'Annual Raw'!H106</f>
        <v>0</v>
      </c>
      <c r="H89" s="13">
        <f>'Annual Raw'!I106</f>
        <v>0</v>
      </c>
      <c r="I89" s="13">
        <f>'Annual Raw'!J106</f>
        <v>0</v>
      </c>
      <c r="J89" s="13">
        <f>'Annual Raw'!K106</f>
        <v>0</v>
      </c>
      <c r="K89" s="13">
        <f>'Annual Raw'!L106</f>
        <v>0</v>
      </c>
      <c r="L89" s="13">
        <f>'Annual Raw'!M106</f>
        <v>0</v>
      </c>
      <c r="M89" s="13">
        <f>'Annual Raw'!N106</f>
        <v>0</v>
      </c>
      <c r="N89" s="13">
        <f>'Annual Raw'!O106</f>
        <v>0</v>
      </c>
      <c r="O89" s="13">
        <f>'Annual Raw'!P106</f>
        <v>0</v>
      </c>
      <c r="P89" s="13">
        <f>'Annual Raw'!Q106</f>
        <v>0</v>
      </c>
      <c r="Q89" s="13">
        <f>'Annual Raw'!R106</f>
        <v>0</v>
      </c>
      <c r="R89" s="13">
        <f>'Annual Raw'!S106</f>
        <v>0</v>
      </c>
      <c r="S89" s="13">
        <f>'Annual Raw'!T106</f>
        <v>0</v>
      </c>
      <c r="T89" s="13">
        <f>'Annual Raw'!U106</f>
        <v>0</v>
      </c>
      <c r="U89" s="13">
        <f>'Annual Raw'!V106</f>
        <v>0</v>
      </c>
      <c r="V89" s="13">
        <f>'Annual Raw'!W106</f>
        <v>0</v>
      </c>
      <c r="W89" s="13">
        <f>'Annual Raw'!X106</f>
        <v>151.48750000000001</v>
      </c>
      <c r="X89" s="13">
        <f>'Annual Raw'!Y106</f>
        <v>201.85</v>
      </c>
      <c r="Y89" s="13">
        <f>'Annual Raw'!Z106</f>
        <v>922.86249999999995</v>
      </c>
      <c r="Z89" s="13">
        <f>'Annual Raw'!AA106</f>
        <v>956.375</v>
      </c>
      <c r="AA89" s="13">
        <f>'Annual Raw'!AB106</f>
        <v>1517.925</v>
      </c>
      <c r="AB89" s="37">
        <f>+CP89</f>
        <v>3600</v>
      </c>
      <c r="AC89" s="37">
        <f>+CT89</f>
        <v>3600</v>
      </c>
      <c r="AD89" s="37">
        <f>+CX89</f>
        <v>3600</v>
      </c>
      <c r="AE89" s="37">
        <f>+DB89</f>
        <v>3600</v>
      </c>
      <c r="AJ89" s="13">
        <f>'QTR Share Price'!HP21</f>
        <v>0</v>
      </c>
      <c r="AK89" s="13">
        <f>'QTR Share Price'!HQ21</f>
        <v>0</v>
      </c>
      <c r="AL89" s="13">
        <f>'QTR Share Price'!HR21</f>
        <v>0</v>
      </c>
      <c r="AM89" s="13">
        <f>'QTR Share Price'!HS21</f>
        <v>0</v>
      </c>
      <c r="AN89" s="13">
        <f>'QTR Share Price'!HT21</f>
        <v>0</v>
      </c>
      <c r="AO89" s="13">
        <f>'QTR Share Price'!HU21</f>
        <v>0</v>
      </c>
      <c r="AP89" s="13">
        <f>'QTR Share Price'!HV21</f>
        <v>0</v>
      </c>
      <c r="AQ89" s="13">
        <f>'QTR Share Price'!HW21</f>
        <v>0</v>
      </c>
      <c r="AR89" s="13">
        <f>'QTR Share Price'!HX21</f>
        <v>0</v>
      </c>
      <c r="AS89" s="13">
        <f>'QTR Share Price'!HY21</f>
        <v>0</v>
      </c>
      <c r="AT89" s="13">
        <f>'QTR Share Price'!HZ21</f>
        <v>0</v>
      </c>
      <c r="AU89" s="13">
        <f>'QTR Share Price'!IA21</f>
        <v>0</v>
      </c>
      <c r="AV89" s="13">
        <f>'QTR Share Price'!IB21</f>
        <v>0</v>
      </c>
      <c r="AW89" s="13">
        <f>'QTR Share Price'!IC21</f>
        <v>0</v>
      </c>
      <c r="AX89" s="13">
        <f>'QTR Share Price'!ID21</f>
        <v>0</v>
      </c>
      <c r="AY89" s="13">
        <f>'QTR Share Price'!IE21</f>
        <v>0</v>
      </c>
      <c r="AZ89" s="13">
        <f>'QTR Share Price'!IF21</f>
        <v>0</v>
      </c>
      <c r="BA89" s="13">
        <f>'QTR Share Price'!IG21</f>
        <v>0</v>
      </c>
      <c r="BB89" s="13">
        <f>'QTR Share Price'!IH21</f>
        <v>0</v>
      </c>
      <c r="BC89" s="13">
        <f>'QTR Share Price'!II21</f>
        <v>0</v>
      </c>
      <c r="BD89" s="13">
        <f>'QTR Share Price'!IJ21</f>
        <v>0</v>
      </c>
      <c r="BE89" s="13">
        <f>'QTR Share Price'!IK21</f>
        <v>0</v>
      </c>
      <c r="BF89" s="13">
        <f>'QTR Share Price'!IL21</f>
        <v>0</v>
      </c>
      <c r="BG89" s="13">
        <f>'QTR Share Price'!IM21</f>
        <v>0</v>
      </c>
      <c r="BH89" s="13">
        <f>'QTR Share Price'!IN21</f>
        <v>0</v>
      </c>
      <c r="BI89" s="13">
        <f>'QTR Share Price'!IO21</f>
        <v>0</v>
      </c>
      <c r="BJ89" s="13">
        <f>'QTR Share Price'!IP21</f>
        <v>0</v>
      </c>
      <c r="BK89" s="13">
        <f>'QTR Share Price'!IQ21</f>
        <v>0</v>
      </c>
      <c r="BL89" s="13">
        <f>'QTR Share Price'!IR21</f>
        <v>0</v>
      </c>
      <c r="BM89" s="13">
        <f>'QTR Share Price'!IS21</f>
        <v>0</v>
      </c>
      <c r="BN89" s="13">
        <f>'QTR Share Price'!IT21</f>
        <v>0</v>
      </c>
      <c r="BO89" s="13">
        <f>'QTR Share Price'!IU21</f>
        <v>0</v>
      </c>
      <c r="BP89" s="13">
        <f>'QTR Share Price'!IV21</f>
        <v>0</v>
      </c>
      <c r="BQ89" s="13">
        <f>'QTR Share Price'!IW21</f>
        <v>0</v>
      </c>
      <c r="BR89" s="13">
        <f>'QTR Share Price'!IX21</f>
        <v>0</v>
      </c>
      <c r="BS89" s="13">
        <f>'QTR Share Price'!IY21</f>
        <v>0</v>
      </c>
      <c r="BT89" s="13">
        <f>'QTR Share Price'!IZ21</f>
        <v>0</v>
      </c>
      <c r="BU89" s="13">
        <f>'QTR Share Price'!JA21</f>
        <v>147.19999999999999</v>
      </c>
      <c r="BV89" s="13">
        <f>'QTR Share Price'!JB21</f>
        <v>151.48750000000001</v>
      </c>
      <c r="BW89" s="13">
        <f>'QTR Share Price'!JC21</f>
        <v>164.1875</v>
      </c>
      <c r="BX89" s="13">
        <f>'QTR Share Price'!JD21</f>
        <v>165.01249999999999</v>
      </c>
      <c r="BY89" s="13">
        <f>'QTR Share Price'!JE21</f>
        <v>175.36250000000001</v>
      </c>
      <c r="BZ89" s="13">
        <f>'QTR Share Price'!JF21</f>
        <v>201.85</v>
      </c>
      <c r="CA89" s="13">
        <f>'QTR Share Price'!JG21</f>
        <v>217.03749999999999</v>
      </c>
      <c r="CB89" s="13">
        <f>'QTR Share Price'!JH21</f>
        <v>420.16250000000002</v>
      </c>
      <c r="CC89" s="13">
        <f>'QTR Share Price'!JI21</f>
        <v>647.52499999999998</v>
      </c>
      <c r="CD89" s="13">
        <f>'QTR Share Price'!JJ21</f>
        <v>922.86249999999995</v>
      </c>
      <c r="CE89" s="13">
        <f>'QTR Share Price'!JK21</f>
        <v>979.48749999999995</v>
      </c>
      <c r="CF89" s="13">
        <f>'QTR Share Price'!JL21</f>
        <v>979.16250000000002</v>
      </c>
      <c r="CG89" s="13">
        <f>'QTR Share Price'!JM21</f>
        <v>985.83749999999998</v>
      </c>
      <c r="CH89" s="13">
        <f>'QTR Share Price'!JN21</f>
        <v>956.375</v>
      </c>
      <c r="CI89" s="13">
        <f>'QTR Share Price'!JO21</f>
        <v>1080.55</v>
      </c>
      <c r="CJ89" s="13">
        <f>'QTR Share Price'!JP21</f>
        <v>1412.4</v>
      </c>
      <c r="CK89" s="13">
        <f>'QTR Share Price'!JQ21</f>
        <v>1556.35</v>
      </c>
      <c r="CL89" s="13">
        <f>'QTR Share Price'!JR21</f>
        <v>1517.925</v>
      </c>
      <c r="CM89" s="37">
        <v>3600</v>
      </c>
      <c r="CN89" s="37">
        <f t="shared" ref="CN89" si="855">+CM89</f>
        <v>3600</v>
      </c>
      <c r="CO89" s="37">
        <f t="shared" ref="CO89" si="856">+CN89</f>
        <v>3600</v>
      </c>
      <c r="CP89" s="37">
        <f t="shared" ref="CP89" si="857">+CO89</f>
        <v>3600</v>
      </c>
      <c r="CQ89" s="37">
        <f t="shared" ref="CQ89" si="858">+CP89</f>
        <v>3600</v>
      </c>
      <c r="CR89" s="37">
        <f t="shared" ref="CR89" si="859">+CQ89</f>
        <v>3600</v>
      </c>
      <c r="CS89" s="37">
        <f t="shared" ref="CS89" si="860">+CR89</f>
        <v>3600</v>
      </c>
      <c r="CT89" s="37">
        <f t="shared" ref="CT89" si="861">+CS89</f>
        <v>3600</v>
      </c>
      <c r="CU89" s="37">
        <f t="shared" ref="CU89" si="862">+CT89</f>
        <v>3600</v>
      </c>
      <c r="CV89" s="37">
        <f t="shared" ref="CV89" si="863">+CU89</f>
        <v>3600</v>
      </c>
      <c r="CW89" s="37">
        <f t="shared" ref="CW89" si="864">+CV89</f>
        <v>3600</v>
      </c>
      <c r="CX89" s="37">
        <f t="shared" ref="CX89" si="865">+CW89</f>
        <v>3600</v>
      </c>
      <c r="CY89" s="37">
        <f t="shared" ref="CY89" si="866">+CX89</f>
        <v>3600</v>
      </c>
      <c r="CZ89" s="37">
        <f t="shared" ref="CZ89" si="867">+CY89</f>
        <v>3600</v>
      </c>
      <c r="DA89" s="37">
        <f t="shared" ref="DA89" si="868">+CZ89</f>
        <v>3600</v>
      </c>
      <c r="DB89" s="37">
        <f t="shared" ref="DB89" si="869">+DA89</f>
        <v>3600</v>
      </c>
      <c r="DE89" s="134"/>
      <c r="DF89" s="13">
        <v>1517.925</v>
      </c>
    </row>
    <row r="90" spans="1:110" s="13" customFormat="1" x14ac:dyDescent="0.2">
      <c r="A90" s="13" t="s">
        <v>458</v>
      </c>
      <c r="B90" s="13">
        <f>'Annual Raw'!C107</f>
        <v>0</v>
      </c>
      <c r="C90" s="13">
        <f>'Annual Raw'!D107</f>
        <v>0</v>
      </c>
      <c r="D90" s="13">
        <f>'Annual Raw'!E107</f>
        <v>0</v>
      </c>
      <c r="E90" s="13">
        <f>'Annual Raw'!F107</f>
        <v>0</v>
      </c>
      <c r="F90" s="13">
        <f>'Annual Raw'!G107</f>
        <v>0</v>
      </c>
      <c r="G90" s="13">
        <f>'Annual Raw'!H107</f>
        <v>0</v>
      </c>
      <c r="H90" s="13">
        <f>'Annual Raw'!I107</f>
        <v>0</v>
      </c>
      <c r="I90" s="13">
        <f>'Annual Raw'!J107</f>
        <v>0</v>
      </c>
      <c r="J90" s="13">
        <f>'Annual Raw'!K107</f>
        <v>0</v>
      </c>
      <c r="K90" s="13">
        <f>'Annual Raw'!L107</f>
        <v>0</v>
      </c>
      <c r="L90" s="13">
        <f>'Annual Raw'!M107</f>
        <v>0</v>
      </c>
      <c r="M90" s="13">
        <f>'Annual Raw'!N107</f>
        <v>0</v>
      </c>
      <c r="N90" s="13">
        <f>'Annual Raw'!O107</f>
        <v>0</v>
      </c>
      <c r="O90" s="13">
        <f>'Annual Raw'!P107</f>
        <v>0</v>
      </c>
      <c r="P90" s="13">
        <f>'Annual Raw'!Q107</f>
        <v>0</v>
      </c>
      <c r="Q90" s="13">
        <f>'Annual Raw'!R107</f>
        <v>0</v>
      </c>
      <c r="R90" s="13">
        <f>'Annual Raw'!S107</f>
        <v>0</v>
      </c>
      <c r="S90" s="13">
        <f>'Annual Raw'!T107</f>
        <v>0</v>
      </c>
      <c r="T90" s="13">
        <f>'Annual Raw'!U107</f>
        <v>0</v>
      </c>
      <c r="U90" s="13">
        <f>'Annual Raw'!V107</f>
        <v>0</v>
      </c>
      <c r="V90" s="13">
        <f>'Annual Raw'!W107</f>
        <v>0</v>
      </c>
      <c r="W90" s="13">
        <f>'Annual Raw'!X107</f>
        <v>163.4</v>
      </c>
      <c r="X90" s="13">
        <f>'Annual Raw'!Y107</f>
        <v>215.3125</v>
      </c>
      <c r="Y90" s="13">
        <f>'Annual Raw'!Z107</f>
        <v>1049.95</v>
      </c>
      <c r="Z90" s="13">
        <f>'Annual Raw'!AA107</f>
        <v>1160.1375</v>
      </c>
      <c r="AA90" s="13">
        <f>'Annual Raw'!AB107</f>
        <v>1661.925</v>
      </c>
      <c r="AB90" s="37">
        <f>+MAX(CM90:CP90)</f>
        <v>4344.9732878608038</v>
      </c>
      <c r="AC90" s="37">
        <f>+MAX(CQ90:CT90)</f>
        <v>6387.2523660661172</v>
      </c>
      <c r="AD90" s="37">
        <f>+MAX(CU90:CX90)</f>
        <v>9193.9015482566465</v>
      </c>
      <c r="AE90" s="37">
        <f>+MAX(CY90:DB90)</f>
        <v>13009.882947770246</v>
      </c>
      <c r="AJ90" s="13">
        <f>'QTR Share Price'!HP19</f>
        <v>0</v>
      </c>
      <c r="AK90" s="13">
        <f>'QTR Share Price'!HQ19</f>
        <v>0</v>
      </c>
      <c r="AL90" s="13">
        <f>'QTR Share Price'!HR19</f>
        <v>0</v>
      </c>
      <c r="AM90" s="13">
        <f>'QTR Share Price'!HS19</f>
        <v>0</v>
      </c>
      <c r="AN90" s="13">
        <f>'QTR Share Price'!HT19</f>
        <v>0</v>
      </c>
      <c r="AO90" s="13">
        <f>'QTR Share Price'!HU19</f>
        <v>0</v>
      </c>
      <c r="AP90" s="13">
        <f>'QTR Share Price'!HV19</f>
        <v>0</v>
      </c>
      <c r="AQ90" s="13">
        <f>'QTR Share Price'!HW19</f>
        <v>0</v>
      </c>
      <c r="AR90" s="13">
        <f>'QTR Share Price'!HX19</f>
        <v>0</v>
      </c>
      <c r="AS90" s="13">
        <f>'QTR Share Price'!HY19</f>
        <v>0</v>
      </c>
      <c r="AT90" s="13">
        <f>'QTR Share Price'!HZ19</f>
        <v>0</v>
      </c>
      <c r="AU90" s="13">
        <f>'QTR Share Price'!IA19</f>
        <v>0</v>
      </c>
      <c r="AV90" s="13">
        <f>'QTR Share Price'!IB19</f>
        <v>0</v>
      </c>
      <c r="AW90" s="13">
        <f>'QTR Share Price'!IC19</f>
        <v>0</v>
      </c>
      <c r="AX90" s="13">
        <f>'QTR Share Price'!ID19</f>
        <v>0</v>
      </c>
      <c r="AY90" s="13">
        <f>'QTR Share Price'!IE19</f>
        <v>0</v>
      </c>
      <c r="AZ90" s="13">
        <f>'QTR Share Price'!IF19</f>
        <v>0</v>
      </c>
      <c r="BA90" s="13">
        <f>'QTR Share Price'!IG19</f>
        <v>0</v>
      </c>
      <c r="BB90" s="13">
        <f>'QTR Share Price'!IH19</f>
        <v>0</v>
      </c>
      <c r="BC90" s="13">
        <f>'QTR Share Price'!II19</f>
        <v>0</v>
      </c>
      <c r="BD90" s="13">
        <f>'QTR Share Price'!IJ19</f>
        <v>0</v>
      </c>
      <c r="BE90" s="13">
        <f>'QTR Share Price'!IK19</f>
        <v>0</v>
      </c>
      <c r="BF90" s="13">
        <f>'QTR Share Price'!IL19</f>
        <v>0</v>
      </c>
      <c r="BG90" s="13">
        <f>'QTR Share Price'!IM19</f>
        <v>0</v>
      </c>
      <c r="BH90" s="13">
        <f>'QTR Share Price'!IN19</f>
        <v>0</v>
      </c>
      <c r="BI90" s="13">
        <f>'QTR Share Price'!IO19</f>
        <v>0</v>
      </c>
      <c r="BJ90" s="13">
        <f>'QTR Share Price'!IP19</f>
        <v>0</v>
      </c>
      <c r="BK90" s="13">
        <f>'QTR Share Price'!IQ19</f>
        <v>0</v>
      </c>
      <c r="BL90" s="13">
        <f>'QTR Share Price'!IR19</f>
        <v>0</v>
      </c>
      <c r="BM90" s="13">
        <f>'QTR Share Price'!IS19</f>
        <v>0</v>
      </c>
      <c r="BN90" s="13">
        <f>'QTR Share Price'!IT19</f>
        <v>0</v>
      </c>
      <c r="BO90" s="13">
        <f>'QTR Share Price'!IU19</f>
        <v>0</v>
      </c>
      <c r="BP90" s="13">
        <f>'QTR Share Price'!IV19</f>
        <v>0</v>
      </c>
      <c r="BQ90" s="13">
        <f>'QTR Share Price'!IW19</f>
        <v>0</v>
      </c>
      <c r="BR90" s="13">
        <f>'QTR Share Price'!IX19</f>
        <v>0</v>
      </c>
      <c r="BS90" s="13">
        <f>'QTR Share Price'!IY19</f>
        <v>0</v>
      </c>
      <c r="BT90" s="13">
        <f>'QTR Share Price'!IZ19</f>
        <v>0</v>
      </c>
      <c r="BU90" s="13">
        <f>'QTR Share Price'!JA19</f>
        <v>153.73750000000001</v>
      </c>
      <c r="BV90" s="13">
        <f>'QTR Share Price'!JB19</f>
        <v>163.4</v>
      </c>
      <c r="BW90" s="13">
        <f>'QTR Share Price'!JC19</f>
        <v>178</v>
      </c>
      <c r="BX90" s="13">
        <f>'QTR Share Price'!JD19</f>
        <v>173.32499999999999</v>
      </c>
      <c r="BY90" s="13">
        <f>'QTR Share Price'!JE19</f>
        <v>184.26249999999999</v>
      </c>
      <c r="BZ90" s="13">
        <f>'QTR Share Price'!JF19</f>
        <v>215.3125</v>
      </c>
      <c r="CA90" s="13">
        <f>'QTR Share Price'!JG19</f>
        <v>224.98750000000001</v>
      </c>
      <c r="CB90" s="13">
        <f>'QTR Share Price'!JH19</f>
        <v>432.125</v>
      </c>
      <c r="CC90" s="13">
        <f>'QTR Share Price'!JI19</f>
        <v>679.1875</v>
      </c>
      <c r="CD90" s="13">
        <f>'QTR Share Price'!JJ19</f>
        <v>1049.95</v>
      </c>
      <c r="CE90" s="13">
        <f>'QTR Share Price'!JK19</f>
        <v>1074.7249999999999</v>
      </c>
      <c r="CF90" s="13">
        <f>'QTR Share Price'!JL19</f>
        <v>1071.4625000000001</v>
      </c>
      <c r="CG90" s="13">
        <f>'QTR Share Price'!JM19</f>
        <v>1160.1375</v>
      </c>
      <c r="CH90" s="13">
        <f>'QTR Share Price'!JN19</f>
        <v>1062.7375</v>
      </c>
      <c r="CI90" s="13">
        <f>'QTR Share Price'!JO19</f>
        <v>1094.5999999999999</v>
      </c>
      <c r="CJ90" s="13">
        <f>'QTR Share Price'!JP19</f>
        <v>1547.5</v>
      </c>
      <c r="CK90" s="13">
        <f>'QTR Share Price'!JQ19</f>
        <v>1661.925</v>
      </c>
      <c r="CL90" s="13">
        <f>'QTR Share Price'!JR19</f>
        <v>1620.85</v>
      </c>
      <c r="CM90" s="37">
        <f t="shared" ref="CM90:DB90" si="870">+CM81*CM98</f>
        <v>3736.0942112454522</v>
      </c>
      <c r="CN90" s="37">
        <f t="shared" si="870"/>
        <v>3956.9580775164609</v>
      </c>
      <c r="CO90" s="37">
        <f t="shared" si="870"/>
        <v>4150.5447108781855</v>
      </c>
      <c r="CP90" s="37">
        <f t="shared" si="870"/>
        <v>4344.9732878608038</v>
      </c>
      <c r="CQ90" s="37">
        <f t="shared" si="870"/>
        <v>4784.5691649822957</v>
      </c>
      <c r="CR90" s="37">
        <f t="shared" si="870"/>
        <v>5275.8898880723746</v>
      </c>
      <c r="CS90" s="37">
        <f t="shared" si="870"/>
        <v>5800.4668087753698</v>
      </c>
      <c r="CT90" s="37">
        <f t="shared" si="870"/>
        <v>6387.2523660661172</v>
      </c>
      <c r="CU90" s="37">
        <f t="shared" si="870"/>
        <v>7016.1243234119347</v>
      </c>
      <c r="CV90" s="37">
        <f t="shared" si="870"/>
        <v>7713.7484974809577</v>
      </c>
      <c r="CW90" s="37">
        <f t="shared" si="870"/>
        <v>8433.9386759571244</v>
      </c>
      <c r="CX90" s="37">
        <f t="shared" si="870"/>
        <v>9193.9015482566465</v>
      </c>
      <c r="CY90" s="37">
        <f t="shared" si="870"/>
        <v>10059.600908985085</v>
      </c>
      <c r="CZ90" s="37">
        <f t="shared" si="870"/>
        <v>11010.544718251855</v>
      </c>
      <c r="DA90" s="37">
        <f t="shared" si="870"/>
        <v>11984.699393650943</v>
      </c>
      <c r="DB90" s="37">
        <f t="shared" si="870"/>
        <v>13009.882947770246</v>
      </c>
      <c r="DE90" s="134"/>
      <c r="DF90" s="13">
        <v>1661.925</v>
      </c>
    </row>
    <row r="91" spans="1:110" s="13" customFormat="1" x14ac:dyDescent="0.2">
      <c r="A91" s="13" t="s">
        <v>459</v>
      </c>
      <c r="B91" s="13">
        <f>'Annual Raw'!C108</f>
        <v>0</v>
      </c>
      <c r="C91" s="13">
        <f>'Annual Raw'!D108</f>
        <v>0</v>
      </c>
      <c r="D91" s="13">
        <f>'Annual Raw'!E108</f>
        <v>0</v>
      </c>
      <c r="E91" s="13">
        <f>'Annual Raw'!F108</f>
        <v>0</v>
      </c>
      <c r="F91" s="13">
        <f>'Annual Raw'!G108</f>
        <v>0</v>
      </c>
      <c r="G91" s="13">
        <f>'Annual Raw'!H108</f>
        <v>0</v>
      </c>
      <c r="H91" s="13">
        <f>'Annual Raw'!I108</f>
        <v>0</v>
      </c>
      <c r="I91" s="13">
        <f>'Annual Raw'!J108</f>
        <v>0</v>
      </c>
      <c r="J91" s="13">
        <f>'Annual Raw'!K108</f>
        <v>0</v>
      </c>
      <c r="K91" s="13">
        <f>'Annual Raw'!L108</f>
        <v>0</v>
      </c>
      <c r="L91" s="13">
        <f>'Annual Raw'!M108</f>
        <v>0</v>
      </c>
      <c r="M91" s="13">
        <f>'Annual Raw'!N108</f>
        <v>0</v>
      </c>
      <c r="N91" s="13">
        <f>'Annual Raw'!O108</f>
        <v>0</v>
      </c>
      <c r="O91" s="13">
        <f>'Annual Raw'!P108</f>
        <v>0</v>
      </c>
      <c r="P91" s="13">
        <f>'Annual Raw'!Q108</f>
        <v>0</v>
      </c>
      <c r="Q91" s="13">
        <f>'Annual Raw'!R108</f>
        <v>0</v>
      </c>
      <c r="R91" s="13">
        <f>'Annual Raw'!S108</f>
        <v>0</v>
      </c>
      <c r="S91" s="13">
        <f>'Annual Raw'!T108</f>
        <v>0</v>
      </c>
      <c r="T91" s="13">
        <f>'Annual Raw'!U108</f>
        <v>0</v>
      </c>
      <c r="U91" s="13">
        <f>'Annual Raw'!V108</f>
        <v>0</v>
      </c>
      <c r="V91" s="13">
        <f>'Annual Raw'!W108</f>
        <v>0</v>
      </c>
      <c r="W91" s="13">
        <f>'Annual Raw'!X108</f>
        <v>135.46250000000001</v>
      </c>
      <c r="X91" s="13">
        <f>'Annual Raw'!Y108</f>
        <v>151.25</v>
      </c>
      <c r="Y91" s="13">
        <f>'Annual Raw'!Z108</f>
        <v>201.125</v>
      </c>
      <c r="Z91" s="13">
        <f>'Annual Raw'!AA108</f>
        <v>793.02499999999998</v>
      </c>
      <c r="AA91" s="13">
        <f>'Annual Raw'!AB108</f>
        <v>812</v>
      </c>
      <c r="AB91" s="37">
        <f>+MIN(CM91:CP91)</f>
        <v>1414.6686476074931</v>
      </c>
      <c r="AC91" s="37">
        <f>+MIN(CQ91:CT91)</f>
        <v>1811.6727275337269</v>
      </c>
      <c r="AD91" s="37">
        <f>+MIN(CU91:CX91)</f>
        <v>2656.6490422463062</v>
      </c>
      <c r="AE91" s="37">
        <f>+MIN(CY91:DB91)</f>
        <v>3809.0586609273532</v>
      </c>
      <c r="AJ91" s="13">
        <f>+'QTR Share Price'!HP20</f>
        <v>0</v>
      </c>
      <c r="AK91" s="13">
        <f>+'QTR Share Price'!HQ20</f>
        <v>0</v>
      </c>
      <c r="AL91" s="13">
        <f>+'QTR Share Price'!HR20</f>
        <v>0</v>
      </c>
      <c r="AM91" s="13">
        <f>+'QTR Share Price'!HS20</f>
        <v>0</v>
      </c>
      <c r="AN91" s="13">
        <f>+'QTR Share Price'!HT20</f>
        <v>0</v>
      </c>
      <c r="AO91" s="13">
        <f>+'QTR Share Price'!HU20</f>
        <v>0</v>
      </c>
      <c r="AP91" s="13">
        <f>+'QTR Share Price'!HV20</f>
        <v>0</v>
      </c>
      <c r="AQ91" s="13">
        <f>+'QTR Share Price'!HW20</f>
        <v>0</v>
      </c>
      <c r="AR91" s="13">
        <f>+'QTR Share Price'!HX20</f>
        <v>0</v>
      </c>
      <c r="AS91" s="13">
        <f>+'QTR Share Price'!HY20</f>
        <v>0</v>
      </c>
      <c r="AT91" s="13">
        <f>+'QTR Share Price'!HZ20</f>
        <v>0</v>
      </c>
      <c r="AU91" s="13">
        <f>+'QTR Share Price'!IA20</f>
        <v>0</v>
      </c>
      <c r="AV91" s="13">
        <f>+'QTR Share Price'!IB20</f>
        <v>0</v>
      </c>
      <c r="AW91" s="13">
        <f>+'QTR Share Price'!IC20</f>
        <v>0</v>
      </c>
      <c r="AX91" s="13">
        <f>+'QTR Share Price'!ID20</f>
        <v>0</v>
      </c>
      <c r="AY91" s="13">
        <f>+'QTR Share Price'!IE20</f>
        <v>0</v>
      </c>
      <c r="AZ91" s="13">
        <f>+'QTR Share Price'!IF20</f>
        <v>0</v>
      </c>
      <c r="BA91" s="13">
        <f>+'QTR Share Price'!IG20</f>
        <v>0</v>
      </c>
      <c r="BB91" s="13">
        <f>+'QTR Share Price'!IH20</f>
        <v>0</v>
      </c>
      <c r="BC91" s="13">
        <f>+'QTR Share Price'!II20</f>
        <v>0</v>
      </c>
      <c r="BD91" s="13">
        <f>+'QTR Share Price'!IJ20</f>
        <v>0</v>
      </c>
      <c r="BE91" s="13">
        <f>+'QTR Share Price'!IK20</f>
        <v>0</v>
      </c>
      <c r="BF91" s="13">
        <f>+'QTR Share Price'!IL20</f>
        <v>0</v>
      </c>
      <c r="BG91" s="13">
        <f>+'QTR Share Price'!IM20</f>
        <v>0</v>
      </c>
      <c r="BH91" s="13">
        <f>+'QTR Share Price'!IN20</f>
        <v>0</v>
      </c>
      <c r="BI91" s="13">
        <f>+'QTR Share Price'!IO20</f>
        <v>0</v>
      </c>
      <c r="BJ91" s="13">
        <f>+'QTR Share Price'!IP20</f>
        <v>0</v>
      </c>
      <c r="BK91" s="13">
        <f>+'QTR Share Price'!IQ20</f>
        <v>0</v>
      </c>
      <c r="BL91" s="13">
        <f>+'QTR Share Price'!IR20</f>
        <v>0</v>
      </c>
      <c r="BM91" s="13">
        <f>+'QTR Share Price'!IS20</f>
        <v>0</v>
      </c>
      <c r="BN91" s="13">
        <f>+'QTR Share Price'!IT20</f>
        <v>0</v>
      </c>
      <c r="BO91" s="13">
        <f>+'QTR Share Price'!IU20</f>
        <v>0</v>
      </c>
      <c r="BP91" s="13">
        <f>+'QTR Share Price'!IV20</f>
        <v>0</v>
      </c>
      <c r="BQ91" s="13">
        <f>+'QTR Share Price'!IW20</f>
        <v>0</v>
      </c>
      <c r="BR91" s="13">
        <f>+'QTR Share Price'!IX20</f>
        <v>0</v>
      </c>
      <c r="BS91" s="13">
        <f>+'QTR Share Price'!IY20</f>
        <v>0</v>
      </c>
      <c r="BT91" s="13">
        <f>+'QTR Share Price'!IZ20</f>
        <v>0</v>
      </c>
      <c r="BU91" s="13">
        <f>+'QTR Share Price'!JA20</f>
        <v>0</v>
      </c>
      <c r="BV91" s="13">
        <f>+'QTR Share Price'!JB20</f>
        <v>135.46250000000001</v>
      </c>
      <c r="BW91" s="13">
        <f>+'QTR Share Price'!JC20</f>
        <v>151.25</v>
      </c>
      <c r="BX91" s="13">
        <f>+'QTR Share Price'!JD20</f>
        <v>156.75</v>
      </c>
      <c r="BY91" s="13">
        <f>+'QTR Share Price'!JE20</f>
        <v>163.5</v>
      </c>
      <c r="BZ91" s="13">
        <f>+'QTR Share Price'!JF20</f>
        <v>172.3</v>
      </c>
      <c r="CA91" s="13">
        <f>+'QTR Share Price'!JG20</f>
        <v>201.125</v>
      </c>
      <c r="CB91" s="13">
        <f>+'QTR Share Price'!JH20</f>
        <v>212.78749999999999</v>
      </c>
      <c r="CC91" s="13">
        <f>+'QTR Share Price'!JI20</f>
        <v>412.95</v>
      </c>
      <c r="CD91" s="13">
        <f>+'QTR Share Price'!JJ20</f>
        <v>628.75</v>
      </c>
      <c r="CE91" s="13">
        <f>+'QTR Share Price'!JK20</f>
        <v>857.5</v>
      </c>
      <c r="CF91" s="13">
        <f>+'QTR Share Price'!JL20</f>
        <v>866.7</v>
      </c>
      <c r="CG91" s="13">
        <f>+'QTR Share Price'!JM20</f>
        <v>940.83749999999998</v>
      </c>
      <c r="CH91" s="13">
        <f>+'QTR Share Price'!JN20</f>
        <v>793.02499999999998</v>
      </c>
      <c r="CI91" s="13">
        <f>+'QTR Share Price'!JO20</f>
        <v>812</v>
      </c>
      <c r="CJ91" s="13">
        <f>+'QTR Share Price'!JP20</f>
        <v>1017.025</v>
      </c>
      <c r="CK91" s="13">
        <f>+'QTR Share Price'!JQ20</f>
        <v>1387.5</v>
      </c>
      <c r="CL91" s="13">
        <f>+'QTR Share Price'!JR20</f>
        <v>1354</v>
      </c>
      <c r="CM91" s="37">
        <f t="shared" ref="CM91:DB91" si="871">+CM99*CM81</f>
        <v>1414.6686476074931</v>
      </c>
      <c r="CN91" s="37">
        <f t="shared" si="871"/>
        <v>1498.2985480694551</v>
      </c>
      <c r="CO91" s="37">
        <f t="shared" si="871"/>
        <v>1571.5999492997591</v>
      </c>
      <c r="CP91" s="37">
        <f t="shared" si="871"/>
        <v>1645.2201517101687</v>
      </c>
      <c r="CQ91" s="37">
        <f t="shared" si="871"/>
        <v>1811.6727275337269</v>
      </c>
      <c r="CR91" s="37">
        <f t="shared" si="871"/>
        <v>1997.7108688587757</v>
      </c>
      <c r="CS91" s="37">
        <f t="shared" si="871"/>
        <v>2196.341438918631</v>
      </c>
      <c r="CT91" s="37">
        <f t="shared" si="871"/>
        <v>2418.5272521857401</v>
      </c>
      <c r="CU91" s="37">
        <f t="shared" si="871"/>
        <v>2656.6490422463062</v>
      </c>
      <c r="CV91" s="37">
        <f t="shared" si="871"/>
        <v>2920.8037961328596</v>
      </c>
      <c r="CW91" s="37">
        <f t="shared" si="871"/>
        <v>3193.5031468982788</v>
      </c>
      <c r="CX91" s="37">
        <f t="shared" si="871"/>
        <v>3481.2623917138644</v>
      </c>
      <c r="CY91" s="37">
        <f t="shared" si="871"/>
        <v>3809.0586609273532</v>
      </c>
      <c r="CZ91" s="37">
        <f t="shared" si="871"/>
        <v>4169.1326624225358</v>
      </c>
      <c r="DA91" s="37">
        <f t="shared" si="871"/>
        <v>4537.9954370975738</v>
      </c>
      <c r="DB91" s="37">
        <f t="shared" si="871"/>
        <v>4926.180249913612</v>
      </c>
      <c r="DE91" s="134"/>
      <c r="DF91" s="13">
        <v>812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51" customFormat="1" x14ac:dyDescent="0.2">
      <c r="A93" s="51" t="s">
        <v>346</v>
      </c>
      <c r="AB93" s="48">
        <f t="shared" ref="AB93:AD93" si="872">+AB90/AB89-1</f>
        <v>0.20693702440577888</v>
      </c>
      <c r="AC93" s="48">
        <f t="shared" si="872"/>
        <v>0.7742367683516993</v>
      </c>
      <c r="AD93" s="48">
        <f t="shared" si="872"/>
        <v>1.5538615411824019</v>
      </c>
      <c r="AE93" s="48">
        <f t="shared" ref="AE93" si="873">+AE90/AE89-1</f>
        <v>2.613856374380624</v>
      </c>
      <c r="CM93" s="48">
        <f t="shared" ref="CM93:DB93" si="874">+CM90/CM89-1</f>
        <v>3.7803947568181284E-2</v>
      </c>
      <c r="CN93" s="48">
        <f t="shared" si="874"/>
        <v>9.9155021532350229E-2</v>
      </c>
      <c r="CO93" s="48">
        <f t="shared" si="874"/>
        <v>0.15292908635505142</v>
      </c>
      <c r="CP93" s="48">
        <f t="shared" si="874"/>
        <v>0.20693702440577888</v>
      </c>
      <c r="CQ93" s="48">
        <f t="shared" si="874"/>
        <v>0.32904699027285988</v>
      </c>
      <c r="CR93" s="48">
        <f t="shared" si="874"/>
        <v>0.46552496890899286</v>
      </c>
      <c r="CS93" s="48">
        <f t="shared" si="874"/>
        <v>0.61124078021538053</v>
      </c>
      <c r="CT93" s="48">
        <f t="shared" si="874"/>
        <v>0.7742367683516993</v>
      </c>
      <c r="CU93" s="48">
        <f t="shared" si="874"/>
        <v>0.94892342316998191</v>
      </c>
      <c r="CV93" s="48">
        <f t="shared" si="874"/>
        <v>1.1427079159669327</v>
      </c>
      <c r="CW93" s="48">
        <f t="shared" si="874"/>
        <v>1.3427607433214233</v>
      </c>
      <c r="CX93" s="48">
        <f t="shared" si="874"/>
        <v>1.5538615411824019</v>
      </c>
      <c r="CY93" s="48">
        <f t="shared" si="874"/>
        <v>1.7943335858291904</v>
      </c>
      <c r="CZ93" s="48">
        <f t="shared" si="874"/>
        <v>2.0584846439588484</v>
      </c>
      <c r="DA93" s="48">
        <f t="shared" si="874"/>
        <v>2.3290831649030395</v>
      </c>
      <c r="DB93" s="48">
        <f t="shared" si="874"/>
        <v>2.613856374380624</v>
      </c>
      <c r="DE93" s="129"/>
    </row>
    <row r="94" spans="1:110" s="51" customFormat="1" x14ac:dyDescent="0.2">
      <c r="A94" s="51" t="s">
        <v>347</v>
      </c>
      <c r="AB94" s="48">
        <f t="shared" ref="AB94:AD94" si="875">+AB91/AB89-1</f>
        <v>-0.60703648677569633</v>
      </c>
      <c r="AC94" s="48">
        <f t="shared" si="875"/>
        <v>-0.49675757568507584</v>
      </c>
      <c r="AD94" s="48">
        <f t="shared" si="875"/>
        <v>-0.26204193270935938</v>
      </c>
      <c r="AE94" s="48">
        <f t="shared" ref="AE94" si="876">+AE91/AE89-1</f>
        <v>5.807185025759809E-2</v>
      </c>
      <c r="CM94" s="48">
        <f t="shared" ref="CM94:DB94" si="877">+CM91/CM89-1</f>
        <v>-0.60703648677569633</v>
      </c>
      <c r="CN94" s="48">
        <f t="shared" si="877"/>
        <v>-0.58380595886959585</v>
      </c>
      <c r="CO94" s="48">
        <f t="shared" si="877"/>
        <v>-0.56344445852784464</v>
      </c>
      <c r="CP94" s="48">
        <f t="shared" si="877"/>
        <v>-0.54299440230273088</v>
      </c>
      <c r="CQ94" s="48">
        <f t="shared" si="877"/>
        <v>-0.49675757568507584</v>
      </c>
      <c r="CR94" s="48">
        <f t="shared" si="877"/>
        <v>-0.44508031420589567</v>
      </c>
      <c r="CS94" s="48">
        <f t="shared" si="877"/>
        <v>-0.38990515585593588</v>
      </c>
      <c r="CT94" s="48">
        <f t="shared" si="877"/>
        <v>-0.32818687439284999</v>
      </c>
      <c r="CU94" s="48">
        <f t="shared" si="877"/>
        <v>-0.26204193270935938</v>
      </c>
      <c r="CV94" s="48">
        <f t="shared" si="877"/>
        <v>-0.18866561218531674</v>
      </c>
      <c r="CW94" s="48">
        <f t="shared" si="877"/>
        <v>-0.1129157925282559</v>
      </c>
      <c r="CX94" s="48">
        <f t="shared" si="877"/>
        <v>-3.2982668968370987E-2</v>
      </c>
      <c r="CY94" s="48">
        <f t="shared" si="877"/>
        <v>5.807185025759809E-2</v>
      </c>
      <c r="CZ94" s="48">
        <f t="shared" si="877"/>
        <v>0.15809240622848209</v>
      </c>
      <c r="DA94" s="48">
        <f t="shared" si="877"/>
        <v>0.26055428808265946</v>
      </c>
      <c r="DB94" s="48">
        <f t="shared" si="877"/>
        <v>0.36838340275378112</v>
      </c>
      <c r="DE94" s="129"/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40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460</v>
      </c>
      <c r="B97" s="13" t="e">
        <f t="shared" ref="B97:D97" si="878">+B89/B81</f>
        <v>#DIV/0!</v>
      </c>
      <c r="C97" s="13" t="e">
        <f t="shared" si="878"/>
        <v>#DIV/0!</v>
      </c>
      <c r="D97" s="13" t="e">
        <f t="shared" si="878"/>
        <v>#DIV/0!</v>
      </c>
      <c r="E97" s="13" t="e">
        <f t="shared" ref="E97:AE97" ca="1" si="879">+E89/E81</f>
        <v>#DIV/0!</v>
      </c>
      <c r="F97" s="13" t="e">
        <f t="shared" ca="1" si="879"/>
        <v>#DIV/0!</v>
      </c>
      <c r="G97" s="13" t="e">
        <f t="shared" ca="1" si="879"/>
        <v>#DIV/0!</v>
      </c>
      <c r="H97" s="13" t="e">
        <f t="shared" ca="1" si="879"/>
        <v>#DIV/0!</v>
      </c>
      <c r="I97" s="13" t="e">
        <f t="shared" ca="1" si="879"/>
        <v>#DIV/0!</v>
      </c>
      <c r="J97" s="13">
        <f t="shared" ca="1" si="879"/>
        <v>0</v>
      </c>
      <c r="K97" s="13">
        <f t="shared" ca="1" si="879"/>
        <v>0</v>
      </c>
      <c r="L97" s="13">
        <f t="shared" ca="1" si="879"/>
        <v>0</v>
      </c>
      <c r="M97" s="13">
        <f t="shared" ca="1" si="879"/>
        <v>0</v>
      </c>
      <c r="N97" s="13">
        <f t="shared" ca="1" si="879"/>
        <v>0</v>
      </c>
      <c r="O97" s="13">
        <f t="shared" ca="1" si="879"/>
        <v>0</v>
      </c>
      <c r="P97" s="13">
        <f t="shared" ca="1" si="879"/>
        <v>0</v>
      </c>
      <c r="Q97" s="13">
        <f t="shared" ca="1" si="879"/>
        <v>0</v>
      </c>
      <c r="R97" s="13">
        <f t="shared" ca="1" si="879"/>
        <v>0</v>
      </c>
      <c r="S97" s="13">
        <f t="shared" ca="1" si="879"/>
        <v>0</v>
      </c>
      <c r="T97" s="13">
        <f t="shared" ca="1" si="879"/>
        <v>0</v>
      </c>
      <c r="U97" s="13">
        <f t="shared" ca="1" si="879"/>
        <v>0</v>
      </c>
      <c r="V97" s="13">
        <f t="shared" ca="1" si="879"/>
        <v>0</v>
      </c>
      <c r="W97" s="13">
        <f t="shared" ca="1" si="879"/>
        <v>19.885605715622933</v>
      </c>
      <c r="X97" s="13">
        <f t="shared" ca="1" si="879"/>
        <v>19.901365981340373</v>
      </c>
      <c r="Y97" s="13">
        <f t="shared" ca="1" si="879"/>
        <v>68.110900395778373</v>
      </c>
      <c r="Z97" s="13">
        <f t="shared" ref="Z97:AA97" ca="1" si="880">+Z89/Z81</f>
        <v>52.963010459757726</v>
      </c>
      <c r="AA97" s="13">
        <f t="shared" ref="AA97" ca="1" si="881">+AA89/AA81</f>
        <v>52.963010459757726</v>
      </c>
      <c r="AB97" s="37">
        <f t="shared" ca="1" si="879"/>
        <v>62.14077328262043</v>
      </c>
      <c r="AC97" s="37">
        <f t="shared" ca="1" si="879"/>
        <v>42.271697519647546</v>
      </c>
      <c r="AD97" s="37">
        <f t="shared" ca="1" si="879"/>
        <v>29.36729293682696</v>
      </c>
      <c r="AE97" s="37">
        <f t="shared" ca="1" si="879"/>
        <v>20.753453438739438</v>
      </c>
      <c r="AL97" s="13" t="e">
        <f t="shared" ref="AL97:BQ97" si="882">+AL89/AL81</f>
        <v>#DIV/0!</v>
      </c>
      <c r="AM97" s="13" t="e">
        <f t="shared" si="882"/>
        <v>#DIV/0!</v>
      </c>
      <c r="AN97" s="13" t="e">
        <f t="shared" si="882"/>
        <v>#DIV/0!</v>
      </c>
      <c r="AO97" s="13" t="e">
        <f t="shared" si="882"/>
        <v>#DIV/0!</v>
      </c>
      <c r="AP97" s="13" t="e">
        <f t="shared" si="882"/>
        <v>#DIV/0!</v>
      </c>
      <c r="AQ97" s="13" t="e">
        <f t="shared" si="882"/>
        <v>#DIV/0!</v>
      </c>
      <c r="AR97" s="13" t="e">
        <f t="shared" si="882"/>
        <v>#DIV/0!</v>
      </c>
      <c r="AS97" s="13" t="e">
        <f t="shared" si="882"/>
        <v>#DIV/0!</v>
      </c>
      <c r="AT97" s="13" t="e">
        <f t="shared" si="882"/>
        <v>#DIV/0!</v>
      </c>
      <c r="AU97" s="13" t="e">
        <f t="shared" si="882"/>
        <v>#DIV/0!</v>
      </c>
      <c r="AV97" s="13" t="e">
        <f t="shared" si="882"/>
        <v>#DIV/0!</v>
      </c>
      <c r="AW97" s="13" t="e">
        <f t="shared" si="882"/>
        <v>#DIV/0!</v>
      </c>
      <c r="AX97" s="13" t="e">
        <f t="shared" si="882"/>
        <v>#DIV/0!</v>
      </c>
      <c r="AY97" s="13" t="e">
        <f t="shared" si="882"/>
        <v>#DIV/0!</v>
      </c>
      <c r="AZ97" s="13" t="e">
        <f t="shared" si="882"/>
        <v>#DIV/0!</v>
      </c>
      <c r="BA97" s="13" t="e">
        <f t="shared" si="882"/>
        <v>#DIV/0!</v>
      </c>
      <c r="BB97" s="13" t="e">
        <f t="shared" si="882"/>
        <v>#DIV/0!</v>
      </c>
      <c r="BC97" s="13" t="e">
        <f t="shared" si="882"/>
        <v>#DIV/0!</v>
      </c>
      <c r="BD97" s="13" t="e">
        <f t="shared" si="882"/>
        <v>#DIV/0!</v>
      </c>
      <c r="BE97" s="13" t="e">
        <f t="shared" si="882"/>
        <v>#DIV/0!</v>
      </c>
      <c r="BF97" s="13" t="e">
        <f t="shared" si="882"/>
        <v>#DIV/0!</v>
      </c>
      <c r="BG97" s="13" t="e">
        <f t="shared" si="882"/>
        <v>#DIV/0!</v>
      </c>
      <c r="BH97" s="13" t="e">
        <f t="shared" si="882"/>
        <v>#DIV/0!</v>
      </c>
      <c r="BI97" s="13" t="e">
        <f t="shared" si="882"/>
        <v>#DIV/0!</v>
      </c>
      <c r="BJ97" s="13" t="e">
        <f t="shared" si="882"/>
        <v>#DIV/0!</v>
      </c>
      <c r="BK97" s="13" t="e">
        <f t="shared" si="882"/>
        <v>#DIV/0!</v>
      </c>
      <c r="BL97" s="13" t="e">
        <f t="shared" si="882"/>
        <v>#DIV/0!</v>
      </c>
      <c r="BM97" s="13" t="e">
        <f t="shared" si="882"/>
        <v>#DIV/0!</v>
      </c>
      <c r="BN97" s="13" t="e">
        <f t="shared" si="882"/>
        <v>#DIV/0!</v>
      </c>
      <c r="BO97" s="13" t="e">
        <f t="shared" si="882"/>
        <v>#DIV/0!</v>
      </c>
      <c r="BP97" s="13" t="e">
        <f t="shared" si="882"/>
        <v>#DIV/0!</v>
      </c>
      <c r="BQ97" s="13">
        <f t="shared" si="882"/>
        <v>0</v>
      </c>
      <c r="BR97" s="13">
        <f t="shared" ref="BR97:DB97" si="883">+BR89/BR81</f>
        <v>0</v>
      </c>
      <c r="BS97" s="13">
        <f t="shared" si="883"/>
        <v>0</v>
      </c>
      <c r="BT97" s="13">
        <f t="shared" si="883"/>
        <v>0</v>
      </c>
      <c r="BU97" s="13">
        <f t="shared" si="883"/>
        <v>11.997392499509127</v>
      </c>
      <c r="BV97" s="13">
        <f t="shared" si="883"/>
        <v>9.9290970922842501</v>
      </c>
      <c r="BW97" s="13">
        <f t="shared" si="883"/>
        <v>9.9742035035599041</v>
      </c>
      <c r="BX97" s="13">
        <f t="shared" si="883"/>
        <v>9.185370919184944</v>
      </c>
      <c r="BY97" s="13">
        <f t="shared" si="883"/>
        <v>9.0828293935253637</v>
      </c>
      <c r="BZ97" s="13">
        <f t="shared" si="883"/>
        <v>9.950765713607078</v>
      </c>
      <c r="CA97" s="13">
        <f t="shared" si="883"/>
        <v>9.9131033923109086</v>
      </c>
      <c r="CB97" s="13">
        <f t="shared" si="883"/>
        <v>17.766697778773818</v>
      </c>
      <c r="CC97" s="13">
        <f t="shared" si="883"/>
        <v>25.478587001341289</v>
      </c>
      <c r="CD97" s="13">
        <f t="shared" si="883"/>
        <v>34.055510747908642</v>
      </c>
      <c r="CE97" s="13">
        <f t="shared" si="883"/>
        <v>33.170054598779529</v>
      </c>
      <c r="CF97" s="13">
        <f t="shared" si="883"/>
        <v>30.818309278467769</v>
      </c>
      <c r="CG97" s="13">
        <f t="shared" si="883"/>
        <v>28.930138333633792</v>
      </c>
      <c r="CH97" s="13">
        <f t="shared" si="883"/>
        <v>26.495140504086148</v>
      </c>
      <c r="CI97" s="13">
        <f t="shared" ref="CI97:CJ97" si="884">+CI89/CI81</f>
        <v>28.028789204321768</v>
      </c>
      <c r="CJ97" s="13">
        <f t="shared" si="884"/>
        <v>34.156766834065465</v>
      </c>
      <c r="CK97" s="13">
        <f t="shared" ref="CK97" si="885">+CK89/CK81</f>
        <v>35.292559258793901</v>
      </c>
      <c r="CL97" s="13">
        <f t="shared" ref="CL97" si="886">+CL89/CL81</f>
        <v>31.836830291164024</v>
      </c>
      <c r="CM97" s="37">
        <f t="shared" si="883"/>
        <v>72.26798488842006</v>
      </c>
      <c r="CN97" s="37">
        <f t="shared" si="883"/>
        <v>68.23423314342071</v>
      </c>
      <c r="CO97" s="37">
        <f t="shared" si="883"/>
        <v>65.051702561438617</v>
      </c>
      <c r="CP97" s="37">
        <f t="shared" si="883"/>
        <v>62.140773282620415</v>
      </c>
      <c r="CQ97" s="37">
        <f t="shared" si="883"/>
        <v>56.431413297585614</v>
      </c>
      <c r="CR97" s="37">
        <f t="shared" si="883"/>
        <v>51.176200741112993</v>
      </c>
      <c r="CS97" s="37">
        <f t="shared" si="883"/>
        <v>46.54797775784602</v>
      </c>
      <c r="CT97" s="37">
        <f t="shared" si="883"/>
        <v>42.271697519647546</v>
      </c>
      <c r="CU97" s="37">
        <f t="shared" si="883"/>
        <v>38.48278444825209</v>
      </c>
      <c r="CV97" s="37">
        <f t="shared" si="883"/>
        <v>35.002437542288632</v>
      </c>
      <c r="CW97" s="37">
        <f t="shared" si="883"/>
        <v>32.013512354517935</v>
      </c>
      <c r="CX97" s="37">
        <f t="shared" si="883"/>
        <v>29.367292936826974</v>
      </c>
      <c r="CY97" s="37">
        <f t="shared" si="883"/>
        <v>26.840030975666245</v>
      </c>
      <c r="CZ97" s="37">
        <f t="shared" si="883"/>
        <v>24.521947542924828</v>
      </c>
      <c r="DA97" s="37">
        <f t="shared" si="883"/>
        <v>22.528725263066356</v>
      </c>
      <c r="DB97" s="37">
        <f t="shared" si="883"/>
        <v>20.753453438739438</v>
      </c>
      <c r="DE97" s="134"/>
      <c r="DF97" s="13">
        <v>52.963010459757726</v>
      </c>
    </row>
    <row r="98" spans="1:110" s="13" customFormat="1" x14ac:dyDescent="0.2">
      <c r="A98" s="13" t="s">
        <v>461</v>
      </c>
      <c r="B98" s="13" t="e">
        <f t="shared" ref="B98:D98" si="887">+B90/B81</f>
        <v>#DIV/0!</v>
      </c>
      <c r="C98" s="13" t="e">
        <f t="shared" si="887"/>
        <v>#DIV/0!</v>
      </c>
      <c r="D98" s="13" t="e">
        <f t="shared" si="887"/>
        <v>#DIV/0!</v>
      </c>
      <c r="E98" s="13" t="e">
        <f t="shared" ref="E98:AE98" ca="1" si="888">+E90/E81</f>
        <v>#DIV/0!</v>
      </c>
      <c r="F98" s="13" t="e">
        <f t="shared" ca="1" si="888"/>
        <v>#DIV/0!</v>
      </c>
      <c r="G98" s="13" t="e">
        <f t="shared" ca="1" si="888"/>
        <v>#DIV/0!</v>
      </c>
      <c r="H98" s="13" t="e">
        <f t="shared" ca="1" si="888"/>
        <v>#DIV/0!</v>
      </c>
      <c r="I98" s="13" t="e">
        <f t="shared" ca="1" si="888"/>
        <v>#DIV/0!</v>
      </c>
      <c r="J98" s="13">
        <f t="shared" ca="1" si="888"/>
        <v>0</v>
      </c>
      <c r="K98" s="13">
        <f t="shared" ca="1" si="888"/>
        <v>0</v>
      </c>
      <c r="L98" s="13">
        <f t="shared" ca="1" si="888"/>
        <v>0</v>
      </c>
      <c r="M98" s="13">
        <f t="shared" ca="1" si="888"/>
        <v>0</v>
      </c>
      <c r="N98" s="13">
        <f t="shared" ca="1" si="888"/>
        <v>0</v>
      </c>
      <c r="O98" s="13">
        <f t="shared" ca="1" si="888"/>
        <v>0</v>
      </c>
      <c r="P98" s="13">
        <f t="shared" ca="1" si="888"/>
        <v>0</v>
      </c>
      <c r="Q98" s="13">
        <f t="shared" ca="1" si="888"/>
        <v>0</v>
      </c>
      <c r="R98" s="13">
        <f t="shared" ca="1" si="888"/>
        <v>0</v>
      </c>
      <c r="S98" s="13">
        <f t="shared" ca="1" si="888"/>
        <v>0</v>
      </c>
      <c r="T98" s="13">
        <f t="shared" ca="1" si="888"/>
        <v>0</v>
      </c>
      <c r="U98" s="13">
        <f t="shared" ca="1" si="888"/>
        <v>0</v>
      </c>
      <c r="V98" s="13">
        <f t="shared" ca="1" si="888"/>
        <v>0</v>
      </c>
      <c r="W98" s="13">
        <f t="shared" ca="1" si="888"/>
        <v>21.449347133808313</v>
      </c>
      <c r="X98" s="13">
        <f t="shared" ca="1" si="888"/>
        <v>21.228698849924939</v>
      </c>
      <c r="Y98" s="13">
        <f t="shared" ca="1" si="888"/>
        <v>77.490460247921561</v>
      </c>
      <c r="Z98" s="13">
        <f t="shared" ref="Z98:AA98" ca="1" si="889">+Z90/Z81</f>
        <v>64.247156760953786</v>
      </c>
      <c r="AA98" s="13">
        <f t="shared" ref="AA98" ca="1" si="890">+AA90/AA81</f>
        <v>64.247156760953786</v>
      </c>
      <c r="AB98" s="60">
        <f t="shared" ca="1" si="888"/>
        <v>75.000000000000014</v>
      </c>
      <c r="AC98" s="60">
        <f t="shared" ca="1" si="888"/>
        <v>75</v>
      </c>
      <c r="AD98" s="60">
        <f t="shared" ca="1" si="888"/>
        <v>74.999999999999972</v>
      </c>
      <c r="AE98" s="60">
        <f t="shared" ca="1" si="888"/>
        <v>75</v>
      </c>
      <c r="AL98" s="13" t="e">
        <f t="shared" ref="AL98:BQ98" si="891">+AL90/AL81</f>
        <v>#DIV/0!</v>
      </c>
      <c r="AM98" s="13" t="e">
        <f t="shared" si="891"/>
        <v>#DIV/0!</v>
      </c>
      <c r="AN98" s="13" t="e">
        <f t="shared" si="891"/>
        <v>#DIV/0!</v>
      </c>
      <c r="AO98" s="13" t="e">
        <f t="shared" si="891"/>
        <v>#DIV/0!</v>
      </c>
      <c r="AP98" s="13" t="e">
        <f t="shared" si="891"/>
        <v>#DIV/0!</v>
      </c>
      <c r="AQ98" s="13" t="e">
        <f t="shared" si="891"/>
        <v>#DIV/0!</v>
      </c>
      <c r="AR98" s="13" t="e">
        <f t="shared" si="891"/>
        <v>#DIV/0!</v>
      </c>
      <c r="AS98" s="13" t="e">
        <f t="shared" si="891"/>
        <v>#DIV/0!</v>
      </c>
      <c r="AT98" s="13" t="e">
        <f t="shared" si="891"/>
        <v>#DIV/0!</v>
      </c>
      <c r="AU98" s="13" t="e">
        <f t="shared" si="891"/>
        <v>#DIV/0!</v>
      </c>
      <c r="AV98" s="13" t="e">
        <f t="shared" si="891"/>
        <v>#DIV/0!</v>
      </c>
      <c r="AW98" s="13" t="e">
        <f t="shared" si="891"/>
        <v>#DIV/0!</v>
      </c>
      <c r="AX98" s="13" t="e">
        <f t="shared" si="891"/>
        <v>#DIV/0!</v>
      </c>
      <c r="AY98" s="13" t="e">
        <f t="shared" si="891"/>
        <v>#DIV/0!</v>
      </c>
      <c r="AZ98" s="13" t="e">
        <f t="shared" si="891"/>
        <v>#DIV/0!</v>
      </c>
      <c r="BA98" s="13" t="e">
        <f t="shared" si="891"/>
        <v>#DIV/0!</v>
      </c>
      <c r="BB98" s="13" t="e">
        <f t="shared" si="891"/>
        <v>#DIV/0!</v>
      </c>
      <c r="BC98" s="13" t="e">
        <f t="shared" si="891"/>
        <v>#DIV/0!</v>
      </c>
      <c r="BD98" s="13" t="e">
        <f t="shared" si="891"/>
        <v>#DIV/0!</v>
      </c>
      <c r="BE98" s="13" t="e">
        <f t="shared" si="891"/>
        <v>#DIV/0!</v>
      </c>
      <c r="BF98" s="13" t="e">
        <f t="shared" si="891"/>
        <v>#DIV/0!</v>
      </c>
      <c r="BG98" s="13" t="e">
        <f t="shared" si="891"/>
        <v>#DIV/0!</v>
      </c>
      <c r="BH98" s="13" t="e">
        <f t="shared" si="891"/>
        <v>#DIV/0!</v>
      </c>
      <c r="BI98" s="13" t="e">
        <f t="shared" si="891"/>
        <v>#DIV/0!</v>
      </c>
      <c r="BJ98" s="13" t="e">
        <f t="shared" si="891"/>
        <v>#DIV/0!</v>
      </c>
      <c r="BK98" s="13" t="e">
        <f t="shared" si="891"/>
        <v>#DIV/0!</v>
      </c>
      <c r="BL98" s="13" t="e">
        <f t="shared" si="891"/>
        <v>#DIV/0!</v>
      </c>
      <c r="BM98" s="13" t="e">
        <f t="shared" si="891"/>
        <v>#DIV/0!</v>
      </c>
      <c r="BN98" s="13" t="e">
        <f t="shared" si="891"/>
        <v>#DIV/0!</v>
      </c>
      <c r="BO98" s="13" t="e">
        <f t="shared" si="891"/>
        <v>#DIV/0!</v>
      </c>
      <c r="BP98" s="13" t="e">
        <f t="shared" si="891"/>
        <v>#DIV/0!</v>
      </c>
      <c r="BQ98" s="13">
        <f t="shared" si="891"/>
        <v>0</v>
      </c>
      <c r="BR98" s="13">
        <f t="shared" ref="BR98:CH98" si="892">+BR90/BR81</f>
        <v>0</v>
      </c>
      <c r="BS98" s="13">
        <f t="shared" si="892"/>
        <v>0</v>
      </c>
      <c r="BT98" s="13">
        <f t="shared" si="892"/>
        <v>0</v>
      </c>
      <c r="BU98" s="13">
        <f t="shared" si="892"/>
        <v>12.530225063813075</v>
      </c>
      <c r="BV98" s="13">
        <f t="shared" si="892"/>
        <v>10.709890023132248</v>
      </c>
      <c r="BW98" s="13">
        <f t="shared" si="892"/>
        <v>10.813297136710547</v>
      </c>
      <c r="BX98" s="13">
        <f t="shared" si="892"/>
        <v>9.6480837183106143</v>
      </c>
      <c r="BY98" s="13">
        <f t="shared" si="892"/>
        <v>9.5438012752125854</v>
      </c>
      <c r="BZ98" s="13">
        <f t="shared" si="892"/>
        <v>10.61443766515246</v>
      </c>
      <c r="CA98" s="13">
        <f t="shared" si="892"/>
        <v>10.27621655003191</v>
      </c>
      <c r="CB98" s="13">
        <f t="shared" si="892"/>
        <v>18.272535691911191</v>
      </c>
      <c r="CC98" s="13">
        <f t="shared" si="892"/>
        <v>26.724431966292403</v>
      </c>
      <c r="CD98" s="13">
        <f t="shared" si="892"/>
        <v>38.745299012330314</v>
      </c>
      <c r="CE98" s="13">
        <f t="shared" si="892"/>
        <v>36.395244378997518</v>
      </c>
      <c r="CF98" s="13">
        <f t="shared" si="892"/>
        <v>33.723373500599003</v>
      </c>
      <c r="CG98" s="13">
        <f t="shared" si="892"/>
        <v>34.045102119807851</v>
      </c>
      <c r="CH98" s="13">
        <f t="shared" si="892"/>
        <v>29.441776898665537</v>
      </c>
      <c r="CI98" s="13">
        <f t="shared" ref="CI98:CJ98" si="893">+CI90/CI81</f>
        <v>28.393237391190233</v>
      </c>
      <c r="CJ98" s="13">
        <f t="shared" si="893"/>
        <v>37.423956864709929</v>
      </c>
      <c r="CK98" s="13">
        <f t="shared" ref="CK98" si="894">+CK90/CK81</f>
        <v>37.686629965092081</v>
      </c>
      <c r="CL98" s="13">
        <f t="shared" ref="CL98" si="895">+CL90/CL81</f>
        <v>33.995570517274047</v>
      </c>
      <c r="CM98" s="60">
        <v>75</v>
      </c>
      <c r="CN98" s="60">
        <f t="shared" ref="CN98:CN99" si="896">+CM98</f>
        <v>75</v>
      </c>
      <c r="CO98" s="60">
        <f t="shared" ref="CO98:CO99" si="897">+CN98</f>
        <v>75</v>
      </c>
      <c r="CP98" s="60">
        <f t="shared" ref="CP98:CP99" si="898">+CO98</f>
        <v>75</v>
      </c>
      <c r="CQ98" s="60">
        <f t="shared" ref="CQ98:CQ99" si="899">+CP98</f>
        <v>75</v>
      </c>
      <c r="CR98" s="60">
        <f>+CQ98</f>
        <v>75</v>
      </c>
      <c r="CS98" s="60">
        <f t="shared" ref="CS98:CS99" si="900">+CR98</f>
        <v>75</v>
      </c>
      <c r="CT98" s="60">
        <f t="shared" ref="CT98:CT99" si="901">+CS98</f>
        <v>75</v>
      </c>
      <c r="CU98" s="60">
        <f t="shared" ref="CU98:CU99" si="902">+CT98</f>
        <v>75</v>
      </c>
      <c r="CV98" s="60">
        <f t="shared" ref="CV98:CV99" si="903">+CU98</f>
        <v>75</v>
      </c>
      <c r="CW98" s="60">
        <f t="shared" ref="CW98:CW99" si="904">+CV98</f>
        <v>75</v>
      </c>
      <c r="CX98" s="60">
        <f t="shared" ref="CX98:CX99" si="905">+CW98</f>
        <v>75</v>
      </c>
      <c r="CY98" s="60">
        <f t="shared" ref="CY98:CY99" si="906">+CX98</f>
        <v>75</v>
      </c>
      <c r="CZ98" s="60">
        <f t="shared" ref="CZ98:CZ99" si="907">+CY98</f>
        <v>75</v>
      </c>
      <c r="DA98" s="60">
        <f t="shared" ref="DA98:DA99" si="908">+CZ98</f>
        <v>75</v>
      </c>
      <c r="DB98" s="60">
        <f t="shared" ref="DB98:DB99" si="909">+DA98</f>
        <v>75</v>
      </c>
      <c r="DE98" s="136"/>
      <c r="DF98" s="13">
        <v>64.247156760953786</v>
      </c>
    </row>
    <row r="99" spans="1:110" s="13" customFormat="1" x14ac:dyDescent="0.2">
      <c r="A99" s="13" t="s">
        <v>462</v>
      </c>
      <c r="B99" s="13" t="e">
        <f t="shared" ref="B99:D99" si="910">+B91/B81</f>
        <v>#DIV/0!</v>
      </c>
      <c r="C99" s="13" t="e">
        <f t="shared" si="910"/>
        <v>#DIV/0!</v>
      </c>
      <c r="D99" s="13" t="e">
        <f t="shared" si="910"/>
        <v>#DIV/0!</v>
      </c>
      <c r="E99" s="13" t="e">
        <f t="shared" ref="E99:AE99" ca="1" si="911">+E91/E81</f>
        <v>#DIV/0!</v>
      </c>
      <c r="F99" s="13" t="e">
        <f t="shared" ca="1" si="911"/>
        <v>#DIV/0!</v>
      </c>
      <c r="G99" s="13" t="e">
        <f t="shared" ca="1" si="911"/>
        <v>#DIV/0!</v>
      </c>
      <c r="H99" s="13" t="e">
        <f t="shared" ca="1" si="911"/>
        <v>#DIV/0!</v>
      </c>
      <c r="I99" s="13" t="e">
        <f t="shared" ca="1" si="911"/>
        <v>#DIV/0!</v>
      </c>
      <c r="J99" s="13">
        <f t="shared" ca="1" si="911"/>
        <v>0</v>
      </c>
      <c r="K99" s="13">
        <f t="shared" ca="1" si="911"/>
        <v>0</v>
      </c>
      <c r="L99" s="13">
        <f t="shared" ca="1" si="911"/>
        <v>0</v>
      </c>
      <c r="M99" s="13">
        <f t="shared" ca="1" si="911"/>
        <v>0</v>
      </c>
      <c r="N99" s="13">
        <f t="shared" ca="1" si="911"/>
        <v>0</v>
      </c>
      <c r="O99" s="13">
        <f t="shared" ca="1" si="911"/>
        <v>0</v>
      </c>
      <c r="P99" s="13">
        <f t="shared" ca="1" si="911"/>
        <v>0</v>
      </c>
      <c r="Q99" s="13">
        <f t="shared" ca="1" si="911"/>
        <v>0</v>
      </c>
      <c r="R99" s="13">
        <f t="shared" ca="1" si="911"/>
        <v>0</v>
      </c>
      <c r="S99" s="13">
        <f t="shared" ca="1" si="911"/>
        <v>0</v>
      </c>
      <c r="T99" s="13">
        <f t="shared" ca="1" si="911"/>
        <v>0</v>
      </c>
      <c r="U99" s="13">
        <f t="shared" ca="1" si="911"/>
        <v>0</v>
      </c>
      <c r="V99" s="13">
        <f t="shared" ca="1" si="911"/>
        <v>0</v>
      </c>
      <c r="W99" s="13">
        <f t="shared" ca="1" si="911"/>
        <v>17.782020722848891</v>
      </c>
      <c r="X99" s="13">
        <f t="shared" ca="1" si="911"/>
        <v>14.912467697189653</v>
      </c>
      <c r="Y99" s="13">
        <f t="shared" ca="1" si="911"/>
        <v>14.843820007965354</v>
      </c>
      <c r="Z99" s="13">
        <f t="shared" ref="Z99:AA99" ca="1" si="912">+Z91/Z81</f>
        <v>43.916864587478102</v>
      </c>
      <c r="AA99" s="13">
        <f t="shared" ref="AA99" ca="1" si="913">+AA91/AA81</f>
        <v>43.916864587478102</v>
      </c>
      <c r="AB99" s="60">
        <f t="shared" ca="1" si="911"/>
        <v>48.838113167226936</v>
      </c>
      <c r="AC99" s="60">
        <f t="shared" ca="1" si="911"/>
        <v>42.545823079389194</v>
      </c>
      <c r="AD99" s="60">
        <f t="shared" ca="1" si="911"/>
        <v>43.343661474437809</v>
      </c>
      <c r="AE99" s="60">
        <f t="shared" ca="1" si="911"/>
        <v>43.917289758323903</v>
      </c>
      <c r="AL99" s="13" t="e">
        <f t="shared" ref="AL99:BQ99" si="914">+AL91/AL81</f>
        <v>#DIV/0!</v>
      </c>
      <c r="AM99" s="13" t="e">
        <f t="shared" si="914"/>
        <v>#DIV/0!</v>
      </c>
      <c r="AN99" s="13" t="e">
        <f t="shared" si="914"/>
        <v>#DIV/0!</v>
      </c>
      <c r="AO99" s="13" t="e">
        <f t="shared" si="914"/>
        <v>#DIV/0!</v>
      </c>
      <c r="AP99" s="13" t="e">
        <f t="shared" si="914"/>
        <v>#DIV/0!</v>
      </c>
      <c r="AQ99" s="13" t="e">
        <f t="shared" si="914"/>
        <v>#DIV/0!</v>
      </c>
      <c r="AR99" s="13" t="e">
        <f t="shared" si="914"/>
        <v>#DIV/0!</v>
      </c>
      <c r="AS99" s="13" t="e">
        <f t="shared" si="914"/>
        <v>#DIV/0!</v>
      </c>
      <c r="AT99" s="13" t="e">
        <f t="shared" si="914"/>
        <v>#DIV/0!</v>
      </c>
      <c r="AU99" s="13" t="e">
        <f t="shared" si="914"/>
        <v>#DIV/0!</v>
      </c>
      <c r="AV99" s="13" t="e">
        <f t="shared" si="914"/>
        <v>#DIV/0!</v>
      </c>
      <c r="AW99" s="13" t="e">
        <f t="shared" si="914"/>
        <v>#DIV/0!</v>
      </c>
      <c r="AX99" s="13" t="e">
        <f t="shared" si="914"/>
        <v>#DIV/0!</v>
      </c>
      <c r="AY99" s="13" t="e">
        <f t="shared" si="914"/>
        <v>#DIV/0!</v>
      </c>
      <c r="AZ99" s="13" t="e">
        <f t="shared" si="914"/>
        <v>#DIV/0!</v>
      </c>
      <c r="BA99" s="13" t="e">
        <f t="shared" si="914"/>
        <v>#DIV/0!</v>
      </c>
      <c r="BB99" s="13" t="e">
        <f t="shared" si="914"/>
        <v>#DIV/0!</v>
      </c>
      <c r="BC99" s="13" t="e">
        <f t="shared" si="914"/>
        <v>#DIV/0!</v>
      </c>
      <c r="BD99" s="13" t="e">
        <f t="shared" si="914"/>
        <v>#DIV/0!</v>
      </c>
      <c r="BE99" s="13" t="e">
        <f t="shared" si="914"/>
        <v>#DIV/0!</v>
      </c>
      <c r="BF99" s="13" t="e">
        <f t="shared" si="914"/>
        <v>#DIV/0!</v>
      </c>
      <c r="BG99" s="13" t="e">
        <f t="shared" si="914"/>
        <v>#DIV/0!</v>
      </c>
      <c r="BH99" s="13" t="e">
        <f t="shared" si="914"/>
        <v>#DIV/0!</v>
      </c>
      <c r="BI99" s="13" t="e">
        <f t="shared" si="914"/>
        <v>#DIV/0!</v>
      </c>
      <c r="BJ99" s="13" t="e">
        <f t="shared" si="914"/>
        <v>#DIV/0!</v>
      </c>
      <c r="BK99" s="13" t="e">
        <f t="shared" si="914"/>
        <v>#DIV/0!</v>
      </c>
      <c r="BL99" s="13" t="e">
        <f t="shared" si="914"/>
        <v>#DIV/0!</v>
      </c>
      <c r="BM99" s="13" t="e">
        <f t="shared" si="914"/>
        <v>#DIV/0!</v>
      </c>
      <c r="BN99" s="13" t="e">
        <f t="shared" si="914"/>
        <v>#DIV/0!</v>
      </c>
      <c r="BO99" s="13" t="e">
        <f t="shared" si="914"/>
        <v>#DIV/0!</v>
      </c>
      <c r="BP99" s="13" t="e">
        <f t="shared" si="914"/>
        <v>#DIV/0!</v>
      </c>
      <c r="BQ99" s="13">
        <f t="shared" si="914"/>
        <v>0</v>
      </c>
      <c r="BR99" s="13">
        <f t="shared" ref="BR99:CH99" si="915">+BR91/BR81</f>
        <v>0</v>
      </c>
      <c r="BS99" s="13">
        <f t="shared" si="915"/>
        <v>0</v>
      </c>
      <c r="BT99" s="13">
        <f t="shared" si="915"/>
        <v>0</v>
      </c>
      <c r="BU99" s="13">
        <f t="shared" si="915"/>
        <v>0</v>
      </c>
      <c r="BV99" s="13">
        <f t="shared" si="915"/>
        <v>8.8787544507867331</v>
      </c>
      <c r="BW99" s="13">
        <f t="shared" si="915"/>
        <v>9.1882651231880352</v>
      </c>
      <c r="BX99" s="13">
        <f t="shared" si="915"/>
        <v>8.725441354941232</v>
      </c>
      <c r="BY99" s="13">
        <f t="shared" si="915"/>
        <v>8.4684160287484325</v>
      </c>
      <c r="BZ99" s="13">
        <f t="shared" si="915"/>
        <v>8.4940150233069094</v>
      </c>
      <c r="CA99" s="13">
        <f t="shared" si="915"/>
        <v>9.186306144230981</v>
      </c>
      <c r="CB99" s="13">
        <f t="shared" si="915"/>
        <v>8.9977834852011629</v>
      </c>
      <c r="CC99" s="13">
        <f t="shared" si="915"/>
        <v>16.248612026105381</v>
      </c>
      <c r="CD99" s="13">
        <f t="shared" si="915"/>
        <v>23.202158916141421</v>
      </c>
      <c r="CE99" s="13">
        <f t="shared" si="915"/>
        <v>29.038983977287561</v>
      </c>
      <c r="CF99" s="13">
        <f t="shared" si="915"/>
        <v>27.278647468268051</v>
      </c>
      <c r="CG99" s="13">
        <f t="shared" si="915"/>
        <v>27.609579696927923</v>
      </c>
      <c r="CH99" s="13">
        <f t="shared" si="915"/>
        <v>21.9697386467159</v>
      </c>
      <c r="CI99" s="13">
        <f t="shared" ref="CI99:CJ99" si="916">+CI91/CI81</f>
        <v>21.062770657451555</v>
      </c>
      <c r="CJ99" s="13">
        <f t="shared" si="916"/>
        <v>24.595217919438848</v>
      </c>
      <c r="CK99" s="13">
        <f t="shared" ref="CK99" si="917">+CK91/CK81</f>
        <v>31.463633483198855</v>
      </c>
      <c r="CL99" s="13">
        <f t="shared" ref="CL99" si="918">+CL91/CL81</f>
        <v>28.398681235394431</v>
      </c>
      <c r="CM99" s="60">
        <f t="shared" ref="CM99" si="919">+CL99</f>
        <v>28.398681235394431</v>
      </c>
      <c r="CN99" s="60">
        <f t="shared" si="896"/>
        <v>28.398681235394431</v>
      </c>
      <c r="CO99" s="60">
        <f t="shared" si="897"/>
        <v>28.398681235394431</v>
      </c>
      <c r="CP99" s="60">
        <f t="shared" si="898"/>
        <v>28.398681235394431</v>
      </c>
      <c r="CQ99" s="60">
        <f t="shared" si="899"/>
        <v>28.398681235394431</v>
      </c>
      <c r="CR99" s="60">
        <f t="shared" ref="CR99" si="920">+CQ99</f>
        <v>28.398681235394431</v>
      </c>
      <c r="CS99" s="60">
        <f t="shared" si="900"/>
        <v>28.398681235394431</v>
      </c>
      <c r="CT99" s="60">
        <f t="shared" si="901"/>
        <v>28.398681235394431</v>
      </c>
      <c r="CU99" s="60">
        <f t="shared" si="902"/>
        <v>28.398681235394431</v>
      </c>
      <c r="CV99" s="60">
        <f t="shared" si="903"/>
        <v>28.398681235394431</v>
      </c>
      <c r="CW99" s="60">
        <f t="shared" si="904"/>
        <v>28.398681235394431</v>
      </c>
      <c r="CX99" s="60">
        <f t="shared" si="905"/>
        <v>28.398681235394431</v>
      </c>
      <c r="CY99" s="60">
        <f t="shared" si="906"/>
        <v>28.398681235394431</v>
      </c>
      <c r="CZ99" s="60">
        <f t="shared" si="907"/>
        <v>28.398681235394431</v>
      </c>
      <c r="DA99" s="60">
        <f t="shared" si="908"/>
        <v>28.398681235394431</v>
      </c>
      <c r="DB99" s="60">
        <f t="shared" si="909"/>
        <v>28.398681235394431</v>
      </c>
      <c r="DE99" s="136"/>
      <c r="DF99" s="13">
        <v>43.916864587478102</v>
      </c>
    </row>
    <row r="100" spans="1:110" s="13" customFormat="1" x14ac:dyDescent="0.2">
      <c r="AB100" s="60"/>
      <c r="AC100" s="60"/>
      <c r="AD100" s="60"/>
      <c r="AE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E100" s="136"/>
    </row>
    <row r="101" spans="1:110" s="13" customFormat="1" x14ac:dyDescent="0.2">
      <c r="A101" s="13" t="s">
        <v>463</v>
      </c>
      <c r="B101" s="13" t="e">
        <f t="shared" ref="B101:AD101" si="921">+B90/C81</f>
        <v>#DIV/0!</v>
      </c>
      <c r="C101" s="13" t="e">
        <f t="shared" si="921"/>
        <v>#DIV/0!</v>
      </c>
      <c r="D101" s="13" t="e">
        <f t="shared" ca="1" si="921"/>
        <v>#DIV/0!</v>
      </c>
      <c r="E101" s="13" t="e">
        <f t="shared" ca="1" si="921"/>
        <v>#DIV/0!</v>
      </c>
      <c r="F101" s="13" t="e">
        <f t="shared" ca="1" si="921"/>
        <v>#DIV/0!</v>
      </c>
      <c r="G101" s="13" t="e">
        <f t="shared" ca="1" si="921"/>
        <v>#DIV/0!</v>
      </c>
      <c r="H101" s="13" t="e">
        <f t="shared" ca="1" si="921"/>
        <v>#DIV/0!</v>
      </c>
      <c r="I101" s="13">
        <f t="shared" ca="1" si="921"/>
        <v>0</v>
      </c>
      <c r="J101" s="13">
        <f t="shared" ca="1" si="921"/>
        <v>0</v>
      </c>
      <c r="K101" s="13">
        <f t="shared" ca="1" si="921"/>
        <v>0</v>
      </c>
      <c r="L101" s="13">
        <f t="shared" ca="1" si="921"/>
        <v>0</v>
      </c>
      <c r="M101" s="13">
        <f t="shared" ca="1" si="921"/>
        <v>0</v>
      </c>
      <c r="N101" s="13">
        <f t="shared" ca="1" si="921"/>
        <v>0</v>
      </c>
      <c r="O101" s="13">
        <f t="shared" ca="1" si="921"/>
        <v>0</v>
      </c>
      <c r="P101" s="13">
        <f t="shared" ca="1" si="921"/>
        <v>0</v>
      </c>
      <c r="Q101" s="13">
        <f t="shared" ca="1" si="921"/>
        <v>0</v>
      </c>
      <c r="R101" s="13">
        <f t="shared" ca="1" si="921"/>
        <v>0</v>
      </c>
      <c r="S101" s="13">
        <f t="shared" ca="1" si="921"/>
        <v>0</v>
      </c>
      <c r="T101" s="13">
        <f t="shared" ca="1" si="921"/>
        <v>0</v>
      </c>
      <c r="U101" s="13">
        <f t="shared" ca="1" si="921"/>
        <v>0</v>
      </c>
      <c r="V101" s="13">
        <f t="shared" ca="1" si="921"/>
        <v>0</v>
      </c>
      <c r="W101" s="13">
        <f t="shared" ca="1" si="921"/>
        <v>16.110394854352325</v>
      </c>
      <c r="X101" s="13">
        <f t="shared" ca="1" si="921"/>
        <v>15.890913588390505</v>
      </c>
      <c r="Y101" s="13">
        <f t="shared" ca="1" si="921"/>
        <v>58.145092492194614</v>
      </c>
      <c r="Z101" s="13">
        <f t="shared" ref="Z101:AA101" ca="1" si="922">+Z90/AA81</f>
        <v>48.665251184235466</v>
      </c>
      <c r="AA101" s="13">
        <f t="shared" ca="1" si="922"/>
        <v>48.665251184235466</v>
      </c>
      <c r="AB101" s="37">
        <f t="shared" ca="1" si="921"/>
        <v>51.019276820944555</v>
      </c>
      <c r="AC101" s="37">
        <f t="shared" ca="1" si="921"/>
        <v>52.104530915473553</v>
      </c>
      <c r="AD101" s="37">
        <f t="shared" ca="1" si="921"/>
        <v>53.001446583916319</v>
      </c>
      <c r="AE101" s="37"/>
      <c r="AL101" s="13" t="e">
        <f t="shared" ref="AL101:BQ101" si="923">+AL90/AP81</f>
        <v>#DIV/0!</v>
      </c>
      <c r="AM101" s="13" t="e">
        <f t="shared" si="923"/>
        <v>#DIV/0!</v>
      </c>
      <c r="AN101" s="13" t="e">
        <f t="shared" si="923"/>
        <v>#DIV/0!</v>
      </c>
      <c r="AO101" s="13" t="e">
        <f t="shared" si="923"/>
        <v>#DIV/0!</v>
      </c>
      <c r="AP101" s="13" t="e">
        <f t="shared" si="923"/>
        <v>#DIV/0!</v>
      </c>
      <c r="AQ101" s="13" t="e">
        <f t="shared" si="923"/>
        <v>#DIV/0!</v>
      </c>
      <c r="AR101" s="13" t="e">
        <f t="shared" si="923"/>
        <v>#DIV/0!</v>
      </c>
      <c r="AS101" s="13" t="e">
        <f t="shared" si="923"/>
        <v>#DIV/0!</v>
      </c>
      <c r="AT101" s="13" t="e">
        <f t="shared" si="923"/>
        <v>#DIV/0!</v>
      </c>
      <c r="AU101" s="13" t="e">
        <f t="shared" si="923"/>
        <v>#DIV/0!</v>
      </c>
      <c r="AV101" s="13" t="e">
        <f t="shared" si="923"/>
        <v>#DIV/0!</v>
      </c>
      <c r="AW101" s="13" t="e">
        <f t="shared" si="923"/>
        <v>#DIV/0!</v>
      </c>
      <c r="AX101" s="13" t="e">
        <f t="shared" si="923"/>
        <v>#DIV/0!</v>
      </c>
      <c r="AY101" s="13" t="e">
        <f t="shared" si="923"/>
        <v>#DIV/0!</v>
      </c>
      <c r="AZ101" s="13" t="e">
        <f t="shared" si="923"/>
        <v>#DIV/0!</v>
      </c>
      <c r="BA101" s="13" t="e">
        <f t="shared" si="923"/>
        <v>#DIV/0!</v>
      </c>
      <c r="BB101" s="13" t="e">
        <f t="shared" si="923"/>
        <v>#DIV/0!</v>
      </c>
      <c r="BC101" s="13" t="e">
        <f t="shared" si="923"/>
        <v>#DIV/0!</v>
      </c>
      <c r="BD101" s="13" t="e">
        <f t="shared" si="923"/>
        <v>#DIV/0!</v>
      </c>
      <c r="BE101" s="13" t="e">
        <f t="shared" si="923"/>
        <v>#DIV/0!</v>
      </c>
      <c r="BF101" s="13" t="e">
        <f t="shared" si="923"/>
        <v>#DIV/0!</v>
      </c>
      <c r="BG101" s="13" t="e">
        <f t="shared" si="923"/>
        <v>#DIV/0!</v>
      </c>
      <c r="BH101" s="13" t="e">
        <f t="shared" si="923"/>
        <v>#DIV/0!</v>
      </c>
      <c r="BI101" s="13" t="e">
        <f t="shared" si="923"/>
        <v>#DIV/0!</v>
      </c>
      <c r="BJ101" s="13" t="e">
        <f t="shared" si="923"/>
        <v>#DIV/0!</v>
      </c>
      <c r="BK101" s="13" t="e">
        <f t="shared" si="923"/>
        <v>#DIV/0!</v>
      </c>
      <c r="BL101" s="13" t="e">
        <f t="shared" si="923"/>
        <v>#DIV/0!</v>
      </c>
      <c r="BM101" s="13">
        <f t="shared" si="923"/>
        <v>0</v>
      </c>
      <c r="BN101" s="13">
        <f t="shared" si="923"/>
        <v>0</v>
      </c>
      <c r="BO101" s="13">
        <f t="shared" si="923"/>
        <v>0</v>
      </c>
      <c r="BP101" s="13">
        <f t="shared" si="923"/>
        <v>0</v>
      </c>
      <c r="BQ101" s="13">
        <f t="shared" si="923"/>
        <v>0</v>
      </c>
      <c r="BR101" s="13">
        <f t="shared" ref="BR101:CL101" si="924">+BR90/BV81</f>
        <v>0</v>
      </c>
      <c r="BS101" s="13">
        <f t="shared" si="924"/>
        <v>0</v>
      </c>
      <c r="BT101" s="13">
        <f t="shared" si="924"/>
        <v>0</v>
      </c>
      <c r="BU101" s="13">
        <f t="shared" si="924"/>
        <v>7.9627713102123066</v>
      </c>
      <c r="BV101" s="13">
        <f t="shared" si="924"/>
        <v>8.0552643923874001</v>
      </c>
      <c r="BW101" s="13">
        <f t="shared" si="924"/>
        <v>8.1300807640676922</v>
      </c>
      <c r="BX101" s="13">
        <f t="shared" si="924"/>
        <v>7.3290997947364929</v>
      </c>
      <c r="BY101" s="13">
        <f t="shared" si="924"/>
        <v>7.2502963396542981</v>
      </c>
      <c r="BZ101" s="13">
        <f t="shared" si="924"/>
        <v>7.9454709210842136</v>
      </c>
      <c r="CA101" s="13">
        <f t="shared" si="924"/>
        <v>7.6191351692011491</v>
      </c>
      <c r="CB101" s="13">
        <f t="shared" si="924"/>
        <v>13.600767898033149</v>
      </c>
      <c r="CC101" s="13">
        <f t="shared" si="924"/>
        <v>19.931264868170363</v>
      </c>
      <c r="CD101" s="13">
        <f t="shared" si="924"/>
        <v>29.087515642154234</v>
      </c>
      <c r="CE101" s="13">
        <f t="shared" si="924"/>
        <v>27.877692358164555</v>
      </c>
      <c r="CF101" s="13">
        <f t="shared" si="924"/>
        <v>25.911706870535877</v>
      </c>
      <c r="CG101" s="13">
        <f t="shared" si="924"/>
        <v>26.307849434316839</v>
      </c>
      <c r="CH101" s="13">
        <f t="shared" si="924"/>
        <v>22.289766247710478</v>
      </c>
      <c r="CI101" s="13">
        <f t="shared" si="924"/>
        <v>21.973482294129052</v>
      </c>
      <c r="CJ101" s="13">
        <f t="shared" si="924"/>
        <v>29.331243274845431</v>
      </c>
      <c r="CK101" s="13">
        <f t="shared" si="924"/>
        <v>30.030847438727466</v>
      </c>
      <c r="CL101" s="13">
        <f t="shared" si="924"/>
        <v>27.978020104204248</v>
      </c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  <c r="DF101" s="13">
        <v>48.665251184235466</v>
      </c>
    </row>
    <row r="102" spans="1:110" s="98" customFormat="1" x14ac:dyDescent="0.2">
      <c r="A102" s="98" t="s">
        <v>426</v>
      </c>
      <c r="AB102" s="99"/>
      <c r="AC102" s="99"/>
      <c r="AD102" s="99"/>
      <c r="AE102" s="99"/>
      <c r="AL102" s="175"/>
      <c r="AM102" s="175"/>
      <c r="AN102" s="175"/>
      <c r="AO102" s="175" t="e">
        <f t="shared" ref="AO102:CI102" si="925">+CORREL(AL81:AO81,AL98:AO98)</f>
        <v>#DIV/0!</v>
      </c>
      <c r="AP102" s="175" t="e">
        <f t="shared" si="925"/>
        <v>#DIV/0!</v>
      </c>
      <c r="AQ102" s="175" t="e">
        <f t="shared" si="925"/>
        <v>#DIV/0!</v>
      </c>
      <c r="AR102" s="175" t="e">
        <f t="shared" si="925"/>
        <v>#DIV/0!</v>
      </c>
      <c r="AS102" s="175" t="e">
        <f t="shared" si="925"/>
        <v>#DIV/0!</v>
      </c>
      <c r="AT102" s="175" t="e">
        <f t="shared" si="925"/>
        <v>#DIV/0!</v>
      </c>
      <c r="AU102" s="175" t="e">
        <f t="shared" si="925"/>
        <v>#DIV/0!</v>
      </c>
      <c r="AV102" s="175" t="e">
        <f t="shared" si="925"/>
        <v>#DIV/0!</v>
      </c>
      <c r="AW102" s="175" t="e">
        <f t="shared" si="925"/>
        <v>#DIV/0!</v>
      </c>
      <c r="AX102" s="175" t="e">
        <f t="shared" si="925"/>
        <v>#DIV/0!</v>
      </c>
      <c r="AY102" s="175" t="e">
        <f t="shared" si="925"/>
        <v>#DIV/0!</v>
      </c>
      <c r="AZ102" s="175" t="e">
        <f t="shared" si="925"/>
        <v>#DIV/0!</v>
      </c>
      <c r="BA102" s="175" t="e">
        <f t="shared" si="925"/>
        <v>#DIV/0!</v>
      </c>
      <c r="BB102" s="175" t="e">
        <f t="shared" si="925"/>
        <v>#DIV/0!</v>
      </c>
      <c r="BC102" s="175" t="e">
        <f t="shared" si="925"/>
        <v>#DIV/0!</v>
      </c>
      <c r="BD102" s="175" t="e">
        <f t="shared" si="925"/>
        <v>#DIV/0!</v>
      </c>
      <c r="BE102" s="175" t="e">
        <f t="shared" si="925"/>
        <v>#DIV/0!</v>
      </c>
      <c r="BF102" s="175" t="e">
        <f t="shared" si="925"/>
        <v>#DIV/0!</v>
      </c>
      <c r="BG102" s="175" t="e">
        <f t="shared" si="925"/>
        <v>#DIV/0!</v>
      </c>
      <c r="BH102" s="175" t="e">
        <f t="shared" si="925"/>
        <v>#DIV/0!</v>
      </c>
      <c r="BI102" s="175" t="e">
        <f t="shared" si="925"/>
        <v>#DIV/0!</v>
      </c>
      <c r="BJ102" s="175" t="e">
        <f t="shared" si="925"/>
        <v>#DIV/0!</v>
      </c>
      <c r="BK102" s="175" t="e">
        <f t="shared" si="925"/>
        <v>#DIV/0!</v>
      </c>
      <c r="BL102" s="175" t="e">
        <f t="shared" si="925"/>
        <v>#DIV/0!</v>
      </c>
      <c r="BM102" s="175" t="e">
        <f t="shared" si="925"/>
        <v>#DIV/0!</v>
      </c>
      <c r="BN102" s="175" t="e">
        <f t="shared" si="925"/>
        <v>#DIV/0!</v>
      </c>
      <c r="BO102" s="175" t="e">
        <f t="shared" si="925"/>
        <v>#DIV/0!</v>
      </c>
      <c r="BP102" s="175" t="e">
        <f t="shared" si="925"/>
        <v>#DIV/0!</v>
      </c>
      <c r="BQ102" s="175" t="e">
        <f t="shared" si="925"/>
        <v>#DIV/0!</v>
      </c>
      <c r="BR102" s="175" t="e">
        <f t="shared" si="925"/>
        <v>#DIV/0!</v>
      </c>
      <c r="BS102" s="175" t="e">
        <f t="shared" si="925"/>
        <v>#DIV/0!</v>
      </c>
      <c r="BT102" s="175" t="e">
        <f t="shared" si="925"/>
        <v>#DIV/0!</v>
      </c>
      <c r="BU102" s="175">
        <f t="shared" si="925"/>
        <v>0.70727545315024021</v>
      </c>
      <c r="BV102" s="175">
        <f t="shared" si="925"/>
        <v>0.81803676383664881</v>
      </c>
      <c r="BW102" s="175">
        <f t="shared" si="925"/>
        <v>0.70717991922560242</v>
      </c>
      <c r="BX102" s="175">
        <f t="shared" si="925"/>
        <v>-0.97097866953445056</v>
      </c>
      <c r="BY102" s="175">
        <f t="shared" si="925"/>
        <v>-0.90733285109119133</v>
      </c>
      <c r="BZ102" s="175">
        <f t="shared" si="925"/>
        <v>-0.22898270277005162</v>
      </c>
      <c r="CA102" s="175">
        <f t="shared" si="925"/>
        <v>0.68631668688226255</v>
      </c>
      <c r="CB102" s="175">
        <f t="shared" si="925"/>
        <v>0.85757122975283306</v>
      </c>
      <c r="CC102" s="175">
        <f t="shared" si="925"/>
        <v>0.94350922028180817</v>
      </c>
      <c r="CD102" s="175">
        <f t="shared" si="925"/>
        <v>0.99379688084186668</v>
      </c>
      <c r="CE102" s="175">
        <f t="shared" si="925"/>
        <v>0.8714237628255278</v>
      </c>
      <c r="CF102" s="175">
        <f t="shared" si="925"/>
        <v>0.39911552656162613</v>
      </c>
      <c r="CG102" s="175">
        <f t="shared" si="925"/>
        <v>-0.92802783177423076</v>
      </c>
      <c r="CH102" s="175">
        <f t="shared" si="925"/>
        <v>-0.90533464452568668</v>
      </c>
      <c r="CI102" s="175">
        <f t="shared" si="925"/>
        <v>-0.90538345237690676</v>
      </c>
      <c r="CJ102" s="175">
        <f>+CORREL(CG81:CJ81,CG98:CJ98)</f>
        <v>0.34558792412928252</v>
      </c>
      <c r="CK102" s="175">
        <f>+CORREL(CH81:CK81,CH98:CK98)</f>
        <v>0.87933120043087876</v>
      </c>
      <c r="CL102" s="175">
        <f>+CORREL(CI81:CL81,CI98:CL98)</f>
        <v>0.46326494733860124</v>
      </c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E102" s="137"/>
    </row>
    <row r="103" spans="1:110" s="4" customFormat="1" x14ac:dyDescent="0.2">
      <c r="A103" s="3"/>
      <c r="AB103" s="17"/>
      <c r="AC103" s="17"/>
      <c r="AD103" s="17"/>
      <c r="AE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0" s="162" customFormat="1" x14ac:dyDescent="0.2">
      <c r="A104" s="49" t="s">
        <v>505</v>
      </c>
      <c r="E104" s="162">
        <f t="shared" ref="E104:AE104" ca="1" si="926">+E$132/E$77</f>
        <v>0</v>
      </c>
      <c r="F104" s="162">
        <f t="shared" ca="1" si="926"/>
        <v>0</v>
      </c>
      <c r="G104" s="162">
        <f t="shared" ca="1" si="926"/>
        <v>0</v>
      </c>
      <c r="H104" s="162">
        <f t="shared" ca="1" si="926"/>
        <v>0</v>
      </c>
      <c r="I104" s="162">
        <f t="shared" ca="1" si="926"/>
        <v>0</v>
      </c>
      <c r="J104" s="162">
        <f t="shared" ca="1" si="926"/>
        <v>0.61405994940978081</v>
      </c>
      <c r="K104" s="162">
        <f t="shared" ca="1" si="926"/>
        <v>0.63683958082389791</v>
      </c>
      <c r="L104" s="162">
        <f t="shared" ca="1" si="926"/>
        <v>0.69958247410262597</v>
      </c>
      <c r="M104" s="162">
        <f t="shared" ca="1" si="926"/>
        <v>0.71248799084557946</v>
      </c>
      <c r="N104" s="162">
        <f t="shared" ca="1" si="926"/>
        <v>0.72966449048422077</v>
      </c>
      <c r="O104" s="162">
        <f t="shared" ca="1" si="926"/>
        <v>0.7641811491206939</v>
      </c>
      <c r="P104" s="162">
        <f t="shared" ca="1" si="926"/>
        <v>0.76088171524933756</v>
      </c>
      <c r="Q104" s="162">
        <f t="shared" ca="1" si="926"/>
        <v>0.77523488316068423</v>
      </c>
      <c r="R104" s="162">
        <f t="shared" ca="1" si="926"/>
        <v>1.5674536256323779</v>
      </c>
      <c r="S104" s="162">
        <f t="shared" ca="1" si="926"/>
        <v>9.439291736930862</v>
      </c>
      <c r="T104" s="162">
        <f t="shared" ca="1" si="926"/>
        <v>14.928450975668513</v>
      </c>
      <c r="U104" s="162">
        <f t="shared" ca="1" si="926"/>
        <v>22.346783907492171</v>
      </c>
      <c r="V104" s="162">
        <f t="shared" ca="1" si="926"/>
        <v>29.098337749939773</v>
      </c>
      <c r="W104" s="162">
        <f t="shared" ca="1" si="926"/>
        <v>41.395663695495067</v>
      </c>
      <c r="X104" s="162">
        <f t="shared" ca="1" si="926"/>
        <v>56.399903637677667</v>
      </c>
      <c r="Y104" s="162">
        <f t="shared" ca="1" si="926"/>
        <v>78.156359913273903</v>
      </c>
      <c r="Z104" s="162">
        <f t="shared" ca="1" si="926"/>
        <v>81.182257287400631</v>
      </c>
      <c r="AA104" s="162">
        <f t="shared" ca="1" si="926"/>
        <v>81.182257287400631</v>
      </c>
      <c r="AB104" s="21">
        <f t="shared" ca="1" si="926"/>
        <v>178.16352402765659</v>
      </c>
      <c r="AC104" s="21">
        <f t="shared" ca="1" si="926"/>
        <v>263.32688890853819</v>
      </c>
      <c r="AD104" s="21">
        <f t="shared" ca="1" si="926"/>
        <v>385.91224288529349</v>
      </c>
      <c r="AE104" s="21">
        <f t="shared" ca="1" si="926"/>
        <v>559.37734885556347</v>
      </c>
      <c r="AL104" s="162">
        <f t="shared" ref="AL104:BQ104" si="927">+AL$132/AL$77</f>
        <v>0</v>
      </c>
      <c r="AM104" s="162">
        <f t="shared" si="927"/>
        <v>0</v>
      </c>
      <c r="AN104" s="162">
        <f t="shared" si="927"/>
        <v>0</v>
      </c>
      <c r="AO104" s="162">
        <f t="shared" si="927"/>
        <v>0</v>
      </c>
      <c r="AP104" s="162">
        <f t="shared" si="927"/>
        <v>0</v>
      </c>
      <c r="AQ104" s="162">
        <f t="shared" si="927"/>
        <v>0</v>
      </c>
      <c r="AR104" s="162">
        <f t="shared" si="927"/>
        <v>0</v>
      </c>
      <c r="AS104" s="162">
        <f t="shared" si="927"/>
        <v>0</v>
      </c>
      <c r="AT104" s="162">
        <f t="shared" si="927"/>
        <v>0</v>
      </c>
      <c r="AU104" s="162">
        <f t="shared" si="927"/>
        <v>0</v>
      </c>
      <c r="AV104" s="162">
        <f t="shared" si="927"/>
        <v>0</v>
      </c>
      <c r="AW104" s="162">
        <f t="shared" si="927"/>
        <v>0</v>
      </c>
      <c r="AX104" s="162">
        <f t="shared" si="927"/>
        <v>0</v>
      </c>
      <c r="AY104" s="162">
        <f t="shared" si="927"/>
        <v>0</v>
      </c>
      <c r="AZ104" s="162">
        <f t="shared" si="927"/>
        <v>0</v>
      </c>
      <c r="BA104" s="162">
        <f t="shared" si="927"/>
        <v>0</v>
      </c>
      <c r="BB104" s="162">
        <f t="shared" si="927"/>
        <v>0</v>
      </c>
      <c r="BC104" s="162">
        <f t="shared" si="927"/>
        <v>0</v>
      </c>
      <c r="BD104" s="162">
        <f t="shared" si="927"/>
        <v>0</v>
      </c>
      <c r="BE104" s="162">
        <f t="shared" si="927"/>
        <v>0</v>
      </c>
      <c r="BF104" s="162">
        <f t="shared" si="927"/>
        <v>0</v>
      </c>
      <c r="BG104" s="162">
        <f t="shared" si="927"/>
        <v>0</v>
      </c>
      <c r="BH104" s="162">
        <f t="shared" si="927"/>
        <v>0</v>
      </c>
      <c r="BI104" s="162">
        <f t="shared" si="927"/>
        <v>0</v>
      </c>
      <c r="BJ104" s="162">
        <f t="shared" si="927"/>
        <v>0</v>
      </c>
      <c r="BK104" s="162">
        <f t="shared" si="927"/>
        <v>0</v>
      </c>
      <c r="BL104" s="162">
        <f t="shared" si="927"/>
        <v>0</v>
      </c>
      <c r="BM104" s="162">
        <f t="shared" si="927"/>
        <v>0</v>
      </c>
      <c r="BN104" s="162">
        <f t="shared" si="927"/>
        <v>0</v>
      </c>
      <c r="BO104" s="162">
        <f t="shared" si="927"/>
        <v>0</v>
      </c>
      <c r="BP104" s="162">
        <f t="shared" si="927"/>
        <v>0</v>
      </c>
      <c r="BQ104" s="162">
        <f t="shared" si="927"/>
        <v>1.5758853288364247</v>
      </c>
      <c r="BR104" s="162">
        <f t="shared" ref="BR104:DB104" si="928">+BR$132/BR$77</f>
        <v>29.098410021681527</v>
      </c>
      <c r="BS104" s="162">
        <f t="shared" si="928"/>
        <v>32.676463502770424</v>
      </c>
      <c r="BT104" s="162">
        <f t="shared" si="928"/>
        <v>0</v>
      </c>
      <c r="BU104" s="162">
        <f t="shared" si="928"/>
        <v>3.8570224042399426</v>
      </c>
      <c r="BV104" s="162">
        <f t="shared" si="928"/>
        <v>41.395687786075641</v>
      </c>
      <c r="BW104" s="162">
        <f t="shared" si="928"/>
        <v>46.178029390508314</v>
      </c>
      <c r="BX104" s="162">
        <f t="shared" si="928"/>
        <v>48.352083835220427</v>
      </c>
      <c r="BY104" s="162">
        <f t="shared" si="928"/>
        <v>53.551433389544691</v>
      </c>
      <c r="BZ104" s="162">
        <f t="shared" si="928"/>
        <v>56.399903637677667</v>
      </c>
      <c r="CA104" s="162">
        <f t="shared" si="928"/>
        <v>62.791375572151289</v>
      </c>
      <c r="CB104" s="162">
        <f t="shared" si="928"/>
        <v>66.613587087448806</v>
      </c>
      <c r="CC104" s="162">
        <f t="shared" si="928"/>
        <v>73.57853529270055</v>
      </c>
      <c r="CD104" s="162">
        <f t="shared" si="928"/>
        <v>78.156347867983627</v>
      </c>
      <c r="CE104" s="162">
        <f t="shared" si="928"/>
        <v>86.978318477475312</v>
      </c>
      <c r="CF104" s="162">
        <f t="shared" si="928"/>
        <v>66.686340640809448</v>
      </c>
      <c r="CG104" s="162">
        <f t="shared" si="928"/>
        <v>75.963984582028431</v>
      </c>
      <c r="CH104" s="162">
        <f t="shared" si="928"/>
        <v>81.182257287400631</v>
      </c>
      <c r="CI104" s="162">
        <f t="shared" si="928"/>
        <v>92.459419417007965</v>
      </c>
      <c r="CJ104" s="162">
        <f t="shared" si="928"/>
        <v>97.387376535774521</v>
      </c>
      <c r="CK104" s="162">
        <f t="shared" si="928"/>
        <v>109.41483979763913</v>
      </c>
      <c r="CL104" s="162">
        <f t="shared" si="928"/>
        <v>120.23054685617925</v>
      </c>
      <c r="CM104" s="21">
        <f t="shared" si="928"/>
        <v>133.6440281727451</v>
      </c>
      <c r="CN104" s="21">
        <f t="shared" si="928"/>
        <v>148.55587562762651</v>
      </c>
      <c r="CO104" s="21">
        <f t="shared" si="928"/>
        <v>163.15437595713593</v>
      </c>
      <c r="CP104" s="21">
        <f t="shared" si="928"/>
        <v>178.16352402765659</v>
      </c>
      <c r="CQ104" s="21">
        <f t="shared" si="928"/>
        <v>197.43828370584237</v>
      </c>
      <c r="CR104" s="21">
        <f t="shared" si="928"/>
        <v>218.90107413525817</v>
      </c>
      <c r="CS104" s="21">
        <f t="shared" si="928"/>
        <v>240.4939334074742</v>
      </c>
      <c r="CT104" s="21">
        <f t="shared" si="928"/>
        <v>263.32688890853819</v>
      </c>
      <c r="CU104" s="21">
        <f t="shared" si="928"/>
        <v>290.98660801800156</v>
      </c>
      <c r="CV104" s="21">
        <f t="shared" si="928"/>
        <v>321.751054101671</v>
      </c>
      <c r="CW104" s="21">
        <f t="shared" si="928"/>
        <v>352.94644908690259</v>
      </c>
      <c r="CX104" s="21">
        <f t="shared" si="928"/>
        <v>385.91224288529349</v>
      </c>
      <c r="CY104" s="21">
        <f t="shared" si="928"/>
        <v>425.11462013780266</v>
      </c>
      <c r="CZ104" s="21">
        <f t="shared" si="928"/>
        <v>468.55831701169575</v>
      </c>
      <c r="DA104" s="21">
        <f t="shared" si="928"/>
        <v>512.74244100224848</v>
      </c>
      <c r="DB104" s="21">
        <f t="shared" si="928"/>
        <v>559.37734885556347</v>
      </c>
      <c r="DE104" s="22"/>
      <c r="DF104" s="162">
        <v>81.182257287400631</v>
      </c>
    </row>
    <row r="105" spans="1:110" s="162" customFormat="1" x14ac:dyDescent="0.2">
      <c r="A105" s="49" t="s">
        <v>501</v>
      </c>
      <c r="AB105" s="21"/>
      <c r="AC105" s="21"/>
      <c r="AD105" s="21"/>
      <c r="AE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E105" s="22"/>
    </row>
    <row r="106" spans="1:110" s="162" customFormat="1" x14ac:dyDescent="0.2">
      <c r="A106" s="49" t="s">
        <v>502</v>
      </c>
      <c r="E106" s="162" t="e">
        <f t="shared" ref="E106:AE108" ca="1" si="929">+E89/E$104</f>
        <v>#DIV/0!</v>
      </c>
      <c r="F106" s="162" t="e">
        <f t="shared" ca="1" si="929"/>
        <v>#DIV/0!</v>
      </c>
      <c r="G106" s="162" t="e">
        <f t="shared" ca="1" si="929"/>
        <v>#DIV/0!</v>
      </c>
      <c r="H106" s="162" t="e">
        <f t="shared" ca="1" si="929"/>
        <v>#DIV/0!</v>
      </c>
      <c r="I106" s="162" t="e">
        <f t="shared" ca="1" si="929"/>
        <v>#DIV/0!</v>
      </c>
      <c r="J106" s="162">
        <f t="shared" ca="1" si="929"/>
        <v>0</v>
      </c>
      <c r="K106" s="162">
        <f t="shared" ca="1" si="929"/>
        <v>0</v>
      </c>
      <c r="L106" s="162">
        <f t="shared" ca="1" si="929"/>
        <v>0</v>
      </c>
      <c r="M106" s="162">
        <f t="shared" ca="1" si="929"/>
        <v>0</v>
      </c>
      <c r="N106" s="162">
        <f t="shared" ca="1" si="929"/>
        <v>0</v>
      </c>
      <c r="O106" s="162">
        <f t="shared" ca="1" si="929"/>
        <v>0</v>
      </c>
      <c r="P106" s="162">
        <f t="shared" ca="1" si="929"/>
        <v>0</v>
      </c>
      <c r="Q106" s="162">
        <f t="shared" ca="1" si="929"/>
        <v>0</v>
      </c>
      <c r="R106" s="162">
        <f t="shared" ca="1" si="929"/>
        <v>0</v>
      </c>
      <c r="S106" s="162">
        <f t="shared" ca="1" si="929"/>
        <v>0</v>
      </c>
      <c r="T106" s="162">
        <f t="shared" ca="1" si="929"/>
        <v>0</v>
      </c>
      <c r="U106" s="162">
        <f t="shared" ca="1" si="929"/>
        <v>0</v>
      </c>
      <c r="V106" s="162">
        <f t="shared" ca="1" si="929"/>
        <v>0</v>
      </c>
      <c r="W106" s="162">
        <f t="shared" ca="1" si="929"/>
        <v>7.3190033194943469</v>
      </c>
      <c r="X106" s="162">
        <f t="shared" ca="1" si="929"/>
        <v>7.1578136479352112</v>
      </c>
      <c r="Y106" s="162">
        <f t="shared" ca="1" si="929"/>
        <v>23.615800454986722</v>
      </c>
      <c r="Z106" s="162">
        <f t="shared" ca="1" si="929"/>
        <v>23.561182749926516</v>
      </c>
      <c r="AA106" s="162">
        <f t="shared" ref="AA106" ca="1" si="930">+AA89/AA$104</f>
        <v>23.561182749926516</v>
      </c>
      <c r="AB106" s="21">
        <f t="shared" ca="1" si="929"/>
        <v>20.206156224442253</v>
      </c>
      <c r="AC106" s="21">
        <f t="shared" ca="1" si="929"/>
        <v>13.671220644885963</v>
      </c>
      <c r="AD106" s="21">
        <f t="shared" ca="1" si="929"/>
        <v>9.3285457156901987</v>
      </c>
      <c r="AE106" s="21">
        <f t="shared" ca="1" si="929"/>
        <v>6.4357271658662638</v>
      </c>
      <c r="AL106" s="162" t="e">
        <f t="shared" ref="AL106:CI108" si="931">+AL89/AL$104</f>
        <v>#DIV/0!</v>
      </c>
      <c r="AM106" s="162" t="e">
        <f t="shared" si="931"/>
        <v>#DIV/0!</v>
      </c>
      <c r="AN106" s="162" t="e">
        <f t="shared" si="931"/>
        <v>#DIV/0!</v>
      </c>
      <c r="AO106" s="162" t="e">
        <f t="shared" si="931"/>
        <v>#DIV/0!</v>
      </c>
      <c r="AP106" s="162" t="e">
        <f t="shared" si="931"/>
        <v>#DIV/0!</v>
      </c>
      <c r="AQ106" s="162" t="e">
        <f t="shared" si="931"/>
        <v>#DIV/0!</v>
      </c>
      <c r="AR106" s="162" t="e">
        <f t="shared" si="931"/>
        <v>#DIV/0!</v>
      </c>
      <c r="AS106" s="162" t="e">
        <f t="shared" si="931"/>
        <v>#DIV/0!</v>
      </c>
      <c r="AT106" s="162" t="e">
        <f t="shared" si="931"/>
        <v>#DIV/0!</v>
      </c>
      <c r="AU106" s="162" t="e">
        <f t="shared" si="931"/>
        <v>#DIV/0!</v>
      </c>
      <c r="AV106" s="162" t="e">
        <f t="shared" si="931"/>
        <v>#DIV/0!</v>
      </c>
      <c r="AW106" s="162" t="e">
        <f t="shared" si="931"/>
        <v>#DIV/0!</v>
      </c>
      <c r="AX106" s="162" t="e">
        <f t="shared" si="931"/>
        <v>#DIV/0!</v>
      </c>
      <c r="AY106" s="162" t="e">
        <f t="shared" si="931"/>
        <v>#DIV/0!</v>
      </c>
      <c r="AZ106" s="162" t="e">
        <f t="shared" si="931"/>
        <v>#DIV/0!</v>
      </c>
      <c r="BA106" s="162" t="e">
        <f t="shared" si="931"/>
        <v>#DIV/0!</v>
      </c>
      <c r="BB106" s="162" t="e">
        <f t="shared" si="931"/>
        <v>#DIV/0!</v>
      </c>
      <c r="BC106" s="162" t="e">
        <f t="shared" si="931"/>
        <v>#DIV/0!</v>
      </c>
      <c r="BD106" s="162" t="e">
        <f t="shared" si="931"/>
        <v>#DIV/0!</v>
      </c>
      <c r="BE106" s="162" t="e">
        <f t="shared" si="931"/>
        <v>#DIV/0!</v>
      </c>
      <c r="BF106" s="162" t="e">
        <f t="shared" si="931"/>
        <v>#DIV/0!</v>
      </c>
      <c r="BG106" s="162" t="e">
        <f t="shared" si="931"/>
        <v>#DIV/0!</v>
      </c>
      <c r="BH106" s="162" t="e">
        <f t="shared" si="931"/>
        <v>#DIV/0!</v>
      </c>
      <c r="BI106" s="162" t="e">
        <f t="shared" si="931"/>
        <v>#DIV/0!</v>
      </c>
      <c r="BJ106" s="162" t="e">
        <f t="shared" si="931"/>
        <v>#DIV/0!</v>
      </c>
      <c r="BK106" s="162" t="e">
        <f t="shared" si="931"/>
        <v>#DIV/0!</v>
      </c>
      <c r="BL106" s="162" t="e">
        <f t="shared" si="931"/>
        <v>#DIV/0!</v>
      </c>
      <c r="BM106" s="162" t="e">
        <f t="shared" si="931"/>
        <v>#DIV/0!</v>
      </c>
      <c r="BN106" s="162" t="e">
        <f t="shared" si="931"/>
        <v>#DIV/0!</v>
      </c>
      <c r="BO106" s="162" t="e">
        <f t="shared" si="931"/>
        <v>#DIV/0!</v>
      </c>
      <c r="BP106" s="162" t="e">
        <f t="shared" si="931"/>
        <v>#DIV/0!</v>
      </c>
      <c r="BQ106" s="162">
        <f t="shared" si="931"/>
        <v>0</v>
      </c>
      <c r="BR106" s="162">
        <f t="shared" si="931"/>
        <v>0</v>
      </c>
      <c r="BS106" s="162">
        <f t="shared" si="931"/>
        <v>0</v>
      </c>
      <c r="BT106" s="162" t="e">
        <f t="shared" si="931"/>
        <v>#DIV/0!</v>
      </c>
      <c r="BU106" s="162">
        <f t="shared" si="931"/>
        <v>38.164154773429928</v>
      </c>
      <c r="BV106" s="162">
        <f t="shared" si="931"/>
        <v>3.6594995300683517</v>
      </c>
      <c r="BW106" s="162">
        <f t="shared" si="931"/>
        <v>3.555532840337011</v>
      </c>
      <c r="BX106" s="162">
        <f t="shared" si="931"/>
        <v>3.4127277856802989</v>
      </c>
      <c r="BY106" s="162">
        <f t="shared" si="931"/>
        <v>3.2746555768988537</v>
      </c>
      <c r="BZ106" s="162">
        <f t="shared" si="931"/>
        <v>3.5789068239676056</v>
      </c>
      <c r="CA106" s="162">
        <f t="shared" si="931"/>
        <v>3.456485831411833</v>
      </c>
      <c r="CB106" s="162">
        <f t="shared" si="931"/>
        <v>6.3074594594105884</v>
      </c>
      <c r="CC106" s="162">
        <f t="shared" si="931"/>
        <v>8.8004605884596678</v>
      </c>
      <c r="CD106" s="162">
        <f t="shared" si="931"/>
        <v>11.807902047301857</v>
      </c>
      <c r="CE106" s="162">
        <f t="shared" si="931"/>
        <v>11.261283468634277</v>
      </c>
      <c r="CF106" s="162">
        <f t="shared" si="931"/>
        <v>14.683104374762928</v>
      </c>
      <c r="CG106" s="162">
        <f t="shared" si="931"/>
        <v>12.977696015082778</v>
      </c>
      <c r="CH106" s="162">
        <f t="shared" si="931"/>
        <v>11.780591374963258</v>
      </c>
      <c r="CI106" s="162">
        <f t="shared" si="931"/>
        <v>11.68674870352076</v>
      </c>
      <c r="CJ106" s="162">
        <f t="shared" ref="CJ106:DB106" si="932">+CJ89/CJ$104</f>
        <v>14.502906333873421</v>
      </c>
      <c r="CK106" s="162">
        <f t="shared" si="932"/>
        <v>14.224304517362018</v>
      </c>
      <c r="CL106" s="162">
        <f t="shared" ref="CL106" si="933">+CL89/CL$104</f>
        <v>12.625119320265208</v>
      </c>
      <c r="CM106" s="21">
        <f t="shared" si="932"/>
        <v>26.93723056107472</v>
      </c>
      <c r="CN106" s="21">
        <f t="shared" si="932"/>
        <v>24.233306052625213</v>
      </c>
      <c r="CO106" s="21">
        <f t="shared" si="932"/>
        <v>22.06499199841134</v>
      </c>
      <c r="CP106" s="21">
        <f t="shared" si="932"/>
        <v>20.206156224442253</v>
      </c>
      <c r="CQ106" s="21">
        <f t="shared" si="932"/>
        <v>18.233545857618662</v>
      </c>
      <c r="CR106" s="21">
        <f t="shared" si="932"/>
        <v>16.445784993158934</v>
      </c>
      <c r="CS106" s="21">
        <f t="shared" si="932"/>
        <v>14.969192565454199</v>
      </c>
      <c r="CT106" s="21">
        <f t="shared" si="932"/>
        <v>13.671220644885963</v>
      </c>
      <c r="CU106" s="21">
        <f t="shared" si="932"/>
        <v>12.37170337329507</v>
      </c>
      <c r="CV106" s="21">
        <f t="shared" si="932"/>
        <v>11.188774532693298</v>
      </c>
      <c r="CW106" s="21">
        <f t="shared" si="932"/>
        <v>10.199847623664878</v>
      </c>
      <c r="CX106" s="21">
        <f t="shared" si="932"/>
        <v>9.3285457156901987</v>
      </c>
      <c r="CY106" s="21">
        <f t="shared" si="932"/>
        <v>8.4683043806704301</v>
      </c>
      <c r="CZ106" s="21">
        <f t="shared" si="932"/>
        <v>7.6831418188445895</v>
      </c>
      <c r="DA106" s="21">
        <f t="shared" si="932"/>
        <v>7.021068887847755</v>
      </c>
      <c r="DB106" s="21">
        <f t="shared" si="932"/>
        <v>6.4357271658662638</v>
      </c>
      <c r="DE106" s="22"/>
      <c r="DF106" s="162">
        <v>23.561182749926516</v>
      </c>
    </row>
    <row r="107" spans="1:110" s="162" customFormat="1" x14ac:dyDescent="0.2">
      <c r="A107" s="49" t="s">
        <v>503</v>
      </c>
      <c r="E107" s="162" t="e">
        <f t="shared" ca="1" si="929"/>
        <v>#DIV/0!</v>
      </c>
      <c r="F107" s="162" t="e">
        <f t="shared" ca="1" si="929"/>
        <v>#DIV/0!</v>
      </c>
      <c r="G107" s="162" t="e">
        <f t="shared" ca="1" si="929"/>
        <v>#DIV/0!</v>
      </c>
      <c r="H107" s="162" t="e">
        <f t="shared" ca="1" si="929"/>
        <v>#DIV/0!</v>
      </c>
      <c r="I107" s="162" t="e">
        <f t="shared" ca="1" si="929"/>
        <v>#DIV/0!</v>
      </c>
      <c r="J107" s="162">
        <f t="shared" ca="1" si="929"/>
        <v>0</v>
      </c>
      <c r="K107" s="162">
        <f t="shared" ca="1" si="929"/>
        <v>0</v>
      </c>
      <c r="L107" s="162">
        <f t="shared" ca="1" si="929"/>
        <v>0</v>
      </c>
      <c r="M107" s="162">
        <f t="shared" ca="1" si="929"/>
        <v>0</v>
      </c>
      <c r="N107" s="162">
        <f t="shared" ca="1" si="929"/>
        <v>0</v>
      </c>
      <c r="O107" s="162">
        <f t="shared" ca="1" si="929"/>
        <v>0</v>
      </c>
      <c r="P107" s="162">
        <f t="shared" ca="1" si="929"/>
        <v>0</v>
      </c>
      <c r="Q107" s="162">
        <f t="shared" ca="1" si="929"/>
        <v>0</v>
      </c>
      <c r="R107" s="162">
        <f t="shared" ca="1" si="929"/>
        <v>0</v>
      </c>
      <c r="S107" s="162">
        <f t="shared" ca="1" si="929"/>
        <v>0</v>
      </c>
      <c r="T107" s="162">
        <f t="shared" ca="1" si="929"/>
        <v>0</v>
      </c>
      <c r="U107" s="162">
        <f t="shared" ca="1" si="929"/>
        <v>0</v>
      </c>
      <c r="V107" s="162">
        <f t="shared" ca="1" si="929"/>
        <v>0</v>
      </c>
      <c r="W107" s="162">
        <f t="shared" ca="1" si="929"/>
        <v>7.8945466946472562</v>
      </c>
      <c r="X107" s="162">
        <f t="shared" ca="1" si="929"/>
        <v>7.6352080806096128</v>
      </c>
      <c r="Y107" s="162">
        <f t="shared" ca="1" si="929"/>
        <v>26.867935025763114</v>
      </c>
      <c r="Z107" s="162">
        <f t="shared" ca="1" si="929"/>
        <v>28.581060413062737</v>
      </c>
      <c r="AA107" s="162">
        <f t="shared" ref="AA107" ca="1" si="934">+AA90/AA$104</f>
        <v>28.581060413062737</v>
      </c>
      <c r="AB107" s="21">
        <f t="shared" ca="1" si="929"/>
        <v>24.387558068206637</v>
      </c>
      <c r="AC107" s="21">
        <f t="shared" ca="1" si="929"/>
        <v>24.255982336405506</v>
      </c>
      <c r="AD107" s="21">
        <f t="shared" ca="1" si="929"/>
        <v>23.823814138463064</v>
      </c>
      <c r="AE107" s="21">
        <f t="shared" ca="1" si="929"/>
        <v>23.257793642140346</v>
      </c>
      <c r="AL107" s="162" t="e">
        <f t="shared" si="931"/>
        <v>#DIV/0!</v>
      </c>
      <c r="AM107" s="162" t="e">
        <f t="shared" si="931"/>
        <v>#DIV/0!</v>
      </c>
      <c r="AN107" s="162" t="e">
        <f t="shared" si="931"/>
        <v>#DIV/0!</v>
      </c>
      <c r="AO107" s="162" t="e">
        <f t="shared" si="931"/>
        <v>#DIV/0!</v>
      </c>
      <c r="AP107" s="162" t="e">
        <f t="shared" si="931"/>
        <v>#DIV/0!</v>
      </c>
      <c r="AQ107" s="162" t="e">
        <f t="shared" si="931"/>
        <v>#DIV/0!</v>
      </c>
      <c r="AR107" s="162" t="e">
        <f t="shared" si="931"/>
        <v>#DIV/0!</v>
      </c>
      <c r="AS107" s="162" t="e">
        <f t="shared" si="931"/>
        <v>#DIV/0!</v>
      </c>
      <c r="AT107" s="162" t="e">
        <f t="shared" si="931"/>
        <v>#DIV/0!</v>
      </c>
      <c r="AU107" s="162" t="e">
        <f t="shared" si="931"/>
        <v>#DIV/0!</v>
      </c>
      <c r="AV107" s="162" t="e">
        <f t="shared" si="931"/>
        <v>#DIV/0!</v>
      </c>
      <c r="AW107" s="162" t="e">
        <f t="shared" si="931"/>
        <v>#DIV/0!</v>
      </c>
      <c r="AX107" s="162" t="e">
        <f t="shared" si="931"/>
        <v>#DIV/0!</v>
      </c>
      <c r="AY107" s="162" t="e">
        <f t="shared" si="931"/>
        <v>#DIV/0!</v>
      </c>
      <c r="AZ107" s="162" t="e">
        <f t="shared" si="931"/>
        <v>#DIV/0!</v>
      </c>
      <c r="BA107" s="162" t="e">
        <f t="shared" si="931"/>
        <v>#DIV/0!</v>
      </c>
      <c r="BB107" s="162" t="e">
        <f t="shared" si="931"/>
        <v>#DIV/0!</v>
      </c>
      <c r="BC107" s="162" t="e">
        <f t="shared" si="931"/>
        <v>#DIV/0!</v>
      </c>
      <c r="BD107" s="162" t="e">
        <f t="shared" si="931"/>
        <v>#DIV/0!</v>
      </c>
      <c r="BE107" s="162" t="e">
        <f t="shared" si="931"/>
        <v>#DIV/0!</v>
      </c>
      <c r="BF107" s="162" t="e">
        <f t="shared" si="931"/>
        <v>#DIV/0!</v>
      </c>
      <c r="BG107" s="162" t="e">
        <f t="shared" si="931"/>
        <v>#DIV/0!</v>
      </c>
      <c r="BH107" s="162" t="e">
        <f t="shared" si="931"/>
        <v>#DIV/0!</v>
      </c>
      <c r="BI107" s="162" t="e">
        <f t="shared" si="931"/>
        <v>#DIV/0!</v>
      </c>
      <c r="BJ107" s="162" t="e">
        <f t="shared" si="931"/>
        <v>#DIV/0!</v>
      </c>
      <c r="BK107" s="162" t="e">
        <f t="shared" si="931"/>
        <v>#DIV/0!</v>
      </c>
      <c r="BL107" s="162" t="e">
        <f t="shared" si="931"/>
        <v>#DIV/0!</v>
      </c>
      <c r="BM107" s="162" t="e">
        <f t="shared" si="931"/>
        <v>#DIV/0!</v>
      </c>
      <c r="BN107" s="162" t="e">
        <f t="shared" si="931"/>
        <v>#DIV/0!</v>
      </c>
      <c r="BO107" s="162" t="e">
        <f t="shared" si="931"/>
        <v>#DIV/0!</v>
      </c>
      <c r="BP107" s="162" t="e">
        <f t="shared" si="931"/>
        <v>#DIV/0!</v>
      </c>
      <c r="BQ107" s="162">
        <f t="shared" si="931"/>
        <v>0</v>
      </c>
      <c r="BR107" s="162">
        <f t="shared" si="931"/>
        <v>0</v>
      </c>
      <c r="BS107" s="162">
        <f t="shared" si="931"/>
        <v>0</v>
      </c>
      <c r="BT107" s="162" t="e">
        <f t="shared" si="931"/>
        <v>#DIV/0!</v>
      </c>
      <c r="BU107" s="162">
        <f t="shared" si="931"/>
        <v>39.859115111957777</v>
      </c>
      <c r="BV107" s="162">
        <f t="shared" si="931"/>
        <v>3.9472710501735695</v>
      </c>
      <c r="BW107" s="162">
        <f t="shared" si="931"/>
        <v>3.8546469468137827</v>
      </c>
      <c r="BX107" s="162">
        <f t="shared" si="931"/>
        <v>3.5846438509387943</v>
      </c>
      <c r="BY107" s="162">
        <f t="shared" si="931"/>
        <v>3.4408509415543516</v>
      </c>
      <c r="BZ107" s="162">
        <f t="shared" si="931"/>
        <v>3.8176040403048064</v>
      </c>
      <c r="CA107" s="162">
        <f t="shared" si="931"/>
        <v>3.5830955756252711</v>
      </c>
      <c r="CB107" s="162">
        <f t="shared" si="931"/>
        <v>6.4870399402559737</v>
      </c>
      <c r="CC107" s="162">
        <f t="shared" si="931"/>
        <v>9.230783098605384</v>
      </c>
      <c r="CD107" s="162">
        <f t="shared" si="931"/>
        <v>13.433969583296088</v>
      </c>
      <c r="CE107" s="162">
        <f t="shared" si="931"/>
        <v>12.356240254038946</v>
      </c>
      <c r="CF107" s="162">
        <f t="shared" si="931"/>
        <v>16.067195916045012</v>
      </c>
      <c r="CG107" s="162">
        <f t="shared" si="931"/>
        <v>15.272204405592298</v>
      </c>
      <c r="CH107" s="162">
        <f t="shared" si="931"/>
        <v>13.090760660149016</v>
      </c>
      <c r="CI107" s="162">
        <f t="shared" si="931"/>
        <v>11.838707261000252</v>
      </c>
      <c r="CJ107" s="162">
        <f t="shared" ref="CJ107:CK108" si="935">+CJ90/CJ$104</f>
        <v>15.890149781697195</v>
      </c>
      <c r="CK107" s="162">
        <f t="shared" si="935"/>
        <v>15.189210193733334</v>
      </c>
      <c r="CL107" s="162">
        <f t="shared" ref="CL107" si="936">+CL90/CL$104</f>
        <v>13.481182963751083</v>
      </c>
      <c r="CM107" s="94">
        <f t="shared" ref="CM107:DB107" si="937">+CL107</f>
        <v>13.481182963751083</v>
      </c>
      <c r="CN107" s="94">
        <f t="shared" si="937"/>
        <v>13.481182963751083</v>
      </c>
      <c r="CO107" s="94">
        <f t="shared" si="937"/>
        <v>13.481182963751083</v>
      </c>
      <c r="CP107" s="94">
        <f t="shared" si="937"/>
        <v>13.481182963751083</v>
      </c>
      <c r="CQ107" s="94">
        <f t="shared" si="937"/>
        <v>13.481182963751083</v>
      </c>
      <c r="CR107" s="94">
        <f t="shared" si="937"/>
        <v>13.481182963751083</v>
      </c>
      <c r="CS107" s="94">
        <f t="shared" si="937"/>
        <v>13.481182963751083</v>
      </c>
      <c r="CT107" s="94">
        <f t="shared" si="937"/>
        <v>13.481182963751083</v>
      </c>
      <c r="CU107" s="94">
        <f t="shared" si="937"/>
        <v>13.481182963751083</v>
      </c>
      <c r="CV107" s="94">
        <f t="shared" si="937"/>
        <v>13.481182963751083</v>
      </c>
      <c r="CW107" s="94">
        <f t="shared" si="937"/>
        <v>13.481182963751083</v>
      </c>
      <c r="CX107" s="94">
        <f t="shared" si="937"/>
        <v>13.481182963751083</v>
      </c>
      <c r="CY107" s="94">
        <f t="shared" si="937"/>
        <v>13.481182963751083</v>
      </c>
      <c r="CZ107" s="94">
        <f t="shared" si="937"/>
        <v>13.481182963751083</v>
      </c>
      <c r="DA107" s="94">
        <f t="shared" si="937"/>
        <v>13.481182963751083</v>
      </c>
      <c r="DB107" s="94">
        <f t="shared" si="937"/>
        <v>13.481182963751083</v>
      </c>
      <c r="DC107" s="94"/>
      <c r="DE107" s="22"/>
      <c r="DF107" s="162">
        <v>28.581060413062737</v>
      </c>
    </row>
    <row r="108" spans="1:110" s="162" customFormat="1" x14ac:dyDescent="0.2">
      <c r="A108" s="49" t="s">
        <v>504</v>
      </c>
      <c r="E108" s="162" t="e">
        <f t="shared" ca="1" si="929"/>
        <v>#DIV/0!</v>
      </c>
      <c r="F108" s="162" t="e">
        <f t="shared" ca="1" si="929"/>
        <v>#DIV/0!</v>
      </c>
      <c r="G108" s="162" t="e">
        <f t="shared" ca="1" si="929"/>
        <v>#DIV/0!</v>
      </c>
      <c r="H108" s="162" t="e">
        <f t="shared" ca="1" si="929"/>
        <v>#DIV/0!</v>
      </c>
      <c r="I108" s="162" t="e">
        <f t="shared" ca="1" si="929"/>
        <v>#DIV/0!</v>
      </c>
      <c r="J108" s="162">
        <f t="shared" ca="1" si="929"/>
        <v>0</v>
      </c>
      <c r="K108" s="162">
        <f t="shared" ca="1" si="929"/>
        <v>0</v>
      </c>
      <c r="L108" s="162">
        <f t="shared" ca="1" si="929"/>
        <v>0</v>
      </c>
      <c r="M108" s="162">
        <f t="shared" ca="1" si="929"/>
        <v>0</v>
      </c>
      <c r="N108" s="162">
        <f t="shared" ca="1" si="929"/>
        <v>0</v>
      </c>
      <c r="O108" s="162">
        <f t="shared" ca="1" si="929"/>
        <v>0</v>
      </c>
      <c r="P108" s="162">
        <f t="shared" ca="1" si="929"/>
        <v>0</v>
      </c>
      <c r="Q108" s="162">
        <f t="shared" ca="1" si="929"/>
        <v>0</v>
      </c>
      <c r="R108" s="162">
        <f t="shared" ca="1" si="929"/>
        <v>0</v>
      </c>
      <c r="S108" s="162">
        <f t="shared" ca="1" si="929"/>
        <v>0</v>
      </c>
      <c r="T108" s="162">
        <f t="shared" ca="1" si="929"/>
        <v>0</v>
      </c>
      <c r="U108" s="162">
        <f t="shared" ca="1" si="929"/>
        <v>0</v>
      </c>
      <c r="V108" s="162">
        <f t="shared" ca="1" si="929"/>
        <v>0</v>
      </c>
      <c r="W108" s="162">
        <f t="shared" ca="1" si="929"/>
        <v>6.5447676353956794</v>
      </c>
      <c r="X108" s="162">
        <f t="shared" ca="1" si="929"/>
        <v>5.3634843410958668</v>
      </c>
      <c r="Y108" s="162">
        <f t="shared" ca="1" si="929"/>
        <v>5.1467340654856004</v>
      </c>
      <c r="Z108" s="162">
        <f t="shared" ca="1" si="929"/>
        <v>19.536904404925345</v>
      </c>
      <c r="AA108" s="162">
        <f t="shared" ref="AA108" ca="1" si="938">+AA91/AA$104</f>
        <v>19.536904404925345</v>
      </c>
      <c r="AB108" s="21">
        <f t="shared" ca="1" si="929"/>
        <v>15.880564277431917</v>
      </c>
      <c r="AC108" s="21">
        <f t="shared" ca="1" si="929"/>
        <v>13.759876441353306</v>
      </c>
      <c r="AD108" s="21">
        <f t="shared" ca="1" si="929"/>
        <v>13.768151133966249</v>
      </c>
      <c r="AE108" s="21">
        <f t="shared" ca="1" si="929"/>
        <v>13.618923500282412</v>
      </c>
      <c r="AL108" s="162" t="e">
        <f t="shared" si="931"/>
        <v>#DIV/0!</v>
      </c>
      <c r="AM108" s="162" t="e">
        <f t="shared" si="931"/>
        <v>#DIV/0!</v>
      </c>
      <c r="AN108" s="162" t="e">
        <f t="shared" si="931"/>
        <v>#DIV/0!</v>
      </c>
      <c r="AO108" s="162" t="e">
        <f t="shared" si="931"/>
        <v>#DIV/0!</v>
      </c>
      <c r="AP108" s="162" t="e">
        <f t="shared" si="931"/>
        <v>#DIV/0!</v>
      </c>
      <c r="AQ108" s="162" t="e">
        <f t="shared" si="931"/>
        <v>#DIV/0!</v>
      </c>
      <c r="AR108" s="162" t="e">
        <f t="shared" si="931"/>
        <v>#DIV/0!</v>
      </c>
      <c r="AS108" s="162" t="e">
        <f t="shared" si="931"/>
        <v>#DIV/0!</v>
      </c>
      <c r="AT108" s="162" t="e">
        <f t="shared" si="931"/>
        <v>#DIV/0!</v>
      </c>
      <c r="AU108" s="162" t="e">
        <f t="shared" si="931"/>
        <v>#DIV/0!</v>
      </c>
      <c r="AV108" s="162" t="e">
        <f t="shared" si="931"/>
        <v>#DIV/0!</v>
      </c>
      <c r="AW108" s="162" t="e">
        <f t="shared" si="931"/>
        <v>#DIV/0!</v>
      </c>
      <c r="AX108" s="162" t="e">
        <f t="shared" si="931"/>
        <v>#DIV/0!</v>
      </c>
      <c r="AY108" s="162" t="e">
        <f t="shared" si="931"/>
        <v>#DIV/0!</v>
      </c>
      <c r="AZ108" s="162" t="e">
        <f t="shared" si="931"/>
        <v>#DIV/0!</v>
      </c>
      <c r="BA108" s="162" t="e">
        <f t="shared" si="931"/>
        <v>#DIV/0!</v>
      </c>
      <c r="BB108" s="162" t="e">
        <f t="shared" si="931"/>
        <v>#DIV/0!</v>
      </c>
      <c r="BC108" s="162" t="e">
        <f t="shared" si="931"/>
        <v>#DIV/0!</v>
      </c>
      <c r="BD108" s="162" t="e">
        <f t="shared" si="931"/>
        <v>#DIV/0!</v>
      </c>
      <c r="BE108" s="162" t="e">
        <f t="shared" si="931"/>
        <v>#DIV/0!</v>
      </c>
      <c r="BF108" s="162" t="e">
        <f t="shared" si="931"/>
        <v>#DIV/0!</v>
      </c>
      <c r="BG108" s="162" t="e">
        <f t="shared" si="931"/>
        <v>#DIV/0!</v>
      </c>
      <c r="BH108" s="162" t="e">
        <f t="shared" si="931"/>
        <v>#DIV/0!</v>
      </c>
      <c r="BI108" s="162" t="e">
        <f t="shared" si="931"/>
        <v>#DIV/0!</v>
      </c>
      <c r="BJ108" s="162" t="e">
        <f t="shared" si="931"/>
        <v>#DIV/0!</v>
      </c>
      <c r="BK108" s="162" t="e">
        <f t="shared" si="931"/>
        <v>#DIV/0!</v>
      </c>
      <c r="BL108" s="162" t="e">
        <f t="shared" si="931"/>
        <v>#DIV/0!</v>
      </c>
      <c r="BM108" s="162" t="e">
        <f t="shared" si="931"/>
        <v>#DIV/0!</v>
      </c>
      <c r="BN108" s="162" t="e">
        <f t="shared" si="931"/>
        <v>#DIV/0!</v>
      </c>
      <c r="BO108" s="162" t="e">
        <f t="shared" si="931"/>
        <v>#DIV/0!</v>
      </c>
      <c r="BP108" s="162" t="e">
        <f t="shared" si="931"/>
        <v>#DIV/0!</v>
      </c>
      <c r="BQ108" s="162">
        <f t="shared" si="931"/>
        <v>0</v>
      </c>
      <c r="BR108" s="162">
        <f t="shared" si="931"/>
        <v>0</v>
      </c>
      <c r="BS108" s="162">
        <f t="shared" si="931"/>
        <v>0</v>
      </c>
      <c r="BT108" s="162" t="e">
        <f t="shared" si="931"/>
        <v>#DIV/0!</v>
      </c>
      <c r="BU108" s="162">
        <f t="shared" si="931"/>
        <v>0</v>
      </c>
      <c r="BV108" s="162">
        <f t="shared" si="931"/>
        <v>3.2723819133056131</v>
      </c>
      <c r="BW108" s="162">
        <f t="shared" si="931"/>
        <v>3.2753671387954193</v>
      </c>
      <c r="BX108" s="162">
        <f t="shared" si="931"/>
        <v>3.2418458020173437</v>
      </c>
      <c r="BY108" s="162">
        <f t="shared" si="931"/>
        <v>3.0531395641768482</v>
      </c>
      <c r="BZ108" s="162">
        <f t="shared" si="931"/>
        <v>3.0549697585812163</v>
      </c>
      <c r="CA108" s="162">
        <f t="shared" si="931"/>
        <v>3.2030672710600929</v>
      </c>
      <c r="CB108" s="162">
        <f t="shared" si="931"/>
        <v>3.1943558259467006</v>
      </c>
      <c r="CC108" s="162">
        <f t="shared" si="931"/>
        <v>5.6123704876327869</v>
      </c>
      <c r="CD108" s="162">
        <f t="shared" si="931"/>
        <v>8.0447720134267477</v>
      </c>
      <c r="CE108" s="162">
        <f t="shared" si="931"/>
        <v>9.8587787739546364</v>
      </c>
      <c r="CF108" s="162">
        <f t="shared" si="931"/>
        <v>12.996664559362751</v>
      </c>
      <c r="CG108" s="162">
        <f t="shared" si="931"/>
        <v>12.385310027860012</v>
      </c>
      <c r="CH108" s="162">
        <f t="shared" si="931"/>
        <v>9.7684522024626723</v>
      </c>
      <c r="CI108" s="162">
        <f t="shared" si="931"/>
        <v>8.7822312223023982</v>
      </c>
      <c r="CJ108" s="162">
        <f t="shared" si="935"/>
        <v>10.443088582701511</v>
      </c>
      <c r="CK108" s="162">
        <f t="shared" si="935"/>
        <v>12.681095202133069</v>
      </c>
      <c r="CL108" s="162">
        <f t="shared" ref="CL108" si="939">+CL91/CL$104</f>
        <v>11.261697092833369</v>
      </c>
      <c r="CM108" s="94">
        <f t="shared" ref="CM108:DB108" si="940">+CL108</f>
        <v>11.261697092833369</v>
      </c>
      <c r="CN108" s="94">
        <f t="shared" si="940"/>
        <v>11.261697092833369</v>
      </c>
      <c r="CO108" s="94">
        <f t="shared" si="940"/>
        <v>11.261697092833369</v>
      </c>
      <c r="CP108" s="94">
        <f t="shared" si="940"/>
        <v>11.261697092833369</v>
      </c>
      <c r="CQ108" s="94">
        <f t="shared" si="940"/>
        <v>11.261697092833369</v>
      </c>
      <c r="CR108" s="94">
        <f t="shared" si="940"/>
        <v>11.261697092833369</v>
      </c>
      <c r="CS108" s="94">
        <f t="shared" si="940"/>
        <v>11.261697092833369</v>
      </c>
      <c r="CT108" s="94">
        <f t="shared" si="940"/>
        <v>11.261697092833369</v>
      </c>
      <c r="CU108" s="94">
        <f t="shared" si="940"/>
        <v>11.261697092833369</v>
      </c>
      <c r="CV108" s="94">
        <f t="shared" si="940"/>
        <v>11.261697092833369</v>
      </c>
      <c r="CW108" s="94">
        <f t="shared" si="940"/>
        <v>11.261697092833369</v>
      </c>
      <c r="CX108" s="94">
        <f t="shared" si="940"/>
        <v>11.261697092833369</v>
      </c>
      <c r="CY108" s="94">
        <f t="shared" si="940"/>
        <v>11.261697092833369</v>
      </c>
      <c r="CZ108" s="94">
        <f t="shared" si="940"/>
        <v>11.261697092833369</v>
      </c>
      <c r="DA108" s="94">
        <f t="shared" si="940"/>
        <v>11.261697092833369</v>
      </c>
      <c r="DB108" s="94">
        <f t="shared" si="940"/>
        <v>11.261697092833369</v>
      </c>
      <c r="DC108" s="94"/>
      <c r="DE108" s="22"/>
      <c r="DF108" s="162">
        <v>19.536904404925345</v>
      </c>
    </row>
    <row r="109" spans="1:110" s="4" customFormat="1" x14ac:dyDescent="0.2">
      <c r="A109" s="3"/>
      <c r="AB109" s="17"/>
      <c r="AC109" s="17"/>
      <c r="AD109" s="17"/>
      <c r="AE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0" s="177" customFormat="1" x14ac:dyDescent="0.2">
      <c r="A110" s="177" t="s">
        <v>510</v>
      </c>
      <c r="E110" s="177">
        <f t="shared" ref="E110:Y110" si="941">+E22</f>
        <v>0</v>
      </c>
      <c r="F110" s="177">
        <f t="shared" si="941"/>
        <v>0</v>
      </c>
      <c r="G110" s="177">
        <f t="shared" si="941"/>
        <v>0</v>
      </c>
      <c r="H110" s="177">
        <f t="shared" si="941"/>
        <v>0</v>
      </c>
      <c r="I110" s="177">
        <f t="shared" si="941"/>
        <v>0</v>
      </c>
      <c r="J110" s="177">
        <f t="shared" si="941"/>
        <v>1.6416811</v>
      </c>
      <c r="K110" s="177">
        <f t="shared" si="941"/>
        <v>2.0119999000000002</v>
      </c>
      <c r="L110" s="177">
        <f t="shared" si="941"/>
        <v>2.012</v>
      </c>
      <c r="M110" s="177">
        <f t="shared" si="941"/>
        <v>0.94233259999999996</v>
      </c>
      <c r="N110" s="177">
        <f t="shared" si="941"/>
        <v>0.63295319999999999</v>
      </c>
      <c r="O110" s="177">
        <f t="shared" si="941"/>
        <v>0.503</v>
      </c>
      <c r="P110" s="177">
        <f t="shared" si="941"/>
        <v>0</v>
      </c>
      <c r="Q110" s="177">
        <f t="shared" si="941"/>
        <v>0.47499999999999998</v>
      </c>
      <c r="R110" s="177">
        <f t="shared" si="941"/>
        <v>41.014000000000003</v>
      </c>
      <c r="S110" s="177">
        <f t="shared" si="941"/>
        <v>221.03200000000001</v>
      </c>
      <c r="T110" s="177">
        <f t="shared" si="941"/>
        <v>276.58699999999999</v>
      </c>
      <c r="U110" s="177">
        <f t="shared" si="941"/>
        <v>331.827</v>
      </c>
      <c r="V110" s="177">
        <f t="shared" si="941"/>
        <v>265.33019999999999</v>
      </c>
      <c r="W110" s="177">
        <f t="shared" si="941"/>
        <v>417.48509999999999</v>
      </c>
      <c r="X110" s="177">
        <f t="shared" si="941"/>
        <v>548.63160000000005</v>
      </c>
      <c r="Y110" s="177">
        <f t="shared" si="941"/>
        <v>724.32249999999999</v>
      </c>
      <c r="Z110" s="177">
        <f>+Z22</f>
        <v>939.09460000000001</v>
      </c>
      <c r="AA110" s="177">
        <f>+AA22</f>
        <v>1148.825</v>
      </c>
      <c r="AB110" s="178">
        <f t="shared" ref="AB110:AE110" si="942">+AB22</f>
        <v>1481.5132947404486</v>
      </c>
      <c r="AC110" s="178">
        <f t="shared" si="942"/>
        <v>1925.9672831625833</v>
      </c>
      <c r="AD110" s="178">
        <f t="shared" si="942"/>
        <v>2503.7574681113583</v>
      </c>
      <c r="AE110" s="178">
        <f t="shared" si="942"/>
        <v>3254.8847085447655</v>
      </c>
      <c r="AL110" s="177">
        <f t="shared" ref="AL110:BQ110" si="943">+SUM(AI20:AL20)</f>
        <v>0</v>
      </c>
      <c r="AM110" s="177">
        <f t="shared" si="943"/>
        <v>0</v>
      </c>
      <c r="AN110" s="177">
        <f t="shared" si="943"/>
        <v>0</v>
      </c>
      <c r="AO110" s="177">
        <f t="shared" si="943"/>
        <v>0</v>
      </c>
      <c r="AP110" s="177">
        <f t="shared" si="943"/>
        <v>0</v>
      </c>
      <c r="AQ110" s="177">
        <f t="shared" si="943"/>
        <v>0</v>
      </c>
      <c r="AR110" s="177">
        <f t="shared" si="943"/>
        <v>0</v>
      </c>
      <c r="AS110" s="177">
        <f t="shared" si="943"/>
        <v>0</v>
      </c>
      <c r="AT110" s="177">
        <f t="shared" si="943"/>
        <v>0</v>
      </c>
      <c r="AU110" s="177">
        <f t="shared" si="943"/>
        <v>0</v>
      </c>
      <c r="AV110" s="177">
        <f t="shared" si="943"/>
        <v>0</v>
      </c>
      <c r="AW110" s="177">
        <f t="shared" si="943"/>
        <v>0</v>
      </c>
      <c r="AX110" s="177">
        <f t="shared" si="943"/>
        <v>0</v>
      </c>
      <c r="AY110" s="177">
        <f t="shared" si="943"/>
        <v>0</v>
      </c>
      <c r="AZ110" s="177">
        <f t="shared" si="943"/>
        <v>0</v>
      </c>
      <c r="BA110" s="177">
        <f t="shared" si="943"/>
        <v>0</v>
      </c>
      <c r="BB110" s="177">
        <f t="shared" si="943"/>
        <v>0</v>
      </c>
      <c r="BC110" s="177">
        <f t="shared" si="943"/>
        <v>0</v>
      </c>
      <c r="BD110" s="177">
        <f t="shared" si="943"/>
        <v>0</v>
      </c>
      <c r="BE110" s="177">
        <f t="shared" si="943"/>
        <v>0</v>
      </c>
      <c r="BF110" s="177">
        <f t="shared" si="943"/>
        <v>0</v>
      </c>
      <c r="BG110" s="177">
        <f t="shared" si="943"/>
        <v>0</v>
      </c>
      <c r="BH110" s="177">
        <f t="shared" si="943"/>
        <v>0</v>
      </c>
      <c r="BI110" s="177">
        <f t="shared" si="943"/>
        <v>0</v>
      </c>
      <c r="BJ110" s="177">
        <f t="shared" si="943"/>
        <v>0</v>
      </c>
      <c r="BK110" s="177">
        <f t="shared" si="943"/>
        <v>0</v>
      </c>
      <c r="BL110" s="177">
        <f t="shared" si="943"/>
        <v>0</v>
      </c>
      <c r="BM110" s="177">
        <f t="shared" si="943"/>
        <v>0</v>
      </c>
      <c r="BN110" s="177">
        <f t="shared" si="943"/>
        <v>0</v>
      </c>
      <c r="BO110" s="177">
        <f t="shared" si="943"/>
        <v>0</v>
      </c>
      <c r="BP110" s="177">
        <f t="shared" si="943"/>
        <v>0</v>
      </c>
      <c r="BQ110" s="177">
        <f t="shared" si="943"/>
        <v>68.081999999999994</v>
      </c>
      <c r="BR110" s="177">
        <f t="shared" ref="BR110:CW110" si="944">+SUM(BO20:BR20)</f>
        <v>138.285</v>
      </c>
      <c r="BS110" s="177">
        <f t="shared" si="944"/>
        <v>235.83699999999999</v>
      </c>
      <c r="BT110" s="177">
        <f t="shared" si="944"/>
        <v>337.56200000000001</v>
      </c>
      <c r="BU110" s="177">
        <f t="shared" si="944"/>
        <v>375.173</v>
      </c>
      <c r="BV110" s="177">
        <f t="shared" si="944"/>
        <v>417.48499999999996</v>
      </c>
      <c r="BW110" s="177">
        <f t="shared" si="944"/>
        <v>451.53999999999996</v>
      </c>
      <c r="BX110" s="177">
        <f t="shared" si="944"/>
        <v>485.87799999999999</v>
      </c>
      <c r="BY110" s="177">
        <f t="shared" si="944"/>
        <v>518.18700000000001</v>
      </c>
      <c r="BZ110" s="177">
        <f t="shared" si="944"/>
        <v>548.63199999999995</v>
      </c>
      <c r="CA110" s="177">
        <f t="shared" si="944"/>
        <v>592.05099999999993</v>
      </c>
      <c r="CB110" s="177">
        <f t="shared" si="944"/>
        <v>638.56899999999996</v>
      </c>
      <c r="CC110" s="177">
        <f t="shared" si="944"/>
        <v>682.99800000000005</v>
      </c>
      <c r="CD110" s="177">
        <f t="shared" si="944"/>
        <v>724.322</v>
      </c>
      <c r="CE110" s="177">
        <f t="shared" si="944"/>
        <v>786.91000000000008</v>
      </c>
      <c r="CF110" s="177">
        <f t="shared" si="944"/>
        <v>846.81000000000006</v>
      </c>
      <c r="CG110" s="177">
        <f t="shared" si="944"/>
        <v>901.41899999999998</v>
      </c>
      <c r="CH110" s="177">
        <f t="shared" si="944"/>
        <v>939.09500000000003</v>
      </c>
      <c r="CI110" s="177">
        <f t="shared" si="944"/>
        <v>975.49800000000005</v>
      </c>
      <c r="CJ110" s="177">
        <f t="shared" si="944"/>
        <v>1030.383</v>
      </c>
      <c r="CK110" s="177">
        <f t="shared" si="944"/>
        <v>1082.9670000000001</v>
      </c>
      <c r="CL110" s="177">
        <f t="shared" si="944"/>
        <v>1148.825</v>
      </c>
      <c r="CM110" s="178">
        <f t="shared" si="944"/>
        <v>1219.0708947404487</v>
      </c>
      <c r="CN110" s="178">
        <f t="shared" si="944"/>
        <v>1308.2806947404488</v>
      </c>
      <c r="CO110" s="178">
        <f t="shared" si="944"/>
        <v>1395.1678947404487</v>
      </c>
      <c r="CP110" s="178">
        <f t="shared" si="944"/>
        <v>1481.5132947404486</v>
      </c>
      <c r="CQ110" s="178">
        <f t="shared" si="944"/>
        <v>1584.7921631625834</v>
      </c>
      <c r="CR110" s="178">
        <f t="shared" si="944"/>
        <v>1700.7649031625836</v>
      </c>
      <c r="CS110" s="178">
        <f t="shared" si="944"/>
        <v>1813.7182631625833</v>
      </c>
      <c r="CT110" s="178">
        <f t="shared" si="944"/>
        <v>1925.9672831625833</v>
      </c>
      <c r="CU110" s="178">
        <f t="shared" si="944"/>
        <v>2060.2298121113581</v>
      </c>
      <c r="CV110" s="178">
        <f t="shared" si="944"/>
        <v>2210.9943741113584</v>
      </c>
      <c r="CW110" s="178">
        <f t="shared" si="944"/>
        <v>2357.8337421113579</v>
      </c>
      <c r="CX110" s="178">
        <f t="shared" ref="CX110:DB110" si="945">+SUM(CU20:CX20)</f>
        <v>2503.7574681113583</v>
      </c>
      <c r="CY110" s="178">
        <f t="shared" si="945"/>
        <v>2678.2987557447655</v>
      </c>
      <c r="CZ110" s="178">
        <f t="shared" si="945"/>
        <v>2874.2926863447656</v>
      </c>
      <c r="DA110" s="178">
        <f t="shared" si="945"/>
        <v>3065.1838647447653</v>
      </c>
      <c r="DB110" s="178">
        <f t="shared" si="945"/>
        <v>3254.8847085447655</v>
      </c>
      <c r="DE110" s="179"/>
      <c r="DF110" s="177">
        <v>1148.825</v>
      </c>
    </row>
    <row r="111" spans="1:110" s="163" customFormat="1" x14ac:dyDescent="0.2">
      <c r="A111" s="163" t="s">
        <v>511</v>
      </c>
      <c r="E111" s="163">
        <f t="shared" ref="E111:AE111" ca="1" si="946">+E110/E77</f>
        <v>0</v>
      </c>
      <c r="F111" s="163">
        <f t="shared" ca="1" si="946"/>
        <v>0</v>
      </c>
      <c r="G111" s="163">
        <f t="shared" ca="1" si="946"/>
        <v>0</v>
      </c>
      <c r="H111" s="163">
        <f t="shared" ca="1" si="946"/>
        <v>0</v>
      </c>
      <c r="I111" s="163">
        <f t="shared" ca="1" si="946"/>
        <v>0</v>
      </c>
      <c r="J111" s="163">
        <f t="shared" ca="1" si="946"/>
        <v>0.19774525415562516</v>
      </c>
      <c r="K111" s="163">
        <f t="shared" ca="1" si="946"/>
        <v>0.24235122861960975</v>
      </c>
      <c r="L111" s="163">
        <f t="shared" ca="1" si="946"/>
        <v>0.24235124066490005</v>
      </c>
      <c r="M111" s="163">
        <f t="shared" ca="1" si="946"/>
        <v>0.11350669718140208</v>
      </c>
      <c r="N111" s="163">
        <f t="shared" ca="1" si="946"/>
        <v>7.6241050349313416E-2</v>
      </c>
      <c r="O111" s="163">
        <f t="shared" ca="1" si="946"/>
        <v>6.0587810166225012E-2</v>
      </c>
      <c r="P111" s="163">
        <f t="shared" ca="1" si="946"/>
        <v>0</v>
      </c>
      <c r="Q111" s="163">
        <f t="shared" ca="1" si="946"/>
        <v>5.7215128884606122E-2</v>
      </c>
      <c r="R111" s="163">
        <f t="shared" ca="1" si="946"/>
        <v>4.9402553601541799</v>
      </c>
      <c r="S111" s="163">
        <f t="shared" ca="1" si="946"/>
        <v>26.623946037099497</v>
      </c>
      <c r="T111" s="163">
        <f t="shared" ca="1" si="946"/>
        <v>33.315707058540113</v>
      </c>
      <c r="U111" s="163">
        <f t="shared" ca="1" si="946"/>
        <v>39.969525415562515</v>
      </c>
      <c r="V111" s="163">
        <f t="shared" ca="1" si="946"/>
        <v>31.959792821006985</v>
      </c>
      <c r="W111" s="163">
        <f t="shared" ca="1" si="946"/>
        <v>50.287292218742472</v>
      </c>
      <c r="X111" s="163">
        <f t="shared" ca="1" si="946"/>
        <v>66.084268850879312</v>
      </c>
      <c r="Y111" s="163">
        <f t="shared" ca="1" si="946"/>
        <v>87.246747771621301</v>
      </c>
      <c r="Z111" s="163">
        <f t="shared" ref="Z111:AA111" ca="1" si="947">+Z110/Z77</f>
        <v>113.11667068176344</v>
      </c>
      <c r="AA111" s="163">
        <f t="shared" ref="AA111" ca="1" si="948">+AA110/AA77</f>
        <v>113.11667068176344</v>
      </c>
      <c r="AB111" s="94">
        <f t="shared" ca="1" si="946"/>
        <v>178.45257705859416</v>
      </c>
      <c r="AC111" s="94">
        <f t="shared" ca="1" si="946"/>
        <v>231.98835017617242</v>
      </c>
      <c r="AD111" s="94">
        <f t="shared" ca="1" si="946"/>
        <v>301.58485522902413</v>
      </c>
      <c r="AE111" s="94">
        <f t="shared" ca="1" si="946"/>
        <v>392.06031179773134</v>
      </c>
      <c r="AL111" s="163">
        <f t="shared" ref="AL111:BQ111" si="949">+AL110/AL77</f>
        <v>0</v>
      </c>
      <c r="AM111" s="163">
        <f t="shared" si="949"/>
        <v>0</v>
      </c>
      <c r="AN111" s="163">
        <f t="shared" si="949"/>
        <v>0</v>
      </c>
      <c r="AO111" s="163">
        <f t="shared" si="949"/>
        <v>0</v>
      </c>
      <c r="AP111" s="163">
        <f t="shared" si="949"/>
        <v>0</v>
      </c>
      <c r="AQ111" s="163">
        <f t="shared" si="949"/>
        <v>0</v>
      </c>
      <c r="AR111" s="163">
        <f t="shared" si="949"/>
        <v>0</v>
      </c>
      <c r="AS111" s="163">
        <f t="shared" si="949"/>
        <v>0</v>
      </c>
      <c r="AT111" s="163">
        <f t="shared" si="949"/>
        <v>0</v>
      </c>
      <c r="AU111" s="163">
        <f t="shared" si="949"/>
        <v>0</v>
      </c>
      <c r="AV111" s="163">
        <f t="shared" si="949"/>
        <v>0</v>
      </c>
      <c r="AW111" s="163">
        <f t="shared" si="949"/>
        <v>0</v>
      </c>
      <c r="AX111" s="163">
        <f t="shared" si="949"/>
        <v>0</v>
      </c>
      <c r="AY111" s="163">
        <f t="shared" si="949"/>
        <v>0</v>
      </c>
      <c r="AZ111" s="163">
        <f t="shared" si="949"/>
        <v>0</v>
      </c>
      <c r="BA111" s="163">
        <f t="shared" si="949"/>
        <v>0</v>
      </c>
      <c r="BB111" s="163">
        <f t="shared" si="949"/>
        <v>0</v>
      </c>
      <c r="BC111" s="163">
        <f t="shared" si="949"/>
        <v>0</v>
      </c>
      <c r="BD111" s="163">
        <f t="shared" si="949"/>
        <v>0</v>
      </c>
      <c r="BE111" s="163">
        <f t="shared" si="949"/>
        <v>0</v>
      </c>
      <c r="BF111" s="163">
        <f t="shared" si="949"/>
        <v>0</v>
      </c>
      <c r="BG111" s="163">
        <f t="shared" si="949"/>
        <v>0</v>
      </c>
      <c r="BH111" s="163">
        <f t="shared" si="949"/>
        <v>0</v>
      </c>
      <c r="BI111" s="163">
        <f t="shared" si="949"/>
        <v>0</v>
      </c>
      <c r="BJ111" s="163">
        <f t="shared" si="949"/>
        <v>0</v>
      </c>
      <c r="BK111" s="163">
        <f t="shared" si="949"/>
        <v>0</v>
      </c>
      <c r="BL111" s="163">
        <f t="shared" si="949"/>
        <v>0</v>
      </c>
      <c r="BM111" s="163">
        <f t="shared" si="949"/>
        <v>0</v>
      </c>
      <c r="BN111" s="163">
        <f t="shared" si="949"/>
        <v>0</v>
      </c>
      <c r="BO111" s="163">
        <f t="shared" si="949"/>
        <v>0</v>
      </c>
      <c r="BP111" s="163">
        <f t="shared" si="949"/>
        <v>0</v>
      </c>
      <c r="BQ111" s="163">
        <f t="shared" si="949"/>
        <v>8.200674536256324</v>
      </c>
      <c r="BR111" s="163">
        <f t="shared" ref="BR111:CW111" si="950">+BR110/BR77</f>
        <v>16.65682967959528</v>
      </c>
      <c r="BS111" s="163">
        <f t="shared" si="950"/>
        <v>28.40725126475548</v>
      </c>
      <c r="BT111" s="163">
        <f t="shared" si="950"/>
        <v>40.660322813779814</v>
      </c>
      <c r="BU111" s="163">
        <f t="shared" si="950"/>
        <v>45.190676945314387</v>
      </c>
      <c r="BV111" s="163">
        <f t="shared" si="950"/>
        <v>50.287280173452174</v>
      </c>
      <c r="BW111" s="163">
        <f t="shared" si="950"/>
        <v>54.389303782221148</v>
      </c>
      <c r="BX111" s="163">
        <f t="shared" si="950"/>
        <v>58.525415562515057</v>
      </c>
      <c r="BY111" s="163">
        <f t="shared" si="950"/>
        <v>62.417128402794511</v>
      </c>
      <c r="BZ111" s="163">
        <f t="shared" si="950"/>
        <v>66.084317032040474</v>
      </c>
      <c r="CA111" s="163">
        <f t="shared" si="950"/>
        <v>71.314261623705121</v>
      </c>
      <c r="CB111" s="163">
        <f t="shared" si="950"/>
        <v>76.917489761503248</v>
      </c>
      <c r="CC111" s="163">
        <f t="shared" si="950"/>
        <v>82.269091785112025</v>
      </c>
      <c r="CD111" s="163">
        <f t="shared" si="950"/>
        <v>87.246687545169848</v>
      </c>
      <c r="CE111" s="163">
        <f t="shared" si="950"/>
        <v>94.785593832811387</v>
      </c>
      <c r="CF111" s="163">
        <f t="shared" si="950"/>
        <v>102.0007227174175</v>
      </c>
      <c r="CG111" s="163">
        <f t="shared" si="950"/>
        <v>108.57853529270055</v>
      </c>
      <c r="CH111" s="163">
        <f t="shared" si="950"/>
        <v>113.1167188629246</v>
      </c>
      <c r="CI111" s="163">
        <f t="shared" si="950"/>
        <v>117.50156588773791</v>
      </c>
      <c r="CJ111" s="163">
        <f t="shared" si="950"/>
        <v>124.11262346422549</v>
      </c>
      <c r="CK111" s="163">
        <f t="shared" ref="CK111" si="951">+CK110/CK77</f>
        <v>130.44651891110578</v>
      </c>
      <c r="CL111" s="163">
        <f t="shared" ref="CL111" si="952">+CL110/CL77</f>
        <v>138.37930619127923</v>
      </c>
      <c r="CM111" s="50">
        <f t="shared" si="950"/>
        <v>146.84062813062499</v>
      </c>
      <c r="CN111" s="50">
        <f t="shared" si="950"/>
        <v>157.58620750908804</v>
      </c>
      <c r="CO111" s="50">
        <f t="shared" si="950"/>
        <v>168.05202297524076</v>
      </c>
      <c r="CP111" s="50">
        <f t="shared" si="950"/>
        <v>178.45257705859416</v>
      </c>
      <c r="CQ111" s="50">
        <f t="shared" si="950"/>
        <v>190.89281656981251</v>
      </c>
      <c r="CR111" s="50">
        <f t="shared" si="950"/>
        <v>204.86206976181447</v>
      </c>
      <c r="CS111" s="50">
        <f t="shared" si="950"/>
        <v>218.46762986781297</v>
      </c>
      <c r="CT111" s="50">
        <f t="shared" si="950"/>
        <v>231.98835017617242</v>
      </c>
      <c r="CU111" s="50">
        <f t="shared" si="950"/>
        <v>248.16066154075622</v>
      </c>
      <c r="CV111" s="50">
        <f t="shared" si="950"/>
        <v>266.32069069035879</v>
      </c>
      <c r="CW111" s="50">
        <f t="shared" si="950"/>
        <v>284.00791882815685</v>
      </c>
      <c r="CX111" s="50">
        <f t="shared" ref="CX111:DB111" si="953">+CX110/CX77</f>
        <v>301.58485522902413</v>
      </c>
      <c r="CY111" s="50">
        <f t="shared" si="953"/>
        <v>322.60886000298308</v>
      </c>
      <c r="CZ111" s="50">
        <f t="shared" si="953"/>
        <v>346.21689789746637</v>
      </c>
      <c r="DA111" s="50">
        <f t="shared" si="953"/>
        <v>369.21029447660391</v>
      </c>
      <c r="DB111" s="50">
        <f t="shared" si="953"/>
        <v>392.06031179773134</v>
      </c>
      <c r="DE111" s="164"/>
      <c r="DF111" s="163">
        <v>113.11667068176344</v>
      </c>
    </row>
    <row r="112" spans="1:110" s="163" customFormat="1" x14ac:dyDescent="0.2"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506</v>
      </c>
      <c r="AB113" s="94"/>
      <c r="AC113" s="94"/>
      <c r="AD113" s="94"/>
      <c r="AE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E113" s="164"/>
    </row>
    <row r="114" spans="1:110" s="163" customFormat="1" x14ac:dyDescent="0.2">
      <c r="A114" s="163" t="s">
        <v>507</v>
      </c>
      <c r="E114" s="163" t="e">
        <f t="shared" ref="E114:AE116" ca="1" si="954">+E89/E$111</f>
        <v>#DIV/0!</v>
      </c>
      <c r="F114" s="163" t="e">
        <f t="shared" ca="1" si="954"/>
        <v>#DIV/0!</v>
      </c>
      <c r="G114" s="163" t="e">
        <f t="shared" ca="1" si="954"/>
        <v>#DIV/0!</v>
      </c>
      <c r="H114" s="163" t="e">
        <f t="shared" ca="1" si="954"/>
        <v>#DIV/0!</v>
      </c>
      <c r="I114" s="163" t="e">
        <f t="shared" ca="1" si="954"/>
        <v>#DIV/0!</v>
      </c>
      <c r="J114" s="163">
        <f t="shared" ca="1" si="954"/>
        <v>0</v>
      </c>
      <c r="K114" s="163">
        <f t="shared" ca="1" si="954"/>
        <v>0</v>
      </c>
      <c r="L114" s="163">
        <f t="shared" ca="1" si="954"/>
        <v>0</v>
      </c>
      <c r="M114" s="163">
        <f t="shared" ca="1" si="954"/>
        <v>0</v>
      </c>
      <c r="N114" s="163">
        <f t="shared" ca="1" si="954"/>
        <v>0</v>
      </c>
      <c r="O114" s="163">
        <f t="shared" ca="1" si="954"/>
        <v>0</v>
      </c>
      <c r="P114" s="163" t="e">
        <f t="shared" ca="1" si="954"/>
        <v>#DIV/0!</v>
      </c>
      <c r="Q114" s="163">
        <f t="shared" ca="1" si="954"/>
        <v>0</v>
      </c>
      <c r="R114" s="163">
        <f t="shared" ca="1" si="954"/>
        <v>0</v>
      </c>
      <c r="S114" s="163">
        <f t="shared" ca="1" si="954"/>
        <v>0</v>
      </c>
      <c r="T114" s="163">
        <f t="shared" ca="1" si="954"/>
        <v>0</v>
      </c>
      <c r="U114" s="163">
        <f t="shared" ca="1" si="954"/>
        <v>0</v>
      </c>
      <c r="V114" s="163">
        <f t="shared" ca="1" si="954"/>
        <v>0</v>
      </c>
      <c r="W114" s="163">
        <f t="shared" ca="1" si="954"/>
        <v>6.0248819658474044</v>
      </c>
      <c r="X114" s="163">
        <f t="shared" ca="1" si="954"/>
        <v>6.1088668607495444</v>
      </c>
      <c r="Y114" s="163">
        <f t="shared" ca="1" si="954"/>
        <v>21.155229818209428</v>
      </c>
      <c r="Z114" s="163">
        <f ca="1">+Z89/Z$111</f>
        <v>16.909532330395681</v>
      </c>
      <c r="AA114" s="163">
        <f ca="1">+AA89/AA$111</f>
        <v>16.909532330395681</v>
      </c>
      <c r="AB114" s="50">
        <f t="shared" ref="AB114:AE114" ca="1" si="955">+AB89/AB$111</f>
        <v>20.173426796845611</v>
      </c>
      <c r="AC114" s="50">
        <f t="shared" ca="1" si="955"/>
        <v>15.518020612958162</v>
      </c>
      <c r="AD114" s="50">
        <f t="shared" ca="1" si="955"/>
        <v>11.936938933044742</v>
      </c>
      <c r="AE114" s="50">
        <f t="shared" ca="1" si="955"/>
        <v>9.1822607177267237</v>
      </c>
      <c r="AL114" s="163" t="e">
        <f t="shared" ref="AL114:BQ114" si="956">+AL89/AL111</f>
        <v>#DIV/0!</v>
      </c>
      <c r="AM114" s="163" t="e">
        <f t="shared" si="956"/>
        <v>#DIV/0!</v>
      </c>
      <c r="AN114" s="163" t="e">
        <f t="shared" si="956"/>
        <v>#DIV/0!</v>
      </c>
      <c r="AO114" s="163" t="e">
        <f t="shared" si="956"/>
        <v>#DIV/0!</v>
      </c>
      <c r="AP114" s="163" t="e">
        <f t="shared" si="956"/>
        <v>#DIV/0!</v>
      </c>
      <c r="AQ114" s="163" t="e">
        <f t="shared" si="956"/>
        <v>#DIV/0!</v>
      </c>
      <c r="AR114" s="163" t="e">
        <f t="shared" si="956"/>
        <v>#DIV/0!</v>
      </c>
      <c r="AS114" s="163" t="e">
        <f t="shared" si="956"/>
        <v>#DIV/0!</v>
      </c>
      <c r="AT114" s="163" t="e">
        <f t="shared" si="956"/>
        <v>#DIV/0!</v>
      </c>
      <c r="AU114" s="163" t="e">
        <f t="shared" si="956"/>
        <v>#DIV/0!</v>
      </c>
      <c r="AV114" s="163" t="e">
        <f t="shared" si="956"/>
        <v>#DIV/0!</v>
      </c>
      <c r="AW114" s="163" t="e">
        <f t="shared" si="956"/>
        <v>#DIV/0!</v>
      </c>
      <c r="AX114" s="163" t="e">
        <f t="shared" si="956"/>
        <v>#DIV/0!</v>
      </c>
      <c r="AY114" s="163" t="e">
        <f t="shared" si="956"/>
        <v>#DIV/0!</v>
      </c>
      <c r="AZ114" s="163" t="e">
        <f t="shared" si="956"/>
        <v>#DIV/0!</v>
      </c>
      <c r="BA114" s="163" t="e">
        <f t="shared" si="956"/>
        <v>#DIV/0!</v>
      </c>
      <c r="BB114" s="163" t="e">
        <f t="shared" si="956"/>
        <v>#DIV/0!</v>
      </c>
      <c r="BC114" s="163" t="e">
        <f t="shared" si="956"/>
        <v>#DIV/0!</v>
      </c>
      <c r="BD114" s="163" t="e">
        <f t="shared" si="956"/>
        <v>#DIV/0!</v>
      </c>
      <c r="BE114" s="163" t="e">
        <f t="shared" si="956"/>
        <v>#DIV/0!</v>
      </c>
      <c r="BF114" s="163" t="e">
        <f t="shared" si="956"/>
        <v>#DIV/0!</v>
      </c>
      <c r="BG114" s="163" t="e">
        <f t="shared" si="956"/>
        <v>#DIV/0!</v>
      </c>
      <c r="BH114" s="163" t="e">
        <f t="shared" si="956"/>
        <v>#DIV/0!</v>
      </c>
      <c r="BI114" s="163" t="e">
        <f t="shared" si="956"/>
        <v>#DIV/0!</v>
      </c>
      <c r="BJ114" s="163" t="e">
        <f t="shared" si="956"/>
        <v>#DIV/0!</v>
      </c>
      <c r="BK114" s="163" t="e">
        <f t="shared" si="956"/>
        <v>#DIV/0!</v>
      </c>
      <c r="BL114" s="163" t="e">
        <f t="shared" si="956"/>
        <v>#DIV/0!</v>
      </c>
      <c r="BM114" s="163" t="e">
        <f t="shared" si="956"/>
        <v>#DIV/0!</v>
      </c>
      <c r="BN114" s="163" t="e">
        <f t="shared" si="956"/>
        <v>#DIV/0!</v>
      </c>
      <c r="BO114" s="163" t="e">
        <f t="shared" si="956"/>
        <v>#DIV/0!</v>
      </c>
      <c r="BP114" s="163" t="e">
        <f t="shared" si="956"/>
        <v>#DIV/0!</v>
      </c>
      <c r="BQ114" s="163">
        <f t="shared" si="956"/>
        <v>0</v>
      </c>
      <c r="BR114" s="163">
        <f t="shared" ref="BR114:DB114" si="957">+BR89/BR111</f>
        <v>0</v>
      </c>
      <c r="BS114" s="163">
        <f t="shared" si="957"/>
        <v>0</v>
      </c>
      <c r="BT114" s="163">
        <f t="shared" si="957"/>
        <v>0</v>
      </c>
      <c r="BU114" s="163">
        <f t="shared" si="957"/>
        <v>3.2573090281017016</v>
      </c>
      <c r="BV114" s="163">
        <f t="shared" si="957"/>
        <v>3.0124417044923777</v>
      </c>
      <c r="BW114" s="163">
        <f t="shared" si="957"/>
        <v>3.0187461243743634</v>
      </c>
      <c r="BX114" s="163">
        <f t="shared" si="957"/>
        <v>2.8195015518298829</v>
      </c>
      <c r="BY114" s="163">
        <f t="shared" si="957"/>
        <v>2.8095252775542421</v>
      </c>
      <c r="BZ114" s="163">
        <f t="shared" si="957"/>
        <v>3.0544312034296213</v>
      </c>
      <c r="CA114" s="163">
        <f t="shared" si="957"/>
        <v>3.0433954591749699</v>
      </c>
      <c r="CB114" s="163">
        <f t="shared" si="957"/>
        <v>5.4625092589837596</v>
      </c>
      <c r="CC114" s="163">
        <f t="shared" si="957"/>
        <v>7.870817410885536</v>
      </c>
      <c r="CD114" s="163">
        <f t="shared" si="957"/>
        <v>10.577622210839928</v>
      </c>
      <c r="CE114" s="163">
        <f t="shared" si="957"/>
        <v>10.333716975257651</v>
      </c>
      <c r="CF114" s="163">
        <f t="shared" si="957"/>
        <v>9.5995643355652387</v>
      </c>
      <c r="CG114" s="163">
        <f t="shared" si="957"/>
        <v>9.0794879240397641</v>
      </c>
      <c r="CH114" s="163">
        <f t="shared" si="957"/>
        <v>8.4547625639578534</v>
      </c>
      <c r="CI114" s="163">
        <f t="shared" si="957"/>
        <v>9.1960476597594241</v>
      </c>
      <c r="CJ114" s="163">
        <f t="shared" si="957"/>
        <v>11.379986665152666</v>
      </c>
      <c r="CK114" s="163">
        <f t="shared" ref="CK114" si="958">+CK89/CK111</f>
        <v>11.930943140465034</v>
      </c>
      <c r="CL114" s="163">
        <f t="shared" ref="CL114" si="959">+CL89/CL111</f>
        <v>10.969306334733313</v>
      </c>
      <c r="CM114" s="50">
        <f t="shared" si="957"/>
        <v>24.516375650460638</v>
      </c>
      <c r="CN114" s="50">
        <f t="shared" si="957"/>
        <v>22.844638860874845</v>
      </c>
      <c r="CO114" s="50">
        <f t="shared" si="957"/>
        <v>21.421937899137287</v>
      </c>
      <c r="CP114" s="50">
        <f t="shared" si="957"/>
        <v>20.173426796845611</v>
      </c>
      <c r="CQ114" s="50">
        <f t="shared" si="957"/>
        <v>18.858750500354336</v>
      </c>
      <c r="CR114" s="50">
        <f t="shared" si="957"/>
        <v>17.572799123749881</v>
      </c>
      <c r="CS114" s="50">
        <f t="shared" si="957"/>
        <v>16.478413768567144</v>
      </c>
      <c r="CT114" s="50">
        <f t="shared" si="957"/>
        <v>15.518020612958162</v>
      </c>
      <c r="CU114" s="50">
        <f t="shared" si="957"/>
        <v>14.506731154118722</v>
      </c>
      <c r="CV114" s="50">
        <f t="shared" si="957"/>
        <v>13.517537787499908</v>
      </c>
      <c r="CW114" s="50">
        <f t="shared" si="957"/>
        <v>12.675702898897804</v>
      </c>
      <c r="CX114" s="50">
        <f t="shared" si="957"/>
        <v>11.936938933044742</v>
      </c>
      <c r="CY114" s="50">
        <f t="shared" si="957"/>
        <v>11.159023964706709</v>
      </c>
      <c r="CZ114" s="50">
        <f t="shared" si="957"/>
        <v>10.398105990384547</v>
      </c>
      <c r="DA114" s="50">
        <f t="shared" si="957"/>
        <v>9.7505406914598485</v>
      </c>
      <c r="DB114" s="50">
        <f t="shared" si="957"/>
        <v>9.1822607177267237</v>
      </c>
      <c r="DE114" s="106"/>
      <c r="DF114" s="163">
        <v>16.909532330395681</v>
      </c>
    </row>
    <row r="115" spans="1:110" s="163" customFormat="1" x14ac:dyDescent="0.2">
      <c r="A115" s="163" t="s">
        <v>508</v>
      </c>
      <c r="E115" s="163" t="e">
        <f t="shared" ca="1" si="954"/>
        <v>#DIV/0!</v>
      </c>
      <c r="F115" s="163" t="e">
        <f t="shared" ca="1" si="954"/>
        <v>#DIV/0!</v>
      </c>
      <c r="G115" s="163" t="e">
        <f t="shared" ca="1" si="954"/>
        <v>#DIV/0!</v>
      </c>
      <c r="H115" s="163" t="e">
        <f t="shared" ca="1" si="954"/>
        <v>#DIV/0!</v>
      </c>
      <c r="I115" s="163" t="e">
        <f t="shared" ca="1" si="954"/>
        <v>#DIV/0!</v>
      </c>
      <c r="J115" s="163">
        <f t="shared" ca="1" si="954"/>
        <v>0</v>
      </c>
      <c r="K115" s="163">
        <f t="shared" ca="1" si="954"/>
        <v>0</v>
      </c>
      <c r="L115" s="163">
        <f t="shared" ca="1" si="954"/>
        <v>0</v>
      </c>
      <c r="M115" s="163">
        <f t="shared" ca="1" si="954"/>
        <v>0</v>
      </c>
      <c r="N115" s="163">
        <f t="shared" ca="1" si="954"/>
        <v>0</v>
      </c>
      <c r="O115" s="163">
        <f t="shared" ca="1" si="954"/>
        <v>0</v>
      </c>
      <c r="P115" s="163" t="e">
        <f t="shared" ca="1" si="954"/>
        <v>#DIV/0!</v>
      </c>
      <c r="Q115" s="163">
        <f t="shared" ca="1" si="954"/>
        <v>0</v>
      </c>
      <c r="R115" s="163">
        <f t="shared" ca="1" si="954"/>
        <v>0</v>
      </c>
      <c r="S115" s="163">
        <f t="shared" ca="1" si="954"/>
        <v>0</v>
      </c>
      <c r="T115" s="163">
        <f t="shared" ca="1" si="954"/>
        <v>0</v>
      </c>
      <c r="U115" s="163">
        <f t="shared" ca="1" si="954"/>
        <v>0</v>
      </c>
      <c r="V115" s="163">
        <f t="shared" ca="1" si="954"/>
        <v>0</v>
      </c>
      <c r="W115" s="163">
        <f t="shared" ca="1" si="954"/>
        <v>6.4986597126460319</v>
      </c>
      <c r="X115" s="163">
        <f t="shared" ca="1" si="954"/>
        <v>6.5163011937336455</v>
      </c>
      <c r="Y115" s="163">
        <f t="shared" ca="1" si="954"/>
        <v>24.068518926306997</v>
      </c>
      <c r="Z115" s="163">
        <f t="shared" ref="Z115:AA116" ca="1" si="960">+Z90/Z$111</f>
        <v>20.512228533738774</v>
      </c>
      <c r="AA115" s="163">
        <f t="shared" ref="AA115" ca="1" si="961">+AA90/AA$111</f>
        <v>20.512228533738774</v>
      </c>
      <c r="AB115" s="94">
        <f t="shared" ca="1" si="954"/>
        <v>24.348055710252645</v>
      </c>
      <c r="AC115" s="94">
        <f t="shared" ca="1" si="954"/>
        <v>27.532642743549946</v>
      </c>
      <c r="AD115" s="94">
        <f t="shared" ca="1" si="954"/>
        <v>30.485289260545859</v>
      </c>
      <c r="AE115" s="94">
        <f t="shared" ca="1" si="954"/>
        <v>33.183371425981527</v>
      </c>
      <c r="AL115" s="163" t="e">
        <f t="shared" ref="AL115:BQ115" si="962">+AL90/AL111</f>
        <v>#DIV/0!</v>
      </c>
      <c r="AM115" s="163" t="e">
        <f t="shared" si="962"/>
        <v>#DIV/0!</v>
      </c>
      <c r="AN115" s="163" t="e">
        <f t="shared" si="962"/>
        <v>#DIV/0!</v>
      </c>
      <c r="AO115" s="163" t="e">
        <f t="shared" si="962"/>
        <v>#DIV/0!</v>
      </c>
      <c r="AP115" s="163" t="e">
        <f t="shared" si="962"/>
        <v>#DIV/0!</v>
      </c>
      <c r="AQ115" s="163" t="e">
        <f t="shared" si="962"/>
        <v>#DIV/0!</v>
      </c>
      <c r="AR115" s="163" t="e">
        <f t="shared" si="962"/>
        <v>#DIV/0!</v>
      </c>
      <c r="AS115" s="163" t="e">
        <f t="shared" si="962"/>
        <v>#DIV/0!</v>
      </c>
      <c r="AT115" s="163" t="e">
        <f t="shared" si="962"/>
        <v>#DIV/0!</v>
      </c>
      <c r="AU115" s="163" t="e">
        <f t="shared" si="962"/>
        <v>#DIV/0!</v>
      </c>
      <c r="AV115" s="163" t="e">
        <f t="shared" si="962"/>
        <v>#DIV/0!</v>
      </c>
      <c r="AW115" s="163" t="e">
        <f t="shared" si="962"/>
        <v>#DIV/0!</v>
      </c>
      <c r="AX115" s="163" t="e">
        <f t="shared" si="962"/>
        <v>#DIV/0!</v>
      </c>
      <c r="AY115" s="163" t="e">
        <f t="shared" si="962"/>
        <v>#DIV/0!</v>
      </c>
      <c r="AZ115" s="163" t="e">
        <f t="shared" si="962"/>
        <v>#DIV/0!</v>
      </c>
      <c r="BA115" s="163" t="e">
        <f t="shared" si="962"/>
        <v>#DIV/0!</v>
      </c>
      <c r="BB115" s="163" t="e">
        <f t="shared" si="962"/>
        <v>#DIV/0!</v>
      </c>
      <c r="BC115" s="163" t="e">
        <f t="shared" si="962"/>
        <v>#DIV/0!</v>
      </c>
      <c r="BD115" s="163" t="e">
        <f t="shared" si="962"/>
        <v>#DIV/0!</v>
      </c>
      <c r="BE115" s="163" t="e">
        <f t="shared" si="962"/>
        <v>#DIV/0!</v>
      </c>
      <c r="BF115" s="163" t="e">
        <f t="shared" si="962"/>
        <v>#DIV/0!</v>
      </c>
      <c r="BG115" s="163" t="e">
        <f t="shared" si="962"/>
        <v>#DIV/0!</v>
      </c>
      <c r="BH115" s="163" t="e">
        <f t="shared" si="962"/>
        <v>#DIV/0!</v>
      </c>
      <c r="BI115" s="163" t="e">
        <f t="shared" si="962"/>
        <v>#DIV/0!</v>
      </c>
      <c r="BJ115" s="163" t="e">
        <f t="shared" si="962"/>
        <v>#DIV/0!</v>
      </c>
      <c r="BK115" s="163" t="e">
        <f t="shared" si="962"/>
        <v>#DIV/0!</v>
      </c>
      <c r="BL115" s="163" t="e">
        <f t="shared" si="962"/>
        <v>#DIV/0!</v>
      </c>
      <c r="BM115" s="163" t="e">
        <f t="shared" si="962"/>
        <v>#DIV/0!</v>
      </c>
      <c r="BN115" s="163" t="e">
        <f t="shared" si="962"/>
        <v>#DIV/0!</v>
      </c>
      <c r="BO115" s="163" t="e">
        <f t="shared" si="962"/>
        <v>#DIV/0!</v>
      </c>
      <c r="BP115" s="163" t="e">
        <f t="shared" si="962"/>
        <v>#DIV/0!</v>
      </c>
      <c r="BQ115" s="163">
        <f t="shared" si="962"/>
        <v>0</v>
      </c>
      <c r="BR115" s="163">
        <f t="shared" ref="BR115:CJ115" si="963">+BR90/BR111</f>
        <v>0</v>
      </c>
      <c r="BS115" s="163">
        <f t="shared" si="963"/>
        <v>0</v>
      </c>
      <c r="BT115" s="163">
        <f t="shared" si="963"/>
        <v>0</v>
      </c>
      <c r="BU115" s="163">
        <f t="shared" si="963"/>
        <v>3.4019738227431078</v>
      </c>
      <c r="BV115" s="163">
        <f t="shared" si="963"/>
        <v>3.24933063463358</v>
      </c>
      <c r="BW115" s="163">
        <f t="shared" si="963"/>
        <v>3.2727023076582364</v>
      </c>
      <c r="BX115" s="163">
        <f t="shared" si="963"/>
        <v>2.961533862409905</v>
      </c>
      <c r="BY115" s="163">
        <f t="shared" si="963"/>
        <v>2.9521143428916585</v>
      </c>
      <c r="BZ115" s="163">
        <f t="shared" si="963"/>
        <v>3.2581482213943045</v>
      </c>
      <c r="CA115" s="163">
        <f t="shared" si="963"/>
        <v>3.1548738622179515</v>
      </c>
      <c r="CB115" s="163">
        <f t="shared" si="963"/>
        <v>5.6180330551592705</v>
      </c>
      <c r="CC115" s="163">
        <f t="shared" si="963"/>
        <v>8.2556824836968765</v>
      </c>
      <c r="CD115" s="163">
        <f t="shared" si="963"/>
        <v>12.034267770411502</v>
      </c>
      <c r="CE115" s="163">
        <f t="shared" si="963"/>
        <v>11.338484642462287</v>
      </c>
      <c r="CF115" s="163">
        <f t="shared" si="963"/>
        <v>10.504459884743921</v>
      </c>
      <c r="CG115" s="163">
        <f t="shared" si="963"/>
        <v>10.684777584009213</v>
      </c>
      <c r="CH115" s="163">
        <f t="shared" si="963"/>
        <v>9.3950523908656738</v>
      </c>
      <c r="CI115" s="163">
        <f t="shared" si="963"/>
        <v>9.315620534332206</v>
      </c>
      <c r="CJ115" s="163">
        <f t="shared" si="963"/>
        <v>12.468514135035225</v>
      </c>
      <c r="CK115" s="163">
        <f t="shared" ref="CK115" si="964">+CK90/CK111</f>
        <v>12.740278651150032</v>
      </c>
      <c r="CL115" s="163">
        <f t="shared" ref="CL115" si="965">+CL90/CL111</f>
        <v>11.713095293016776</v>
      </c>
      <c r="CM115" s="94">
        <f t="shared" ref="CM115:DB115" si="966">+CL115</f>
        <v>11.713095293016776</v>
      </c>
      <c r="CN115" s="94">
        <f t="shared" si="966"/>
        <v>11.713095293016776</v>
      </c>
      <c r="CO115" s="94">
        <f t="shared" si="966"/>
        <v>11.713095293016776</v>
      </c>
      <c r="CP115" s="94">
        <f t="shared" si="966"/>
        <v>11.713095293016776</v>
      </c>
      <c r="CQ115" s="94">
        <f t="shared" si="966"/>
        <v>11.713095293016776</v>
      </c>
      <c r="CR115" s="94">
        <f t="shared" si="966"/>
        <v>11.713095293016776</v>
      </c>
      <c r="CS115" s="94">
        <f t="shared" si="966"/>
        <v>11.713095293016776</v>
      </c>
      <c r="CT115" s="94">
        <f t="shared" si="966"/>
        <v>11.713095293016776</v>
      </c>
      <c r="CU115" s="94">
        <f t="shared" si="966"/>
        <v>11.713095293016776</v>
      </c>
      <c r="CV115" s="94">
        <f t="shared" si="966"/>
        <v>11.713095293016776</v>
      </c>
      <c r="CW115" s="94">
        <f t="shared" si="966"/>
        <v>11.713095293016776</v>
      </c>
      <c r="CX115" s="94">
        <f t="shared" si="966"/>
        <v>11.713095293016776</v>
      </c>
      <c r="CY115" s="94">
        <f t="shared" si="966"/>
        <v>11.713095293016776</v>
      </c>
      <c r="CZ115" s="94">
        <f t="shared" si="966"/>
        <v>11.713095293016776</v>
      </c>
      <c r="DA115" s="94">
        <f t="shared" si="966"/>
        <v>11.713095293016776</v>
      </c>
      <c r="DB115" s="94">
        <f t="shared" si="966"/>
        <v>11.713095293016776</v>
      </c>
      <c r="DE115" s="164"/>
      <c r="DF115" s="163">
        <v>20.512228533738774</v>
      </c>
    </row>
    <row r="116" spans="1:110" s="163" customFormat="1" x14ac:dyDescent="0.2">
      <c r="A116" s="163" t="s">
        <v>509</v>
      </c>
      <c r="E116" s="163" t="e">
        <f t="shared" ca="1" si="954"/>
        <v>#DIV/0!</v>
      </c>
      <c r="F116" s="163" t="e">
        <f t="shared" ca="1" si="954"/>
        <v>#DIV/0!</v>
      </c>
      <c r="G116" s="163" t="e">
        <f t="shared" ca="1" si="954"/>
        <v>#DIV/0!</v>
      </c>
      <c r="H116" s="163" t="e">
        <f t="shared" ca="1" si="954"/>
        <v>#DIV/0!</v>
      </c>
      <c r="I116" s="163" t="e">
        <f t="shared" ca="1" si="954"/>
        <v>#DIV/0!</v>
      </c>
      <c r="J116" s="163">
        <f t="shared" ca="1" si="954"/>
        <v>0</v>
      </c>
      <c r="K116" s="163">
        <f t="shared" ca="1" si="954"/>
        <v>0</v>
      </c>
      <c r="L116" s="163">
        <f t="shared" ca="1" si="954"/>
        <v>0</v>
      </c>
      <c r="M116" s="163">
        <f t="shared" ca="1" si="954"/>
        <v>0</v>
      </c>
      <c r="N116" s="163">
        <f t="shared" ca="1" si="954"/>
        <v>0</v>
      </c>
      <c r="O116" s="163">
        <f t="shared" ca="1" si="954"/>
        <v>0</v>
      </c>
      <c r="P116" s="163" t="e">
        <f t="shared" ca="1" si="954"/>
        <v>#DIV/0!</v>
      </c>
      <c r="Q116" s="163">
        <f t="shared" ca="1" si="954"/>
        <v>0</v>
      </c>
      <c r="R116" s="163">
        <f t="shared" ca="1" si="954"/>
        <v>0</v>
      </c>
      <c r="S116" s="163">
        <f t="shared" ca="1" si="954"/>
        <v>0</v>
      </c>
      <c r="T116" s="163">
        <f t="shared" ca="1" si="954"/>
        <v>0</v>
      </c>
      <c r="U116" s="163">
        <f t="shared" ca="1" si="954"/>
        <v>0</v>
      </c>
      <c r="V116" s="163">
        <f t="shared" ca="1" si="954"/>
        <v>0</v>
      </c>
      <c r="W116" s="163">
        <f t="shared" ca="1" si="954"/>
        <v>5.3875440105527117</v>
      </c>
      <c r="X116" s="163">
        <f t="shared" ca="1" si="954"/>
        <v>4.5774887921147815</v>
      </c>
      <c r="Y116" s="163">
        <f t="shared" ca="1" si="954"/>
        <v>4.6104870413386303</v>
      </c>
      <c r="Z116" s="163">
        <f t="shared" ca="1" si="960"/>
        <v>14.021363875375281</v>
      </c>
      <c r="AA116" s="163">
        <f t="shared" ref="AA116" ca="1" si="967">+AA91/AA$111</f>
        <v>14.021363875375281</v>
      </c>
      <c r="AB116" s="94">
        <f t="shared" ca="1" si="954"/>
        <v>15.854841335723524</v>
      </c>
      <c r="AC116" s="94">
        <f t="shared" ca="1" si="954"/>
        <v>15.618652627668061</v>
      </c>
      <c r="AD116" s="94">
        <f t="shared" ca="1" si="954"/>
        <v>17.617920768792196</v>
      </c>
      <c r="AE116" s="94">
        <f t="shared" ca="1" si="954"/>
        <v>19.430983174305553</v>
      </c>
      <c r="AL116" s="163" t="e">
        <f t="shared" ref="AL116:BQ116" si="968">+AL91/AL111</f>
        <v>#DIV/0!</v>
      </c>
      <c r="AM116" s="163" t="e">
        <f t="shared" si="968"/>
        <v>#DIV/0!</v>
      </c>
      <c r="AN116" s="163" t="e">
        <f t="shared" si="968"/>
        <v>#DIV/0!</v>
      </c>
      <c r="AO116" s="163" t="e">
        <f t="shared" si="968"/>
        <v>#DIV/0!</v>
      </c>
      <c r="AP116" s="163" t="e">
        <f t="shared" si="968"/>
        <v>#DIV/0!</v>
      </c>
      <c r="AQ116" s="163" t="e">
        <f t="shared" si="968"/>
        <v>#DIV/0!</v>
      </c>
      <c r="AR116" s="163" t="e">
        <f t="shared" si="968"/>
        <v>#DIV/0!</v>
      </c>
      <c r="AS116" s="163" t="e">
        <f t="shared" si="968"/>
        <v>#DIV/0!</v>
      </c>
      <c r="AT116" s="163" t="e">
        <f t="shared" si="968"/>
        <v>#DIV/0!</v>
      </c>
      <c r="AU116" s="163" t="e">
        <f t="shared" si="968"/>
        <v>#DIV/0!</v>
      </c>
      <c r="AV116" s="163" t="e">
        <f t="shared" si="968"/>
        <v>#DIV/0!</v>
      </c>
      <c r="AW116" s="163" t="e">
        <f t="shared" si="968"/>
        <v>#DIV/0!</v>
      </c>
      <c r="AX116" s="163" t="e">
        <f t="shared" si="968"/>
        <v>#DIV/0!</v>
      </c>
      <c r="AY116" s="163" t="e">
        <f t="shared" si="968"/>
        <v>#DIV/0!</v>
      </c>
      <c r="AZ116" s="163" t="e">
        <f t="shared" si="968"/>
        <v>#DIV/0!</v>
      </c>
      <c r="BA116" s="163" t="e">
        <f t="shared" si="968"/>
        <v>#DIV/0!</v>
      </c>
      <c r="BB116" s="163" t="e">
        <f t="shared" si="968"/>
        <v>#DIV/0!</v>
      </c>
      <c r="BC116" s="163" t="e">
        <f t="shared" si="968"/>
        <v>#DIV/0!</v>
      </c>
      <c r="BD116" s="163" t="e">
        <f t="shared" si="968"/>
        <v>#DIV/0!</v>
      </c>
      <c r="BE116" s="163" t="e">
        <f t="shared" si="968"/>
        <v>#DIV/0!</v>
      </c>
      <c r="BF116" s="163" t="e">
        <f t="shared" si="968"/>
        <v>#DIV/0!</v>
      </c>
      <c r="BG116" s="163" t="e">
        <f t="shared" si="968"/>
        <v>#DIV/0!</v>
      </c>
      <c r="BH116" s="163" t="e">
        <f t="shared" si="968"/>
        <v>#DIV/0!</v>
      </c>
      <c r="BI116" s="163" t="e">
        <f t="shared" si="968"/>
        <v>#DIV/0!</v>
      </c>
      <c r="BJ116" s="163" t="e">
        <f t="shared" si="968"/>
        <v>#DIV/0!</v>
      </c>
      <c r="BK116" s="163" t="e">
        <f t="shared" si="968"/>
        <v>#DIV/0!</v>
      </c>
      <c r="BL116" s="163" t="e">
        <f t="shared" si="968"/>
        <v>#DIV/0!</v>
      </c>
      <c r="BM116" s="163" t="e">
        <f t="shared" si="968"/>
        <v>#DIV/0!</v>
      </c>
      <c r="BN116" s="163" t="e">
        <f t="shared" si="968"/>
        <v>#DIV/0!</v>
      </c>
      <c r="BO116" s="163" t="e">
        <f t="shared" si="968"/>
        <v>#DIV/0!</v>
      </c>
      <c r="BP116" s="163" t="e">
        <f t="shared" si="968"/>
        <v>#DIV/0!</v>
      </c>
      <c r="BQ116" s="163">
        <f t="shared" si="968"/>
        <v>0</v>
      </c>
      <c r="BR116" s="163">
        <f t="shared" ref="BR116:CJ116" si="969">+BR91/BR111</f>
        <v>0</v>
      </c>
      <c r="BS116" s="163">
        <f t="shared" si="969"/>
        <v>0</v>
      </c>
      <c r="BT116" s="163">
        <f t="shared" si="969"/>
        <v>0</v>
      </c>
      <c r="BU116" s="163">
        <f t="shared" si="969"/>
        <v>0</v>
      </c>
      <c r="BV116" s="163">
        <f t="shared" si="969"/>
        <v>2.69377265051439</v>
      </c>
      <c r="BW116" s="163">
        <f t="shared" si="969"/>
        <v>2.7808776631084733</v>
      </c>
      <c r="BX116" s="163">
        <f t="shared" si="969"/>
        <v>2.6783235709375606</v>
      </c>
      <c r="BY116" s="163">
        <f t="shared" si="969"/>
        <v>2.6194732789514208</v>
      </c>
      <c r="BZ116" s="163">
        <f t="shared" si="969"/>
        <v>2.6072751862815147</v>
      </c>
      <c r="CA116" s="163">
        <f t="shared" si="969"/>
        <v>2.8202633725810786</v>
      </c>
      <c r="CB116" s="163">
        <f t="shared" si="969"/>
        <v>2.7664384350007598</v>
      </c>
      <c r="CC116" s="163">
        <f t="shared" si="969"/>
        <v>5.0195035710207057</v>
      </c>
      <c r="CD116" s="163">
        <f t="shared" si="969"/>
        <v>7.2065773233451411</v>
      </c>
      <c r="CE116" s="163">
        <f t="shared" si="969"/>
        <v>9.0467334256776493</v>
      </c>
      <c r="CF116" s="163">
        <f t="shared" si="969"/>
        <v>8.4969986183441382</v>
      </c>
      <c r="CG116" s="163">
        <f t="shared" si="969"/>
        <v>8.6650413681096143</v>
      </c>
      <c r="CH116" s="163">
        <f t="shared" si="969"/>
        <v>7.0106789515437731</v>
      </c>
      <c r="CI116" s="163">
        <f t="shared" si="969"/>
        <v>6.9105462030675602</v>
      </c>
      <c r="CJ116" s="163">
        <f t="shared" si="969"/>
        <v>8.1943719471303389</v>
      </c>
      <c r="CK116" s="163">
        <f t="shared" ref="CK116" si="970">+CK91/CK111</f>
        <v>10.636542941751685</v>
      </c>
      <c r="CL116" s="163">
        <f t="shared" ref="CL116" si="971">+CL91/CL111</f>
        <v>9.7847000195852267</v>
      </c>
      <c r="CM116" s="94">
        <f t="shared" ref="CM116:DB116" si="972">+CL116</f>
        <v>9.7847000195852267</v>
      </c>
      <c r="CN116" s="94">
        <f t="shared" si="972"/>
        <v>9.7847000195852267</v>
      </c>
      <c r="CO116" s="94">
        <f t="shared" si="972"/>
        <v>9.7847000195852267</v>
      </c>
      <c r="CP116" s="94">
        <f t="shared" si="972"/>
        <v>9.7847000195852267</v>
      </c>
      <c r="CQ116" s="94">
        <f t="shared" si="972"/>
        <v>9.7847000195852267</v>
      </c>
      <c r="CR116" s="94">
        <f t="shared" si="972"/>
        <v>9.7847000195852267</v>
      </c>
      <c r="CS116" s="94">
        <f t="shared" si="972"/>
        <v>9.7847000195852267</v>
      </c>
      <c r="CT116" s="94">
        <f t="shared" si="972"/>
        <v>9.7847000195852267</v>
      </c>
      <c r="CU116" s="94">
        <f t="shared" si="972"/>
        <v>9.7847000195852267</v>
      </c>
      <c r="CV116" s="94">
        <f t="shared" si="972"/>
        <v>9.7847000195852267</v>
      </c>
      <c r="CW116" s="94">
        <f t="shared" si="972"/>
        <v>9.7847000195852267</v>
      </c>
      <c r="CX116" s="94">
        <f t="shared" si="972"/>
        <v>9.7847000195852267</v>
      </c>
      <c r="CY116" s="94">
        <f t="shared" si="972"/>
        <v>9.7847000195852267</v>
      </c>
      <c r="CZ116" s="94">
        <f t="shared" si="972"/>
        <v>9.7847000195852267</v>
      </c>
      <c r="DA116" s="94">
        <f t="shared" si="972"/>
        <v>9.7847000195852267</v>
      </c>
      <c r="DB116" s="94">
        <f t="shared" si="972"/>
        <v>9.7847000195852267</v>
      </c>
      <c r="DE116" s="164"/>
      <c r="DF116" s="163">
        <v>14.021363875375281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4" customFormat="1" x14ac:dyDescent="0.2">
      <c r="A118" s="3"/>
      <c r="AB118" s="17"/>
      <c r="AC118" s="17"/>
      <c r="AD118" s="17"/>
      <c r="AE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E118" s="119"/>
    </row>
    <row r="119" spans="1:110" s="162" customFormat="1" x14ac:dyDescent="0.2">
      <c r="A119" s="49" t="s">
        <v>340</v>
      </c>
      <c r="B119" s="162" t="e">
        <f t="shared" ref="B119:AE119" si="973">+B90*B77</f>
        <v>#DIV/0!</v>
      </c>
      <c r="C119" s="162" t="e">
        <f t="shared" si="973"/>
        <v>#DIV/0!</v>
      </c>
      <c r="D119" s="162" t="e">
        <f t="shared" si="973"/>
        <v>#DIV/0!</v>
      </c>
      <c r="E119" s="162">
        <f t="shared" ca="1" si="973"/>
        <v>0</v>
      </c>
      <c r="F119" s="162">
        <f t="shared" ca="1" si="973"/>
        <v>0</v>
      </c>
      <c r="G119" s="162">
        <f t="shared" ca="1" si="973"/>
        <v>0</v>
      </c>
      <c r="H119" s="162">
        <f t="shared" ca="1" si="973"/>
        <v>0</v>
      </c>
      <c r="I119" s="162">
        <f t="shared" ca="1" si="973"/>
        <v>0</v>
      </c>
      <c r="J119" s="162">
        <f t="shared" ca="1" si="973"/>
        <v>0</v>
      </c>
      <c r="K119" s="162">
        <f t="shared" ca="1" si="973"/>
        <v>0</v>
      </c>
      <c r="L119" s="162">
        <f t="shared" ca="1" si="973"/>
        <v>0</v>
      </c>
      <c r="M119" s="162">
        <f t="shared" ca="1" si="973"/>
        <v>0</v>
      </c>
      <c r="N119" s="162">
        <f t="shared" ca="1" si="973"/>
        <v>0</v>
      </c>
      <c r="O119" s="162">
        <f t="shared" ca="1" si="973"/>
        <v>0</v>
      </c>
      <c r="P119" s="162">
        <f t="shared" ca="1" si="973"/>
        <v>0</v>
      </c>
      <c r="Q119" s="162">
        <f t="shared" ca="1" si="973"/>
        <v>0</v>
      </c>
      <c r="R119" s="162">
        <f t="shared" ca="1" si="973"/>
        <v>0</v>
      </c>
      <c r="S119" s="162">
        <f t="shared" ca="1" si="973"/>
        <v>0</v>
      </c>
      <c r="T119" s="162">
        <f t="shared" ca="1" si="973"/>
        <v>0</v>
      </c>
      <c r="U119" s="162">
        <f t="shared" ca="1" si="973"/>
        <v>0</v>
      </c>
      <c r="V119" s="162">
        <f t="shared" ca="1" si="973"/>
        <v>0</v>
      </c>
      <c r="W119" s="162">
        <f t="shared" ca="1" si="973"/>
        <v>2713.0936000000002</v>
      </c>
      <c r="X119" s="162">
        <f t="shared" ca="1" si="973"/>
        <v>3575.0487499999999</v>
      </c>
      <c r="Y119" s="162">
        <f t="shared" ca="1" si="973"/>
        <v>17433.3698</v>
      </c>
      <c r="Z119" s="162">
        <f t="shared" ca="1" si="973"/>
        <v>19262.923050000001</v>
      </c>
      <c r="AA119" s="162">
        <f t="shared" ref="AA119" ca="1" si="974">+AA90*AA77</f>
        <v>19262.923050000001</v>
      </c>
      <c r="AB119" s="21">
        <f t="shared" ca="1" si="973"/>
        <v>36071.968235820394</v>
      </c>
      <c r="AC119" s="21">
        <f t="shared" ca="1" si="973"/>
        <v>53026.969143080903</v>
      </c>
      <c r="AD119" s="21">
        <f t="shared" ca="1" si="973"/>
        <v>76327.770653626678</v>
      </c>
      <c r="AE119" s="21">
        <f t="shared" ca="1" si="973"/>
        <v>108008.04823238858</v>
      </c>
      <c r="AL119" s="162">
        <f t="shared" ref="AL119:BQ119" si="975">+AL90*AL77</f>
        <v>0</v>
      </c>
      <c r="AM119" s="162">
        <f t="shared" si="975"/>
        <v>0</v>
      </c>
      <c r="AN119" s="162">
        <f t="shared" si="975"/>
        <v>0</v>
      </c>
      <c r="AO119" s="162">
        <f t="shared" si="975"/>
        <v>0</v>
      </c>
      <c r="AP119" s="162">
        <f t="shared" si="975"/>
        <v>0</v>
      </c>
      <c r="AQ119" s="162">
        <f t="shared" si="975"/>
        <v>0</v>
      </c>
      <c r="AR119" s="162">
        <f t="shared" si="975"/>
        <v>0</v>
      </c>
      <c r="AS119" s="162">
        <f t="shared" si="975"/>
        <v>0</v>
      </c>
      <c r="AT119" s="162">
        <f t="shared" si="975"/>
        <v>0</v>
      </c>
      <c r="AU119" s="162">
        <f t="shared" si="975"/>
        <v>0</v>
      </c>
      <c r="AV119" s="162">
        <f t="shared" si="975"/>
        <v>0</v>
      </c>
      <c r="AW119" s="162">
        <f t="shared" si="975"/>
        <v>0</v>
      </c>
      <c r="AX119" s="162">
        <f t="shared" si="975"/>
        <v>0</v>
      </c>
      <c r="AY119" s="162">
        <f t="shared" si="975"/>
        <v>0</v>
      </c>
      <c r="AZ119" s="162">
        <f t="shared" si="975"/>
        <v>0</v>
      </c>
      <c r="BA119" s="162">
        <f t="shared" si="975"/>
        <v>0</v>
      </c>
      <c r="BB119" s="162">
        <f t="shared" si="975"/>
        <v>0</v>
      </c>
      <c r="BC119" s="162">
        <f t="shared" si="975"/>
        <v>0</v>
      </c>
      <c r="BD119" s="162">
        <f t="shared" si="975"/>
        <v>0</v>
      </c>
      <c r="BE119" s="162">
        <f t="shared" si="975"/>
        <v>0</v>
      </c>
      <c r="BF119" s="162">
        <f t="shared" si="975"/>
        <v>0</v>
      </c>
      <c r="BG119" s="162">
        <f t="shared" si="975"/>
        <v>0</v>
      </c>
      <c r="BH119" s="162">
        <f t="shared" si="975"/>
        <v>0</v>
      </c>
      <c r="BI119" s="162">
        <f t="shared" si="975"/>
        <v>0</v>
      </c>
      <c r="BJ119" s="162">
        <f t="shared" si="975"/>
        <v>0</v>
      </c>
      <c r="BK119" s="162">
        <f t="shared" si="975"/>
        <v>0</v>
      </c>
      <c r="BL119" s="162">
        <f t="shared" si="975"/>
        <v>0</v>
      </c>
      <c r="BM119" s="162">
        <f t="shared" si="975"/>
        <v>0</v>
      </c>
      <c r="BN119" s="162">
        <f t="shared" si="975"/>
        <v>0</v>
      </c>
      <c r="BO119" s="162">
        <f t="shared" si="975"/>
        <v>0</v>
      </c>
      <c r="BP119" s="162">
        <f t="shared" si="975"/>
        <v>0</v>
      </c>
      <c r="BQ119" s="162">
        <f t="shared" si="975"/>
        <v>0</v>
      </c>
      <c r="BR119" s="162">
        <f t="shared" ref="BR119:CJ119" si="976">+BR90*BR77</f>
        <v>0</v>
      </c>
      <c r="BS119" s="162">
        <f t="shared" si="976"/>
        <v>0</v>
      </c>
      <c r="BT119" s="162">
        <f t="shared" si="976"/>
        <v>0</v>
      </c>
      <c r="BU119" s="162">
        <f t="shared" si="976"/>
        <v>1276.3287250000001</v>
      </c>
      <c r="BV119" s="162">
        <f t="shared" si="976"/>
        <v>1356.5468000000001</v>
      </c>
      <c r="BW119" s="162">
        <f t="shared" si="976"/>
        <v>1477.7559999999999</v>
      </c>
      <c r="BX119" s="162">
        <f t="shared" si="976"/>
        <v>1438.9441499999998</v>
      </c>
      <c r="BY119" s="162">
        <f t="shared" si="976"/>
        <v>1529.7472749999999</v>
      </c>
      <c r="BZ119" s="162">
        <f t="shared" si="976"/>
        <v>1787.524375</v>
      </c>
      <c r="CA119" s="162">
        <f t="shared" si="976"/>
        <v>1867.846225</v>
      </c>
      <c r="CB119" s="162">
        <f t="shared" si="976"/>
        <v>3587.5017499999999</v>
      </c>
      <c r="CC119" s="162">
        <f t="shared" si="976"/>
        <v>5638.6146250000002</v>
      </c>
      <c r="CD119" s="162">
        <f t="shared" si="976"/>
        <v>8716.6849000000002</v>
      </c>
      <c r="CE119" s="162">
        <f t="shared" si="976"/>
        <v>8922.3669499999996</v>
      </c>
      <c r="CF119" s="162">
        <f t="shared" si="976"/>
        <v>8895.2816750000002</v>
      </c>
      <c r="CG119" s="162">
        <f t="shared" si="976"/>
        <v>9631.4615250000006</v>
      </c>
      <c r="CH119" s="162">
        <f t="shared" si="976"/>
        <v>8822.8467249999994</v>
      </c>
      <c r="CI119" s="162">
        <f t="shared" si="976"/>
        <v>9087.3691999999992</v>
      </c>
      <c r="CJ119" s="162">
        <f t="shared" si="976"/>
        <v>12847.344999999999</v>
      </c>
      <c r="CK119" s="162">
        <f t="shared" ref="CK119" si="977">+CK90*CK77</f>
        <v>13797.30135</v>
      </c>
      <c r="CL119" s="162">
        <f t="shared" ref="CL119" si="978">+CL90*CL77</f>
        <v>13456.296699999999</v>
      </c>
      <c r="CM119" s="21">
        <f t="shared" ref="CM119:DB119" si="979">+CM90*CM77</f>
        <v>31017.054141759741</v>
      </c>
      <c r="CN119" s="21">
        <f t="shared" si="979"/>
        <v>32850.665959541657</v>
      </c>
      <c r="CO119" s="21">
        <f t="shared" si="979"/>
        <v>34457.822189710692</v>
      </c>
      <c r="CP119" s="21">
        <f t="shared" si="979"/>
        <v>36071.968235820394</v>
      </c>
      <c r="CQ119" s="21">
        <f t="shared" si="979"/>
        <v>39721.493207683015</v>
      </c>
      <c r="CR119" s="21">
        <f t="shared" si="979"/>
        <v>43800.437850776849</v>
      </c>
      <c r="CS119" s="21">
        <f t="shared" si="979"/>
        <v>48155.475446453122</v>
      </c>
      <c r="CT119" s="21">
        <f t="shared" si="979"/>
        <v>53026.969143080903</v>
      </c>
      <c r="CU119" s="21">
        <f t="shared" si="979"/>
        <v>58247.864132965879</v>
      </c>
      <c r="CV119" s="21">
        <f t="shared" si="979"/>
        <v>64039.540026086906</v>
      </c>
      <c r="CW119" s="21">
        <f t="shared" si="979"/>
        <v>70018.55888779604</v>
      </c>
      <c r="CX119" s="21">
        <f t="shared" si="979"/>
        <v>76327.770653626678</v>
      </c>
      <c r="CY119" s="21">
        <f t="shared" si="979"/>
        <v>83514.80674639417</v>
      </c>
      <c r="CZ119" s="21">
        <f t="shared" si="979"/>
        <v>91409.542250926897</v>
      </c>
      <c r="DA119" s="21">
        <f t="shared" si="979"/>
        <v>99496.974366090115</v>
      </c>
      <c r="DB119" s="21">
        <f t="shared" si="979"/>
        <v>108008.04823238858</v>
      </c>
      <c r="DE119" s="22"/>
      <c r="DF119" s="162">
        <v>19262.923050000001</v>
      </c>
    </row>
    <row r="120" spans="1:110" s="162" customFormat="1" x14ac:dyDescent="0.2">
      <c r="A120" s="49" t="s">
        <v>341</v>
      </c>
      <c r="B120" s="162" t="e">
        <f t="shared" ref="B120:AE120" si="980">+B91*B77</f>
        <v>#DIV/0!</v>
      </c>
      <c r="C120" s="162" t="e">
        <f t="shared" si="980"/>
        <v>#DIV/0!</v>
      </c>
      <c r="D120" s="162" t="e">
        <f t="shared" si="980"/>
        <v>#DIV/0!</v>
      </c>
      <c r="E120" s="162">
        <f t="shared" ca="1" si="980"/>
        <v>0</v>
      </c>
      <c r="F120" s="162">
        <f t="shared" ca="1" si="980"/>
        <v>0</v>
      </c>
      <c r="G120" s="162">
        <f t="shared" ca="1" si="980"/>
        <v>0</v>
      </c>
      <c r="H120" s="162">
        <f t="shared" ca="1" si="980"/>
        <v>0</v>
      </c>
      <c r="I120" s="162">
        <f t="shared" ca="1" si="980"/>
        <v>0</v>
      </c>
      <c r="J120" s="162">
        <f t="shared" ca="1" si="980"/>
        <v>0</v>
      </c>
      <c r="K120" s="162">
        <f t="shared" ca="1" si="980"/>
        <v>0</v>
      </c>
      <c r="L120" s="162">
        <f t="shared" ca="1" si="980"/>
        <v>0</v>
      </c>
      <c r="M120" s="162">
        <f t="shared" ca="1" si="980"/>
        <v>0</v>
      </c>
      <c r="N120" s="162">
        <f t="shared" ca="1" si="980"/>
        <v>0</v>
      </c>
      <c r="O120" s="162">
        <f t="shared" ca="1" si="980"/>
        <v>0</v>
      </c>
      <c r="P120" s="162">
        <f t="shared" ca="1" si="980"/>
        <v>0</v>
      </c>
      <c r="Q120" s="162">
        <f t="shared" ca="1" si="980"/>
        <v>0</v>
      </c>
      <c r="R120" s="162">
        <f t="shared" ca="1" si="980"/>
        <v>0</v>
      </c>
      <c r="S120" s="162">
        <f t="shared" ca="1" si="980"/>
        <v>0</v>
      </c>
      <c r="T120" s="162">
        <f t="shared" ca="1" si="980"/>
        <v>0</v>
      </c>
      <c r="U120" s="162">
        <f t="shared" ca="1" si="980"/>
        <v>0</v>
      </c>
      <c r="V120" s="162">
        <f t="shared" ca="1" si="980"/>
        <v>0</v>
      </c>
      <c r="W120" s="162">
        <f t="shared" ca="1" si="980"/>
        <v>2249.2193499999998</v>
      </c>
      <c r="X120" s="162">
        <f t="shared" ca="1" si="980"/>
        <v>2511.355</v>
      </c>
      <c r="Y120" s="162">
        <f t="shared" ca="1" si="980"/>
        <v>3339.4794999999999</v>
      </c>
      <c r="Z120" s="162">
        <f t="shared" ca="1" si="980"/>
        <v>13167.387099999998</v>
      </c>
      <c r="AA120" s="162">
        <f t="shared" ref="AA120" ca="1" si="981">+AA91*AA77</f>
        <v>13167.387099999998</v>
      </c>
      <c r="AB120" s="21">
        <f t="shared" ca="1" si="980"/>
        <v>23489.158224874813</v>
      </c>
      <c r="AC120" s="21">
        <f t="shared" ca="1" si="980"/>
        <v>30081.013967970001</v>
      </c>
      <c r="AD120" s="21">
        <f t="shared" ca="1" si="980"/>
        <v>44111.000697457668</v>
      </c>
      <c r="AE120" s="21">
        <f t="shared" ca="1" si="980"/>
        <v>63245.610006037772</v>
      </c>
      <c r="AL120" s="162">
        <f t="shared" ref="AL120:BQ120" si="982">+AL91*AL77</f>
        <v>0</v>
      </c>
      <c r="AM120" s="162">
        <f t="shared" si="982"/>
        <v>0</v>
      </c>
      <c r="AN120" s="162">
        <f t="shared" si="982"/>
        <v>0</v>
      </c>
      <c r="AO120" s="162">
        <f t="shared" si="982"/>
        <v>0</v>
      </c>
      <c r="AP120" s="162">
        <f t="shared" si="982"/>
        <v>0</v>
      </c>
      <c r="AQ120" s="162">
        <f t="shared" si="982"/>
        <v>0</v>
      </c>
      <c r="AR120" s="162">
        <f t="shared" si="982"/>
        <v>0</v>
      </c>
      <c r="AS120" s="162">
        <f t="shared" si="982"/>
        <v>0</v>
      </c>
      <c r="AT120" s="162">
        <f t="shared" si="982"/>
        <v>0</v>
      </c>
      <c r="AU120" s="162">
        <f t="shared" si="982"/>
        <v>0</v>
      </c>
      <c r="AV120" s="162">
        <f t="shared" si="982"/>
        <v>0</v>
      </c>
      <c r="AW120" s="162">
        <f t="shared" si="982"/>
        <v>0</v>
      </c>
      <c r="AX120" s="162">
        <f t="shared" si="982"/>
        <v>0</v>
      </c>
      <c r="AY120" s="162">
        <f t="shared" si="982"/>
        <v>0</v>
      </c>
      <c r="AZ120" s="162">
        <f t="shared" si="982"/>
        <v>0</v>
      </c>
      <c r="BA120" s="162">
        <f t="shared" si="982"/>
        <v>0</v>
      </c>
      <c r="BB120" s="162">
        <f t="shared" si="982"/>
        <v>0</v>
      </c>
      <c r="BC120" s="162">
        <f t="shared" si="982"/>
        <v>0</v>
      </c>
      <c r="BD120" s="162">
        <f t="shared" si="982"/>
        <v>0</v>
      </c>
      <c r="BE120" s="162">
        <f t="shared" si="982"/>
        <v>0</v>
      </c>
      <c r="BF120" s="162">
        <f t="shared" si="982"/>
        <v>0</v>
      </c>
      <c r="BG120" s="162">
        <f t="shared" si="982"/>
        <v>0</v>
      </c>
      <c r="BH120" s="162">
        <f t="shared" si="982"/>
        <v>0</v>
      </c>
      <c r="BI120" s="162">
        <f t="shared" si="982"/>
        <v>0</v>
      </c>
      <c r="BJ120" s="162">
        <f t="shared" si="982"/>
        <v>0</v>
      </c>
      <c r="BK120" s="162">
        <f t="shared" si="982"/>
        <v>0</v>
      </c>
      <c r="BL120" s="162">
        <f t="shared" si="982"/>
        <v>0</v>
      </c>
      <c r="BM120" s="162">
        <f t="shared" si="982"/>
        <v>0</v>
      </c>
      <c r="BN120" s="162">
        <f t="shared" si="982"/>
        <v>0</v>
      </c>
      <c r="BO120" s="162">
        <f t="shared" si="982"/>
        <v>0</v>
      </c>
      <c r="BP120" s="162">
        <f t="shared" si="982"/>
        <v>0</v>
      </c>
      <c r="BQ120" s="162">
        <f t="shared" si="982"/>
        <v>0</v>
      </c>
      <c r="BR120" s="162">
        <f t="shared" ref="BR120:CJ120" si="983">+BR91*BR77</f>
        <v>0</v>
      </c>
      <c r="BS120" s="162">
        <f t="shared" si="983"/>
        <v>0</v>
      </c>
      <c r="BT120" s="162">
        <f t="shared" si="983"/>
        <v>0</v>
      </c>
      <c r="BU120" s="162">
        <f t="shared" si="983"/>
        <v>0</v>
      </c>
      <c r="BV120" s="162">
        <f t="shared" si="983"/>
        <v>1124.6096749999999</v>
      </c>
      <c r="BW120" s="162">
        <f t="shared" si="983"/>
        <v>1255.6775</v>
      </c>
      <c r="BX120" s="162">
        <f t="shared" si="983"/>
        <v>1301.3384999999998</v>
      </c>
      <c r="BY120" s="162">
        <f t="shared" si="983"/>
        <v>1357.377</v>
      </c>
      <c r="BZ120" s="162">
        <f t="shared" si="983"/>
        <v>1430.4346</v>
      </c>
      <c r="CA120" s="162">
        <f t="shared" si="983"/>
        <v>1669.73975</v>
      </c>
      <c r="CB120" s="162">
        <f t="shared" si="983"/>
        <v>1766.5618249999998</v>
      </c>
      <c r="CC120" s="162">
        <f t="shared" si="983"/>
        <v>3428.3108999999999</v>
      </c>
      <c r="CD120" s="162">
        <f t="shared" si="983"/>
        <v>5219.8824999999997</v>
      </c>
      <c r="CE120" s="162">
        <f t="shared" si="983"/>
        <v>7118.9649999999992</v>
      </c>
      <c r="CF120" s="162">
        <f t="shared" si="983"/>
        <v>7195.3433999999997</v>
      </c>
      <c r="CG120" s="162">
        <f t="shared" si="983"/>
        <v>7810.8329249999997</v>
      </c>
      <c r="CH120" s="162">
        <f t="shared" si="983"/>
        <v>6583.693549999999</v>
      </c>
      <c r="CI120" s="162">
        <f t="shared" si="983"/>
        <v>6741.2239999999993</v>
      </c>
      <c r="CJ120" s="162">
        <f t="shared" si="983"/>
        <v>8443.3415499999992</v>
      </c>
      <c r="CK120" s="162">
        <f t="shared" ref="CK120" si="984">+CK91*CK77</f>
        <v>11519.025</v>
      </c>
      <c r="CL120" s="162">
        <f t="shared" ref="CL120" si="985">+CL91*CL77</f>
        <v>11240.907999999999</v>
      </c>
      <c r="CM120" s="21">
        <f t="shared" ref="CM120:DB120" si="986">+CM91*CM77</f>
        <v>11744.579112437406</v>
      </c>
      <c r="CN120" s="21">
        <f t="shared" si="986"/>
        <v>12438.874546072617</v>
      </c>
      <c r="CO120" s="21">
        <f t="shared" si="986"/>
        <v>13047.422779086601</v>
      </c>
      <c r="CP120" s="21">
        <f t="shared" si="986"/>
        <v>13658.61769949782</v>
      </c>
      <c r="CQ120" s="21">
        <f t="shared" si="986"/>
        <v>15040.506983985</v>
      </c>
      <c r="CR120" s="21">
        <f t="shared" si="986"/>
        <v>16584.995633265557</v>
      </c>
      <c r="CS120" s="21">
        <f t="shared" si="986"/>
        <v>18234.026625902472</v>
      </c>
      <c r="CT120" s="21">
        <f t="shared" si="986"/>
        <v>20078.613247646012</v>
      </c>
      <c r="CU120" s="21">
        <f t="shared" si="986"/>
        <v>22055.500348728834</v>
      </c>
      <c r="CV120" s="21">
        <f t="shared" si="986"/>
        <v>24248.513115495</v>
      </c>
      <c r="CW120" s="21">
        <f t="shared" si="986"/>
        <v>26512.463125549508</v>
      </c>
      <c r="CX120" s="21">
        <f t="shared" si="986"/>
        <v>28901.440376008501</v>
      </c>
      <c r="CY120" s="21">
        <f t="shared" si="986"/>
        <v>31622.805003018886</v>
      </c>
      <c r="CZ120" s="21">
        <f t="shared" si="986"/>
        <v>34612.139363431888</v>
      </c>
      <c r="DA120" s="21">
        <f t="shared" si="986"/>
        <v>37674.438118784055</v>
      </c>
      <c r="DB120" s="21">
        <f t="shared" si="986"/>
        <v>40897.148434782808</v>
      </c>
      <c r="DE120" s="22"/>
      <c r="DF120" s="162">
        <v>13167.387099999998</v>
      </c>
    </row>
    <row r="121" spans="1:110" s="162" customFormat="1" x14ac:dyDescent="0.2">
      <c r="A121" s="49" t="s">
        <v>80</v>
      </c>
      <c r="B121" s="162">
        <f>+B180</f>
        <v>0</v>
      </c>
      <c r="C121" s="162">
        <f t="shared" ref="C121:W121" si="987">+C180</f>
        <v>0</v>
      </c>
      <c r="D121" s="162">
        <f t="shared" si="987"/>
        <v>0</v>
      </c>
      <c r="E121" s="162">
        <f t="shared" si="987"/>
        <v>0</v>
      </c>
      <c r="F121" s="162">
        <f t="shared" si="987"/>
        <v>0</v>
      </c>
      <c r="G121" s="162">
        <f t="shared" si="987"/>
        <v>0</v>
      </c>
      <c r="H121" s="162">
        <f t="shared" si="987"/>
        <v>0</v>
      </c>
      <c r="I121" s="162">
        <f t="shared" si="987"/>
        <v>0</v>
      </c>
      <c r="J121" s="162">
        <f t="shared" si="987"/>
        <v>-3.1662999999999997E-2</v>
      </c>
      <c r="K121" s="162">
        <f t="shared" si="987"/>
        <v>-3.5004993999999998</v>
      </c>
      <c r="L121" s="162">
        <f t="shared" si="987"/>
        <v>-7.5606499999999993E-2</v>
      </c>
      <c r="M121" s="162">
        <f t="shared" si="987"/>
        <v>-9.5451800000000003E-2</v>
      </c>
      <c r="N121" s="162">
        <f t="shared" si="987"/>
        <v>-0.1291727</v>
      </c>
      <c r="O121" s="162">
        <f t="shared" si="987"/>
        <v>-0.2180993</v>
      </c>
      <c r="P121" s="162">
        <f t="shared" si="987"/>
        <v>-2.9447600000000001E-2</v>
      </c>
      <c r="Q121" s="162">
        <f t="shared" si="987"/>
        <v>-0.54400000000000004</v>
      </c>
      <c r="R121" s="162">
        <f t="shared" si="987"/>
        <v>22.619</v>
      </c>
      <c r="S121" s="162">
        <f t="shared" si="987"/>
        <v>-50.003999999999998</v>
      </c>
      <c r="T121" s="162">
        <f t="shared" si="987"/>
        <v>-85.941999999999993</v>
      </c>
      <c r="U121" s="162">
        <f t="shared" si="987"/>
        <v>11.600999999999996</v>
      </c>
      <c r="V121" s="162">
        <f t="shared" si="987"/>
        <v>-34.683300000000003</v>
      </c>
      <c r="W121" s="162">
        <f t="shared" si="987"/>
        <v>-62.157599999999995</v>
      </c>
      <c r="X121" s="162">
        <f t="shared" ref="X121:Y121" si="988">+X180</f>
        <v>-47.945100000000004</v>
      </c>
      <c r="Y121" s="162">
        <f t="shared" si="988"/>
        <v>-25.770499999999998</v>
      </c>
      <c r="Z121" s="162">
        <f t="shared" ref="Z121:AA121" si="989">+Z180</f>
        <v>-23.440400000000007</v>
      </c>
      <c r="AA121" s="162">
        <f t="shared" ref="AA121" si="990">+AA180</f>
        <v>-225.1163</v>
      </c>
      <c r="AB121" s="21">
        <f t="shared" ref="AB121:AD121" si="991">+AB180</f>
        <v>-617.40993943873832</v>
      </c>
      <c r="AC121" s="21">
        <f t="shared" si="991"/>
        <v>-1188.6720090405561</v>
      </c>
      <c r="AD121" s="21">
        <f t="shared" si="991"/>
        <v>-2015.0757199960221</v>
      </c>
      <c r="AE121" s="21">
        <f t="shared" ref="AE121" si="992">+AE180</f>
        <v>-3195.7983640934185</v>
      </c>
      <c r="AL121" s="162">
        <f t="shared" ref="AL121:AM121" si="993">+AL180</f>
        <v>0</v>
      </c>
      <c r="AM121" s="162" t="e">
        <f t="shared" si="993"/>
        <v>#DIV/0!</v>
      </c>
      <c r="AN121" s="162">
        <f t="shared" ref="AN121:AO121" si="994">+AN180</f>
        <v>0</v>
      </c>
      <c r="AO121" s="162" t="e">
        <f t="shared" si="994"/>
        <v>#DIV/0!</v>
      </c>
      <c r="AP121" s="162">
        <f t="shared" ref="AP121:CD121" si="995">+AP180</f>
        <v>0</v>
      </c>
      <c r="AQ121" s="162" t="e">
        <f t="shared" si="995"/>
        <v>#DIV/0!</v>
      </c>
      <c r="AR121" s="162">
        <f t="shared" si="995"/>
        <v>0</v>
      </c>
      <c r="AS121" s="162" t="e">
        <f t="shared" si="995"/>
        <v>#DIV/0!</v>
      </c>
      <c r="AT121" s="162">
        <f t="shared" si="995"/>
        <v>0</v>
      </c>
      <c r="AU121" s="162" t="e">
        <f t="shared" si="995"/>
        <v>#DIV/0!</v>
      </c>
      <c r="AV121" s="162">
        <f t="shared" si="995"/>
        <v>0</v>
      </c>
      <c r="AW121" s="162" t="e">
        <f t="shared" si="995"/>
        <v>#DIV/0!</v>
      </c>
      <c r="AX121" s="162">
        <f t="shared" si="995"/>
        <v>0</v>
      </c>
      <c r="AY121" s="162" t="e">
        <f t="shared" si="995"/>
        <v>#DIV/0!</v>
      </c>
      <c r="AZ121" s="162">
        <f t="shared" si="995"/>
        <v>0</v>
      </c>
      <c r="BA121" s="162" t="e">
        <f t="shared" si="995"/>
        <v>#DIV/0!</v>
      </c>
      <c r="BB121" s="162">
        <f t="shared" si="995"/>
        <v>0</v>
      </c>
      <c r="BC121" s="162" t="e">
        <f t="shared" si="995"/>
        <v>#DIV/0!</v>
      </c>
      <c r="BD121" s="162">
        <f t="shared" si="995"/>
        <v>0</v>
      </c>
      <c r="BE121" s="162" t="e">
        <f t="shared" si="995"/>
        <v>#DIV/0!</v>
      </c>
      <c r="BF121" s="162">
        <f t="shared" si="995"/>
        <v>0</v>
      </c>
      <c r="BG121" s="162" t="e">
        <f t="shared" si="995"/>
        <v>#DIV/0!</v>
      </c>
      <c r="BH121" s="162">
        <f t="shared" si="995"/>
        <v>0</v>
      </c>
      <c r="BI121" s="162" t="e">
        <f t="shared" si="995"/>
        <v>#DIV/0!</v>
      </c>
      <c r="BJ121" s="162">
        <f t="shared" si="995"/>
        <v>0</v>
      </c>
      <c r="BK121" s="162" t="e">
        <f t="shared" si="995"/>
        <v>#DIV/0!</v>
      </c>
      <c r="BL121" s="162">
        <f t="shared" si="995"/>
        <v>0</v>
      </c>
      <c r="BM121" s="162" t="e">
        <f t="shared" si="995"/>
        <v>#DIV/0!</v>
      </c>
      <c r="BN121" s="162">
        <f t="shared" si="995"/>
        <v>0</v>
      </c>
      <c r="BO121" s="162" t="e">
        <f t="shared" si="995"/>
        <v>#DIV/0!</v>
      </c>
      <c r="BP121" s="162">
        <f t="shared" si="995"/>
        <v>0</v>
      </c>
      <c r="BQ121" s="162" t="e">
        <f t="shared" si="995"/>
        <v>#DIV/0!</v>
      </c>
      <c r="BR121" s="162">
        <f t="shared" si="995"/>
        <v>-34.682999999999993</v>
      </c>
      <c r="BS121" s="162">
        <f t="shared" si="995"/>
        <v>-60.234402034101095</v>
      </c>
      <c r="BT121" s="162">
        <f t="shared" si="995"/>
        <v>0</v>
      </c>
      <c r="BU121" s="162">
        <f t="shared" si="995"/>
        <v>-32.021000000000001</v>
      </c>
      <c r="BV121" s="162">
        <f t="shared" si="995"/>
        <v>-62.157999999999994</v>
      </c>
      <c r="BW121" s="162">
        <f t="shared" si="995"/>
        <v>-99.33287745633919</v>
      </c>
      <c r="BX121" s="162">
        <f t="shared" si="995"/>
        <v>-193.73799999999997</v>
      </c>
      <c r="BY121" s="162">
        <f t="shared" si="995"/>
        <v>-236.67426118783209</v>
      </c>
      <c r="BZ121" s="162">
        <f t="shared" si="995"/>
        <v>-47.945999999999998</v>
      </c>
      <c r="CA121" s="162">
        <f t="shared" si="995"/>
        <v>-97.236835632344693</v>
      </c>
      <c r="CB121" s="162">
        <f t="shared" si="995"/>
        <v>-162.55500000000001</v>
      </c>
      <c r="CC121" s="162">
        <f t="shared" si="995"/>
        <v>-220.395641211298</v>
      </c>
      <c r="CD121" s="162">
        <f t="shared" si="995"/>
        <v>-25.771000000000001</v>
      </c>
      <c r="CE121" s="162">
        <f t="shared" ref="CE121:CF121" si="996">+CE180</f>
        <v>-90.842380315165698</v>
      </c>
      <c r="CF121" s="162">
        <f t="shared" si="996"/>
        <v>-115.785</v>
      </c>
      <c r="CG121" s="162">
        <f t="shared" ref="CG121:CH121" si="997">+CG180</f>
        <v>-193.61739253384803</v>
      </c>
      <c r="CH121" s="162">
        <f t="shared" si="997"/>
        <v>-23.440400000000007</v>
      </c>
      <c r="CI121" s="162">
        <f t="shared" ref="CI121:CJ121" si="998">+CI180</f>
        <v>-68.529801195710888</v>
      </c>
      <c r="CJ121" s="162">
        <f t="shared" si="998"/>
        <v>-73.950999999999993</v>
      </c>
      <c r="CK121" s="162">
        <f t="shared" ref="CK121" si="999">+CK180</f>
        <v>-192.76418737179111</v>
      </c>
      <c r="CL121" s="162">
        <f t="shared" ref="CL121" si="1000">+CL180</f>
        <v>-225.11599999999999</v>
      </c>
      <c r="CM121" s="21">
        <f t="shared" ref="CM121:DB121" si="1001">+CM180</f>
        <v>-265.29745536275152</v>
      </c>
      <c r="CN121" s="21">
        <f t="shared" si="1001"/>
        <v>-337.45811804750076</v>
      </c>
      <c r="CO121" s="21">
        <f t="shared" si="1001"/>
        <v>-481.60840380432046</v>
      </c>
      <c r="CP121" s="21">
        <f t="shared" si="1001"/>
        <v>-617.40993943873832</v>
      </c>
      <c r="CQ121" s="21">
        <f t="shared" si="1001"/>
        <v>-679.13280151956906</v>
      </c>
      <c r="CR121" s="21">
        <f t="shared" si="1001"/>
        <v>-784.87274498956208</v>
      </c>
      <c r="CS121" s="21">
        <f t="shared" si="1001"/>
        <v>-989.07603173819552</v>
      </c>
      <c r="CT121" s="21">
        <f t="shared" si="1001"/>
        <v>-1188.6720090405561</v>
      </c>
      <c r="CU121" s="21">
        <f t="shared" si="1001"/>
        <v>-1286.3533109167574</v>
      </c>
      <c r="CV121" s="21">
        <f t="shared" si="1001"/>
        <v>-1443.743009753523</v>
      </c>
      <c r="CW121" s="21">
        <f t="shared" si="1001"/>
        <v>-1731.6088927297862</v>
      </c>
      <c r="CX121" s="21">
        <f t="shared" si="1001"/>
        <v>-2015.0757199960221</v>
      </c>
      <c r="CY121" s="21">
        <f t="shared" si="1001"/>
        <v>-2165.9911209008446</v>
      </c>
      <c r="CZ121" s="21">
        <f t="shared" si="1001"/>
        <v>-2396.4657549825693</v>
      </c>
      <c r="DA121" s="21">
        <f t="shared" si="1001"/>
        <v>-2798.2720012900922</v>
      </c>
      <c r="DB121" s="21">
        <f t="shared" si="1001"/>
        <v>-3195.7983640934185</v>
      </c>
      <c r="DE121" s="22"/>
      <c r="DF121" s="162">
        <v>-225.1163</v>
      </c>
    </row>
    <row r="122" spans="1:110" s="162" customFormat="1" x14ac:dyDescent="0.2">
      <c r="A122" s="49" t="s">
        <v>342</v>
      </c>
      <c r="B122" s="162" t="e">
        <f>+B119+B121</f>
        <v>#DIV/0!</v>
      </c>
      <c r="C122" s="162" t="e">
        <f t="shared" ref="C122:W122" si="1002">+C119+C121</f>
        <v>#DIV/0!</v>
      </c>
      <c r="D122" s="162" t="e">
        <f t="shared" si="1002"/>
        <v>#DIV/0!</v>
      </c>
      <c r="E122" s="162">
        <f t="shared" ca="1" si="1002"/>
        <v>0</v>
      </c>
      <c r="F122" s="162">
        <f t="shared" ca="1" si="1002"/>
        <v>0</v>
      </c>
      <c r="G122" s="162">
        <f t="shared" ca="1" si="1002"/>
        <v>0</v>
      </c>
      <c r="H122" s="162">
        <f t="shared" ca="1" si="1002"/>
        <v>0</v>
      </c>
      <c r="I122" s="162">
        <f t="shared" ca="1" si="1002"/>
        <v>0</v>
      </c>
      <c r="J122" s="162">
        <f t="shared" ca="1" si="1002"/>
        <v>-3.1662999999999997E-2</v>
      </c>
      <c r="K122" s="162">
        <f t="shared" ca="1" si="1002"/>
        <v>-3.5004993999999998</v>
      </c>
      <c r="L122" s="162">
        <f t="shared" ca="1" si="1002"/>
        <v>-7.5606499999999993E-2</v>
      </c>
      <c r="M122" s="162">
        <f t="shared" ca="1" si="1002"/>
        <v>-9.5451800000000003E-2</v>
      </c>
      <c r="N122" s="162">
        <f t="shared" ca="1" si="1002"/>
        <v>-0.1291727</v>
      </c>
      <c r="O122" s="162">
        <f t="shared" ca="1" si="1002"/>
        <v>-0.2180993</v>
      </c>
      <c r="P122" s="162">
        <f t="shared" ca="1" si="1002"/>
        <v>-2.9447600000000001E-2</v>
      </c>
      <c r="Q122" s="162">
        <f t="shared" ca="1" si="1002"/>
        <v>-0.54400000000000004</v>
      </c>
      <c r="R122" s="162">
        <f t="shared" ca="1" si="1002"/>
        <v>22.619</v>
      </c>
      <c r="S122" s="162">
        <f t="shared" ca="1" si="1002"/>
        <v>-50.003999999999998</v>
      </c>
      <c r="T122" s="162">
        <f t="shared" ca="1" si="1002"/>
        <v>-85.941999999999993</v>
      </c>
      <c r="U122" s="162">
        <f t="shared" ca="1" si="1002"/>
        <v>11.600999999999996</v>
      </c>
      <c r="V122" s="162">
        <f t="shared" ca="1" si="1002"/>
        <v>-34.683300000000003</v>
      </c>
      <c r="W122" s="162">
        <f t="shared" ca="1" si="1002"/>
        <v>2650.9360000000001</v>
      </c>
      <c r="X122" s="162">
        <f t="shared" ref="X122:Y122" ca="1" si="1003">+X119+X121</f>
        <v>3527.10365</v>
      </c>
      <c r="Y122" s="162">
        <f t="shared" ca="1" si="1003"/>
        <v>17407.599300000002</v>
      </c>
      <c r="Z122" s="162">
        <f t="shared" ref="Z122:AA122" ca="1" si="1004">+Z119+Z121</f>
        <v>19239.482650000002</v>
      </c>
      <c r="AA122" s="162">
        <f t="shared" ref="AA122" ca="1" si="1005">+AA119+AA121</f>
        <v>19239.482650000002</v>
      </c>
      <c r="AB122" s="21">
        <f t="shared" ref="AB122:AD122" ca="1" si="1006">+AB119+AB121</f>
        <v>35454.558296381656</v>
      </c>
      <c r="AC122" s="21">
        <f t="shared" ca="1" si="1006"/>
        <v>51838.297134040346</v>
      </c>
      <c r="AD122" s="21">
        <f t="shared" ca="1" si="1006"/>
        <v>74312.694933630657</v>
      </c>
      <c r="AE122" s="21">
        <f t="shared" ref="AE122" ca="1" si="1007">+AE119+AE121</f>
        <v>104812.24986829516</v>
      </c>
      <c r="AL122" s="162">
        <f t="shared" ref="AL122" si="1008">+AL119+AL121</f>
        <v>0</v>
      </c>
      <c r="AM122" s="162" t="e">
        <f t="shared" ref="AM122:AO122" si="1009">+AM119+AM121</f>
        <v>#DIV/0!</v>
      </c>
      <c r="AN122" s="162">
        <f t="shared" si="1009"/>
        <v>0</v>
      </c>
      <c r="AO122" s="162" t="e">
        <f t="shared" si="1009"/>
        <v>#DIV/0!</v>
      </c>
      <c r="AP122" s="162">
        <f t="shared" ref="AP122:CD122" si="1010">+AP119+AP121</f>
        <v>0</v>
      </c>
      <c r="AQ122" s="162" t="e">
        <f t="shared" si="1010"/>
        <v>#DIV/0!</v>
      </c>
      <c r="AR122" s="162">
        <f t="shared" si="1010"/>
        <v>0</v>
      </c>
      <c r="AS122" s="162" t="e">
        <f t="shared" si="1010"/>
        <v>#DIV/0!</v>
      </c>
      <c r="AT122" s="162">
        <f t="shared" si="1010"/>
        <v>0</v>
      </c>
      <c r="AU122" s="162" t="e">
        <f t="shared" si="1010"/>
        <v>#DIV/0!</v>
      </c>
      <c r="AV122" s="162">
        <f t="shared" si="1010"/>
        <v>0</v>
      </c>
      <c r="AW122" s="162" t="e">
        <f t="shared" si="1010"/>
        <v>#DIV/0!</v>
      </c>
      <c r="AX122" s="162">
        <f t="shared" si="1010"/>
        <v>0</v>
      </c>
      <c r="AY122" s="162" t="e">
        <f t="shared" si="1010"/>
        <v>#DIV/0!</v>
      </c>
      <c r="AZ122" s="162">
        <f t="shared" si="1010"/>
        <v>0</v>
      </c>
      <c r="BA122" s="162" t="e">
        <f t="shared" si="1010"/>
        <v>#DIV/0!</v>
      </c>
      <c r="BB122" s="162">
        <f t="shared" si="1010"/>
        <v>0</v>
      </c>
      <c r="BC122" s="162" t="e">
        <f t="shared" si="1010"/>
        <v>#DIV/0!</v>
      </c>
      <c r="BD122" s="162">
        <f t="shared" si="1010"/>
        <v>0</v>
      </c>
      <c r="BE122" s="162" t="e">
        <f t="shared" si="1010"/>
        <v>#DIV/0!</v>
      </c>
      <c r="BF122" s="162">
        <f t="shared" si="1010"/>
        <v>0</v>
      </c>
      <c r="BG122" s="162" t="e">
        <f t="shared" si="1010"/>
        <v>#DIV/0!</v>
      </c>
      <c r="BH122" s="162">
        <f t="shared" si="1010"/>
        <v>0</v>
      </c>
      <c r="BI122" s="162" t="e">
        <f t="shared" si="1010"/>
        <v>#DIV/0!</v>
      </c>
      <c r="BJ122" s="162">
        <f t="shared" si="1010"/>
        <v>0</v>
      </c>
      <c r="BK122" s="162" t="e">
        <f t="shared" si="1010"/>
        <v>#DIV/0!</v>
      </c>
      <c r="BL122" s="162">
        <f t="shared" si="1010"/>
        <v>0</v>
      </c>
      <c r="BM122" s="162" t="e">
        <f t="shared" si="1010"/>
        <v>#DIV/0!</v>
      </c>
      <c r="BN122" s="162">
        <f t="shared" si="1010"/>
        <v>0</v>
      </c>
      <c r="BO122" s="162" t="e">
        <f t="shared" si="1010"/>
        <v>#DIV/0!</v>
      </c>
      <c r="BP122" s="162">
        <f t="shared" si="1010"/>
        <v>0</v>
      </c>
      <c r="BQ122" s="162" t="e">
        <f t="shared" si="1010"/>
        <v>#DIV/0!</v>
      </c>
      <c r="BR122" s="162">
        <f t="shared" si="1010"/>
        <v>-34.682999999999993</v>
      </c>
      <c r="BS122" s="162">
        <f t="shared" si="1010"/>
        <v>-60.234402034101095</v>
      </c>
      <c r="BT122" s="162">
        <f t="shared" si="1010"/>
        <v>0</v>
      </c>
      <c r="BU122" s="162">
        <f t="shared" si="1010"/>
        <v>1244.3077250000001</v>
      </c>
      <c r="BV122" s="162">
        <f t="shared" si="1010"/>
        <v>1294.3888000000002</v>
      </c>
      <c r="BW122" s="162">
        <f t="shared" si="1010"/>
        <v>1378.4231225436606</v>
      </c>
      <c r="BX122" s="162">
        <f t="shared" si="1010"/>
        <v>1245.2061499999998</v>
      </c>
      <c r="BY122" s="162">
        <f t="shared" si="1010"/>
        <v>1293.0730138121678</v>
      </c>
      <c r="BZ122" s="162">
        <f t="shared" si="1010"/>
        <v>1739.5783750000001</v>
      </c>
      <c r="CA122" s="162">
        <f t="shared" si="1010"/>
        <v>1770.6093893676552</v>
      </c>
      <c r="CB122" s="162">
        <f t="shared" si="1010"/>
        <v>3424.9467500000001</v>
      </c>
      <c r="CC122" s="162">
        <f t="shared" si="1010"/>
        <v>5418.2189837887017</v>
      </c>
      <c r="CD122" s="162">
        <f t="shared" si="1010"/>
        <v>8690.9138999999996</v>
      </c>
      <c r="CE122" s="162">
        <f t="shared" ref="CE122:CF122" si="1011">+CE119+CE121</f>
        <v>8831.5245696848342</v>
      </c>
      <c r="CF122" s="162">
        <f t="shared" si="1011"/>
        <v>8779.4966750000003</v>
      </c>
      <c r="CG122" s="162">
        <f t="shared" ref="CG122:CH122" si="1012">+CG119+CG121</f>
        <v>9437.8441324661526</v>
      </c>
      <c r="CH122" s="162">
        <f t="shared" si="1012"/>
        <v>8799.4063249999999</v>
      </c>
      <c r="CI122" s="162">
        <f t="shared" ref="CI122:CJ122" si="1013">+CI119+CI121</f>
        <v>9018.8393988042881</v>
      </c>
      <c r="CJ122" s="162">
        <f t="shared" si="1013"/>
        <v>12773.394</v>
      </c>
      <c r="CK122" s="162">
        <f t="shared" ref="CK122" si="1014">+CK119+CK121</f>
        <v>13604.537162628209</v>
      </c>
      <c r="CL122" s="162">
        <f t="shared" ref="CL122" si="1015">+CL119+CL121</f>
        <v>13231.180699999999</v>
      </c>
      <c r="CM122" s="21">
        <f t="shared" ref="CM122:DB122" si="1016">+CM119+CM121</f>
        <v>30751.756686396991</v>
      </c>
      <c r="CN122" s="21">
        <f t="shared" si="1016"/>
        <v>32513.207841494157</v>
      </c>
      <c r="CO122" s="21">
        <f t="shared" si="1016"/>
        <v>33976.213785906373</v>
      </c>
      <c r="CP122" s="21">
        <f t="shared" si="1016"/>
        <v>35454.558296381656</v>
      </c>
      <c r="CQ122" s="21">
        <f t="shared" si="1016"/>
        <v>39042.360406163447</v>
      </c>
      <c r="CR122" s="21">
        <f t="shared" si="1016"/>
        <v>43015.565105787289</v>
      </c>
      <c r="CS122" s="21">
        <f t="shared" si="1016"/>
        <v>47166.399414714928</v>
      </c>
      <c r="CT122" s="21">
        <f t="shared" si="1016"/>
        <v>51838.297134040346</v>
      </c>
      <c r="CU122" s="21">
        <f t="shared" si="1016"/>
        <v>56961.510822049124</v>
      </c>
      <c r="CV122" s="21">
        <f t="shared" si="1016"/>
        <v>62595.797016333381</v>
      </c>
      <c r="CW122" s="21">
        <f t="shared" si="1016"/>
        <v>68286.949995066258</v>
      </c>
      <c r="CX122" s="21">
        <f t="shared" si="1016"/>
        <v>74312.694933630657</v>
      </c>
      <c r="CY122" s="21">
        <f t="shared" si="1016"/>
        <v>81348.815625493327</v>
      </c>
      <c r="CZ122" s="21">
        <f t="shared" si="1016"/>
        <v>89013.076495944333</v>
      </c>
      <c r="DA122" s="21">
        <f t="shared" si="1016"/>
        <v>96698.702364800018</v>
      </c>
      <c r="DB122" s="21">
        <f t="shared" si="1016"/>
        <v>104812.24986829516</v>
      </c>
      <c r="DE122" s="22"/>
      <c r="DF122" s="162">
        <v>19239.482650000002</v>
      </c>
    </row>
    <row r="123" spans="1:110" s="162" customFormat="1" x14ac:dyDescent="0.2">
      <c r="A123" s="49" t="s">
        <v>345</v>
      </c>
      <c r="B123" s="162" t="e">
        <f>+B120+B121</f>
        <v>#DIV/0!</v>
      </c>
      <c r="C123" s="162" t="e">
        <f t="shared" ref="C123:W123" si="1017">+C120+C121</f>
        <v>#DIV/0!</v>
      </c>
      <c r="D123" s="162" t="e">
        <f t="shared" si="1017"/>
        <v>#DIV/0!</v>
      </c>
      <c r="E123" s="162">
        <f t="shared" ca="1" si="1017"/>
        <v>0</v>
      </c>
      <c r="F123" s="162">
        <f t="shared" ca="1" si="1017"/>
        <v>0</v>
      </c>
      <c r="G123" s="162">
        <f t="shared" ca="1" si="1017"/>
        <v>0</v>
      </c>
      <c r="H123" s="162">
        <f t="shared" ca="1" si="1017"/>
        <v>0</v>
      </c>
      <c r="I123" s="162">
        <f t="shared" ca="1" si="1017"/>
        <v>0</v>
      </c>
      <c r="J123" s="162">
        <f t="shared" ca="1" si="1017"/>
        <v>-3.1662999999999997E-2</v>
      </c>
      <c r="K123" s="162">
        <f t="shared" ca="1" si="1017"/>
        <v>-3.5004993999999998</v>
      </c>
      <c r="L123" s="162">
        <f t="shared" ca="1" si="1017"/>
        <v>-7.5606499999999993E-2</v>
      </c>
      <c r="M123" s="162">
        <f t="shared" ca="1" si="1017"/>
        <v>-9.5451800000000003E-2</v>
      </c>
      <c r="N123" s="162">
        <f t="shared" ca="1" si="1017"/>
        <v>-0.1291727</v>
      </c>
      <c r="O123" s="162">
        <f t="shared" ca="1" si="1017"/>
        <v>-0.2180993</v>
      </c>
      <c r="P123" s="162">
        <f t="shared" ca="1" si="1017"/>
        <v>-2.9447600000000001E-2</v>
      </c>
      <c r="Q123" s="162">
        <f t="shared" ca="1" si="1017"/>
        <v>-0.54400000000000004</v>
      </c>
      <c r="R123" s="162">
        <f t="shared" ca="1" si="1017"/>
        <v>22.619</v>
      </c>
      <c r="S123" s="162">
        <f t="shared" ca="1" si="1017"/>
        <v>-50.003999999999998</v>
      </c>
      <c r="T123" s="162">
        <f t="shared" ca="1" si="1017"/>
        <v>-85.941999999999993</v>
      </c>
      <c r="U123" s="162">
        <f t="shared" ca="1" si="1017"/>
        <v>11.600999999999996</v>
      </c>
      <c r="V123" s="162">
        <f t="shared" ca="1" si="1017"/>
        <v>-34.683300000000003</v>
      </c>
      <c r="W123" s="162">
        <f t="shared" ca="1" si="1017"/>
        <v>2187.0617499999998</v>
      </c>
      <c r="X123" s="162">
        <f t="shared" ref="X123:Y123" ca="1" si="1018">+X120+X121</f>
        <v>2463.4099000000001</v>
      </c>
      <c r="Y123" s="162">
        <f t="shared" ca="1" si="1018"/>
        <v>3313.7089999999998</v>
      </c>
      <c r="Z123" s="162">
        <f t="shared" ref="Z123:AA123" ca="1" si="1019">+Z120+Z121</f>
        <v>13143.946699999999</v>
      </c>
      <c r="AA123" s="162">
        <f t="shared" ref="AA123" ca="1" si="1020">+AA120+AA121</f>
        <v>13143.946699999999</v>
      </c>
      <c r="AB123" s="21">
        <f t="shared" ref="AB123:AD123" ca="1" si="1021">+AB120+AB121</f>
        <v>22871.748285436075</v>
      </c>
      <c r="AC123" s="21">
        <f t="shared" ca="1" si="1021"/>
        <v>28892.341958929443</v>
      </c>
      <c r="AD123" s="21">
        <f t="shared" ca="1" si="1021"/>
        <v>42095.924977461647</v>
      </c>
      <c r="AE123" s="21">
        <f t="shared" ref="AE123" ca="1" si="1022">+AE120+AE121</f>
        <v>60049.811641944354</v>
      </c>
      <c r="AL123" s="162">
        <f t="shared" ref="AL123:AM123" si="1023">+AL120+AL121</f>
        <v>0</v>
      </c>
      <c r="AM123" s="162" t="e">
        <f t="shared" si="1023"/>
        <v>#DIV/0!</v>
      </c>
      <c r="AN123" s="162">
        <f t="shared" ref="AN123:AO123" si="1024">+AN120+AN121</f>
        <v>0</v>
      </c>
      <c r="AO123" s="162" t="e">
        <f t="shared" si="1024"/>
        <v>#DIV/0!</v>
      </c>
      <c r="AP123" s="162">
        <f t="shared" ref="AP123:CD123" si="1025">+AP120+AP121</f>
        <v>0</v>
      </c>
      <c r="AQ123" s="162" t="e">
        <f t="shared" si="1025"/>
        <v>#DIV/0!</v>
      </c>
      <c r="AR123" s="162">
        <f t="shared" si="1025"/>
        <v>0</v>
      </c>
      <c r="AS123" s="162" t="e">
        <f t="shared" si="1025"/>
        <v>#DIV/0!</v>
      </c>
      <c r="AT123" s="162">
        <f t="shared" si="1025"/>
        <v>0</v>
      </c>
      <c r="AU123" s="162" t="e">
        <f t="shared" si="1025"/>
        <v>#DIV/0!</v>
      </c>
      <c r="AV123" s="162">
        <f t="shared" si="1025"/>
        <v>0</v>
      </c>
      <c r="AW123" s="162" t="e">
        <f t="shared" si="1025"/>
        <v>#DIV/0!</v>
      </c>
      <c r="AX123" s="162">
        <f t="shared" si="1025"/>
        <v>0</v>
      </c>
      <c r="AY123" s="162" t="e">
        <f t="shared" si="1025"/>
        <v>#DIV/0!</v>
      </c>
      <c r="AZ123" s="162">
        <f t="shared" si="1025"/>
        <v>0</v>
      </c>
      <c r="BA123" s="162" t="e">
        <f t="shared" si="1025"/>
        <v>#DIV/0!</v>
      </c>
      <c r="BB123" s="162">
        <f t="shared" si="1025"/>
        <v>0</v>
      </c>
      <c r="BC123" s="162" t="e">
        <f t="shared" si="1025"/>
        <v>#DIV/0!</v>
      </c>
      <c r="BD123" s="162">
        <f t="shared" si="1025"/>
        <v>0</v>
      </c>
      <c r="BE123" s="162" t="e">
        <f t="shared" si="1025"/>
        <v>#DIV/0!</v>
      </c>
      <c r="BF123" s="162">
        <f t="shared" si="1025"/>
        <v>0</v>
      </c>
      <c r="BG123" s="162" t="e">
        <f t="shared" si="1025"/>
        <v>#DIV/0!</v>
      </c>
      <c r="BH123" s="162">
        <f t="shared" si="1025"/>
        <v>0</v>
      </c>
      <c r="BI123" s="162" t="e">
        <f t="shared" si="1025"/>
        <v>#DIV/0!</v>
      </c>
      <c r="BJ123" s="162">
        <f t="shared" si="1025"/>
        <v>0</v>
      </c>
      <c r="BK123" s="162" t="e">
        <f t="shared" si="1025"/>
        <v>#DIV/0!</v>
      </c>
      <c r="BL123" s="162">
        <f t="shared" si="1025"/>
        <v>0</v>
      </c>
      <c r="BM123" s="162" t="e">
        <f t="shared" si="1025"/>
        <v>#DIV/0!</v>
      </c>
      <c r="BN123" s="162">
        <f t="shared" si="1025"/>
        <v>0</v>
      </c>
      <c r="BO123" s="162" t="e">
        <f t="shared" si="1025"/>
        <v>#DIV/0!</v>
      </c>
      <c r="BP123" s="162">
        <f t="shared" si="1025"/>
        <v>0</v>
      </c>
      <c r="BQ123" s="162" t="e">
        <f t="shared" si="1025"/>
        <v>#DIV/0!</v>
      </c>
      <c r="BR123" s="162">
        <f t="shared" si="1025"/>
        <v>-34.682999999999993</v>
      </c>
      <c r="BS123" s="162">
        <f t="shared" si="1025"/>
        <v>-60.234402034101095</v>
      </c>
      <c r="BT123" s="162">
        <f t="shared" si="1025"/>
        <v>0</v>
      </c>
      <c r="BU123" s="162">
        <f t="shared" si="1025"/>
        <v>-32.021000000000001</v>
      </c>
      <c r="BV123" s="162">
        <f t="shared" si="1025"/>
        <v>1062.451675</v>
      </c>
      <c r="BW123" s="162">
        <f t="shared" si="1025"/>
        <v>1156.3446225436608</v>
      </c>
      <c r="BX123" s="162">
        <f t="shared" si="1025"/>
        <v>1107.6004999999998</v>
      </c>
      <c r="BY123" s="162">
        <f t="shared" si="1025"/>
        <v>1120.7027388121678</v>
      </c>
      <c r="BZ123" s="162">
        <f t="shared" si="1025"/>
        <v>1382.4886000000001</v>
      </c>
      <c r="CA123" s="162">
        <f t="shared" si="1025"/>
        <v>1572.5029143676552</v>
      </c>
      <c r="CB123" s="162">
        <f t="shared" si="1025"/>
        <v>1604.0068249999997</v>
      </c>
      <c r="CC123" s="162">
        <f t="shared" si="1025"/>
        <v>3207.915258788702</v>
      </c>
      <c r="CD123" s="162">
        <f t="shared" si="1025"/>
        <v>5194.1115</v>
      </c>
      <c r="CE123" s="162">
        <f t="shared" ref="CE123:CF123" si="1026">+CE120+CE121</f>
        <v>7028.1226196848338</v>
      </c>
      <c r="CF123" s="162">
        <f t="shared" si="1026"/>
        <v>7079.5583999999999</v>
      </c>
      <c r="CG123" s="162">
        <f t="shared" ref="CG123:CH123" si="1027">+CG120+CG121</f>
        <v>7617.2155324661517</v>
      </c>
      <c r="CH123" s="162">
        <f t="shared" si="1027"/>
        <v>6560.2531499999986</v>
      </c>
      <c r="CI123" s="162">
        <f t="shared" ref="CI123:CJ123" si="1028">+CI120+CI121</f>
        <v>6672.6941988042881</v>
      </c>
      <c r="CJ123" s="162">
        <f t="shared" si="1028"/>
        <v>8369.3905500000001</v>
      </c>
      <c r="CK123" s="162">
        <f t="shared" ref="CK123" si="1029">+CK120+CK121</f>
        <v>11326.260812628208</v>
      </c>
      <c r="CL123" s="162">
        <f t="shared" ref="CL123" si="1030">+CL120+CL121</f>
        <v>11015.791999999999</v>
      </c>
      <c r="CM123" s="21">
        <f t="shared" ref="CM123:DB123" si="1031">+CM120+CM121</f>
        <v>11479.281657074655</v>
      </c>
      <c r="CN123" s="21">
        <f t="shared" si="1031"/>
        <v>12101.416428025115</v>
      </c>
      <c r="CO123" s="21">
        <f t="shared" si="1031"/>
        <v>12565.81437528228</v>
      </c>
      <c r="CP123" s="21">
        <f t="shared" si="1031"/>
        <v>13041.207760059082</v>
      </c>
      <c r="CQ123" s="21">
        <f t="shared" si="1031"/>
        <v>14361.374182465432</v>
      </c>
      <c r="CR123" s="21">
        <f t="shared" si="1031"/>
        <v>15800.122888275995</v>
      </c>
      <c r="CS123" s="21">
        <f t="shared" si="1031"/>
        <v>17244.950594164278</v>
      </c>
      <c r="CT123" s="21">
        <f t="shared" si="1031"/>
        <v>18889.941238605454</v>
      </c>
      <c r="CU123" s="21">
        <f t="shared" si="1031"/>
        <v>20769.147037812076</v>
      </c>
      <c r="CV123" s="21">
        <f t="shared" si="1031"/>
        <v>22804.770105741478</v>
      </c>
      <c r="CW123" s="21">
        <f t="shared" si="1031"/>
        <v>24780.854232819722</v>
      </c>
      <c r="CX123" s="21">
        <f t="shared" si="1031"/>
        <v>26886.36465601248</v>
      </c>
      <c r="CY123" s="21">
        <f t="shared" si="1031"/>
        <v>29456.81388211804</v>
      </c>
      <c r="CZ123" s="21">
        <f t="shared" si="1031"/>
        <v>32215.67360844932</v>
      </c>
      <c r="DA123" s="21">
        <f t="shared" si="1031"/>
        <v>34876.166117493965</v>
      </c>
      <c r="DB123" s="21">
        <f t="shared" si="1031"/>
        <v>37701.35007068939</v>
      </c>
      <c r="DE123" s="22"/>
      <c r="DF123" s="162">
        <v>13143.946699999999</v>
      </c>
    </row>
    <row r="124" spans="1:110" s="162" customFormat="1" x14ac:dyDescent="0.2">
      <c r="A124" s="49" t="s">
        <v>13</v>
      </c>
      <c r="B124" s="162">
        <f t="shared" ref="B124:AE124" si="1032">+B40</f>
        <v>0</v>
      </c>
      <c r="C124" s="162">
        <f t="shared" si="1032"/>
        <v>0</v>
      </c>
      <c r="D124" s="162">
        <f t="shared" si="1032"/>
        <v>0</v>
      </c>
      <c r="E124" s="162">
        <f t="shared" si="1032"/>
        <v>0</v>
      </c>
      <c r="F124" s="162">
        <f t="shared" si="1032"/>
        <v>0</v>
      </c>
      <c r="G124" s="162">
        <f t="shared" si="1032"/>
        <v>0</v>
      </c>
      <c r="H124" s="162">
        <f t="shared" si="1032"/>
        <v>0</v>
      </c>
      <c r="I124" s="162">
        <f t="shared" si="1032"/>
        <v>0</v>
      </c>
      <c r="J124" s="162">
        <f t="shared" si="1032"/>
        <v>0.31532189999999982</v>
      </c>
      <c r="K124" s="162">
        <f t="shared" si="1032"/>
        <v>7.1509999999999074E-3</v>
      </c>
      <c r="L124" s="162">
        <f t="shared" si="1032"/>
        <v>0.37503939999999991</v>
      </c>
      <c r="M124" s="162">
        <f t="shared" si="1032"/>
        <v>-0.27640790000000004</v>
      </c>
      <c r="N124" s="162">
        <f t="shared" si="1032"/>
        <v>3.4475000000000477E-3</v>
      </c>
      <c r="O124" s="162">
        <f t="shared" si="1032"/>
        <v>-0.19333939999999994</v>
      </c>
      <c r="P124" s="162">
        <f t="shared" si="1032"/>
        <v>-8.8880600000000004E-2</v>
      </c>
      <c r="Q124" s="162">
        <f t="shared" si="1032"/>
        <v>-5.0000000000000044E-2</v>
      </c>
      <c r="R124" s="162">
        <f t="shared" si="1032"/>
        <v>-0.92299999999998761</v>
      </c>
      <c r="S124" s="162">
        <f t="shared" si="1032"/>
        <v>78.525999999999982</v>
      </c>
      <c r="T124" s="162">
        <f t="shared" si="1032"/>
        <v>97.877999999999986</v>
      </c>
      <c r="U124" s="162">
        <f t="shared" si="1032"/>
        <v>106.71799999999999</v>
      </c>
      <c r="V124" s="162">
        <f t="shared" si="1032"/>
        <v>69.583200000000005</v>
      </c>
      <c r="W124" s="162">
        <f t="shared" si="1032"/>
        <v>177.28570000000002</v>
      </c>
      <c r="X124" s="162">
        <f t="shared" si="1032"/>
        <v>238.65560000000005</v>
      </c>
      <c r="Y124" s="162">
        <f t="shared" si="1032"/>
        <v>303.79039999999998</v>
      </c>
      <c r="Z124" s="162">
        <f t="shared" si="1032"/>
        <v>400.27869999999996</v>
      </c>
      <c r="AA124" s="162">
        <f t="shared" ref="AA124" si="1033">+AA40</f>
        <v>481.48810000000003</v>
      </c>
      <c r="AB124" s="21">
        <f t="shared" si="1032"/>
        <v>591.84709613923769</v>
      </c>
      <c r="AC124" s="21">
        <f t="shared" si="1032"/>
        <v>759.58092652513346</v>
      </c>
      <c r="AD124" s="21">
        <f t="shared" si="1032"/>
        <v>984.73079736645082</v>
      </c>
      <c r="AE124" s="21">
        <f t="shared" si="1032"/>
        <v>1279.5091339697624</v>
      </c>
      <c r="AL124" s="162">
        <f t="shared" ref="AL124:BQ124" si="1034">+SUM(AI40:AL40)</f>
        <v>0</v>
      </c>
      <c r="AM124" s="162">
        <f t="shared" si="1034"/>
        <v>0</v>
      </c>
      <c r="AN124" s="162">
        <f t="shared" si="1034"/>
        <v>0</v>
      </c>
      <c r="AO124" s="162">
        <f t="shared" si="1034"/>
        <v>0</v>
      </c>
      <c r="AP124" s="162">
        <f t="shared" si="1034"/>
        <v>0</v>
      </c>
      <c r="AQ124" s="162">
        <f t="shared" si="1034"/>
        <v>0</v>
      </c>
      <c r="AR124" s="162">
        <f t="shared" si="1034"/>
        <v>0</v>
      </c>
      <c r="AS124" s="162">
        <f t="shared" si="1034"/>
        <v>0</v>
      </c>
      <c r="AT124" s="162">
        <f t="shared" si="1034"/>
        <v>0</v>
      </c>
      <c r="AU124" s="162">
        <f t="shared" si="1034"/>
        <v>0</v>
      </c>
      <c r="AV124" s="162">
        <f t="shared" si="1034"/>
        <v>0</v>
      </c>
      <c r="AW124" s="162">
        <f t="shared" si="1034"/>
        <v>0</v>
      </c>
      <c r="AX124" s="162">
        <f t="shared" si="1034"/>
        <v>0</v>
      </c>
      <c r="AY124" s="162">
        <f t="shared" si="1034"/>
        <v>0</v>
      </c>
      <c r="AZ124" s="162">
        <f t="shared" si="1034"/>
        <v>0</v>
      </c>
      <c r="BA124" s="162">
        <f t="shared" si="1034"/>
        <v>0</v>
      </c>
      <c r="BB124" s="162">
        <f t="shared" si="1034"/>
        <v>0</v>
      </c>
      <c r="BC124" s="162">
        <f t="shared" si="1034"/>
        <v>0</v>
      </c>
      <c r="BD124" s="162">
        <f t="shared" si="1034"/>
        <v>0</v>
      </c>
      <c r="BE124" s="162">
        <f t="shared" si="1034"/>
        <v>0</v>
      </c>
      <c r="BF124" s="162">
        <f t="shared" si="1034"/>
        <v>0</v>
      </c>
      <c r="BG124" s="162">
        <f t="shared" si="1034"/>
        <v>0</v>
      </c>
      <c r="BH124" s="162">
        <f t="shared" si="1034"/>
        <v>0</v>
      </c>
      <c r="BI124" s="162">
        <f t="shared" si="1034"/>
        <v>0</v>
      </c>
      <c r="BJ124" s="162">
        <f t="shared" si="1034"/>
        <v>0</v>
      </c>
      <c r="BK124" s="162">
        <f t="shared" si="1034"/>
        <v>0</v>
      </c>
      <c r="BL124" s="162">
        <f t="shared" si="1034"/>
        <v>0</v>
      </c>
      <c r="BM124" s="162">
        <f t="shared" si="1034"/>
        <v>0</v>
      </c>
      <c r="BN124" s="162">
        <f t="shared" si="1034"/>
        <v>0</v>
      </c>
      <c r="BO124" s="162">
        <f t="shared" si="1034"/>
        <v>0</v>
      </c>
      <c r="BP124" s="162">
        <f t="shared" si="1034"/>
        <v>0</v>
      </c>
      <c r="BQ124" s="162">
        <f t="shared" si="1034"/>
        <v>21.009999999999998</v>
      </c>
      <c r="BR124" s="162">
        <f t="shared" ref="BR124:CW124" si="1035">+SUM(BO40:BR40)</f>
        <v>35.506</v>
      </c>
      <c r="BS124" s="162">
        <f t="shared" si="1035"/>
        <v>78.973000000000013</v>
      </c>
      <c r="BT124" s="162">
        <f t="shared" si="1035"/>
        <v>122.44800000000001</v>
      </c>
      <c r="BU124" s="162">
        <f t="shared" si="1035"/>
        <v>145.90699999999998</v>
      </c>
      <c r="BV124" s="162">
        <f t="shared" si="1035"/>
        <v>177.21600000000001</v>
      </c>
      <c r="BW124" s="162">
        <f t="shared" si="1035"/>
        <v>189.45799999999997</v>
      </c>
      <c r="BX124" s="162">
        <f t="shared" si="1035"/>
        <v>206.39099999999999</v>
      </c>
      <c r="BY124" s="162">
        <f t="shared" si="1035"/>
        <v>223.63899999999998</v>
      </c>
      <c r="BZ124" s="162">
        <f t="shared" si="1035"/>
        <v>238.65600000000001</v>
      </c>
      <c r="CA124" s="162">
        <f t="shared" si="1035"/>
        <v>256.303</v>
      </c>
      <c r="CB124" s="162">
        <f t="shared" si="1035"/>
        <v>273.36200000000002</v>
      </c>
      <c r="CC124" s="162">
        <f t="shared" si="1035"/>
        <v>291.47399999999999</v>
      </c>
      <c r="CD124" s="162">
        <f t="shared" si="1035"/>
        <v>303.78899999999999</v>
      </c>
      <c r="CE124" s="162">
        <f t="shared" si="1035"/>
        <v>328.66700000000003</v>
      </c>
      <c r="CF124" s="162">
        <f t="shared" si="1035"/>
        <v>355.31900000000002</v>
      </c>
      <c r="CG124" s="162">
        <f t="shared" si="1035"/>
        <v>382.55899999999997</v>
      </c>
      <c r="CH124" s="162">
        <f t="shared" si="1035"/>
        <v>400.26300000000003</v>
      </c>
      <c r="CI124" s="162">
        <f t="shared" si="1035"/>
        <v>429.80700000000002</v>
      </c>
      <c r="CJ124" s="162">
        <f t="shared" si="1035"/>
        <v>463.15999999999997</v>
      </c>
      <c r="CK124" s="162">
        <f t="shared" si="1035"/>
        <v>487.52000000000004</v>
      </c>
      <c r="CL124" s="162">
        <f t="shared" si="1035"/>
        <v>481.471</v>
      </c>
      <c r="CM124" s="21">
        <f t="shared" si="1035"/>
        <v>498.02588743763306</v>
      </c>
      <c r="CN124" s="21">
        <f t="shared" si="1035"/>
        <v>518.07826657091107</v>
      </c>
      <c r="CO124" s="21">
        <f t="shared" si="1035"/>
        <v>534.91306961504051</v>
      </c>
      <c r="CP124" s="21">
        <f t="shared" si="1035"/>
        <v>591.84709613923781</v>
      </c>
      <c r="CQ124" s="21">
        <f t="shared" si="1035"/>
        <v>626.45289527986517</v>
      </c>
      <c r="CR124" s="21">
        <f t="shared" si="1035"/>
        <v>667.41966338815178</v>
      </c>
      <c r="CS124" s="21">
        <f t="shared" si="1035"/>
        <v>710.94754729438705</v>
      </c>
      <c r="CT124" s="21">
        <f t="shared" si="1035"/>
        <v>759.58092652513346</v>
      </c>
      <c r="CU124" s="21">
        <f t="shared" si="1035"/>
        <v>810.16235729071172</v>
      </c>
      <c r="CV124" s="21">
        <f t="shared" si="1035"/>
        <v>868.5310434830501</v>
      </c>
      <c r="CW124" s="21">
        <f t="shared" si="1035"/>
        <v>926.62478556206736</v>
      </c>
      <c r="CX124" s="21">
        <f t="shared" ref="CX124:DB124" si="1036">+SUM(CU40:CX40)</f>
        <v>984.73079736645047</v>
      </c>
      <c r="CY124" s="21">
        <f t="shared" si="1036"/>
        <v>1052.7019204707344</v>
      </c>
      <c r="CZ124" s="21">
        <f t="shared" si="1036"/>
        <v>1129.6491705891506</v>
      </c>
      <c r="DA124" s="21">
        <f t="shared" si="1036"/>
        <v>1204.8531177122077</v>
      </c>
      <c r="DB124" s="21">
        <f t="shared" si="1036"/>
        <v>1279.5091339697624</v>
      </c>
      <c r="DE124" s="22"/>
      <c r="DF124" s="162">
        <v>481.48810000000003</v>
      </c>
    </row>
    <row r="125" spans="1:110" s="162" customFormat="1" x14ac:dyDescent="0.2">
      <c r="A125" s="49" t="s">
        <v>343</v>
      </c>
      <c r="B125" s="162" t="e">
        <f>+B122/B124</f>
        <v>#DIV/0!</v>
      </c>
      <c r="C125" s="162" t="e">
        <f t="shared" ref="C125:W125" si="1037">+C122/C124</f>
        <v>#DIV/0!</v>
      </c>
      <c r="D125" s="162" t="e">
        <f t="shared" si="1037"/>
        <v>#DIV/0!</v>
      </c>
      <c r="E125" s="162" t="e">
        <f t="shared" ca="1" si="1037"/>
        <v>#DIV/0!</v>
      </c>
      <c r="F125" s="162" t="e">
        <f t="shared" ca="1" si="1037"/>
        <v>#DIV/0!</v>
      </c>
      <c r="G125" s="162" t="e">
        <f t="shared" ca="1" si="1037"/>
        <v>#DIV/0!</v>
      </c>
      <c r="H125" s="162" t="e">
        <f t="shared" ca="1" si="1037"/>
        <v>#DIV/0!</v>
      </c>
      <c r="I125" s="162" t="e">
        <f t="shared" ca="1" si="1037"/>
        <v>#DIV/0!</v>
      </c>
      <c r="J125" s="162">
        <f t="shared" ca="1" si="1037"/>
        <v>-0.10041484590826077</v>
      </c>
      <c r="K125" s="162">
        <f t="shared" ca="1" si="1037"/>
        <v>-489.51187246539575</v>
      </c>
      <c r="L125" s="162">
        <f t="shared" ca="1" si="1037"/>
        <v>-0.20159615229759864</v>
      </c>
      <c r="M125" s="162">
        <f t="shared" ca="1" si="1037"/>
        <v>0.3453294931150665</v>
      </c>
      <c r="N125" s="162">
        <f t="shared" ca="1" si="1037"/>
        <v>-37.468513415517975</v>
      </c>
      <c r="O125" s="162">
        <f t="shared" ca="1" si="1037"/>
        <v>1.1280644297023787</v>
      </c>
      <c r="P125" s="162">
        <f t="shared" ca="1" si="1037"/>
        <v>0.33131639525385742</v>
      </c>
      <c r="Q125" s="162">
        <f t="shared" ca="1" si="1037"/>
        <v>10.879999999999992</v>
      </c>
      <c r="R125" s="162">
        <f t="shared" ca="1" si="1037"/>
        <v>-24.50595882990282</v>
      </c>
      <c r="S125" s="162">
        <f t="shared" ca="1" si="1037"/>
        <v>-0.63678272164633376</v>
      </c>
      <c r="T125" s="162">
        <f t="shared" ca="1" si="1037"/>
        <v>-0.87805226915139256</v>
      </c>
      <c r="U125" s="162">
        <f t="shared" ca="1" si="1037"/>
        <v>0.10870705972750611</v>
      </c>
      <c r="V125" s="162">
        <f t="shared" ca="1" si="1037"/>
        <v>-0.49844358983202841</v>
      </c>
      <c r="W125" s="162">
        <f t="shared" ca="1" si="1037"/>
        <v>14.952903702893126</v>
      </c>
      <c r="X125" s="162">
        <f t="shared" ref="X125:Y125" ca="1" si="1038">+X122/X124</f>
        <v>14.77905253427952</v>
      </c>
      <c r="Y125" s="162">
        <f t="shared" ca="1" si="1038"/>
        <v>57.301347573853562</v>
      </c>
      <c r="Z125" s="162">
        <f t="shared" ref="Z125:AA125" ca="1" si="1039">+Z122/Z124</f>
        <v>48.069108071704846</v>
      </c>
      <c r="AA125" s="162">
        <f t="shared" ref="AA125" ca="1" si="1040">+AA122/AA124</f>
        <v>48.069108071704846</v>
      </c>
      <c r="AB125" s="21">
        <f t="shared" ref="AB125:AD125" ca="1" si="1041">+AB122/AB124</f>
        <v>59.904929039375794</v>
      </c>
      <c r="AC125" s="21">
        <f t="shared" ca="1" si="1041"/>
        <v>68.245917352329784</v>
      </c>
      <c r="AD125" s="21">
        <f t="shared" ca="1" si="1041"/>
        <v>75.464985082594566</v>
      </c>
      <c r="AE125" s="21">
        <f t="shared" ref="AE125" ca="1" si="1042">+AE122/AE124</f>
        <v>81.915984095485243</v>
      </c>
      <c r="AL125" s="162" t="e">
        <f t="shared" ref="AL125" si="1043">+AL122/AL124</f>
        <v>#DIV/0!</v>
      </c>
      <c r="AM125" s="162" t="e">
        <f t="shared" ref="AM125:AO125" si="1044">+AM122/AM124</f>
        <v>#DIV/0!</v>
      </c>
      <c r="AN125" s="162" t="e">
        <f t="shared" si="1044"/>
        <v>#DIV/0!</v>
      </c>
      <c r="AO125" s="162" t="e">
        <f t="shared" si="1044"/>
        <v>#DIV/0!</v>
      </c>
      <c r="AP125" s="162" t="e">
        <f t="shared" ref="AP125:CD125" si="1045">+AP122/AP124</f>
        <v>#DIV/0!</v>
      </c>
      <c r="AQ125" s="162" t="e">
        <f t="shared" si="1045"/>
        <v>#DIV/0!</v>
      </c>
      <c r="AR125" s="162" t="e">
        <f t="shared" si="1045"/>
        <v>#DIV/0!</v>
      </c>
      <c r="AS125" s="162" t="e">
        <f t="shared" si="1045"/>
        <v>#DIV/0!</v>
      </c>
      <c r="AT125" s="162" t="e">
        <f t="shared" si="1045"/>
        <v>#DIV/0!</v>
      </c>
      <c r="AU125" s="162" t="e">
        <f t="shared" si="1045"/>
        <v>#DIV/0!</v>
      </c>
      <c r="AV125" s="162" t="e">
        <f t="shared" si="1045"/>
        <v>#DIV/0!</v>
      </c>
      <c r="AW125" s="162" t="e">
        <f t="shared" si="1045"/>
        <v>#DIV/0!</v>
      </c>
      <c r="AX125" s="162" t="e">
        <f t="shared" si="1045"/>
        <v>#DIV/0!</v>
      </c>
      <c r="AY125" s="162" t="e">
        <f t="shared" si="1045"/>
        <v>#DIV/0!</v>
      </c>
      <c r="AZ125" s="162" t="e">
        <f t="shared" si="1045"/>
        <v>#DIV/0!</v>
      </c>
      <c r="BA125" s="162" t="e">
        <f t="shared" si="1045"/>
        <v>#DIV/0!</v>
      </c>
      <c r="BB125" s="162" t="e">
        <f t="shared" si="1045"/>
        <v>#DIV/0!</v>
      </c>
      <c r="BC125" s="162" t="e">
        <f t="shared" si="1045"/>
        <v>#DIV/0!</v>
      </c>
      <c r="BD125" s="162" t="e">
        <f t="shared" si="1045"/>
        <v>#DIV/0!</v>
      </c>
      <c r="BE125" s="162" t="e">
        <f t="shared" si="1045"/>
        <v>#DIV/0!</v>
      </c>
      <c r="BF125" s="162" t="e">
        <f t="shared" si="1045"/>
        <v>#DIV/0!</v>
      </c>
      <c r="BG125" s="162" t="e">
        <f t="shared" si="1045"/>
        <v>#DIV/0!</v>
      </c>
      <c r="BH125" s="162" t="e">
        <f t="shared" si="1045"/>
        <v>#DIV/0!</v>
      </c>
      <c r="BI125" s="162" t="e">
        <f t="shared" si="1045"/>
        <v>#DIV/0!</v>
      </c>
      <c r="BJ125" s="162" t="e">
        <f t="shared" si="1045"/>
        <v>#DIV/0!</v>
      </c>
      <c r="BK125" s="162" t="e">
        <f t="shared" si="1045"/>
        <v>#DIV/0!</v>
      </c>
      <c r="BL125" s="162" t="e">
        <f t="shared" si="1045"/>
        <v>#DIV/0!</v>
      </c>
      <c r="BM125" s="162" t="e">
        <f t="shared" si="1045"/>
        <v>#DIV/0!</v>
      </c>
      <c r="BN125" s="162" t="e">
        <f t="shared" si="1045"/>
        <v>#DIV/0!</v>
      </c>
      <c r="BO125" s="162" t="e">
        <f t="shared" si="1045"/>
        <v>#DIV/0!</v>
      </c>
      <c r="BP125" s="162" t="e">
        <f t="shared" si="1045"/>
        <v>#DIV/0!</v>
      </c>
      <c r="BQ125" s="162" t="e">
        <f t="shared" si="1045"/>
        <v>#DIV/0!</v>
      </c>
      <c r="BR125" s="162">
        <f t="shared" si="1045"/>
        <v>-0.97682081901650408</v>
      </c>
      <c r="BS125" s="162">
        <f t="shared" si="1045"/>
        <v>-0.76272146219722037</v>
      </c>
      <c r="BT125" s="162">
        <f t="shared" si="1045"/>
        <v>0</v>
      </c>
      <c r="BU125" s="162">
        <f t="shared" si="1045"/>
        <v>8.5280879258705902</v>
      </c>
      <c r="BV125" s="162">
        <f t="shared" si="1045"/>
        <v>7.3040176959191054</v>
      </c>
      <c r="BW125" s="162">
        <f t="shared" si="1045"/>
        <v>7.275613183627299</v>
      </c>
      <c r="BX125" s="162">
        <f t="shared" si="1045"/>
        <v>6.0332386102107156</v>
      </c>
      <c r="BY125" s="162">
        <f t="shared" si="1045"/>
        <v>5.781965640215561</v>
      </c>
      <c r="BZ125" s="162">
        <f t="shared" si="1045"/>
        <v>7.2890619762335751</v>
      </c>
      <c r="CA125" s="162">
        <f t="shared" si="1045"/>
        <v>6.9082663463465321</v>
      </c>
      <c r="CB125" s="162">
        <f t="shared" si="1045"/>
        <v>12.528978972936985</v>
      </c>
      <c r="CC125" s="162">
        <f t="shared" si="1045"/>
        <v>18.589030183785525</v>
      </c>
      <c r="CD125" s="162">
        <f t="shared" si="1045"/>
        <v>28.608389046344666</v>
      </c>
      <c r="CE125" s="162">
        <f t="shared" ref="CE125:CF125" si="1046">+CE122/CE124</f>
        <v>26.870737158536858</v>
      </c>
      <c r="CF125" s="162">
        <f t="shared" si="1046"/>
        <v>24.708773454276297</v>
      </c>
      <c r="CG125" s="162">
        <f t="shared" ref="CG125:CH125" si="1047">+CG122/CG124</f>
        <v>24.670296954106828</v>
      </c>
      <c r="CH125" s="162">
        <f t="shared" si="1047"/>
        <v>21.984061292200376</v>
      </c>
      <c r="CI125" s="162">
        <f t="shared" ref="CI125:CJ125" si="1048">+CI122/CI124</f>
        <v>20.983463272595113</v>
      </c>
      <c r="CJ125" s="162">
        <f t="shared" si="1048"/>
        <v>27.578793505484068</v>
      </c>
      <c r="CK125" s="162">
        <f t="shared" ref="CK125" si="1049">+CK122/CK124</f>
        <v>27.905598052650575</v>
      </c>
      <c r="CL125" s="162">
        <f t="shared" ref="CL125" si="1050">+CL122/CL124</f>
        <v>27.480742765400198</v>
      </c>
      <c r="CM125" s="21">
        <f t="shared" ref="CM125:DB125" si="1051">+CM122/CM124</f>
        <v>61.747305636291813</v>
      </c>
      <c r="CN125" s="21">
        <f t="shared" si="1051"/>
        <v>62.757328263728603</v>
      </c>
      <c r="CO125" s="21">
        <f t="shared" si="1051"/>
        <v>63.517262366309254</v>
      </c>
      <c r="CP125" s="21">
        <f t="shared" si="1051"/>
        <v>59.90492903937578</v>
      </c>
      <c r="CQ125" s="21">
        <f t="shared" si="1051"/>
        <v>62.322898817031465</v>
      </c>
      <c r="CR125" s="21">
        <f t="shared" si="1051"/>
        <v>64.450551078191253</v>
      </c>
      <c r="CS125" s="21">
        <f t="shared" si="1051"/>
        <v>66.343008839700531</v>
      </c>
      <c r="CT125" s="21">
        <f t="shared" si="1051"/>
        <v>68.245917352329784</v>
      </c>
      <c r="CU125" s="21">
        <f t="shared" si="1051"/>
        <v>70.308760101537942</v>
      </c>
      <c r="CV125" s="21">
        <f t="shared" si="1051"/>
        <v>72.070880466525281</v>
      </c>
      <c r="CW125" s="21">
        <f t="shared" si="1051"/>
        <v>73.694283877421981</v>
      </c>
      <c r="CX125" s="21">
        <f t="shared" si="1051"/>
        <v>75.46498508259458</v>
      </c>
      <c r="CY125" s="21">
        <f t="shared" si="1051"/>
        <v>77.276210904143454</v>
      </c>
      <c r="CZ125" s="21">
        <f t="shared" si="1051"/>
        <v>78.797098084461908</v>
      </c>
      <c r="DA125" s="21">
        <f t="shared" si="1051"/>
        <v>80.257668709371728</v>
      </c>
      <c r="DB125" s="21">
        <f t="shared" si="1051"/>
        <v>81.915984095485243</v>
      </c>
      <c r="DE125" s="22"/>
      <c r="DF125" s="162">
        <v>48.069108071704846</v>
      </c>
    </row>
    <row r="126" spans="1:110" s="162" customFormat="1" x14ac:dyDescent="0.2">
      <c r="A126" s="49" t="s">
        <v>344</v>
      </c>
      <c r="B126" s="162" t="e">
        <f>+B123/B124</f>
        <v>#DIV/0!</v>
      </c>
      <c r="C126" s="162" t="e">
        <f t="shared" ref="C126:W126" si="1052">+C123/C124</f>
        <v>#DIV/0!</v>
      </c>
      <c r="D126" s="162" t="e">
        <f t="shared" si="1052"/>
        <v>#DIV/0!</v>
      </c>
      <c r="E126" s="162" t="e">
        <f t="shared" ca="1" si="1052"/>
        <v>#DIV/0!</v>
      </c>
      <c r="F126" s="162" t="e">
        <f t="shared" ca="1" si="1052"/>
        <v>#DIV/0!</v>
      </c>
      <c r="G126" s="162" t="e">
        <f t="shared" ca="1" si="1052"/>
        <v>#DIV/0!</v>
      </c>
      <c r="H126" s="162" t="e">
        <f t="shared" ca="1" si="1052"/>
        <v>#DIV/0!</v>
      </c>
      <c r="I126" s="162" t="e">
        <f t="shared" ca="1" si="1052"/>
        <v>#DIV/0!</v>
      </c>
      <c r="J126" s="162">
        <f t="shared" ca="1" si="1052"/>
        <v>-0.10041484590826077</v>
      </c>
      <c r="K126" s="162">
        <f t="shared" ca="1" si="1052"/>
        <v>-489.51187246539575</v>
      </c>
      <c r="L126" s="162">
        <f t="shared" ca="1" si="1052"/>
        <v>-0.20159615229759864</v>
      </c>
      <c r="M126" s="162">
        <f t="shared" ca="1" si="1052"/>
        <v>0.3453294931150665</v>
      </c>
      <c r="N126" s="162">
        <f t="shared" ca="1" si="1052"/>
        <v>-37.468513415517975</v>
      </c>
      <c r="O126" s="162">
        <f t="shared" ca="1" si="1052"/>
        <v>1.1280644297023787</v>
      </c>
      <c r="P126" s="162">
        <f t="shared" ca="1" si="1052"/>
        <v>0.33131639525385742</v>
      </c>
      <c r="Q126" s="162">
        <f t="shared" ca="1" si="1052"/>
        <v>10.879999999999992</v>
      </c>
      <c r="R126" s="162">
        <f t="shared" ca="1" si="1052"/>
        <v>-24.50595882990282</v>
      </c>
      <c r="S126" s="162">
        <f t="shared" ca="1" si="1052"/>
        <v>-0.63678272164633376</v>
      </c>
      <c r="T126" s="162">
        <f t="shared" ca="1" si="1052"/>
        <v>-0.87805226915139256</v>
      </c>
      <c r="U126" s="162">
        <f t="shared" ca="1" si="1052"/>
        <v>0.10870705972750611</v>
      </c>
      <c r="V126" s="162">
        <f t="shared" ca="1" si="1052"/>
        <v>-0.49844358983202841</v>
      </c>
      <c r="W126" s="162">
        <f t="shared" ca="1" si="1052"/>
        <v>12.336368641125594</v>
      </c>
      <c r="X126" s="162">
        <f t="shared" ref="X126:Y126" ca="1" si="1053">+X123/X124</f>
        <v>10.322028479532849</v>
      </c>
      <c r="Y126" s="162">
        <f t="shared" ca="1" si="1053"/>
        <v>10.907879248323844</v>
      </c>
      <c r="Z126" s="162">
        <f t="shared" ref="Z126:AA126" ca="1" si="1054">+Z123/Z124</f>
        <v>32.839645738136738</v>
      </c>
      <c r="AA126" s="162">
        <f t="shared" ref="AA126" ca="1" si="1055">+AA123/AA124</f>
        <v>32.839645738136738</v>
      </c>
      <c r="AB126" s="21">
        <f t="shared" ref="AB126:AD126" ca="1" si="1056">+AB123/AB124</f>
        <v>38.644691229599744</v>
      </c>
      <c r="AC126" s="21">
        <f t="shared" ca="1" si="1056"/>
        <v>38.037213613437721</v>
      </c>
      <c r="AD126" s="21">
        <f t="shared" ca="1" si="1056"/>
        <v>42.748662974736199</v>
      </c>
      <c r="AE126" s="21">
        <f t="shared" ref="AE126" ca="1" si="1057">+AE123/AE124</f>
        <v>46.931913221780455</v>
      </c>
      <c r="AL126" s="162" t="e">
        <f t="shared" ref="AL126:AM126" si="1058">+AL123/AL124</f>
        <v>#DIV/0!</v>
      </c>
      <c r="AM126" s="162" t="e">
        <f t="shared" si="1058"/>
        <v>#DIV/0!</v>
      </c>
      <c r="AN126" s="162" t="e">
        <f t="shared" ref="AN126:AO126" si="1059">+AN123/AN124</f>
        <v>#DIV/0!</v>
      </c>
      <c r="AO126" s="162" t="e">
        <f t="shared" si="1059"/>
        <v>#DIV/0!</v>
      </c>
      <c r="AP126" s="162" t="e">
        <f t="shared" ref="AP126:CD126" si="1060">+AP123/AP124</f>
        <v>#DIV/0!</v>
      </c>
      <c r="AQ126" s="162" t="e">
        <f t="shared" si="1060"/>
        <v>#DIV/0!</v>
      </c>
      <c r="AR126" s="162" t="e">
        <f t="shared" si="1060"/>
        <v>#DIV/0!</v>
      </c>
      <c r="AS126" s="162" t="e">
        <f t="shared" si="1060"/>
        <v>#DIV/0!</v>
      </c>
      <c r="AT126" s="162" t="e">
        <f t="shared" si="1060"/>
        <v>#DIV/0!</v>
      </c>
      <c r="AU126" s="162" t="e">
        <f t="shared" si="1060"/>
        <v>#DIV/0!</v>
      </c>
      <c r="AV126" s="162" t="e">
        <f t="shared" si="1060"/>
        <v>#DIV/0!</v>
      </c>
      <c r="AW126" s="162" t="e">
        <f t="shared" si="1060"/>
        <v>#DIV/0!</v>
      </c>
      <c r="AX126" s="162" t="e">
        <f t="shared" si="1060"/>
        <v>#DIV/0!</v>
      </c>
      <c r="AY126" s="162" t="e">
        <f t="shared" si="1060"/>
        <v>#DIV/0!</v>
      </c>
      <c r="AZ126" s="162" t="e">
        <f t="shared" si="1060"/>
        <v>#DIV/0!</v>
      </c>
      <c r="BA126" s="162" t="e">
        <f t="shared" si="1060"/>
        <v>#DIV/0!</v>
      </c>
      <c r="BB126" s="162" t="e">
        <f t="shared" si="1060"/>
        <v>#DIV/0!</v>
      </c>
      <c r="BC126" s="162" t="e">
        <f t="shared" si="1060"/>
        <v>#DIV/0!</v>
      </c>
      <c r="BD126" s="162" t="e">
        <f t="shared" si="1060"/>
        <v>#DIV/0!</v>
      </c>
      <c r="BE126" s="162" t="e">
        <f t="shared" si="1060"/>
        <v>#DIV/0!</v>
      </c>
      <c r="BF126" s="162" t="e">
        <f t="shared" si="1060"/>
        <v>#DIV/0!</v>
      </c>
      <c r="BG126" s="162" t="e">
        <f t="shared" si="1060"/>
        <v>#DIV/0!</v>
      </c>
      <c r="BH126" s="162" t="e">
        <f t="shared" si="1060"/>
        <v>#DIV/0!</v>
      </c>
      <c r="BI126" s="162" t="e">
        <f t="shared" si="1060"/>
        <v>#DIV/0!</v>
      </c>
      <c r="BJ126" s="162" t="e">
        <f t="shared" si="1060"/>
        <v>#DIV/0!</v>
      </c>
      <c r="BK126" s="162" t="e">
        <f t="shared" si="1060"/>
        <v>#DIV/0!</v>
      </c>
      <c r="BL126" s="162" t="e">
        <f t="shared" si="1060"/>
        <v>#DIV/0!</v>
      </c>
      <c r="BM126" s="162" t="e">
        <f t="shared" si="1060"/>
        <v>#DIV/0!</v>
      </c>
      <c r="BN126" s="162" t="e">
        <f t="shared" si="1060"/>
        <v>#DIV/0!</v>
      </c>
      <c r="BO126" s="162" t="e">
        <f t="shared" si="1060"/>
        <v>#DIV/0!</v>
      </c>
      <c r="BP126" s="162" t="e">
        <f t="shared" si="1060"/>
        <v>#DIV/0!</v>
      </c>
      <c r="BQ126" s="162" t="e">
        <f t="shared" si="1060"/>
        <v>#DIV/0!</v>
      </c>
      <c r="BR126" s="162">
        <f t="shared" si="1060"/>
        <v>-0.97682081901650408</v>
      </c>
      <c r="BS126" s="162">
        <f t="shared" si="1060"/>
        <v>-0.76272146219722037</v>
      </c>
      <c r="BT126" s="162">
        <f t="shared" si="1060"/>
        <v>0</v>
      </c>
      <c r="BU126" s="162">
        <f t="shared" si="1060"/>
        <v>-0.21946171191238259</v>
      </c>
      <c r="BV126" s="162">
        <f t="shared" si="1060"/>
        <v>5.9952356164228959</v>
      </c>
      <c r="BW126" s="162">
        <f t="shared" si="1060"/>
        <v>6.1034351811148699</v>
      </c>
      <c r="BX126" s="162">
        <f t="shared" si="1060"/>
        <v>5.3665154972842801</v>
      </c>
      <c r="BY126" s="162">
        <f t="shared" si="1060"/>
        <v>5.0112133340435605</v>
      </c>
      <c r="BZ126" s="162">
        <f t="shared" si="1060"/>
        <v>5.7928088964869939</v>
      </c>
      <c r="CA126" s="162">
        <f t="shared" si="1060"/>
        <v>6.1353277736415697</v>
      </c>
      <c r="CB126" s="162">
        <f t="shared" si="1060"/>
        <v>5.8677022592752452</v>
      </c>
      <c r="CC126" s="162">
        <f t="shared" si="1060"/>
        <v>11.005836742861121</v>
      </c>
      <c r="CD126" s="162">
        <f t="shared" si="1060"/>
        <v>17.097760287568018</v>
      </c>
      <c r="CE126" s="162">
        <f t="shared" ref="CE126:CF126" si="1061">+CE123/CE124</f>
        <v>21.383718534823494</v>
      </c>
      <c r="CF126" s="162">
        <f t="shared" si="1061"/>
        <v>19.924514028239411</v>
      </c>
      <c r="CG126" s="162">
        <f t="shared" ref="CG126:CH126" si="1062">+CG123/CG124</f>
        <v>19.911217700972013</v>
      </c>
      <c r="CH126" s="162">
        <f t="shared" si="1062"/>
        <v>16.389856544322104</v>
      </c>
      <c r="CI126" s="162">
        <f t="shared" ref="CI126:CJ126" si="1063">+CI123/CI124</f>
        <v>15.524861621156212</v>
      </c>
      <c r="CJ126" s="162">
        <f t="shared" si="1063"/>
        <v>18.070192913895848</v>
      </c>
      <c r="CK126" s="162">
        <f t="shared" ref="CK126" si="1064">+CK123/CK124</f>
        <v>23.232402388882932</v>
      </c>
      <c r="CL126" s="162">
        <f t="shared" ref="CL126" si="1065">+CL123/CL124</f>
        <v>22.879450683426416</v>
      </c>
      <c r="CM126" s="21">
        <f t="shared" ref="CM126:DB126" si="1066">+CM123/CM124</f>
        <v>23.049568198424595</v>
      </c>
      <c r="CN126" s="21">
        <f t="shared" si="1066"/>
        <v>23.358278485841009</v>
      </c>
      <c r="CO126" s="21">
        <f t="shared" si="1066"/>
        <v>23.491320532372647</v>
      </c>
      <c r="CP126" s="21">
        <f t="shared" si="1066"/>
        <v>22.034758377848</v>
      </c>
      <c r="CQ126" s="21">
        <f t="shared" si="1066"/>
        <v>22.924906709944327</v>
      </c>
      <c r="CR126" s="21">
        <f t="shared" si="1066"/>
        <v>23.673445292376869</v>
      </c>
      <c r="CS126" s="21">
        <f t="shared" si="1066"/>
        <v>24.25629100176576</v>
      </c>
      <c r="CT126" s="21">
        <f t="shared" si="1066"/>
        <v>24.868898861141179</v>
      </c>
      <c r="CU126" s="21">
        <f t="shared" si="1066"/>
        <v>25.635783804207843</v>
      </c>
      <c r="CV126" s="21">
        <f t="shared" si="1066"/>
        <v>26.256712729907768</v>
      </c>
      <c r="CW126" s="21">
        <f t="shared" si="1066"/>
        <v>26.743137696007427</v>
      </c>
      <c r="CX126" s="21">
        <f t="shared" si="1066"/>
        <v>27.303263722346227</v>
      </c>
      <c r="CY126" s="21">
        <f t="shared" si="1066"/>
        <v>27.982103299427724</v>
      </c>
      <c r="CZ126" s="21">
        <f t="shared" si="1066"/>
        <v>28.518299705073698</v>
      </c>
      <c r="DA126" s="21">
        <f t="shared" si="1066"/>
        <v>28.946404839552002</v>
      </c>
      <c r="DB126" s="21">
        <f t="shared" si="1066"/>
        <v>29.465479432505838</v>
      </c>
      <c r="DE126" s="22"/>
      <c r="DF126" s="162">
        <v>32.839645738136738</v>
      </c>
    </row>
    <row r="127" spans="1:110" s="10" customFormat="1" x14ac:dyDescent="0.2">
      <c r="A127" s="149" t="s">
        <v>490</v>
      </c>
      <c r="AB127" s="20"/>
      <c r="AC127" s="20"/>
      <c r="AD127" s="20"/>
      <c r="AE127" s="20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126"/>
    </row>
    <row r="128" spans="1:110" x14ac:dyDescent="0.2">
      <c r="A128" s="152" t="s">
        <v>491</v>
      </c>
      <c r="AA128" s="2"/>
    </row>
    <row r="129" spans="1:110" s="23" customFormat="1" outlineLevel="1" x14ac:dyDescent="0.2">
      <c r="A129" s="23" t="s">
        <v>41</v>
      </c>
      <c r="B129" s="23">
        <f>'Annual Raw'!C41</f>
        <v>0</v>
      </c>
      <c r="C129" s="23">
        <f>'Annual Raw'!D41</f>
        <v>0</v>
      </c>
      <c r="D129" s="23">
        <f>'Annual Raw'!E41</f>
        <v>0</v>
      </c>
      <c r="E129" s="23">
        <f>'Annual Raw'!F41</f>
        <v>0</v>
      </c>
      <c r="F129" s="23">
        <f>'Annual Raw'!G41</f>
        <v>0</v>
      </c>
      <c r="G129" s="23">
        <f>'Annual Raw'!H41</f>
        <v>0</v>
      </c>
      <c r="H129" s="23">
        <f>'Annual Raw'!I41</f>
        <v>0</v>
      </c>
      <c r="I129" s="23">
        <f>'Annual Raw'!J41</f>
        <v>0</v>
      </c>
      <c r="J129" s="23">
        <f>'Annual Raw'!K41</f>
        <v>0.19470199999999999</v>
      </c>
      <c r="K129" s="23">
        <f>'Annual Raw'!L41</f>
        <v>0.19470199999999999</v>
      </c>
      <c r="L129" s="23">
        <f>'Annual Raw'!M41</f>
        <v>0.19470199999999999</v>
      </c>
      <c r="M129" s="23">
        <f>'Annual Raw'!N41</f>
        <v>0.19470199999999999</v>
      </c>
      <c r="N129" s="23">
        <f>'Annual Raw'!O41</f>
        <v>0.19470199999999999</v>
      </c>
      <c r="O129" s="23">
        <f>'Annual Raw'!P41</f>
        <v>0.19470199999999999</v>
      </c>
      <c r="P129" s="23">
        <f>'Annual Raw'!Q41</f>
        <v>0.19470199999999999</v>
      </c>
      <c r="Q129" s="23">
        <f>'Annual Raw'!R41</f>
        <v>0.19500000000000001</v>
      </c>
      <c r="R129" s="23">
        <f>'Annual Raw'!S41</f>
        <v>13.05</v>
      </c>
      <c r="S129" s="23">
        <f>'Annual Raw'!T41</f>
        <v>13.443</v>
      </c>
      <c r="T129" s="23">
        <f>'Annual Raw'!U41</f>
        <v>13.454000000000001</v>
      </c>
      <c r="U129" s="23">
        <f>'Annual Raw'!V41</f>
        <v>13.513999999999999</v>
      </c>
      <c r="V129" s="23">
        <f>'Annual Raw'!W41</f>
        <v>13.7568</v>
      </c>
      <c r="W129" s="23">
        <f>'Annual Raw'!X41</f>
        <v>20.8081</v>
      </c>
      <c r="X129" s="23">
        <f>'Annual Raw'!Y41</f>
        <v>20.844100000000001</v>
      </c>
      <c r="Y129" s="23">
        <f>'Annual Raw'!Z41</f>
        <v>20.914100000000001</v>
      </c>
      <c r="Z129" s="23">
        <f>'Annual Raw'!AA41</f>
        <v>41.510300000000001</v>
      </c>
      <c r="AA129" s="23">
        <f>'Annual Raw'!AB41</f>
        <v>41.510300000000001</v>
      </c>
      <c r="AB129" s="24">
        <f>+CP129</f>
        <v>41.51</v>
      </c>
      <c r="AC129" s="24">
        <f>+CT129</f>
        <v>41.51</v>
      </c>
      <c r="AD129" s="24">
        <f>+CX129</f>
        <v>41.51</v>
      </c>
      <c r="AE129" s="24">
        <f>+DB129</f>
        <v>41.51</v>
      </c>
      <c r="AJ129" s="23">
        <f>+'QTR Raw'!D56</f>
        <v>0</v>
      </c>
      <c r="AK129" s="23">
        <f t="shared" ref="AK129:CE129" si="1067">+AJ129</f>
        <v>0</v>
      </c>
      <c r="AL129" s="23">
        <f>+'QTR Raw'!F56</f>
        <v>0</v>
      </c>
      <c r="AM129" s="23">
        <f t="shared" si="1067"/>
        <v>0</v>
      </c>
      <c r="AN129" s="23">
        <f>+'QTR Raw'!H56</f>
        <v>0</v>
      </c>
      <c r="AO129" s="23">
        <f t="shared" si="1067"/>
        <v>0</v>
      </c>
      <c r="AP129" s="23">
        <f>+'QTR Raw'!J56</f>
        <v>0</v>
      </c>
      <c r="AQ129" s="23">
        <f t="shared" si="1067"/>
        <v>0</v>
      </c>
      <c r="AR129" s="23">
        <f>+'QTR Raw'!L56</f>
        <v>0</v>
      </c>
      <c r="AS129" s="23">
        <f t="shared" si="1067"/>
        <v>0</v>
      </c>
      <c r="AT129" s="23">
        <f>+'QTR Raw'!N56</f>
        <v>0</v>
      </c>
      <c r="AU129" s="23">
        <f t="shared" si="1067"/>
        <v>0</v>
      </c>
      <c r="AV129" s="23">
        <f>+'QTR Raw'!P56</f>
        <v>0</v>
      </c>
      <c r="AW129" s="23">
        <f t="shared" si="1067"/>
        <v>0</v>
      </c>
      <c r="AX129" s="23">
        <f>+'QTR Raw'!R56</f>
        <v>0</v>
      </c>
      <c r="AY129" s="23">
        <f t="shared" si="1067"/>
        <v>0</v>
      </c>
      <c r="AZ129" s="23">
        <f>+'QTR Raw'!T56</f>
        <v>0</v>
      </c>
      <c r="BA129" s="23">
        <f t="shared" si="1067"/>
        <v>0</v>
      </c>
      <c r="BB129" s="23">
        <f>+'QTR Raw'!V56</f>
        <v>0</v>
      </c>
      <c r="BC129" s="23">
        <f t="shared" si="1067"/>
        <v>0</v>
      </c>
      <c r="BD129" s="23">
        <f>+'QTR Raw'!X56</f>
        <v>0</v>
      </c>
      <c r="BE129" s="23">
        <f t="shared" si="1067"/>
        <v>0</v>
      </c>
      <c r="BF129" s="23">
        <f>+'QTR Raw'!Z56</f>
        <v>0</v>
      </c>
      <c r="BG129" s="23">
        <f t="shared" si="1067"/>
        <v>0</v>
      </c>
      <c r="BH129" s="23">
        <f>+'QTR Raw'!AB56</f>
        <v>0</v>
      </c>
      <c r="BI129" s="23">
        <f t="shared" si="1067"/>
        <v>0</v>
      </c>
      <c r="BJ129" s="23">
        <f>+'QTR Raw'!AD56</f>
        <v>0</v>
      </c>
      <c r="BK129" s="23">
        <f t="shared" si="1067"/>
        <v>0</v>
      </c>
      <c r="BL129" s="23">
        <f>+'QTR Raw'!AF56</f>
        <v>0</v>
      </c>
      <c r="BM129" s="23">
        <f t="shared" si="1067"/>
        <v>0</v>
      </c>
      <c r="BN129" s="23">
        <f>+'QTR Raw'!AH56</f>
        <v>0</v>
      </c>
      <c r="BO129" s="23">
        <f t="shared" si="1067"/>
        <v>0</v>
      </c>
      <c r="BP129" s="23">
        <f>+'QTR Raw'!AJ56</f>
        <v>0</v>
      </c>
      <c r="BQ129" s="23">
        <f t="shared" si="1067"/>
        <v>0</v>
      </c>
      <c r="BR129" s="23">
        <f>+'QTR Raw'!AL56</f>
        <v>13.757</v>
      </c>
      <c r="BS129" s="23">
        <f t="shared" si="1067"/>
        <v>13.757</v>
      </c>
      <c r="BT129" s="23">
        <f>+'QTR Raw'!AN56</f>
        <v>0</v>
      </c>
      <c r="BU129" s="23">
        <f t="shared" si="1067"/>
        <v>0</v>
      </c>
      <c r="BV129" s="23">
        <f>+'QTR Raw'!AP56</f>
        <v>20.808</v>
      </c>
      <c r="BW129" s="23">
        <f t="shared" si="1067"/>
        <v>20.808</v>
      </c>
      <c r="BX129" s="23">
        <f>+'QTR Raw'!AR56</f>
        <v>20.844000000000001</v>
      </c>
      <c r="BY129" s="23">
        <f t="shared" si="1067"/>
        <v>20.844000000000001</v>
      </c>
      <c r="BZ129" s="23">
        <f>+'QTR Raw'!AT56</f>
        <v>20.844000000000001</v>
      </c>
      <c r="CA129" s="23">
        <f t="shared" si="1067"/>
        <v>20.844000000000001</v>
      </c>
      <c r="CB129" s="23">
        <f>+'QTR Raw'!AV56</f>
        <v>20.87</v>
      </c>
      <c r="CC129" s="23">
        <f t="shared" si="1067"/>
        <v>20.87</v>
      </c>
      <c r="CD129" s="23">
        <f>+'QTR Raw'!AX56</f>
        <v>20.914000000000001</v>
      </c>
      <c r="CE129" s="23">
        <f t="shared" si="1067"/>
        <v>20.914000000000001</v>
      </c>
      <c r="CF129" s="23">
        <f>+'QTR Raw'!AZ56</f>
        <v>20.754999999999999</v>
      </c>
      <c r="CG129" s="23">
        <f t="shared" ref="CG129:CG130" si="1068">+CF129</f>
        <v>20.754999999999999</v>
      </c>
      <c r="CH129" s="23">
        <f>Z129</f>
        <v>41.510300000000001</v>
      </c>
      <c r="CI129" s="23">
        <f>CH129</f>
        <v>41.510300000000001</v>
      </c>
      <c r="CJ129" s="23">
        <f>+'QTR Raw'!BD56</f>
        <v>41.51</v>
      </c>
      <c r="CK129" s="23">
        <f t="shared" ref="CK129:DB129" si="1069">CJ129</f>
        <v>41.51</v>
      </c>
      <c r="CL129" s="23">
        <f>+'QTR Raw'!BF56</f>
        <v>41.51</v>
      </c>
      <c r="CM129" s="24">
        <f t="shared" si="1069"/>
        <v>41.51</v>
      </c>
      <c r="CN129" s="24">
        <f t="shared" si="1069"/>
        <v>41.51</v>
      </c>
      <c r="CO129" s="24">
        <f t="shared" si="1069"/>
        <v>41.51</v>
      </c>
      <c r="CP129" s="24">
        <f t="shared" si="1069"/>
        <v>41.51</v>
      </c>
      <c r="CQ129" s="24">
        <f t="shared" si="1069"/>
        <v>41.51</v>
      </c>
      <c r="CR129" s="24">
        <f t="shared" si="1069"/>
        <v>41.51</v>
      </c>
      <c r="CS129" s="24">
        <f t="shared" si="1069"/>
        <v>41.51</v>
      </c>
      <c r="CT129" s="24">
        <f t="shared" si="1069"/>
        <v>41.51</v>
      </c>
      <c r="CU129" s="24">
        <f t="shared" si="1069"/>
        <v>41.51</v>
      </c>
      <c r="CV129" s="24">
        <f t="shared" si="1069"/>
        <v>41.51</v>
      </c>
      <c r="CW129" s="24">
        <f t="shared" si="1069"/>
        <v>41.51</v>
      </c>
      <c r="CX129" s="24">
        <f t="shared" si="1069"/>
        <v>41.51</v>
      </c>
      <c r="CY129" s="24">
        <f t="shared" si="1069"/>
        <v>41.51</v>
      </c>
      <c r="CZ129" s="24">
        <f t="shared" si="1069"/>
        <v>41.51</v>
      </c>
      <c r="DA129" s="24">
        <f t="shared" si="1069"/>
        <v>41.51</v>
      </c>
      <c r="DB129" s="24">
        <f t="shared" si="1069"/>
        <v>41.51</v>
      </c>
      <c r="DE129" s="123"/>
      <c r="DF129" s="23">
        <v>41.510300000000001</v>
      </c>
    </row>
    <row r="130" spans="1:110" s="23" customFormat="1" outlineLevel="1" x14ac:dyDescent="0.2">
      <c r="A130" s="23" t="s">
        <v>42</v>
      </c>
      <c r="B130" s="23">
        <f>'Annual Raw'!C42</f>
        <v>0</v>
      </c>
      <c r="C130" s="23">
        <f>'Annual Raw'!D42</f>
        <v>0</v>
      </c>
      <c r="D130" s="23">
        <f>'Annual Raw'!E42</f>
        <v>0</v>
      </c>
      <c r="E130" s="23">
        <f>'Annual Raw'!F42</f>
        <v>0</v>
      </c>
      <c r="F130" s="23">
        <f>'Annual Raw'!G42</f>
        <v>0</v>
      </c>
      <c r="G130" s="23">
        <f>'Annual Raw'!H42</f>
        <v>0</v>
      </c>
      <c r="H130" s="23">
        <f>'Annual Raw'!I42</f>
        <v>0</v>
      </c>
      <c r="I130" s="23">
        <f>'Annual Raw'!J42</f>
        <v>0</v>
      </c>
      <c r="J130" s="23">
        <f>'Annual Raw'!K42</f>
        <v>0</v>
      </c>
      <c r="K130" s="23">
        <f>'Annual Raw'!L42</f>
        <v>0</v>
      </c>
      <c r="L130" s="23">
        <f>'Annual Raw'!M42</f>
        <v>0</v>
      </c>
      <c r="M130" s="23">
        <f>'Annual Raw'!N42</f>
        <v>0</v>
      </c>
      <c r="N130" s="23">
        <f>'Annual Raw'!O42</f>
        <v>0</v>
      </c>
      <c r="O130" s="23">
        <f>'Annual Raw'!P42</f>
        <v>0</v>
      </c>
      <c r="P130" s="23">
        <f>'Annual Raw'!Q42</f>
        <v>0</v>
      </c>
      <c r="Q130" s="23">
        <f>'Annual Raw'!R42</f>
        <v>0</v>
      </c>
      <c r="R130" s="23">
        <f>'Annual Raw'!S42</f>
        <v>4.0000000000000001E-3</v>
      </c>
      <c r="S130" s="23">
        <f>'Annual Raw'!T42</f>
        <v>7.0000000000000001E-3</v>
      </c>
      <c r="T130" s="23">
        <f>'Annual Raw'!U42</f>
        <v>2.5000000000000001E-2</v>
      </c>
      <c r="U130" s="23">
        <f>'Annual Raw'!V42</f>
        <v>3.4000000000000002E-2</v>
      </c>
      <c r="V130" s="23">
        <f>'Annual Raw'!W42</f>
        <v>4.3925000000000001</v>
      </c>
      <c r="W130" s="23">
        <f>'Annual Raw'!X42</f>
        <v>5.1821000000000002</v>
      </c>
      <c r="X130" s="23">
        <f>'Annual Raw'!Y42</f>
        <v>5.1357999999999997</v>
      </c>
      <c r="Y130" s="23">
        <f>'Annual Raw'!Z42</f>
        <v>2.1581000000000001</v>
      </c>
      <c r="Z130" s="23">
        <f>'Annual Raw'!AA42</f>
        <v>0</v>
      </c>
      <c r="AA130" s="23">
        <f>'Annual Raw'!AB42</f>
        <v>39.337899999999998</v>
      </c>
      <c r="AB130" s="24">
        <f t="shared" ref="AB130:AB131" si="1070">+CP130</f>
        <v>0</v>
      </c>
      <c r="AC130" s="24">
        <f t="shared" ref="AC130:AC131" si="1071">+CT130</f>
        <v>0</v>
      </c>
      <c r="AD130" s="24">
        <f t="shared" ref="AD130:AD131" si="1072">+CX130</f>
        <v>0</v>
      </c>
      <c r="AE130" s="24">
        <f t="shared" ref="AE130:AE131" si="1073">+DB130</f>
        <v>0</v>
      </c>
      <c r="AJ130" s="23">
        <f>+'QTR Raw'!D57</f>
        <v>0</v>
      </c>
      <c r="AK130" s="23">
        <f t="shared" ref="AK130:CE130" si="1074">+AJ130</f>
        <v>0</v>
      </c>
      <c r="AL130" s="23">
        <f>+'QTR Raw'!F57</f>
        <v>0</v>
      </c>
      <c r="AM130" s="23">
        <f t="shared" si="1074"/>
        <v>0</v>
      </c>
      <c r="AN130" s="23">
        <f>+'QTR Raw'!H57</f>
        <v>0</v>
      </c>
      <c r="AO130" s="23">
        <f t="shared" si="1074"/>
        <v>0</v>
      </c>
      <c r="AP130" s="23">
        <f>+'QTR Raw'!J57</f>
        <v>0</v>
      </c>
      <c r="AQ130" s="23">
        <f t="shared" si="1074"/>
        <v>0</v>
      </c>
      <c r="AR130" s="23">
        <f>+'QTR Raw'!L57</f>
        <v>0</v>
      </c>
      <c r="AS130" s="23">
        <f t="shared" si="1074"/>
        <v>0</v>
      </c>
      <c r="AT130" s="23">
        <f>+'QTR Raw'!N57</f>
        <v>0</v>
      </c>
      <c r="AU130" s="23">
        <f t="shared" si="1074"/>
        <v>0</v>
      </c>
      <c r="AV130" s="23">
        <f>+'QTR Raw'!P57</f>
        <v>0</v>
      </c>
      <c r="AW130" s="23">
        <f t="shared" si="1074"/>
        <v>0</v>
      </c>
      <c r="AX130" s="23">
        <f>+'QTR Raw'!R57</f>
        <v>0</v>
      </c>
      <c r="AY130" s="23">
        <f t="shared" si="1074"/>
        <v>0</v>
      </c>
      <c r="AZ130" s="23">
        <f>+'QTR Raw'!T57</f>
        <v>0</v>
      </c>
      <c r="BA130" s="23">
        <f t="shared" si="1074"/>
        <v>0</v>
      </c>
      <c r="BB130" s="23">
        <f>+'QTR Raw'!V57</f>
        <v>0</v>
      </c>
      <c r="BC130" s="23">
        <f t="shared" si="1074"/>
        <v>0</v>
      </c>
      <c r="BD130" s="23">
        <f>+'QTR Raw'!X57</f>
        <v>0</v>
      </c>
      <c r="BE130" s="23">
        <f t="shared" si="1074"/>
        <v>0</v>
      </c>
      <c r="BF130" s="23">
        <f>+'QTR Raw'!Z57</f>
        <v>0</v>
      </c>
      <c r="BG130" s="23">
        <f t="shared" si="1074"/>
        <v>0</v>
      </c>
      <c r="BH130" s="23">
        <f>+'QTR Raw'!AB57</f>
        <v>0</v>
      </c>
      <c r="BI130" s="23">
        <f t="shared" si="1074"/>
        <v>0</v>
      </c>
      <c r="BJ130" s="23">
        <f>+'QTR Raw'!AD57</f>
        <v>0</v>
      </c>
      <c r="BK130" s="23">
        <f t="shared" si="1074"/>
        <v>0</v>
      </c>
      <c r="BL130" s="23">
        <f>+'QTR Raw'!AF57</f>
        <v>0</v>
      </c>
      <c r="BM130" s="23">
        <f t="shared" si="1074"/>
        <v>0</v>
      </c>
      <c r="BN130" s="23">
        <f>+'QTR Raw'!AH57</f>
        <v>0</v>
      </c>
      <c r="BO130" s="23">
        <f t="shared" si="1074"/>
        <v>0</v>
      </c>
      <c r="BP130" s="23">
        <f>+'QTR Raw'!AJ57</f>
        <v>0</v>
      </c>
      <c r="BQ130" s="23">
        <f t="shared" si="1074"/>
        <v>0</v>
      </c>
      <c r="BR130" s="23">
        <f>+'QTR Raw'!AL57</f>
        <v>0</v>
      </c>
      <c r="BS130" s="23">
        <f t="shared" si="1074"/>
        <v>0</v>
      </c>
      <c r="BT130" s="23">
        <f>+'QTR Raw'!AN57</f>
        <v>0</v>
      </c>
      <c r="BU130" s="23">
        <f t="shared" si="1074"/>
        <v>0</v>
      </c>
      <c r="BV130" s="23">
        <f>+'QTR Raw'!AP57</f>
        <v>0</v>
      </c>
      <c r="BW130" s="23">
        <f t="shared" si="1074"/>
        <v>0</v>
      </c>
      <c r="BX130" s="23">
        <f>+'QTR Raw'!AR57</f>
        <v>0</v>
      </c>
      <c r="BY130" s="23">
        <f t="shared" si="1074"/>
        <v>0</v>
      </c>
      <c r="BZ130" s="23">
        <f>+'QTR Raw'!AT57</f>
        <v>0</v>
      </c>
      <c r="CA130" s="23">
        <f t="shared" si="1074"/>
        <v>0</v>
      </c>
      <c r="CB130" s="23">
        <f>+'QTR Raw'!AV57</f>
        <v>0</v>
      </c>
      <c r="CC130" s="23">
        <f t="shared" si="1074"/>
        <v>0</v>
      </c>
      <c r="CD130" s="23">
        <f>+'QTR Raw'!AX57</f>
        <v>0</v>
      </c>
      <c r="CE130" s="23">
        <f t="shared" si="1074"/>
        <v>0</v>
      </c>
      <c r="CF130" s="23">
        <f>+'QTR Raw'!AZ57</f>
        <v>0</v>
      </c>
      <c r="CG130" s="23">
        <f t="shared" si="1068"/>
        <v>0</v>
      </c>
      <c r="CH130" s="23">
        <f t="shared" ref="CH130:CH131" si="1075">Z130</f>
        <v>0</v>
      </c>
      <c r="CI130" s="23">
        <f>CH130</f>
        <v>0</v>
      </c>
      <c r="CJ130" s="23">
        <f>+'QTR Raw'!BD57</f>
        <v>0</v>
      </c>
      <c r="CK130" s="23">
        <f t="shared" ref="CK130:DB130" si="1076">CJ130</f>
        <v>0</v>
      </c>
      <c r="CL130" s="23">
        <f>+'QTR Raw'!BF57</f>
        <v>0</v>
      </c>
      <c r="CM130" s="24">
        <f t="shared" si="1076"/>
        <v>0</v>
      </c>
      <c r="CN130" s="24">
        <f t="shared" si="1076"/>
        <v>0</v>
      </c>
      <c r="CO130" s="24">
        <f t="shared" si="1076"/>
        <v>0</v>
      </c>
      <c r="CP130" s="24">
        <f t="shared" si="1076"/>
        <v>0</v>
      </c>
      <c r="CQ130" s="24">
        <f t="shared" si="1076"/>
        <v>0</v>
      </c>
      <c r="CR130" s="24">
        <f t="shared" si="1076"/>
        <v>0</v>
      </c>
      <c r="CS130" s="24">
        <f t="shared" si="1076"/>
        <v>0</v>
      </c>
      <c r="CT130" s="24">
        <f t="shared" si="1076"/>
        <v>0</v>
      </c>
      <c r="CU130" s="24">
        <f t="shared" si="1076"/>
        <v>0</v>
      </c>
      <c r="CV130" s="24">
        <f t="shared" si="1076"/>
        <v>0</v>
      </c>
      <c r="CW130" s="24">
        <f t="shared" si="1076"/>
        <v>0</v>
      </c>
      <c r="CX130" s="24">
        <f t="shared" si="1076"/>
        <v>0</v>
      </c>
      <c r="CY130" s="24">
        <f t="shared" si="1076"/>
        <v>0</v>
      </c>
      <c r="CZ130" s="24">
        <f t="shared" si="1076"/>
        <v>0</v>
      </c>
      <c r="DA130" s="24">
        <f t="shared" si="1076"/>
        <v>0</v>
      </c>
      <c r="DB130" s="24">
        <f t="shared" si="1076"/>
        <v>0</v>
      </c>
      <c r="DE130" s="123"/>
      <c r="DF130" s="23">
        <v>39.337899999999998</v>
      </c>
    </row>
    <row r="131" spans="1:110" s="23" customFormat="1" outlineLevel="1" x14ac:dyDescent="0.2">
      <c r="A131" s="23" t="s">
        <v>43</v>
      </c>
      <c r="B131" s="23">
        <f>'Annual Raw'!C43</f>
        <v>0</v>
      </c>
      <c r="C131" s="23">
        <f>'Annual Raw'!D43</f>
        <v>0</v>
      </c>
      <c r="D131" s="23">
        <f>'Annual Raw'!E43</f>
        <v>0</v>
      </c>
      <c r="E131" s="23">
        <f>'Annual Raw'!F43</f>
        <v>0</v>
      </c>
      <c r="F131" s="23">
        <f>'Annual Raw'!G43</f>
        <v>0</v>
      </c>
      <c r="G131" s="23">
        <f>'Annual Raw'!H43</f>
        <v>0</v>
      </c>
      <c r="H131" s="23">
        <f>'Annual Raw'!I43</f>
        <v>0</v>
      </c>
      <c r="I131" s="23">
        <f>'Annual Raw'!J43</f>
        <v>0</v>
      </c>
      <c r="J131" s="23">
        <f>'Annual Raw'!K43</f>
        <v>4.9032236999999999</v>
      </c>
      <c r="K131" s="23">
        <f>'Annual Raw'!L43</f>
        <v>5.0923401999999998</v>
      </c>
      <c r="L131" s="23">
        <f>'Annual Raw'!M43</f>
        <v>5.6132317</v>
      </c>
      <c r="M131" s="23">
        <f>'Annual Raw'!N43</f>
        <v>5.7203733000000003</v>
      </c>
      <c r="N131" s="23">
        <f>'Annual Raw'!O43</f>
        <v>5.8629726</v>
      </c>
      <c r="O131" s="23">
        <f>'Annual Raw'!P43</f>
        <v>6.1495299000000001</v>
      </c>
      <c r="P131" s="23">
        <f>'Annual Raw'!Q43</f>
        <v>6.1221379999999996</v>
      </c>
      <c r="Q131" s="23">
        <f>'Annual Raw'!R43</f>
        <v>6.2409999999999997</v>
      </c>
      <c r="R131" s="23">
        <f>'Annual Raw'!S43</f>
        <v>-4.1000000000000002E-2</v>
      </c>
      <c r="S131" s="23">
        <f>'Annual Raw'!T43</f>
        <v>64.915000000000006</v>
      </c>
      <c r="T131" s="23">
        <f>'Annual Raw'!U43</f>
        <v>110.45699999999999</v>
      </c>
      <c r="U131" s="23">
        <f>'Annual Raw'!V43</f>
        <v>171.97499999999999</v>
      </c>
      <c r="V131" s="23">
        <f>'Annual Raw'!W43</f>
        <v>223.42509999999999</v>
      </c>
      <c r="W131" s="23">
        <f>'Annual Raw'!X43</f>
        <v>317.67660000000001</v>
      </c>
      <c r="X131" s="23">
        <f>'Annual Raw'!Y43</f>
        <v>442.25209999999998</v>
      </c>
      <c r="Y131" s="23">
        <f>'Annual Raw'!Z43</f>
        <v>625.78189999999995</v>
      </c>
      <c r="Z131" s="23">
        <f>'Annual Raw'!AA43</f>
        <v>632.46479999999997</v>
      </c>
      <c r="AA131" s="23">
        <f>'Annual Raw'!AB43</f>
        <v>917.30600000000004</v>
      </c>
      <c r="AB131" s="24">
        <f t="shared" si="1070"/>
        <v>1437.603576477605</v>
      </c>
      <c r="AC131" s="24">
        <f t="shared" si="1071"/>
        <v>2144.6298317186838</v>
      </c>
      <c r="AD131" s="24">
        <f t="shared" si="1072"/>
        <v>3162.3334404337061</v>
      </c>
      <c r="AE131" s="24">
        <f t="shared" si="1073"/>
        <v>4602.4407501988871</v>
      </c>
      <c r="AJ131" s="23">
        <f>+'QTR Raw'!D58</f>
        <v>0</v>
      </c>
      <c r="AK131" s="23">
        <f>+AJ131+AK60</f>
        <v>0</v>
      </c>
      <c r="AL131" s="23">
        <f>+'QTR Raw'!F58</f>
        <v>0</v>
      </c>
      <c r="AM131" s="23">
        <f>+AL131+AM60</f>
        <v>0</v>
      </c>
      <c r="AN131" s="23">
        <f>+'QTR Raw'!H58</f>
        <v>0</v>
      </c>
      <c r="AO131" s="23">
        <f>+AN131+AO60</f>
        <v>0</v>
      </c>
      <c r="AP131" s="23">
        <f>+'QTR Raw'!J58</f>
        <v>0</v>
      </c>
      <c r="AQ131" s="23">
        <f>+AP131+AQ60</f>
        <v>0</v>
      </c>
      <c r="AR131" s="23">
        <f>+'QTR Raw'!L58</f>
        <v>0</v>
      </c>
      <c r="AS131" s="23">
        <f>+AR131+AS60</f>
        <v>0</v>
      </c>
      <c r="AT131" s="23">
        <f>+'QTR Raw'!N58</f>
        <v>0</v>
      </c>
      <c r="AU131" s="23">
        <f>+AT131+AU60</f>
        <v>0</v>
      </c>
      <c r="AV131" s="23">
        <f>+'QTR Raw'!P58</f>
        <v>0</v>
      </c>
      <c r="AW131" s="23">
        <f>+AV131+AW60</f>
        <v>0</v>
      </c>
      <c r="AX131" s="23">
        <f>+'QTR Raw'!R58</f>
        <v>0</v>
      </c>
      <c r="AY131" s="23">
        <f>+AX131+AY60</f>
        <v>0</v>
      </c>
      <c r="AZ131" s="23">
        <f>+'QTR Raw'!T58</f>
        <v>0</v>
      </c>
      <c r="BA131" s="23">
        <f>+AZ131+BA60</f>
        <v>0</v>
      </c>
      <c r="BB131" s="23">
        <f>+'QTR Raw'!V58</f>
        <v>0</v>
      </c>
      <c r="BC131" s="23">
        <f>+BB131+BC60</f>
        <v>0</v>
      </c>
      <c r="BD131" s="23">
        <f>+'QTR Raw'!X58</f>
        <v>0</v>
      </c>
      <c r="BE131" s="23">
        <f>+BD131+BE60</f>
        <v>0</v>
      </c>
      <c r="BF131" s="23">
        <f>+'QTR Raw'!Z58</f>
        <v>0</v>
      </c>
      <c r="BG131" s="23">
        <f>+BF131+BG60</f>
        <v>0</v>
      </c>
      <c r="BH131" s="23">
        <f>+'QTR Raw'!AB58</f>
        <v>0</v>
      </c>
      <c r="BI131" s="23">
        <f>+BH131+BI60</f>
        <v>0</v>
      </c>
      <c r="BJ131" s="23">
        <f>+'QTR Raw'!AD58</f>
        <v>0</v>
      </c>
      <c r="BK131" s="23">
        <f>+BJ131+BK60</f>
        <v>0</v>
      </c>
      <c r="BL131" s="23">
        <f>+'QTR Raw'!AF58</f>
        <v>0</v>
      </c>
      <c r="BM131" s="23">
        <f>+BL131+BM60</f>
        <v>0</v>
      </c>
      <c r="BN131" s="23">
        <f>+'QTR Raw'!AH58</f>
        <v>0</v>
      </c>
      <c r="BO131" s="23">
        <f>+BN131+BO60</f>
        <v>0</v>
      </c>
      <c r="BP131" s="23">
        <f>+'QTR Raw'!AJ58</f>
        <v>0</v>
      </c>
      <c r="BQ131" s="23">
        <f>+BP131+BQ60</f>
        <v>13.082999999999998</v>
      </c>
      <c r="BR131" s="23">
        <f>+'QTR Raw'!AL58</f>
        <v>227.81800000000001</v>
      </c>
      <c r="BS131" s="23">
        <f>+BR131+BS60</f>
        <v>257.52300000000002</v>
      </c>
      <c r="BT131" s="23">
        <f>+'QTR Raw'!AN58</f>
        <v>0</v>
      </c>
      <c r="BU131" s="23">
        <f>+BT131+BU60</f>
        <v>32.021000000000001</v>
      </c>
      <c r="BV131" s="23">
        <f>+'QTR Raw'!AP58</f>
        <v>322.85899999999998</v>
      </c>
      <c r="BW131" s="23">
        <f>+BV131+BW60</f>
        <v>362.56200000000001</v>
      </c>
      <c r="BX131" s="23">
        <f>+'QTR Raw'!AR58</f>
        <v>380.57499999999999</v>
      </c>
      <c r="BY131" s="23">
        <f>+BX131+BY60</f>
        <v>423.74</v>
      </c>
      <c r="BZ131" s="23">
        <f>+'QTR Raw'!AT58</f>
        <v>447.38799999999998</v>
      </c>
      <c r="CA131" s="23">
        <f>+BZ131+CA60</f>
        <v>500.45</v>
      </c>
      <c r="CB131" s="23">
        <f>+'QTR Raw'!AV58</f>
        <v>532.15599999999995</v>
      </c>
      <c r="CC131" s="23">
        <f>+CB131+CC60</f>
        <v>589.97899999999993</v>
      </c>
      <c r="CD131" s="23">
        <f>+'QTR Raw'!AX58</f>
        <v>627.94000000000005</v>
      </c>
      <c r="CE131" s="23">
        <f>+CD131+CE60</f>
        <v>701.18000000000006</v>
      </c>
      <c r="CF131" s="23">
        <f>+'QTR Raw'!AZ58</f>
        <v>532.875</v>
      </c>
      <c r="CG131" s="23">
        <f>+CF131+CG60</f>
        <v>609.89800000000002</v>
      </c>
      <c r="CH131" s="23">
        <f t="shared" si="1075"/>
        <v>632.46479999999997</v>
      </c>
      <c r="CI131" s="23">
        <f>CH131+CI60</f>
        <v>726.08780000000002</v>
      </c>
      <c r="CJ131" s="23">
        <f>+'QTR Raw'!BD58</f>
        <v>767</v>
      </c>
      <c r="CK131" s="23">
        <f t="shared" ref="CK131:DB131" si="1077">CJ131+CK60</f>
        <v>866.85200000000009</v>
      </c>
      <c r="CL131" s="23">
        <f>+'QTR Raw'!BF58</f>
        <v>956.64400000000001</v>
      </c>
      <c r="CM131" s="24">
        <f t="shared" si="1077"/>
        <v>1068.0027218901298</v>
      </c>
      <c r="CN131" s="24">
        <f t="shared" si="1077"/>
        <v>1191.8008794605553</v>
      </c>
      <c r="CO131" s="24">
        <f t="shared" si="1077"/>
        <v>1312.9976291961425</v>
      </c>
      <c r="CP131" s="24">
        <f t="shared" si="1077"/>
        <v>1437.603576477605</v>
      </c>
      <c r="CQ131" s="24">
        <f t="shared" si="1077"/>
        <v>1597.6226313259033</v>
      </c>
      <c r="CR131" s="24">
        <f t="shared" si="1077"/>
        <v>1775.8067174709133</v>
      </c>
      <c r="CS131" s="24">
        <f t="shared" si="1077"/>
        <v>1955.0706351488507</v>
      </c>
      <c r="CT131" s="24">
        <f t="shared" si="1077"/>
        <v>2144.6298317186838</v>
      </c>
      <c r="CU131" s="24">
        <f t="shared" si="1077"/>
        <v>2374.2608197654486</v>
      </c>
      <c r="CV131" s="24">
        <f t="shared" si="1077"/>
        <v>2629.6672511520724</v>
      </c>
      <c r="CW131" s="24">
        <f t="shared" si="1077"/>
        <v>2888.6514203194647</v>
      </c>
      <c r="CX131" s="24">
        <f t="shared" si="1077"/>
        <v>3162.3334404337061</v>
      </c>
      <c r="CY131" s="24">
        <f t="shared" si="1077"/>
        <v>3487.7915763840374</v>
      </c>
      <c r="CZ131" s="24">
        <f t="shared" si="1077"/>
        <v>3848.4611478310976</v>
      </c>
      <c r="DA131" s="24">
        <f t="shared" si="1077"/>
        <v>4215.2777452006667</v>
      </c>
      <c r="DB131" s="24">
        <f t="shared" si="1077"/>
        <v>4602.4407501988871</v>
      </c>
      <c r="DE131" s="123"/>
      <c r="DF131" s="23">
        <v>917.30600000000004</v>
      </c>
    </row>
    <row r="132" spans="1:110" s="22" customFormat="1" x14ac:dyDescent="0.2">
      <c r="A132" s="22" t="s">
        <v>44</v>
      </c>
      <c r="B132" s="22">
        <f>B129+B130+B131</f>
        <v>0</v>
      </c>
      <c r="C132" s="22">
        <f t="shared" ref="C132:V132" si="1078">C129+C130+C131</f>
        <v>0</v>
      </c>
      <c r="D132" s="22">
        <f t="shared" si="1078"/>
        <v>0</v>
      </c>
      <c r="E132" s="22">
        <f t="shared" si="1078"/>
        <v>0</v>
      </c>
      <c r="F132" s="22">
        <f t="shared" si="1078"/>
        <v>0</v>
      </c>
      <c r="G132" s="22">
        <f t="shared" si="1078"/>
        <v>0</v>
      </c>
      <c r="H132" s="22">
        <f t="shared" si="1078"/>
        <v>0</v>
      </c>
      <c r="I132" s="22">
        <f t="shared" si="1078"/>
        <v>0</v>
      </c>
      <c r="J132" s="22">
        <f t="shared" si="1078"/>
        <v>5.0979257000000002</v>
      </c>
      <c r="K132" s="22">
        <f t="shared" si="1078"/>
        <v>5.2870422000000001</v>
      </c>
      <c r="L132" s="22">
        <f t="shared" si="1078"/>
        <v>5.8079337000000004</v>
      </c>
      <c r="M132" s="22">
        <f>M129+M130+M131</f>
        <v>5.9150753000000007</v>
      </c>
      <c r="N132" s="22">
        <f t="shared" si="1078"/>
        <v>6.0576746000000004</v>
      </c>
      <c r="O132" s="22">
        <f t="shared" si="1078"/>
        <v>6.3442319000000005</v>
      </c>
      <c r="P132" s="22">
        <f t="shared" si="1078"/>
        <v>6.31684</v>
      </c>
      <c r="Q132" s="22">
        <f t="shared" si="1078"/>
        <v>6.4359999999999999</v>
      </c>
      <c r="R132" s="22">
        <f t="shared" si="1078"/>
        <v>13.013</v>
      </c>
      <c r="S132" s="22">
        <f t="shared" si="1078"/>
        <v>78.365000000000009</v>
      </c>
      <c r="T132" s="22">
        <f t="shared" si="1078"/>
        <v>123.93599999999999</v>
      </c>
      <c r="U132" s="22">
        <f t="shared" si="1078"/>
        <v>185.523</v>
      </c>
      <c r="V132" s="22">
        <f t="shared" si="1078"/>
        <v>241.5744</v>
      </c>
      <c r="W132" s="22">
        <f t="shared" ref="W132" si="1079">W129+W130+W131</f>
        <v>343.66680000000002</v>
      </c>
      <c r="X132" s="22">
        <f t="shared" ref="X132:Y132" si="1080">X129+X130+X131</f>
        <v>468.23199999999997</v>
      </c>
      <c r="Y132" s="22">
        <f t="shared" si="1080"/>
        <v>648.8540999999999</v>
      </c>
      <c r="Z132" s="22">
        <f t="shared" ref="Z132:AA132" si="1081">Z129+Z130+Z131</f>
        <v>673.9751</v>
      </c>
      <c r="AA132" s="22">
        <f t="shared" ref="AA132" si="1082">AA129+AA130+AA131</f>
        <v>998.15420000000006</v>
      </c>
      <c r="AB132" s="21">
        <f t="shared" ref="AB132:AD132" si="1083">AB129+AB130+AB131</f>
        <v>1479.113576477605</v>
      </c>
      <c r="AC132" s="21">
        <f t="shared" si="1083"/>
        <v>2186.139831718684</v>
      </c>
      <c r="AD132" s="21">
        <f t="shared" si="1083"/>
        <v>3203.8434404337063</v>
      </c>
      <c r="AE132" s="21">
        <f t="shared" ref="AE132" si="1084">AE129+AE130+AE131</f>
        <v>4643.9507501988874</v>
      </c>
      <c r="AJ132" s="22">
        <f t="shared" ref="AJ132" si="1085">AJ129+AJ130+AJ131</f>
        <v>0</v>
      </c>
      <c r="AK132" s="22">
        <f t="shared" ref="AK132" si="1086">AK129+AK130+AK131</f>
        <v>0</v>
      </c>
      <c r="AL132" s="22">
        <f t="shared" ref="AL132:AM132" si="1087">AL129+AL130+AL131</f>
        <v>0</v>
      </c>
      <c r="AM132" s="22">
        <f t="shared" si="1087"/>
        <v>0</v>
      </c>
      <c r="AN132" s="22">
        <f t="shared" ref="AN132:AO132" si="1088">AN129+AN130+AN131</f>
        <v>0</v>
      </c>
      <c r="AO132" s="22">
        <f t="shared" si="1088"/>
        <v>0</v>
      </c>
      <c r="AP132" s="22">
        <f t="shared" ref="AP132:CE132" si="1089">AP129+AP130+AP131</f>
        <v>0</v>
      </c>
      <c r="AQ132" s="22">
        <f t="shared" si="1089"/>
        <v>0</v>
      </c>
      <c r="AR132" s="22">
        <f t="shared" si="1089"/>
        <v>0</v>
      </c>
      <c r="AS132" s="22">
        <f t="shared" si="1089"/>
        <v>0</v>
      </c>
      <c r="AT132" s="22">
        <f t="shared" si="1089"/>
        <v>0</v>
      </c>
      <c r="AU132" s="22">
        <f t="shared" si="1089"/>
        <v>0</v>
      </c>
      <c r="AV132" s="22">
        <f t="shared" si="1089"/>
        <v>0</v>
      </c>
      <c r="AW132" s="22">
        <f t="shared" si="1089"/>
        <v>0</v>
      </c>
      <c r="AX132" s="22">
        <f t="shared" si="1089"/>
        <v>0</v>
      </c>
      <c r="AY132" s="22">
        <f t="shared" si="1089"/>
        <v>0</v>
      </c>
      <c r="AZ132" s="22">
        <f t="shared" si="1089"/>
        <v>0</v>
      </c>
      <c r="BA132" s="22">
        <f t="shared" si="1089"/>
        <v>0</v>
      </c>
      <c r="BB132" s="22">
        <f t="shared" si="1089"/>
        <v>0</v>
      </c>
      <c r="BC132" s="22">
        <f t="shared" si="1089"/>
        <v>0</v>
      </c>
      <c r="BD132" s="22">
        <f t="shared" si="1089"/>
        <v>0</v>
      </c>
      <c r="BE132" s="22">
        <f t="shared" si="1089"/>
        <v>0</v>
      </c>
      <c r="BF132" s="22">
        <f t="shared" si="1089"/>
        <v>0</v>
      </c>
      <c r="BG132" s="22">
        <f t="shared" si="1089"/>
        <v>0</v>
      </c>
      <c r="BH132" s="22">
        <f t="shared" si="1089"/>
        <v>0</v>
      </c>
      <c r="BI132" s="22">
        <f t="shared" si="1089"/>
        <v>0</v>
      </c>
      <c r="BJ132" s="22">
        <f t="shared" si="1089"/>
        <v>0</v>
      </c>
      <c r="BK132" s="22">
        <f t="shared" si="1089"/>
        <v>0</v>
      </c>
      <c r="BL132" s="22">
        <f t="shared" si="1089"/>
        <v>0</v>
      </c>
      <c r="BM132" s="22">
        <f t="shared" si="1089"/>
        <v>0</v>
      </c>
      <c r="BN132" s="22">
        <f t="shared" si="1089"/>
        <v>0</v>
      </c>
      <c r="BO132" s="22">
        <f t="shared" si="1089"/>
        <v>0</v>
      </c>
      <c r="BP132" s="22">
        <f t="shared" si="1089"/>
        <v>0</v>
      </c>
      <c r="BQ132" s="22">
        <f t="shared" si="1089"/>
        <v>13.082999999999998</v>
      </c>
      <c r="BR132" s="22">
        <f t="shared" si="1089"/>
        <v>241.57500000000002</v>
      </c>
      <c r="BS132" s="22">
        <f t="shared" si="1089"/>
        <v>271.28000000000003</v>
      </c>
      <c r="BT132" s="22">
        <f t="shared" si="1089"/>
        <v>0</v>
      </c>
      <c r="BU132" s="22">
        <f t="shared" si="1089"/>
        <v>32.021000000000001</v>
      </c>
      <c r="BV132" s="22">
        <f t="shared" si="1089"/>
        <v>343.66699999999997</v>
      </c>
      <c r="BW132" s="22">
        <f t="shared" si="1089"/>
        <v>383.37</v>
      </c>
      <c r="BX132" s="22">
        <f t="shared" si="1089"/>
        <v>401.41899999999998</v>
      </c>
      <c r="BY132" s="22">
        <f t="shared" si="1089"/>
        <v>444.584</v>
      </c>
      <c r="BZ132" s="22">
        <f t="shared" si="1089"/>
        <v>468.23199999999997</v>
      </c>
      <c r="CA132" s="22">
        <f t="shared" si="1089"/>
        <v>521.29399999999998</v>
      </c>
      <c r="CB132" s="22">
        <f t="shared" si="1089"/>
        <v>553.02599999999995</v>
      </c>
      <c r="CC132" s="22">
        <f t="shared" si="1089"/>
        <v>610.84899999999993</v>
      </c>
      <c r="CD132" s="22">
        <f t="shared" si="1089"/>
        <v>648.85400000000004</v>
      </c>
      <c r="CE132" s="22">
        <f t="shared" si="1089"/>
        <v>722.09400000000005</v>
      </c>
      <c r="CF132" s="22">
        <f t="shared" ref="CF132:CG132" si="1090">CF129+CF130+CF131</f>
        <v>553.63</v>
      </c>
      <c r="CG132" s="22">
        <f t="shared" si="1090"/>
        <v>630.65300000000002</v>
      </c>
      <c r="CH132" s="22">
        <f t="shared" ref="CH132:CI132" si="1091">CH129+CH130+CH131</f>
        <v>673.9751</v>
      </c>
      <c r="CI132" s="22">
        <f t="shared" si="1091"/>
        <v>767.59810000000004</v>
      </c>
      <c r="CJ132" s="22">
        <f t="shared" ref="CJ132:DB132" si="1092">CJ129+CJ130+CJ131</f>
        <v>808.51</v>
      </c>
      <c r="CK132" s="22">
        <f t="shared" ref="CK132:CL132" si="1093">CK129+CK130+CK131</f>
        <v>908.36200000000008</v>
      </c>
      <c r="CL132" s="22">
        <f t="shared" si="1093"/>
        <v>998.154</v>
      </c>
      <c r="CM132" s="21">
        <f t="shared" si="1092"/>
        <v>1109.5127218901298</v>
      </c>
      <c r="CN132" s="21">
        <f t="shared" si="1092"/>
        <v>1233.3108794605553</v>
      </c>
      <c r="CO132" s="21">
        <f t="shared" si="1092"/>
        <v>1354.5076291961425</v>
      </c>
      <c r="CP132" s="21">
        <f t="shared" si="1092"/>
        <v>1479.113576477605</v>
      </c>
      <c r="CQ132" s="21">
        <f t="shared" si="1092"/>
        <v>1639.1326313259033</v>
      </c>
      <c r="CR132" s="21">
        <f t="shared" si="1092"/>
        <v>1817.3167174709133</v>
      </c>
      <c r="CS132" s="21">
        <f t="shared" si="1092"/>
        <v>1996.5806351488507</v>
      </c>
      <c r="CT132" s="21">
        <f t="shared" si="1092"/>
        <v>2186.139831718684</v>
      </c>
      <c r="CU132" s="21">
        <f t="shared" si="1092"/>
        <v>2415.7708197654488</v>
      </c>
      <c r="CV132" s="21">
        <f t="shared" si="1092"/>
        <v>2671.1772511520726</v>
      </c>
      <c r="CW132" s="21">
        <f t="shared" si="1092"/>
        <v>2930.1614203194649</v>
      </c>
      <c r="CX132" s="21">
        <f t="shared" si="1092"/>
        <v>3203.8434404337063</v>
      </c>
      <c r="CY132" s="21">
        <f t="shared" si="1092"/>
        <v>3529.3015763840376</v>
      </c>
      <c r="CZ132" s="21">
        <f t="shared" si="1092"/>
        <v>3889.9711478310978</v>
      </c>
      <c r="DA132" s="21">
        <f t="shared" si="1092"/>
        <v>4256.7877452006669</v>
      </c>
      <c r="DB132" s="21">
        <f t="shared" si="1092"/>
        <v>4643.9507501988874</v>
      </c>
      <c r="DE132" s="126"/>
      <c r="DF132" s="22">
        <v>998.15420000000006</v>
      </c>
    </row>
    <row r="133" spans="1:110" s="22" customFormat="1" x14ac:dyDescent="0.2">
      <c r="AB133" s="21"/>
      <c r="AC133" s="21"/>
      <c r="AD133" s="21"/>
      <c r="AE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</row>
    <row r="134" spans="1:110" s="23" customFormat="1" x14ac:dyDescent="0.2">
      <c r="A134" s="23" t="s">
        <v>23</v>
      </c>
      <c r="B134" s="23">
        <f>'Annual Raw'!C45</f>
        <v>0</v>
      </c>
      <c r="C134" s="23">
        <f>'Annual Raw'!D45</f>
        <v>0</v>
      </c>
      <c r="D134" s="23">
        <f>'Annual Raw'!E45</f>
        <v>0</v>
      </c>
      <c r="E134" s="23">
        <f>'Annual Raw'!F45</f>
        <v>0</v>
      </c>
      <c r="F134" s="23">
        <f>'Annual Raw'!G45</f>
        <v>0</v>
      </c>
      <c r="G134" s="23">
        <f>'Annual Raw'!H45</f>
        <v>0</v>
      </c>
      <c r="H134" s="23">
        <f>'Annual Raw'!I45</f>
        <v>0</v>
      </c>
      <c r="I134" s="23">
        <f>'Annual Raw'!J45</f>
        <v>0</v>
      </c>
      <c r="J134" s="23">
        <f>'Annual Raw'!K45</f>
        <v>0</v>
      </c>
      <c r="K134" s="23">
        <f>'Annual Raw'!L45</f>
        <v>0</v>
      </c>
      <c r="L134" s="23">
        <f>'Annual Raw'!M45</f>
        <v>0</v>
      </c>
      <c r="M134" s="23">
        <f>'Annual Raw'!N45</f>
        <v>0</v>
      </c>
      <c r="N134" s="23">
        <f>'Annual Raw'!O45</f>
        <v>0</v>
      </c>
      <c r="O134" s="23">
        <f>'Annual Raw'!P45</f>
        <v>0</v>
      </c>
      <c r="P134" s="23">
        <f>'Annual Raw'!Q45</f>
        <v>0</v>
      </c>
      <c r="Q134" s="23">
        <f>'Annual Raw'!R45</f>
        <v>0</v>
      </c>
      <c r="R134" s="23">
        <f>'Annual Raw'!S45</f>
        <v>0.38500000000000001</v>
      </c>
      <c r="S134" s="23">
        <f>'Annual Raw'!T45</f>
        <v>-0.20200000000000001</v>
      </c>
      <c r="T134" s="23">
        <f>'Annual Raw'!U45</f>
        <v>12.538</v>
      </c>
      <c r="U134" s="23">
        <f>'Annual Raw'!V45</f>
        <v>11.585000000000001</v>
      </c>
      <c r="V134" s="23">
        <f>'Annual Raw'!W45</f>
        <v>11.600300000000001</v>
      </c>
      <c r="W134" s="23">
        <f>'Annual Raw'!X45</f>
        <v>11.6693</v>
      </c>
      <c r="X134" s="23">
        <f>'Annual Raw'!Y45</f>
        <v>11.861499999999999</v>
      </c>
      <c r="Y134" s="23">
        <f>'Annual Raw'!Z45</f>
        <v>12.7003</v>
      </c>
      <c r="Z134" s="23">
        <f>'Annual Raw'!AA45</f>
        <v>13.6561</v>
      </c>
      <c r="AA134" s="23">
        <f>'Annual Raw'!AB45</f>
        <v>13.701000000000001</v>
      </c>
      <c r="AB134" s="24">
        <f>+CP134</f>
        <v>13.701000000000001</v>
      </c>
      <c r="AC134" s="24">
        <f>+CT134</f>
        <v>13.701000000000001</v>
      </c>
      <c r="AD134" s="24">
        <f>+CX134</f>
        <v>13.701000000000001</v>
      </c>
      <c r="AE134" s="24">
        <f>+DB134</f>
        <v>13.701000000000001</v>
      </c>
      <c r="AJ134" s="23">
        <f>+'QTR Raw'!D60</f>
        <v>0</v>
      </c>
      <c r="AK134" s="23">
        <f t="shared" ref="AK134:CE134" si="1094">+AJ134</f>
        <v>0</v>
      </c>
      <c r="AL134" s="23">
        <f>+'QTR Raw'!F60</f>
        <v>0</v>
      </c>
      <c r="AM134" s="23">
        <f t="shared" si="1094"/>
        <v>0</v>
      </c>
      <c r="AN134" s="23">
        <f>+'QTR Raw'!H60</f>
        <v>0</v>
      </c>
      <c r="AO134" s="23">
        <f t="shared" si="1094"/>
        <v>0</v>
      </c>
      <c r="AP134" s="23">
        <f>+'QTR Raw'!J60</f>
        <v>0</v>
      </c>
      <c r="AQ134" s="23">
        <f t="shared" si="1094"/>
        <v>0</v>
      </c>
      <c r="AR134" s="23">
        <f>+'QTR Raw'!L60</f>
        <v>0</v>
      </c>
      <c r="AS134" s="23">
        <f t="shared" si="1094"/>
        <v>0</v>
      </c>
      <c r="AT134" s="23">
        <f>+'QTR Raw'!N60</f>
        <v>0</v>
      </c>
      <c r="AU134" s="23">
        <f t="shared" si="1094"/>
        <v>0</v>
      </c>
      <c r="AV134" s="23">
        <f>+'QTR Raw'!P60</f>
        <v>0</v>
      </c>
      <c r="AW134" s="23">
        <f t="shared" si="1094"/>
        <v>0</v>
      </c>
      <c r="AX134" s="23">
        <f>+'QTR Raw'!R60</f>
        <v>0</v>
      </c>
      <c r="AY134" s="23">
        <f t="shared" si="1094"/>
        <v>0</v>
      </c>
      <c r="AZ134" s="23">
        <f>+'QTR Raw'!T60</f>
        <v>0</v>
      </c>
      <c r="BA134" s="23">
        <f t="shared" si="1094"/>
        <v>0</v>
      </c>
      <c r="BB134" s="23">
        <f>+'QTR Raw'!V60</f>
        <v>0</v>
      </c>
      <c r="BC134" s="23">
        <f t="shared" si="1094"/>
        <v>0</v>
      </c>
      <c r="BD134" s="23">
        <f>+'QTR Raw'!X60</f>
        <v>0</v>
      </c>
      <c r="BE134" s="23">
        <f t="shared" si="1094"/>
        <v>0</v>
      </c>
      <c r="BF134" s="23">
        <f>+'QTR Raw'!Z60</f>
        <v>0</v>
      </c>
      <c r="BG134" s="23">
        <f t="shared" si="1094"/>
        <v>0</v>
      </c>
      <c r="BH134" s="22">
        <f>+'QTR Raw'!AB60</f>
        <v>0</v>
      </c>
      <c r="BI134" s="23">
        <f t="shared" si="1094"/>
        <v>0</v>
      </c>
      <c r="BJ134" s="23">
        <f>+'QTR Raw'!AD60</f>
        <v>0</v>
      </c>
      <c r="BK134" s="23">
        <f t="shared" si="1094"/>
        <v>0</v>
      </c>
      <c r="BL134" s="23">
        <f>+'QTR Raw'!AF60</f>
        <v>0</v>
      </c>
      <c r="BM134" s="23">
        <f t="shared" si="1094"/>
        <v>0</v>
      </c>
      <c r="BN134" s="23">
        <f>+'QTR Raw'!AH60</f>
        <v>0</v>
      </c>
      <c r="BO134" s="23">
        <f t="shared" si="1094"/>
        <v>0</v>
      </c>
      <c r="BP134" s="23">
        <f>+'QTR Raw'!AJ60</f>
        <v>0</v>
      </c>
      <c r="BQ134" s="23">
        <f t="shared" si="1094"/>
        <v>0</v>
      </c>
      <c r="BR134" s="23">
        <f>+'QTR Raw'!AL60</f>
        <v>11.6</v>
      </c>
      <c r="BS134" s="23">
        <f t="shared" si="1094"/>
        <v>11.6</v>
      </c>
      <c r="BT134" s="23">
        <f>+'QTR Raw'!AN60</f>
        <v>0</v>
      </c>
      <c r="BU134" s="23">
        <f t="shared" si="1094"/>
        <v>0</v>
      </c>
      <c r="BV134" s="23">
        <f>+'QTR Raw'!AP60</f>
        <v>11.669</v>
      </c>
      <c r="BW134" s="23">
        <f t="shared" si="1094"/>
        <v>11.669</v>
      </c>
      <c r="BX134" s="23">
        <f>+'QTR Raw'!AR60</f>
        <v>11.708</v>
      </c>
      <c r="BY134" s="23">
        <f t="shared" si="1094"/>
        <v>11.708</v>
      </c>
      <c r="BZ134" s="23">
        <f>+'QTR Raw'!AT60</f>
        <v>11.862</v>
      </c>
      <c r="CA134" s="23">
        <f t="shared" si="1094"/>
        <v>11.862</v>
      </c>
      <c r="CB134" s="23">
        <f>+'QTR Raw'!AV60</f>
        <v>12.221</v>
      </c>
      <c r="CC134" s="23">
        <f t="shared" si="1094"/>
        <v>12.221</v>
      </c>
      <c r="CD134" s="23">
        <f>+'QTR Raw'!AX60</f>
        <v>12.7</v>
      </c>
      <c r="CE134" s="23">
        <f t="shared" si="1094"/>
        <v>12.7</v>
      </c>
      <c r="CF134" s="23">
        <f>+'QTR Raw'!AZ60</f>
        <v>13.093</v>
      </c>
      <c r="CG134" s="23">
        <f t="shared" ref="CG134:CI134" si="1095">+CF134</f>
        <v>13.093</v>
      </c>
      <c r="CH134" s="23">
        <f t="shared" ref="CH134:CH139" si="1096">Z134</f>
        <v>13.6561</v>
      </c>
      <c r="CI134" s="23">
        <f t="shared" si="1095"/>
        <v>13.6561</v>
      </c>
      <c r="CJ134" s="23">
        <f>+'QTR Raw'!BD60</f>
        <v>14.489000000000001</v>
      </c>
      <c r="CK134" s="23">
        <f t="shared" ref="CK134:CM134" si="1097">+CJ134</f>
        <v>14.489000000000001</v>
      </c>
      <c r="CL134" s="23">
        <f>+'QTR Raw'!BF60</f>
        <v>13.701000000000001</v>
      </c>
      <c r="CM134" s="24">
        <f t="shared" si="1097"/>
        <v>13.701000000000001</v>
      </c>
      <c r="CN134" s="24">
        <f t="shared" ref="CN134" si="1098">+CM134</f>
        <v>13.701000000000001</v>
      </c>
      <c r="CO134" s="24">
        <f t="shared" ref="CO134" si="1099">+CN134</f>
        <v>13.701000000000001</v>
      </c>
      <c r="CP134" s="24">
        <f t="shared" ref="CP134" si="1100">+CO134</f>
        <v>13.701000000000001</v>
      </c>
      <c r="CQ134" s="24">
        <f t="shared" ref="CQ134" si="1101">+CP134</f>
        <v>13.701000000000001</v>
      </c>
      <c r="CR134" s="24">
        <f t="shared" ref="CR134" si="1102">+CQ134</f>
        <v>13.701000000000001</v>
      </c>
      <c r="CS134" s="24">
        <f t="shared" ref="CS134" si="1103">+CR134</f>
        <v>13.701000000000001</v>
      </c>
      <c r="CT134" s="24">
        <f t="shared" ref="CT134" si="1104">+CS134</f>
        <v>13.701000000000001</v>
      </c>
      <c r="CU134" s="24">
        <f t="shared" ref="CU134" si="1105">+CT134</f>
        <v>13.701000000000001</v>
      </c>
      <c r="CV134" s="24">
        <f t="shared" ref="CV134" si="1106">+CU134</f>
        <v>13.701000000000001</v>
      </c>
      <c r="CW134" s="24">
        <f t="shared" ref="CW134" si="1107">+CV134</f>
        <v>13.701000000000001</v>
      </c>
      <c r="CX134" s="24">
        <f t="shared" ref="CX134" si="1108">+CW134</f>
        <v>13.701000000000001</v>
      </c>
      <c r="CY134" s="24">
        <f t="shared" ref="CY134" si="1109">+CX134</f>
        <v>13.701000000000001</v>
      </c>
      <c r="CZ134" s="24">
        <f t="shared" ref="CZ134" si="1110">+CY134</f>
        <v>13.701000000000001</v>
      </c>
      <c r="DA134" s="24">
        <f t="shared" ref="DA134" si="1111">+CZ134</f>
        <v>13.701000000000001</v>
      </c>
      <c r="DB134" s="24">
        <f t="shared" ref="DB134" si="1112">+DA134</f>
        <v>13.701000000000001</v>
      </c>
      <c r="DE134" s="123"/>
      <c r="DF134" s="23">
        <v>13.701000000000001</v>
      </c>
    </row>
    <row r="135" spans="1:110" s="23" customFormat="1" x14ac:dyDescent="0.2">
      <c r="AB135" s="24"/>
      <c r="AC135" s="24"/>
      <c r="AD135" s="24"/>
      <c r="AE135" s="24"/>
      <c r="BH135" s="22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E135" s="123"/>
    </row>
    <row r="136" spans="1:110" s="23" customFormat="1" outlineLevel="1" x14ac:dyDescent="0.2">
      <c r="A136" s="23" t="s">
        <v>45</v>
      </c>
      <c r="B136" s="23">
        <f>'Annual Raw'!C47</f>
        <v>0</v>
      </c>
      <c r="C136" s="23">
        <f>'Annual Raw'!D47</f>
        <v>0</v>
      </c>
      <c r="D136" s="23">
        <f>'Annual Raw'!E47</f>
        <v>0</v>
      </c>
      <c r="E136" s="23">
        <f>'Annual Raw'!F47</f>
        <v>0</v>
      </c>
      <c r="F136" s="23">
        <f>'Annual Raw'!G47</f>
        <v>0</v>
      </c>
      <c r="G136" s="23">
        <f>'Annual Raw'!H47</f>
        <v>0</v>
      </c>
      <c r="H136" s="23">
        <f>'Annual Raw'!I47</f>
        <v>0</v>
      </c>
      <c r="I136" s="23">
        <f>'Annual Raw'!J47</f>
        <v>0</v>
      </c>
      <c r="J136" s="23">
        <f>'Annual Raw'!K47</f>
        <v>0</v>
      </c>
      <c r="K136" s="23">
        <f>'Annual Raw'!L47</f>
        <v>0</v>
      </c>
      <c r="L136" s="23">
        <f>'Annual Raw'!M47</f>
        <v>0</v>
      </c>
      <c r="M136" s="23">
        <f>'Annual Raw'!N47</f>
        <v>0</v>
      </c>
      <c r="N136" s="23">
        <f>'Annual Raw'!O47</f>
        <v>0</v>
      </c>
      <c r="O136" s="23">
        <f>'Annual Raw'!P47</f>
        <v>0</v>
      </c>
      <c r="P136" s="23">
        <f>'Annual Raw'!Q47</f>
        <v>0</v>
      </c>
      <c r="Q136" s="23">
        <f>'Annual Raw'!R47</f>
        <v>0</v>
      </c>
      <c r="R136" s="23">
        <f>'Annual Raw'!S47</f>
        <v>0.13500000000000001</v>
      </c>
      <c r="S136" s="23">
        <f>'Annual Raw'!T47</f>
        <v>0.497</v>
      </c>
      <c r="T136" s="23">
        <f>'Annual Raw'!U47</f>
        <v>0.36799999999999999</v>
      </c>
      <c r="U136" s="23">
        <f>'Annual Raw'!V47</f>
        <v>33.36</v>
      </c>
      <c r="V136" s="23">
        <f>'Annual Raw'!W47</f>
        <v>24.963699999999999</v>
      </c>
      <c r="W136" s="23">
        <f>'Annual Raw'!X47</f>
        <v>16.606999999999999</v>
      </c>
      <c r="X136" s="23">
        <f>'Annual Raw'!Y47</f>
        <v>8.4853000000000005</v>
      </c>
      <c r="Y136" s="23">
        <f>'Annual Raw'!Z47</f>
        <v>0.12740000000000001</v>
      </c>
      <c r="Z136" s="23">
        <f>'Annual Raw'!AA47</f>
        <v>18.037299999999998</v>
      </c>
      <c r="AA136" s="23">
        <f>'Annual Raw'!AB47</f>
        <v>13.0786</v>
      </c>
      <c r="AB136" s="24">
        <f t="shared" ref="AB136:AB139" si="1113">+CP136</f>
        <v>0</v>
      </c>
      <c r="AC136" s="24">
        <f t="shared" ref="AC136:AC139" si="1114">+CT136</f>
        <v>0</v>
      </c>
      <c r="AD136" s="24">
        <f t="shared" ref="AD136:AD139" si="1115">+CX136</f>
        <v>0</v>
      </c>
      <c r="AE136" s="24">
        <f t="shared" ref="AE136:AE139" si="1116">+DB136</f>
        <v>0</v>
      </c>
      <c r="AJ136" s="23">
        <f>+'QTR Raw'!D62</f>
        <v>0</v>
      </c>
      <c r="AK136" s="23">
        <f t="shared" ref="AK136:CC139" si="1117">+AJ136</f>
        <v>0</v>
      </c>
      <c r="AL136" s="23">
        <f>+'QTR Raw'!F62</f>
        <v>0</v>
      </c>
      <c r="AM136" s="23">
        <f t="shared" si="1117"/>
        <v>0</v>
      </c>
      <c r="AN136" s="23">
        <f>+'QTR Raw'!H62</f>
        <v>0</v>
      </c>
      <c r="AO136" s="23">
        <f t="shared" si="1117"/>
        <v>0</v>
      </c>
      <c r="AP136" s="23">
        <f>+'QTR Raw'!J62</f>
        <v>0</v>
      </c>
      <c r="AQ136" s="23">
        <f t="shared" si="1117"/>
        <v>0</v>
      </c>
      <c r="AR136" s="23">
        <f>+'QTR Raw'!L62</f>
        <v>0</v>
      </c>
      <c r="AS136" s="23">
        <f t="shared" si="1117"/>
        <v>0</v>
      </c>
      <c r="AT136" s="23">
        <f>+'QTR Raw'!N62</f>
        <v>0</v>
      </c>
      <c r="AU136" s="23">
        <f t="shared" si="1117"/>
        <v>0</v>
      </c>
      <c r="AV136" s="23">
        <f>+'QTR Raw'!P62</f>
        <v>0</v>
      </c>
      <c r="AW136" s="23">
        <f t="shared" si="1117"/>
        <v>0</v>
      </c>
      <c r="AX136" s="23">
        <f>+'QTR Raw'!R62</f>
        <v>0</v>
      </c>
      <c r="AY136" s="23">
        <f t="shared" si="1117"/>
        <v>0</v>
      </c>
      <c r="AZ136" s="23">
        <f>+'QTR Raw'!T62</f>
        <v>0</v>
      </c>
      <c r="BA136" s="23">
        <f t="shared" si="1117"/>
        <v>0</v>
      </c>
      <c r="BB136" s="23">
        <f>+'QTR Raw'!V62</f>
        <v>0</v>
      </c>
      <c r="BC136" s="23">
        <f t="shared" si="1117"/>
        <v>0</v>
      </c>
      <c r="BD136" s="23">
        <f>+'QTR Raw'!X62</f>
        <v>0</v>
      </c>
      <c r="BE136" s="23">
        <f t="shared" si="1117"/>
        <v>0</v>
      </c>
      <c r="BF136" s="23">
        <f>+'QTR Raw'!Z62</f>
        <v>0</v>
      </c>
      <c r="BG136" s="23">
        <f t="shared" si="1117"/>
        <v>0</v>
      </c>
      <c r="BH136" s="22">
        <f>+'QTR Raw'!AB62</f>
        <v>0</v>
      </c>
      <c r="BI136" s="23">
        <f t="shared" si="1117"/>
        <v>0</v>
      </c>
      <c r="BJ136" s="23">
        <f>+'QTR Raw'!AD62</f>
        <v>0</v>
      </c>
      <c r="BK136" s="23">
        <f t="shared" si="1117"/>
        <v>0</v>
      </c>
      <c r="BL136" s="23">
        <f>+'QTR Raw'!AF62</f>
        <v>0</v>
      </c>
      <c r="BM136" s="23">
        <f t="shared" si="1117"/>
        <v>0</v>
      </c>
      <c r="BN136" s="23">
        <f>+'QTR Raw'!AH62</f>
        <v>0</v>
      </c>
      <c r="BO136" s="23">
        <f t="shared" si="1117"/>
        <v>0</v>
      </c>
      <c r="BP136" s="23">
        <f>+'QTR Raw'!AJ62</f>
        <v>0</v>
      </c>
      <c r="BQ136" s="23">
        <f t="shared" si="1117"/>
        <v>0</v>
      </c>
      <c r="BR136" s="23">
        <f>+'QTR Raw'!AL62</f>
        <v>0</v>
      </c>
      <c r="BS136" s="23">
        <f t="shared" si="1117"/>
        <v>0</v>
      </c>
      <c r="BT136" s="23">
        <f>+'QTR Raw'!AN62</f>
        <v>0</v>
      </c>
      <c r="BU136" s="23">
        <f t="shared" si="1117"/>
        <v>0</v>
      </c>
      <c r="BV136" s="23">
        <f>+'QTR Raw'!AP62</f>
        <v>0</v>
      </c>
      <c r="BW136" s="23">
        <f t="shared" si="1117"/>
        <v>0</v>
      </c>
      <c r="BX136" s="23">
        <f>+'QTR Raw'!AR62</f>
        <v>0</v>
      </c>
      <c r="BY136" s="23">
        <f t="shared" si="1117"/>
        <v>0</v>
      </c>
      <c r="BZ136" s="23">
        <f>+'QTR Raw'!AT62</f>
        <v>0</v>
      </c>
      <c r="CA136" s="23">
        <f t="shared" si="1117"/>
        <v>0</v>
      </c>
      <c r="CB136" s="23">
        <f>+'QTR Raw'!AV62</f>
        <v>0</v>
      </c>
      <c r="CC136" s="23">
        <f t="shared" si="1117"/>
        <v>0</v>
      </c>
      <c r="CD136" s="23">
        <f>+'QTR Raw'!AX62</f>
        <v>0</v>
      </c>
      <c r="CE136" s="23">
        <f t="shared" ref="CE136:CE139" si="1118">+CD136</f>
        <v>0</v>
      </c>
      <c r="CF136" s="23">
        <f>+'QTR Raw'!AZ62</f>
        <v>0</v>
      </c>
      <c r="CG136" s="23">
        <f t="shared" ref="CG136:CI139" si="1119">+CF136</f>
        <v>0</v>
      </c>
      <c r="CH136" s="23">
        <f t="shared" si="1096"/>
        <v>18.037299999999998</v>
      </c>
      <c r="CI136" s="23">
        <f t="shared" si="1119"/>
        <v>18.037299999999998</v>
      </c>
      <c r="CJ136" s="23">
        <f>+'QTR Raw'!BD62</f>
        <v>0</v>
      </c>
      <c r="CK136" s="23">
        <f t="shared" ref="CK136:CM139" si="1120">+CJ136</f>
        <v>0</v>
      </c>
      <c r="CL136" s="23">
        <f>+'QTR Raw'!BF62</f>
        <v>0</v>
      </c>
      <c r="CM136" s="24">
        <f t="shared" si="1120"/>
        <v>0</v>
      </c>
      <c r="CN136" s="24">
        <f t="shared" ref="CN136:CN139" si="1121">+CM136</f>
        <v>0</v>
      </c>
      <c r="CO136" s="24">
        <f t="shared" ref="CO136:CO139" si="1122">+CN136</f>
        <v>0</v>
      </c>
      <c r="CP136" s="24">
        <f t="shared" ref="CP136:CP139" si="1123">+CO136</f>
        <v>0</v>
      </c>
      <c r="CQ136" s="24">
        <f t="shared" ref="CQ136:CQ139" si="1124">+CP136</f>
        <v>0</v>
      </c>
      <c r="CR136" s="24">
        <f t="shared" ref="CR136:CR139" si="1125">+CQ136</f>
        <v>0</v>
      </c>
      <c r="CS136" s="24">
        <f t="shared" ref="CS136:CS139" si="1126">+CR136</f>
        <v>0</v>
      </c>
      <c r="CT136" s="24">
        <f t="shared" ref="CT136:CT139" si="1127">+CS136</f>
        <v>0</v>
      </c>
      <c r="CU136" s="24">
        <f t="shared" ref="CU136:CU139" si="1128">+CT136</f>
        <v>0</v>
      </c>
      <c r="CV136" s="24">
        <f t="shared" ref="CV136:CV139" si="1129">+CU136</f>
        <v>0</v>
      </c>
      <c r="CW136" s="24">
        <f t="shared" ref="CW136:CW139" si="1130">+CV136</f>
        <v>0</v>
      </c>
      <c r="CX136" s="24">
        <f t="shared" ref="CX136:CX139" si="1131">+CW136</f>
        <v>0</v>
      </c>
      <c r="CY136" s="24">
        <f t="shared" ref="CY136:CY139" si="1132">+CX136</f>
        <v>0</v>
      </c>
      <c r="CZ136" s="24">
        <f t="shared" ref="CZ136:CZ139" si="1133">+CY136</f>
        <v>0</v>
      </c>
      <c r="DA136" s="24">
        <f t="shared" ref="DA136:DA139" si="1134">+CZ136</f>
        <v>0</v>
      </c>
      <c r="DB136" s="24">
        <f t="shared" ref="DB136:DB139" si="1135">+DA136</f>
        <v>0</v>
      </c>
      <c r="DE136" s="123"/>
      <c r="DF136" s="23">
        <v>13.0786</v>
      </c>
    </row>
    <row r="137" spans="1:110" s="23" customFormat="1" outlineLevel="1" x14ac:dyDescent="0.2">
      <c r="A137" s="23" t="s">
        <v>46</v>
      </c>
      <c r="B137" s="23">
        <f>'Annual Raw'!C48</f>
        <v>0</v>
      </c>
      <c r="C137" s="23">
        <f>'Annual Raw'!D48</f>
        <v>0</v>
      </c>
      <c r="D137" s="23">
        <f>'Annual Raw'!E48</f>
        <v>0</v>
      </c>
      <c r="E137" s="23">
        <f>'Annual Raw'!F48</f>
        <v>0</v>
      </c>
      <c r="F137" s="23">
        <f>'Annual Raw'!G48</f>
        <v>0</v>
      </c>
      <c r="G137" s="23">
        <f>'Annual Raw'!H48</f>
        <v>0</v>
      </c>
      <c r="H137" s="23">
        <f>'Annual Raw'!I48</f>
        <v>0</v>
      </c>
      <c r="I137" s="23">
        <f>'Annual Raw'!J48</f>
        <v>0</v>
      </c>
      <c r="J137" s="23">
        <f>'Annual Raw'!K48</f>
        <v>0</v>
      </c>
      <c r="K137" s="23">
        <f>'Annual Raw'!L48</f>
        <v>0</v>
      </c>
      <c r="L137" s="23">
        <f>'Annual Raw'!M48</f>
        <v>0</v>
      </c>
      <c r="M137" s="23">
        <f>'Annual Raw'!N48</f>
        <v>0</v>
      </c>
      <c r="N137" s="23">
        <f>'Annual Raw'!O48</f>
        <v>0</v>
      </c>
      <c r="O137" s="23">
        <f>'Annual Raw'!P48</f>
        <v>0</v>
      </c>
      <c r="P137" s="23">
        <f>'Annual Raw'!Q48</f>
        <v>0</v>
      </c>
      <c r="Q137" s="23">
        <f>'Annual Raw'!R48</f>
        <v>0</v>
      </c>
      <c r="R137" s="23">
        <f>'Annual Raw'!S48</f>
        <v>0</v>
      </c>
      <c r="S137" s="23">
        <f>'Annual Raw'!T48</f>
        <v>0</v>
      </c>
      <c r="T137" s="23">
        <f>'Annual Raw'!U48</f>
        <v>0</v>
      </c>
      <c r="U137" s="23">
        <f>'Annual Raw'!V48</f>
        <v>0</v>
      </c>
      <c r="V137" s="23">
        <f>'Annual Raw'!W48</f>
        <v>0</v>
      </c>
      <c r="W137" s="23">
        <f>'Annual Raw'!X48</f>
        <v>0</v>
      </c>
      <c r="X137" s="23">
        <f>'Annual Raw'!Y48</f>
        <v>0</v>
      </c>
      <c r="Y137" s="23">
        <f>'Annual Raw'!Z48</f>
        <v>0</v>
      </c>
      <c r="Z137" s="23">
        <f>'Annual Raw'!AA48</f>
        <v>0</v>
      </c>
      <c r="AA137" s="23">
        <f>'Annual Raw'!AB48</f>
        <v>0</v>
      </c>
      <c r="AB137" s="24">
        <f t="shared" si="1113"/>
        <v>13.079000000000001</v>
      </c>
      <c r="AC137" s="24">
        <f t="shared" si="1114"/>
        <v>13.079000000000001</v>
      </c>
      <c r="AD137" s="24">
        <f t="shared" si="1115"/>
        <v>13.079000000000001</v>
      </c>
      <c r="AE137" s="24">
        <f t="shared" si="1116"/>
        <v>13.079000000000001</v>
      </c>
      <c r="AJ137" s="23">
        <f>+'QTR Raw'!D63</f>
        <v>0</v>
      </c>
      <c r="AK137" s="23">
        <f t="shared" si="1117"/>
        <v>0</v>
      </c>
      <c r="AL137" s="23">
        <f>+'QTR Raw'!F63</f>
        <v>0</v>
      </c>
      <c r="AM137" s="23">
        <f t="shared" si="1117"/>
        <v>0</v>
      </c>
      <c r="AN137" s="23">
        <f>+'QTR Raw'!H63</f>
        <v>0</v>
      </c>
      <c r="AO137" s="23">
        <f t="shared" si="1117"/>
        <v>0</v>
      </c>
      <c r="AP137" s="23">
        <f>+'QTR Raw'!J63</f>
        <v>0</v>
      </c>
      <c r="AQ137" s="23">
        <f t="shared" si="1117"/>
        <v>0</v>
      </c>
      <c r="AR137" s="23">
        <f>+'QTR Raw'!L63</f>
        <v>0</v>
      </c>
      <c r="AS137" s="23">
        <f t="shared" si="1117"/>
        <v>0</v>
      </c>
      <c r="AT137" s="23">
        <f>+'QTR Raw'!N63</f>
        <v>0</v>
      </c>
      <c r="AU137" s="23">
        <f t="shared" si="1117"/>
        <v>0</v>
      </c>
      <c r="AV137" s="23">
        <f>+'QTR Raw'!P63</f>
        <v>0</v>
      </c>
      <c r="AW137" s="23">
        <f t="shared" si="1117"/>
        <v>0</v>
      </c>
      <c r="AX137" s="23">
        <f>+'QTR Raw'!R63</f>
        <v>0</v>
      </c>
      <c r="AY137" s="23">
        <f t="shared" si="1117"/>
        <v>0</v>
      </c>
      <c r="AZ137" s="23">
        <f>+'QTR Raw'!T63</f>
        <v>0</v>
      </c>
      <c r="BA137" s="23">
        <f t="shared" si="1117"/>
        <v>0</v>
      </c>
      <c r="BB137" s="23">
        <f>+'QTR Raw'!V63</f>
        <v>0</v>
      </c>
      <c r="BC137" s="23">
        <f t="shared" si="1117"/>
        <v>0</v>
      </c>
      <c r="BD137" s="23">
        <f>+'QTR Raw'!X63</f>
        <v>0</v>
      </c>
      <c r="BE137" s="23">
        <f t="shared" si="1117"/>
        <v>0</v>
      </c>
      <c r="BF137" s="23">
        <f>+'QTR Raw'!Z63</f>
        <v>0</v>
      </c>
      <c r="BG137" s="23">
        <f t="shared" si="1117"/>
        <v>0</v>
      </c>
      <c r="BH137" s="23">
        <f>+'QTR Raw'!AB63</f>
        <v>0</v>
      </c>
      <c r="BI137" s="23">
        <f t="shared" si="1117"/>
        <v>0</v>
      </c>
      <c r="BJ137" s="23">
        <f>+'QTR Raw'!AD63</f>
        <v>0</v>
      </c>
      <c r="BK137" s="23">
        <f t="shared" si="1117"/>
        <v>0</v>
      </c>
      <c r="BL137" s="23">
        <f>+'QTR Raw'!AF63</f>
        <v>0</v>
      </c>
      <c r="BM137" s="23">
        <f t="shared" si="1117"/>
        <v>0</v>
      </c>
      <c r="BN137" s="23">
        <f>+'QTR Raw'!AH63</f>
        <v>0</v>
      </c>
      <c r="BO137" s="23">
        <f t="shared" si="1117"/>
        <v>0</v>
      </c>
      <c r="BP137" s="23">
        <f>+'QTR Raw'!AJ63</f>
        <v>0</v>
      </c>
      <c r="BQ137" s="23">
        <f t="shared" si="1117"/>
        <v>0</v>
      </c>
      <c r="BR137" s="23">
        <f>+'QTR Raw'!AL63</f>
        <v>24.963999999999999</v>
      </c>
      <c r="BS137" s="23">
        <f t="shared" si="1117"/>
        <v>24.963999999999999</v>
      </c>
      <c r="BT137" s="23">
        <f>+'QTR Raw'!AN63</f>
        <v>0</v>
      </c>
      <c r="BU137" s="23">
        <f t="shared" si="1117"/>
        <v>0</v>
      </c>
      <c r="BV137" s="23">
        <f>+'QTR Raw'!AP63</f>
        <v>16.606999999999999</v>
      </c>
      <c r="BW137" s="23">
        <f t="shared" si="1117"/>
        <v>16.606999999999999</v>
      </c>
      <c r="BX137" s="23">
        <f>+'QTR Raw'!AR63</f>
        <v>12.462999999999999</v>
      </c>
      <c r="BY137" s="23">
        <f t="shared" si="1117"/>
        <v>12.462999999999999</v>
      </c>
      <c r="BZ137" s="23">
        <f>+'QTR Raw'!AT63</f>
        <v>8.4849999999999994</v>
      </c>
      <c r="CA137" s="23">
        <f t="shared" si="1117"/>
        <v>8.4849999999999994</v>
      </c>
      <c r="CB137" s="23">
        <f>+'QTR Raw'!AV63</f>
        <v>4.3120000000000003</v>
      </c>
      <c r="CC137" s="23">
        <f t="shared" si="1117"/>
        <v>4.3120000000000003</v>
      </c>
      <c r="CD137" s="23">
        <f>+'QTR Raw'!AX63</f>
        <v>0.127</v>
      </c>
      <c r="CE137" s="23">
        <f t="shared" si="1118"/>
        <v>0.127</v>
      </c>
      <c r="CF137" s="23">
        <f>+'QTR Raw'!AZ63</f>
        <v>0.10100000000000001</v>
      </c>
      <c r="CG137" s="23">
        <f t="shared" si="1119"/>
        <v>0.10100000000000001</v>
      </c>
      <c r="CH137" s="23">
        <f t="shared" si="1096"/>
        <v>0</v>
      </c>
      <c r="CI137" s="23">
        <f t="shared" si="1119"/>
        <v>0</v>
      </c>
      <c r="CJ137" s="23">
        <f>+'QTR Raw'!BD63</f>
        <v>15.634</v>
      </c>
      <c r="CK137" s="23">
        <f t="shared" si="1120"/>
        <v>15.634</v>
      </c>
      <c r="CL137" s="23">
        <f>+'QTR Raw'!BF63</f>
        <v>13.079000000000001</v>
      </c>
      <c r="CM137" s="24">
        <f t="shared" si="1120"/>
        <v>13.079000000000001</v>
      </c>
      <c r="CN137" s="24">
        <f t="shared" si="1121"/>
        <v>13.079000000000001</v>
      </c>
      <c r="CO137" s="24">
        <f t="shared" si="1122"/>
        <v>13.079000000000001</v>
      </c>
      <c r="CP137" s="24">
        <f t="shared" si="1123"/>
        <v>13.079000000000001</v>
      </c>
      <c r="CQ137" s="24">
        <f t="shared" si="1124"/>
        <v>13.079000000000001</v>
      </c>
      <c r="CR137" s="24">
        <f t="shared" si="1125"/>
        <v>13.079000000000001</v>
      </c>
      <c r="CS137" s="24">
        <f t="shared" si="1126"/>
        <v>13.079000000000001</v>
      </c>
      <c r="CT137" s="24">
        <f t="shared" si="1127"/>
        <v>13.079000000000001</v>
      </c>
      <c r="CU137" s="24">
        <f t="shared" si="1128"/>
        <v>13.079000000000001</v>
      </c>
      <c r="CV137" s="24">
        <f t="shared" si="1129"/>
        <v>13.079000000000001</v>
      </c>
      <c r="CW137" s="24">
        <f t="shared" si="1130"/>
        <v>13.079000000000001</v>
      </c>
      <c r="CX137" s="24">
        <f t="shared" si="1131"/>
        <v>13.079000000000001</v>
      </c>
      <c r="CY137" s="24">
        <f t="shared" si="1132"/>
        <v>13.079000000000001</v>
      </c>
      <c r="CZ137" s="24">
        <f t="shared" si="1133"/>
        <v>13.079000000000001</v>
      </c>
      <c r="DA137" s="24">
        <f t="shared" si="1134"/>
        <v>13.079000000000001</v>
      </c>
      <c r="DB137" s="24">
        <f t="shared" si="1135"/>
        <v>13.079000000000001</v>
      </c>
      <c r="DE137" s="123"/>
      <c r="DF137" s="23">
        <v>0</v>
      </c>
    </row>
    <row r="138" spans="1:110" s="23" customFormat="1" outlineLevel="1" x14ac:dyDescent="0.2">
      <c r="A138" s="23" t="s">
        <v>47</v>
      </c>
      <c r="B138" s="23">
        <f>'Annual Raw'!C87+'Annual Raw'!C88+'Annual Raw'!C89+'Annual Raw'!C90</f>
        <v>0</v>
      </c>
      <c r="C138" s="23">
        <f>'Annual Raw'!D87+'Annual Raw'!D88+'Annual Raw'!D89+'Annual Raw'!D90</f>
        <v>0</v>
      </c>
      <c r="D138" s="23">
        <f>'Annual Raw'!E87+'Annual Raw'!E88+'Annual Raw'!E89+'Annual Raw'!E90</f>
        <v>0</v>
      </c>
      <c r="E138" s="23">
        <f>'Annual Raw'!F87+'Annual Raw'!F88+'Annual Raw'!F89+'Annual Raw'!F90</f>
        <v>0</v>
      </c>
      <c r="F138" s="23">
        <f>'Annual Raw'!G87+'Annual Raw'!G88+'Annual Raw'!G89+'Annual Raw'!G90</f>
        <v>0</v>
      </c>
      <c r="G138" s="23">
        <f>'Annual Raw'!H87+'Annual Raw'!H88+'Annual Raw'!H89+'Annual Raw'!H90</f>
        <v>0</v>
      </c>
      <c r="H138" s="23">
        <f>'Annual Raw'!I87+'Annual Raw'!I88+'Annual Raw'!I89+'Annual Raw'!I90</f>
        <v>0</v>
      </c>
      <c r="I138" s="23">
        <f>'Annual Raw'!J87+'Annual Raw'!J88+'Annual Raw'!J89+'Annual Raw'!J90</f>
        <v>0</v>
      </c>
      <c r="J138" s="23">
        <f>'Annual Raw'!K87+'Annual Raw'!K88+'Annual Raw'!K89+'Annual Raw'!K90</f>
        <v>0</v>
      </c>
      <c r="K138" s="23">
        <f>'Annual Raw'!L87+'Annual Raw'!L88+'Annual Raw'!L89+'Annual Raw'!L90</f>
        <v>0</v>
      </c>
      <c r="L138" s="23">
        <f>'Annual Raw'!M87+'Annual Raw'!M88+'Annual Raw'!M89+'Annual Raw'!M90</f>
        <v>0</v>
      </c>
      <c r="M138" s="23">
        <f>'Annual Raw'!N87+'Annual Raw'!N88+'Annual Raw'!N89+'Annual Raw'!N90</f>
        <v>0</v>
      </c>
      <c r="N138" s="23">
        <f>'Annual Raw'!O87+'Annual Raw'!O88+'Annual Raw'!O89+'Annual Raw'!O90</f>
        <v>0</v>
      </c>
      <c r="O138" s="23">
        <f>'Annual Raw'!P87+'Annual Raw'!P88+'Annual Raw'!P89+'Annual Raw'!P90</f>
        <v>0</v>
      </c>
      <c r="P138" s="23">
        <f>'Annual Raw'!Q87+'Annual Raw'!Q88+'Annual Raw'!Q89+'Annual Raw'!Q90</f>
        <v>0</v>
      </c>
      <c r="Q138" s="23">
        <f>'Annual Raw'!R87+'Annual Raw'!R88+'Annual Raw'!R89+'Annual Raw'!R90</f>
        <v>0</v>
      </c>
      <c r="R138" s="23">
        <f>'Annual Raw'!S87+'Annual Raw'!S88+'Annual Raw'!S89+'Annual Raw'!S90</f>
        <v>5.7000000000000002E-2</v>
      </c>
      <c r="S138" s="23">
        <f>'Annual Raw'!T87+'Annual Raw'!T88+'Annual Raw'!T89+'Annual Raw'!T90</f>
        <v>0.188</v>
      </c>
      <c r="T138" s="23">
        <f>'Annual Raw'!U87+'Annual Raw'!U88+'Annual Raw'!U89+'Annual Raw'!U90</f>
        <v>0.22800000000000001</v>
      </c>
      <c r="U138" s="23">
        <f>'Annual Raw'!V87+'Annual Raw'!V88+'Annual Raw'!V89+'Annual Raw'!V90</f>
        <v>8.3699999999999992</v>
      </c>
      <c r="V138" s="23">
        <f>'Annual Raw'!W87+'Annual Raw'!W88+'Annual Raw'!W89+'Annual Raw'!W90</f>
        <v>8.3962000000000003</v>
      </c>
      <c r="W138" s="23">
        <f>'Annual Raw'!X87+'Annual Raw'!X88+'Annual Raw'!X89+'Annual Raw'!X90</f>
        <v>8.3444000000000003</v>
      </c>
      <c r="X138" s="23">
        <f>'Annual Raw'!Y87+'Annual Raw'!Y88+'Annual Raw'!Y89+'Annual Raw'!Y90</f>
        <v>8.3313000000000006</v>
      </c>
      <c r="Y138" s="23">
        <f>'Annual Raw'!Z87+'Annual Raw'!Z88+'Annual Raw'!Z89+'Annual Raw'!Z90</f>
        <v>8.3580000000000005</v>
      </c>
      <c r="Z138" s="23">
        <f>'Annual Raw'!AA87+'Annual Raw'!AA88+'Annual Raw'!AA89+'Annual Raw'!AA90</f>
        <v>3.8083999999999998</v>
      </c>
      <c r="AA138" s="23">
        <f>'Annual Raw'!AB87+'Annual Raw'!AB88+'Annual Raw'!AB89+'Annual Raw'!AB90</f>
        <v>3.9411999999999998</v>
      </c>
      <c r="AB138" s="24">
        <f t="shared" si="1113"/>
        <v>0</v>
      </c>
      <c r="AC138" s="24">
        <f t="shared" si="1114"/>
        <v>0</v>
      </c>
      <c r="AD138" s="24">
        <f t="shared" si="1115"/>
        <v>0</v>
      </c>
      <c r="AE138" s="24">
        <f t="shared" si="1116"/>
        <v>0</v>
      </c>
      <c r="AJ138" s="23">
        <f>+'QTR Raw'!D90</f>
        <v>0</v>
      </c>
      <c r="AK138" s="23">
        <f t="shared" si="1117"/>
        <v>0</v>
      </c>
      <c r="AL138" s="23">
        <f>+'QTR Raw'!F90</f>
        <v>0</v>
      </c>
      <c r="AM138" s="23">
        <f t="shared" si="1117"/>
        <v>0</v>
      </c>
      <c r="AN138" s="23">
        <f>+'QTR Raw'!H90</f>
        <v>0</v>
      </c>
      <c r="AO138" s="23">
        <f t="shared" si="1117"/>
        <v>0</v>
      </c>
      <c r="AP138" s="23">
        <f>+'QTR Raw'!J90</f>
        <v>0</v>
      </c>
      <c r="AQ138" s="23">
        <f t="shared" si="1117"/>
        <v>0</v>
      </c>
      <c r="AR138" s="23">
        <f>+'QTR Raw'!L90</f>
        <v>0</v>
      </c>
      <c r="AS138" s="23">
        <f t="shared" si="1117"/>
        <v>0</v>
      </c>
      <c r="AT138" s="23">
        <f>+'QTR Raw'!N90</f>
        <v>0</v>
      </c>
      <c r="AU138" s="23">
        <f t="shared" si="1117"/>
        <v>0</v>
      </c>
      <c r="AV138" s="23">
        <f>+'QTR Raw'!P90</f>
        <v>0</v>
      </c>
      <c r="AW138" s="23">
        <f t="shared" si="1117"/>
        <v>0</v>
      </c>
      <c r="AX138" s="23">
        <f>+'QTR Raw'!R90</f>
        <v>0</v>
      </c>
      <c r="AY138" s="23">
        <f t="shared" si="1117"/>
        <v>0</v>
      </c>
      <c r="AZ138" s="23">
        <f>+'QTR Raw'!T90</f>
        <v>0</v>
      </c>
      <c r="BA138" s="23">
        <f t="shared" si="1117"/>
        <v>0</v>
      </c>
      <c r="BB138" s="23">
        <f>+'QTR Raw'!V90</f>
        <v>0</v>
      </c>
      <c r="BC138" s="23">
        <f t="shared" si="1117"/>
        <v>0</v>
      </c>
      <c r="BD138" s="23">
        <f>+'QTR Raw'!X90</f>
        <v>0</v>
      </c>
      <c r="BE138" s="23">
        <f t="shared" si="1117"/>
        <v>0</v>
      </c>
      <c r="BF138" s="23">
        <f>+'QTR Raw'!Z90</f>
        <v>0</v>
      </c>
      <c r="BG138" s="23">
        <f t="shared" si="1117"/>
        <v>0</v>
      </c>
      <c r="BH138" s="22">
        <f>+'QTR Raw'!AB90</f>
        <v>0</v>
      </c>
      <c r="BI138" s="23">
        <f t="shared" si="1117"/>
        <v>0</v>
      </c>
      <c r="BJ138" s="23">
        <f>+'QTR Raw'!AD90</f>
        <v>0</v>
      </c>
      <c r="BK138" s="23">
        <f t="shared" si="1117"/>
        <v>0</v>
      </c>
      <c r="BL138" s="23">
        <f>+'QTR Raw'!AF90</f>
        <v>0</v>
      </c>
      <c r="BM138" s="23">
        <f t="shared" si="1117"/>
        <v>0</v>
      </c>
      <c r="BN138" s="23">
        <f>+'QTR Raw'!AH90</f>
        <v>0</v>
      </c>
      <c r="BO138" s="23">
        <f t="shared" si="1117"/>
        <v>0</v>
      </c>
      <c r="BP138" s="23">
        <f>+'QTR Raw'!AJ90</f>
        <v>0</v>
      </c>
      <c r="BQ138" s="23">
        <f t="shared" si="1117"/>
        <v>0</v>
      </c>
      <c r="BR138" s="23">
        <f>+'QTR Raw'!AL90</f>
        <v>0</v>
      </c>
      <c r="BS138" s="23">
        <f t="shared" si="1117"/>
        <v>0</v>
      </c>
      <c r="BT138" s="23">
        <f>+'QTR Raw'!AN90</f>
        <v>0</v>
      </c>
      <c r="BU138" s="23">
        <f t="shared" si="1117"/>
        <v>0</v>
      </c>
      <c r="BV138" s="23">
        <f>+'QTR Raw'!AP90</f>
        <v>0</v>
      </c>
      <c r="BW138" s="23">
        <f t="shared" si="1117"/>
        <v>0</v>
      </c>
      <c r="BX138" s="23">
        <f>+'QTR Raw'!AR90</f>
        <v>0</v>
      </c>
      <c r="BY138" s="23">
        <f t="shared" si="1117"/>
        <v>0</v>
      </c>
      <c r="BZ138" s="23">
        <f>+'QTR Raw'!AT90</f>
        <v>0</v>
      </c>
      <c r="CA138" s="23">
        <f t="shared" si="1117"/>
        <v>0</v>
      </c>
      <c r="CB138" s="23">
        <f>+'QTR Raw'!AV90</f>
        <v>0</v>
      </c>
      <c r="CC138" s="23">
        <f t="shared" si="1117"/>
        <v>0</v>
      </c>
      <c r="CD138" s="23">
        <f>+'QTR Raw'!AX90</f>
        <v>0</v>
      </c>
      <c r="CE138" s="23">
        <f t="shared" si="1118"/>
        <v>0</v>
      </c>
      <c r="CF138" s="23">
        <f>+'QTR Raw'!AZ90</f>
        <v>0</v>
      </c>
      <c r="CG138" s="23">
        <f t="shared" si="1119"/>
        <v>0</v>
      </c>
      <c r="CH138" s="23">
        <f>+Z138</f>
        <v>3.8083999999999998</v>
      </c>
      <c r="CI138" s="23">
        <f t="shared" si="1119"/>
        <v>3.8083999999999998</v>
      </c>
      <c r="CJ138" s="23">
        <f>+'QTR Raw'!BD90</f>
        <v>0</v>
      </c>
      <c r="CK138" s="23">
        <f t="shared" si="1120"/>
        <v>0</v>
      </c>
      <c r="CL138" s="23">
        <f>+'QTR Raw'!BF90</f>
        <v>0</v>
      </c>
      <c r="CM138" s="24">
        <f t="shared" si="1120"/>
        <v>0</v>
      </c>
      <c r="CN138" s="24">
        <f t="shared" si="1121"/>
        <v>0</v>
      </c>
      <c r="CO138" s="24">
        <f t="shared" si="1122"/>
        <v>0</v>
      </c>
      <c r="CP138" s="24">
        <f t="shared" si="1123"/>
        <v>0</v>
      </c>
      <c r="CQ138" s="24">
        <f t="shared" si="1124"/>
        <v>0</v>
      </c>
      <c r="CR138" s="24">
        <f t="shared" si="1125"/>
        <v>0</v>
      </c>
      <c r="CS138" s="24">
        <f t="shared" si="1126"/>
        <v>0</v>
      </c>
      <c r="CT138" s="24">
        <f t="shared" si="1127"/>
        <v>0</v>
      </c>
      <c r="CU138" s="24">
        <f t="shared" si="1128"/>
        <v>0</v>
      </c>
      <c r="CV138" s="24">
        <f t="shared" si="1129"/>
        <v>0</v>
      </c>
      <c r="CW138" s="24">
        <f t="shared" si="1130"/>
        <v>0</v>
      </c>
      <c r="CX138" s="24">
        <f t="shared" si="1131"/>
        <v>0</v>
      </c>
      <c r="CY138" s="24">
        <f t="shared" si="1132"/>
        <v>0</v>
      </c>
      <c r="CZ138" s="24">
        <f t="shared" si="1133"/>
        <v>0</v>
      </c>
      <c r="DA138" s="24">
        <f t="shared" si="1134"/>
        <v>0</v>
      </c>
      <c r="DB138" s="24">
        <f t="shared" si="1135"/>
        <v>0</v>
      </c>
      <c r="DE138" s="123"/>
      <c r="DF138" s="23">
        <v>3.9411999999999998</v>
      </c>
    </row>
    <row r="139" spans="1:110" s="23" customFormat="1" outlineLevel="1" x14ac:dyDescent="0.2">
      <c r="A139" s="23" t="s">
        <v>48</v>
      </c>
      <c r="B139" s="23">
        <f>'Annual Raw'!C56</f>
        <v>0</v>
      </c>
      <c r="C139" s="23">
        <f>'Annual Raw'!D56</f>
        <v>0</v>
      </c>
      <c r="D139" s="23">
        <f>'Annual Raw'!E56</f>
        <v>0</v>
      </c>
      <c r="E139" s="23">
        <f>'Annual Raw'!F56</f>
        <v>0</v>
      </c>
      <c r="F139" s="23">
        <f>'Annual Raw'!G56</f>
        <v>0</v>
      </c>
      <c r="G139" s="23">
        <f>'Annual Raw'!H56</f>
        <v>0</v>
      </c>
      <c r="H139" s="23">
        <f>'Annual Raw'!I56</f>
        <v>0</v>
      </c>
      <c r="I139" s="23">
        <f>'Annual Raw'!J56</f>
        <v>0</v>
      </c>
      <c r="J139" s="23">
        <f>'Annual Raw'!K56</f>
        <v>0</v>
      </c>
      <c r="K139" s="23">
        <f>'Annual Raw'!L56</f>
        <v>0</v>
      </c>
      <c r="L139" s="23">
        <f>'Annual Raw'!M56</f>
        <v>0</v>
      </c>
      <c r="M139" s="23">
        <f>'Annual Raw'!N56</f>
        <v>0</v>
      </c>
      <c r="N139" s="23">
        <f>'Annual Raw'!O56</f>
        <v>0</v>
      </c>
      <c r="O139" s="23">
        <f>'Annual Raw'!P56</f>
        <v>0</v>
      </c>
      <c r="P139" s="23">
        <f>'Annual Raw'!Q56</f>
        <v>0</v>
      </c>
      <c r="Q139" s="23">
        <f>'Annual Raw'!R56</f>
        <v>0</v>
      </c>
      <c r="R139" s="23">
        <f>'Annual Raw'!S56</f>
        <v>25.116</v>
      </c>
      <c r="S139" s="23">
        <f>'Annual Raw'!T56</f>
        <v>0</v>
      </c>
      <c r="T139" s="23">
        <f>'Annual Raw'!U56</f>
        <v>0</v>
      </c>
      <c r="U139" s="23">
        <f>'Annual Raw'!V56</f>
        <v>0</v>
      </c>
      <c r="V139" s="23">
        <f>'Annual Raw'!W56</f>
        <v>0</v>
      </c>
      <c r="W139" s="23">
        <f>'Annual Raw'!X56</f>
        <v>0</v>
      </c>
      <c r="X139" s="23">
        <f>'Annual Raw'!Y56</f>
        <v>0</v>
      </c>
      <c r="Y139" s="23">
        <f>'Annual Raw'!Z56</f>
        <v>0</v>
      </c>
      <c r="Z139" s="23">
        <f>'Annual Raw'!AA56</f>
        <v>0</v>
      </c>
      <c r="AA139" s="23">
        <f>'Annual Raw'!AB56</f>
        <v>0</v>
      </c>
      <c r="AB139" s="24">
        <f t="shared" si="1113"/>
        <v>3.9409999999999998</v>
      </c>
      <c r="AC139" s="24">
        <f t="shared" si="1114"/>
        <v>3.9409999999999998</v>
      </c>
      <c r="AD139" s="24">
        <f t="shared" si="1115"/>
        <v>3.9409999999999998</v>
      </c>
      <c r="AE139" s="24">
        <f t="shared" si="1116"/>
        <v>3.9409999999999998</v>
      </c>
      <c r="AJ139" s="23">
        <f>+'QTR Raw'!D88</f>
        <v>0</v>
      </c>
      <c r="AK139" s="23">
        <f t="shared" si="1117"/>
        <v>0</v>
      </c>
      <c r="AL139" s="23">
        <f>+'QTR Raw'!F88</f>
        <v>0</v>
      </c>
      <c r="AM139" s="23">
        <f t="shared" si="1117"/>
        <v>0</v>
      </c>
      <c r="AN139" s="23">
        <f>+'QTR Raw'!H88</f>
        <v>0</v>
      </c>
      <c r="AO139" s="23">
        <f t="shared" si="1117"/>
        <v>0</v>
      </c>
      <c r="AP139" s="23">
        <f>+'QTR Raw'!J88</f>
        <v>0</v>
      </c>
      <c r="AQ139" s="23">
        <f t="shared" si="1117"/>
        <v>0</v>
      </c>
      <c r="AR139" s="23">
        <f>+'QTR Raw'!L88</f>
        <v>0</v>
      </c>
      <c r="AS139" s="23">
        <f t="shared" si="1117"/>
        <v>0</v>
      </c>
      <c r="AT139" s="23">
        <f>+'QTR Raw'!N88</f>
        <v>0</v>
      </c>
      <c r="AU139" s="23">
        <f t="shared" si="1117"/>
        <v>0</v>
      </c>
      <c r="AV139" s="23">
        <f>+'QTR Raw'!P88</f>
        <v>0</v>
      </c>
      <c r="AW139" s="23">
        <f t="shared" si="1117"/>
        <v>0</v>
      </c>
      <c r="AX139" s="23">
        <f>+'QTR Raw'!R88</f>
        <v>0</v>
      </c>
      <c r="AY139" s="23">
        <f t="shared" si="1117"/>
        <v>0</v>
      </c>
      <c r="AZ139" s="23">
        <f>+'QTR Raw'!T88</f>
        <v>0</v>
      </c>
      <c r="BA139" s="23">
        <f t="shared" si="1117"/>
        <v>0</v>
      </c>
      <c r="BB139" s="23">
        <f>+'QTR Raw'!V88</f>
        <v>0</v>
      </c>
      <c r="BC139" s="23">
        <f t="shared" si="1117"/>
        <v>0</v>
      </c>
      <c r="BD139" s="23">
        <f>+'QTR Raw'!X88</f>
        <v>0</v>
      </c>
      <c r="BE139" s="23">
        <f t="shared" si="1117"/>
        <v>0</v>
      </c>
      <c r="BF139" s="23">
        <f>+'QTR Raw'!Z88</f>
        <v>0</v>
      </c>
      <c r="BG139" s="23">
        <f t="shared" si="1117"/>
        <v>0</v>
      </c>
      <c r="BH139" s="23">
        <f>+'QTR Raw'!AB88</f>
        <v>0</v>
      </c>
      <c r="BI139" s="23">
        <f t="shared" si="1117"/>
        <v>0</v>
      </c>
      <c r="BJ139" s="23">
        <f>+'QTR Raw'!AD88</f>
        <v>0</v>
      </c>
      <c r="BK139" s="23">
        <f t="shared" si="1117"/>
        <v>0</v>
      </c>
      <c r="BL139" s="23">
        <f>+'QTR Raw'!AF88</f>
        <v>0</v>
      </c>
      <c r="BM139" s="23">
        <f t="shared" si="1117"/>
        <v>0</v>
      </c>
      <c r="BN139" s="23">
        <f>+'QTR Raw'!AH88</f>
        <v>0</v>
      </c>
      <c r="BO139" s="23">
        <f t="shared" si="1117"/>
        <v>0</v>
      </c>
      <c r="BP139" s="23">
        <f>+'QTR Raw'!AJ88</f>
        <v>0</v>
      </c>
      <c r="BQ139" s="23">
        <f t="shared" si="1117"/>
        <v>0</v>
      </c>
      <c r="BR139" s="23">
        <f>+'QTR Raw'!AL88</f>
        <v>8.3960000000000008</v>
      </c>
      <c r="BS139" s="23">
        <f t="shared" si="1117"/>
        <v>8.3960000000000008</v>
      </c>
      <c r="BT139" s="23">
        <f>+'QTR Raw'!AN88</f>
        <v>0</v>
      </c>
      <c r="BU139" s="23">
        <f t="shared" si="1117"/>
        <v>0</v>
      </c>
      <c r="BV139" s="23">
        <f>+'QTR Raw'!AP88</f>
        <v>8.3439999999999994</v>
      </c>
      <c r="BW139" s="23">
        <f t="shared" si="1117"/>
        <v>8.3439999999999994</v>
      </c>
      <c r="BX139" s="23">
        <f>+'QTR Raw'!AR88</f>
        <v>8.282</v>
      </c>
      <c r="BY139" s="23">
        <f t="shared" si="1117"/>
        <v>8.282</v>
      </c>
      <c r="BZ139" s="23">
        <f>+'QTR Raw'!AT88</f>
        <v>8.3309999999999995</v>
      </c>
      <c r="CA139" s="23">
        <f t="shared" si="1117"/>
        <v>8.3309999999999995</v>
      </c>
      <c r="CB139" s="23">
        <f>+'QTR Raw'!AV88</f>
        <v>8.343</v>
      </c>
      <c r="CC139" s="23">
        <f t="shared" si="1117"/>
        <v>8.343</v>
      </c>
      <c r="CD139" s="23">
        <f>+'QTR Raw'!AX88</f>
        <v>8.3580000000000005</v>
      </c>
      <c r="CE139" s="23">
        <f t="shared" si="1118"/>
        <v>8.3580000000000005</v>
      </c>
      <c r="CF139" s="23">
        <f>+'QTR Raw'!AZ88</f>
        <v>4.2089999999999996</v>
      </c>
      <c r="CG139" s="23">
        <f t="shared" si="1119"/>
        <v>4.2089999999999996</v>
      </c>
      <c r="CH139" s="23">
        <f t="shared" si="1096"/>
        <v>0</v>
      </c>
      <c r="CI139" s="23">
        <f t="shared" si="1119"/>
        <v>0</v>
      </c>
      <c r="CJ139" s="23">
        <f>+'QTR Raw'!BD88</f>
        <v>3.9350000000000001</v>
      </c>
      <c r="CK139" s="23">
        <f t="shared" si="1120"/>
        <v>3.9350000000000001</v>
      </c>
      <c r="CL139" s="23">
        <f>+'QTR Raw'!BF88</f>
        <v>3.9409999999999998</v>
      </c>
      <c r="CM139" s="24">
        <f t="shared" si="1120"/>
        <v>3.9409999999999998</v>
      </c>
      <c r="CN139" s="24">
        <f t="shared" si="1121"/>
        <v>3.9409999999999998</v>
      </c>
      <c r="CO139" s="24">
        <f t="shared" si="1122"/>
        <v>3.9409999999999998</v>
      </c>
      <c r="CP139" s="24">
        <f t="shared" si="1123"/>
        <v>3.9409999999999998</v>
      </c>
      <c r="CQ139" s="24">
        <f t="shared" si="1124"/>
        <v>3.9409999999999998</v>
      </c>
      <c r="CR139" s="24">
        <f t="shared" si="1125"/>
        <v>3.9409999999999998</v>
      </c>
      <c r="CS139" s="24">
        <f t="shared" si="1126"/>
        <v>3.9409999999999998</v>
      </c>
      <c r="CT139" s="24">
        <f t="shared" si="1127"/>
        <v>3.9409999999999998</v>
      </c>
      <c r="CU139" s="24">
        <f t="shared" si="1128"/>
        <v>3.9409999999999998</v>
      </c>
      <c r="CV139" s="24">
        <f t="shared" si="1129"/>
        <v>3.9409999999999998</v>
      </c>
      <c r="CW139" s="24">
        <f t="shared" si="1130"/>
        <v>3.9409999999999998</v>
      </c>
      <c r="CX139" s="24">
        <f t="shared" si="1131"/>
        <v>3.9409999999999998</v>
      </c>
      <c r="CY139" s="24">
        <f t="shared" si="1132"/>
        <v>3.9409999999999998</v>
      </c>
      <c r="CZ139" s="24">
        <f t="shared" si="1133"/>
        <v>3.9409999999999998</v>
      </c>
      <c r="DA139" s="24">
        <f t="shared" si="1134"/>
        <v>3.9409999999999998</v>
      </c>
      <c r="DB139" s="24">
        <f t="shared" si="1135"/>
        <v>3.9409999999999998</v>
      </c>
      <c r="DE139" s="123"/>
      <c r="DF139" s="23">
        <v>0</v>
      </c>
    </row>
    <row r="140" spans="1:110" s="22" customFormat="1" x14ac:dyDescent="0.2">
      <c r="A140" s="22" t="s">
        <v>49</v>
      </c>
      <c r="B140" s="22">
        <f>SUM(B136:B139)</f>
        <v>0</v>
      </c>
      <c r="C140" s="22">
        <f t="shared" ref="C140:V140" si="1136">SUM(C136:C139)</f>
        <v>0</v>
      </c>
      <c r="D140" s="22">
        <f t="shared" si="1136"/>
        <v>0</v>
      </c>
      <c r="E140" s="22">
        <f t="shared" si="1136"/>
        <v>0</v>
      </c>
      <c r="F140" s="22">
        <f t="shared" si="1136"/>
        <v>0</v>
      </c>
      <c r="G140" s="22">
        <f t="shared" si="1136"/>
        <v>0</v>
      </c>
      <c r="H140" s="22">
        <f t="shared" si="1136"/>
        <v>0</v>
      </c>
      <c r="I140" s="22">
        <f t="shared" si="1136"/>
        <v>0</v>
      </c>
      <c r="J140" s="22">
        <f t="shared" si="1136"/>
        <v>0</v>
      </c>
      <c r="K140" s="22">
        <f t="shared" si="1136"/>
        <v>0</v>
      </c>
      <c r="L140" s="22">
        <f t="shared" si="1136"/>
        <v>0</v>
      </c>
      <c r="M140" s="22">
        <f t="shared" si="1136"/>
        <v>0</v>
      </c>
      <c r="N140" s="22">
        <f t="shared" si="1136"/>
        <v>0</v>
      </c>
      <c r="O140" s="22">
        <f t="shared" si="1136"/>
        <v>0</v>
      </c>
      <c r="P140" s="22">
        <f t="shared" si="1136"/>
        <v>0</v>
      </c>
      <c r="Q140" s="22">
        <f t="shared" si="1136"/>
        <v>0</v>
      </c>
      <c r="R140" s="22">
        <f t="shared" si="1136"/>
        <v>25.308</v>
      </c>
      <c r="S140" s="22">
        <f t="shared" si="1136"/>
        <v>0.68500000000000005</v>
      </c>
      <c r="T140" s="22">
        <f t="shared" si="1136"/>
        <v>0.59599999999999997</v>
      </c>
      <c r="U140" s="22">
        <f t="shared" si="1136"/>
        <v>41.73</v>
      </c>
      <c r="V140" s="22">
        <f t="shared" si="1136"/>
        <v>33.359899999999996</v>
      </c>
      <c r="W140" s="22">
        <f t="shared" ref="W140" si="1137">SUM(W136:W139)</f>
        <v>24.9514</v>
      </c>
      <c r="X140" s="22">
        <f t="shared" ref="X140:Y140" si="1138">SUM(X136:X139)</f>
        <v>16.816600000000001</v>
      </c>
      <c r="Y140" s="22">
        <f t="shared" si="1138"/>
        <v>8.4854000000000003</v>
      </c>
      <c r="Z140" s="22">
        <f t="shared" ref="Z140:AA140" si="1139">SUM(Z136:Z139)</f>
        <v>21.845699999999997</v>
      </c>
      <c r="AA140" s="22">
        <f t="shared" ref="AA140" si="1140">SUM(AA136:AA139)</f>
        <v>17.0198</v>
      </c>
      <c r="AB140" s="21">
        <f t="shared" ref="AB140:AD140" si="1141">SUM(AB136:AB139)</f>
        <v>17.02</v>
      </c>
      <c r="AC140" s="21">
        <f t="shared" si="1141"/>
        <v>17.02</v>
      </c>
      <c r="AD140" s="21">
        <f t="shared" si="1141"/>
        <v>17.02</v>
      </c>
      <c r="AE140" s="21">
        <f t="shared" ref="AE140" si="1142">SUM(AE136:AE139)</f>
        <v>17.02</v>
      </c>
      <c r="AJ140" s="22">
        <f t="shared" ref="AJ140" si="1143">SUM(AJ136:AJ139)</f>
        <v>0</v>
      </c>
      <c r="AK140" s="22">
        <f t="shared" ref="AK140" si="1144">SUM(AK136:AK139)</f>
        <v>0</v>
      </c>
      <c r="AL140" s="22">
        <f t="shared" ref="AL140:AM140" si="1145">SUM(AL136:AL139)</f>
        <v>0</v>
      </c>
      <c r="AM140" s="22">
        <f t="shared" si="1145"/>
        <v>0</v>
      </c>
      <c r="AN140" s="22">
        <f t="shared" ref="AN140:AO140" si="1146">SUM(AN136:AN139)</f>
        <v>0</v>
      </c>
      <c r="AO140" s="22">
        <f t="shared" si="1146"/>
        <v>0</v>
      </c>
      <c r="AP140" s="22">
        <f t="shared" ref="AP140:CE140" si="1147">SUM(AP136:AP139)</f>
        <v>0</v>
      </c>
      <c r="AQ140" s="22">
        <f t="shared" si="1147"/>
        <v>0</v>
      </c>
      <c r="AR140" s="22">
        <f t="shared" si="1147"/>
        <v>0</v>
      </c>
      <c r="AS140" s="22">
        <f t="shared" si="1147"/>
        <v>0</v>
      </c>
      <c r="AT140" s="22">
        <f t="shared" si="1147"/>
        <v>0</v>
      </c>
      <c r="AU140" s="22">
        <f t="shared" si="1147"/>
        <v>0</v>
      </c>
      <c r="AV140" s="22">
        <f t="shared" si="1147"/>
        <v>0</v>
      </c>
      <c r="AW140" s="22">
        <f t="shared" si="1147"/>
        <v>0</v>
      </c>
      <c r="AX140" s="22">
        <f t="shared" si="1147"/>
        <v>0</v>
      </c>
      <c r="AY140" s="22">
        <f t="shared" si="1147"/>
        <v>0</v>
      </c>
      <c r="AZ140" s="22">
        <f t="shared" si="1147"/>
        <v>0</v>
      </c>
      <c r="BA140" s="22">
        <f t="shared" si="1147"/>
        <v>0</v>
      </c>
      <c r="BB140" s="22">
        <f t="shared" si="1147"/>
        <v>0</v>
      </c>
      <c r="BC140" s="22">
        <f t="shared" si="1147"/>
        <v>0</v>
      </c>
      <c r="BD140" s="22">
        <f t="shared" si="1147"/>
        <v>0</v>
      </c>
      <c r="BE140" s="22">
        <f t="shared" si="1147"/>
        <v>0</v>
      </c>
      <c r="BF140" s="22">
        <f t="shared" si="1147"/>
        <v>0</v>
      </c>
      <c r="BG140" s="22">
        <f t="shared" si="1147"/>
        <v>0</v>
      </c>
      <c r="BH140" s="22">
        <f t="shared" ref="BH140" si="1148">SUM(BH136:BH139)</f>
        <v>0</v>
      </c>
      <c r="BI140" s="22">
        <f t="shared" si="1147"/>
        <v>0</v>
      </c>
      <c r="BJ140" s="22">
        <f t="shared" si="1147"/>
        <v>0</v>
      </c>
      <c r="BK140" s="22">
        <f t="shared" si="1147"/>
        <v>0</v>
      </c>
      <c r="BL140" s="22">
        <f t="shared" si="1147"/>
        <v>0</v>
      </c>
      <c r="BM140" s="22">
        <f t="shared" si="1147"/>
        <v>0</v>
      </c>
      <c r="BN140" s="22">
        <f t="shared" si="1147"/>
        <v>0</v>
      </c>
      <c r="BO140" s="22">
        <f t="shared" si="1147"/>
        <v>0</v>
      </c>
      <c r="BP140" s="22">
        <f t="shared" si="1147"/>
        <v>0</v>
      </c>
      <c r="BQ140" s="22">
        <f t="shared" si="1147"/>
        <v>0</v>
      </c>
      <c r="BR140" s="22">
        <f t="shared" si="1147"/>
        <v>33.36</v>
      </c>
      <c r="BS140" s="22">
        <f t="shared" si="1147"/>
        <v>33.36</v>
      </c>
      <c r="BT140" s="22">
        <f t="shared" si="1147"/>
        <v>0</v>
      </c>
      <c r="BU140" s="22">
        <f t="shared" si="1147"/>
        <v>0</v>
      </c>
      <c r="BV140" s="22">
        <f t="shared" si="1147"/>
        <v>24.951000000000001</v>
      </c>
      <c r="BW140" s="22">
        <f t="shared" si="1147"/>
        <v>24.951000000000001</v>
      </c>
      <c r="BX140" s="22">
        <f t="shared" si="1147"/>
        <v>20.744999999999997</v>
      </c>
      <c r="BY140" s="22">
        <f t="shared" si="1147"/>
        <v>20.744999999999997</v>
      </c>
      <c r="BZ140" s="22">
        <f t="shared" si="1147"/>
        <v>16.815999999999999</v>
      </c>
      <c r="CA140" s="22">
        <f t="shared" si="1147"/>
        <v>16.815999999999999</v>
      </c>
      <c r="CB140" s="22">
        <f t="shared" si="1147"/>
        <v>12.655000000000001</v>
      </c>
      <c r="CC140" s="22">
        <f t="shared" si="1147"/>
        <v>12.655000000000001</v>
      </c>
      <c r="CD140" s="22">
        <f t="shared" si="1147"/>
        <v>8.4850000000000012</v>
      </c>
      <c r="CE140" s="22">
        <f t="shared" si="1147"/>
        <v>8.4850000000000012</v>
      </c>
      <c r="CF140" s="22">
        <f t="shared" ref="CF140:CG140" si="1149">SUM(CF136:CF139)</f>
        <v>4.3099999999999996</v>
      </c>
      <c r="CG140" s="22">
        <f t="shared" si="1149"/>
        <v>4.3099999999999996</v>
      </c>
      <c r="CH140" s="22">
        <f t="shared" ref="CH140:CI140" si="1150">SUM(CH136:CH139)</f>
        <v>21.845699999999997</v>
      </c>
      <c r="CI140" s="22">
        <f t="shared" si="1150"/>
        <v>21.845699999999997</v>
      </c>
      <c r="CJ140" s="22">
        <f t="shared" ref="CJ140:DB140" si="1151">SUM(CJ136:CJ139)</f>
        <v>19.568999999999999</v>
      </c>
      <c r="CK140" s="22">
        <f t="shared" ref="CK140:CL140" si="1152">SUM(CK136:CK139)</f>
        <v>19.568999999999999</v>
      </c>
      <c r="CL140" s="22">
        <f t="shared" si="1152"/>
        <v>17.02</v>
      </c>
      <c r="CM140" s="21">
        <f t="shared" si="1151"/>
        <v>17.02</v>
      </c>
      <c r="CN140" s="21">
        <f t="shared" si="1151"/>
        <v>17.02</v>
      </c>
      <c r="CO140" s="21">
        <f t="shared" si="1151"/>
        <v>17.02</v>
      </c>
      <c r="CP140" s="21">
        <f t="shared" si="1151"/>
        <v>17.02</v>
      </c>
      <c r="CQ140" s="21">
        <f t="shared" si="1151"/>
        <v>17.02</v>
      </c>
      <c r="CR140" s="21">
        <f t="shared" si="1151"/>
        <v>17.02</v>
      </c>
      <c r="CS140" s="21">
        <f t="shared" si="1151"/>
        <v>17.02</v>
      </c>
      <c r="CT140" s="21">
        <f t="shared" si="1151"/>
        <v>17.02</v>
      </c>
      <c r="CU140" s="21">
        <f t="shared" si="1151"/>
        <v>17.02</v>
      </c>
      <c r="CV140" s="21">
        <f t="shared" si="1151"/>
        <v>17.02</v>
      </c>
      <c r="CW140" s="21">
        <f t="shared" si="1151"/>
        <v>17.02</v>
      </c>
      <c r="CX140" s="21">
        <f t="shared" si="1151"/>
        <v>17.02</v>
      </c>
      <c r="CY140" s="21">
        <f t="shared" si="1151"/>
        <v>17.02</v>
      </c>
      <c r="CZ140" s="21">
        <f t="shared" si="1151"/>
        <v>17.02</v>
      </c>
      <c r="DA140" s="21">
        <f t="shared" si="1151"/>
        <v>17.02</v>
      </c>
      <c r="DB140" s="21">
        <f t="shared" si="1151"/>
        <v>17.02</v>
      </c>
      <c r="DE140" s="126"/>
      <c r="DF140" s="22">
        <v>17.0198</v>
      </c>
    </row>
    <row r="141" spans="1:110" s="26" customFormat="1" x14ac:dyDescent="0.2">
      <c r="A141" s="26" t="s">
        <v>437</v>
      </c>
      <c r="B141" s="26">
        <f>B140+B132+B134</f>
        <v>0</v>
      </c>
      <c r="C141" s="26">
        <f t="shared" ref="C141:V141" si="1153">C140+C132+C134</f>
        <v>0</v>
      </c>
      <c r="D141" s="26">
        <f>D140+D132+D134</f>
        <v>0</v>
      </c>
      <c r="E141" s="26">
        <f t="shared" si="1153"/>
        <v>0</v>
      </c>
      <c r="F141" s="26">
        <f t="shared" si="1153"/>
        <v>0</v>
      </c>
      <c r="G141" s="26">
        <f t="shared" si="1153"/>
        <v>0</v>
      </c>
      <c r="H141" s="26">
        <f t="shared" si="1153"/>
        <v>0</v>
      </c>
      <c r="I141" s="26">
        <f t="shared" si="1153"/>
        <v>0</v>
      </c>
      <c r="J141" s="26">
        <f t="shared" si="1153"/>
        <v>5.0979257000000002</v>
      </c>
      <c r="K141" s="26">
        <f t="shared" si="1153"/>
        <v>5.2870422000000001</v>
      </c>
      <c r="L141" s="26">
        <f t="shared" si="1153"/>
        <v>5.8079337000000004</v>
      </c>
      <c r="M141" s="26">
        <f t="shared" si="1153"/>
        <v>5.9150753000000007</v>
      </c>
      <c r="N141" s="26">
        <f t="shared" si="1153"/>
        <v>6.0576746000000004</v>
      </c>
      <c r="O141" s="26">
        <f t="shared" si="1153"/>
        <v>6.3442319000000005</v>
      </c>
      <c r="P141" s="26">
        <f t="shared" si="1153"/>
        <v>6.31684</v>
      </c>
      <c r="Q141" s="26">
        <f t="shared" si="1153"/>
        <v>6.4359999999999999</v>
      </c>
      <c r="R141" s="26">
        <f t="shared" si="1153"/>
        <v>38.705999999999996</v>
      </c>
      <c r="S141" s="26">
        <f t="shared" si="1153"/>
        <v>78.848000000000013</v>
      </c>
      <c r="T141" s="26">
        <f t="shared" si="1153"/>
        <v>137.07</v>
      </c>
      <c r="U141" s="26">
        <f t="shared" si="1153"/>
        <v>238.83799999999999</v>
      </c>
      <c r="V141" s="26">
        <f t="shared" si="1153"/>
        <v>286.53460000000001</v>
      </c>
      <c r="W141" s="26">
        <f t="shared" ref="W141" si="1154">W140+W132+W134</f>
        <v>380.28750000000002</v>
      </c>
      <c r="X141" s="26">
        <f t="shared" ref="X141:Y141" si="1155">X140+X132+X134</f>
        <v>496.91009999999994</v>
      </c>
      <c r="Y141" s="26">
        <f t="shared" si="1155"/>
        <v>670.0397999999999</v>
      </c>
      <c r="Z141" s="26">
        <f t="shared" ref="Z141:AA141" si="1156">Z140+Z132+Z134</f>
        <v>709.4769</v>
      </c>
      <c r="AA141" s="26">
        <f t="shared" ref="AA141" si="1157">AA140+AA132+AA134</f>
        <v>1028.875</v>
      </c>
      <c r="AB141" s="27">
        <f t="shared" ref="AB141:AD141" si="1158">AB140+AB132+AB134</f>
        <v>1509.834576477605</v>
      </c>
      <c r="AC141" s="27">
        <f t="shared" si="1158"/>
        <v>2216.860831718684</v>
      </c>
      <c r="AD141" s="27">
        <f t="shared" si="1158"/>
        <v>3234.5644404337063</v>
      </c>
      <c r="AE141" s="27">
        <f t="shared" ref="AE141" si="1159">AE140+AE132+AE134</f>
        <v>4674.6717501988878</v>
      </c>
      <c r="AJ141" s="26">
        <f t="shared" ref="AJ141" si="1160">AJ140+AJ132+AJ134</f>
        <v>0</v>
      </c>
      <c r="AK141" s="26">
        <f t="shared" ref="AK141" si="1161">AK140+AK132+AK134</f>
        <v>0</v>
      </c>
      <c r="AL141" s="26">
        <f t="shared" ref="AL141" si="1162">AL140+AL132+AL134</f>
        <v>0</v>
      </c>
      <c r="AM141" s="26">
        <f t="shared" ref="AM141:AO141" si="1163">AM140+AM132+AM134</f>
        <v>0</v>
      </c>
      <c r="AN141" s="26">
        <f t="shared" si="1163"/>
        <v>0</v>
      </c>
      <c r="AO141" s="26">
        <f t="shared" si="1163"/>
        <v>0</v>
      </c>
      <c r="AP141" s="26">
        <f t="shared" ref="AP141:CE141" si="1164">AP140+AP132+AP134</f>
        <v>0</v>
      </c>
      <c r="AQ141" s="26">
        <f t="shared" si="1164"/>
        <v>0</v>
      </c>
      <c r="AR141" s="26">
        <f t="shared" si="1164"/>
        <v>0</v>
      </c>
      <c r="AS141" s="26">
        <f t="shared" si="1164"/>
        <v>0</v>
      </c>
      <c r="AT141" s="26">
        <f t="shared" si="1164"/>
        <v>0</v>
      </c>
      <c r="AU141" s="26">
        <f t="shared" si="1164"/>
        <v>0</v>
      </c>
      <c r="AV141" s="26">
        <f t="shared" si="1164"/>
        <v>0</v>
      </c>
      <c r="AW141" s="26">
        <f t="shared" si="1164"/>
        <v>0</v>
      </c>
      <c r="AX141" s="26">
        <f t="shared" si="1164"/>
        <v>0</v>
      </c>
      <c r="AY141" s="26">
        <f t="shared" si="1164"/>
        <v>0</v>
      </c>
      <c r="AZ141" s="26">
        <f t="shared" si="1164"/>
        <v>0</v>
      </c>
      <c r="BA141" s="26">
        <f t="shared" si="1164"/>
        <v>0</v>
      </c>
      <c r="BB141" s="26">
        <f t="shared" si="1164"/>
        <v>0</v>
      </c>
      <c r="BC141" s="26">
        <f t="shared" si="1164"/>
        <v>0</v>
      </c>
      <c r="BD141" s="26">
        <f t="shared" si="1164"/>
        <v>0</v>
      </c>
      <c r="BE141" s="26">
        <f t="shared" si="1164"/>
        <v>0</v>
      </c>
      <c r="BF141" s="26">
        <f t="shared" si="1164"/>
        <v>0</v>
      </c>
      <c r="BG141" s="26">
        <f t="shared" si="1164"/>
        <v>0</v>
      </c>
      <c r="BH141" s="26">
        <f t="shared" ref="BH141" si="1165">BH140+BH132+BH134</f>
        <v>0</v>
      </c>
      <c r="BI141" s="26">
        <f t="shared" si="1164"/>
        <v>0</v>
      </c>
      <c r="BJ141" s="26">
        <f t="shared" si="1164"/>
        <v>0</v>
      </c>
      <c r="BK141" s="26">
        <f t="shared" si="1164"/>
        <v>0</v>
      </c>
      <c r="BL141" s="26">
        <f t="shared" si="1164"/>
        <v>0</v>
      </c>
      <c r="BM141" s="26">
        <f t="shared" si="1164"/>
        <v>0</v>
      </c>
      <c r="BN141" s="26">
        <f t="shared" si="1164"/>
        <v>0</v>
      </c>
      <c r="BO141" s="26">
        <f t="shared" si="1164"/>
        <v>0</v>
      </c>
      <c r="BP141" s="26">
        <f t="shared" si="1164"/>
        <v>0</v>
      </c>
      <c r="BQ141" s="26">
        <f t="shared" si="1164"/>
        <v>13.082999999999998</v>
      </c>
      <c r="BR141" s="26">
        <f t="shared" si="1164"/>
        <v>286.53500000000003</v>
      </c>
      <c r="BS141" s="26">
        <f t="shared" si="1164"/>
        <v>316.24000000000007</v>
      </c>
      <c r="BT141" s="26">
        <f t="shared" si="1164"/>
        <v>0</v>
      </c>
      <c r="BU141" s="26">
        <f t="shared" si="1164"/>
        <v>32.021000000000001</v>
      </c>
      <c r="BV141" s="26">
        <f t="shared" si="1164"/>
        <v>380.28699999999998</v>
      </c>
      <c r="BW141" s="26">
        <f t="shared" si="1164"/>
        <v>419.99</v>
      </c>
      <c r="BX141" s="26">
        <f t="shared" si="1164"/>
        <v>433.87200000000001</v>
      </c>
      <c r="BY141" s="26">
        <f t="shared" si="1164"/>
        <v>477.03700000000003</v>
      </c>
      <c r="BZ141" s="26">
        <f t="shared" si="1164"/>
        <v>496.90999999999997</v>
      </c>
      <c r="CA141" s="26">
        <f t="shared" si="1164"/>
        <v>549.97199999999998</v>
      </c>
      <c r="CB141" s="26">
        <f t="shared" si="1164"/>
        <v>577.90199999999993</v>
      </c>
      <c r="CC141" s="26">
        <f t="shared" si="1164"/>
        <v>635.72499999999991</v>
      </c>
      <c r="CD141" s="26">
        <f t="shared" si="1164"/>
        <v>670.0390000000001</v>
      </c>
      <c r="CE141" s="26">
        <f t="shared" si="1164"/>
        <v>743.27900000000011</v>
      </c>
      <c r="CF141" s="26">
        <f t="shared" ref="CF141:CG141" si="1166">CF140+CF132+CF134</f>
        <v>571.0329999999999</v>
      </c>
      <c r="CG141" s="26">
        <f t="shared" si="1166"/>
        <v>648.05599999999993</v>
      </c>
      <c r="CH141" s="26">
        <f t="shared" ref="CH141:CI141" si="1167">CH140+CH132+CH134</f>
        <v>709.4769</v>
      </c>
      <c r="CI141" s="26">
        <f t="shared" si="1167"/>
        <v>803.09990000000005</v>
      </c>
      <c r="CJ141" s="26">
        <f t="shared" ref="CJ141:DB141" si="1168">CJ140+CJ132+CJ134</f>
        <v>842.56799999999998</v>
      </c>
      <c r="CK141" s="26">
        <f t="shared" ref="CK141:CL141" si="1169">CK140+CK132+CK134</f>
        <v>942.42000000000007</v>
      </c>
      <c r="CL141" s="26">
        <f t="shared" si="1169"/>
        <v>1028.875</v>
      </c>
      <c r="CM141" s="27">
        <f t="shared" si="1168"/>
        <v>1140.2337218901298</v>
      </c>
      <c r="CN141" s="27">
        <f t="shared" si="1168"/>
        <v>1264.0318794605553</v>
      </c>
      <c r="CO141" s="27">
        <f t="shared" si="1168"/>
        <v>1385.2286291961425</v>
      </c>
      <c r="CP141" s="27">
        <f t="shared" si="1168"/>
        <v>1509.834576477605</v>
      </c>
      <c r="CQ141" s="27">
        <f t="shared" si="1168"/>
        <v>1669.8536313259033</v>
      </c>
      <c r="CR141" s="27">
        <f t="shared" si="1168"/>
        <v>1848.0377174709133</v>
      </c>
      <c r="CS141" s="27">
        <f t="shared" si="1168"/>
        <v>2027.3016351488507</v>
      </c>
      <c r="CT141" s="27">
        <f t="shared" si="1168"/>
        <v>2216.860831718684</v>
      </c>
      <c r="CU141" s="27">
        <f t="shared" si="1168"/>
        <v>2446.4918197654488</v>
      </c>
      <c r="CV141" s="27">
        <f t="shared" si="1168"/>
        <v>2701.8982511520726</v>
      </c>
      <c r="CW141" s="27">
        <f t="shared" si="1168"/>
        <v>2960.8824203194649</v>
      </c>
      <c r="CX141" s="27">
        <f t="shared" si="1168"/>
        <v>3234.5644404337063</v>
      </c>
      <c r="CY141" s="27">
        <f t="shared" si="1168"/>
        <v>3560.0225763840376</v>
      </c>
      <c r="CZ141" s="27">
        <f t="shared" si="1168"/>
        <v>3920.6921478310978</v>
      </c>
      <c r="DA141" s="27">
        <f t="shared" si="1168"/>
        <v>4287.5087452006674</v>
      </c>
      <c r="DB141" s="27">
        <f t="shared" si="1168"/>
        <v>4674.6717501988878</v>
      </c>
      <c r="DE141" s="121"/>
      <c r="DF141" s="26">
        <v>1028.875</v>
      </c>
    </row>
    <row r="142" spans="1:110" s="23" customFormat="1" x14ac:dyDescent="0.2">
      <c r="AB142" s="24"/>
      <c r="AC142" s="24"/>
      <c r="AD142" s="24"/>
      <c r="AE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50</v>
      </c>
      <c r="B143" s="23">
        <f>'Annual Raw'!C62</f>
        <v>0</v>
      </c>
      <c r="C143" s="23">
        <f>'Annual Raw'!D62</f>
        <v>0</v>
      </c>
      <c r="D143" s="23">
        <f>'Annual Raw'!E62</f>
        <v>0</v>
      </c>
      <c r="E143" s="23">
        <f>'Annual Raw'!F62-E147</f>
        <v>0</v>
      </c>
      <c r="F143" s="23">
        <f>'Annual Raw'!G62-F147</f>
        <v>0</v>
      </c>
      <c r="G143" s="23">
        <f>'Annual Raw'!H62-G147</f>
        <v>0</v>
      </c>
      <c r="H143" s="23">
        <f>'Annual Raw'!I62-H147</f>
        <v>0</v>
      </c>
      <c r="I143" s="23">
        <f>'Annual Raw'!J62-I147</f>
        <v>0</v>
      </c>
      <c r="J143" s="23">
        <f>'Annual Raw'!K62-J147</f>
        <v>0</v>
      </c>
      <c r="K143" s="23">
        <f>'Annual Raw'!L62-K147</f>
        <v>0</v>
      </c>
      <c r="L143" s="23">
        <f>'Annual Raw'!M62-L147</f>
        <v>0</v>
      </c>
      <c r="M143" s="23">
        <f>'Annual Raw'!N62-M147</f>
        <v>0</v>
      </c>
      <c r="N143" s="23">
        <f>'Annual Raw'!O62-N147</f>
        <v>0</v>
      </c>
      <c r="O143" s="23">
        <f>'Annual Raw'!P62-O147</f>
        <v>0</v>
      </c>
      <c r="P143" s="23">
        <f>'Annual Raw'!Q62-P147</f>
        <v>0</v>
      </c>
      <c r="Q143" s="23">
        <f>'Annual Raw'!R62-Q147</f>
        <v>0</v>
      </c>
      <c r="R143" s="23">
        <f>'Annual Raw'!S62-R147</f>
        <v>5.649</v>
      </c>
      <c r="S143" s="23">
        <f>'Annual Raw'!T62-S147</f>
        <v>18.957999999999998</v>
      </c>
      <c r="T143" s="23">
        <f>'Annual Raw'!U62-T147</f>
        <v>69.75800000000001</v>
      </c>
      <c r="U143" s="23">
        <f>'Annual Raw'!V62-U147</f>
        <v>117.989</v>
      </c>
      <c r="V143" s="23">
        <f>'Annual Raw'!W62-V147</f>
        <v>100.4829</v>
      </c>
      <c r="W143" s="23">
        <f>'Annual Raw'!X62-W147</f>
        <v>176.16959999999997</v>
      </c>
      <c r="X143" s="23">
        <f>'Annual Raw'!Y62-X147</f>
        <v>204.45929999999998</v>
      </c>
      <c r="Y143" s="23">
        <f>'Annual Raw'!Z62-Y147</f>
        <v>225.88309999999998</v>
      </c>
      <c r="Z143" s="23">
        <f>'Annual Raw'!AA62-Z147</f>
        <v>286.37110000000001</v>
      </c>
      <c r="AA143" s="23">
        <f>'Annual Raw'!AB62-AA147</f>
        <v>321.55610000000001</v>
      </c>
      <c r="AB143" s="24">
        <f t="shared" ref="AB143:AB149" si="1170">+CP143</f>
        <v>262.83990000000006</v>
      </c>
      <c r="AC143" s="24">
        <f t="shared" ref="AC143:AC149" si="1171">+CT143</f>
        <v>262.83990000000006</v>
      </c>
      <c r="AD143" s="24">
        <f t="shared" ref="AD143:AD149" si="1172">+CX143</f>
        <v>262.83990000000006</v>
      </c>
      <c r="AE143" s="24">
        <f t="shared" ref="AE143:AE149" si="1173">+DB143</f>
        <v>262.83990000000006</v>
      </c>
      <c r="AJ143" s="23">
        <f>+'QTR Raw'!D68</f>
        <v>0</v>
      </c>
      <c r="AL143" s="23">
        <f>+'QTR Raw'!F68</f>
        <v>0</v>
      </c>
      <c r="AN143" s="23">
        <f>+'QTR Raw'!H68</f>
        <v>0</v>
      </c>
      <c r="AP143" s="23">
        <f>+'QTR Raw'!J68</f>
        <v>0</v>
      </c>
      <c r="AR143" s="23">
        <f>+'QTR Raw'!L68</f>
        <v>0</v>
      </c>
      <c r="AT143" s="23">
        <f>+'QTR Raw'!N68</f>
        <v>0</v>
      </c>
      <c r="AV143" s="23">
        <f>+'QTR Raw'!P68</f>
        <v>0</v>
      </c>
      <c r="AX143" s="23">
        <f>+'QTR Raw'!R68</f>
        <v>0</v>
      </c>
      <c r="AZ143" s="23">
        <f>+'QTR Raw'!T68</f>
        <v>0</v>
      </c>
      <c r="BB143" s="23">
        <f>+'QTR Raw'!V68</f>
        <v>0</v>
      </c>
      <c r="BD143" s="23">
        <f>+'QTR Raw'!X68</f>
        <v>0</v>
      </c>
      <c r="BF143" s="23">
        <f>+'QTR Raw'!Z68</f>
        <v>0</v>
      </c>
      <c r="BH143" s="23">
        <f>+'QTR Raw'!AB68</f>
        <v>0</v>
      </c>
      <c r="BJ143" s="23">
        <f>+'QTR Raw'!AD68</f>
        <v>0</v>
      </c>
      <c r="BL143" s="23">
        <f>+'QTR Raw'!AF68</f>
        <v>0</v>
      </c>
      <c r="BN143" s="23">
        <f>+'QTR Raw'!AH68</f>
        <v>0</v>
      </c>
      <c r="BP143" s="23">
        <f>+'QTR Raw'!AJ68</f>
        <v>0</v>
      </c>
      <c r="BR143" s="23">
        <f>+'QTR Raw'!AL68</f>
        <v>39.341000000000001</v>
      </c>
      <c r="BT143" s="23">
        <f>+'QTR Raw'!AN68</f>
        <v>0</v>
      </c>
      <c r="BV143" s="23">
        <f>+'QTR Raw'!AP68</f>
        <v>107.887</v>
      </c>
      <c r="BX143" s="23">
        <f>+'QTR Raw'!AR68</f>
        <v>116.1</v>
      </c>
      <c r="BZ143" s="23">
        <f>+'QTR Raw'!AT68</f>
        <v>114.717</v>
      </c>
      <c r="CB143" s="23">
        <f>+'QTR Raw'!AV68</f>
        <v>112.173</v>
      </c>
      <c r="CD143" s="23">
        <f>+'QTR Raw'!AX68</f>
        <v>107.86499999999999</v>
      </c>
      <c r="CF143" s="23">
        <f>+'QTR Raw'!AZ68</f>
        <v>105.94</v>
      </c>
      <c r="CH143" s="23">
        <f t="shared" ref="CH143:CH149" si="1174">Z143</f>
        <v>286.37110000000001</v>
      </c>
      <c r="CI143" s="23">
        <f>CH143</f>
        <v>286.37110000000001</v>
      </c>
      <c r="CJ143" s="23">
        <f>+CJ144+CJ146</f>
        <v>247.4579</v>
      </c>
      <c r="CK143" s="23">
        <f t="shared" ref="CK143:DB143" si="1175">+CJ143</f>
        <v>247.4579</v>
      </c>
      <c r="CL143" s="23">
        <f>+CL144+CL146</f>
        <v>262.83990000000006</v>
      </c>
      <c r="CM143" s="24">
        <f t="shared" si="1175"/>
        <v>262.83990000000006</v>
      </c>
      <c r="CN143" s="24">
        <f t="shared" si="1175"/>
        <v>262.83990000000006</v>
      </c>
      <c r="CO143" s="24">
        <f t="shared" si="1175"/>
        <v>262.83990000000006</v>
      </c>
      <c r="CP143" s="24">
        <f t="shared" si="1175"/>
        <v>262.83990000000006</v>
      </c>
      <c r="CQ143" s="24">
        <f t="shared" si="1175"/>
        <v>262.83990000000006</v>
      </c>
      <c r="CR143" s="24">
        <f t="shared" si="1175"/>
        <v>262.83990000000006</v>
      </c>
      <c r="CS143" s="24">
        <f t="shared" si="1175"/>
        <v>262.83990000000006</v>
      </c>
      <c r="CT143" s="24">
        <f t="shared" si="1175"/>
        <v>262.83990000000006</v>
      </c>
      <c r="CU143" s="24">
        <f t="shared" si="1175"/>
        <v>262.83990000000006</v>
      </c>
      <c r="CV143" s="24">
        <f t="shared" si="1175"/>
        <v>262.83990000000006</v>
      </c>
      <c r="CW143" s="24">
        <f t="shared" si="1175"/>
        <v>262.83990000000006</v>
      </c>
      <c r="CX143" s="24">
        <f t="shared" si="1175"/>
        <v>262.83990000000006</v>
      </c>
      <c r="CY143" s="24">
        <f t="shared" si="1175"/>
        <v>262.83990000000006</v>
      </c>
      <c r="CZ143" s="24">
        <f t="shared" si="1175"/>
        <v>262.83990000000006</v>
      </c>
      <c r="DA143" s="24">
        <f t="shared" si="1175"/>
        <v>262.83990000000006</v>
      </c>
      <c r="DB143" s="24">
        <f t="shared" si="1175"/>
        <v>262.83990000000006</v>
      </c>
      <c r="DE143" s="123"/>
      <c r="DF143" s="23">
        <v>321.55610000000001</v>
      </c>
    </row>
    <row r="144" spans="1:110" s="23" customFormat="1" outlineLevel="1" x14ac:dyDescent="0.2">
      <c r="A144" s="23" t="s">
        <v>51</v>
      </c>
      <c r="B144" s="23">
        <f>'Annual Raw'!C63</f>
        <v>0</v>
      </c>
      <c r="C144" s="23">
        <f>'Annual Raw'!D63</f>
        <v>0</v>
      </c>
      <c r="D144" s="23">
        <f>'Annual Raw'!E63</f>
        <v>0</v>
      </c>
      <c r="E144" s="23">
        <f>'Annual Raw'!F63</f>
        <v>0</v>
      </c>
      <c r="F144" s="23">
        <f>'Annual Raw'!G63</f>
        <v>0</v>
      </c>
      <c r="G144" s="23">
        <f>'Annual Raw'!H63</f>
        <v>0</v>
      </c>
      <c r="H144" s="23">
        <f>'Annual Raw'!I63</f>
        <v>0</v>
      </c>
      <c r="I144" s="23">
        <f>'Annual Raw'!J63</f>
        <v>0</v>
      </c>
      <c r="J144" s="23">
        <f>'Annual Raw'!K63</f>
        <v>0</v>
      </c>
      <c r="K144" s="23">
        <f>'Annual Raw'!L63</f>
        <v>0</v>
      </c>
      <c r="L144" s="23">
        <f>'Annual Raw'!M63</f>
        <v>0</v>
      </c>
      <c r="M144" s="23">
        <f>'Annual Raw'!N63</f>
        <v>0</v>
      </c>
      <c r="N144" s="23">
        <f>'Annual Raw'!O63</f>
        <v>0</v>
      </c>
      <c r="O144" s="23">
        <f>'Annual Raw'!P63</f>
        <v>0</v>
      </c>
      <c r="P144" s="23">
        <f>'Annual Raw'!Q63</f>
        <v>0</v>
      </c>
      <c r="Q144" s="23">
        <f>'Annual Raw'!R63</f>
        <v>0</v>
      </c>
      <c r="R144" s="23">
        <f>'Annual Raw'!S63</f>
        <v>1.036</v>
      </c>
      <c r="S144" s="23">
        <f>'Annual Raw'!T63</f>
        <v>6.2149999999999999</v>
      </c>
      <c r="T144" s="23">
        <f>'Annual Raw'!U63</f>
        <v>25.652000000000001</v>
      </c>
      <c r="U144" s="23">
        <f>'Annual Raw'!V63</f>
        <v>46.683</v>
      </c>
      <c r="V144" s="23">
        <f>'Annual Raw'!W63</f>
        <v>48.221400000000003</v>
      </c>
      <c r="W144" s="23">
        <f>'Annual Raw'!X63</f>
        <v>55.1158</v>
      </c>
      <c r="X144" s="23">
        <f>'Annual Raw'!Y63</f>
        <v>71.275999999999996</v>
      </c>
      <c r="Y144" s="23">
        <f>'Annual Raw'!Z63</f>
        <v>76.434799999999996</v>
      </c>
      <c r="Z144" s="23">
        <f>'Annual Raw'!AA63</f>
        <v>100.9179</v>
      </c>
      <c r="AA144" s="23">
        <f>'Annual Raw'!AB63</f>
        <v>133.00059999999999</v>
      </c>
      <c r="AB144" s="24">
        <f t="shared" si="1170"/>
        <v>170.5428629611333</v>
      </c>
      <c r="AC144" s="24">
        <f t="shared" si="1171"/>
        <v>196.17315732187151</v>
      </c>
      <c r="AD144" s="24">
        <f t="shared" si="1172"/>
        <v>214.68608356231502</v>
      </c>
      <c r="AE144" s="24">
        <f t="shared" si="1173"/>
        <v>228.05808909453049</v>
      </c>
      <c r="AJ144" s="23">
        <f>+'QTR Raw'!D69</f>
        <v>0</v>
      </c>
      <c r="AL144" s="23">
        <f>+'QTR Raw'!F69</f>
        <v>0</v>
      </c>
      <c r="AN144" s="23">
        <f>+'QTR Raw'!H69</f>
        <v>0</v>
      </c>
      <c r="AP144" s="23">
        <f>+'QTR Raw'!J69</f>
        <v>0</v>
      </c>
      <c r="AR144" s="23">
        <f>+'QTR Raw'!L69</f>
        <v>0</v>
      </c>
      <c r="AT144" s="23">
        <f>+'QTR Raw'!N69</f>
        <v>0</v>
      </c>
      <c r="AV144" s="23">
        <f>+'QTR Raw'!P69</f>
        <v>0</v>
      </c>
      <c r="AX144" s="23">
        <f>+'QTR Raw'!R69</f>
        <v>0</v>
      </c>
      <c r="AZ144" s="23">
        <f>+'QTR Raw'!T69</f>
        <v>0</v>
      </c>
      <c r="BB144" s="23">
        <f>+'QTR Raw'!V69</f>
        <v>0</v>
      </c>
      <c r="BD144" s="23">
        <f>+'QTR Raw'!X69</f>
        <v>0</v>
      </c>
      <c r="BF144" s="23">
        <f>+'QTR Raw'!Z69</f>
        <v>0</v>
      </c>
      <c r="BH144" s="23">
        <f>+'QTR Raw'!AB69</f>
        <v>0</v>
      </c>
      <c r="BJ144" s="23">
        <f>+'QTR Raw'!AD69</f>
        <v>0</v>
      </c>
      <c r="BL144" s="23">
        <f>+'QTR Raw'!AF69</f>
        <v>0</v>
      </c>
      <c r="BN144" s="23">
        <f>+'QTR Raw'!AH69</f>
        <v>0</v>
      </c>
      <c r="BP144" s="23">
        <f>+'QTR Raw'!AJ69</f>
        <v>0</v>
      </c>
      <c r="BR144" s="23">
        <f>+'QTR Raw'!AL69</f>
        <v>0</v>
      </c>
      <c r="BT144" s="23">
        <f>+'QTR Raw'!AN69</f>
        <v>0</v>
      </c>
      <c r="BV144" s="23">
        <f>+'QTR Raw'!AP69</f>
        <v>0</v>
      </c>
      <c r="BX144" s="23">
        <f>+'QTR Raw'!AR69</f>
        <v>0</v>
      </c>
      <c r="BZ144" s="23">
        <f>+'QTR Raw'!AT69</f>
        <v>0</v>
      </c>
      <c r="CB144" s="23">
        <f>+'QTR Raw'!AV69</f>
        <v>0</v>
      </c>
      <c r="CD144" s="23">
        <f>+'QTR Raw'!AX69</f>
        <v>0</v>
      </c>
      <c r="CF144" s="23">
        <f>+'QTR Raw'!AZ69</f>
        <v>0</v>
      </c>
      <c r="CH144" s="23">
        <f t="shared" si="1174"/>
        <v>100.9179</v>
      </c>
      <c r="CI144" s="23">
        <f t="shared" ref="CI144:DB144" si="1176">CH144+CI44</f>
        <v>108.5939</v>
      </c>
      <c r="CJ144" s="23">
        <f t="shared" si="1176"/>
        <v>116.89790000000001</v>
      </c>
      <c r="CK144" s="23">
        <f t="shared" si="1176"/>
        <v>125.53590000000001</v>
      </c>
      <c r="CL144" s="23">
        <f t="shared" si="1176"/>
        <v>135.05890000000002</v>
      </c>
      <c r="CM144" s="24">
        <f t="shared" si="1176"/>
        <v>145.03953075572909</v>
      </c>
      <c r="CN144" s="24">
        <f t="shared" si="1176"/>
        <v>154.24060124598674</v>
      </c>
      <c r="CO144" s="24">
        <f t="shared" si="1176"/>
        <v>162.72300082960962</v>
      </c>
      <c r="CP144" s="24">
        <f t="shared" si="1176"/>
        <v>170.5428629611333</v>
      </c>
      <c r="CQ144" s="24">
        <f t="shared" si="1176"/>
        <v>177.7519366617052</v>
      </c>
      <c r="CR144" s="24">
        <f t="shared" si="1176"/>
        <v>184.39792897540232</v>
      </c>
      <c r="CS144" s="24">
        <f t="shared" si="1176"/>
        <v>190.52482067720547</v>
      </c>
      <c r="CT144" s="24">
        <f t="shared" si="1176"/>
        <v>196.17315732187151</v>
      </c>
      <c r="CU144" s="24">
        <f t="shared" si="1176"/>
        <v>201.38031755975982</v>
      </c>
      <c r="CV144" s="24">
        <f t="shared" si="1176"/>
        <v>206.18076049523009</v>
      </c>
      <c r="CW144" s="24">
        <f t="shared" si="1176"/>
        <v>210.60625372454001</v>
      </c>
      <c r="CX144" s="24">
        <f t="shared" si="1176"/>
        <v>214.68608356231502</v>
      </c>
      <c r="CY144" s="24">
        <f t="shared" si="1176"/>
        <v>218.44724884779322</v>
      </c>
      <c r="CZ144" s="24">
        <f t="shared" si="1176"/>
        <v>221.91463961338488</v>
      </c>
      <c r="DA144" s="24">
        <f t="shared" si="1176"/>
        <v>225.11120179791052</v>
      </c>
      <c r="DB144" s="24">
        <f t="shared" si="1176"/>
        <v>228.05808909453049</v>
      </c>
      <c r="DE144" s="123"/>
      <c r="DF144" s="23">
        <v>133.00059999999999</v>
      </c>
    </row>
    <row r="145" spans="1:110" s="23" customFormat="1" outlineLevel="1" x14ac:dyDescent="0.2">
      <c r="A145" s="23" t="s">
        <v>52</v>
      </c>
      <c r="B145" s="23">
        <f>'Annual Raw'!C64</f>
        <v>0</v>
      </c>
      <c r="C145" s="23">
        <f>'Annual Raw'!D64</f>
        <v>0</v>
      </c>
      <c r="D145" s="23">
        <f>'Annual Raw'!E64</f>
        <v>0</v>
      </c>
      <c r="E145" s="23">
        <f>'Annual Raw'!F64</f>
        <v>0</v>
      </c>
      <c r="F145" s="23">
        <f>'Annual Raw'!G64</f>
        <v>0</v>
      </c>
      <c r="G145" s="23">
        <f>'Annual Raw'!H64</f>
        <v>0</v>
      </c>
      <c r="H145" s="23">
        <f>'Annual Raw'!I64</f>
        <v>0</v>
      </c>
      <c r="I145" s="23">
        <f>'Annual Raw'!J64</f>
        <v>0</v>
      </c>
      <c r="J145" s="23">
        <f>'Annual Raw'!K64</f>
        <v>0</v>
      </c>
      <c r="K145" s="23">
        <f>'Annual Raw'!L64</f>
        <v>0</v>
      </c>
      <c r="L145" s="23">
        <f>'Annual Raw'!M64</f>
        <v>0</v>
      </c>
      <c r="M145" s="23">
        <f>'Annual Raw'!N64</f>
        <v>0</v>
      </c>
      <c r="N145" s="23">
        <f>'Annual Raw'!O64</f>
        <v>0</v>
      </c>
      <c r="O145" s="23">
        <f>'Annual Raw'!P64</f>
        <v>0</v>
      </c>
      <c r="P145" s="23">
        <f>'Annual Raw'!Q64</f>
        <v>0</v>
      </c>
      <c r="Q145" s="23">
        <f>'Annual Raw'!R64</f>
        <v>0</v>
      </c>
      <c r="R145" s="23">
        <f>'Annual Raw'!S64</f>
        <v>0</v>
      </c>
      <c r="S145" s="23">
        <f>'Annual Raw'!T64</f>
        <v>0</v>
      </c>
      <c r="T145" s="23">
        <f>'Annual Raw'!U64</f>
        <v>0</v>
      </c>
      <c r="U145" s="23">
        <f>'Annual Raw'!V64</f>
        <v>0</v>
      </c>
      <c r="V145" s="23">
        <f>'Annual Raw'!W64</f>
        <v>0</v>
      </c>
      <c r="W145" s="23">
        <f>'Annual Raw'!X64</f>
        <v>0</v>
      </c>
      <c r="X145" s="23">
        <f>'Annual Raw'!Y64</f>
        <v>0</v>
      </c>
      <c r="Y145" s="23">
        <f>'Annual Raw'!Z64</f>
        <v>0</v>
      </c>
      <c r="Z145" s="23">
        <f>'Annual Raw'!AA64</f>
        <v>0</v>
      </c>
      <c r="AA145" s="23">
        <f>'Annual Raw'!AB64</f>
        <v>0</v>
      </c>
      <c r="AB145" s="24">
        <f t="shared" si="1170"/>
        <v>0</v>
      </c>
      <c r="AC145" s="24">
        <f t="shared" si="1171"/>
        <v>0</v>
      </c>
      <c r="AD145" s="24">
        <f t="shared" si="1172"/>
        <v>0</v>
      </c>
      <c r="AE145" s="24">
        <f t="shared" si="1173"/>
        <v>0</v>
      </c>
      <c r="AJ145" s="23">
        <f>+'QTR Raw'!D70</f>
        <v>0</v>
      </c>
      <c r="AL145" s="23">
        <f>+'QTR Raw'!F70</f>
        <v>0</v>
      </c>
      <c r="AN145" s="23">
        <f>+'QTR Raw'!H70</f>
        <v>0</v>
      </c>
      <c r="AP145" s="23">
        <f>+'QTR Raw'!J70</f>
        <v>0</v>
      </c>
      <c r="AR145" s="23">
        <f>+'QTR Raw'!L70</f>
        <v>0</v>
      </c>
      <c r="AT145" s="23">
        <f>+'QTR Raw'!N70</f>
        <v>0</v>
      </c>
      <c r="AV145" s="23">
        <f>+'QTR Raw'!P70</f>
        <v>0</v>
      </c>
      <c r="AX145" s="23">
        <f>+'QTR Raw'!R70</f>
        <v>0</v>
      </c>
      <c r="AZ145" s="23">
        <f>+'QTR Raw'!T70</f>
        <v>0</v>
      </c>
      <c r="BB145" s="23">
        <f>+'QTR Raw'!V70</f>
        <v>0</v>
      </c>
      <c r="BD145" s="23">
        <f>+'QTR Raw'!X70</f>
        <v>0</v>
      </c>
      <c r="BF145" s="23">
        <f>+'QTR Raw'!Z70</f>
        <v>0</v>
      </c>
      <c r="BH145" s="23">
        <f>+'QTR Raw'!AB70</f>
        <v>0</v>
      </c>
      <c r="BJ145" s="23">
        <f>+'QTR Raw'!AD70</f>
        <v>0</v>
      </c>
      <c r="BL145" s="23">
        <f>+'QTR Raw'!AF70</f>
        <v>0</v>
      </c>
      <c r="BN145" s="23">
        <f>+'QTR Raw'!AH70</f>
        <v>0</v>
      </c>
      <c r="BP145" s="23">
        <f>+'QTR Raw'!AJ70</f>
        <v>0</v>
      </c>
      <c r="BR145" s="23">
        <f>+'QTR Raw'!AL70</f>
        <v>0</v>
      </c>
      <c r="BT145" s="23">
        <f>+'QTR Raw'!AN70</f>
        <v>0</v>
      </c>
      <c r="BV145" s="23">
        <f>+'QTR Raw'!AP70</f>
        <v>0</v>
      </c>
      <c r="BX145" s="23">
        <f>+'QTR Raw'!AR70</f>
        <v>0</v>
      </c>
      <c r="BZ145" s="23">
        <f>+'QTR Raw'!AT70</f>
        <v>0</v>
      </c>
      <c r="CB145" s="23">
        <f>+'QTR Raw'!AV70</f>
        <v>0</v>
      </c>
      <c r="CD145" s="23">
        <f>+'QTR Raw'!AX70</f>
        <v>0</v>
      </c>
      <c r="CF145" s="23">
        <f>+'QTR Raw'!AZ70</f>
        <v>0</v>
      </c>
      <c r="CH145" s="23">
        <f t="shared" si="1174"/>
        <v>0</v>
      </c>
      <c r="CI145" s="23">
        <f>CH145</f>
        <v>0</v>
      </c>
      <c r="CJ145" s="23">
        <f>+'QTR Raw'!BD70</f>
        <v>0</v>
      </c>
      <c r="CK145" s="23">
        <f t="shared" ref="CK145:DB145" si="1177">CJ145</f>
        <v>0</v>
      </c>
      <c r="CL145" s="23">
        <f>+'QTR Raw'!BF70</f>
        <v>0</v>
      </c>
      <c r="CM145" s="24">
        <f t="shared" si="1177"/>
        <v>0</v>
      </c>
      <c r="CN145" s="24">
        <f t="shared" si="1177"/>
        <v>0</v>
      </c>
      <c r="CO145" s="24">
        <f t="shared" si="1177"/>
        <v>0</v>
      </c>
      <c r="CP145" s="24">
        <f t="shared" si="1177"/>
        <v>0</v>
      </c>
      <c r="CQ145" s="24">
        <f t="shared" si="1177"/>
        <v>0</v>
      </c>
      <c r="CR145" s="24">
        <f t="shared" si="1177"/>
        <v>0</v>
      </c>
      <c r="CS145" s="24">
        <f t="shared" si="1177"/>
        <v>0</v>
      </c>
      <c r="CT145" s="24">
        <f t="shared" si="1177"/>
        <v>0</v>
      </c>
      <c r="CU145" s="24">
        <f t="shared" si="1177"/>
        <v>0</v>
      </c>
      <c r="CV145" s="24">
        <f t="shared" si="1177"/>
        <v>0</v>
      </c>
      <c r="CW145" s="24">
        <f t="shared" si="1177"/>
        <v>0</v>
      </c>
      <c r="CX145" s="24">
        <f t="shared" si="1177"/>
        <v>0</v>
      </c>
      <c r="CY145" s="24">
        <f t="shared" si="1177"/>
        <v>0</v>
      </c>
      <c r="CZ145" s="24">
        <f t="shared" si="1177"/>
        <v>0</v>
      </c>
      <c r="DA145" s="24">
        <f t="shared" si="1177"/>
        <v>0</v>
      </c>
      <c r="DB145" s="24">
        <f t="shared" si="1177"/>
        <v>0</v>
      </c>
      <c r="DE145" s="123"/>
      <c r="DF145" s="23">
        <v>0</v>
      </c>
    </row>
    <row r="146" spans="1:110" s="22" customFormat="1" outlineLevel="1" x14ac:dyDescent="0.2">
      <c r="A146" s="22" t="s">
        <v>53</v>
      </c>
      <c r="B146" s="22">
        <f>+B143-B144-B145</f>
        <v>0</v>
      </c>
      <c r="C146" s="22">
        <f t="shared" ref="C146:W146" si="1178">+C143-C144-C145</f>
        <v>0</v>
      </c>
      <c r="D146" s="22">
        <f t="shared" si="1178"/>
        <v>0</v>
      </c>
      <c r="E146" s="22">
        <f t="shared" si="1178"/>
        <v>0</v>
      </c>
      <c r="F146" s="22">
        <f t="shared" si="1178"/>
        <v>0</v>
      </c>
      <c r="G146" s="22">
        <f t="shared" si="1178"/>
        <v>0</v>
      </c>
      <c r="H146" s="22">
        <f t="shared" si="1178"/>
        <v>0</v>
      </c>
      <c r="I146" s="22">
        <f t="shared" si="1178"/>
        <v>0</v>
      </c>
      <c r="J146" s="22">
        <f t="shared" si="1178"/>
        <v>0</v>
      </c>
      <c r="K146" s="22">
        <f t="shared" si="1178"/>
        <v>0</v>
      </c>
      <c r="L146" s="22">
        <f t="shared" si="1178"/>
        <v>0</v>
      </c>
      <c r="M146" s="22">
        <f t="shared" si="1178"/>
        <v>0</v>
      </c>
      <c r="N146" s="22">
        <f t="shared" si="1178"/>
        <v>0</v>
      </c>
      <c r="O146" s="22">
        <f t="shared" si="1178"/>
        <v>0</v>
      </c>
      <c r="P146" s="22">
        <f t="shared" si="1178"/>
        <v>0</v>
      </c>
      <c r="Q146" s="22">
        <f t="shared" si="1178"/>
        <v>0</v>
      </c>
      <c r="R146" s="22">
        <f t="shared" si="1178"/>
        <v>4.6129999999999995</v>
      </c>
      <c r="S146" s="22">
        <f t="shared" si="1178"/>
        <v>12.742999999999999</v>
      </c>
      <c r="T146" s="22">
        <f t="shared" si="1178"/>
        <v>44.106000000000009</v>
      </c>
      <c r="U146" s="22">
        <f t="shared" si="1178"/>
        <v>71.306000000000012</v>
      </c>
      <c r="V146" s="22">
        <f t="shared" si="1178"/>
        <v>52.261499999999998</v>
      </c>
      <c r="W146" s="22">
        <f t="shared" si="1178"/>
        <v>121.05379999999997</v>
      </c>
      <c r="X146" s="22">
        <f t="shared" ref="X146:Y146" si="1179">+X143-X144-X145</f>
        <v>133.18329999999997</v>
      </c>
      <c r="Y146" s="22">
        <f t="shared" si="1179"/>
        <v>149.44829999999999</v>
      </c>
      <c r="Z146" s="22">
        <f t="shared" ref="Z146:AE146" si="1180">+Z143-Z144-Z145</f>
        <v>185.45320000000001</v>
      </c>
      <c r="AA146" s="22">
        <f t="shared" ref="AA146" si="1181">+AA143-AA144-AA145</f>
        <v>188.55550000000002</v>
      </c>
      <c r="AB146" s="21">
        <f t="shared" si="1180"/>
        <v>92.297037038866762</v>
      </c>
      <c r="AC146" s="21">
        <f t="shared" si="1180"/>
        <v>66.666742678128543</v>
      </c>
      <c r="AD146" s="21">
        <f t="shared" si="1180"/>
        <v>48.153816437685037</v>
      </c>
      <c r="AE146" s="21">
        <f t="shared" si="1180"/>
        <v>34.78181090546957</v>
      </c>
      <c r="AJ146" s="22">
        <f t="shared" ref="AJ146:AL146" si="1182">+AJ143-AJ144-AJ145</f>
        <v>0</v>
      </c>
      <c r="AK146" s="22">
        <f t="shared" ref="AK146:CE146" si="1183">+AJ146</f>
        <v>0</v>
      </c>
      <c r="AL146" s="22">
        <f t="shared" si="1182"/>
        <v>0</v>
      </c>
      <c r="AM146" s="22">
        <f t="shared" si="1183"/>
        <v>0</v>
      </c>
      <c r="AN146" s="22">
        <f t="shared" ref="AN146" si="1184">+AN143-AN144-AN145</f>
        <v>0</v>
      </c>
      <c r="AO146" s="22">
        <f t="shared" si="1183"/>
        <v>0</v>
      </c>
      <c r="AP146" s="22">
        <f t="shared" ref="AP146:CD146" si="1185">+AP143-AP144-AP145</f>
        <v>0</v>
      </c>
      <c r="AQ146" s="22">
        <f t="shared" si="1183"/>
        <v>0</v>
      </c>
      <c r="AR146" s="22">
        <f t="shared" si="1185"/>
        <v>0</v>
      </c>
      <c r="AS146" s="22">
        <f t="shared" si="1183"/>
        <v>0</v>
      </c>
      <c r="AT146" s="22">
        <f t="shared" si="1185"/>
        <v>0</v>
      </c>
      <c r="AU146" s="22">
        <f t="shared" si="1183"/>
        <v>0</v>
      </c>
      <c r="AV146" s="22">
        <f t="shared" si="1185"/>
        <v>0</v>
      </c>
      <c r="AW146" s="22">
        <f t="shared" si="1183"/>
        <v>0</v>
      </c>
      <c r="AX146" s="22">
        <f t="shared" si="1185"/>
        <v>0</v>
      </c>
      <c r="AY146" s="22">
        <f t="shared" si="1183"/>
        <v>0</v>
      </c>
      <c r="AZ146" s="22">
        <f t="shared" si="1185"/>
        <v>0</v>
      </c>
      <c r="BA146" s="22">
        <f t="shared" si="1183"/>
        <v>0</v>
      </c>
      <c r="BB146" s="22">
        <f t="shared" si="1185"/>
        <v>0</v>
      </c>
      <c r="BC146" s="22">
        <f t="shared" si="1183"/>
        <v>0</v>
      </c>
      <c r="BD146" s="22">
        <f t="shared" si="1185"/>
        <v>0</v>
      </c>
      <c r="BE146" s="22">
        <f t="shared" si="1183"/>
        <v>0</v>
      </c>
      <c r="BF146" s="22">
        <f t="shared" si="1185"/>
        <v>0</v>
      </c>
      <c r="BG146" s="22">
        <f t="shared" si="1183"/>
        <v>0</v>
      </c>
      <c r="BH146" s="22">
        <f t="shared" si="1185"/>
        <v>0</v>
      </c>
      <c r="BI146" s="22">
        <f t="shared" si="1183"/>
        <v>0</v>
      </c>
      <c r="BJ146" s="22">
        <f t="shared" si="1185"/>
        <v>0</v>
      </c>
      <c r="BK146" s="22">
        <f t="shared" si="1183"/>
        <v>0</v>
      </c>
      <c r="BL146" s="22">
        <f t="shared" si="1185"/>
        <v>0</v>
      </c>
      <c r="BM146" s="22">
        <f t="shared" si="1183"/>
        <v>0</v>
      </c>
      <c r="BN146" s="22">
        <f t="shared" si="1185"/>
        <v>0</v>
      </c>
      <c r="BO146" s="22">
        <f t="shared" si="1183"/>
        <v>0</v>
      </c>
      <c r="BP146" s="22">
        <f t="shared" si="1185"/>
        <v>0</v>
      </c>
      <c r="BQ146" s="22">
        <f t="shared" si="1183"/>
        <v>0</v>
      </c>
      <c r="BR146" s="22">
        <f t="shared" si="1185"/>
        <v>39.341000000000001</v>
      </c>
      <c r="BS146" s="22">
        <f t="shared" si="1183"/>
        <v>39.341000000000001</v>
      </c>
      <c r="BT146" s="22">
        <f t="shared" si="1185"/>
        <v>0</v>
      </c>
      <c r="BU146" s="22">
        <f t="shared" si="1183"/>
        <v>0</v>
      </c>
      <c r="BV146" s="22">
        <f t="shared" si="1185"/>
        <v>107.887</v>
      </c>
      <c r="BW146" s="22">
        <f t="shared" si="1183"/>
        <v>107.887</v>
      </c>
      <c r="BX146" s="22">
        <f t="shared" si="1185"/>
        <v>116.1</v>
      </c>
      <c r="BY146" s="22">
        <f t="shared" si="1183"/>
        <v>116.1</v>
      </c>
      <c r="BZ146" s="22">
        <f t="shared" si="1185"/>
        <v>114.717</v>
      </c>
      <c r="CA146" s="22">
        <f t="shared" si="1183"/>
        <v>114.717</v>
      </c>
      <c r="CB146" s="22">
        <f t="shared" si="1185"/>
        <v>112.173</v>
      </c>
      <c r="CC146" s="22">
        <f t="shared" si="1183"/>
        <v>112.173</v>
      </c>
      <c r="CD146" s="22">
        <f t="shared" si="1185"/>
        <v>107.86499999999999</v>
      </c>
      <c r="CE146" s="22">
        <f t="shared" si="1183"/>
        <v>107.86499999999999</v>
      </c>
      <c r="CF146" s="22">
        <f t="shared" ref="CF146:CI146" si="1186">+CF143-CF144-CF145</f>
        <v>105.94</v>
      </c>
      <c r="CG146" s="22">
        <f t="shared" ref="CG146:CI149" si="1187">+CF146</f>
        <v>105.94</v>
      </c>
      <c r="CH146" s="22">
        <f t="shared" si="1186"/>
        <v>185.45320000000001</v>
      </c>
      <c r="CI146" s="22">
        <f t="shared" si="1186"/>
        <v>177.77719999999999</v>
      </c>
      <c r="CJ146" s="23">
        <f>+'QTR Raw'!BD68</f>
        <v>130.56</v>
      </c>
      <c r="CK146" s="23">
        <f t="shared" ref="CK146" si="1188">+CK143-CK144-CK145</f>
        <v>121.92199999999998</v>
      </c>
      <c r="CL146" s="23">
        <f>+'QTR Raw'!BF68</f>
        <v>127.78100000000001</v>
      </c>
      <c r="CM146" s="21">
        <f t="shared" ref="CM146:DB146" si="1189">+CM143-CM144-CM145</f>
        <v>117.80036924427097</v>
      </c>
      <c r="CN146" s="21">
        <f t="shared" si="1189"/>
        <v>108.59929875401332</v>
      </c>
      <c r="CO146" s="21">
        <f t="shared" si="1189"/>
        <v>100.11689917039044</v>
      </c>
      <c r="CP146" s="21">
        <f t="shared" si="1189"/>
        <v>92.297037038866762</v>
      </c>
      <c r="CQ146" s="21">
        <f t="shared" si="1189"/>
        <v>85.087963338294855</v>
      </c>
      <c r="CR146" s="21">
        <f t="shared" si="1189"/>
        <v>78.441971024597734</v>
      </c>
      <c r="CS146" s="21">
        <f t="shared" si="1189"/>
        <v>72.315079322794588</v>
      </c>
      <c r="CT146" s="21">
        <f t="shared" si="1189"/>
        <v>66.666742678128543</v>
      </c>
      <c r="CU146" s="21">
        <f t="shared" si="1189"/>
        <v>61.45958244024024</v>
      </c>
      <c r="CV146" s="21">
        <f t="shared" si="1189"/>
        <v>56.659139504769968</v>
      </c>
      <c r="CW146" s="21">
        <f t="shared" si="1189"/>
        <v>52.233646275460046</v>
      </c>
      <c r="CX146" s="21">
        <f t="shared" si="1189"/>
        <v>48.153816437685037</v>
      </c>
      <c r="CY146" s="21">
        <f t="shared" si="1189"/>
        <v>44.392651152206838</v>
      </c>
      <c r="CZ146" s="21">
        <f t="shared" si="1189"/>
        <v>40.925260386615179</v>
      </c>
      <c r="DA146" s="21">
        <f t="shared" si="1189"/>
        <v>37.728698202089532</v>
      </c>
      <c r="DB146" s="21">
        <f t="shared" si="1189"/>
        <v>34.78181090546957</v>
      </c>
      <c r="DE146" s="126"/>
      <c r="DF146" s="22">
        <v>188.55550000000002</v>
      </c>
    </row>
    <row r="147" spans="1:110" s="23" customFormat="1" outlineLevel="1" x14ac:dyDescent="0.2">
      <c r="A147" s="23" t="s">
        <v>54</v>
      </c>
      <c r="B147" s="23">
        <f>'Annual Raw'!C86</f>
        <v>0</v>
      </c>
      <c r="C147" s="23">
        <f>'Annual Raw'!D86</f>
        <v>0</v>
      </c>
      <c r="D147" s="23">
        <f>'Annual Raw'!E86</f>
        <v>0</v>
      </c>
      <c r="E147" s="23">
        <f>'Annual Raw'!F86</f>
        <v>0</v>
      </c>
      <c r="F147" s="23">
        <f>'Annual Raw'!G86</f>
        <v>0</v>
      </c>
      <c r="G147" s="23">
        <f>'Annual Raw'!H86</f>
        <v>0</v>
      </c>
      <c r="H147" s="23">
        <f>'Annual Raw'!I86</f>
        <v>0</v>
      </c>
      <c r="I147" s="23">
        <f>'Annual Raw'!J86</f>
        <v>0</v>
      </c>
      <c r="J147" s="23">
        <f>'Annual Raw'!K86</f>
        <v>0</v>
      </c>
      <c r="K147" s="23">
        <f>'Annual Raw'!L86</f>
        <v>0</v>
      </c>
      <c r="L147" s="23">
        <f>'Annual Raw'!M86</f>
        <v>0</v>
      </c>
      <c r="M147" s="23">
        <f>'Annual Raw'!N86</f>
        <v>0</v>
      </c>
      <c r="N147" s="23">
        <f>'Annual Raw'!O86</f>
        <v>0</v>
      </c>
      <c r="O147" s="23">
        <f>'Annual Raw'!P86</f>
        <v>0</v>
      </c>
      <c r="P147" s="23">
        <f>'Annual Raw'!Q86</f>
        <v>0</v>
      </c>
      <c r="Q147" s="23">
        <f>'Annual Raw'!R86</f>
        <v>0</v>
      </c>
      <c r="R147" s="23">
        <f>'Annual Raw'!S86</f>
        <v>6.7009999999999996</v>
      </c>
      <c r="S147" s="23">
        <f>'Annual Raw'!T86</f>
        <v>5.8109999999999999</v>
      </c>
      <c r="T147" s="23">
        <f>'Annual Raw'!U86</f>
        <v>5.4509999999999996</v>
      </c>
      <c r="U147" s="23">
        <f>'Annual Raw'!V86</f>
        <v>2.9289999999999998</v>
      </c>
      <c r="V147" s="23">
        <f>'Annual Raw'!W86</f>
        <v>2.9011</v>
      </c>
      <c r="W147" s="23">
        <f>'Annual Raw'!X86</f>
        <v>2.9011</v>
      </c>
      <c r="X147" s="23">
        <f>'Annual Raw'!Y86</f>
        <v>2.9011</v>
      </c>
      <c r="Y147" s="23">
        <f>'Annual Raw'!Z86</f>
        <v>2.9011</v>
      </c>
      <c r="Z147" s="23">
        <f>'Annual Raw'!AA86</f>
        <v>2.4864999999999999</v>
      </c>
      <c r="AA147" s="23">
        <f>'Annual Raw'!AB86</f>
        <v>2.4864999999999999</v>
      </c>
      <c r="AB147" s="24">
        <f t="shared" si="1170"/>
        <v>2.4870000000000001</v>
      </c>
      <c r="AC147" s="24">
        <f t="shared" si="1171"/>
        <v>2.4870000000000001</v>
      </c>
      <c r="AD147" s="24">
        <f t="shared" si="1172"/>
        <v>2.4870000000000001</v>
      </c>
      <c r="AE147" s="24">
        <f t="shared" si="1173"/>
        <v>2.4870000000000001</v>
      </c>
      <c r="AJ147" s="23">
        <f>+'QTR Raw'!D72</f>
        <v>0</v>
      </c>
      <c r="AK147" s="23">
        <f>+AJ147</f>
        <v>0</v>
      </c>
      <c r="AL147" s="23">
        <f>+'QTR Raw'!F72</f>
        <v>0</v>
      </c>
      <c r="AM147" s="23">
        <f t="shared" ref="AK147:CE149" si="1190">+AL147</f>
        <v>0</v>
      </c>
      <c r="AN147" s="23">
        <f>+'QTR Raw'!H72</f>
        <v>0</v>
      </c>
      <c r="AO147" s="23">
        <f t="shared" si="1190"/>
        <v>0</v>
      </c>
      <c r="AP147" s="23">
        <f>+'QTR Raw'!J72</f>
        <v>0</v>
      </c>
      <c r="AQ147" s="23">
        <f t="shared" si="1190"/>
        <v>0</v>
      </c>
      <c r="AR147" s="23">
        <f>+'QTR Raw'!L72</f>
        <v>0</v>
      </c>
      <c r="AS147" s="23">
        <f t="shared" si="1190"/>
        <v>0</v>
      </c>
      <c r="AT147" s="23">
        <f>+'QTR Raw'!N72</f>
        <v>0</v>
      </c>
      <c r="AU147" s="23">
        <f t="shared" si="1190"/>
        <v>0</v>
      </c>
      <c r="AV147" s="23">
        <f>+'QTR Raw'!P72</f>
        <v>0</v>
      </c>
      <c r="AW147" s="23">
        <f t="shared" si="1190"/>
        <v>0</v>
      </c>
      <c r="AX147" s="23">
        <f>+'QTR Raw'!R72</f>
        <v>0</v>
      </c>
      <c r="AY147" s="23">
        <f t="shared" si="1190"/>
        <v>0</v>
      </c>
      <c r="AZ147" s="23">
        <f>+'QTR Raw'!T72</f>
        <v>0</v>
      </c>
      <c r="BA147" s="23">
        <f t="shared" si="1190"/>
        <v>0</v>
      </c>
      <c r="BB147" s="23">
        <f>+'QTR Raw'!V72</f>
        <v>0</v>
      </c>
      <c r="BC147" s="23">
        <f t="shared" si="1190"/>
        <v>0</v>
      </c>
      <c r="BD147" s="23">
        <f>+'QTR Raw'!X72</f>
        <v>0</v>
      </c>
      <c r="BE147" s="23">
        <f t="shared" si="1190"/>
        <v>0</v>
      </c>
      <c r="BF147" s="23">
        <f>+'QTR Raw'!Z72</f>
        <v>0</v>
      </c>
      <c r="BG147" s="23">
        <f t="shared" si="1190"/>
        <v>0</v>
      </c>
      <c r="BH147" s="23">
        <f>+'QTR Raw'!AB72</f>
        <v>0</v>
      </c>
      <c r="BI147" s="23">
        <f t="shared" si="1190"/>
        <v>0</v>
      </c>
      <c r="BJ147" s="23">
        <f>+'QTR Raw'!AD72</f>
        <v>0</v>
      </c>
      <c r="BK147" s="23">
        <f t="shared" si="1190"/>
        <v>0</v>
      </c>
      <c r="BL147" s="23">
        <f>+'QTR Raw'!AF72</f>
        <v>0</v>
      </c>
      <c r="BM147" s="23">
        <f t="shared" si="1190"/>
        <v>0</v>
      </c>
      <c r="BN147" s="23">
        <f>+'QTR Raw'!AH72</f>
        <v>0</v>
      </c>
      <c r="BO147" s="23">
        <f t="shared" si="1190"/>
        <v>0</v>
      </c>
      <c r="BP147" s="23">
        <f>+'QTR Raw'!AJ72</f>
        <v>0</v>
      </c>
      <c r="BQ147" s="23">
        <f t="shared" si="1190"/>
        <v>0</v>
      </c>
      <c r="BR147" s="23">
        <f>+'QTR Raw'!AL72</f>
        <v>2.9009999999999998</v>
      </c>
      <c r="BS147" s="23">
        <f t="shared" si="1190"/>
        <v>2.9009999999999998</v>
      </c>
      <c r="BT147" s="23">
        <f>+'QTR Raw'!AN72</f>
        <v>0</v>
      </c>
      <c r="BU147" s="23">
        <f t="shared" si="1190"/>
        <v>0</v>
      </c>
      <c r="BV147" s="23">
        <f>+'QTR Raw'!AP72</f>
        <v>2.9009999999999998</v>
      </c>
      <c r="BW147" s="23">
        <f t="shared" si="1190"/>
        <v>2.9009999999999998</v>
      </c>
      <c r="BX147" s="23">
        <f>+'QTR Raw'!AR72</f>
        <v>2.9009999999999998</v>
      </c>
      <c r="BY147" s="23">
        <f t="shared" si="1190"/>
        <v>2.9009999999999998</v>
      </c>
      <c r="BZ147" s="23">
        <f>+'QTR Raw'!AT72</f>
        <v>2.9009999999999998</v>
      </c>
      <c r="CA147" s="23">
        <f t="shared" si="1190"/>
        <v>2.9009999999999998</v>
      </c>
      <c r="CB147" s="23">
        <f>+'QTR Raw'!AV72</f>
        <v>2.9009999999999998</v>
      </c>
      <c r="CC147" s="23">
        <f t="shared" si="1190"/>
        <v>2.9009999999999998</v>
      </c>
      <c r="CD147" s="23">
        <f>+'QTR Raw'!AX72</f>
        <v>2.9009999999999998</v>
      </c>
      <c r="CE147" s="23">
        <f t="shared" si="1190"/>
        <v>2.9009999999999998</v>
      </c>
      <c r="CF147" s="23">
        <f>+'QTR Raw'!AZ72</f>
        <v>2.9009999999999998</v>
      </c>
      <c r="CG147" s="23">
        <f t="shared" si="1187"/>
        <v>2.9009999999999998</v>
      </c>
      <c r="CH147" s="23">
        <f t="shared" si="1174"/>
        <v>2.4864999999999999</v>
      </c>
      <c r="CI147" s="23">
        <f t="shared" si="1187"/>
        <v>2.4864999999999999</v>
      </c>
      <c r="CJ147" s="23">
        <f>+'QTR Raw'!BD72</f>
        <v>2.4860000000000002</v>
      </c>
      <c r="CK147" s="23">
        <f t="shared" ref="CK147:CM149" si="1191">+CJ147</f>
        <v>2.4860000000000002</v>
      </c>
      <c r="CL147" s="23">
        <f>+'QTR Raw'!BF72</f>
        <v>2.4870000000000001</v>
      </c>
      <c r="CM147" s="24">
        <f t="shared" si="1191"/>
        <v>2.4870000000000001</v>
      </c>
      <c r="CN147" s="24">
        <f t="shared" ref="CN147:CN149" si="1192">+CM147</f>
        <v>2.4870000000000001</v>
      </c>
      <c r="CO147" s="24">
        <f t="shared" ref="CO147:CO149" si="1193">+CN147</f>
        <v>2.4870000000000001</v>
      </c>
      <c r="CP147" s="24">
        <f t="shared" ref="CP147:CP149" si="1194">+CO147</f>
        <v>2.4870000000000001</v>
      </c>
      <c r="CQ147" s="24">
        <f t="shared" ref="CQ147:CQ149" si="1195">+CP147</f>
        <v>2.4870000000000001</v>
      </c>
      <c r="CR147" s="24">
        <f t="shared" ref="CR147:CR149" si="1196">+CQ147</f>
        <v>2.4870000000000001</v>
      </c>
      <c r="CS147" s="24">
        <f t="shared" ref="CS147:CS149" si="1197">+CR147</f>
        <v>2.4870000000000001</v>
      </c>
      <c r="CT147" s="24">
        <f t="shared" ref="CT147:CT149" si="1198">+CS147</f>
        <v>2.4870000000000001</v>
      </c>
      <c r="CU147" s="24">
        <f t="shared" ref="CU147:CU149" si="1199">+CT147</f>
        <v>2.4870000000000001</v>
      </c>
      <c r="CV147" s="24">
        <f t="shared" ref="CV147:CV149" si="1200">+CU147</f>
        <v>2.4870000000000001</v>
      </c>
      <c r="CW147" s="24">
        <f t="shared" ref="CW147:CW149" si="1201">+CV147</f>
        <v>2.4870000000000001</v>
      </c>
      <c r="CX147" s="24">
        <f t="shared" ref="CX147:CX149" si="1202">+CW147</f>
        <v>2.4870000000000001</v>
      </c>
      <c r="CY147" s="24">
        <f t="shared" ref="CY147:CY149" si="1203">+CX147</f>
        <v>2.4870000000000001</v>
      </c>
      <c r="CZ147" s="24">
        <f t="shared" ref="CZ147:CZ149" si="1204">+CY147</f>
        <v>2.4870000000000001</v>
      </c>
      <c r="DA147" s="24">
        <f t="shared" ref="DA147:DA149" si="1205">+CZ147</f>
        <v>2.4870000000000001</v>
      </c>
      <c r="DB147" s="24">
        <f t="shared" ref="DB147:DB149" si="1206">+DA147</f>
        <v>2.4870000000000001</v>
      </c>
      <c r="DE147" s="123"/>
      <c r="DF147" s="23">
        <v>2.4864999999999999</v>
      </c>
    </row>
    <row r="148" spans="1:110" s="23" customFormat="1" outlineLevel="1" x14ac:dyDescent="0.2">
      <c r="A148" s="23" t="s">
        <v>55</v>
      </c>
      <c r="B148" s="23">
        <f>'Annual Raw'!C68</f>
        <v>0</v>
      </c>
      <c r="C148" s="23">
        <f>'Annual Raw'!D68</f>
        <v>0</v>
      </c>
      <c r="D148" s="23">
        <f>'Annual Raw'!E68</f>
        <v>0</v>
      </c>
      <c r="E148" s="23">
        <f>'Annual Raw'!F68</f>
        <v>0</v>
      </c>
      <c r="F148" s="23">
        <f>'Annual Raw'!G68</f>
        <v>0</v>
      </c>
      <c r="G148" s="23">
        <f>'Annual Raw'!H68</f>
        <v>0</v>
      </c>
      <c r="H148" s="23">
        <f>'Annual Raw'!I68</f>
        <v>0</v>
      </c>
      <c r="I148" s="23">
        <f>'Annual Raw'!J68</f>
        <v>0</v>
      </c>
      <c r="J148" s="23">
        <f>'Annual Raw'!K68</f>
        <v>0</v>
      </c>
      <c r="K148" s="23">
        <f>'Annual Raw'!L68</f>
        <v>0</v>
      </c>
      <c r="L148" s="23">
        <f>'Annual Raw'!M68</f>
        <v>0</v>
      </c>
      <c r="M148" s="23">
        <f>'Annual Raw'!N68</f>
        <v>0</v>
      </c>
      <c r="N148" s="23">
        <f>'Annual Raw'!O68</f>
        <v>0</v>
      </c>
      <c r="O148" s="23">
        <f>'Annual Raw'!P68</f>
        <v>0</v>
      </c>
      <c r="P148" s="23">
        <f>'Annual Raw'!Q68</f>
        <v>0</v>
      </c>
      <c r="Q148" s="23">
        <f>'Annual Raw'!R68</f>
        <v>0</v>
      </c>
      <c r="R148" s="23">
        <f>'Annual Raw'!S68</f>
        <v>20.283000000000001</v>
      </c>
      <c r="S148" s="23">
        <f>'Annual Raw'!T68</f>
        <v>23.46</v>
      </c>
      <c r="T148" s="23">
        <f>'Annual Raw'!U68</f>
        <v>31.663</v>
      </c>
      <c r="U148" s="23">
        <f>'Annual Raw'!V68</f>
        <v>0</v>
      </c>
      <c r="V148" s="23">
        <f>'Annual Raw'!W68</f>
        <v>0</v>
      </c>
      <c r="W148" s="23">
        <f>'Annual Raw'!X68</f>
        <v>0</v>
      </c>
      <c r="X148" s="23">
        <f>'Annual Raw'!Y68</f>
        <v>0</v>
      </c>
      <c r="Y148" s="23">
        <f>'Annual Raw'!Z68</f>
        <v>0</v>
      </c>
      <c r="Z148" s="23">
        <f>'Annual Raw'!AA68</f>
        <v>0</v>
      </c>
      <c r="AA148" s="23">
        <f>'Annual Raw'!AB68</f>
        <v>0</v>
      </c>
      <c r="AB148" s="24">
        <f t="shared" si="1170"/>
        <v>0</v>
      </c>
      <c r="AC148" s="24">
        <f t="shared" si="1171"/>
        <v>0</v>
      </c>
      <c r="AD148" s="24">
        <f t="shared" si="1172"/>
        <v>0</v>
      </c>
      <c r="AE148" s="24">
        <f t="shared" si="1173"/>
        <v>0</v>
      </c>
      <c r="AK148" s="23">
        <f t="shared" si="1190"/>
        <v>0</v>
      </c>
      <c r="AM148" s="23">
        <f t="shared" si="1190"/>
        <v>0</v>
      </c>
      <c r="AO148" s="23">
        <f t="shared" si="1190"/>
        <v>0</v>
      </c>
      <c r="AQ148" s="23">
        <f t="shared" si="1190"/>
        <v>0</v>
      </c>
      <c r="AS148" s="23">
        <f t="shared" si="1190"/>
        <v>0</v>
      </c>
      <c r="AU148" s="23">
        <f t="shared" si="1190"/>
        <v>0</v>
      </c>
      <c r="AW148" s="23">
        <f t="shared" si="1190"/>
        <v>0</v>
      </c>
      <c r="AY148" s="23">
        <f t="shared" si="1190"/>
        <v>0</v>
      </c>
      <c r="BA148" s="23">
        <f t="shared" si="1190"/>
        <v>0</v>
      </c>
      <c r="BC148" s="23">
        <f t="shared" si="1190"/>
        <v>0</v>
      </c>
      <c r="BE148" s="23">
        <f t="shared" si="1190"/>
        <v>0</v>
      </c>
      <c r="BG148" s="23">
        <f t="shared" si="1190"/>
        <v>0</v>
      </c>
      <c r="BI148" s="23">
        <f t="shared" si="1190"/>
        <v>0</v>
      </c>
      <c r="BK148" s="23">
        <f t="shared" si="1190"/>
        <v>0</v>
      </c>
      <c r="BM148" s="23">
        <f t="shared" si="1190"/>
        <v>0</v>
      </c>
      <c r="BO148" s="23">
        <f t="shared" si="1190"/>
        <v>0</v>
      </c>
      <c r="BQ148" s="23">
        <f t="shared" si="1190"/>
        <v>0</v>
      </c>
      <c r="BS148" s="23">
        <f t="shared" si="1190"/>
        <v>0</v>
      </c>
      <c r="BU148" s="23">
        <f t="shared" si="1190"/>
        <v>0</v>
      </c>
      <c r="BW148" s="23">
        <f t="shared" si="1190"/>
        <v>0</v>
      </c>
      <c r="BY148" s="23">
        <f t="shared" si="1190"/>
        <v>0</v>
      </c>
      <c r="CA148" s="23">
        <f t="shared" si="1190"/>
        <v>0</v>
      </c>
      <c r="CC148" s="23">
        <f t="shared" si="1190"/>
        <v>0</v>
      </c>
      <c r="CE148" s="23">
        <f t="shared" si="1190"/>
        <v>0</v>
      </c>
      <c r="CG148" s="23">
        <f t="shared" si="1187"/>
        <v>0</v>
      </c>
      <c r="CH148" s="23">
        <f t="shared" si="1174"/>
        <v>0</v>
      </c>
      <c r="CI148" s="23">
        <f t="shared" si="1187"/>
        <v>0</v>
      </c>
      <c r="CK148" s="23">
        <f t="shared" si="1191"/>
        <v>0</v>
      </c>
      <c r="CM148" s="24">
        <f t="shared" si="1191"/>
        <v>0</v>
      </c>
      <c r="CN148" s="24">
        <f t="shared" si="1192"/>
        <v>0</v>
      </c>
      <c r="CO148" s="24">
        <f t="shared" si="1193"/>
        <v>0</v>
      </c>
      <c r="CP148" s="24">
        <f t="shared" si="1194"/>
        <v>0</v>
      </c>
      <c r="CQ148" s="24">
        <f t="shared" si="1195"/>
        <v>0</v>
      </c>
      <c r="CR148" s="24">
        <f t="shared" si="1196"/>
        <v>0</v>
      </c>
      <c r="CS148" s="24">
        <f t="shared" si="1197"/>
        <v>0</v>
      </c>
      <c r="CT148" s="24">
        <f t="shared" si="1198"/>
        <v>0</v>
      </c>
      <c r="CU148" s="24">
        <f t="shared" si="1199"/>
        <v>0</v>
      </c>
      <c r="CV148" s="24">
        <f t="shared" si="1200"/>
        <v>0</v>
      </c>
      <c r="CW148" s="24">
        <f t="shared" si="1201"/>
        <v>0</v>
      </c>
      <c r="CX148" s="24">
        <f t="shared" si="1202"/>
        <v>0</v>
      </c>
      <c r="CY148" s="24">
        <f t="shared" si="1203"/>
        <v>0</v>
      </c>
      <c r="CZ148" s="24">
        <f t="shared" si="1204"/>
        <v>0</v>
      </c>
      <c r="DA148" s="24">
        <f t="shared" si="1205"/>
        <v>0</v>
      </c>
      <c r="DB148" s="24">
        <f t="shared" si="1206"/>
        <v>0</v>
      </c>
      <c r="DE148" s="123"/>
      <c r="DF148" s="23">
        <v>0</v>
      </c>
    </row>
    <row r="149" spans="1:110" s="23" customFormat="1" outlineLevel="1" x14ac:dyDescent="0.2">
      <c r="A149" s="23" t="s">
        <v>56</v>
      </c>
      <c r="B149" s="23">
        <f>'Annual Raw'!C67+'Annual Raw'!C66+'Annual Raw'!C69+'Annual Raw'!C70</f>
        <v>0</v>
      </c>
      <c r="C149" s="23">
        <f>'Annual Raw'!D67+'Annual Raw'!D66+'Annual Raw'!D69+'Annual Raw'!D70</f>
        <v>0</v>
      </c>
      <c r="D149" s="23">
        <f>'Annual Raw'!E67+'Annual Raw'!E66+'Annual Raw'!E69+'Annual Raw'!E70</f>
        <v>0</v>
      </c>
      <c r="E149" s="23">
        <f>'Annual Raw'!F67+'Annual Raw'!F66+'Annual Raw'!F69+'Annual Raw'!F70</f>
        <v>0</v>
      </c>
      <c r="F149" s="23">
        <f>'Annual Raw'!G67+'Annual Raw'!G66+'Annual Raw'!G69+'Annual Raw'!G70</f>
        <v>0</v>
      </c>
      <c r="G149" s="23">
        <f>'Annual Raw'!H67+'Annual Raw'!H66+'Annual Raw'!H69+'Annual Raw'!H70</f>
        <v>0</v>
      </c>
      <c r="H149" s="23">
        <f>'Annual Raw'!I67+'Annual Raw'!I66+'Annual Raw'!I69+'Annual Raw'!I70</f>
        <v>0</v>
      </c>
      <c r="I149" s="23">
        <f>'Annual Raw'!J67+'Annual Raw'!J66+'Annual Raw'!J69+'Annual Raw'!J70</f>
        <v>0</v>
      </c>
      <c r="J149" s="23">
        <f>'Annual Raw'!K67+'Annual Raw'!K66+'Annual Raw'!K69+'Annual Raw'!K70</f>
        <v>0</v>
      </c>
      <c r="K149" s="23">
        <f>'Annual Raw'!L67+'Annual Raw'!L66+'Annual Raw'!L69+'Annual Raw'!L70</f>
        <v>0</v>
      </c>
      <c r="L149" s="23">
        <f>'Annual Raw'!M67+'Annual Raw'!M66+'Annual Raw'!M69+'Annual Raw'!M70</f>
        <v>0</v>
      </c>
      <c r="M149" s="23">
        <f>'Annual Raw'!N67+'Annual Raw'!N66+'Annual Raw'!N69+'Annual Raw'!N70</f>
        <v>0</v>
      </c>
      <c r="N149" s="23">
        <f>'Annual Raw'!O67+'Annual Raw'!O66+'Annual Raw'!O69+'Annual Raw'!O70</f>
        <v>0</v>
      </c>
      <c r="O149" s="23">
        <f>'Annual Raw'!P67+'Annual Raw'!P66+'Annual Raw'!P69+'Annual Raw'!P70</f>
        <v>0</v>
      </c>
      <c r="P149" s="23">
        <f>'Annual Raw'!Q67+'Annual Raw'!Q66+'Annual Raw'!Q69+'Annual Raw'!Q70</f>
        <v>0</v>
      </c>
      <c r="Q149" s="23">
        <f>'Annual Raw'!R67+'Annual Raw'!R66+'Annual Raw'!R69+'Annual Raw'!R70</f>
        <v>0</v>
      </c>
      <c r="R149" s="23">
        <f>'Annual Raw'!S67+'Annual Raw'!S66+'Annual Raw'!S69+'Annual Raw'!S70</f>
        <v>0</v>
      </c>
      <c r="S149" s="23">
        <f>'Annual Raw'!T67+'Annual Raw'!T66+'Annual Raw'!T69+'Annual Raw'!T70</f>
        <v>0</v>
      </c>
      <c r="T149" s="23">
        <f>'Annual Raw'!U67+'Annual Raw'!U66+'Annual Raw'!U69+'Annual Raw'!U70</f>
        <v>0</v>
      </c>
      <c r="U149" s="23">
        <f>'Annual Raw'!V67+'Annual Raw'!V66+'Annual Raw'!V69+'Annual Raw'!V70</f>
        <v>65.385999999999996</v>
      </c>
      <c r="V149" s="23">
        <f>'Annual Raw'!W67+'Annual Raw'!W66+'Annual Raw'!W69+'Annual Raw'!W70</f>
        <v>69.039199999999994</v>
      </c>
      <c r="W149" s="23">
        <f>'Annual Raw'!X67+'Annual Raw'!X66+'Annual Raw'!X69+'Annual Raw'!X70</f>
        <v>0</v>
      </c>
      <c r="X149" s="23">
        <f>'Annual Raw'!Y67+'Annual Raw'!Y66+'Annual Raw'!Y69+'Annual Raw'!Y70</f>
        <v>0</v>
      </c>
      <c r="Y149" s="23">
        <f>'Annual Raw'!Z67+'Annual Raw'!Z66+'Annual Raw'!Z69+'Annual Raw'!Z70</f>
        <v>0.81630000000000003</v>
      </c>
      <c r="Z149" s="23">
        <f>'Annual Raw'!AA67+'Annual Raw'!AA66+'Annual Raw'!AA69+'Annual Raw'!AA70</f>
        <v>0</v>
      </c>
      <c r="AA149" s="23">
        <f>'Annual Raw'!AB67+'Annual Raw'!AB66+'Annual Raw'!AB69+'Annual Raw'!AB70</f>
        <v>0</v>
      </c>
      <c r="AB149" s="24">
        <f t="shared" si="1170"/>
        <v>0</v>
      </c>
      <c r="AC149" s="24">
        <f t="shared" si="1171"/>
        <v>0</v>
      </c>
      <c r="AD149" s="24">
        <f t="shared" si="1172"/>
        <v>0</v>
      </c>
      <c r="AE149" s="24">
        <f t="shared" si="1173"/>
        <v>0</v>
      </c>
      <c r="AJ149" s="23">
        <f>+'QTR Raw'!D74+'QTR Raw'!D75</f>
        <v>0</v>
      </c>
      <c r="AK149" s="23">
        <f t="shared" si="1190"/>
        <v>0</v>
      </c>
      <c r="AL149" s="23">
        <f>+'QTR Raw'!F74+'QTR Raw'!F75</f>
        <v>0</v>
      </c>
      <c r="AM149" s="23">
        <f t="shared" si="1190"/>
        <v>0</v>
      </c>
      <c r="AN149" s="23">
        <f>+'QTR Raw'!H74+'QTR Raw'!H75</f>
        <v>0</v>
      </c>
      <c r="AO149" s="23">
        <f t="shared" si="1190"/>
        <v>0</v>
      </c>
      <c r="AP149" s="23">
        <f>+'QTR Raw'!J74+'QTR Raw'!J75</f>
        <v>0</v>
      </c>
      <c r="AQ149" s="23">
        <f t="shared" si="1190"/>
        <v>0</v>
      </c>
      <c r="AR149" s="23">
        <f>+'QTR Raw'!L74+'QTR Raw'!L75</f>
        <v>0</v>
      </c>
      <c r="AS149" s="23">
        <f t="shared" si="1190"/>
        <v>0</v>
      </c>
      <c r="AT149" s="23">
        <f>+'QTR Raw'!N74+'QTR Raw'!N75</f>
        <v>0</v>
      </c>
      <c r="AU149" s="23">
        <f t="shared" si="1190"/>
        <v>0</v>
      </c>
      <c r="AV149" s="23">
        <f>+'QTR Raw'!P74+'QTR Raw'!P75</f>
        <v>0</v>
      </c>
      <c r="AW149" s="23">
        <f t="shared" si="1190"/>
        <v>0</v>
      </c>
      <c r="AX149" s="23">
        <f>+'QTR Raw'!R74+'QTR Raw'!R75</f>
        <v>0</v>
      </c>
      <c r="AY149" s="23">
        <f t="shared" si="1190"/>
        <v>0</v>
      </c>
      <c r="AZ149" s="23">
        <f>+'QTR Raw'!T74+'QTR Raw'!T75</f>
        <v>0</v>
      </c>
      <c r="BA149" s="23">
        <f t="shared" si="1190"/>
        <v>0</v>
      </c>
      <c r="BB149" s="23">
        <f>+'QTR Raw'!V74+'QTR Raw'!V75</f>
        <v>0</v>
      </c>
      <c r="BC149" s="23">
        <f t="shared" si="1190"/>
        <v>0</v>
      </c>
      <c r="BD149" s="23">
        <f>+'QTR Raw'!X74+'QTR Raw'!X75</f>
        <v>0</v>
      </c>
      <c r="BE149" s="23">
        <f t="shared" si="1190"/>
        <v>0</v>
      </c>
      <c r="BF149" s="23">
        <f>+'QTR Raw'!Z74+'QTR Raw'!Z75</f>
        <v>0</v>
      </c>
      <c r="BG149" s="23">
        <f t="shared" si="1190"/>
        <v>0</v>
      </c>
      <c r="BH149" s="23">
        <f>+'QTR Raw'!AB74+'QTR Raw'!AB75</f>
        <v>0</v>
      </c>
      <c r="BI149" s="23">
        <f t="shared" si="1190"/>
        <v>0</v>
      </c>
      <c r="BJ149" s="23">
        <f>+'QTR Raw'!AD74+'QTR Raw'!AD75</f>
        <v>0</v>
      </c>
      <c r="BK149" s="23">
        <f t="shared" si="1190"/>
        <v>0</v>
      </c>
      <c r="BL149" s="23">
        <f>+'QTR Raw'!AF74+'QTR Raw'!AF75</f>
        <v>0</v>
      </c>
      <c r="BM149" s="23">
        <f t="shared" si="1190"/>
        <v>0</v>
      </c>
      <c r="BN149" s="23">
        <f>+'QTR Raw'!AH74+'QTR Raw'!AH75</f>
        <v>0</v>
      </c>
      <c r="BO149" s="23">
        <f t="shared" si="1190"/>
        <v>0</v>
      </c>
      <c r="BP149" s="23">
        <f>+'QTR Raw'!AJ74+'QTR Raw'!AJ75</f>
        <v>0</v>
      </c>
      <c r="BQ149" s="23">
        <f t="shared" si="1190"/>
        <v>0</v>
      </c>
      <c r="BR149" s="23">
        <f>+'QTR Raw'!AL74+'QTR Raw'!AL75</f>
        <v>69.039000000000001</v>
      </c>
      <c r="BS149" s="23">
        <f t="shared" si="1190"/>
        <v>69.039000000000001</v>
      </c>
      <c r="BT149" s="23">
        <f>+'QTR Raw'!AN74+'QTR Raw'!AN75</f>
        <v>0</v>
      </c>
      <c r="BU149" s="23">
        <f t="shared" si="1190"/>
        <v>0</v>
      </c>
      <c r="BV149" s="23">
        <f>+'QTR Raw'!AP74+'QTR Raw'!AP75</f>
        <v>0</v>
      </c>
      <c r="BW149" s="23">
        <f t="shared" si="1190"/>
        <v>0</v>
      </c>
      <c r="BX149" s="23">
        <f>+'QTR Raw'!AR74+'QTR Raw'!AR75</f>
        <v>0</v>
      </c>
      <c r="BY149" s="23">
        <f t="shared" si="1190"/>
        <v>0</v>
      </c>
      <c r="BZ149" s="23">
        <f>+'QTR Raw'!AT74+'QTR Raw'!AT75</f>
        <v>0</v>
      </c>
      <c r="CA149" s="23">
        <f t="shared" si="1190"/>
        <v>0</v>
      </c>
      <c r="CB149" s="23">
        <f>+'QTR Raw'!AV74+'QTR Raw'!AV75</f>
        <v>0</v>
      </c>
      <c r="CC149" s="23">
        <f t="shared" si="1190"/>
        <v>0</v>
      </c>
      <c r="CD149" s="23">
        <f>+'QTR Raw'!AX74+'QTR Raw'!AX75</f>
        <v>0.81599999999999995</v>
      </c>
      <c r="CE149" s="23">
        <f t="shared" si="1190"/>
        <v>0.81599999999999995</v>
      </c>
      <c r="CF149" s="23">
        <f>+'QTR Raw'!AZ74+'QTR Raw'!AZ75</f>
        <v>1.3979999999999999</v>
      </c>
      <c r="CG149" s="23">
        <f t="shared" si="1187"/>
        <v>1.3979999999999999</v>
      </c>
      <c r="CH149" s="23">
        <f t="shared" si="1174"/>
        <v>0</v>
      </c>
      <c r="CI149" s="23">
        <f t="shared" si="1187"/>
        <v>0</v>
      </c>
      <c r="CJ149" s="23">
        <f>+'QTR Raw'!BD74+'QTR Raw'!BD75</f>
        <v>0</v>
      </c>
      <c r="CK149" s="23">
        <f t="shared" si="1191"/>
        <v>0</v>
      </c>
      <c r="CL149" s="23">
        <f>+'QTR Raw'!BF74+'QTR Raw'!BF75</f>
        <v>0</v>
      </c>
      <c r="CM149" s="24">
        <f t="shared" si="1191"/>
        <v>0</v>
      </c>
      <c r="CN149" s="24">
        <f t="shared" si="1192"/>
        <v>0</v>
      </c>
      <c r="CO149" s="24">
        <f t="shared" si="1193"/>
        <v>0</v>
      </c>
      <c r="CP149" s="24">
        <f t="shared" si="1194"/>
        <v>0</v>
      </c>
      <c r="CQ149" s="24">
        <f t="shared" si="1195"/>
        <v>0</v>
      </c>
      <c r="CR149" s="24">
        <f t="shared" si="1196"/>
        <v>0</v>
      </c>
      <c r="CS149" s="24">
        <f t="shared" si="1197"/>
        <v>0</v>
      </c>
      <c r="CT149" s="24">
        <f t="shared" si="1198"/>
        <v>0</v>
      </c>
      <c r="CU149" s="24">
        <f t="shared" si="1199"/>
        <v>0</v>
      </c>
      <c r="CV149" s="24">
        <f t="shared" si="1200"/>
        <v>0</v>
      </c>
      <c r="CW149" s="24">
        <f t="shared" si="1201"/>
        <v>0</v>
      </c>
      <c r="CX149" s="24">
        <f t="shared" si="1202"/>
        <v>0</v>
      </c>
      <c r="CY149" s="24">
        <f t="shared" si="1203"/>
        <v>0</v>
      </c>
      <c r="CZ149" s="24">
        <f t="shared" si="1204"/>
        <v>0</v>
      </c>
      <c r="DA149" s="24">
        <f t="shared" si="1205"/>
        <v>0</v>
      </c>
      <c r="DB149" s="24">
        <f t="shared" si="1206"/>
        <v>0</v>
      </c>
      <c r="DE149" s="123"/>
      <c r="DF149" s="23">
        <v>0</v>
      </c>
    </row>
    <row r="150" spans="1:110" s="22" customFormat="1" x14ac:dyDescent="0.2">
      <c r="A150" s="22" t="s">
        <v>57</v>
      </c>
      <c r="B150" s="22">
        <f>B146+B149+B148</f>
        <v>0</v>
      </c>
      <c r="C150" s="22">
        <f t="shared" ref="C150:D150" si="1207">C146+C149+C148</f>
        <v>0</v>
      </c>
      <c r="D150" s="22">
        <f t="shared" si="1207"/>
        <v>0</v>
      </c>
      <c r="E150" s="22">
        <f t="shared" ref="E150:Y150" si="1208">E146+E149+E148+E147</f>
        <v>0</v>
      </c>
      <c r="F150" s="22">
        <f t="shared" si="1208"/>
        <v>0</v>
      </c>
      <c r="G150" s="22">
        <f t="shared" si="1208"/>
        <v>0</v>
      </c>
      <c r="H150" s="22">
        <f t="shared" si="1208"/>
        <v>0</v>
      </c>
      <c r="I150" s="22">
        <f t="shared" si="1208"/>
        <v>0</v>
      </c>
      <c r="J150" s="22">
        <f t="shared" si="1208"/>
        <v>0</v>
      </c>
      <c r="K150" s="22">
        <f t="shared" si="1208"/>
        <v>0</v>
      </c>
      <c r="L150" s="22">
        <f t="shared" si="1208"/>
        <v>0</v>
      </c>
      <c r="M150" s="22">
        <f t="shared" si="1208"/>
        <v>0</v>
      </c>
      <c r="N150" s="22">
        <f t="shared" si="1208"/>
        <v>0</v>
      </c>
      <c r="O150" s="22">
        <f t="shared" si="1208"/>
        <v>0</v>
      </c>
      <c r="P150" s="22">
        <f t="shared" si="1208"/>
        <v>0</v>
      </c>
      <c r="Q150" s="22">
        <f t="shared" si="1208"/>
        <v>0</v>
      </c>
      <c r="R150" s="22">
        <f t="shared" si="1208"/>
        <v>31.597000000000001</v>
      </c>
      <c r="S150" s="22">
        <f t="shared" si="1208"/>
        <v>42.014000000000003</v>
      </c>
      <c r="T150" s="22">
        <f t="shared" si="1208"/>
        <v>81.22</v>
      </c>
      <c r="U150" s="22">
        <f t="shared" si="1208"/>
        <v>139.62100000000001</v>
      </c>
      <c r="V150" s="22">
        <f t="shared" si="1208"/>
        <v>124.20179999999999</v>
      </c>
      <c r="W150" s="22">
        <f t="shared" si="1208"/>
        <v>123.95489999999997</v>
      </c>
      <c r="X150" s="22">
        <f t="shared" si="1208"/>
        <v>136.08439999999999</v>
      </c>
      <c r="Y150" s="22">
        <f t="shared" si="1208"/>
        <v>153.16570000000002</v>
      </c>
      <c r="Z150" s="22">
        <f>Z146+Z149+Z148+Z147</f>
        <v>187.93970000000002</v>
      </c>
      <c r="AA150" s="22">
        <f>AA146+AA149+AA148+AA147</f>
        <v>191.04200000000003</v>
      </c>
      <c r="AB150" s="161">
        <f t="shared" ref="AB150:AE150" si="1209">AB146+AB149+AB148+AB147</f>
        <v>94.784037038866757</v>
      </c>
      <c r="AC150" s="161">
        <f t="shared" si="1209"/>
        <v>69.153742678128538</v>
      </c>
      <c r="AD150" s="161">
        <f t="shared" si="1209"/>
        <v>50.640816437685039</v>
      </c>
      <c r="AE150" s="161">
        <f t="shared" si="1209"/>
        <v>37.268810905469572</v>
      </c>
      <c r="AJ150" s="22">
        <f t="shared" ref="AJ150" si="1210">AJ146+AJ149+AJ147+AJ148</f>
        <v>0</v>
      </c>
      <c r="AK150" s="22">
        <f t="shared" ref="AK150" si="1211">AK146+AK149+AK147+AK148</f>
        <v>0</v>
      </c>
      <c r="AL150" s="22">
        <f t="shared" ref="AL150:AM150" si="1212">AL146+AL149+AL147+AL148</f>
        <v>0</v>
      </c>
      <c r="AM150" s="22">
        <f t="shared" si="1212"/>
        <v>0</v>
      </c>
      <c r="AN150" s="22">
        <f t="shared" ref="AN150:AO150" si="1213">AN146+AN149+AN147+AN148</f>
        <v>0</v>
      </c>
      <c r="AO150" s="22">
        <f t="shared" si="1213"/>
        <v>0</v>
      </c>
      <c r="AP150" s="22">
        <f t="shared" ref="AP150:CE150" si="1214">AP146+AP149+AP147+AP148</f>
        <v>0</v>
      </c>
      <c r="AQ150" s="22">
        <f t="shared" si="1214"/>
        <v>0</v>
      </c>
      <c r="AR150" s="22">
        <f t="shared" si="1214"/>
        <v>0</v>
      </c>
      <c r="AS150" s="22">
        <f t="shared" si="1214"/>
        <v>0</v>
      </c>
      <c r="AT150" s="22">
        <f t="shared" si="1214"/>
        <v>0</v>
      </c>
      <c r="AU150" s="22">
        <f t="shared" si="1214"/>
        <v>0</v>
      </c>
      <c r="AV150" s="22">
        <f t="shared" si="1214"/>
        <v>0</v>
      </c>
      <c r="AW150" s="22">
        <f t="shared" si="1214"/>
        <v>0</v>
      </c>
      <c r="AX150" s="22">
        <f t="shared" si="1214"/>
        <v>0</v>
      </c>
      <c r="AY150" s="22">
        <f t="shared" si="1214"/>
        <v>0</v>
      </c>
      <c r="AZ150" s="22">
        <f t="shared" si="1214"/>
        <v>0</v>
      </c>
      <c r="BA150" s="22">
        <f t="shared" si="1214"/>
        <v>0</v>
      </c>
      <c r="BB150" s="22">
        <f t="shared" si="1214"/>
        <v>0</v>
      </c>
      <c r="BC150" s="22">
        <f t="shared" si="1214"/>
        <v>0</v>
      </c>
      <c r="BD150" s="22">
        <f t="shared" si="1214"/>
        <v>0</v>
      </c>
      <c r="BE150" s="22">
        <f t="shared" si="1214"/>
        <v>0</v>
      </c>
      <c r="BF150" s="22">
        <f t="shared" si="1214"/>
        <v>0</v>
      </c>
      <c r="BG150" s="22">
        <f t="shared" si="1214"/>
        <v>0</v>
      </c>
      <c r="BH150" s="22">
        <f t="shared" si="1214"/>
        <v>0</v>
      </c>
      <c r="BI150" s="22">
        <f t="shared" si="1214"/>
        <v>0</v>
      </c>
      <c r="BJ150" s="22">
        <f t="shared" si="1214"/>
        <v>0</v>
      </c>
      <c r="BK150" s="22">
        <f t="shared" si="1214"/>
        <v>0</v>
      </c>
      <c r="BL150" s="22">
        <f t="shared" si="1214"/>
        <v>0</v>
      </c>
      <c r="BM150" s="22">
        <f t="shared" si="1214"/>
        <v>0</v>
      </c>
      <c r="BN150" s="22">
        <f t="shared" si="1214"/>
        <v>0</v>
      </c>
      <c r="BO150" s="22">
        <f t="shared" si="1214"/>
        <v>0</v>
      </c>
      <c r="BP150" s="22">
        <f t="shared" si="1214"/>
        <v>0</v>
      </c>
      <c r="BQ150" s="22">
        <f t="shared" si="1214"/>
        <v>0</v>
      </c>
      <c r="BR150" s="22">
        <f t="shared" si="1214"/>
        <v>111.28099999999999</v>
      </c>
      <c r="BS150" s="22">
        <f t="shared" si="1214"/>
        <v>111.28099999999999</v>
      </c>
      <c r="BT150" s="22">
        <f t="shared" si="1214"/>
        <v>0</v>
      </c>
      <c r="BU150" s="22">
        <f t="shared" si="1214"/>
        <v>0</v>
      </c>
      <c r="BV150" s="22">
        <f t="shared" si="1214"/>
        <v>110.788</v>
      </c>
      <c r="BW150" s="22">
        <f t="shared" si="1214"/>
        <v>110.788</v>
      </c>
      <c r="BX150" s="22">
        <f t="shared" si="1214"/>
        <v>119.00099999999999</v>
      </c>
      <c r="BY150" s="22">
        <f t="shared" si="1214"/>
        <v>119.00099999999999</v>
      </c>
      <c r="BZ150" s="22">
        <f t="shared" si="1214"/>
        <v>117.61799999999999</v>
      </c>
      <c r="CA150" s="22">
        <f t="shared" si="1214"/>
        <v>117.61799999999999</v>
      </c>
      <c r="CB150" s="22">
        <f t="shared" si="1214"/>
        <v>115.074</v>
      </c>
      <c r="CC150" s="22">
        <f t="shared" si="1214"/>
        <v>115.074</v>
      </c>
      <c r="CD150" s="22">
        <f t="shared" si="1214"/>
        <v>111.58199999999999</v>
      </c>
      <c r="CE150" s="22">
        <f t="shared" si="1214"/>
        <v>111.58199999999999</v>
      </c>
      <c r="CF150" s="22">
        <f t="shared" ref="CF150:CG150" si="1215">CF146+CF149+CF147+CF148</f>
        <v>110.23899999999999</v>
      </c>
      <c r="CG150" s="22">
        <f t="shared" si="1215"/>
        <v>110.23899999999999</v>
      </c>
      <c r="CH150" s="22">
        <f t="shared" ref="CH150:CK150" si="1216">CH146+CH149+CH147+CH148</f>
        <v>187.93970000000002</v>
      </c>
      <c r="CI150" s="22">
        <f t="shared" si="1216"/>
        <v>180.2637</v>
      </c>
      <c r="CJ150" s="22">
        <f t="shared" si="1216"/>
        <v>133.04599999999999</v>
      </c>
      <c r="CK150" s="22">
        <f t="shared" si="1216"/>
        <v>124.40799999999999</v>
      </c>
      <c r="CL150" s="22">
        <f t="shared" ref="CL150" si="1217">CL146+CL149+CL147+CL148</f>
        <v>130.268</v>
      </c>
      <c r="CM150" s="21">
        <f t="shared" ref="CM150:DB150" si="1218">CM146+CM149+CM147+CM148</f>
        <v>120.28736924427096</v>
      </c>
      <c r="CN150" s="21">
        <f t="shared" si="1218"/>
        <v>111.08629875401331</v>
      </c>
      <c r="CO150" s="21">
        <f t="shared" si="1218"/>
        <v>102.60389917039043</v>
      </c>
      <c r="CP150" s="21">
        <f t="shared" si="1218"/>
        <v>94.784037038866757</v>
      </c>
      <c r="CQ150" s="21">
        <f t="shared" si="1218"/>
        <v>87.57496333829485</v>
      </c>
      <c r="CR150" s="21">
        <f t="shared" si="1218"/>
        <v>80.928971024597729</v>
      </c>
      <c r="CS150" s="21">
        <f t="shared" si="1218"/>
        <v>74.802079322794583</v>
      </c>
      <c r="CT150" s="21">
        <f t="shared" si="1218"/>
        <v>69.153742678128538</v>
      </c>
      <c r="CU150" s="21">
        <f t="shared" si="1218"/>
        <v>63.946582440240242</v>
      </c>
      <c r="CV150" s="21">
        <f t="shared" si="1218"/>
        <v>59.14613950476997</v>
      </c>
      <c r="CW150" s="21">
        <f t="shared" si="1218"/>
        <v>54.720646275460048</v>
      </c>
      <c r="CX150" s="21">
        <f t="shared" si="1218"/>
        <v>50.640816437685039</v>
      </c>
      <c r="CY150" s="21">
        <f t="shared" si="1218"/>
        <v>46.87965115220684</v>
      </c>
      <c r="CZ150" s="21">
        <f t="shared" si="1218"/>
        <v>43.412260386615181</v>
      </c>
      <c r="DA150" s="21">
        <f t="shared" si="1218"/>
        <v>40.215698202089534</v>
      </c>
      <c r="DB150" s="21">
        <f t="shared" si="1218"/>
        <v>37.268810905469572</v>
      </c>
      <c r="DE150" s="126"/>
      <c r="DF150" s="22">
        <v>191.04200000000003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x14ac:dyDescent="0.2">
      <c r="A152" s="23" t="s">
        <v>58</v>
      </c>
      <c r="B152" s="23">
        <f>'Annual Raw'!C71</f>
        <v>0</v>
      </c>
      <c r="C152" s="23">
        <f>'Annual Raw'!D71</f>
        <v>0</v>
      </c>
      <c r="D152" s="23">
        <f>'Annual Raw'!E71</f>
        <v>0</v>
      </c>
      <c r="E152" s="23">
        <f>'Annual Raw'!F71</f>
        <v>0</v>
      </c>
      <c r="F152" s="23">
        <f>'Annual Raw'!G71</f>
        <v>0</v>
      </c>
      <c r="G152" s="23">
        <f>'Annual Raw'!H71</f>
        <v>0</v>
      </c>
      <c r="H152" s="23">
        <f>'Annual Raw'!I71</f>
        <v>0</v>
      </c>
      <c r="I152" s="23">
        <f>'Annual Raw'!J71</f>
        <v>0</v>
      </c>
      <c r="J152" s="23">
        <f>'Annual Raw'!K71</f>
        <v>4.1691596999999998</v>
      </c>
      <c r="K152" s="23">
        <f>'Annual Raw'!L71</f>
        <v>0.28143810000000002</v>
      </c>
      <c r="L152" s="23">
        <f>'Annual Raw'!M71</f>
        <v>4.2814380999999999</v>
      </c>
      <c r="M152" s="23">
        <f>'Annual Raw'!N71</f>
        <v>5.5230781000000002</v>
      </c>
      <c r="N152" s="23">
        <f>'Annual Raw'!O71</f>
        <v>5.5230781000000002</v>
      </c>
      <c r="O152" s="23">
        <f>'Annual Raw'!P71</f>
        <v>5.2416400000000003</v>
      </c>
      <c r="P152" s="23">
        <f>'Annual Raw'!Q71</f>
        <v>4.2416400000000003</v>
      </c>
      <c r="Q152" s="23">
        <f>'Annual Raw'!R71</f>
        <v>4.242</v>
      </c>
      <c r="R152" s="23">
        <f>'Annual Raw'!S71</f>
        <v>0</v>
      </c>
      <c r="S152" s="23">
        <f>'Annual Raw'!T71</f>
        <v>0</v>
      </c>
      <c r="T152" s="23">
        <f>'Annual Raw'!U71</f>
        <v>0</v>
      </c>
      <c r="U152" s="23">
        <f>'Annual Raw'!V71</f>
        <v>101.318</v>
      </c>
      <c r="V152" s="23">
        <f>'Annual Raw'!W71</f>
        <v>101.81480000000001</v>
      </c>
      <c r="W152" s="23">
        <f>'Annual Raw'!X71</f>
        <v>103.5</v>
      </c>
      <c r="X152" s="23">
        <f>'Annual Raw'!Y71</f>
        <v>105.5025</v>
      </c>
      <c r="Y152" s="23">
        <f>'Annual Raw'!Z71</f>
        <v>111.15219999999999</v>
      </c>
      <c r="Z152" s="23">
        <f>'Annual Raw'!AA71</f>
        <v>242.5446</v>
      </c>
      <c r="AA152" s="23">
        <f>'Annual Raw'!AB71</f>
        <v>263.65809999999999</v>
      </c>
      <c r="AB152" s="24">
        <f>+CP152</f>
        <v>263.65800000000002</v>
      </c>
      <c r="AC152" s="24">
        <f>+CT152</f>
        <v>263.65800000000002</v>
      </c>
      <c r="AD152" s="24">
        <f>+CX152</f>
        <v>263.65800000000002</v>
      </c>
      <c r="AE152" s="24">
        <f>+DB152</f>
        <v>263.65800000000002</v>
      </c>
      <c r="AJ152" s="23">
        <f>+'QTR Raw'!D77</f>
        <v>0</v>
      </c>
      <c r="AK152" s="23">
        <f t="shared" ref="AK152:CE152" si="1219">+AJ152</f>
        <v>0</v>
      </c>
      <c r="AL152" s="23">
        <f>+'QTR Raw'!F77</f>
        <v>0</v>
      </c>
      <c r="AM152" s="23">
        <f t="shared" si="1219"/>
        <v>0</v>
      </c>
      <c r="AN152" s="23">
        <f>+'QTR Raw'!H77</f>
        <v>0</v>
      </c>
      <c r="AO152" s="23">
        <f t="shared" si="1219"/>
        <v>0</v>
      </c>
      <c r="AP152" s="23">
        <f>+'QTR Raw'!J77</f>
        <v>0</v>
      </c>
      <c r="AQ152" s="23">
        <f t="shared" si="1219"/>
        <v>0</v>
      </c>
      <c r="AR152" s="23">
        <f>+'QTR Raw'!L77</f>
        <v>0</v>
      </c>
      <c r="AS152" s="23">
        <f t="shared" si="1219"/>
        <v>0</v>
      </c>
      <c r="AT152" s="23">
        <f>+'QTR Raw'!N77</f>
        <v>0</v>
      </c>
      <c r="AU152" s="23">
        <f t="shared" si="1219"/>
        <v>0</v>
      </c>
      <c r="AV152" s="23">
        <f>+'QTR Raw'!P77</f>
        <v>0</v>
      </c>
      <c r="AW152" s="23">
        <f t="shared" si="1219"/>
        <v>0</v>
      </c>
      <c r="AX152" s="23">
        <f>+'QTR Raw'!R77</f>
        <v>0</v>
      </c>
      <c r="AY152" s="23">
        <f t="shared" si="1219"/>
        <v>0</v>
      </c>
      <c r="AZ152" s="23">
        <f>+'QTR Raw'!T77</f>
        <v>0</v>
      </c>
      <c r="BA152" s="23">
        <f t="shared" si="1219"/>
        <v>0</v>
      </c>
      <c r="BB152" s="23">
        <f>+'QTR Raw'!V77</f>
        <v>0</v>
      </c>
      <c r="BC152" s="23">
        <f t="shared" si="1219"/>
        <v>0</v>
      </c>
      <c r="BD152" s="23">
        <f>+'QTR Raw'!X77</f>
        <v>0</v>
      </c>
      <c r="BE152" s="23">
        <f t="shared" si="1219"/>
        <v>0</v>
      </c>
      <c r="BF152" s="23">
        <f>+'QTR Raw'!Z77</f>
        <v>0</v>
      </c>
      <c r="BG152" s="23">
        <f t="shared" si="1219"/>
        <v>0</v>
      </c>
      <c r="BH152" s="23">
        <f>+'QTR Raw'!AB77</f>
        <v>0</v>
      </c>
      <c r="BI152" s="23">
        <f t="shared" si="1219"/>
        <v>0</v>
      </c>
      <c r="BJ152" s="23">
        <f>+'QTR Raw'!AD77</f>
        <v>0</v>
      </c>
      <c r="BK152" s="23">
        <f t="shared" si="1219"/>
        <v>0</v>
      </c>
      <c r="BL152" s="23">
        <f>+'QTR Raw'!AF77</f>
        <v>0</v>
      </c>
      <c r="BM152" s="23">
        <f t="shared" si="1219"/>
        <v>0</v>
      </c>
      <c r="BN152" s="23">
        <f>+'QTR Raw'!AH77</f>
        <v>0</v>
      </c>
      <c r="BO152" s="23">
        <f t="shared" si="1219"/>
        <v>0</v>
      </c>
      <c r="BP152" s="23">
        <f>+'QTR Raw'!AJ77</f>
        <v>0</v>
      </c>
      <c r="BQ152" s="23">
        <f t="shared" si="1219"/>
        <v>0</v>
      </c>
      <c r="BR152" s="23">
        <f>+'QTR Raw'!AL77</f>
        <v>101.815</v>
      </c>
      <c r="BS152" s="23">
        <f t="shared" si="1219"/>
        <v>101.815</v>
      </c>
      <c r="BT152" s="23">
        <f>+'QTR Raw'!AN77</f>
        <v>0</v>
      </c>
      <c r="BU152" s="23">
        <f t="shared" si="1219"/>
        <v>0</v>
      </c>
      <c r="BV152" s="23">
        <f>+'QTR Raw'!AP77</f>
        <v>103.5</v>
      </c>
      <c r="BW152" s="23">
        <f t="shared" si="1219"/>
        <v>103.5</v>
      </c>
      <c r="BX152" s="23">
        <f>+'QTR Raw'!AR77</f>
        <v>103.03400000000001</v>
      </c>
      <c r="BY152" s="23">
        <f t="shared" si="1219"/>
        <v>103.03400000000001</v>
      </c>
      <c r="BZ152" s="23">
        <f>+'QTR Raw'!AT77</f>
        <v>105.503</v>
      </c>
      <c r="CA152" s="23">
        <f t="shared" si="1219"/>
        <v>105.503</v>
      </c>
      <c r="CB152" s="23">
        <f>+'QTR Raw'!AV77</f>
        <v>107.325</v>
      </c>
      <c r="CC152" s="23">
        <f t="shared" si="1219"/>
        <v>107.325</v>
      </c>
      <c r="CD152" s="23">
        <f>+'QTR Raw'!AX77</f>
        <v>111.152</v>
      </c>
      <c r="CE152" s="23">
        <f t="shared" si="1219"/>
        <v>111.152</v>
      </c>
      <c r="CF152" s="23">
        <f>+'QTR Raw'!AZ77</f>
        <v>111.367</v>
      </c>
      <c r="CG152" s="23">
        <f t="shared" ref="CG152:CI155" si="1220">+CF152</f>
        <v>111.367</v>
      </c>
      <c r="CH152" s="23">
        <f t="shared" ref="CH152:CH167" si="1221">Z152</f>
        <v>242.5446</v>
      </c>
      <c r="CI152" s="23">
        <f t="shared" si="1220"/>
        <v>242.5446</v>
      </c>
      <c r="CJ152" s="23">
        <f>+'QTR Raw'!BD77</f>
        <v>225.54</v>
      </c>
      <c r="CK152" s="23">
        <f t="shared" ref="CK152:CM152" si="1222">+CJ152</f>
        <v>225.54</v>
      </c>
      <c r="CL152" s="23">
        <f>+'QTR Raw'!BF77</f>
        <v>263.65800000000002</v>
      </c>
      <c r="CM152" s="24">
        <f t="shared" si="1222"/>
        <v>263.65800000000002</v>
      </c>
      <c r="CN152" s="24">
        <f t="shared" ref="CN152" si="1223">+CM152</f>
        <v>263.65800000000002</v>
      </c>
      <c r="CO152" s="24">
        <f t="shared" ref="CO152" si="1224">+CN152</f>
        <v>263.65800000000002</v>
      </c>
      <c r="CP152" s="24">
        <f t="shared" ref="CP152" si="1225">+CO152</f>
        <v>263.65800000000002</v>
      </c>
      <c r="CQ152" s="24">
        <f t="shared" ref="CQ152" si="1226">+CP152</f>
        <v>263.65800000000002</v>
      </c>
      <c r="CR152" s="24">
        <f t="shared" ref="CR152" si="1227">+CQ152</f>
        <v>263.65800000000002</v>
      </c>
      <c r="CS152" s="24">
        <f t="shared" ref="CS152" si="1228">+CR152</f>
        <v>263.65800000000002</v>
      </c>
      <c r="CT152" s="24">
        <f t="shared" ref="CT152" si="1229">+CS152</f>
        <v>263.65800000000002</v>
      </c>
      <c r="CU152" s="24">
        <f t="shared" ref="CU152" si="1230">+CT152</f>
        <v>263.65800000000002</v>
      </c>
      <c r="CV152" s="24">
        <f t="shared" ref="CV152" si="1231">+CU152</f>
        <v>263.65800000000002</v>
      </c>
      <c r="CW152" s="24">
        <f t="shared" ref="CW152" si="1232">+CV152</f>
        <v>263.65800000000002</v>
      </c>
      <c r="CX152" s="24">
        <f t="shared" ref="CX152" si="1233">+CW152</f>
        <v>263.65800000000002</v>
      </c>
      <c r="CY152" s="24">
        <f t="shared" ref="CY152" si="1234">+CX152</f>
        <v>263.65800000000002</v>
      </c>
      <c r="CZ152" s="24">
        <f t="shared" ref="CZ152" si="1235">+CY152</f>
        <v>263.65800000000002</v>
      </c>
      <c r="DA152" s="24">
        <f t="shared" ref="DA152" si="1236">+CZ152</f>
        <v>263.65800000000002</v>
      </c>
      <c r="DB152" s="24">
        <f t="shared" ref="DB152" si="1237">+DA152</f>
        <v>263.65800000000002</v>
      </c>
      <c r="DE152" s="123"/>
      <c r="DF152" s="23">
        <v>263.65809999999999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59</v>
      </c>
      <c r="B154" s="23">
        <f>'Annual Raw'!C72</f>
        <v>0</v>
      </c>
      <c r="C154" s="23">
        <f>'Annual Raw'!D72</f>
        <v>0</v>
      </c>
      <c r="D154" s="23">
        <f>'Annual Raw'!E72</f>
        <v>0</v>
      </c>
      <c r="E154" s="23">
        <f>'Annual Raw'!F72+'Annual Raw'!F61</f>
        <v>0</v>
      </c>
      <c r="F154" s="23">
        <f>'Annual Raw'!G72+'Annual Raw'!G61</f>
        <v>0</v>
      </c>
      <c r="G154" s="23">
        <f>'Annual Raw'!H72+'Annual Raw'!H61</f>
        <v>0</v>
      </c>
      <c r="H154" s="23">
        <f>'Annual Raw'!I72+'Annual Raw'!I61</f>
        <v>0</v>
      </c>
      <c r="I154" s="23">
        <f>'Annual Raw'!J72+'Annual Raw'!J61</f>
        <v>0</v>
      </c>
      <c r="J154" s="23">
        <f>'Annual Raw'!K72+'Annual Raw'!K61</f>
        <v>0</v>
      </c>
      <c r="K154" s="23">
        <f>'Annual Raw'!L72+'Annual Raw'!L61</f>
        <v>0</v>
      </c>
      <c r="L154" s="23">
        <f>'Annual Raw'!M72+'Annual Raw'!M61</f>
        <v>0.2084046</v>
      </c>
      <c r="M154" s="23">
        <f>'Annual Raw'!N72+'Annual Raw'!N61</f>
        <v>0.14945610000000001</v>
      </c>
      <c r="N154" s="23">
        <f>'Annual Raw'!O72+'Annual Raw'!O61</f>
        <v>0.18239369999999999</v>
      </c>
      <c r="O154" s="23">
        <f>'Annual Raw'!P72+'Annual Raw'!P61</f>
        <v>9.1785500000000006E-2</v>
      </c>
      <c r="P154" s="23">
        <f>'Annual Raw'!Q72+'Annual Raw'!Q61</f>
        <v>3.2733900000000003E-2</v>
      </c>
      <c r="Q154" s="23">
        <f>'Annual Raw'!R72+'Annual Raw'!R61</f>
        <v>4.4999999999999998E-2</v>
      </c>
      <c r="R154" s="23">
        <f>'Annual Raw'!S72+'Annual Raw'!S61</f>
        <v>3.3620000000000001</v>
      </c>
      <c r="S154" s="23">
        <f>'Annual Raw'!T72+'Annual Raw'!T61</f>
        <v>11.827999999999999</v>
      </c>
      <c r="T154" s="23">
        <f>'Annual Raw'!U72+'Annual Raw'!U61</f>
        <v>81.819000000000003</v>
      </c>
      <c r="U154" s="23">
        <f>'Annual Raw'!V72+'Annual Raw'!V61</f>
        <v>70.626000000000005</v>
      </c>
      <c r="V154" s="23">
        <f>'Annual Raw'!W72+'Annual Raw'!W61</f>
        <v>13.3695</v>
      </c>
      <c r="W154" s="23">
        <f>'Annual Raw'!X72+'Annual Raw'!X61</f>
        <v>45.723399999999998</v>
      </c>
      <c r="X154" s="23">
        <f>'Annual Raw'!Y72+'Annual Raw'!Y61</f>
        <v>32.994999999999997</v>
      </c>
      <c r="Y154" s="23">
        <f>'Annual Raw'!Z72+'Annual Raw'!Z61</f>
        <v>5.1835000000000004</v>
      </c>
      <c r="Z154" s="23">
        <f>'Annual Raw'!AA72+'Annual Raw'!AA61</f>
        <v>6.1904000000000003</v>
      </c>
      <c r="AA154" s="23">
        <f>'Annual Raw'!AB72+'Annual Raw'!AB61</f>
        <v>8.0399999999999991</v>
      </c>
      <c r="AB154" s="24">
        <f t="shared" ref="AB154:AB159" si="1238">+CP154</f>
        <v>0</v>
      </c>
      <c r="AC154" s="24">
        <f t="shared" ref="AC154:AC159" si="1239">+CT154</f>
        <v>0</v>
      </c>
      <c r="AD154" s="24">
        <f t="shared" ref="AD154:AD159" si="1240">+CX154</f>
        <v>0</v>
      </c>
      <c r="AE154" s="24">
        <f t="shared" ref="AE154:AE159" si="1241">+DB154</f>
        <v>0</v>
      </c>
      <c r="AJ154" s="23">
        <f>+'QTR Raw'!D78</f>
        <v>0</v>
      </c>
      <c r="AK154" s="23">
        <f t="shared" ref="AK154:CE159" si="1242">+AJ154</f>
        <v>0</v>
      </c>
      <c r="AL154" s="23">
        <f>+'QTR Raw'!F78</f>
        <v>0</v>
      </c>
      <c r="AM154" s="23">
        <f t="shared" si="1242"/>
        <v>0</v>
      </c>
      <c r="AN154" s="23">
        <f>+'QTR Raw'!H78</f>
        <v>0</v>
      </c>
      <c r="AO154" s="23">
        <f t="shared" si="1242"/>
        <v>0</v>
      </c>
      <c r="AP154" s="23">
        <f>+'QTR Raw'!J78</f>
        <v>0</v>
      </c>
      <c r="AQ154" s="23">
        <f t="shared" si="1242"/>
        <v>0</v>
      </c>
      <c r="AR154" s="23">
        <f>+'QTR Raw'!L78</f>
        <v>0</v>
      </c>
      <c r="AS154" s="23">
        <f t="shared" si="1242"/>
        <v>0</v>
      </c>
      <c r="AT154" s="23">
        <f>+'QTR Raw'!N78</f>
        <v>0</v>
      </c>
      <c r="AU154" s="23">
        <f t="shared" si="1242"/>
        <v>0</v>
      </c>
      <c r="AV154" s="23">
        <f>+'QTR Raw'!P78</f>
        <v>0</v>
      </c>
      <c r="AW154" s="23">
        <f t="shared" si="1242"/>
        <v>0</v>
      </c>
      <c r="AX154" s="23">
        <f>+'QTR Raw'!R78</f>
        <v>0</v>
      </c>
      <c r="AY154" s="23">
        <f t="shared" si="1242"/>
        <v>0</v>
      </c>
      <c r="AZ154" s="23">
        <f>+'QTR Raw'!T78</f>
        <v>0</v>
      </c>
      <c r="BA154" s="23">
        <f t="shared" si="1242"/>
        <v>0</v>
      </c>
      <c r="BB154" s="23">
        <f>+'QTR Raw'!V78</f>
        <v>0</v>
      </c>
      <c r="BC154" s="23">
        <f t="shared" si="1242"/>
        <v>0</v>
      </c>
      <c r="BD154" s="23">
        <f>+'QTR Raw'!X78</f>
        <v>0</v>
      </c>
      <c r="BE154" s="23">
        <f t="shared" si="1242"/>
        <v>0</v>
      </c>
      <c r="BF154" s="23">
        <f>+'QTR Raw'!Z78</f>
        <v>0</v>
      </c>
      <c r="BG154" s="23">
        <f t="shared" si="1242"/>
        <v>0</v>
      </c>
      <c r="BH154" s="23">
        <f>+'QTR Raw'!AB78</f>
        <v>0</v>
      </c>
      <c r="BI154" s="23">
        <f t="shared" si="1242"/>
        <v>0</v>
      </c>
      <c r="BJ154" s="23">
        <f>+'QTR Raw'!AD78</f>
        <v>0</v>
      </c>
      <c r="BK154" s="23">
        <f t="shared" si="1242"/>
        <v>0</v>
      </c>
      <c r="BL154" s="23">
        <f>+'QTR Raw'!AF78</f>
        <v>0</v>
      </c>
      <c r="BM154" s="23">
        <f t="shared" si="1242"/>
        <v>0</v>
      </c>
      <c r="BN154" s="23">
        <f>+'QTR Raw'!AH78</f>
        <v>0</v>
      </c>
      <c r="BO154" s="23">
        <f t="shared" si="1242"/>
        <v>0</v>
      </c>
      <c r="BP154" s="23">
        <f>+'QTR Raw'!AJ78</f>
        <v>0</v>
      </c>
      <c r="BQ154" s="23">
        <f t="shared" si="1242"/>
        <v>0</v>
      </c>
      <c r="BR154" s="23">
        <f>+'QTR Raw'!AL78</f>
        <v>0</v>
      </c>
      <c r="BS154" s="23">
        <f t="shared" si="1242"/>
        <v>0</v>
      </c>
      <c r="BT154" s="23">
        <f>+'QTR Raw'!AN78</f>
        <v>0</v>
      </c>
      <c r="BU154" s="23">
        <f t="shared" si="1242"/>
        <v>0</v>
      </c>
      <c r="BV154" s="23">
        <f>+'QTR Raw'!AP78</f>
        <v>0</v>
      </c>
      <c r="BW154" s="23">
        <f t="shared" si="1242"/>
        <v>0</v>
      </c>
      <c r="BX154" s="23">
        <f>+'QTR Raw'!AR78</f>
        <v>0</v>
      </c>
      <c r="BY154" s="23">
        <f t="shared" si="1242"/>
        <v>0</v>
      </c>
      <c r="BZ154" s="23">
        <f>+'QTR Raw'!AT78</f>
        <v>0</v>
      </c>
      <c r="CA154" s="23">
        <f t="shared" si="1242"/>
        <v>0</v>
      </c>
      <c r="CB154" s="23">
        <f>+'QTR Raw'!AV78</f>
        <v>0</v>
      </c>
      <c r="CC154" s="23">
        <f t="shared" si="1242"/>
        <v>0</v>
      </c>
      <c r="CD154" s="23">
        <f>+'QTR Raw'!AX78</f>
        <v>0</v>
      </c>
      <c r="CE154" s="23">
        <f t="shared" si="1242"/>
        <v>0</v>
      </c>
      <c r="CF154" s="23">
        <f>+'QTR Raw'!AZ78</f>
        <v>0</v>
      </c>
      <c r="CG154" s="23">
        <f t="shared" si="1220"/>
        <v>0</v>
      </c>
      <c r="CH154" s="23">
        <f t="shared" si="1221"/>
        <v>6.1904000000000003</v>
      </c>
      <c r="CJ154" s="23">
        <f>+'QTR Raw'!BD78</f>
        <v>0</v>
      </c>
      <c r="CL154" s="23">
        <f>+'QTR Raw'!BF78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8.0399999999999991</v>
      </c>
    </row>
    <row r="155" spans="1:110" s="23" customFormat="1" outlineLevel="1" x14ac:dyDescent="0.2">
      <c r="A155" s="23" t="s">
        <v>60</v>
      </c>
      <c r="B155" s="23">
        <f>'Annual Raw'!C73+'Annual Raw'!C81</f>
        <v>0</v>
      </c>
      <c r="C155" s="23">
        <f>'Annual Raw'!D73+'Annual Raw'!D81</f>
        <v>0</v>
      </c>
      <c r="D155" s="23">
        <f>'Annual Raw'!E73+'Annual Raw'!E81</f>
        <v>0</v>
      </c>
      <c r="E155" s="23">
        <f>'Annual Raw'!F73+'Annual Raw'!F81</f>
        <v>0</v>
      </c>
      <c r="F155" s="23">
        <f>'Annual Raw'!G73+'Annual Raw'!G81</f>
        <v>0</v>
      </c>
      <c r="G155" s="23">
        <f>'Annual Raw'!H73+'Annual Raw'!H81</f>
        <v>0</v>
      </c>
      <c r="H155" s="23">
        <f>'Annual Raw'!I73+'Annual Raw'!I81</f>
        <v>0</v>
      </c>
      <c r="I155" s="23">
        <f>'Annual Raw'!J73+'Annual Raw'!J81</f>
        <v>0</v>
      </c>
      <c r="J155" s="23">
        <f>'Annual Raw'!K73+'Annual Raw'!K81</f>
        <v>0</v>
      </c>
      <c r="K155" s="23">
        <f>'Annual Raw'!L73+'Annual Raw'!L81</f>
        <v>0</v>
      </c>
      <c r="L155" s="23">
        <f>'Annual Raw'!M73+'Annual Raw'!M81</f>
        <v>0</v>
      </c>
      <c r="M155" s="23">
        <f>'Annual Raw'!N73+'Annual Raw'!N81</f>
        <v>0</v>
      </c>
      <c r="N155" s="23">
        <f>'Annual Raw'!O73+'Annual Raw'!O81</f>
        <v>0</v>
      </c>
      <c r="O155" s="23">
        <f>'Annual Raw'!P73+'Annual Raw'!P81</f>
        <v>0</v>
      </c>
      <c r="P155" s="23">
        <f>'Annual Raw'!Q73+'Annual Raw'!Q81</f>
        <v>0</v>
      </c>
      <c r="Q155" s="23">
        <f>'Annual Raw'!R73+'Annual Raw'!R81</f>
        <v>0</v>
      </c>
      <c r="R155" s="23">
        <f>'Annual Raw'!S73+'Annual Raw'!S81</f>
        <v>0</v>
      </c>
      <c r="S155" s="23">
        <f>'Annual Raw'!T73+'Annual Raw'!T81</f>
        <v>0.25</v>
      </c>
      <c r="T155" s="23">
        <f>'Annual Raw'!U73+'Annual Raw'!U81</f>
        <v>0.5</v>
      </c>
      <c r="U155" s="23">
        <f>'Annual Raw'!V73+'Annual Raw'!V81</f>
        <v>1.99</v>
      </c>
      <c r="V155" s="23">
        <f>'Annual Raw'!W73+'Annual Raw'!W81</f>
        <v>2.02</v>
      </c>
      <c r="W155" s="23">
        <f>'Annual Raw'!X73+'Annual Raw'!X81</f>
        <v>1.99</v>
      </c>
      <c r="X155" s="23">
        <f>'Annual Raw'!Y73+'Annual Raw'!Y81</f>
        <v>2</v>
      </c>
      <c r="Y155" s="23">
        <f>'Annual Raw'!Z73+'Annual Raw'!Z81</f>
        <v>0</v>
      </c>
      <c r="Z155" s="23">
        <f>'Annual Raw'!AA73+'Annual Raw'!AA81</f>
        <v>0.5</v>
      </c>
      <c r="AA155" s="23">
        <f>'Annual Raw'!AB73+'Annual Raw'!AB81</f>
        <v>0</v>
      </c>
      <c r="AB155" s="24">
        <f t="shared" si="1238"/>
        <v>0</v>
      </c>
      <c r="AC155" s="24">
        <f t="shared" si="1239"/>
        <v>0</v>
      </c>
      <c r="AD155" s="24">
        <f t="shared" si="1240"/>
        <v>0</v>
      </c>
      <c r="AE155" s="24">
        <f t="shared" si="1241"/>
        <v>0</v>
      </c>
      <c r="AJ155" s="23">
        <f>+'QTR Raw'!D79+'QTR Raw'!D76</f>
        <v>0</v>
      </c>
      <c r="AK155" s="23">
        <f t="shared" si="1242"/>
        <v>0</v>
      </c>
      <c r="AL155" s="23">
        <f>+'QTR Raw'!F79+'QTR Raw'!F76</f>
        <v>0</v>
      </c>
      <c r="AM155" s="23">
        <f t="shared" si="1242"/>
        <v>0</v>
      </c>
      <c r="AN155" s="23">
        <f>+'QTR Raw'!H79+'QTR Raw'!H76</f>
        <v>0</v>
      </c>
      <c r="AO155" s="23">
        <f t="shared" si="1242"/>
        <v>0</v>
      </c>
      <c r="AP155" s="23">
        <f>+'QTR Raw'!J79+'QTR Raw'!J76</f>
        <v>0</v>
      </c>
      <c r="AQ155" s="23">
        <f t="shared" si="1242"/>
        <v>0</v>
      </c>
      <c r="AR155" s="23">
        <f>+'QTR Raw'!L79+'QTR Raw'!L76</f>
        <v>0</v>
      </c>
      <c r="AS155" s="23">
        <f t="shared" si="1242"/>
        <v>0</v>
      </c>
      <c r="AT155" s="23">
        <f>+'QTR Raw'!N79+'QTR Raw'!N76</f>
        <v>0</v>
      </c>
      <c r="AU155" s="23">
        <f t="shared" si="1242"/>
        <v>0</v>
      </c>
      <c r="AV155" s="23">
        <f>+'QTR Raw'!P79+'QTR Raw'!P76</f>
        <v>0</v>
      </c>
      <c r="AW155" s="23">
        <f t="shared" si="1242"/>
        <v>0</v>
      </c>
      <c r="AX155" s="23">
        <f>+'QTR Raw'!R79+'QTR Raw'!R76</f>
        <v>0</v>
      </c>
      <c r="AY155" s="23">
        <f t="shared" si="1242"/>
        <v>0</v>
      </c>
      <c r="AZ155" s="23">
        <f>+'QTR Raw'!T79+'QTR Raw'!T76</f>
        <v>0</v>
      </c>
      <c r="BA155" s="23">
        <f t="shared" si="1242"/>
        <v>0</v>
      </c>
      <c r="BB155" s="23">
        <f>+'QTR Raw'!V79+'QTR Raw'!V76</f>
        <v>0</v>
      </c>
      <c r="BC155" s="23">
        <f t="shared" si="1242"/>
        <v>0</v>
      </c>
      <c r="BD155" s="23">
        <f>+'QTR Raw'!X79+'QTR Raw'!X76</f>
        <v>0</v>
      </c>
      <c r="BE155" s="23">
        <f t="shared" si="1242"/>
        <v>0</v>
      </c>
      <c r="BF155" s="23">
        <f>+'QTR Raw'!Z79+'QTR Raw'!Z76</f>
        <v>0</v>
      </c>
      <c r="BG155" s="23">
        <f t="shared" si="1242"/>
        <v>0</v>
      </c>
      <c r="BH155" s="23">
        <f>+'QTR Raw'!AB79+'QTR Raw'!AB76</f>
        <v>0</v>
      </c>
      <c r="BI155" s="23">
        <f t="shared" si="1242"/>
        <v>0</v>
      </c>
      <c r="BJ155" s="23">
        <f>+'QTR Raw'!AD79+'QTR Raw'!AD76</f>
        <v>0</v>
      </c>
      <c r="BK155" s="23">
        <f t="shared" si="1242"/>
        <v>0</v>
      </c>
      <c r="BL155" s="23">
        <f>+'QTR Raw'!AF79+'QTR Raw'!AF76</f>
        <v>0</v>
      </c>
      <c r="BM155" s="23">
        <f t="shared" si="1242"/>
        <v>0</v>
      </c>
      <c r="BN155" s="23">
        <f>+'QTR Raw'!AH79+'QTR Raw'!AH76</f>
        <v>0</v>
      </c>
      <c r="BO155" s="23">
        <f t="shared" si="1242"/>
        <v>0</v>
      </c>
      <c r="BP155" s="23">
        <f>+'QTR Raw'!AJ79+'QTR Raw'!AJ76</f>
        <v>0</v>
      </c>
      <c r="BQ155" s="23">
        <f t="shared" si="1242"/>
        <v>0</v>
      </c>
      <c r="BR155" s="23">
        <f>+'QTR Raw'!AL79+'QTR Raw'!AL76</f>
        <v>28.31</v>
      </c>
      <c r="BS155" s="23">
        <f t="shared" si="1242"/>
        <v>28.31</v>
      </c>
      <c r="BT155" s="23">
        <f>+'QTR Raw'!AN79+'QTR Raw'!AN76</f>
        <v>0</v>
      </c>
      <c r="BU155" s="23">
        <f t="shared" si="1242"/>
        <v>0</v>
      </c>
      <c r="BV155" s="23">
        <f>+'QTR Raw'!AP79+'QTR Raw'!AP76</f>
        <v>60.878999999999998</v>
      </c>
      <c r="BW155" s="23">
        <f t="shared" si="1242"/>
        <v>60.878999999999998</v>
      </c>
      <c r="BX155" s="23">
        <f>+'QTR Raw'!AR79+'QTR Raw'!AR76</f>
        <v>43.972999999999999</v>
      </c>
      <c r="BY155" s="23">
        <f t="shared" si="1242"/>
        <v>43.972999999999999</v>
      </c>
      <c r="BZ155" s="23">
        <f>+'QTR Raw'!AT79+'QTR Raw'!AT76</f>
        <v>53.462000000000003</v>
      </c>
      <c r="CA155" s="23">
        <f t="shared" si="1242"/>
        <v>53.462000000000003</v>
      </c>
      <c r="CB155" s="23">
        <f>+'QTR Raw'!AV79+'QTR Raw'!AV76</f>
        <v>71.260999999999996</v>
      </c>
      <c r="CC155" s="23">
        <f t="shared" si="1242"/>
        <v>71.260999999999996</v>
      </c>
      <c r="CD155" s="23">
        <f>+'QTR Raw'!AX79+'QTR Raw'!AX76</f>
        <v>46.767000000000003</v>
      </c>
      <c r="CE155" s="23">
        <f t="shared" si="1242"/>
        <v>46.767000000000003</v>
      </c>
      <c r="CF155" s="23">
        <f>+'QTR Raw'!AZ79+'QTR Raw'!AZ76</f>
        <v>66.935000000000002</v>
      </c>
      <c r="CG155" s="23">
        <f t="shared" si="1220"/>
        <v>66.935000000000002</v>
      </c>
      <c r="CH155" s="23">
        <f t="shared" si="1221"/>
        <v>0.5</v>
      </c>
      <c r="CJ155" s="23">
        <f>+'QTR Raw'!BD79+'QTR Raw'!BD76</f>
        <v>64.893000000000001</v>
      </c>
      <c r="CL155" s="23">
        <f>+'QTR Raw'!BF79+'QTR Raw'!BF76</f>
        <v>68.813999999999993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3" customFormat="1" outlineLevel="1" x14ac:dyDescent="0.2">
      <c r="A156" s="23" t="s">
        <v>61</v>
      </c>
      <c r="B156" s="23">
        <f>'Annual Raw'!C76</f>
        <v>0</v>
      </c>
      <c r="C156" s="23">
        <f>'Annual Raw'!D76</f>
        <v>0</v>
      </c>
      <c r="D156" s="23">
        <f>'Annual Raw'!E76</f>
        <v>0</v>
      </c>
      <c r="E156" s="23">
        <f>'Annual Raw'!F76</f>
        <v>0</v>
      </c>
      <c r="F156" s="23">
        <f>'Annual Raw'!G76</f>
        <v>0</v>
      </c>
      <c r="G156" s="23">
        <f>'Annual Raw'!H76</f>
        <v>0</v>
      </c>
      <c r="H156" s="23">
        <f>'Annual Raw'!I76</f>
        <v>0</v>
      </c>
      <c r="I156" s="23">
        <f>'Annual Raw'!J76</f>
        <v>0</v>
      </c>
      <c r="J156" s="23">
        <f>'Annual Raw'!K76</f>
        <v>0</v>
      </c>
      <c r="K156" s="23">
        <f>'Annual Raw'!L76</f>
        <v>0</v>
      </c>
      <c r="L156" s="23">
        <f>'Annual Raw'!M76</f>
        <v>0</v>
      </c>
      <c r="M156" s="23">
        <f>'Annual Raw'!N76</f>
        <v>0</v>
      </c>
      <c r="N156" s="23">
        <f>'Annual Raw'!O76</f>
        <v>0</v>
      </c>
      <c r="O156" s="23">
        <f>'Annual Raw'!P76</f>
        <v>0</v>
      </c>
      <c r="P156" s="23">
        <f>'Annual Raw'!Q76</f>
        <v>0</v>
      </c>
      <c r="Q156" s="23">
        <f>'Annual Raw'!R76</f>
        <v>0</v>
      </c>
      <c r="R156" s="23">
        <f>'Annual Raw'!S76</f>
        <v>0</v>
      </c>
      <c r="S156" s="23">
        <f>'Annual Raw'!T76</f>
        <v>0</v>
      </c>
      <c r="T156" s="23">
        <f>'Annual Raw'!U76</f>
        <v>0</v>
      </c>
      <c r="U156" s="23">
        <f>'Annual Raw'!V76</f>
        <v>0</v>
      </c>
      <c r="V156" s="23">
        <f>'Annual Raw'!W76</f>
        <v>0</v>
      </c>
      <c r="W156" s="23">
        <f>'Annual Raw'!X76</f>
        <v>0</v>
      </c>
      <c r="X156" s="23">
        <f>'Annual Raw'!Y76</f>
        <v>0</v>
      </c>
      <c r="Y156" s="23">
        <f>'Annual Raw'!Z76</f>
        <v>0</v>
      </c>
      <c r="Z156" s="23">
        <f>'Annual Raw'!AA76</f>
        <v>0</v>
      </c>
      <c r="AA156" s="23">
        <f>'Annual Raw'!AB76</f>
        <v>0</v>
      </c>
      <c r="AB156" s="24">
        <f t="shared" si="1238"/>
        <v>0</v>
      </c>
      <c r="AC156" s="24">
        <f t="shared" si="1239"/>
        <v>0</v>
      </c>
      <c r="AD156" s="24">
        <f t="shared" si="1240"/>
        <v>0</v>
      </c>
      <c r="AE156" s="24">
        <f t="shared" si="1241"/>
        <v>0</v>
      </c>
      <c r="AJ156" s="23">
        <f>+'QTR Raw'!D81</f>
        <v>0</v>
      </c>
      <c r="AK156" s="23" t="e">
        <f>+AK191*AK22/90</f>
        <v>#DIV/0!</v>
      </c>
      <c r="AL156" s="23">
        <f>+'QTR Raw'!F81</f>
        <v>0</v>
      </c>
      <c r="AM156" s="23" t="e">
        <f>+AM191*AM22/90</f>
        <v>#DIV/0!</v>
      </c>
      <c r="AN156" s="23">
        <f>+'QTR Raw'!H81</f>
        <v>0</v>
      </c>
      <c r="AO156" s="23" t="e">
        <f>+AO191*AO22/90</f>
        <v>#DIV/0!</v>
      </c>
      <c r="AP156" s="23">
        <f>+'QTR Raw'!J81</f>
        <v>0</v>
      </c>
      <c r="AQ156" s="23" t="e">
        <f>+AQ191*AQ22/90</f>
        <v>#DIV/0!</v>
      </c>
      <c r="AR156" s="23">
        <f>+'QTR Raw'!L81</f>
        <v>0</v>
      </c>
      <c r="AS156" s="23" t="e">
        <f>+AS191*AS22/90</f>
        <v>#DIV/0!</v>
      </c>
      <c r="AT156" s="23">
        <f>+'QTR Raw'!N81</f>
        <v>0</v>
      </c>
      <c r="AU156" s="23" t="e">
        <f>+AU191*AU22/90</f>
        <v>#DIV/0!</v>
      </c>
      <c r="AV156" s="23">
        <f>+'QTR Raw'!P81</f>
        <v>0</v>
      </c>
      <c r="AW156" s="23" t="e">
        <f>+AW191*AW22/90</f>
        <v>#DIV/0!</v>
      </c>
      <c r="AX156" s="23">
        <f>+'QTR Raw'!R81</f>
        <v>0</v>
      </c>
      <c r="AY156" s="23" t="e">
        <f>+AY191*AY22/90</f>
        <v>#DIV/0!</v>
      </c>
      <c r="AZ156" s="23">
        <f>+'QTR Raw'!T81</f>
        <v>0</v>
      </c>
      <c r="BA156" s="23" t="e">
        <f>+BA191*BA22/90</f>
        <v>#DIV/0!</v>
      </c>
      <c r="BB156" s="23">
        <f>+'QTR Raw'!V81</f>
        <v>0</v>
      </c>
      <c r="BC156" s="23" t="e">
        <f>+BC191*BC22/90</f>
        <v>#DIV/0!</v>
      </c>
      <c r="BD156" s="23">
        <f>+'QTR Raw'!X81</f>
        <v>0</v>
      </c>
      <c r="BE156" s="23" t="e">
        <f>+BE191*BE22/90</f>
        <v>#DIV/0!</v>
      </c>
      <c r="BF156" s="23">
        <f>+'QTR Raw'!Z81</f>
        <v>0</v>
      </c>
      <c r="BG156" s="23" t="e">
        <f>+BG191*BG22/90</f>
        <v>#DIV/0!</v>
      </c>
      <c r="BH156" s="23">
        <f>+'QTR Raw'!AB81</f>
        <v>0</v>
      </c>
      <c r="BI156" s="23" t="e">
        <f>+BI191*BI22/90</f>
        <v>#DIV/0!</v>
      </c>
      <c r="BJ156" s="23">
        <f>+'QTR Raw'!AD81</f>
        <v>0</v>
      </c>
      <c r="BK156" s="23" t="e">
        <f>+BK191*BK22/90</f>
        <v>#DIV/0!</v>
      </c>
      <c r="BL156" s="23">
        <f>+'QTR Raw'!AF81</f>
        <v>0</v>
      </c>
      <c r="BM156" s="23" t="e">
        <f>+BM191*BM22/90</f>
        <v>#DIV/0!</v>
      </c>
      <c r="BN156" s="23">
        <f>+'QTR Raw'!AH81</f>
        <v>0</v>
      </c>
      <c r="BO156" s="23" t="e">
        <f>+BO191*BO22/90</f>
        <v>#DIV/0!</v>
      </c>
      <c r="BP156" s="23">
        <f>+'QTR Raw'!AJ81</f>
        <v>0</v>
      </c>
      <c r="BQ156" s="23" t="e">
        <f>+BQ191*BQ22/90</f>
        <v>#DIV/0!</v>
      </c>
      <c r="BR156" s="23">
        <f>+'QTR Raw'!AL81</f>
        <v>0</v>
      </c>
      <c r="BS156" s="23">
        <f>+BS191*BS22/90</f>
        <v>0</v>
      </c>
      <c r="BT156" s="23">
        <f>+'QTR Raw'!AN81</f>
        <v>0</v>
      </c>
      <c r="BU156" s="23">
        <f>+BU191*BU22/90</f>
        <v>0</v>
      </c>
      <c r="BV156" s="23">
        <f>+'QTR Raw'!AP81</f>
        <v>0</v>
      </c>
      <c r="BW156" s="23">
        <f>+BW191*BW22/90</f>
        <v>0</v>
      </c>
      <c r="BX156" s="23">
        <f>+'QTR Raw'!AR81</f>
        <v>0</v>
      </c>
      <c r="BY156" s="23">
        <f>+BY191*BY22/90</f>
        <v>0</v>
      </c>
      <c r="BZ156" s="23">
        <f>+'QTR Raw'!AT81</f>
        <v>0</v>
      </c>
      <c r="CA156" s="23">
        <f>+CA191*CA22/90</f>
        <v>0</v>
      </c>
      <c r="CB156" s="23">
        <f>+'QTR Raw'!AV81</f>
        <v>0</v>
      </c>
      <c r="CC156" s="23">
        <f>+CC191*CC22/90</f>
        <v>0</v>
      </c>
      <c r="CD156" s="23">
        <f>+'QTR Raw'!AX81</f>
        <v>0</v>
      </c>
      <c r="CE156" s="23">
        <f>+CE191*CE22/90</f>
        <v>0</v>
      </c>
      <c r="CF156" s="23">
        <f>+'QTR Raw'!AZ81</f>
        <v>0</v>
      </c>
      <c r="CG156" s="23">
        <f>+CG191*CG22/90</f>
        <v>0</v>
      </c>
      <c r="CH156" s="23">
        <f t="shared" si="1221"/>
        <v>0</v>
      </c>
      <c r="CI156" s="23">
        <f>+CI191*CI22/90</f>
        <v>0</v>
      </c>
      <c r="CJ156" s="23">
        <f>+'QTR Raw'!BD81</f>
        <v>0</v>
      </c>
      <c r="CK156" s="23">
        <f t="shared" ref="CK156" si="1243">+CK191*CK22/90</f>
        <v>0</v>
      </c>
      <c r="CL156" s="23">
        <f>+'QTR Raw'!BF81</f>
        <v>0</v>
      </c>
      <c r="CM156" s="24">
        <f t="shared" ref="CM156:DB156" si="1244">+CM191*CM22/90</f>
        <v>0</v>
      </c>
      <c r="CN156" s="24">
        <f t="shared" si="1244"/>
        <v>0</v>
      </c>
      <c r="CO156" s="24">
        <f t="shared" si="1244"/>
        <v>0</v>
      </c>
      <c r="CP156" s="24">
        <f t="shared" si="1244"/>
        <v>0</v>
      </c>
      <c r="CQ156" s="24">
        <f t="shared" si="1244"/>
        <v>0</v>
      </c>
      <c r="CR156" s="24">
        <f t="shared" si="1244"/>
        <v>0</v>
      </c>
      <c r="CS156" s="24">
        <f t="shared" si="1244"/>
        <v>0</v>
      </c>
      <c r="CT156" s="24">
        <f t="shared" si="1244"/>
        <v>0</v>
      </c>
      <c r="CU156" s="24">
        <f t="shared" si="1244"/>
        <v>0</v>
      </c>
      <c r="CV156" s="24">
        <f t="shared" si="1244"/>
        <v>0</v>
      </c>
      <c r="CW156" s="24">
        <f t="shared" si="1244"/>
        <v>0</v>
      </c>
      <c r="CX156" s="24">
        <f t="shared" si="1244"/>
        <v>0</v>
      </c>
      <c r="CY156" s="24">
        <f t="shared" si="1244"/>
        <v>0</v>
      </c>
      <c r="CZ156" s="24">
        <f t="shared" si="1244"/>
        <v>0</v>
      </c>
      <c r="DA156" s="24">
        <f t="shared" si="1244"/>
        <v>0</v>
      </c>
      <c r="DB156" s="24">
        <f t="shared" si="1244"/>
        <v>0</v>
      </c>
      <c r="DE156" s="123"/>
      <c r="DF156" s="23">
        <v>0</v>
      </c>
    </row>
    <row r="157" spans="1:110" s="23" customFormat="1" outlineLevel="1" x14ac:dyDescent="0.2">
      <c r="A157" s="23" t="s">
        <v>62</v>
      </c>
      <c r="B157" s="23">
        <f>'Annual Raw'!C77</f>
        <v>0</v>
      </c>
      <c r="C157" s="23">
        <f>'Annual Raw'!D77</f>
        <v>0</v>
      </c>
      <c r="D157" s="23">
        <f>'Annual Raw'!E77</f>
        <v>0</v>
      </c>
      <c r="E157" s="23">
        <f>'Annual Raw'!F77</f>
        <v>0</v>
      </c>
      <c r="F157" s="23">
        <f>'Annual Raw'!G77</f>
        <v>0</v>
      </c>
      <c r="G157" s="23">
        <f>'Annual Raw'!H77</f>
        <v>0</v>
      </c>
      <c r="H157" s="23">
        <f>'Annual Raw'!I77</f>
        <v>0</v>
      </c>
      <c r="I157" s="23">
        <f>'Annual Raw'!J77</f>
        <v>0</v>
      </c>
      <c r="J157" s="23">
        <f>'Annual Raw'!K77</f>
        <v>0.43411080000000002</v>
      </c>
      <c r="K157" s="23">
        <f>'Annual Raw'!L77</f>
        <v>0.89258599999999999</v>
      </c>
      <c r="L157" s="23">
        <f>'Annual Raw'!M77</f>
        <v>1.4993523</v>
      </c>
      <c r="M157" s="23">
        <f>'Annual Raw'!N77</f>
        <v>0</v>
      </c>
      <c r="N157" s="23">
        <f>'Annual Raw'!O77</f>
        <v>0</v>
      </c>
      <c r="O157" s="23">
        <f>'Annual Raw'!P77</f>
        <v>0.50865369999999999</v>
      </c>
      <c r="P157" s="23">
        <f>'Annual Raw'!Q77</f>
        <v>0.50865369999999999</v>
      </c>
      <c r="Q157" s="23">
        <f>'Annual Raw'!R77</f>
        <v>0.49</v>
      </c>
      <c r="R157" s="23">
        <f>'Annual Raw'!S77</f>
        <v>7.46</v>
      </c>
      <c r="S157" s="23">
        <f>'Annual Raw'!T77</f>
        <v>12.273999999999999</v>
      </c>
      <c r="T157" s="23">
        <f>'Annual Raw'!U77</f>
        <v>11.013999999999999</v>
      </c>
      <c r="U157" s="23">
        <f>'Annual Raw'!V77</f>
        <v>9.1140000000000008</v>
      </c>
      <c r="V157" s="23">
        <f>'Annual Raw'!W77</f>
        <v>10.865399999999999</v>
      </c>
      <c r="W157" s="23">
        <f>'Annual Raw'!X77</f>
        <v>14.898899999999999</v>
      </c>
      <c r="X157" s="23">
        <f>'Annual Raw'!Y77</f>
        <v>17.128</v>
      </c>
      <c r="Y157" s="23">
        <f>'Annual Raw'!Z77</f>
        <v>28.2483</v>
      </c>
      <c r="Z157" s="23">
        <f>'Annual Raw'!AA77</f>
        <v>35.446800000000003</v>
      </c>
      <c r="AA157" s="23">
        <f>'Annual Raw'!AB77</f>
        <v>42.758000000000003</v>
      </c>
      <c r="AB157" s="24">
        <f t="shared" si="1238"/>
        <v>55.5854</v>
      </c>
      <c r="AC157" s="24">
        <f t="shared" si="1239"/>
        <v>72.261019999999988</v>
      </c>
      <c r="AD157" s="24">
        <f t="shared" si="1240"/>
        <v>93.939325999999966</v>
      </c>
      <c r="AE157" s="24">
        <f t="shared" si="1241"/>
        <v>122.12112379999999</v>
      </c>
      <c r="AJ157" s="23">
        <f>+'QTR Raw'!D82</f>
        <v>0</v>
      </c>
      <c r="AK157" s="23" t="e">
        <f>+AK192*AK22/90</f>
        <v>#DIV/0!</v>
      </c>
      <c r="AL157" s="23">
        <f>+'QTR Raw'!F82</f>
        <v>0</v>
      </c>
      <c r="AM157" s="23" t="e">
        <f>+AM192*AM22/90</f>
        <v>#DIV/0!</v>
      </c>
      <c r="AN157" s="23">
        <f>+'QTR Raw'!H82</f>
        <v>0</v>
      </c>
      <c r="AO157" s="23" t="e">
        <f>+AO192*AO22/90</f>
        <v>#DIV/0!</v>
      </c>
      <c r="AP157" s="23">
        <f>+'QTR Raw'!J82</f>
        <v>0</v>
      </c>
      <c r="AQ157" s="23" t="e">
        <f>+AQ192*AQ22/90</f>
        <v>#DIV/0!</v>
      </c>
      <c r="AR157" s="23">
        <f>+'QTR Raw'!L82</f>
        <v>0</v>
      </c>
      <c r="AS157" s="23" t="e">
        <f>+AS192*AS22/90</f>
        <v>#DIV/0!</v>
      </c>
      <c r="AT157" s="23">
        <f>+'QTR Raw'!N82</f>
        <v>0</v>
      </c>
      <c r="AU157" s="23" t="e">
        <f>+AU192*AU22/90</f>
        <v>#DIV/0!</v>
      </c>
      <c r="AV157" s="23">
        <f>+'QTR Raw'!P82</f>
        <v>0</v>
      </c>
      <c r="AW157" s="23" t="e">
        <f>+AW192*AW22/90</f>
        <v>#DIV/0!</v>
      </c>
      <c r="AX157" s="23">
        <f>+'QTR Raw'!R82</f>
        <v>0</v>
      </c>
      <c r="AY157" s="23" t="e">
        <f>+AY192*AY22/90</f>
        <v>#DIV/0!</v>
      </c>
      <c r="AZ157" s="23">
        <f>+'QTR Raw'!T82</f>
        <v>0</v>
      </c>
      <c r="BA157" s="23" t="e">
        <f>+BA192*BA22/90</f>
        <v>#DIV/0!</v>
      </c>
      <c r="BB157" s="23">
        <f>+'QTR Raw'!V82</f>
        <v>0</v>
      </c>
      <c r="BC157" s="23" t="e">
        <f>+BC192*BC22/90</f>
        <v>#DIV/0!</v>
      </c>
      <c r="BD157" s="23">
        <f>+'QTR Raw'!X82</f>
        <v>0</v>
      </c>
      <c r="BE157" s="23" t="e">
        <f>+BE192*BE22/90</f>
        <v>#DIV/0!</v>
      </c>
      <c r="BF157" s="23">
        <f>+'QTR Raw'!Z82</f>
        <v>0</v>
      </c>
      <c r="BG157" s="23" t="e">
        <f>+BG192*BG22/90</f>
        <v>#DIV/0!</v>
      </c>
      <c r="BH157" s="23">
        <f>+'QTR Raw'!AB82</f>
        <v>0</v>
      </c>
      <c r="BI157" s="23" t="e">
        <f>+BI192*BI22/90</f>
        <v>#DIV/0!</v>
      </c>
      <c r="BJ157" s="23">
        <f>+'QTR Raw'!AD82</f>
        <v>0</v>
      </c>
      <c r="BK157" s="23" t="e">
        <f>+BK192*BK22/90</f>
        <v>#DIV/0!</v>
      </c>
      <c r="BL157" s="23">
        <f>+'QTR Raw'!AF82</f>
        <v>0</v>
      </c>
      <c r="BM157" s="23" t="e">
        <f>+BM192*BM22/90</f>
        <v>#DIV/0!</v>
      </c>
      <c r="BN157" s="23">
        <f>+'QTR Raw'!AH82</f>
        <v>0</v>
      </c>
      <c r="BO157" s="23" t="e">
        <f>+BO192*BO22/90</f>
        <v>#DIV/0!</v>
      </c>
      <c r="BP157" s="23">
        <f>+'QTR Raw'!AJ82</f>
        <v>0</v>
      </c>
      <c r="BQ157" s="23" t="e">
        <f>+BQ192*BQ22/90</f>
        <v>#DIV/0!</v>
      </c>
      <c r="BR157" s="23">
        <f>+'QTR Raw'!AL82</f>
        <v>10.865</v>
      </c>
      <c r="BS157" s="23">
        <f>+BS192*BS22/90</f>
        <v>15.097680725894904</v>
      </c>
      <c r="BT157" s="23">
        <f>+'QTR Raw'!AN82</f>
        <v>0</v>
      </c>
      <c r="BU157" s="23">
        <f>+BU192*BU22/90</f>
        <v>0</v>
      </c>
      <c r="BV157" s="23">
        <f>+'QTR Raw'!AP82</f>
        <v>14.898999999999999</v>
      </c>
      <c r="BW157" s="23">
        <f>+BW192*BW22/90</f>
        <v>17.427122543660843</v>
      </c>
      <c r="BX157" s="23">
        <f>+'QTR Raw'!AR82</f>
        <v>16.050999999999998</v>
      </c>
      <c r="BY157" s="23">
        <f>+BY192*BY22/90</f>
        <v>16.279738812167896</v>
      </c>
      <c r="BZ157" s="23">
        <f>+'QTR Raw'!AT82</f>
        <v>17.128</v>
      </c>
      <c r="CA157" s="23">
        <f>+CA192*CA22/90</f>
        <v>20.969819026301064</v>
      </c>
      <c r="CB157" s="23">
        <f>+'QTR Raw'!AV82</f>
        <v>21.568999999999999</v>
      </c>
      <c r="CC157" s="23">
        <f>+CC192*CC22/90</f>
        <v>21.551279919597331</v>
      </c>
      <c r="CD157" s="23">
        <f>+'QTR Raw'!AX82</f>
        <v>28.248000000000001</v>
      </c>
      <c r="CE157" s="23">
        <f>+CE192*CE22/90</f>
        <v>36.422696880901221</v>
      </c>
      <c r="CF157" s="23">
        <f>+'QTR Raw'!AZ82</f>
        <v>36.072000000000003</v>
      </c>
      <c r="CG157" s="23">
        <f>+CG192*CG22/90</f>
        <v>35.262585027280494</v>
      </c>
      <c r="CH157" s="23">
        <f t="shared" si="1221"/>
        <v>35.446800000000003</v>
      </c>
      <c r="CI157" s="23">
        <f>+CI192*CI22/90</f>
        <v>43.76025317895116</v>
      </c>
      <c r="CJ157" s="23">
        <f>+'QTR Raw'!BD82</f>
        <v>41.104999999999997</v>
      </c>
      <c r="CK157" s="23">
        <f t="shared" ref="CK157" si="1245">+CK192*CK22/90</f>
        <v>40.034820793231241</v>
      </c>
      <c r="CL157" s="23">
        <f>+'QTR Raw'!BF82</f>
        <v>42.758000000000003</v>
      </c>
      <c r="CM157" s="24">
        <f t="shared" ref="CM157:DB157" si="1246">+CM192*CM22/90</f>
        <v>51.143406087569602</v>
      </c>
      <c r="CN157" s="24">
        <f t="shared" si="1246"/>
        <v>57.429375704090774</v>
      </c>
      <c r="CO157" s="24">
        <f t="shared" si="1246"/>
        <v>55.93418719329577</v>
      </c>
      <c r="CP157" s="24">
        <f t="shared" si="1246"/>
        <v>55.5854</v>
      </c>
      <c r="CQ157" s="24">
        <f t="shared" si="1246"/>
        <v>66.486427913840487</v>
      </c>
      <c r="CR157" s="24">
        <f t="shared" si="1246"/>
        <v>74.658188415318008</v>
      </c>
      <c r="CS157" s="24">
        <f t="shared" si="1246"/>
        <v>72.714443351284487</v>
      </c>
      <c r="CT157" s="24">
        <f t="shared" si="1246"/>
        <v>72.261019999999988</v>
      </c>
      <c r="CU157" s="24">
        <f t="shared" si="1246"/>
        <v>86.432356287992619</v>
      </c>
      <c r="CV157" s="24">
        <f t="shared" si="1246"/>
        <v>97.055644939913407</v>
      </c>
      <c r="CW157" s="24">
        <f t="shared" si="1246"/>
        <v>94.528776356669837</v>
      </c>
      <c r="CX157" s="24">
        <f t="shared" si="1246"/>
        <v>93.939325999999966</v>
      </c>
      <c r="CY157" s="24">
        <f t="shared" si="1246"/>
        <v>112.3620631743904</v>
      </c>
      <c r="CZ157" s="24">
        <f t="shared" si="1246"/>
        <v>126.17233842188742</v>
      </c>
      <c r="DA157" s="24">
        <f t="shared" si="1246"/>
        <v>122.88740926367082</v>
      </c>
      <c r="DB157" s="24">
        <f t="shared" si="1246"/>
        <v>122.12112379999999</v>
      </c>
      <c r="DE157" s="123"/>
      <c r="DF157" s="23">
        <v>42.758000000000003</v>
      </c>
    </row>
    <row r="158" spans="1:110" s="23" customFormat="1" outlineLevel="1" x14ac:dyDescent="0.2">
      <c r="A158" s="23" t="s">
        <v>63</v>
      </c>
      <c r="B158" s="23">
        <f>'Annual Raw'!C79</f>
        <v>0</v>
      </c>
      <c r="C158" s="23">
        <f>'Annual Raw'!D79</f>
        <v>0</v>
      </c>
      <c r="D158" s="23">
        <f>'Annual Raw'!E79</f>
        <v>0</v>
      </c>
      <c r="E158" s="23">
        <f>'Annual Raw'!F79</f>
        <v>0</v>
      </c>
      <c r="F158" s="23">
        <f>'Annual Raw'!G79</f>
        <v>0</v>
      </c>
      <c r="G158" s="23">
        <f>'Annual Raw'!H79</f>
        <v>0</v>
      </c>
      <c r="H158" s="23">
        <f>'Annual Raw'!I79</f>
        <v>0</v>
      </c>
      <c r="I158" s="23">
        <f>'Annual Raw'!J79</f>
        <v>0</v>
      </c>
      <c r="J158" s="23">
        <f>'Annual Raw'!K79</f>
        <v>0</v>
      </c>
      <c r="K158" s="23">
        <f>'Annual Raw'!L79</f>
        <v>0</v>
      </c>
      <c r="L158" s="23">
        <f>'Annual Raw'!M79</f>
        <v>0</v>
      </c>
      <c r="M158" s="23">
        <f>'Annual Raw'!N79</f>
        <v>5.7210499999999997E-2</v>
      </c>
      <c r="N158" s="23">
        <f>'Annual Raw'!O79</f>
        <v>0.13462640000000001</v>
      </c>
      <c r="O158" s="23">
        <f>'Annual Raw'!P79</f>
        <v>0.14673919999999999</v>
      </c>
      <c r="P158" s="23">
        <f>'Annual Raw'!Q79</f>
        <v>5.4548199999999998E-2</v>
      </c>
      <c r="Q158" s="23">
        <f>'Annual Raw'!R79</f>
        <v>4.7E-2</v>
      </c>
      <c r="R158" s="23">
        <f>'Annual Raw'!S79</f>
        <v>9.2390000000000008</v>
      </c>
      <c r="S158" s="23">
        <f>'Annual Raw'!T79</f>
        <v>23.084</v>
      </c>
      <c r="T158" s="23">
        <f>'Annual Raw'!U79</f>
        <v>10.507</v>
      </c>
      <c r="U158" s="23">
        <f>'Annual Raw'!V79</f>
        <v>29.254000000000001</v>
      </c>
      <c r="V158" s="23">
        <f>'Annual Raw'!W79</f>
        <v>9.6588999999999992</v>
      </c>
      <c r="W158" s="23">
        <f>'Annual Raw'!X79</f>
        <v>12.837999999999999</v>
      </c>
      <c r="X158" s="23">
        <f>'Annual Raw'!Y79</f>
        <v>133.98150000000001</v>
      </c>
      <c r="Y158" s="23">
        <f>'Annual Raw'!Z79</f>
        <v>158.2191</v>
      </c>
      <c r="Z158" s="23">
        <f>'Annual Raw'!AA79</f>
        <v>106.53489999999999</v>
      </c>
      <c r="AA158" s="23">
        <f>'Annual Raw'!AB79</f>
        <v>219.6138</v>
      </c>
      <c r="AB158" s="24">
        <f t="shared" si="1238"/>
        <v>844.93110000000013</v>
      </c>
      <c r="AC158" s="24">
        <f t="shared" si="1239"/>
        <v>1098.4104299999999</v>
      </c>
      <c r="AD158" s="24">
        <f t="shared" si="1240"/>
        <v>1427.9335590000001</v>
      </c>
      <c r="AE158" s="24">
        <f t="shared" si="1241"/>
        <v>1856.3136267</v>
      </c>
      <c r="AJ158" s="23">
        <f>+'QTR Raw'!D84</f>
        <v>0</v>
      </c>
      <c r="AK158" s="23">
        <f t="shared" si="1242"/>
        <v>0</v>
      </c>
      <c r="AL158" s="23">
        <f>+'QTR Raw'!F84</f>
        <v>0</v>
      </c>
      <c r="AM158" s="23">
        <f t="shared" si="1242"/>
        <v>0</v>
      </c>
      <c r="AN158" s="23">
        <f>+'QTR Raw'!H84</f>
        <v>0</v>
      </c>
      <c r="AO158" s="23">
        <f t="shared" si="1242"/>
        <v>0</v>
      </c>
      <c r="AP158" s="23">
        <f>+'QTR Raw'!J84</f>
        <v>0</v>
      </c>
      <c r="AQ158" s="23">
        <f t="shared" si="1242"/>
        <v>0</v>
      </c>
      <c r="AR158" s="23">
        <f>+'QTR Raw'!L84</f>
        <v>0</v>
      </c>
      <c r="AS158" s="23">
        <f t="shared" si="1242"/>
        <v>0</v>
      </c>
      <c r="AT158" s="23">
        <f>+'QTR Raw'!N84</f>
        <v>0</v>
      </c>
      <c r="AU158" s="23">
        <f t="shared" si="1242"/>
        <v>0</v>
      </c>
      <c r="AV158" s="23">
        <f>+'QTR Raw'!P84</f>
        <v>0</v>
      </c>
      <c r="AW158" s="23">
        <f t="shared" si="1242"/>
        <v>0</v>
      </c>
      <c r="AX158" s="23">
        <f>+'QTR Raw'!R84</f>
        <v>0</v>
      </c>
      <c r="AY158" s="23">
        <f t="shared" si="1242"/>
        <v>0</v>
      </c>
      <c r="AZ158" s="23">
        <f>+'QTR Raw'!T84</f>
        <v>0</v>
      </c>
      <c r="BA158" s="23">
        <f t="shared" si="1242"/>
        <v>0</v>
      </c>
      <c r="BB158" s="23">
        <f>+'QTR Raw'!V84</f>
        <v>0</v>
      </c>
      <c r="BC158" s="23">
        <f t="shared" si="1242"/>
        <v>0</v>
      </c>
      <c r="BD158" s="23">
        <f>+'QTR Raw'!X84</f>
        <v>0</v>
      </c>
      <c r="BE158" s="23">
        <f t="shared" si="1242"/>
        <v>0</v>
      </c>
      <c r="BF158" s="23">
        <f>+'QTR Raw'!Z84</f>
        <v>0</v>
      </c>
      <c r="BG158" s="23">
        <f t="shared" si="1242"/>
        <v>0</v>
      </c>
      <c r="BH158" s="23">
        <f>+'QTR Raw'!AB84</f>
        <v>0</v>
      </c>
      <c r="BI158" s="23">
        <f t="shared" si="1242"/>
        <v>0</v>
      </c>
      <c r="BJ158" s="23">
        <f>+'QTR Raw'!AD84</f>
        <v>0</v>
      </c>
      <c r="BK158" s="23">
        <f t="shared" si="1242"/>
        <v>0</v>
      </c>
      <c r="BL158" s="23">
        <f>+'QTR Raw'!AF84</f>
        <v>0</v>
      </c>
      <c r="BM158" s="23">
        <f t="shared" si="1242"/>
        <v>0</v>
      </c>
      <c r="BN158" s="23">
        <f>+'QTR Raw'!AH84</f>
        <v>0</v>
      </c>
      <c r="BO158" s="23">
        <f t="shared" si="1242"/>
        <v>0</v>
      </c>
      <c r="BP158" s="23">
        <f>+'QTR Raw'!AJ84</f>
        <v>0</v>
      </c>
      <c r="BQ158" s="23">
        <f t="shared" si="1242"/>
        <v>0</v>
      </c>
      <c r="BR158" s="23">
        <f>+'QTR Raw'!AL84</f>
        <v>15.282</v>
      </c>
      <c r="BS158" s="23">
        <f t="shared" si="1242"/>
        <v>15.282</v>
      </c>
      <c r="BT158" s="23">
        <f>+'QTR Raw'!AN84</f>
        <v>0</v>
      </c>
      <c r="BU158" s="23">
        <f t="shared" si="1242"/>
        <v>0</v>
      </c>
      <c r="BV158" s="23">
        <f>+'QTR Raw'!AP84</f>
        <v>99.177000000000007</v>
      </c>
      <c r="BW158" s="23">
        <f t="shared" si="1242"/>
        <v>99.177000000000007</v>
      </c>
      <c r="BX158" s="23">
        <f>+'QTR Raw'!AR84</f>
        <v>119.871</v>
      </c>
      <c r="BY158" s="23">
        <f t="shared" si="1242"/>
        <v>119.871</v>
      </c>
      <c r="BZ158" s="23">
        <f>+'QTR Raw'!AT84</f>
        <v>265.17099999999999</v>
      </c>
      <c r="CA158" s="23">
        <f t="shared" si="1242"/>
        <v>265.17099999999999</v>
      </c>
      <c r="CB158" s="23">
        <f>+'QTR Raw'!AV84</f>
        <v>289.34500000000003</v>
      </c>
      <c r="CC158" s="23">
        <f t="shared" si="1242"/>
        <v>289.34500000000003</v>
      </c>
      <c r="CD158" s="23">
        <f>+'QTR Raw'!AX84</f>
        <v>547.73</v>
      </c>
      <c r="CE158" s="23">
        <f t="shared" si="1242"/>
        <v>547.73</v>
      </c>
      <c r="CF158" s="23">
        <f>+'QTR Raw'!AZ84</f>
        <v>405.70400000000001</v>
      </c>
      <c r="CG158" s="23">
        <f t="shared" ref="CG158:CG159" si="1247">+CF158</f>
        <v>405.70400000000001</v>
      </c>
      <c r="CH158" s="23">
        <f t="shared" si="1221"/>
        <v>106.53489999999999</v>
      </c>
      <c r="CI158" s="23">
        <f>CI22/90*CI193</f>
        <v>555.71008083708773</v>
      </c>
      <c r="CJ158" s="23">
        <f>+'QTR Raw'!BD84</f>
        <v>561.60500000000002</v>
      </c>
      <c r="CK158" s="23">
        <f t="shared" ref="CK158" si="1248">CK22/90*CK193</f>
        <v>610.18696405103481</v>
      </c>
      <c r="CL158" s="23">
        <f>+'QTR Raw'!BF84</f>
        <v>544.37900000000002</v>
      </c>
      <c r="CM158" s="24">
        <f t="shared" ref="CM158:DB158" si="1249">CM22/90*CM193</f>
        <v>777.41015380507986</v>
      </c>
      <c r="CN158" s="24">
        <f t="shared" si="1249"/>
        <v>872.96062609913201</v>
      </c>
      <c r="CO158" s="24">
        <f t="shared" si="1249"/>
        <v>850.23287253194746</v>
      </c>
      <c r="CP158" s="24">
        <f t="shared" si="1249"/>
        <v>844.93110000000013</v>
      </c>
      <c r="CQ158" s="24">
        <f t="shared" si="1249"/>
        <v>1010.6331999466039</v>
      </c>
      <c r="CR158" s="24">
        <f t="shared" si="1249"/>
        <v>1134.8488139288718</v>
      </c>
      <c r="CS158" s="24">
        <f t="shared" si="1249"/>
        <v>1105.3027342915314</v>
      </c>
      <c r="CT158" s="24">
        <f t="shared" si="1249"/>
        <v>1098.4104299999999</v>
      </c>
      <c r="CU158" s="24">
        <f t="shared" si="1249"/>
        <v>1313.8231599305848</v>
      </c>
      <c r="CV158" s="24">
        <f t="shared" si="1249"/>
        <v>1475.3034581075333</v>
      </c>
      <c r="CW158" s="24">
        <f t="shared" si="1249"/>
        <v>1436.8935545789909</v>
      </c>
      <c r="CX158" s="24">
        <f t="shared" si="1249"/>
        <v>1427.9335590000001</v>
      </c>
      <c r="CY158" s="24">
        <f t="shared" si="1249"/>
        <v>1707.9701079097601</v>
      </c>
      <c r="CZ158" s="24">
        <f t="shared" si="1249"/>
        <v>1917.8944955397931</v>
      </c>
      <c r="DA158" s="24">
        <f t="shared" si="1249"/>
        <v>1867.9616209526885</v>
      </c>
      <c r="DB158" s="24">
        <f t="shared" si="1249"/>
        <v>1856.3136267</v>
      </c>
      <c r="DE158" s="123"/>
      <c r="DF158" s="23">
        <v>219.6138</v>
      </c>
    </row>
    <row r="159" spans="1:110" s="23" customFormat="1" outlineLevel="1" x14ac:dyDescent="0.2">
      <c r="A159" s="23" t="s">
        <v>64</v>
      </c>
      <c r="B159" s="23">
        <f>'Annual Raw'!C80</f>
        <v>0</v>
      </c>
      <c r="C159" s="23">
        <f>'Annual Raw'!D80</f>
        <v>0</v>
      </c>
      <c r="D159" s="23">
        <f>'Annual Raw'!E80</f>
        <v>0</v>
      </c>
      <c r="E159" s="23">
        <f>'Annual Raw'!F80</f>
        <v>0</v>
      </c>
      <c r="F159" s="23">
        <f>'Annual Raw'!G80</f>
        <v>0</v>
      </c>
      <c r="G159" s="23">
        <f>'Annual Raw'!H80</f>
        <v>0</v>
      </c>
      <c r="H159" s="23">
        <f>'Annual Raw'!I80</f>
        <v>0</v>
      </c>
      <c r="I159" s="23">
        <f>'Annual Raw'!J80</f>
        <v>0</v>
      </c>
      <c r="J159" s="23">
        <f>'Annual Raw'!K80</f>
        <v>0.36731180000000002</v>
      </c>
      <c r="K159" s="23">
        <f>'Annual Raw'!L80</f>
        <v>0.52524400000000004</v>
      </c>
      <c r="L159" s="23">
        <f>'Annual Raw'!M80</f>
        <v>0</v>
      </c>
      <c r="M159" s="23">
        <f>'Annual Raw'!N80</f>
        <v>0</v>
      </c>
      <c r="N159" s="23">
        <f>'Annual Raw'!O80</f>
        <v>6.6749000000000001E-3</v>
      </c>
      <c r="O159" s="23">
        <f>'Annual Raw'!P80</f>
        <v>5.0540300000000003E-2</v>
      </c>
      <c r="P159" s="23">
        <f>'Annual Raw'!Q80</f>
        <v>1.4574990999999999</v>
      </c>
      <c r="Q159" s="23">
        <f>'Annual Raw'!R80</f>
        <v>1.5569999999999999</v>
      </c>
      <c r="R159" s="23">
        <f>'Annual Raw'!S80</f>
        <v>0.60399999999999998</v>
      </c>
      <c r="S159" s="23">
        <f>'Annual Raw'!T80</f>
        <v>22.852</v>
      </c>
      <c r="T159" s="23">
        <f>'Annual Raw'!U80</f>
        <v>4.3259999999999996</v>
      </c>
      <c r="U159" s="23">
        <f>'Annual Raw'!V80</f>
        <v>82.113</v>
      </c>
      <c r="V159" s="23">
        <f>'Annual Raw'!W80</f>
        <v>5.6223999999999998</v>
      </c>
      <c r="W159" s="23">
        <f>'Annual Raw'!X80</f>
        <v>86.338700000000003</v>
      </c>
      <c r="X159" s="23">
        <f>'Annual Raw'!Y80</f>
        <v>131.19</v>
      </c>
      <c r="Y159" s="23">
        <f>'Annual Raw'!Z80</f>
        <v>389.51049999999998</v>
      </c>
      <c r="Z159" s="23">
        <f>'Annual Raw'!AA80</f>
        <v>336.91250000000002</v>
      </c>
      <c r="AA159" s="23">
        <f>'Annual Raw'!AB80</f>
        <v>361.51940000000002</v>
      </c>
      <c r="AB159" s="24">
        <f t="shared" si="1238"/>
        <v>0</v>
      </c>
      <c r="AC159" s="24">
        <f t="shared" si="1239"/>
        <v>0</v>
      </c>
      <c r="AD159" s="24">
        <f t="shared" si="1240"/>
        <v>0</v>
      </c>
      <c r="AE159" s="24">
        <f t="shared" si="1241"/>
        <v>0</v>
      </c>
      <c r="AJ159" s="23">
        <f>+'QTR Raw'!D85</f>
        <v>0</v>
      </c>
      <c r="AK159" s="23">
        <f t="shared" si="1242"/>
        <v>0</v>
      </c>
      <c r="AL159" s="23">
        <f>+'QTR Raw'!F85</f>
        <v>0</v>
      </c>
      <c r="AM159" s="23">
        <f t="shared" si="1242"/>
        <v>0</v>
      </c>
      <c r="AN159" s="23">
        <f>+'QTR Raw'!H85</f>
        <v>0</v>
      </c>
      <c r="AO159" s="23">
        <f t="shared" si="1242"/>
        <v>0</v>
      </c>
      <c r="AP159" s="23">
        <f>+'QTR Raw'!J85</f>
        <v>0</v>
      </c>
      <c r="AQ159" s="23">
        <f t="shared" si="1242"/>
        <v>0</v>
      </c>
      <c r="AR159" s="23">
        <f>+'QTR Raw'!L85</f>
        <v>0</v>
      </c>
      <c r="AS159" s="23">
        <f t="shared" si="1242"/>
        <v>0</v>
      </c>
      <c r="AT159" s="23">
        <f>+'QTR Raw'!N85</f>
        <v>0</v>
      </c>
      <c r="AU159" s="23">
        <f t="shared" si="1242"/>
        <v>0</v>
      </c>
      <c r="AV159" s="23">
        <f>+'QTR Raw'!P85</f>
        <v>0</v>
      </c>
      <c r="AW159" s="23">
        <f t="shared" si="1242"/>
        <v>0</v>
      </c>
      <c r="AX159" s="23">
        <f>+'QTR Raw'!R85</f>
        <v>0</v>
      </c>
      <c r="AY159" s="23">
        <f t="shared" si="1242"/>
        <v>0</v>
      </c>
      <c r="AZ159" s="23">
        <f>+'QTR Raw'!T85</f>
        <v>0</v>
      </c>
      <c r="BA159" s="23">
        <f t="shared" si="1242"/>
        <v>0</v>
      </c>
      <c r="BB159" s="23">
        <f>+'QTR Raw'!V85</f>
        <v>0</v>
      </c>
      <c r="BC159" s="23">
        <f t="shared" si="1242"/>
        <v>0</v>
      </c>
      <c r="BD159" s="23">
        <f>+'QTR Raw'!X85</f>
        <v>0</v>
      </c>
      <c r="BE159" s="23">
        <f t="shared" si="1242"/>
        <v>0</v>
      </c>
      <c r="BF159" s="23">
        <f>+'QTR Raw'!Z85</f>
        <v>0</v>
      </c>
      <c r="BG159" s="23">
        <f t="shared" si="1242"/>
        <v>0</v>
      </c>
      <c r="BH159" s="23">
        <f>+'QTR Raw'!AB85</f>
        <v>0</v>
      </c>
      <c r="BI159" s="23">
        <f t="shared" si="1242"/>
        <v>0</v>
      </c>
      <c r="BJ159" s="23">
        <f>+'QTR Raw'!AD85</f>
        <v>0</v>
      </c>
      <c r="BK159" s="23">
        <f t="shared" si="1242"/>
        <v>0</v>
      </c>
      <c r="BL159" s="23">
        <f>+'QTR Raw'!AF85</f>
        <v>0</v>
      </c>
      <c r="BM159" s="23">
        <f t="shared" si="1242"/>
        <v>0</v>
      </c>
      <c r="BN159" s="23">
        <f>+'QTR Raw'!AH85</f>
        <v>0</v>
      </c>
      <c r="BO159" s="23">
        <f t="shared" si="1242"/>
        <v>0</v>
      </c>
      <c r="BP159" s="23">
        <f>+'QTR Raw'!AJ85</f>
        <v>0</v>
      </c>
      <c r="BQ159" s="23">
        <f t="shared" si="1242"/>
        <v>0</v>
      </c>
      <c r="BR159" s="23">
        <f>+'QTR Raw'!AL85</f>
        <v>0</v>
      </c>
      <c r="BS159" s="23">
        <f t="shared" si="1242"/>
        <v>0</v>
      </c>
      <c r="BT159" s="23">
        <f>+'QTR Raw'!AN85</f>
        <v>0</v>
      </c>
      <c r="BU159" s="23">
        <f t="shared" si="1242"/>
        <v>0</v>
      </c>
      <c r="BV159" s="23">
        <f>+'QTR Raw'!AP85</f>
        <v>0</v>
      </c>
      <c r="BW159" s="23">
        <f t="shared" si="1242"/>
        <v>0</v>
      </c>
      <c r="BX159" s="23">
        <f>+'QTR Raw'!AR85</f>
        <v>0</v>
      </c>
      <c r="BY159" s="23">
        <f t="shared" si="1242"/>
        <v>0</v>
      </c>
      <c r="BZ159" s="23">
        <f>+'QTR Raw'!AT85</f>
        <v>0</v>
      </c>
      <c r="CA159" s="23">
        <f t="shared" si="1242"/>
        <v>0</v>
      </c>
      <c r="CB159" s="23">
        <f>+'QTR Raw'!AV85</f>
        <v>0</v>
      </c>
      <c r="CC159" s="23">
        <f t="shared" si="1242"/>
        <v>0</v>
      </c>
      <c r="CD159" s="23">
        <f>+'QTR Raw'!AX85</f>
        <v>0</v>
      </c>
      <c r="CE159" s="23">
        <f t="shared" si="1242"/>
        <v>0</v>
      </c>
      <c r="CF159" s="23">
        <f>+'QTR Raw'!AZ85</f>
        <v>0</v>
      </c>
      <c r="CG159" s="23">
        <f t="shared" si="1247"/>
        <v>0</v>
      </c>
      <c r="CH159" s="23">
        <f t="shared" si="1221"/>
        <v>336.91250000000002</v>
      </c>
      <c r="CJ159" s="23">
        <f>+'QTR Raw'!BD85</f>
        <v>0</v>
      </c>
      <c r="CL159" s="23">
        <f>+'QTR Raw'!BF85</f>
        <v>36.753999999999998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361.51940000000002</v>
      </c>
    </row>
    <row r="160" spans="1:110" s="22" customFormat="1" x14ac:dyDescent="0.2">
      <c r="A160" s="22" t="s">
        <v>65</v>
      </c>
      <c r="B160" s="22">
        <f>SUM(B154:B159)</f>
        <v>0</v>
      </c>
      <c r="C160" s="22">
        <f t="shared" ref="C160:V160" si="1250">SUM(C154:C159)</f>
        <v>0</v>
      </c>
      <c r="D160" s="22">
        <f t="shared" si="1250"/>
        <v>0</v>
      </c>
      <c r="E160" s="22">
        <f t="shared" si="1250"/>
        <v>0</v>
      </c>
      <c r="F160" s="22">
        <f t="shared" si="1250"/>
        <v>0</v>
      </c>
      <c r="G160" s="22">
        <f t="shared" si="1250"/>
        <v>0</v>
      </c>
      <c r="H160" s="22">
        <f t="shared" si="1250"/>
        <v>0</v>
      </c>
      <c r="I160" s="22">
        <f t="shared" si="1250"/>
        <v>0</v>
      </c>
      <c r="J160" s="22">
        <f t="shared" si="1250"/>
        <v>0.80142259999999998</v>
      </c>
      <c r="K160" s="22">
        <f t="shared" si="1250"/>
        <v>1.4178299999999999</v>
      </c>
      <c r="L160" s="22">
        <f>SUM(L154:L159)</f>
        <v>1.7077568999999999</v>
      </c>
      <c r="M160" s="22">
        <f>SUM(M154:M159)</f>
        <v>0.20666660000000001</v>
      </c>
      <c r="N160" s="22">
        <f t="shared" si="1250"/>
        <v>0.32369500000000001</v>
      </c>
      <c r="O160" s="22">
        <f t="shared" si="1250"/>
        <v>0.79771869999999989</v>
      </c>
      <c r="P160" s="22">
        <f t="shared" si="1250"/>
        <v>2.0534349000000001</v>
      </c>
      <c r="Q160" s="22">
        <f t="shared" si="1250"/>
        <v>2.1390000000000002</v>
      </c>
      <c r="R160" s="22">
        <f t="shared" si="1250"/>
        <v>20.664999999999999</v>
      </c>
      <c r="S160" s="22">
        <f t="shared" si="1250"/>
        <v>70.287999999999997</v>
      </c>
      <c r="T160" s="22">
        <f t="shared" si="1250"/>
        <v>108.166</v>
      </c>
      <c r="U160" s="22">
        <f t="shared" si="1250"/>
        <v>193.09700000000001</v>
      </c>
      <c r="V160" s="22">
        <f t="shared" si="1250"/>
        <v>41.536199999999994</v>
      </c>
      <c r="W160" s="22">
        <f t="shared" ref="W160" si="1251">SUM(W154:W159)</f>
        <v>161.78899999999999</v>
      </c>
      <c r="X160" s="22">
        <f t="shared" ref="X160:Y160" si="1252">SUM(X154:X159)</f>
        <v>317.29449999999997</v>
      </c>
      <c r="Y160" s="22">
        <f t="shared" si="1252"/>
        <v>581.16139999999996</v>
      </c>
      <c r="Z160" s="22">
        <f t="shared" ref="Z160:AA160" si="1253">SUM(Z154:Z159)</f>
        <v>485.58460000000002</v>
      </c>
      <c r="AA160" s="22">
        <f t="shared" ref="AA160" si="1254">SUM(AA154:AA159)</f>
        <v>631.93119999999999</v>
      </c>
      <c r="AB160" s="21">
        <f t="shared" ref="AB160:AD160" si="1255">SUM(AB154:AB159)</f>
        <v>900.51650000000018</v>
      </c>
      <c r="AC160" s="21">
        <f t="shared" si="1255"/>
        <v>1170.6714499999998</v>
      </c>
      <c r="AD160" s="21">
        <f t="shared" si="1255"/>
        <v>1521.872885</v>
      </c>
      <c r="AE160" s="21">
        <f t="shared" ref="AE160" si="1256">SUM(AE154:AE159)</f>
        <v>1978.4347505000001</v>
      </c>
      <c r="AJ160" s="22">
        <f t="shared" ref="AJ160" si="1257">SUM(AJ154:AJ159)</f>
        <v>0</v>
      </c>
      <c r="AK160" s="22" t="e">
        <f t="shared" ref="AK160" si="1258">SUM(AK154:AK159)</f>
        <v>#DIV/0!</v>
      </c>
      <c r="AL160" s="22">
        <f t="shared" ref="AL160:AM160" si="1259">SUM(AL154:AL159)</f>
        <v>0</v>
      </c>
      <c r="AM160" s="22" t="e">
        <f t="shared" si="1259"/>
        <v>#DIV/0!</v>
      </c>
      <c r="AN160" s="22">
        <f t="shared" ref="AN160:AO160" si="1260">SUM(AN154:AN159)</f>
        <v>0</v>
      </c>
      <c r="AO160" s="22" t="e">
        <f t="shared" si="1260"/>
        <v>#DIV/0!</v>
      </c>
      <c r="AP160" s="22">
        <f t="shared" ref="AP160:CE160" si="1261">SUM(AP154:AP159)</f>
        <v>0</v>
      </c>
      <c r="AQ160" s="22" t="e">
        <f t="shared" si="1261"/>
        <v>#DIV/0!</v>
      </c>
      <c r="AR160" s="22">
        <f t="shared" si="1261"/>
        <v>0</v>
      </c>
      <c r="AS160" s="22" t="e">
        <f t="shared" si="1261"/>
        <v>#DIV/0!</v>
      </c>
      <c r="AT160" s="22">
        <f t="shared" si="1261"/>
        <v>0</v>
      </c>
      <c r="AU160" s="22" t="e">
        <f t="shared" si="1261"/>
        <v>#DIV/0!</v>
      </c>
      <c r="AV160" s="22">
        <f t="shared" si="1261"/>
        <v>0</v>
      </c>
      <c r="AW160" s="22" t="e">
        <f t="shared" si="1261"/>
        <v>#DIV/0!</v>
      </c>
      <c r="AX160" s="22">
        <f t="shared" si="1261"/>
        <v>0</v>
      </c>
      <c r="AY160" s="22" t="e">
        <f t="shared" si="1261"/>
        <v>#DIV/0!</v>
      </c>
      <c r="AZ160" s="22">
        <f t="shared" si="1261"/>
        <v>0</v>
      </c>
      <c r="BA160" s="22" t="e">
        <f t="shared" si="1261"/>
        <v>#DIV/0!</v>
      </c>
      <c r="BB160" s="22">
        <f t="shared" si="1261"/>
        <v>0</v>
      </c>
      <c r="BC160" s="22" t="e">
        <f t="shared" si="1261"/>
        <v>#DIV/0!</v>
      </c>
      <c r="BD160" s="22">
        <f t="shared" si="1261"/>
        <v>0</v>
      </c>
      <c r="BE160" s="22" t="e">
        <f t="shared" si="1261"/>
        <v>#DIV/0!</v>
      </c>
      <c r="BF160" s="22">
        <f t="shared" si="1261"/>
        <v>0</v>
      </c>
      <c r="BG160" s="22" t="e">
        <f t="shared" si="1261"/>
        <v>#DIV/0!</v>
      </c>
      <c r="BH160" s="22">
        <f t="shared" si="1261"/>
        <v>0</v>
      </c>
      <c r="BI160" s="22" t="e">
        <f t="shared" si="1261"/>
        <v>#DIV/0!</v>
      </c>
      <c r="BJ160" s="22">
        <f t="shared" si="1261"/>
        <v>0</v>
      </c>
      <c r="BK160" s="22" t="e">
        <f t="shared" si="1261"/>
        <v>#DIV/0!</v>
      </c>
      <c r="BL160" s="22">
        <f t="shared" si="1261"/>
        <v>0</v>
      </c>
      <c r="BM160" s="22" t="e">
        <f t="shared" si="1261"/>
        <v>#DIV/0!</v>
      </c>
      <c r="BN160" s="22">
        <f t="shared" si="1261"/>
        <v>0</v>
      </c>
      <c r="BO160" s="22" t="e">
        <f t="shared" si="1261"/>
        <v>#DIV/0!</v>
      </c>
      <c r="BP160" s="22">
        <f t="shared" si="1261"/>
        <v>0</v>
      </c>
      <c r="BQ160" s="22" t="e">
        <f t="shared" si="1261"/>
        <v>#DIV/0!</v>
      </c>
      <c r="BR160" s="22">
        <f t="shared" si="1261"/>
        <v>54.456999999999994</v>
      </c>
      <c r="BS160" s="22">
        <f t="shared" si="1261"/>
        <v>58.689680725894902</v>
      </c>
      <c r="BT160" s="22">
        <f t="shared" si="1261"/>
        <v>0</v>
      </c>
      <c r="BU160" s="22">
        <f t="shared" si="1261"/>
        <v>0</v>
      </c>
      <c r="BV160" s="22">
        <f t="shared" si="1261"/>
        <v>174.95499999999998</v>
      </c>
      <c r="BW160" s="22">
        <f t="shared" si="1261"/>
        <v>177.48312254366084</v>
      </c>
      <c r="BX160" s="22">
        <f t="shared" si="1261"/>
        <v>179.89499999999998</v>
      </c>
      <c r="BY160" s="22">
        <f t="shared" si="1261"/>
        <v>180.12373881216789</v>
      </c>
      <c r="BZ160" s="22">
        <f t="shared" si="1261"/>
        <v>335.76099999999997</v>
      </c>
      <c r="CA160" s="22">
        <f t="shared" si="1261"/>
        <v>339.60281902630106</v>
      </c>
      <c r="CB160" s="22">
        <f t="shared" si="1261"/>
        <v>382.17500000000001</v>
      </c>
      <c r="CC160" s="22">
        <f t="shared" si="1261"/>
        <v>382.15727991959739</v>
      </c>
      <c r="CD160" s="22">
        <f t="shared" si="1261"/>
        <v>622.745</v>
      </c>
      <c r="CE160" s="22">
        <f t="shared" si="1261"/>
        <v>630.91969688090126</v>
      </c>
      <c r="CF160" s="22">
        <f t="shared" ref="CF160:CG160" si="1262">SUM(CF154:CF159)</f>
        <v>508.71100000000001</v>
      </c>
      <c r="CG160" s="22">
        <f t="shared" si="1262"/>
        <v>507.90158502728048</v>
      </c>
      <c r="CH160" s="22">
        <f t="shared" ref="CH160:CI160" si="1263">SUM(CH154:CH159)</f>
        <v>485.58460000000002</v>
      </c>
      <c r="CI160" s="22">
        <f t="shared" si="1263"/>
        <v>599.47033401603892</v>
      </c>
      <c r="CJ160" s="22">
        <f t="shared" ref="CJ160:DB160" si="1264">SUM(CJ154:CJ159)</f>
        <v>667.60300000000007</v>
      </c>
      <c r="CK160" s="22">
        <f t="shared" ref="CK160:CL160" si="1265">SUM(CK154:CK159)</f>
        <v>650.22178484426604</v>
      </c>
      <c r="CL160" s="22">
        <f t="shared" si="1265"/>
        <v>692.70500000000004</v>
      </c>
      <c r="CM160" s="21">
        <f t="shared" si="1264"/>
        <v>828.55355989264945</v>
      </c>
      <c r="CN160" s="21">
        <f t="shared" si="1264"/>
        <v>930.39000180322273</v>
      </c>
      <c r="CO160" s="21">
        <f t="shared" si="1264"/>
        <v>906.16705972524323</v>
      </c>
      <c r="CP160" s="21">
        <f t="shared" si="1264"/>
        <v>900.51650000000018</v>
      </c>
      <c r="CQ160" s="21">
        <f t="shared" si="1264"/>
        <v>1077.1196278604443</v>
      </c>
      <c r="CR160" s="21">
        <f t="shared" si="1264"/>
        <v>1209.5070023441897</v>
      </c>
      <c r="CS160" s="21">
        <f t="shared" si="1264"/>
        <v>1178.0171776428158</v>
      </c>
      <c r="CT160" s="21">
        <f t="shared" si="1264"/>
        <v>1170.6714499999998</v>
      </c>
      <c r="CU160" s="21">
        <f t="shared" si="1264"/>
        <v>1400.2555162185774</v>
      </c>
      <c r="CV160" s="21">
        <f t="shared" si="1264"/>
        <v>1572.3591030474468</v>
      </c>
      <c r="CW160" s="21">
        <f t="shared" si="1264"/>
        <v>1531.4223309356607</v>
      </c>
      <c r="CX160" s="21">
        <f t="shared" si="1264"/>
        <v>1521.872885</v>
      </c>
      <c r="CY160" s="21">
        <f t="shared" si="1264"/>
        <v>1820.3321710841506</v>
      </c>
      <c r="CZ160" s="21">
        <f t="shared" si="1264"/>
        <v>2044.0668339616805</v>
      </c>
      <c r="DA160" s="21">
        <f t="shared" si="1264"/>
        <v>1990.8490302163593</v>
      </c>
      <c r="DB160" s="21">
        <f t="shared" si="1264"/>
        <v>1978.4347505000001</v>
      </c>
      <c r="DE160" s="126"/>
      <c r="DF160" s="22">
        <v>631.93119999999999</v>
      </c>
    </row>
    <row r="161" spans="1:110" s="23" customFormat="1" outlineLevel="1" x14ac:dyDescent="0.2">
      <c r="A161" s="23" t="s">
        <v>66</v>
      </c>
      <c r="B161" s="23">
        <f>'Annual Raw'!C50+'Annual Raw'!C58</f>
        <v>0</v>
      </c>
      <c r="C161" s="23">
        <f>'Annual Raw'!D50+'Annual Raw'!D58</f>
        <v>0</v>
      </c>
      <c r="D161" s="23">
        <f>'Annual Raw'!E50+'Annual Raw'!E58</f>
        <v>0</v>
      </c>
      <c r="E161" s="23">
        <f>'Annual Raw'!F50+'Annual Raw'!F58</f>
        <v>0</v>
      </c>
      <c r="F161" s="23">
        <f>'Annual Raw'!G50+'Annual Raw'!G58</f>
        <v>0</v>
      </c>
      <c r="G161" s="23">
        <f>'Annual Raw'!H50+'Annual Raw'!H58</f>
        <v>0</v>
      </c>
      <c r="H161" s="23">
        <f>'Annual Raw'!I50+'Annual Raw'!I58</f>
        <v>0</v>
      </c>
      <c r="I161" s="23">
        <f>'Annual Raw'!J50+'Annual Raw'!J58</f>
        <v>0</v>
      </c>
      <c r="J161" s="23">
        <f>'Annual Raw'!K50+'Annual Raw'!K58</f>
        <v>0</v>
      </c>
      <c r="K161" s="23">
        <f>'Annual Raw'!L50+'Annual Raw'!L58</f>
        <v>0</v>
      </c>
      <c r="L161" s="23">
        <f>'Annual Raw'!M50+'Annual Raw'!M58</f>
        <v>0</v>
      </c>
      <c r="M161" s="23">
        <f>'Annual Raw'!N50+'Annual Raw'!N58</f>
        <v>0</v>
      </c>
      <c r="N161" s="23">
        <f>'Annual Raw'!O50+'Annual Raw'!O58</f>
        <v>0</v>
      </c>
      <c r="O161" s="23">
        <f>'Annual Raw'!P50+'Annual Raw'!P58</f>
        <v>0</v>
      </c>
      <c r="P161" s="23">
        <f>'Annual Raw'!Q50+'Annual Raw'!Q58</f>
        <v>0</v>
      </c>
      <c r="Q161" s="23">
        <f>'Annual Raw'!R50+'Annual Raw'!R58</f>
        <v>0</v>
      </c>
      <c r="R161" s="23">
        <f>'Annual Raw'!S50+'Annual Raw'!S58</f>
        <v>0</v>
      </c>
      <c r="S161" s="23">
        <f>'Annual Raw'!T50+'Annual Raw'!T58</f>
        <v>0</v>
      </c>
      <c r="T161" s="23">
        <f>'Annual Raw'!U50+'Annual Raw'!U58</f>
        <v>22.692</v>
      </c>
      <c r="U161" s="23">
        <f>'Annual Raw'!V50+'Annual Raw'!V58</f>
        <v>16.506</v>
      </c>
      <c r="V161" s="23">
        <f>'Annual Raw'!W50+'Annual Raw'!W58</f>
        <v>6.3737000000000004</v>
      </c>
      <c r="W161" s="23">
        <f>'Annual Raw'!X50+'Annual Raw'!X58</f>
        <v>8.5399999999999991</v>
      </c>
      <c r="X161" s="23">
        <f>'Annual Raw'!Y50+'Annual Raw'!Y58</f>
        <v>14.168200000000001</v>
      </c>
      <c r="Y161" s="23">
        <f>'Annual Raw'!Z50+'Annual Raw'!Z58</f>
        <v>34.686199999999999</v>
      </c>
      <c r="Z161" s="23">
        <f>'Annual Raw'!AA50+'Annual Raw'!AA58</f>
        <v>45.459699999999998</v>
      </c>
      <c r="AA161" s="23">
        <f>'Annual Raw'!AB50+'Annual Raw'!AB58</f>
        <v>52.640700000000002</v>
      </c>
      <c r="AB161" s="24">
        <f t="shared" ref="AB161:AB167" si="1266">+CP161</f>
        <v>0</v>
      </c>
      <c r="AC161" s="24">
        <f t="shared" ref="AC161:AC167" si="1267">+CT161</f>
        <v>0</v>
      </c>
      <c r="AD161" s="24">
        <f t="shared" ref="AD161:AD167" si="1268">+CX161</f>
        <v>0</v>
      </c>
      <c r="AE161" s="24">
        <f t="shared" ref="AE161:AE167" si="1269">+DB161</f>
        <v>0</v>
      </c>
      <c r="AJ161" s="23">
        <f>+'QTR Raw'!D64</f>
        <v>0</v>
      </c>
      <c r="AK161" s="23">
        <f t="shared" ref="AK161:CE167" si="1270">+AJ161</f>
        <v>0</v>
      </c>
      <c r="AL161" s="23">
        <f>+'QTR Raw'!F64</f>
        <v>0</v>
      </c>
      <c r="AM161" s="23">
        <f t="shared" si="1270"/>
        <v>0</v>
      </c>
      <c r="AN161" s="23">
        <f>+'QTR Raw'!H64</f>
        <v>0</v>
      </c>
      <c r="AO161" s="23">
        <f t="shared" si="1270"/>
        <v>0</v>
      </c>
      <c r="AP161" s="23">
        <f>+'QTR Raw'!J64</f>
        <v>0</v>
      </c>
      <c r="AQ161" s="23">
        <f t="shared" si="1270"/>
        <v>0</v>
      </c>
      <c r="AR161" s="23">
        <f>+'QTR Raw'!L64</f>
        <v>0</v>
      </c>
      <c r="AS161" s="23">
        <f t="shared" si="1270"/>
        <v>0</v>
      </c>
      <c r="AT161" s="23">
        <f>+'QTR Raw'!N64</f>
        <v>0</v>
      </c>
      <c r="AU161" s="23">
        <f t="shared" si="1270"/>
        <v>0</v>
      </c>
      <c r="AV161" s="23">
        <f>+'QTR Raw'!P64</f>
        <v>0</v>
      </c>
      <c r="AW161" s="23">
        <f t="shared" si="1270"/>
        <v>0</v>
      </c>
      <c r="AX161" s="23">
        <f>+'QTR Raw'!R64</f>
        <v>0</v>
      </c>
      <c r="AY161" s="23">
        <f t="shared" si="1270"/>
        <v>0</v>
      </c>
      <c r="AZ161" s="23">
        <f>+'QTR Raw'!T64</f>
        <v>0</v>
      </c>
      <c r="BA161" s="23">
        <f t="shared" si="1270"/>
        <v>0</v>
      </c>
      <c r="BB161" s="23">
        <f>+'QTR Raw'!V64</f>
        <v>0</v>
      </c>
      <c r="BC161" s="23">
        <f t="shared" si="1270"/>
        <v>0</v>
      </c>
      <c r="BD161" s="23">
        <f>+'QTR Raw'!X64</f>
        <v>0</v>
      </c>
      <c r="BE161" s="23">
        <f t="shared" si="1270"/>
        <v>0</v>
      </c>
      <c r="BF161" s="23">
        <f>+'QTR Raw'!Z64</f>
        <v>0</v>
      </c>
      <c r="BG161" s="23">
        <f t="shared" si="1270"/>
        <v>0</v>
      </c>
      <c r="BH161" s="23">
        <f>+'QTR Raw'!AB64</f>
        <v>0</v>
      </c>
      <c r="BI161" s="23">
        <f t="shared" si="1270"/>
        <v>0</v>
      </c>
      <c r="BJ161" s="23">
        <f>+'QTR Raw'!AD64</f>
        <v>0</v>
      </c>
      <c r="BK161" s="23">
        <f t="shared" si="1270"/>
        <v>0</v>
      </c>
      <c r="BL161" s="23">
        <f>+'QTR Raw'!AF64</f>
        <v>0</v>
      </c>
      <c r="BM161" s="23">
        <f t="shared" si="1270"/>
        <v>0</v>
      </c>
      <c r="BN161" s="23">
        <f>+'QTR Raw'!AH64</f>
        <v>0</v>
      </c>
      <c r="BO161" s="23">
        <f t="shared" si="1270"/>
        <v>0</v>
      </c>
      <c r="BP161" s="23">
        <f>+'QTR Raw'!AJ64</f>
        <v>0</v>
      </c>
      <c r="BQ161" s="23">
        <f t="shared" si="1270"/>
        <v>0</v>
      </c>
      <c r="BR161" s="23">
        <f>+'QTR Raw'!AL64</f>
        <v>6.3739999999999997</v>
      </c>
      <c r="BS161" s="23">
        <f t="shared" si="1270"/>
        <v>6.3739999999999997</v>
      </c>
      <c r="BT161" s="23">
        <f>+'QTR Raw'!AN64</f>
        <v>0</v>
      </c>
      <c r="BU161" s="23">
        <f t="shared" si="1270"/>
        <v>0</v>
      </c>
      <c r="BV161" s="23">
        <f>+'QTR Raw'!AP64</f>
        <v>8.5399999999999991</v>
      </c>
      <c r="BW161" s="23">
        <f t="shared" si="1270"/>
        <v>8.5399999999999991</v>
      </c>
      <c r="BX161" s="23">
        <f>+'QTR Raw'!AR64</f>
        <v>7.7359999999999998</v>
      </c>
      <c r="BY161" s="23">
        <f t="shared" si="1270"/>
        <v>7.7359999999999998</v>
      </c>
      <c r="BZ161" s="23">
        <f>+'QTR Raw'!AT64</f>
        <v>14.167999999999999</v>
      </c>
      <c r="CA161" s="23">
        <f t="shared" si="1270"/>
        <v>14.167999999999999</v>
      </c>
      <c r="CB161" s="23">
        <f>+'QTR Raw'!AV64</f>
        <v>27.151</v>
      </c>
      <c r="CC161" s="23">
        <f t="shared" si="1270"/>
        <v>27.151</v>
      </c>
      <c r="CD161" s="23">
        <f>+'QTR Raw'!AX64</f>
        <v>34.686999999999998</v>
      </c>
      <c r="CE161" s="23">
        <f t="shared" si="1270"/>
        <v>34.686999999999998</v>
      </c>
      <c r="CF161" s="23">
        <f>+'QTR Raw'!AZ64</f>
        <v>50.820999999999998</v>
      </c>
      <c r="CG161" s="23">
        <f t="shared" ref="CG161:CG164" si="1271">+CF161</f>
        <v>50.820999999999998</v>
      </c>
      <c r="CH161" s="23">
        <f t="shared" si="1221"/>
        <v>45.459699999999998</v>
      </c>
      <c r="CJ161" s="23">
        <f>+'QTR Raw'!BD64</f>
        <v>48.195</v>
      </c>
      <c r="CL161" s="23">
        <f>+'QTR Raw'!BF64</f>
        <v>52.640999999999998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52.640700000000002</v>
      </c>
    </row>
    <row r="162" spans="1:110" s="23" customFormat="1" outlineLevel="1" x14ac:dyDescent="0.2">
      <c r="A162" s="23" t="s">
        <v>67</v>
      </c>
      <c r="B162" s="23">
        <f>'Annual Raw'!C51</f>
        <v>0</v>
      </c>
      <c r="C162" s="23">
        <f>'Annual Raw'!D51</f>
        <v>0</v>
      </c>
      <c r="D162" s="23">
        <f>'Annual Raw'!E51</f>
        <v>0</v>
      </c>
      <c r="E162" s="23">
        <f>'Annual Raw'!F51</f>
        <v>0</v>
      </c>
      <c r="F162" s="23">
        <f>'Annual Raw'!G51</f>
        <v>0</v>
      </c>
      <c r="G162" s="23">
        <f>'Annual Raw'!H51</f>
        <v>0</v>
      </c>
      <c r="H162" s="23">
        <f>'Annual Raw'!I51</f>
        <v>0</v>
      </c>
      <c r="I162" s="23">
        <f>'Annual Raw'!J51</f>
        <v>0</v>
      </c>
      <c r="J162" s="23">
        <f>'Annual Raw'!K51</f>
        <v>0</v>
      </c>
      <c r="K162" s="23">
        <f>'Annual Raw'!L51</f>
        <v>0</v>
      </c>
      <c r="L162" s="23">
        <f>'Annual Raw'!M51</f>
        <v>0</v>
      </c>
      <c r="M162" s="23">
        <f>'Annual Raw'!N51</f>
        <v>0</v>
      </c>
      <c r="N162" s="23">
        <f>'Annual Raw'!O51</f>
        <v>0</v>
      </c>
      <c r="O162" s="23">
        <f>'Annual Raw'!P51</f>
        <v>0</v>
      </c>
      <c r="P162" s="23">
        <f>'Annual Raw'!Q51</f>
        <v>0</v>
      </c>
      <c r="Q162" s="23">
        <f>'Annual Raw'!R51</f>
        <v>0</v>
      </c>
      <c r="R162" s="23">
        <f>'Annual Raw'!S51</f>
        <v>0</v>
      </c>
      <c r="S162" s="23">
        <f>'Annual Raw'!T51</f>
        <v>0</v>
      </c>
      <c r="T162" s="23">
        <f>'Annual Raw'!U51</f>
        <v>0</v>
      </c>
      <c r="U162" s="23">
        <f>'Annual Raw'!V51</f>
        <v>0</v>
      </c>
      <c r="V162" s="23">
        <f>'Annual Raw'!W51</f>
        <v>0</v>
      </c>
      <c r="W162" s="23">
        <f>'Annual Raw'!X51</f>
        <v>0</v>
      </c>
      <c r="X162" s="23">
        <f>'Annual Raw'!Y51</f>
        <v>0</v>
      </c>
      <c r="Y162" s="23">
        <f>'Annual Raw'!Z51</f>
        <v>0</v>
      </c>
      <c r="Z162" s="23">
        <f>'Annual Raw'!AA51</f>
        <v>0</v>
      </c>
      <c r="AA162" s="23">
        <f>'Annual Raw'!AB51</f>
        <v>0</v>
      </c>
      <c r="AB162" s="24">
        <f t="shared" si="1266"/>
        <v>0</v>
      </c>
      <c r="AC162" s="24">
        <f t="shared" si="1267"/>
        <v>0</v>
      </c>
      <c r="AD162" s="24">
        <f t="shared" si="1268"/>
        <v>0</v>
      </c>
      <c r="AE162" s="24">
        <f t="shared" si="1269"/>
        <v>0</v>
      </c>
      <c r="AJ162" s="23">
        <f>+'QTR Raw'!D65</f>
        <v>0</v>
      </c>
      <c r="AK162" s="23">
        <f t="shared" si="1270"/>
        <v>0</v>
      </c>
      <c r="AL162" s="23">
        <f>+'QTR Raw'!F65</f>
        <v>0</v>
      </c>
      <c r="AM162" s="23">
        <f t="shared" si="1270"/>
        <v>0</v>
      </c>
      <c r="AN162" s="23">
        <f>+'QTR Raw'!H65</f>
        <v>0</v>
      </c>
      <c r="AO162" s="23">
        <f t="shared" si="1270"/>
        <v>0</v>
      </c>
      <c r="AP162" s="23">
        <f>+'QTR Raw'!J65</f>
        <v>0</v>
      </c>
      <c r="AQ162" s="23">
        <f t="shared" si="1270"/>
        <v>0</v>
      </c>
      <c r="AR162" s="23">
        <f>+'QTR Raw'!L65</f>
        <v>0</v>
      </c>
      <c r="AS162" s="23">
        <f t="shared" si="1270"/>
        <v>0</v>
      </c>
      <c r="AT162" s="23">
        <f>+'QTR Raw'!N65</f>
        <v>0</v>
      </c>
      <c r="AU162" s="23">
        <f t="shared" si="1270"/>
        <v>0</v>
      </c>
      <c r="AV162" s="23">
        <f>+'QTR Raw'!P65</f>
        <v>0</v>
      </c>
      <c r="AW162" s="23">
        <f t="shared" si="1270"/>
        <v>0</v>
      </c>
      <c r="AX162" s="23">
        <f>+'QTR Raw'!R65</f>
        <v>0</v>
      </c>
      <c r="AY162" s="23">
        <f t="shared" si="1270"/>
        <v>0</v>
      </c>
      <c r="AZ162" s="23">
        <f>+'QTR Raw'!T65</f>
        <v>0</v>
      </c>
      <c r="BA162" s="23">
        <f t="shared" si="1270"/>
        <v>0</v>
      </c>
      <c r="BB162" s="23">
        <f>+'QTR Raw'!V65</f>
        <v>0</v>
      </c>
      <c r="BC162" s="23">
        <f t="shared" si="1270"/>
        <v>0</v>
      </c>
      <c r="BD162" s="23">
        <f>+'QTR Raw'!X65</f>
        <v>0</v>
      </c>
      <c r="BE162" s="23">
        <f t="shared" si="1270"/>
        <v>0</v>
      </c>
      <c r="BF162" s="23">
        <f>+'QTR Raw'!Z65</f>
        <v>0</v>
      </c>
      <c r="BG162" s="23">
        <f t="shared" si="1270"/>
        <v>0</v>
      </c>
      <c r="BH162" s="23">
        <f>+'QTR Raw'!AB65</f>
        <v>0</v>
      </c>
      <c r="BI162" s="23">
        <f t="shared" si="1270"/>
        <v>0</v>
      </c>
      <c r="BJ162" s="23">
        <f>+'QTR Raw'!AD65</f>
        <v>0</v>
      </c>
      <c r="BK162" s="23">
        <f t="shared" si="1270"/>
        <v>0</v>
      </c>
      <c r="BL162" s="23">
        <f>+'QTR Raw'!AF65</f>
        <v>0</v>
      </c>
      <c r="BM162" s="23">
        <f t="shared" si="1270"/>
        <v>0</v>
      </c>
      <c r="BN162" s="23">
        <f>+'QTR Raw'!AH65</f>
        <v>0</v>
      </c>
      <c r="BO162" s="23">
        <f t="shared" si="1270"/>
        <v>0</v>
      </c>
      <c r="BP162" s="23">
        <f>+'QTR Raw'!AJ65</f>
        <v>0</v>
      </c>
      <c r="BQ162" s="23">
        <f t="shared" si="1270"/>
        <v>0</v>
      </c>
      <c r="BR162" s="23">
        <f>+'QTR Raw'!AL65</f>
        <v>0</v>
      </c>
      <c r="BS162" s="23">
        <f t="shared" si="1270"/>
        <v>0</v>
      </c>
      <c r="BT162" s="23">
        <f>+'QTR Raw'!AN65</f>
        <v>0</v>
      </c>
      <c r="BU162" s="23">
        <f t="shared" si="1270"/>
        <v>0</v>
      </c>
      <c r="BV162" s="23">
        <f>+'QTR Raw'!AP65</f>
        <v>0</v>
      </c>
      <c r="BW162" s="23">
        <f t="shared" si="1270"/>
        <v>0</v>
      </c>
      <c r="BX162" s="23">
        <f>+'QTR Raw'!AR65</f>
        <v>0</v>
      </c>
      <c r="BY162" s="23">
        <f t="shared" si="1270"/>
        <v>0</v>
      </c>
      <c r="BZ162" s="23">
        <f>+'QTR Raw'!AT65</f>
        <v>0</v>
      </c>
      <c r="CA162" s="23">
        <f t="shared" si="1270"/>
        <v>0</v>
      </c>
      <c r="CB162" s="23">
        <f>+'QTR Raw'!AV65</f>
        <v>0</v>
      </c>
      <c r="CC162" s="23">
        <f t="shared" si="1270"/>
        <v>0</v>
      </c>
      <c r="CD162" s="23">
        <f>+'QTR Raw'!AX65</f>
        <v>0</v>
      </c>
      <c r="CE162" s="23">
        <f t="shared" si="1270"/>
        <v>0</v>
      </c>
      <c r="CF162" s="23">
        <f>+'QTR Raw'!AZ65</f>
        <v>0</v>
      </c>
      <c r="CG162" s="23">
        <f t="shared" si="1271"/>
        <v>0</v>
      </c>
      <c r="CH162" s="23">
        <f t="shared" si="1221"/>
        <v>0</v>
      </c>
      <c r="CJ162" s="23">
        <f>+'QTR Raw'!BD65</f>
        <v>0</v>
      </c>
      <c r="CL162" s="23">
        <f>+'QTR Raw'!BF65</f>
        <v>0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68</v>
      </c>
      <c r="B163" s="23">
        <f>'Annual Raw'!C52</f>
        <v>0</v>
      </c>
      <c r="C163" s="23">
        <f>'Annual Raw'!D52</f>
        <v>0</v>
      </c>
      <c r="D163" s="23">
        <f>'Annual Raw'!E52</f>
        <v>0</v>
      </c>
      <c r="E163" s="23">
        <f>'Annual Raw'!F52</f>
        <v>0</v>
      </c>
      <c r="F163" s="23">
        <f>'Annual Raw'!G52</f>
        <v>0</v>
      </c>
      <c r="G163" s="23">
        <f>'Annual Raw'!H52</f>
        <v>0</v>
      </c>
      <c r="H163" s="23">
        <f>'Annual Raw'!I52</f>
        <v>0</v>
      </c>
      <c r="I163" s="23">
        <f>'Annual Raw'!J52</f>
        <v>0</v>
      </c>
      <c r="J163" s="23">
        <f>'Annual Raw'!K52</f>
        <v>0</v>
      </c>
      <c r="K163" s="23">
        <f>'Annual Raw'!L52</f>
        <v>0</v>
      </c>
      <c r="L163" s="23">
        <f>'Annual Raw'!M52</f>
        <v>0</v>
      </c>
      <c r="M163" s="23">
        <f>'Annual Raw'!N52</f>
        <v>0</v>
      </c>
      <c r="N163" s="23">
        <f>'Annual Raw'!O52</f>
        <v>0</v>
      </c>
      <c r="O163" s="23">
        <f>'Annual Raw'!P52</f>
        <v>0</v>
      </c>
      <c r="P163" s="23">
        <f>'Annual Raw'!Q52</f>
        <v>0</v>
      </c>
      <c r="Q163" s="23">
        <f>'Annual Raw'!R52</f>
        <v>0</v>
      </c>
      <c r="R163" s="23">
        <f>'Annual Raw'!S52</f>
        <v>0.33800000000000002</v>
      </c>
      <c r="S163" s="23">
        <f>'Annual Raw'!T52</f>
        <v>8.8999999999999996E-2</v>
      </c>
      <c r="T163" s="23">
        <f>'Annual Raw'!U52</f>
        <v>50.841999999999999</v>
      </c>
      <c r="U163" s="23">
        <f>'Annual Raw'!V52</f>
        <v>62.378</v>
      </c>
      <c r="V163" s="23">
        <f>'Annual Raw'!W52</f>
        <v>1.1640999999999999</v>
      </c>
      <c r="W163" s="23">
        <f>'Annual Raw'!X52</f>
        <v>2.1255000000000002</v>
      </c>
      <c r="X163" s="23">
        <f>'Annual Raw'!Y52</f>
        <v>3.8855</v>
      </c>
      <c r="Y163" s="23">
        <f>'Annual Raw'!Z52</f>
        <v>3.5733999999999999</v>
      </c>
      <c r="Z163" s="23">
        <f>'Annual Raw'!AA52</f>
        <v>8.2765000000000004</v>
      </c>
      <c r="AA163" s="23">
        <f>'Annual Raw'!AB52</f>
        <v>4.0355999999999996</v>
      </c>
      <c r="AB163" s="24">
        <f t="shared" si="1266"/>
        <v>0</v>
      </c>
      <c r="AC163" s="24">
        <f t="shared" si="1267"/>
        <v>0</v>
      </c>
      <c r="AD163" s="24">
        <f t="shared" si="1268"/>
        <v>0</v>
      </c>
      <c r="AE163" s="24">
        <f t="shared" si="1269"/>
        <v>0</v>
      </c>
      <c r="AJ163" s="23">
        <f>+'QTR Raw'!D66</f>
        <v>0</v>
      </c>
      <c r="AK163" s="23">
        <f t="shared" si="1270"/>
        <v>0</v>
      </c>
      <c r="AL163" s="23">
        <f>+'QTR Raw'!F66</f>
        <v>0</v>
      </c>
      <c r="AM163" s="23">
        <f t="shared" si="1270"/>
        <v>0</v>
      </c>
      <c r="AN163" s="23">
        <f>+'QTR Raw'!H66</f>
        <v>0</v>
      </c>
      <c r="AO163" s="23">
        <f t="shared" si="1270"/>
        <v>0</v>
      </c>
      <c r="AP163" s="23">
        <f>+'QTR Raw'!J66</f>
        <v>0</v>
      </c>
      <c r="AQ163" s="23">
        <f t="shared" si="1270"/>
        <v>0</v>
      </c>
      <c r="AR163" s="23">
        <f>+'QTR Raw'!L66</f>
        <v>0</v>
      </c>
      <c r="AS163" s="23">
        <f t="shared" si="1270"/>
        <v>0</v>
      </c>
      <c r="AT163" s="23">
        <f>+'QTR Raw'!N66</f>
        <v>0</v>
      </c>
      <c r="AU163" s="23">
        <f t="shared" si="1270"/>
        <v>0</v>
      </c>
      <c r="AV163" s="23">
        <f>+'QTR Raw'!P66</f>
        <v>0</v>
      </c>
      <c r="AW163" s="23">
        <f t="shared" si="1270"/>
        <v>0</v>
      </c>
      <c r="AX163" s="23">
        <f>+'QTR Raw'!R66</f>
        <v>0</v>
      </c>
      <c r="AY163" s="23">
        <f t="shared" si="1270"/>
        <v>0</v>
      </c>
      <c r="AZ163" s="23">
        <f>+'QTR Raw'!T66</f>
        <v>0</v>
      </c>
      <c r="BA163" s="23">
        <f t="shared" si="1270"/>
        <v>0</v>
      </c>
      <c r="BB163" s="23">
        <f>+'QTR Raw'!V66</f>
        <v>0</v>
      </c>
      <c r="BC163" s="23">
        <f t="shared" si="1270"/>
        <v>0</v>
      </c>
      <c r="BD163" s="23">
        <f>+'QTR Raw'!X66</f>
        <v>0</v>
      </c>
      <c r="BE163" s="23">
        <f t="shared" si="1270"/>
        <v>0</v>
      </c>
      <c r="BF163" s="23">
        <f>+'QTR Raw'!Z66</f>
        <v>0</v>
      </c>
      <c r="BG163" s="23">
        <f t="shared" si="1270"/>
        <v>0</v>
      </c>
      <c r="BH163" s="23">
        <f>+'QTR Raw'!AB66</f>
        <v>0</v>
      </c>
      <c r="BI163" s="23">
        <f t="shared" si="1270"/>
        <v>0</v>
      </c>
      <c r="BJ163" s="23">
        <f>+'QTR Raw'!AD66</f>
        <v>0</v>
      </c>
      <c r="BK163" s="23">
        <f t="shared" si="1270"/>
        <v>0</v>
      </c>
      <c r="BL163" s="23">
        <f>+'QTR Raw'!AF66</f>
        <v>0</v>
      </c>
      <c r="BM163" s="23">
        <f t="shared" si="1270"/>
        <v>0</v>
      </c>
      <c r="BN163" s="23">
        <f>+'QTR Raw'!AH66</f>
        <v>0</v>
      </c>
      <c r="BO163" s="23">
        <f t="shared" si="1270"/>
        <v>0</v>
      </c>
      <c r="BP163" s="23">
        <f>+'QTR Raw'!AJ66</f>
        <v>0</v>
      </c>
      <c r="BQ163" s="23">
        <f t="shared" si="1270"/>
        <v>0</v>
      </c>
      <c r="BR163" s="23">
        <f>+'QTR Raw'!AL66</f>
        <v>1.1639999999999999</v>
      </c>
      <c r="BS163" s="23">
        <f t="shared" si="1270"/>
        <v>1.1639999999999999</v>
      </c>
      <c r="BT163" s="23">
        <f>+'QTR Raw'!AN66</f>
        <v>0</v>
      </c>
      <c r="BU163" s="23">
        <f t="shared" si="1270"/>
        <v>0</v>
      </c>
      <c r="BV163" s="23">
        <f>+'QTR Raw'!AP66</f>
        <v>2.1259999999999999</v>
      </c>
      <c r="BW163" s="23">
        <f t="shared" si="1270"/>
        <v>2.1259999999999999</v>
      </c>
      <c r="BX163" s="23">
        <f>+'QTR Raw'!AR66</f>
        <v>2.907</v>
      </c>
      <c r="BY163" s="23">
        <f t="shared" si="1270"/>
        <v>2.907</v>
      </c>
      <c r="BZ163" s="23">
        <f>+'QTR Raw'!AT66</f>
        <v>3.8860000000000001</v>
      </c>
      <c r="CA163" s="23">
        <f t="shared" si="1270"/>
        <v>3.8860000000000001</v>
      </c>
      <c r="CB163" s="23">
        <f>+'QTR Raw'!AV66</f>
        <v>2.6829999999999998</v>
      </c>
      <c r="CC163" s="23">
        <f t="shared" si="1270"/>
        <v>2.6829999999999998</v>
      </c>
      <c r="CD163" s="23">
        <f>+'QTR Raw'!AX66</f>
        <v>3.573</v>
      </c>
      <c r="CE163" s="23">
        <f t="shared" si="1270"/>
        <v>3.573</v>
      </c>
      <c r="CF163" s="23">
        <f>+'QTR Raw'!AZ66</f>
        <v>5.8869999999999996</v>
      </c>
      <c r="CG163" s="23">
        <f t="shared" si="1271"/>
        <v>5.8869999999999996</v>
      </c>
      <c r="CH163" s="23">
        <f t="shared" si="1221"/>
        <v>8.2765000000000004</v>
      </c>
      <c r="CJ163" s="23">
        <f>+'QTR Raw'!BD66</f>
        <v>6.16</v>
      </c>
      <c r="CL163" s="23">
        <f>+'QTR Raw'!BF66</f>
        <v>4.0359999999999996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4.0355999999999996</v>
      </c>
    </row>
    <row r="164" spans="1:110" s="23" customFormat="1" outlineLevel="1" x14ac:dyDescent="0.2">
      <c r="A164" s="23" t="s">
        <v>69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4">
        <f t="shared" si="1266"/>
        <v>362.35290000000003</v>
      </c>
      <c r="AC164" s="24">
        <f t="shared" si="1267"/>
        <v>471.05876999999998</v>
      </c>
      <c r="AD164" s="24">
        <f t="shared" si="1268"/>
        <v>612.37640099999999</v>
      </c>
      <c r="AE164" s="24">
        <f t="shared" si="1269"/>
        <v>796.08932130000005</v>
      </c>
      <c r="AJ164" s="23">
        <f>+'QTR Raw'!D87</f>
        <v>0</v>
      </c>
      <c r="AK164" s="23">
        <f t="shared" si="1270"/>
        <v>0</v>
      </c>
      <c r="AL164" s="23">
        <f>+'QTR Raw'!F87</f>
        <v>0</v>
      </c>
      <c r="AM164" s="23">
        <f t="shared" si="1270"/>
        <v>0</v>
      </c>
      <c r="AN164" s="23">
        <f>+'QTR Raw'!H87</f>
        <v>0</v>
      </c>
      <c r="AO164" s="23">
        <f t="shared" si="1270"/>
        <v>0</v>
      </c>
      <c r="AP164" s="23">
        <f>+'QTR Raw'!J87</f>
        <v>0</v>
      </c>
      <c r="AQ164" s="23">
        <f t="shared" si="1270"/>
        <v>0</v>
      </c>
      <c r="AR164" s="23">
        <f>+'QTR Raw'!L87</f>
        <v>0</v>
      </c>
      <c r="AS164" s="23">
        <f t="shared" si="1270"/>
        <v>0</v>
      </c>
      <c r="AT164" s="23">
        <f>+'QTR Raw'!N87</f>
        <v>0</v>
      </c>
      <c r="AU164" s="23">
        <f t="shared" si="1270"/>
        <v>0</v>
      </c>
      <c r="AV164" s="23">
        <f>+'QTR Raw'!P87</f>
        <v>0</v>
      </c>
      <c r="AW164" s="23">
        <f t="shared" si="1270"/>
        <v>0</v>
      </c>
      <c r="AX164" s="23">
        <f>+'QTR Raw'!R87</f>
        <v>0</v>
      </c>
      <c r="AY164" s="23">
        <f t="shared" si="1270"/>
        <v>0</v>
      </c>
      <c r="AZ164" s="23">
        <f>+'QTR Raw'!T87</f>
        <v>0</v>
      </c>
      <c r="BA164" s="23">
        <f t="shared" si="1270"/>
        <v>0</v>
      </c>
      <c r="BB164" s="23">
        <f>+'QTR Raw'!V87</f>
        <v>0</v>
      </c>
      <c r="BC164" s="23">
        <f t="shared" si="1270"/>
        <v>0</v>
      </c>
      <c r="BD164" s="23">
        <f>+'QTR Raw'!X87</f>
        <v>0</v>
      </c>
      <c r="BE164" s="23">
        <f t="shared" si="1270"/>
        <v>0</v>
      </c>
      <c r="BF164" s="23">
        <f>+'QTR Raw'!Z87</f>
        <v>0</v>
      </c>
      <c r="BG164" s="23">
        <f t="shared" si="1270"/>
        <v>0</v>
      </c>
      <c r="BH164" s="23">
        <f>+'QTR Raw'!AB87</f>
        <v>0</v>
      </c>
      <c r="BI164" s="23">
        <f t="shared" si="1270"/>
        <v>0</v>
      </c>
      <c r="BJ164" s="23">
        <f>+'QTR Raw'!AD87</f>
        <v>0</v>
      </c>
      <c r="BK164" s="23">
        <f t="shared" si="1270"/>
        <v>0</v>
      </c>
      <c r="BL164" s="23">
        <f>+'QTR Raw'!AF87</f>
        <v>0</v>
      </c>
      <c r="BM164" s="23">
        <f t="shared" si="1270"/>
        <v>0</v>
      </c>
      <c r="BN164" s="23">
        <f>+'QTR Raw'!AH87</f>
        <v>0</v>
      </c>
      <c r="BO164" s="23">
        <f t="shared" si="1270"/>
        <v>0</v>
      </c>
      <c r="BP164" s="23">
        <f>+'QTR Raw'!AJ87</f>
        <v>0</v>
      </c>
      <c r="BQ164" s="23">
        <f t="shared" si="1270"/>
        <v>0</v>
      </c>
      <c r="BR164" s="23">
        <f>+'QTR Raw'!AL87</f>
        <v>0</v>
      </c>
      <c r="BS164" s="23">
        <f t="shared" si="1270"/>
        <v>0</v>
      </c>
      <c r="BT164" s="23">
        <f>+'QTR Raw'!AN87</f>
        <v>0</v>
      </c>
      <c r="BU164" s="23">
        <f t="shared" si="1270"/>
        <v>0</v>
      </c>
      <c r="BV164" s="23">
        <f>+'QTR Raw'!AP87</f>
        <v>0</v>
      </c>
      <c r="BW164" s="23">
        <f t="shared" si="1270"/>
        <v>0</v>
      </c>
      <c r="BX164" s="23">
        <f>+'QTR Raw'!AR87</f>
        <v>0</v>
      </c>
      <c r="BY164" s="23">
        <f t="shared" si="1270"/>
        <v>0</v>
      </c>
      <c r="BZ164" s="23">
        <f>+'QTR Raw'!AT87</f>
        <v>0</v>
      </c>
      <c r="CA164" s="23">
        <f t="shared" si="1270"/>
        <v>0</v>
      </c>
      <c r="CB164" s="23">
        <f>+'QTR Raw'!AV87</f>
        <v>0</v>
      </c>
      <c r="CC164" s="23">
        <f t="shared" si="1270"/>
        <v>0</v>
      </c>
      <c r="CD164" s="23">
        <f>+'QTR Raw'!AX87</f>
        <v>0</v>
      </c>
      <c r="CE164" s="23">
        <f t="shared" si="1270"/>
        <v>0</v>
      </c>
      <c r="CF164" s="23">
        <f>+'QTR Raw'!AZ87</f>
        <v>0</v>
      </c>
      <c r="CG164" s="23">
        <f t="shared" si="1271"/>
        <v>0</v>
      </c>
      <c r="CH164" s="23">
        <f t="shared" si="1221"/>
        <v>0</v>
      </c>
      <c r="CI164" s="23">
        <f>CI22/90*CI196</f>
        <v>303.51222148405111</v>
      </c>
      <c r="CJ164" s="23">
        <f>+'QTR Raw'!BD87</f>
        <v>0</v>
      </c>
      <c r="CK164" s="23">
        <f t="shared" ref="CK164" si="1272">CK22/90*CK196</f>
        <v>263.79542895959867</v>
      </c>
      <c r="CL164" s="23">
        <f>+'QTR Raw'!BF87</f>
        <v>0</v>
      </c>
      <c r="CM164" s="24">
        <f t="shared" ref="CM164:DB164" si="1273">CM22/90*CM196</f>
        <v>333.39620676847699</v>
      </c>
      <c r="CN164" s="24">
        <f t="shared" si="1273"/>
        <v>374.37350152318476</v>
      </c>
      <c r="CO164" s="24">
        <f t="shared" si="1273"/>
        <v>364.62659149045584</v>
      </c>
      <c r="CP164" s="24">
        <f t="shared" si="1273"/>
        <v>362.35290000000003</v>
      </c>
      <c r="CQ164" s="24">
        <f t="shared" si="1273"/>
        <v>433.41506879902016</v>
      </c>
      <c r="CR164" s="24">
        <f t="shared" si="1273"/>
        <v>486.68555198014025</v>
      </c>
      <c r="CS164" s="24">
        <f t="shared" si="1273"/>
        <v>474.01456893759251</v>
      </c>
      <c r="CT164" s="24">
        <f t="shared" si="1273"/>
        <v>471.05876999999998</v>
      </c>
      <c r="CU164" s="24">
        <f t="shared" si="1273"/>
        <v>563.4395894387261</v>
      </c>
      <c r="CV164" s="24">
        <f t="shared" si="1273"/>
        <v>632.69121757418236</v>
      </c>
      <c r="CW164" s="24">
        <f t="shared" si="1273"/>
        <v>616.21893961887031</v>
      </c>
      <c r="CX164" s="24">
        <f t="shared" si="1273"/>
        <v>612.37640099999999</v>
      </c>
      <c r="CY164" s="24">
        <f t="shared" si="1273"/>
        <v>732.47146627034385</v>
      </c>
      <c r="CZ164" s="24">
        <f t="shared" si="1273"/>
        <v>822.49858284643699</v>
      </c>
      <c r="DA164" s="24">
        <f t="shared" si="1273"/>
        <v>801.08462150453147</v>
      </c>
      <c r="DB164" s="24">
        <f t="shared" si="1273"/>
        <v>796.08932130000005</v>
      </c>
      <c r="DE164" s="123"/>
      <c r="DF164" s="23">
        <v>0</v>
      </c>
    </row>
    <row r="165" spans="1:110" s="23" customFormat="1" outlineLevel="1" x14ac:dyDescent="0.2">
      <c r="A165" s="23" t="s">
        <v>70</v>
      </c>
      <c r="B165" s="23">
        <f>'Annual Raw'!C54</f>
        <v>0</v>
      </c>
      <c r="C165" s="23">
        <f>'Annual Raw'!D54</f>
        <v>0</v>
      </c>
      <c r="D165" s="23">
        <f>'Annual Raw'!E54</f>
        <v>0</v>
      </c>
      <c r="E165" s="23">
        <f>'Annual Raw'!F54</f>
        <v>0</v>
      </c>
      <c r="F165" s="23">
        <f>'Annual Raw'!G54</f>
        <v>0</v>
      </c>
      <c r="G165" s="23">
        <f>'Annual Raw'!H54</f>
        <v>0</v>
      </c>
      <c r="H165" s="23">
        <f>'Annual Raw'!I54</f>
        <v>0</v>
      </c>
      <c r="I165" s="23">
        <f>'Annual Raw'!J54</f>
        <v>0</v>
      </c>
      <c r="J165" s="23">
        <f>'Annual Raw'!K54</f>
        <v>0</v>
      </c>
      <c r="K165" s="23">
        <f>'Annual Raw'!L54</f>
        <v>0</v>
      </c>
      <c r="L165" s="23">
        <f>'Annual Raw'!M54</f>
        <v>0.34024490000000002</v>
      </c>
      <c r="M165" s="23">
        <f>'Annual Raw'!N54</f>
        <v>0</v>
      </c>
      <c r="N165" s="23">
        <f>'Annual Raw'!O54</f>
        <v>0</v>
      </c>
      <c r="O165" s="23">
        <f>'Annual Raw'!P54</f>
        <v>0</v>
      </c>
      <c r="P165" s="23">
        <f>'Annual Raw'!Q54</f>
        <v>0</v>
      </c>
      <c r="Q165" s="23">
        <f>'Annual Raw'!R54</f>
        <v>0</v>
      </c>
      <c r="R165" s="23">
        <f>'Annual Raw'!S54</f>
        <v>4.0659999999999998</v>
      </c>
      <c r="S165" s="23">
        <f>'Annual Raw'!T54</f>
        <v>5.3840000000000003</v>
      </c>
      <c r="T165" s="23">
        <f>'Annual Raw'!U54</f>
        <v>0.16200000000000001</v>
      </c>
      <c r="U165" s="23">
        <f>'Annual Raw'!V54</f>
        <v>1.66</v>
      </c>
      <c r="V165" s="23">
        <f>'Annual Raw'!W54</f>
        <v>0.20230000000000001</v>
      </c>
      <c r="W165" s="23">
        <f>'Annual Raw'!X54</f>
        <v>0</v>
      </c>
      <c r="X165" s="23">
        <f>'Annual Raw'!Y54</f>
        <v>0.31490000000000001</v>
      </c>
      <c r="Y165" s="23">
        <f>'Annual Raw'!Z54</f>
        <v>2.06E-2</v>
      </c>
      <c r="Z165" s="23">
        <f>'Annual Raw'!AA54</f>
        <v>6.7000000000000004E-2</v>
      </c>
      <c r="AA165" s="23">
        <f>'Annual Raw'!AB54</f>
        <v>0.14000000000000001</v>
      </c>
      <c r="AB165" s="24">
        <f t="shared" si="1266"/>
        <v>0.182</v>
      </c>
      <c r="AC165" s="24">
        <f t="shared" si="1267"/>
        <v>0.2366</v>
      </c>
      <c r="AD165" s="24">
        <f t="shared" si="1268"/>
        <v>0.30757999999999996</v>
      </c>
      <c r="AE165" s="24">
        <f t="shared" si="1269"/>
        <v>0.39985399999999999</v>
      </c>
      <c r="AJ165" s="23">
        <f>+'QTR Raw'!D89</f>
        <v>0</v>
      </c>
      <c r="AK165" s="23" t="e">
        <f>+AK195*AK22/90</f>
        <v>#DIV/0!</v>
      </c>
      <c r="AL165" s="23">
        <f>+'QTR Raw'!F89</f>
        <v>0</v>
      </c>
      <c r="AM165" s="23" t="e">
        <f>+AM195*AM22/90</f>
        <v>#DIV/0!</v>
      </c>
      <c r="AN165" s="23">
        <f>+'QTR Raw'!H89</f>
        <v>0</v>
      </c>
      <c r="AO165" s="23" t="e">
        <f>+AO195*AO22/90</f>
        <v>#DIV/0!</v>
      </c>
      <c r="AP165" s="23">
        <f>+'QTR Raw'!J89</f>
        <v>0</v>
      </c>
      <c r="AQ165" s="23" t="e">
        <f>+AQ195*AQ22/90</f>
        <v>#DIV/0!</v>
      </c>
      <c r="AR165" s="23">
        <f>+'QTR Raw'!L89</f>
        <v>0</v>
      </c>
      <c r="AS165" s="23" t="e">
        <f>+AS195*AS22/90</f>
        <v>#DIV/0!</v>
      </c>
      <c r="AT165" s="23">
        <f>+'QTR Raw'!N89</f>
        <v>0</v>
      </c>
      <c r="AU165" s="23" t="e">
        <f>+AU195*AU22/90</f>
        <v>#DIV/0!</v>
      </c>
      <c r="AV165" s="23">
        <f>+'QTR Raw'!P89</f>
        <v>0</v>
      </c>
      <c r="AW165" s="23" t="e">
        <f>+AW195*AW22/90</f>
        <v>#DIV/0!</v>
      </c>
      <c r="AX165" s="23">
        <f>+'QTR Raw'!R89</f>
        <v>0</v>
      </c>
      <c r="AY165" s="23" t="e">
        <f>+AY195*AY22/90</f>
        <v>#DIV/0!</v>
      </c>
      <c r="AZ165" s="23">
        <f>+'QTR Raw'!T89</f>
        <v>0</v>
      </c>
      <c r="BA165" s="23" t="e">
        <f>+BA195*BA22/90</f>
        <v>#DIV/0!</v>
      </c>
      <c r="BB165" s="23">
        <f>+'QTR Raw'!V89</f>
        <v>0</v>
      </c>
      <c r="BC165" s="23" t="e">
        <f>+BC195*BC22/90</f>
        <v>#DIV/0!</v>
      </c>
      <c r="BD165" s="23">
        <f>+'QTR Raw'!X89</f>
        <v>0</v>
      </c>
      <c r="BE165" s="23" t="e">
        <f>+BE195*BE22/90</f>
        <v>#DIV/0!</v>
      </c>
      <c r="BF165" s="23">
        <f>+'QTR Raw'!Z89</f>
        <v>0</v>
      </c>
      <c r="BG165" s="23" t="e">
        <f>+BG195*BG22/90</f>
        <v>#DIV/0!</v>
      </c>
      <c r="BH165" s="23">
        <f>+'QTR Raw'!AB89</f>
        <v>0</v>
      </c>
      <c r="BI165" s="23" t="e">
        <f>+BI195*BI22/90</f>
        <v>#DIV/0!</v>
      </c>
      <c r="BJ165" s="23">
        <f>+'QTR Raw'!AD89</f>
        <v>0</v>
      </c>
      <c r="BK165" s="23" t="e">
        <f>+BK195*BK22/90</f>
        <v>#DIV/0!</v>
      </c>
      <c r="BL165" s="23">
        <f>+'QTR Raw'!AF89</f>
        <v>0</v>
      </c>
      <c r="BM165" s="23" t="e">
        <f>+BM195*BM22/90</f>
        <v>#DIV/0!</v>
      </c>
      <c r="BN165" s="23">
        <f>+'QTR Raw'!AH89</f>
        <v>0</v>
      </c>
      <c r="BO165" s="23" t="e">
        <f>+BO195*BO22/90</f>
        <v>#DIV/0!</v>
      </c>
      <c r="BP165" s="23">
        <f>+'QTR Raw'!AJ89</f>
        <v>0</v>
      </c>
      <c r="BQ165" s="23" t="e">
        <f>+BQ195*BQ22/90</f>
        <v>#DIV/0!</v>
      </c>
      <c r="BR165" s="23">
        <f>+'QTR Raw'!AL89</f>
        <v>0.20300000000000001</v>
      </c>
      <c r="BS165" s="23">
        <f>+BS195*BS22/90</f>
        <v>0.28208275999601162</v>
      </c>
      <c r="BT165" s="23">
        <f>+'QTR Raw'!AN89</f>
        <v>0</v>
      </c>
      <c r="BU165" s="23">
        <f>+BU195*BU22/90</f>
        <v>0</v>
      </c>
      <c r="BV165" s="23">
        <f>+'QTR Raw'!AP89</f>
        <v>0</v>
      </c>
      <c r="BW165" s="23">
        <f>+BW195*BW22/90</f>
        <v>0</v>
      </c>
      <c r="BX165" s="23">
        <f>+'QTR Raw'!AR89</f>
        <v>0</v>
      </c>
      <c r="BY165" s="23">
        <f>+BY195*BY22/90</f>
        <v>0</v>
      </c>
      <c r="BZ165" s="23">
        <f>+'QTR Raw'!AT89</f>
        <v>0.315</v>
      </c>
      <c r="CA165" s="23">
        <f>+CA195*CA22/90</f>
        <v>0.38565465864577503</v>
      </c>
      <c r="CB165" s="23">
        <f>+'QTR Raw'!AV89</f>
        <v>9.6000000000000002E-2</v>
      </c>
      <c r="CC165" s="23">
        <f>+CC195*CC22/90</f>
        <v>9.5921130895328666E-2</v>
      </c>
      <c r="CD165" s="23">
        <f>+'QTR Raw'!AX89</f>
        <v>2.1000000000000001E-2</v>
      </c>
      <c r="CE165" s="23">
        <f>+CE195*CE22/90</f>
        <v>2.707719606694016E-2</v>
      </c>
      <c r="CF165" s="23">
        <f>+'QTR Raw'!AZ89</f>
        <v>1E-3</v>
      </c>
      <c r="CG165" s="23">
        <f>+CG195*CG22/90</f>
        <v>9.7756112850078992E-4</v>
      </c>
      <c r="CH165" s="23">
        <f t="shared" si="1221"/>
        <v>6.7000000000000004E-2</v>
      </c>
      <c r="CI165" s="23">
        <f>+CI195*CI22/90</f>
        <v>8.2713727698684444E-2</v>
      </c>
      <c r="CJ165" s="23">
        <f>+'QTR Raw'!BD89</f>
        <v>0.248</v>
      </c>
      <c r="CK165" s="23">
        <f t="shared" ref="CK165" si="1274">+CK195*CK22/90</f>
        <v>0.24154325645837116</v>
      </c>
      <c r="CL165" s="23">
        <f>+'QTR Raw'!BF89</f>
        <v>0.14000000000000001</v>
      </c>
      <c r="CM165" s="24">
        <f t="shared" ref="CM165:DB165" si="1275">+CM195*CM22/90</f>
        <v>0.1674558410650579</v>
      </c>
      <c r="CN165" s="24">
        <f t="shared" si="1275"/>
        <v>0.18803762099660201</v>
      </c>
      <c r="CO165" s="24">
        <f t="shared" si="1275"/>
        <v>0.18314201335566233</v>
      </c>
      <c r="CP165" s="24">
        <f t="shared" si="1275"/>
        <v>0.182</v>
      </c>
      <c r="CQ165" s="24">
        <f t="shared" si="1275"/>
        <v>0.21769259338457528</v>
      </c>
      <c r="CR165" s="24">
        <f t="shared" si="1275"/>
        <v>0.24444890729558263</v>
      </c>
      <c r="CS165" s="24">
        <f t="shared" si="1275"/>
        <v>0.23808461736236095</v>
      </c>
      <c r="CT165" s="24">
        <f t="shared" si="1275"/>
        <v>0.2366</v>
      </c>
      <c r="CU165" s="24">
        <f t="shared" si="1275"/>
        <v>0.28300037139994783</v>
      </c>
      <c r="CV165" s="24">
        <f t="shared" si="1275"/>
        <v>0.31778357948425739</v>
      </c>
      <c r="CW165" s="24">
        <f t="shared" si="1275"/>
        <v>0.3095100025710692</v>
      </c>
      <c r="CX165" s="24">
        <f t="shared" si="1275"/>
        <v>0.30757999999999996</v>
      </c>
      <c r="CY165" s="24">
        <f t="shared" si="1275"/>
        <v>0.3679004828199321</v>
      </c>
      <c r="CZ165" s="24">
        <f t="shared" si="1275"/>
        <v>0.41311865332953462</v>
      </c>
      <c r="DA165" s="24">
        <f t="shared" si="1275"/>
        <v>0.40236300334239006</v>
      </c>
      <c r="DB165" s="24">
        <f t="shared" si="1275"/>
        <v>0.39985399999999999</v>
      </c>
      <c r="DE165" s="123"/>
      <c r="DF165" s="23">
        <v>0.14000000000000001</v>
      </c>
    </row>
    <row r="166" spans="1:110" s="23" customFormat="1" outlineLevel="1" x14ac:dyDescent="0.2">
      <c r="A166" s="23" t="s">
        <v>71</v>
      </c>
      <c r="B166" s="23">
        <f>'Annual Raw'!C55-Template!B138</f>
        <v>0</v>
      </c>
      <c r="C166" s="23">
        <f>'Annual Raw'!D55-Template!C138</f>
        <v>0</v>
      </c>
      <c r="D166" s="23">
        <f>'Annual Raw'!E55-Template!D138</f>
        <v>0</v>
      </c>
      <c r="E166" s="23">
        <f>'Annual Raw'!F55-Template!E138</f>
        <v>0</v>
      </c>
      <c r="F166" s="23">
        <f>'Annual Raw'!G55-Template!F138</f>
        <v>0</v>
      </c>
      <c r="G166" s="23">
        <f>'Annual Raw'!H55-Template!G138</f>
        <v>0</v>
      </c>
      <c r="H166" s="23">
        <f>'Annual Raw'!I55-Template!H138</f>
        <v>0</v>
      </c>
      <c r="I166" s="23">
        <f>'Annual Raw'!J55-Template!I138</f>
        <v>0</v>
      </c>
      <c r="J166" s="23">
        <f>'Annual Raw'!K55-Template!J138</f>
        <v>2.0063500000000001E-2</v>
      </c>
      <c r="K166" s="23">
        <f>'Annual Raw'!L55-Template!K138</f>
        <v>2.84692E-2</v>
      </c>
      <c r="L166" s="23">
        <f>'Annual Raw'!M55-Template!L138</f>
        <v>1.4224000000000001E-2</v>
      </c>
      <c r="M166" s="23">
        <f>'Annual Raw'!N55-Template!M138</f>
        <v>1.0763699999999999E-2</v>
      </c>
      <c r="N166" s="23">
        <f>'Annual Raw'!O55-Template!N138</f>
        <v>1.2940999999999999E-2</v>
      </c>
      <c r="O166" s="23">
        <f>'Annual Raw'!P55-Template!O138</f>
        <v>5.7894000000000001E-3</v>
      </c>
      <c r="P166" s="23">
        <f>'Annual Raw'!Q55-Template!P138</f>
        <v>1.3024E-3</v>
      </c>
      <c r="Q166" s="23">
        <f>'Annual Raw'!R55-Template!Q138</f>
        <v>1.4E-2</v>
      </c>
      <c r="R166" s="23">
        <f>'Annual Raw'!S55-Template!R138</f>
        <v>4.6829999999999998</v>
      </c>
      <c r="S166" s="23">
        <f>'Annual Raw'!T55-Template!S138</f>
        <v>45.530999999999999</v>
      </c>
      <c r="T166" s="23">
        <f>'Annual Raw'!U55-Template!T138</f>
        <v>36.664000000000001</v>
      </c>
      <c r="U166" s="23">
        <f>'Annual Raw'!V55-Template!U138</f>
        <v>110.187</v>
      </c>
      <c r="V166" s="23">
        <f>'Annual Raw'!W55-Template!V138</f>
        <v>25.705399999999997</v>
      </c>
      <c r="W166" s="23">
        <f>'Annual Raw'!X55-Template!W138</f>
        <v>35.585500000000003</v>
      </c>
      <c r="X166" s="23">
        <f>'Annual Raw'!Y55-Template!X138</f>
        <v>28.562100000000001</v>
      </c>
      <c r="Y166" s="23">
        <f>'Annual Raw'!Z55-Template!Y138</f>
        <v>59.173599999999993</v>
      </c>
      <c r="Z166" s="23">
        <f>'Annual Raw'!AA55-Template!Z138</f>
        <v>35.860100000000003</v>
      </c>
      <c r="AA166" s="23">
        <f>'Annual Raw'!AB55-Template!AA138</f>
        <v>54.872999999999998</v>
      </c>
      <c r="AB166" s="24">
        <f t="shared" si="1266"/>
        <v>0</v>
      </c>
      <c r="AC166" s="24">
        <f t="shared" si="1267"/>
        <v>0</v>
      </c>
      <c r="AD166" s="24">
        <f t="shared" si="1268"/>
        <v>0</v>
      </c>
      <c r="AE166" s="24">
        <f t="shared" si="1269"/>
        <v>0</v>
      </c>
      <c r="AJ166" s="23">
        <f>+'QTR Raw'!D91</f>
        <v>0</v>
      </c>
      <c r="AK166" s="23">
        <f t="shared" si="1270"/>
        <v>0</v>
      </c>
      <c r="AL166" s="23">
        <f>+'QTR Raw'!F91</f>
        <v>0</v>
      </c>
      <c r="AM166" s="23">
        <f t="shared" si="1270"/>
        <v>0</v>
      </c>
      <c r="AN166" s="23">
        <f>+'QTR Raw'!H91</f>
        <v>0</v>
      </c>
      <c r="AO166" s="23">
        <f t="shared" si="1270"/>
        <v>0</v>
      </c>
      <c r="AP166" s="23">
        <f>+'QTR Raw'!J91</f>
        <v>0</v>
      </c>
      <c r="AQ166" s="23">
        <f t="shared" si="1270"/>
        <v>0</v>
      </c>
      <c r="AR166" s="23">
        <f>+'QTR Raw'!L91</f>
        <v>0</v>
      </c>
      <c r="AS166" s="23">
        <f t="shared" si="1270"/>
        <v>0</v>
      </c>
      <c r="AT166" s="23">
        <f>+'QTR Raw'!N91</f>
        <v>0</v>
      </c>
      <c r="AU166" s="23">
        <f t="shared" si="1270"/>
        <v>0</v>
      </c>
      <c r="AV166" s="23">
        <f>+'QTR Raw'!P91</f>
        <v>0</v>
      </c>
      <c r="AW166" s="23">
        <f t="shared" si="1270"/>
        <v>0</v>
      </c>
      <c r="AX166" s="23">
        <f>+'QTR Raw'!R91</f>
        <v>0</v>
      </c>
      <c r="AY166" s="23">
        <f t="shared" si="1270"/>
        <v>0</v>
      </c>
      <c r="AZ166" s="23">
        <f>+'QTR Raw'!T91</f>
        <v>0</v>
      </c>
      <c r="BA166" s="23">
        <f t="shared" si="1270"/>
        <v>0</v>
      </c>
      <c r="BB166" s="23">
        <f>+'QTR Raw'!V91</f>
        <v>0</v>
      </c>
      <c r="BC166" s="23">
        <f t="shared" si="1270"/>
        <v>0</v>
      </c>
      <c r="BD166" s="23">
        <f>+'QTR Raw'!X91</f>
        <v>0</v>
      </c>
      <c r="BE166" s="23">
        <f t="shared" si="1270"/>
        <v>0</v>
      </c>
      <c r="BF166" s="23">
        <f>+'QTR Raw'!Z91</f>
        <v>0</v>
      </c>
      <c r="BG166" s="23">
        <f t="shared" si="1270"/>
        <v>0</v>
      </c>
      <c r="BH166" s="23">
        <f>+'QTR Raw'!AB91</f>
        <v>0</v>
      </c>
      <c r="BI166" s="23">
        <f t="shared" si="1270"/>
        <v>0</v>
      </c>
      <c r="BJ166" s="23">
        <f>+'QTR Raw'!AD91</f>
        <v>0</v>
      </c>
      <c r="BK166" s="23">
        <f t="shared" si="1270"/>
        <v>0</v>
      </c>
      <c r="BL166" s="23">
        <f>+'QTR Raw'!AF91</f>
        <v>0</v>
      </c>
      <c r="BM166" s="23">
        <f t="shared" si="1270"/>
        <v>0</v>
      </c>
      <c r="BN166" s="23">
        <f>+'QTR Raw'!AH91</f>
        <v>0</v>
      </c>
      <c r="BO166" s="23">
        <f t="shared" si="1270"/>
        <v>0</v>
      </c>
      <c r="BP166" s="23">
        <f>+'QTR Raw'!AJ91</f>
        <v>0</v>
      </c>
      <c r="BQ166" s="23">
        <f t="shared" si="1270"/>
        <v>0</v>
      </c>
      <c r="BR166" s="23">
        <f>+'QTR Raw'!AL91</f>
        <v>25.704999999999998</v>
      </c>
      <c r="BS166" s="23">
        <f t="shared" si="1270"/>
        <v>25.704999999999998</v>
      </c>
      <c r="BT166" s="23">
        <f>+'QTR Raw'!AN91</f>
        <v>0</v>
      </c>
      <c r="BU166" s="23">
        <f t="shared" si="1270"/>
        <v>0</v>
      </c>
      <c r="BV166" s="23">
        <f>+'QTR Raw'!AP91</f>
        <v>35.585000000000001</v>
      </c>
      <c r="BW166" s="23">
        <f t="shared" si="1270"/>
        <v>35.585000000000001</v>
      </c>
      <c r="BX166" s="23">
        <f>+'QTR Raw'!AR91</f>
        <v>129.79900000000001</v>
      </c>
      <c r="BY166" s="23">
        <f t="shared" si="1270"/>
        <v>129.79900000000001</v>
      </c>
      <c r="BZ166" s="23">
        <f>+'QTR Raw'!AT91</f>
        <v>28.562000000000001</v>
      </c>
      <c r="CA166" s="23">
        <f t="shared" si="1270"/>
        <v>28.562000000000001</v>
      </c>
      <c r="CB166" s="23">
        <f>+'QTR Raw'!AV91</f>
        <v>110.47799999999999</v>
      </c>
      <c r="CC166" s="23">
        <f t="shared" si="1270"/>
        <v>110.47799999999999</v>
      </c>
      <c r="CD166" s="23">
        <f>+'QTR Raw'!AX91</f>
        <v>59.173000000000002</v>
      </c>
      <c r="CE166" s="23">
        <f t="shared" si="1270"/>
        <v>59.173000000000002</v>
      </c>
      <c r="CF166" s="23">
        <f>+'QTR Raw'!AZ91</f>
        <v>126.489</v>
      </c>
      <c r="CG166" s="23">
        <f t="shared" ref="CG166:CG167" si="1276">+CF166</f>
        <v>126.489</v>
      </c>
      <c r="CH166" s="23">
        <f t="shared" si="1221"/>
        <v>35.860100000000003</v>
      </c>
      <c r="CJ166" s="23">
        <f>+'QTR Raw'!BD91</f>
        <v>95.486000000000004</v>
      </c>
      <c r="CL166" s="23">
        <f>+'QTR Raw'!BF91</f>
        <v>54.872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54.872999999999998</v>
      </c>
    </row>
    <row r="167" spans="1:110" s="23" customFormat="1" outlineLevel="1" x14ac:dyDescent="0.2">
      <c r="A167" s="23" t="s">
        <v>72</v>
      </c>
      <c r="B167" s="23">
        <f>'Annual Raw'!C57</f>
        <v>0</v>
      </c>
      <c r="C167" s="23">
        <f>'Annual Raw'!D57</f>
        <v>0</v>
      </c>
      <c r="D167" s="23">
        <f>'Annual Raw'!E57</f>
        <v>0</v>
      </c>
      <c r="E167" s="23">
        <f>'Annual Raw'!F57</f>
        <v>0</v>
      </c>
      <c r="F167" s="23">
        <f>'Annual Raw'!G57</f>
        <v>0</v>
      </c>
      <c r="G167" s="23">
        <f>'Annual Raw'!H57</f>
        <v>0</v>
      </c>
      <c r="H167" s="23">
        <f>'Annual Raw'!I57</f>
        <v>0</v>
      </c>
      <c r="I167" s="23">
        <f>'Annual Raw'!J57</f>
        <v>0</v>
      </c>
      <c r="J167" s="23">
        <f>'Annual Raw'!K57</f>
        <v>0</v>
      </c>
      <c r="K167" s="23">
        <f>'Annual Raw'!L57</f>
        <v>0</v>
      </c>
      <c r="L167" s="23">
        <f>'Annual Raw'!M57</f>
        <v>7.6205999999999999E-3</v>
      </c>
      <c r="M167" s="23">
        <f>'Annual Raw'!N57</f>
        <v>4.5792000000000003E-3</v>
      </c>
      <c r="N167" s="23">
        <f>'Annual Raw'!O57</f>
        <v>1.0551899999999999E-2</v>
      </c>
      <c r="O167" s="23">
        <f>'Annual Raw'!P57</f>
        <v>6.2110000000000004E-3</v>
      </c>
      <c r="P167" s="23">
        <f>'Annual Raw'!Q57</f>
        <v>6.3800999999999997E-3</v>
      </c>
      <c r="Q167" s="23">
        <f>'Annual Raw'!R57</f>
        <v>0.47499999999999998</v>
      </c>
      <c r="R167" s="23">
        <f>'Annual Raw'!S57</f>
        <v>7.55</v>
      </c>
      <c r="S167" s="23">
        <f>'Annual Raw'!T57</f>
        <v>25.515999999999998</v>
      </c>
      <c r="T167" s="23">
        <f>'Annual Raw'!U57</f>
        <v>33.142000000000003</v>
      </c>
      <c r="U167" s="23">
        <f>'Annual Raw'!V57</f>
        <v>39.710999999999999</v>
      </c>
      <c r="V167" s="23">
        <f>'Annual Raw'!W57</f>
        <v>19.767900000000001</v>
      </c>
      <c r="W167" s="23">
        <f>'Annual Raw'!X57</f>
        <v>53.621400000000001</v>
      </c>
      <c r="X167" s="23">
        <f>'Annual Raw'!Y57</f>
        <v>80.277900000000002</v>
      </c>
      <c r="Y167" s="23">
        <f>'Annual Raw'!Z57</f>
        <v>109.13800000000001</v>
      </c>
      <c r="Z167" s="23">
        <f>'Annual Raw'!AA57</f>
        <v>156.25550000000001</v>
      </c>
      <c r="AA167" s="23">
        <f>'Annual Raw'!AB57</f>
        <v>167.1841</v>
      </c>
      <c r="AB167" s="24">
        <f t="shared" si="1266"/>
        <v>0</v>
      </c>
      <c r="AC167" s="24">
        <f t="shared" si="1267"/>
        <v>0</v>
      </c>
      <c r="AD167" s="24">
        <f t="shared" si="1268"/>
        <v>0</v>
      </c>
      <c r="AE167" s="24">
        <f t="shared" si="1269"/>
        <v>0</v>
      </c>
      <c r="AJ167" s="23">
        <f>+'QTR Raw'!D92</f>
        <v>0</v>
      </c>
      <c r="AK167" s="23">
        <f t="shared" si="1270"/>
        <v>0</v>
      </c>
      <c r="AL167" s="23">
        <f>+'QTR Raw'!F92</f>
        <v>0</v>
      </c>
      <c r="AM167" s="23">
        <f t="shared" si="1270"/>
        <v>0</v>
      </c>
      <c r="AN167" s="23">
        <f>+'QTR Raw'!H92</f>
        <v>0</v>
      </c>
      <c r="AO167" s="23">
        <f t="shared" si="1270"/>
        <v>0</v>
      </c>
      <c r="AP167" s="23">
        <f>+'QTR Raw'!J92</f>
        <v>0</v>
      </c>
      <c r="AQ167" s="23">
        <f t="shared" si="1270"/>
        <v>0</v>
      </c>
      <c r="AR167" s="23">
        <f>+'QTR Raw'!L92</f>
        <v>0</v>
      </c>
      <c r="AS167" s="23">
        <f t="shared" si="1270"/>
        <v>0</v>
      </c>
      <c r="AT167" s="23">
        <f>+'QTR Raw'!N92</f>
        <v>0</v>
      </c>
      <c r="AU167" s="23">
        <f t="shared" si="1270"/>
        <v>0</v>
      </c>
      <c r="AV167" s="23">
        <f>+'QTR Raw'!P92</f>
        <v>0</v>
      </c>
      <c r="AW167" s="23">
        <f t="shared" si="1270"/>
        <v>0</v>
      </c>
      <c r="AX167" s="23">
        <f>+'QTR Raw'!R92</f>
        <v>0</v>
      </c>
      <c r="AY167" s="23">
        <f t="shared" si="1270"/>
        <v>0</v>
      </c>
      <c r="AZ167" s="23">
        <f>+'QTR Raw'!T92</f>
        <v>0</v>
      </c>
      <c r="BA167" s="23">
        <f t="shared" si="1270"/>
        <v>0</v>
      </c>
      <c r="BB167" s="23">
        <f>+'QTR Raw'!V92</f>
        <v>0</v>
      </c>
      <c r="BC167" s="23">
        <f t="shared" si="1270"/>
        <v>0</v>
      </c>
      <c r="BD167" s="23">
        <f>+'QTR Raw'!X92</f>
        <v>0</v>
      </c>
      <c r="BE167" s="23">
        <f t="shared" si="1270"/>
        <v>0</v>
      </c>
      <c r="BF167" s="23">
        <f>+'QTR Raw'!Z92</f>
        <v>0</v>
      </c>
      <c r="BG167" s="23">
        <f t="shared" si="1270"/>
        <v>0</v>
      </c>
      <c r="BH167" s="23">
        <f>+'QTR Raw'!AB92</f>
        <v>0</v>
      </c>
      <c r="BI167" s="23">
        <f t="shared" si="1270"/>
        <v>0</v>
      </c>
      <c r="BJ167" s="23">
        <f>+'QTR Raw'!AD92</f>
        <v>0</v>
      </c>
      <c r="BK167" s="23">
        <f t="shared" si="1270"/>
        <v>0</v>
      </c>
      <c r="BL167" s="23">
        <f>+'QTR Raw'!AF92</f>
        <v>0</v>
      </c>
      <c r="BM167" s="23">
        <f t="shared" si="1270"/>
        <v>0</v>
      </c>
      <c r="BN167" s="23">
        <f>+'QTR Raw'!AH92</f>
        <v>0</v>
      </c>
      <c r="BO167" s="23">
        <f t="shared" si="1270"/>
        <v>0</v>
      </c>
      <c r="BP167" s="23">
        <f>+'QTR Raw'!AJ92</f>
        <v>0</v>
      </c>
      <c r="BQ167" s="23">
        <f t="shared" si="1270"/>
        <v>0</v>
      </c>
      <c r="BR167" s="23">
        <f>+'QTR Raw'!AL92</f>
        <v>19.768000000000001</v>
      </c>
      <c r="BS167" s="23">
        <f t="shared" si="1270"/>
        <v>19.768000000000001</v>
      </c>
      <c r="BT167" s="23">
        <f>+'QTR Raw'!AN92</f>
        <v>0</v>
      </c>
      <c r="BU167" s="23">
        <f t="shared" si="1270"/>
        <v>0</v>
      </c>
      <c r="BV167" s="23">
        <f>+'QTR Raw'!AP92</f>
        <v>53.621000000000002</v>
      </c>
      <c r="BW167" s="23">
        <f t="shared" si="1270"/>
        <v>53.621000000000002</v>
      </c>
      <c r="BX167" s="23">
        <f>+'QTR Raw'!AR92</f>
        <v>45.960999999999999</v>
      </c>
      <c r="BY167" s="23">
        <f t="shared" si="1270"/>
        <v>45.960999999999999</v>
      </c>
      <c r="BZ167" s="23">
        <f>+'QTR Raw'!AT92</f>
        <v>80.278000000000006</v>
      </c>
      <c r="CA167" s="23">
        <f t="shared" si="1270"/>
        <v>80.278000000000006</v>
      </c>
      <c r="CB167" s="23">
        <f>+'QTR Raw'!AV92</f>
        <v>61.674999999999997</v>
      </c>
      <c r="CC167" s="23">
        <f t="shared" si="1270"/>
        <v>61.674999999999997</v>
      </c>
      <c r="CD167" s="23">
        <f>+'QTR Raw'!AX92</f>
        <v>109.13800000000001</v>
      </c>
      <c r="CE167" s="23">
        <f t="shared" si="1270"/>
        <v>109.13800000000001</v>
      </c>
      <c r="CF167" s="23">
        <f>+'QTR Raw'!AZ92</f>
        <v>94.343999999999994</v>
      </c>
      <c r="CG167" s="23">
        <f t="shared" si="1276"/>
        <v>94.343999999999994</v>
      </c>
      <c r="CH167" s="23">
        <f t="shared" si="1221"/>
        <v>156.25550000000001</v>
      </c>
      <c r="CJ167" s="23">
        <f>+'QTR Raw'!BD92</f>
        <v>121.006</v>
      </c>
      <c r="CL167" s="23">
        <f>+'QTR Raw'!BF92</f>
        <v>167.184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167.1841</v>
      </c>
    </row>
    <row r="168" spans="1:110" s="22" customFormat="1" x14ac:dyDescent="0.2">
      <c r="A168" s="22" t="s">
        <v>73</v>
      </c>
      <c r="B168" s="22">
        <f>SUM(B161:B167)</f>
        <v>0</v>
      </c>
      <c r="C168" s="22">
        <f t="shared" ref="C168:V168" si="1277">SUM(C161:C167)</f>
        <v>0</v>
      </c>
      <c r="D168" s="22">
        <f t="shared" si="1277"/>
        <v>0</v>
      </c>
      <c r="E168" s="22">
        <f t="shared" si="1277"/>
        <v>0</v>
      </c>
      <c r="F168" s="22">
        <f t="shared" si="1277"/>
        <v>0</v>
      </c>
      <c r="G168" s="22">
        <f t="shared" si="1277"/>
        <v>0</v>
      </c>
      <c r="H168" s="22">
        <f t="shared" si="1277"/>
        <v>0</v>
      </c>
      <c r="I168" s="22">
        <f t="shared" si="1277"/>
        <v>0</v>
      </c>
      <c r="J168" s="22">
        <f t="shared" si="1277"/>
        <v>2.0063500000000001E-2</v>
      </c>
      <c r="K168" s="22">
        <f t="shared" si="1277"/>
        <v>2.84692E-2</v>
      </c>
      <c r="L168" s="22">
        <f t="shared" si="1277"/>
        <v>0.36208950000000001</v>
      </c>
      <c r="M168" s="22">
        <f t="shared" si="1277"/>
        <v>1.53429E-2</v>
      </c>
      <c r="N168" s="22">
        <f t="shared" si="1277"/>
        <v>2.3492899999999997E-2</v>
      </c>
      <c r="O168" s="22">
        <f t="shared" si="1277"/>
        <v>1.2000400000000001E-2</v>
      </c>
      <c r="P168" s="22">
        <f t="shared" si="1277"/>
        <v>7.6825000000000001E-3</v>
      </c>
      <c r="Q168" s="22">
        <f t="shared" si="1277"/>
        <v>0.48899999999999999</v>
      </c>
      <c r="R168" s="22">
        <f t="shared" si="1277"/>
        <v>16.637</v>
      </c>
      <c r="S168" s="22">
        <f t="shared" si="1277"/>
        <v>76.52</v>
      </c>
      <c r="T168" s="22">
        <f t="shared" si="1277"/>
        <v>143.50200000000001</v>
      </c>
      <c r="U168" s="22">
        <f t="shared" si="1277"/>
        <v>230.44200000000001</v>
      </c>
      <c r="V168" s="22">
        <f t="shared" si="1277"/>
        <v>53.213399999999993</v>
      </c>
      <c r="W168" s="22">
        <f t="shared" ref="W168" si="1278">SUM(W161:W167)</f>
        <v>99.872399999999999</v>
      </c>
      <c r="X168" s="22">
        <f t="shared" ref="X168:Y168" si="1279">SUM(X161:X167)</f>
        <v>127.2086</v>
      </c>
      <c r="Y168" s="22">
        <f t="shared" si="1279"/>
        <v>206.59180000000001</v>
      </c>
      <c r="Z168" s="22">
        <f t="shared" ref="Z168:AA168" si="1280">SUM(Z161:Z167)</f>
        <v>245.9188</v>
      </c>
      <c r="AA168" s="22">
        <f t="shared" ref="AA168" si="1281">SUM(AA161:AA167)</f>
        <v>278.8734</v>
      </c>
      <c r="AB168" s="21">
        <f t="shared" ref="AB168:AD168" si="1282">SUM(AB161:AB167)</f>
        <v>362.53490000000005</v>
      </c>
      <c r="AC168" s="21">
        <f t="shared" si="1282"/>
        <v>471.29536999999999</v>
      </c>
      <c r="AD168" s="21">
        <f t="shared" si="1282"/>
        <v>612.68398100000002</v>
      </c>
      <c r="AE168" s="21">
        <f t="shared" ref="AE168" si="1283">SUM(AE161:AE167)</f>
        <v>796.48917530000006</v>
      </c>
      <c r="AJ168" s="22">
        <f t="shared" ref="AJ168" si="1284">SUM(AJ161:AJ167)</f>
        <v>0</v>
      </c>
      <c r="AK168" s="22" t="e">
        <f t="shared" ref="AK168" si="1285">SUM(AK161:AK167)</f>
        <v>#DIV/0!</v>
      </c>
      <c r="AL168" s="22">
        <f t="shared" ref="AL168:AM168" si="1286">SUM(AL161:AL167)</f>
        <v>0</v>
      </c>
      <c r="AM168" s="22" t="e">
        <f t="shared" si="1286"/>
        <v>#DIV/0!</v>
      </c>
      <c r="AN168" s="22">
        <f t="shared" ref="AN168:AO168" si="1287">SUM(AN161:AN167)</f>
        <v>0</v>
      </c>
      <c r="AO168" s="22" t="e">
        <f t="shared" si="1287"/>
        <v>#DIV/0!</v>
      </c>
      <c r="AP168" s="22">
        <f t="shared" ref="AP168:CE168" si="1288">SUM(AP161:AP167)</f>
        <v>0</v>
      </c>
      <c r="AQ168" s="22" t="e">
        <f t="shared" si="1288"/>
        <v>#DIV/0!</v>
      </c>
      <c r="AR168" s="22">
        <f t="shared" si="1288"/>
        <v>0</v>
      </c>
      <c r="AS168" s="22" t="e">
        <f t="shared" si="1288"/>
        <v>#DIV/0!</v>
      </c>
      <c r="AT168" s="22">
        <f t="shared" si="1288"/>
        <v>0</v>
      </c>
      <c r="AU168" s="22" t="e">
        <f t="shared" si="1288"/>
        <v>#DIV/0!</v>
      </c>
      <c r="AV168" s="22">
        <f t="shared" si="1288"/>
        <v>0</v>
      </c>
      <c r="AW168" s="22" t="e">
        <f t="shared" si="1288"/>
        <v>#DIV/0!</v>
      </c>
      <c r="AX168" s="22">
        <f t="shared" si="1288"/>
        <v>0</v>
      </c>
      <c r="AY168" s="22" t="e">
        <f t="shared" si="1288"/>
        <v>#DIV/0!</v>
      </c>
      <c r="AZ168" s="22">
        <f t="shared" si="1288"/>
        <v>0</v>
      </c>
      <c r="BA168" s="22" t="e">
        <f t="shared" si="1288"/>
        <v>#DIV/0!</v>
      </c>
      <c r="BB168" s="22">
        <f t="shared" si="1288"/>
        <v>0</v>
      </c>
      <c r="BC168" s="22" t="e">
        <f t="shared" si="1288"/>
        <v>#DIV/0!</v>
      </c>
      <c r="BD168" s="22">
        <f t="shared" si="1288"/>
        <v>0</v>
      </c>
      <c r="BE168" s="22" t="e">
        <f t="shared" si="1288"/>
        <v>#DIV/0!</v>
      </c>
      <c r="BF168" s="22">
        <f t="shared" si="1288"/>
        <v>0</v>
      </c>
      <c r="BG168" s="22" t="e">
        <f t="shared" si="1288"/>
        <v>#DIV/0!</v>
      </c>
      <c r="BH168" s="22">
        <f t="shared" ref="BH168" si="1289">SUM(BH161:BH167)</f>
        <v>0</v>
      </c>
      <c r="BI168" s="22" t="e">
        <f t="shared" si="1288"/>
        <v>#DIV/0!</v>
      </c>
      <c r="BJ168" s="22">
        <f t="shared" si="1288"/>
        <v>0</v>
      </c>
      <c r="BK168" s="22" t="e">
        <f t="shared" si="1288"/>
        <v>#DIV/0!</v>
      </c>
      <c r="BL168" s="22">
        <f t="shared" si="1288"/>
        <v>0</v>
      </c>
      <c r="BM168" s="22" t="e">
        <f t="shared" si="1288"/>
        <v>#DIV/0!</v>
      </c>
      <c r="BN168" s="22">
        <f t="shared" si="1288"/>
        <v>0</v>
      </c>
      <c r="BO168" s="22" t="e">
        <f t="shared" si="1288"/>
        <v>#DIV/0!</v>
      </c>
      <c r="BP168" s="22">
        <f t="shared" si="1288"/>
        <v>0</v>
      </c>
      <c r="BQ168" s="22" t="e">
        <f t="shared" si="1288"/>
        <v>#DIV/0!</v>
      </c>
      <c r="BR168" s="22">
        <f t="shared" si="1288"/>
        <v>53.213999999999999</v>
      </c>
      <c r="BS168" s="22">
        <f t="shared" si="1288"/>
        <v>53.293082759996011</v>
      </c>
      <c r="BT168" s="22">
        <f t="shared" si="1288"/>
        <v>0</v>
      </c>
      <c r="BU168" s="22">
        <f t="shared" si="1288"/>
        <v>0</v>
      </c>
      <c r="BV168" s="22">
        <f t="shared" si="1288"/>
        <v>99.872</v>
      </c>
      <c r="BW168" s="22">
        <f t="shared" si="1288"/>
        <v>99.872</v>
      </c>
      <c r="BX168" s="22">
        <f t="shared" si="1288"/>
        <v>186.40300000000002</v>
      </c>
      <c r="BY168" s="22">
        <f t="shared" si="1288"/>
        <v>186.40300000000002</v>
      </c>
      <c r="BZ168" s="22">
        <f t="shared" si="1288"/>
        <v>127.209</v>
      </c>
      <c r="CA168" s="22">
        <f t="shared" si="1288"/>
        <v>127.27965465864578</v>
      </c>
      <c r="CB168" s="22">
        <f t="shared" si="1288"/>
        <v>202.08299999999997</v>
      </c>
      <c r="CC168" s="22">
        <f t="shared" si="1288"/>
        <v>202.08292113089533</v>
      </c>
      <c r="CD168" s="22">
        <f t="shared" si="1288"/>
        <v>206.59200000000001</v>
      </c>
      <c r="CE168" s="22">
        <f t="shared" si="1288"/>
        <v>206.59807719606695</v>
      </c>
      <c r="CF168" s="22">
        <f t="shared" ref="CF168:CG168" si="1290">SUM(CF161:CF167)</f>
        <v>277.54200000000003</v>
      </c>
      <c r="CG168" s="22">
        <f t="shared" si="1290"/>
        <v>277.54197756112853</v>
      </c>
      <c r="CH168" s="22">
        <f t="shared" ref="CH168:CI168" si="1291">SUM(CH161:CH167)</f>
        <v>245.9188</v>
      </c>
      <c r="CI168" s="22">
        <f t="shared" si="1291"/>
        <v>303.59493521174977</v>
      </c>
      <c r="CJ168" s="22">
        <f t="shared" ref="CJ168:DB168" si="1292">SUM(CJ161:CJ167)</f>
        <v>271.09500000000003</v>
      </c>
      <c r="CK168" s="22">
        <f t="shared" ref="CK168:CL168" si="1293">SUM(CK161:CK167)</f>
        <v>264.03697221605705</v>
      </c>
      <c r="CL168" s="22">
        <f t="shared" si="1293"/>
        <v>278.87299999999999</v>
      </c>
      <c r="CM168" s="21">
        <f t="shared" si="1292"/>
        <v>333.56366260954206</v>
      </c>
      <c r="CN168" s="21">
        <f t="shared" si="1292"/>
        <v>374.56153914418138</v>
      </c>
      <c r="CO168" s="21">
        <f t="shared" si="1292"/>
        <v>364.80973350381151</v>
      </c>
      <c r="CP168" s="21">
        <f t="shared" si="1292"/>
        <v>362.53490000000005</v>
      </c>
      <c r="CQ168" s="21">
        <f t="shared" si="1292"/>
        <v>433.63276139240475</v>
      </c>
      <c r="CR168" s="21">
        <f t="shared" si="1292"/>
        <v>486.93000088743582</v>
      </c>
      <c r="CS168" s="21">
        <f t="shared" si="1292"/>
        <v>474.25265355495486</v>
      </c>
      <c r="CT168" s="21">
        <f t="shared" si="1292"/>
        <v>471.29536999999999</v>
      </c>
      <c r="CU168" s="21">
        <f t="shared" si="1292"/>
        <v>563.72258981012601</v>
      </c>
      <c r="CV168" s="21">
        <f t="shared" si="1292"/>
        <v>633.00900115366665</v>
      </c>
      <c r="CW168" s="21">
        <f t="shared" si="1292"/>
        <v>616.52844962144138</v>
      </c>
      <c r="CX168" s="21">
        <f t="shared" si="1292"/>
        <v>612.68398100000002</v>
      </c>
      <c r="CY168" s="21">
        <f t="shared" si="1292"/>
        <v>732.83936675316374</v>
      </c>
      <c r="CZ168" s="21">
        <f t="shared" si="1292"/>
        <v>822.91170149976654</v>
      </c>
      <c r="DA168" s="21">
        <f t="shared" si="1292"/>
        <v>801.4869845078739</v>
      </c>
      <c r="DB168" s="21">
        <f t="shared" si="1292"/>
        <v>796.48917530000006</v>
      </c>
      <c r="DE168" s="126"/>
      <c r="DF168" s="22">
        <v>278.8734</v>
      </c>
    </row>
    <row r="169" spans="1:110" s="22" customFormat="1" x14ac:dyDescent="0.2">
      <c r="A169" s="22" t="s">
        <v>74</v>
      </c>
      <c r="B169" s="22">
        <f>B160-B168</f>
        <v>0</v>
      </c>
      <c r="C169" s="22">
        <f t="shared" ref="C169:V169" si="1294">C160-C168</f>
        <v>0</v>
      </c>
      <c r="D169" s="22">
        <f t="shared" si="1294"/>
        <v>0</v>
      </c>
      <c r="E169" s="22">
        <f t="shared" si="1294"/>
        <v>0</v>
      </c>
      <c r="F169" s="22">
        <f t="shared" si="1294"/>
        <v>0</v>
      </c>
      <c r="G169" s="22">
        <f t="shared" si="1294"/>
        <v>0</v>
      </c>
      <c r="H169" s="22">
        <f t="shared" si="1294"/>
        <v>0</v>
      </c>
      <c r="I169" s="22">
        <f t="shared" si="1294"/>
        <v>0</v>
      </c>
      <c r="J169" s="22">
        <f t="shared" si="1294"/>
        <v>0.78135909999999997</v>
      </c>
      <c r="K169" s="22">
        <f t="shared" si="1294"/>
        <v>1.3893608</v>
      </c>
      <c r="L169" s="22">
        <f t="shared" si="1294"/>
        <v>1.3456674</v>
      </c>
      <c r="M169" s="22">
        <f t="shared" si="1294"/>
        <v>0.19132370000000001</v>
      </c>
      <c r="N169" s="22">
        <f t="shared" si="1294"/>
        <v>0.30020210000000003</v>
      </c>
      <c r="O169" s="22">
        <f t="shared" si="1294"/>
        <v>0.78571829999999987</v>
      </c>
      <c r="P169" s="22">
        <f t="shared" si="1294"/>
        <v>2.0457524</v>
      </c>
      <c r="Q169" s="22">
        <f t="shared" si="1294"/>
        <v>1.6500000000000004</v>
      </c>
      <c r="R169" s="22">
        <f t="shared" si="1294"/>
        <v>4.0279999999999987</v>
      </c>
      <c r="S169" s="22">
        <f t="shared" si="1294"/>
        <v>-6.2319999999999993</v>
      </c>
      <c r="T169" s="22">
        <f t="shared" si="1294"/>
        <v>-35.336000000000013</v>
      </c>
      <c r="U169" s="22">
        <f t="shared" si="1294"/>
        <v>-37.344999999999999</v>
      </c>
      <c r="V169" s="22">
        <f t="shared" si="1294"/>
        <v>-11.677199999999999</v>
      </c>
      <c r="W169" s="22">
        <f t="shared" ref="W169" si="1295">W160-W168</f>
        <v>61.916599999999988</v>
      </c>
      <c r="X169" s="22">
        <f t="shared" ref="X169:Y169" si="1296">X160-X168</f>
        <v>190.08589999999998</v>
      </c>
      <c r="Y169" s="22">
        <f t="shared" si="1296"/>
        <v>374.56959999999992</v>
      </c>
      <c r="Z169" s="22">
        <f t="shared" ref="Z169:AA169" si="1297">Z160-Z168</f>
        <v>239.66580000000002</v>
      </c>
      <c r="AA169" s="22">
        <f t="shared" ref="AA169" si="1298">AA160-AA168</f>
        <v>353.05779999999999</v>
      </c>
      <c r="AB169" s="21">
        <f t="shared" ref="AB169:AD169" si="1299">AB160-AB168</f>
        <v>537.98160000000007</v>
      </c>
      <c r="AC169" s="21">
        <f t="shared" si="1299"/>
        <v>699.37607999999977</v>
      </c>
      <c r="AD169" s="21">
        <f t="shared" si="1299"/>
        <v>909.18890399999998</v>
      </c>
      <c r="AE169" s="21">
        <f t="shared" ref="AE169" si="1300">AE160-AE168</f>
        <v>1181.9455751999999</v>
      </c>
      <c r="AJ169" s="22">
        <f t="shared" ref="AJ169" si="1301">AJ160-AJ168</f>
        <v>0</v>
      </c>
      <c r="AK169" s="22" t="e">
        <f t="shared" ref="AK169" si="1302">AK160-AK168</f>
        <v>#DIV/0!</v>
      </c>
      <c r="AL169" s="22">
        <f t="shared" ref="AL169:AM169" si="1303">AL160-AL168</f>
        <v>0</v>
      </c>
      <c r="AM169" s="22" t="e">
        <f t="shared" si="1303"/>
        <v>#DIV/0!</v>
      </c>
      <c r="AN169" s="22">
        <f t="shared" ref="AN169:AO169" si="1304">AN160-AN168</f>
        <v>0</v>
      </c>
      <c r="AO169" s="22" t="e">
        <f t="shared" si="1304"/>
        <v>#DIV/0!</v>
      </c>
      <c r="AP169" s="22">
        <f t="shared" ref="AP169:CE169" si="1305">AP160-AP168</f>
        <v>0</v>
      </c>
      <c r="AQ169" s="22" t="e">
        <f t="shared" si="1305"/>
        <v>#DIV/0!</v>
      </c>
      <c r="AR169" s="22">
        <f t="shared" si="1305"/>
        <v>0</v>
      </c>
      <c r="AS169" s="22" t="e">
        <f t="shared" si="1305"/>
        <v>#DIV/0!</v>
      </c>
      <c r="AT169" s="22">
        <f t="shared" si="1305"/>
        <v>0</v>
      </c>
      <c r="AU169" s="22" t="e">
        <f t="shared" si="1305"/>
        <v>#DIV/0!</v>
      </c>
      <c r="AV169" s="22">
        <f t="shared" si="1305"/>
        <v>0</v>
      </c>
      <c r="AW169" s="22" t="e">
        <f t="shared" si="1305"/>
        <v>#DIV/0!</v>
      </c>
      <c r="AX169" s="22">
        <f t="shared" si="1305"/>
        <v>0</v>
      </c>
      <c r="AY169" s="22" t="e">
        <f t="shared" si="1305"/>
        <v>#DIV/0!</v>
      </c>
      <c r="AZ169" s="22">
        <f t="shared" si="1305"/>
        <v>0</v>
      </c>
      <c r="BA169" s="22" t="e">
        <f t="shared" si="1305"/>
        <v>#DIV/0!</v>
      </c>
      <c r="BB169" s="22">
        <f t="shared" si="1305"/>
        <v>0</v>
      </c>
      <c r="BC169" s="22" t="e">
        <f t="shared" si="1305"/>
        <v>#DIV/0!</v>
      </c>
      <c r="BD169" s="22">
        <f t="shared" si="1305"/>
        <v>0</v>
      </c>
      <c r="BE169" s="22" t="e">
        <f t="shared" si="1305"/>
        <v>#DIV/0!</v>
      </c>
      <c r="BF169" s="22">
        <f t="shared" si="1305"/>
        <v>0</v>
      </c>
      <c r="BG169" s="22" t="e">
        <f t="shared" si="1305"/>
        <v>#DIV/0!</v>
      </c>
      <c r="BH169" s="22">
        <f t="shared" ref="BH169" si="1306">BH160-BH168</f>
        <v>0</v>
      </c>
      <c r="BI169" s="22" t="e">
        <f t="shared" si="1305"/>
        <v>#DIV/0!</v>
      </c>
      <c r="BJ169" s="22">
        <f t="shared" si="1305"/>
        <v>0</v>
      </c>
      <c r="BK169" s="22" t="e">
        <f t="shared" si="1305"/>
        <v>#DIV/0!</v>
      </c>
      <c r="BL169" s="22">
        <f t="shared" si="1305"/>
        <v>0</v>
      </c>
      <c r="BM169" s="22" t="e">
        <f t="shared" si="1305"/>
        <v>#DIV/0!</v>
      </c>
      <c r="BN169" s="22">
        <f t="shared" si="1305"/>
        <v>0</v>
      </c>
      <c r="BO169" s="22" t="e">
        <f t="shared" si="1305"/>
        <v>#DIV/0!</v>
      </c>
      <c r="BP169" s="22">
        <f t="shared" si="1305"/>
        <v>0</v>
      </c>
      <c r="BQ169" s="22" t="e">
        <f t="shared" si="1305"/>
        <v>#DIV/0!</v>
      </c>
      <c r="BR169" s="22">
        <f t="shared" si="1305"/>
        <v>1.242999999999995</v>
      </c>
      <c r="BS169" s="22">
        <f t="shared" si="1305"/>
        <v>5.3965979658988914</v>
      </c>
      <c r="BT169" s="22">
        <f t="shared" si="1305"/>
        <v>0</v>
      </c>
      <c r="BU169" s="22">
        <f t="shared" si="1305"/>
        <v>0</v>
      </c>
      <c r="BV169" s="22">
        <f t="shared" si="1305"/>
        <v>75.082999999999984</v>
      </c>
      <c r="BW169" s="22">
        <f t="shared" si="1305"/>
        <v>77.611122543660841</v>
      </c>
      <c r="BX169" s="22">
        <f t="shared" si="1305"/>
        <v>-6.5080000000000382</v>
      </c>
      <c r="BY169" s="22">
        <f t="shared" si="1305"/>
        <v>-6.2792611878321338</v>
      </c>
      <c r="BZ169" s="22">
        <f t="shared" si="1305"/>
        <v>208.55199999999996</v>
      </c>
      <c r="CA169" s="22">
        <f t="shared" si="1305"/>
        <v>212.32316436765529</v>
      </c>
      <c r="CB169" s="22">
        <f t="shared" si="1305"/>
        <v>180.09200000000004</v>
      </c>
      <c r="CC169" s="22">
        <f t="shared" si="1305"/>
        <v>180.07435878870206</v>
      </c>
      <c r="CD169" s="22">
        <f t="shared" si="1305"/>
        <v>416.15300000000002</v>
      </c>
      <c r="CE169" s="22">
        <f t="shared" si="1305"/>
        <v>424.32161968483433</v>
      </c>
      <c r="CF169" s="22">
        <f t="shared" ref="CF169:CG169" si="1307">CF160-CF168</f>
        <v>231.16899999999998</v>
      </c>
      <c r="CG169" s="22">
        <f t="shared" si="1307"/>
        <v>230.35960746615194</v>
      </c>
      <c r="CH169" s="22">
        <f t="shared" ref="CH169:CI169" si="1308">CH160-CH168</f>
        <v>239.66580000000002</v>
      </c>
      <c r="CI169" s="22">
        <f t="shared" si="1308"/>
        <v>295.87539880428915</v>
      </c>
      <c r="CJ169" s="22">
        <f t="shared" ref="CJ169:DB169" si="1309">CJ160-CJ168</f>
        <v>396.50800000000004</v>
      </c>
      <c r="CK169" s="22">
        <f t="shared" ref="CK169:CL169" si="1310">CK160-CK168</f>
        <v>386.18481262820899</v>
      </c>
      <c r="CL169" s="22">
        <f t="shared" si="1310"/>
        <v>413.83200000000005</v>
      </c>
      <c r="CM169" s="21">
        <f t="shared" si="1309"/>
        <v>494.98989728310738</v>
      </c>
      <c r="CN169" s="21">
        <f t="shared" si="1309"/>
        <v>555.82846265904141</v>
      </c>
      <c r="CO169" s="21">
        <f t="shared" si="1309"/>
        <v>541.35732622143178</v>
      </c>
      <c r="CP169" s="21">
        <f t="shared" si="1309"/>
        <v>537.98160000000007</v>
      </c>
      <c r="CQ169" s="21">
        <f t="shared" si="1309"/>
        <v>643.48686646803958</v>
      </c>
      <c r="CR169" s="21">
        <f t="shared" si="1309"/>
        <v>722.57700145675381</v>
      </c>
      <c r="CS169" s="21">
        <f t="shared" si="1309"/>
        <v>703.76452408786099</v>
      </c>
      <c r="CT169" s="21">
        <f t="shared" si="1309"/>
        <v>699.37607999999977</v>
      </c>
      <c r="CU169" s="21">
        <f t="shared" si="1309"/>
        <v>836.53292640845143</v>
      </c>
      <c r="CV169" s="21">
        <f t="shared" si="1309"/>
        <v>939.35010189378011</v>
      </c>
      <c r="CW169" s="21">
        <f t="shared" si="1309"/>
        <v>914.89388131421936</v>
      </c>
      <c r="CX169" s="21">
        <f t="shared" si="1309"/>
        <v>909.18890399999998</v>
      </c>
      <c r="CY169" s="21">
        <f t="shared" si="1309"/>
        <v>1087.4928043309869</v>
      </c>
      <c r="CZ169" s="21">
        <f t="shared" si="1309"/>
        <v>1221.155132461914</v>
      </c>
      <c r="DA169" s="21">
        <f t="shared" si="1309"/>
        <v>1189.3620457084853</v>
      </c>
      <c r="DB169" s="21">
        <f t="shared" si="1309"/>
        <v>1181.9455751999999</v>
      </c>
      <c r="DE169" s="126"/>
      <c r="DF169" s="22">
        <v>353.05779999999999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outlineLevel="1" x14ac:dyDescent="0.2">
      <c r="A171" s="23" t="s">
        <v>75</v>
      </c>
      <c r="B171" s="23">
        <f>'Annual Raw'!C75</f>
        <v>0</v>
      </c>
      <c r="C171" s="23">
        <f>'Annual Raw'!D75</f>
        <v>0</v>
      </c>
      <c r="D171" s="23">
        <f>'Annual Raw'!E75</f>
        <v>0</v>
      </c>
      <c r="E171" s="23">
        <f>'Annual Raw'!F75</f>
        <v>0</v>
      </c>
      <c r="F171" s="23">
        <f>'Annual Raw'!G75</f>
        <v>0</v>
      </c>
      <c r="G171" s="23">
        <f>'Annual Raw'!H75</f>
        <v>0</v>
      </c>
      <c r="H171" s="23">
        <f>'Annual Raw'!I75</f>
        <v>0</v>
      </c>
      <c r="I171" s="23">
        <f>'Annual Raw'!J75</f>
        <v>0</v>
      </c>
      <c r="J171" s="23">
        <f>'Annual Raw'!K75</f>
        <v>0</v>
      </c>
      <c r="K171" s="23">
        <f>'Annual Raw'!L75</f>
        <v>0</v>
      </c>
      <c r="L171" s="23">
        <f>'Annual Raw'!M75</f>
        <v>0</v>
      </c>
      <c r="M171" s="23">
        <f>'Annual Raw'!N75</f>
        <v>0</v>
      </c>
      <c r="N171" s="23">
        <f>'Annual Raw'!O75</f>
        <v>0</v>
      </c>
      <c r="O171" s="23">
        <f>'Annual Raw'!P75</f>
        <v>0</v>
      </c>
      <c r="P171" s="23">
        <f>'Annual Raw'!Q75</f>
        <v>0</v>
      </c>
      <c r="Q171" s="23">
        <f>'Annual Raw'!R75</f>
        <v>0</v>
      </c>
      <c r="R171" s="23">
        <f>'Annual Raw'!S75</f>
        <v>0</v>
      </c>
      <c r="S171" s="23">
        <f>'Annual Raw'!T75</f>
        <v>50.082000000000001</v>
      </c>
      <c r="T171" s="23">
        <f>'Annual Raw'!U75</f>
        <v>75.084999999999994</v>
      </c>
      <c r="U171" s="23">
        <f>'Annual Raw'!V75</f>
        <v>1.8320000000000001</v>
      </c>
      <c r="V171" s="23">
        <f>'Annual Raw'!W75</f>
        <v>2.6783999999999999</v>
      </c>
      <c r="W171" s="23">
        <f>'Annual Raw'!X75</f>
        <v>0</v>
      </c>
      <c r="X171" s="23">
        <f>'Annual Raw'!Y75</f>
        <v>0</v>
      </c>
      <c r="Y171" s="23">
        <f>'Annual Raw'!Z75</f>
        <v>1.1425000000000001</v>
      </c>
      <c r="Z171" s="23">
        <f>'Annual Raw'!AA75</f>
        <v>1.2210000000000001</v>
      </c>
      <c r="AA171" s="23">
        <f>'Annual Raw'!AB75</f>
        <v>1.1984999999999999</v>
      </c>
      <c r="AB171" s="24">
        <f t="shared" ref="AB171:AB172" si="1311">+CP171</f>
        <v>0</v>
      </c>
      <c r="AC171" s="24">
        <f t="shared" ref="AC171:AC172" si="1312">+CT171</f>
        <v>0</v>
      </c>
      <c r="AD171" s="24">
        <f t="shared" ref="AD171:AD172" si="1313">+CX171</f>
        <v>0</v>
      </c>
      <c r="AE171" s="24">
        <f t="shared" ref="AE171:AE172" si="1314">+DB171</f>
        <v>0</v>
      </c>
      <c r="AJ171" s="23">
        <f>+'QTR Raw'!D80</f>
        <v>0</v>
      </c>
      <c r="AL171" s="23">
        <f>+'QTR Raw'!F80</f>
        <v>0</v>
      </c>
      <c r="AN171" s="23">
        <f>+'QTR Raw'!H80</f>
        <v>0</v>
      </c>
      <c r="AP171" s="23">
        <f>+'QTR Raw'!J80</f>
        <v>0</v>
      </c>
      <c r="AR171" s="23">
        <f>+'QTR Raw'!L80</f>
        <v>0</v>
      </c>
      <c r="AT171" s="23">
        <f>+'QTR Raw'!N80</f>
        <v>0</v>
      </c>
      <c r="AV171" s="23">
        <f>+'QTR Raw'!P80</f>
        <v>0</v>
      </c>
      <c r="AX171" s="23">
        <f>+'QTR Raw'!R80</f>
        <v>0</v>
      </c>
      <c r="AZ171" s="23">
        <f>+'QTR Raw'!T80</f>
        <v>0</v>
      </c>
      <c r="BB171" s="23">
        <f>+'QTR Raw'!V80</f>
        <v>0</v>
      </c>
      <c r="BD171" s="23">
        <f>+'QTR Raw'!X80</f>
        <v>0</v>
      </c>
      <c r="BF171" s="23">
        <f>+'QTR Raw'!Z80</f>
        <v>0</v>
      </c>
      <c r="BH171" s="23">
        <f>+'QTR Raw'!AB80</f>
        <v>0</v>
      </c>
      <c r="BJ171" s="23">
        <f>+'QTR Raw'!AD80</f>
        <v>0</v>
      </c>
      <c r="BL171" s="23">
        <f>+'QTR Raw'!AF80</f>
        <v>0</v>
      </c>
      <c r="BN171" s="23">
        <f>+'QTR Raw'!AH80</f>
        <v>0</v>
      </c>
      <c r="BP171" s="23">
        <f>+'QTR Raw'!AJ80</f>
        <v>0</v>
      </c>
      <c r="BR171" s="23">
        <f>+'QTR Raw'!AL80</f>
        <v>2.6779999999999999</v>
      </c>
      <c r="BT171" s="23">
        <f>+'QTR Raw'!AN80</f>
        <v>0</v>
      </c>
      <c r="BV171" s="23">
        <f>+'QTR Raw'!AP80</f>
        <v>0</v>
      </c>
      <c r="BX171" s="23">
        <f>+'QTR Raw'!AR80</f>
        <v>15.051</v>
      </c>
      <c r="BZ171" s="23">
        <f>+'QTR Raw'!AT80</f>
        <v>0</v>
      </c>
      <c r="CB171" s="23">
        <f>+'QTR Raw'!AV80</f>
        <v>0</v>
      </c>
      <c r="CD171" s="23">
        <f>+'QTR Raw'!AX80</f>
        <v>1.143</v>
      </c>
      <c r="CF171" s="23">
        <f>+'QTR Raw'!AZ80</f>
        <v>1.1779999999999999</v>
      </c>
      <c r="CH171" s="23">
        <f t="shared" ref="CH171:CH172" si="1315">Z171</f>
        <v>1.2210000000000001</v>
      </c>
      <c r="CJ171" s="23">
        <f>+'QTR Raw'!BD80</f>
        <v>1.329</v>
      </c>
      <c r="CL171" s="23">
        <f>+'QTR Raw'!BF80</f>
        <v>1.198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1.1984999999999999</v>
      </c>
    </row>
    <row r="172" spans="1:110" s="23" customFormat="1" outlineLevel="1" x14ac:dyDescent="0.2">
      <c r="A172" s="23" t="s">
        <v>76</v>
      </c>
      <c r="B172" s="23">
        <f>'Annual Raw'!C78</f>
        <v>0</v>
      </c>
      <c r="C172" s="23">
        <f>'Annual Raw'!D78</f>
        <v>0</v>
      </c>
      <c r="D172" s="23">
        <f>'Annual Raw'!E78</f>
        <v>0</v>
      </c>
      <c r="E172" s="23">
        <f>'Annual Raw'!F78</f>
        <v>0</v>
      </c>
      <c r="F172" s="23">
        <f>'Annual Raw'!G78</f>
        <v>0</v>
      </c>
      <c r="G172" s="23">
        <f>'Annual Raw'!H78</f>
        <v>0</v>
      </c>
      <c r="H172" s="23">
        <f>'Annual Raw'!I78</f>
        <v>0</v>
      </c>
      <c r="I172" s="23">
        <f>'Annual Raw'!J78</f>
        <v>0</v>
      </c>
      <c r="J172" s="23">
        <f>'Annual Raw'!K78</f>
        <v>3.1662999999999997E-2</v>
      </c>
      <c r="K172" s="23">
        <f>'Annual Raw'!L78</f>
        <v>3.5004993999999998</v>
      </c>
      <c r="L172" s="23">
        <f>'Annual Raw'!M78</f>
        <v>7.5606499999999993E-2</v>
      </c>
      <c r="M172" s="23">
        <f>'Annual Raw'!N78</f>
        <v>9.5451800000000003E-2</v>
      </c>
      <c r="N172" s="23">
        <f>'Annual Raw'!O78</f>
        <v>0.1291727</v>
      </c>
      <c r="O172" s="23">
        <f>'Annual Raw'!P78</f>
        <v>0.2180993</v>
      </c>
      <c r="P172" s="23">
        <f>'Annual Raw'!Q78</f>
        <v>2.9447600000000001E-2</v>
      </c>
      <c r="Q172" s="23">
        <f>'Annual Raw'!R78</f>
        <v>0.54400000000000004</v>
      </c>
      <c r="R172" s="23">
        <f>'Annual Raw'!S78</f>
        <v>2.6890000000000001</v>
      </c>
      <c r="S172" s="23">
        <f>'Annual Raw'!T78</f>
        <v>0.60699999999999998</v>
      </c>
      <c r="T172" s="23">
        <f>'Annual Raw'!U78</f>
        <v>11.452999999999999</v>
      </c>
      <c r="U172" s="23">
        <f>'Annual Raw'!V78</f>
        <v>28.297000000000001</v>
      </c>
      <c r="V172" s="23">
        <f>'Annual Raw'!W78</f>
        <v>65.364800000000002</v>
      </c>
      <c r="W172" s="23">
        <f>'Annual Raw'!X78</f>
        <v>87.108999999999995</v>
      </c>
      <c r="X172" s="23">
        <f>'Annual Raw'!Y78</f>
        <v>64.761700000000005</v>
      </c>
      <c r="Y172" s="23">
        <f>'Annual Raw'!Z78</f>
        <v>33.113399999999999</v>
      </c>
      <c r="Z172" s="23">
        <f>'Annual Raw'!AA78</f>
        <v>44.065100000000001</v>
      </c>
      <c r="AA172" s="23">
        <f>'Annual Raw'!AB78</f>
        <v>240.9376</v>
      </c>
      <c r="AB172" s="24">
        <f t="shared" si="1311"/>
        <v>634.4299394387383</v>
      </c>
      <c r="AC172" s="24">
        <f t="shared" si="1312"/>
        <v>1205.6920090405561</v>
      </c>
      <c r="AD172" s="24">
        <f t="shared" si="1313"/>
        <v>2032.0957199960221</v>
      </c>
      <c r="AE172" s="24">
        <f t="shared" si="1314"/>
        <v>3212.8183640934185</v>
      </c>
      <c r="AJ172" s="23">
        <f>+'QTR Raw'!D83</f>
        <v>0</v>
      </c>
      <c r="AK172" s="23" t="e">
        <f t="shared" ref="AK172:AM172" si="1316">+AK222</f>
        <v>#DIV/0!</v>
      </c>
      <c r="AL172" s="23">
        <f>+'QTR Raw'!F83</f>
        <v>0</v>
      </c>
      <c r="AM172" s="23" t="e">
        <f t="shared" si="1316"/>
        <v>#DIV/0!</v>
      </c>
      <c r="AN172" s="23">
        <f>+'QTR Raw'!H83</f>
        <v>0</v>
      </c>
      <c r="AO172" s="23" t="e">
        <f t="shared" ref="AO172" si="1317">+AO222</f>
        <v>#DIV/0!</v>
      </c>
      <c r="AP172" s="23">
        <f>+'QTR Raw'!J83</f>
        <v>0</v>
      </c>
      <c r="AQ172" s="23" t="e">
        <f t="shared" ref="AQ172" si="1318">+AQ222</f>
        <v>#DIV/0!</v>
      </c>
      <c r="AR172" s="23">
        <f>+'QTR Raw'!L83</f>
        <v>0</v>
      </c>
      <c r="AS172" s="23" t="e">
        <f t="shared" ref="AS172" si="1319">+AS222</f>
        <v>#DIV/0!</v>
      </c>
      <c r="AT172" s="23">
        <f>+'QTR Raw'!N83</f>
        <v>0</v>
      </c>
      <c r="AU172" s="23" t="e">
        <f t="shared" ref="AU172" si="1320">+AU222</f>
        <v>#DIV/0!</v>
      </c>
      <c r="AV172" s="23">
        <f>+'QTR Raw'!P83</f>
        <v>0</v>
      </c>
      <c r="AW172" s="23" t="e">
        <f t="shared" ref="AW172" si="1321">+AW222</f>
        <v>#DIV/0!</v>
      </c>
      <c r="AX172" s="23">
        <f>+'QTR Raw'!R83</f>
        <v>0</v>
      </c>
      <c r="AY172" s="23" t="e">
        <f t="shared" ref="AY172" si="1322">+AY222</f>
        <v>#DIV/0!</v>
      </c>
      <c r="AZ172" s="23">
        <f>+'QTR Raw'!T83</f>
        <v>0</v>
      </c>
      <c r="BA172" s="23" t="e">
        <f t="shared" ref="BA172" si="1323">+BA222</f>
        <v>#DIV/0!</v>
      </c>
      <c r="BB172" s="23">
        <f>+'QTR Raw'!V83</f>
        <v>0</v>
      </c>
      <c r="BC172" s="23" t="e">
        <f t="shared" ref="BC172" si="1324">+BC222</f>
        <v>#DIV/0!</v>
      </c>
      <c r="BD172" s="23">
        <f>+'QTR Raw'!X83</f>
        <v>0</v>
      </c>
      <c r="BE172" s="23" t="e">
        <f t="shared" ref="BE172" si="1325">+BE222</f>
        <v>#DIV/0!</v>
      </c>
      <c r="BF172" s="23">
        <f>+'QTR Raw'!Z83</f>
        <v>0</v>
      </c>
      <c r="BG172" s="23" t="e">
        <f t="shared" ref="BG172" si="1326">+BG222</f>
        <v>#DIV/0!</v>
      </c>
      <c r="BH172" s="23">
        <f>+'QTR Raw'!AB83</f>
        <v>0</v>
      </c>
      <c r="BI172" s="23" t="e">
        <f t="shared" ref="BI172" si="1327">+BI222</f>
        <v>#DIV/0!</v>
      </c>
      <c r="BJ172" s="23">
        <f>+'QTR Raw'!AD83</f>
        <v>0</v>
      </c>
      <c r="BK172" s="23" t="e">
        <f t="shared" ref="BK172" si="1328">+BK222</f>
        <v>#DIV/0!</v>
      </c>
      <c r="BL172" s="23">
        <f>+'QTR Raw'!AF83</f>
        <v>0</v>
      </c>
      <c r="BM172" s="23" t="e">
        <f t="shared" ref="BM172" si="1329">+BM222</f>
        <v>#DIV/0!</v>
      </c>
      <c r="BN172" s="23">
        <f>+'QTR Raw'!AH83</f>
        <v>0</v>
      </c>
      <c r="BO172" s="23" t="e">
        <f t="shared" ref="BO172" si="1330">+BO222</f>
        <v>#DIV/0!</v>
      </c>
      <c r="BP172" s="23">
        <f>+'QTR Raw'!AJ83</f>
        <v>0</v>
      </c>
      <c r="BQ172" s="23" t="e">
        <f t="shared" ref="BQ172" si="1331">+BQ222</f>
        <v>#DIV/0!</v>
      </c>
      <c r="BR172" s="23">
        <f>+'QTR Raw'!AL83</f>
        <v>65.364999999999995</v>
      </c>
      <c r="BS172" s="23">
        <f t="shared" ref="BS172" si="1332">+BS222</f>
        <v>93.594402034101094</v>
      </c>
      <c r="BT172" s="23">
        <f>+'QTR Raw'!AN83</f>
        <v>0</v>
      </c>
      <c r="BU172" s="23">
        <f t="shared" ref="BU172" si="1333">+BU222</f>
        <v>32.021000000000001</v>
      </c>
      <c r="BV172" s="23">
        <f>+'QTR Raw'!AP83</f>
        <v>87.108999999999995</v>
      </c>
      <c r="BW172" s="23">
        <f t="shared" ref="BW172" si="1334">+BW222</f>
        <v>124.2838774563392</v>
      </c>
      <c r="BX172" s="23">
        <f>+'QTR Raw'!AR83</f>
        <v>199.43199999999999</v>
      </c>
      <c r="BY172" s="23">
        <f t="shared" ref="BY172" si="1335">+BY222</f>
        <v>257.41926118783209</v>
      </c>
      <c r="BZ172" s="23">
        <f>+'QTR Raw'!AT83</f>
        <v>64.762</v>
      </c>
      <c r="CA172" s="23">
        <f t="shared" ref="CA172" si="1336">+CA222</f>
        <v>114.0528356323447</v>
      </c>
      <c r="CB172" s="23">
        <f>+'QTR Raw'!AV83</f>
        <v>175.21</v>
      </c>
      <c r="CC172" s="23">
        <f t="shared" ref="CC172" si="1337">+CC222</f>
        <v>233.050641211298</v>
      </c>
      <c r="CD172" s="23">
        <f>+'QTR Raw'!AX83</f>
        <v>33.113</v>
      </c>
      <c r="CE172" s="23">
        <f t="shared" ref="CE172" si="1338">+CE222</f>
        <v>99.327380315165698</v>
      </c>
      <c r="CF172" s="23">
        <f>+'QTR Raw'!AZ83</f>
        <v>118.917</v>
      </c>
      <c r="CG172" s="23">
        <f t="shared" ref="CG172:CI172" si="1339">+CG222</f>
        <v>197.92739253384804</v>
      </c>
      <c r="CH172" s="23">
        <f t="shared" si="1315"/>
        <v>44.065100000000001</v>
      </c>
      <c r="CI172" s="23">
        <f t="shared" si="1339"/>
        <v>90.375501195710882</v>
      </c>
      <c r="CJ172" s="23">
        <f>+'QTR Raw'!BD83</f>
        <v>92.191000000000003</v>
      </c>
      <c r="CK172" s="23">
        <f t="shared" ref="CK172" si="1340">+CK222</f>
        <v>212.3331873717911</v>
      </c>
      <c r="CL172" s="23">
        <f>+'QTR Raw'!BF83</f>
        <v>240.93799999999999</v>
      </c>
      <c r="CM172" s="24">
        <f t="shared" ref="CM172:DB172" si="1341">+CM222</f>
        <v>282.3174553627515</v>
      </c>
      <c r="CN172" s="24">
        <f t="shared" si="1341"/>
        <v>354.47811804750074</v>
      </c>
      <c r="CO172" s="24">
        <f t="shared" si="1341"/>
        <v>498.62840380432044</v>
      </c>
      <c r="CP172" s="24">
        <f t="shared" si="1341"/>
        <v>634.4299394387383</v>
      </c>
      <c r="CQ172" s="24">
        <f t="shared" si="1341"/>
        <v>696.15280151956904</v>
      </c>
      <c r="CR172" s="24">
        <f t="shared" si="1341"/>
        <v>801.89274498956206</v>
      </c>
      <c r="CS172" s="24">
        <f t="shared" si="1341"/>
        <v>1006.0960317381955</v>
      </c>
      <c r="CT172" s="24">
        <f t="shared" si="1341"/>
        <v>1205.6920090405561</v>
      </c>
      <c r="CU172" s="24">
        <f t="shared" si="1341"/>
        <v>1303.3733109167574</v>
      </c>
      <c r="CV172" s="24">
        <f t="shared" si="1341"/>
        <v>1460.763009753523</v>
      </c>
      <c r="CW172" s="24">
        <f t="shared" si="1341"/>
        <v>1748.6288927297862</v>
      </c>
      <c r="CX172" s="24">
        <f t="shared" si="1341"/>
        <v>2032.0957199960221</v>
      </c>
      <c r="CY172" s="24">
        <f t="shared" si="1341"/>
        <v>2183.0111209008446</v>
      </c>
      <c r="CZ172" s="24">
        <f t="shared" si="1341"/>
        <v>2413.4857549825692</v>
      </c>
      <c r="DA172" s="24">
        <f t="shared" si="1341"/>
        <v>2815.2920012900922</v>
      </c>
      <c r="DB172" s="24">
        <f t="shared" si="1341"/>
        <v>3212.8183640934185</v>
      </c>
      <c r="DE172" s="123"/>
      <c r="DF172" s="23">
        <v>240.9376</v>
      </c>
    </row>
    <row r="173" spans="1:110" s="22" customFormat="1" x14ac:dyDescent="0.2">
      <c r="A173" s="22" t="s">
        <v>77</v>
      </c>
      <c r="B173" s="22">
        <f>B171+B172</f>
        <v>0</v>
      </c>
      <c r="C173" s="22">
        <f t="shared" ref="C173:V173" si="1342">C171+C172</f>
        <v>0</v>
      </c>
      <c r="D173" s="22">
        <f t="shared" si="1342"/>
        <v>0</v>
      </c>
      <c r="E173" s="22">
        <f t="shared" si="1342"/>
        <v>0</v>
      </c>
      <c r="F173" s="22">
        <f t="shared" si="1342"/>
        <v>0</v>
      </c>
      <c r="G173" s="22">
        <f t="shared" si="1342"/>
        <v>0</v>
      </c>
      <c r="H173" s="22">
        <f t="shared" si="1342"/>
        <v>0</v>
      </c>
      <c r="I173" s="22">
        <f t="shared" si="1342"/>
        <v>0</v>
      </c>
      <c r="J173" s="22">
        <f t="shared" si="1342"/>
        <v>3.1662999999999997E-2</v>
      </c>
      <c r="K173" s="22">
        <f t="shared" si="1342"/>
        <v>3.5004993999999998</v>
      </c>
      <c r="L173" s="22">
        <f t="shared" si="1342"/>
        <v>7.5606499999999993E-2</v>
      </c>
      <c r="M173" s="22">
        <f t="shared" si="1342"/>
        <v>9.5451800000000003E-2</v>
      </c>
      <c r="N173" s="22">
        <f t="shared" si="1342"/>
        <v>0.1291727</v>
      </c>
      <c r="O173" s="22">
        <f t="shared" si="1342"/>
        <v>0.2180993</v>
      </c>
      <c r="P173" s="22">
        <f t="shared" si="1342"/>
        <v>2.9447600000000001E-2</v>
      </c>
      <c r="Q173" s="22">
        <f t="shared" si="1342"/>
        <v>0.54400000000000004</v>
      </c>
      <c r="R173" s="22">
        <f t="shared" si="1342"/>
        <v>2.6890000000000001</v>
      </c>
      <c r="S173" s="22">
        <f t="shared" si="1342"/>
        <v>50.689</v>
      </c>
      <c r="T173" s="22">
        <f t="shared" si="1342"/>
        <v>86.537999999999997</v>
      </c>
      <c r="U173" s="22">
        <f t="shared" si="1342"/>
        <v>30.129000000000001</v>
      </c>
      <c r="V173" s="22">
        <f t="shared" si="1342"/>
        <v>68.043199999999999</v>
      </c>
      <c r="W173" s="22">
        <f t="shared" ref="W173" si="1343">W171+W172</f>
        <v>87.108999999999995</v>
      </c>
      <c r="X173" s="22">
        <f t="shared" ref="X173:Y173" si="1344">X171+X172</f>
        <v>64.761700000000005</v>
      </c>
      <c r="Y173" s="22">
        <f t="shared" si="1344"/>
        <v>34.255899999999997</v>
      </c>
      <c r="Z173" s="22">
        <f t="shared" ref="Z173:AA173" si="1345">Z171+Z172</f>
        <v>45.286100000000005</v>
      </c>
      <c r="AA173" s="22">
        <f t="shared" ref="AA173" si="1346">AA171+AA172</f>
        <v>242.1361</v>
      </c>
      <c r="AB173" s="21">
        <f t="shared" ref="AB173:AD173" si="1347">AB171+AB172</f>
        <v>634.4299394387383</v>
      </c>
      <c r="AC173" s="21">
        <f t="shared" si="1347"/>
        <v>1205.6920090405561</v>
      </c>
      <c r="AD173" s="21">
        <f t="shared" si="1347"/>
        <v>2032.0957199960221</v>
      </c>
      <c r="AE173" s="21">
        <f t="shared" ref="AE173" si="1348">AE171+AE172</f>
        <v>3212.8183640934185</v>
      </c>
      <c r="AJ173" s="22">
        <f t="shared" ref="AJ173" si="1349">AJ171+AJ172</f>
        <v>0</v>
      </c>
      <c r="AK173" s="22" t="e">
        <f t="shared" ref="AK173" si="1350">AK171+AK172</f>
        <v>#DIV/0!</v>
      </c>
      <c r="AL173" s="22">
        <f t="shared" ref="AL173:AM173" si="1351">AL171+AL172</f>
        <v>0</v>
      </c>
      <c r="AM173" s="22" t="e">
        <f t="shared" si="1351"/>
        <v>#DIV/0!</v>
      </c>
      <c r="AN173" s="22">
        <f t="shared" ref="AN173:AO173" si="1352">AN171+AN172</f>
        <v>0</v>
      </c>
      <c r="AO173" s="22" t="e">
        <f t="shared" si="1352"/>
        <v>#DIV/0!</v>
      </c>
      <c r="AP173" s="22">
        <f t="shared" ref="AP173:CE173" si="1353">AP171+AP172</f>
        <v>0</v>
      </c>
      <c r="AQ173" s="22" t="e">
        <f t="shared" si="1353"/>
        <v>#DIV/0!</v>
      </c>
      <c r="AR173" s="22">
        <f t="shared" si="1353"/>
        <v>0</v>
      </c>
      <c r="AS173" s="22" t="e">
        <f t="shared" si="1353"/>
        <v>#DIV/0!</v>
      </c>
      <c r="AT173" s="22">
        <f t="shared" si="1353"/>
        <v>0</v>
      </c>
      <c r="AU173" s="22" t="e">
        <f t="shared" si="1353"/>
        <v>#DIV/0!</v>
      </c>
      <c r="AV173" s="22">
        <f t="shared" si="1353"/>
        <v>0</v>
      </c>
      <c r="AW173" s="22" t="e">
        <f t="shared" si="1353"/>
        <v>#DIV/0!</v>
      </c>
      <c r="AX173" s="22">
        <f t="shared" si="1353"/>
        <v>0</v>
      </c>
      <c r="AY173" s="22" t="e">
        <f t="shared" si="1353"/>
        <v>#DIV/0!</v>
      </c>
      <c r="AZ173" s="22">
        <f t="shared" si="1353"/>
        <v>0</v>
      </c>
      <c r="BA173" s="22" t="e">
        <f t="shared" si="1353"/>
        <v>#DIV/0!</v>
      </c>
      <c r="BB173" s="22">
        <f t="shared" si="1353"/>
        <v>0</v>
      </c>
      <c r="BC173" s="22" t="e">
        <f t="shared" si="1353"/>
        <v>#DIV/0!</v>
      </c>
      <c r="BD173" s="22">
        <f t="shared" si="1353"/>
        <v>0</v>
      </c>
      <c r="BE173" s="22" t="e">
        <f t="shared" si="1353"/>
        <v>#DIV/0!</v>
      </c>
      <c r="BF173" s="22">
        <f t="shared" si="1353"/>
        <v>0</v>
      </c>
      <c r="BG173" s="22" t="e">
        <f t="shared" si="1353"/>
        <v>#DIV/0!</v>
      </c>
      <c r="BH173" s="22">
        <f t="shared" si="1353"/>
        <v>0</v>
      </c>
      <c r="BI173" s="22" t="e">
        <f t="shared" si="1353"/>
        <v>#DIV/0!</v>
      </c>
      <c r="BJ173" s="22">
        <f t="shared" si="1353"/>
        <v>0</v>
      </c>
      <c r="BK173" s="22" t="e">
        <f t="shared" si="1353"/>
        <v>#DIV/0!</v>
      </c>
      <c r="BL173" s="22">
        <f t="shared" si="1353"/>
        <v>0</v>
      </c>
      <c r="BM173" s="22" t="e">
        <f t="shared" si="1353"/>
        <v>#DIV/0!</v>
      </c>
      <c r="BN173" s="22">
        <f t="shared" si="1353"/>
        <v>0</v>
      </c>
      <c r="BO173" s="22" t="e">
        <f t="shared" si="1353"/>
        <v>#DIV/0!</v>
      </c>
      <c r="BP173" s="22">
        <f t="shared" si="1353"/>
        <v>0</v>
      </c>
      <c r="BQ173" s="22" t="e">
        <f t="shared" si="1353"/>
        <v>#DIV/0!</v>
      </c>
      <c r="BR173" s="22">
        <f t="shared" si="1353"/>
        <v>68.042999999999992</v>
      </c>
      <c r="BS173" s="22">
        <f t="shared" si="1353"/>
        <v>93.594402034101094</v>
      </c>
      <c r="BT173" s="22">
        <f t="shared" si="1353"/>
        <v>0</v>
      </c>
      <c r="BU173" s="22">
        <f t="shared" si="1353"/>
        <v>32.021000000000001</v>
      </c>
      <c r="BV173" s="22">
        <f t="shared" si="1353"/>
        <v>87.108999999999995</v>
      </c>
      <c r="BW173" s="22">
        <f t="shared" si="1353"/>
        <v>124.2838774563392</v>
      </c>
      <c r="BX173" s="22">
        <f t="shared" si="1353"/>
        <v>214.48299999999998</v>
      </c>
      <c r="BY173" s="22">
        <f t="shared" si="1353"/>
        <v>257.41926118783209</v>
      </c>
      <c r="BZ173" s="22">
        <f t="shared" si="1353"/>
        <v>64.762</v>
      </c>
      <c r="CA173" s="22">
        <f t="shared" si="1353"/>
        <v>114.0528356323447</v>
      </c>
      <c r="CB173" s="22">
        <f t="shared" si="1353"/>
        <v>175.21</v>
      </c>
      <c r="CC173" s="22">
        <f t="shared" si="1353"/>
        <v>233.050641211298</v>
      </c>
      <c r="CD173" s="22">
        <f t="shared" si="1353"/>
        <v>34.256</v>
      </c>
      <c r="CE173" s="22">
        <f t="shared" si="1353"/>
        <v>99.327380315165698</v>
      </c>
      <c r="CF173" s="22">
        <f t="shared" ref="CF173:CG173" si="1354">CF171+CF172</f>
        <v>120.095</v>
      </c>
      <c r="CG173" s="22">
        <f t="shared" si="1354"/>
        <v>197.92739253384804</v>
      </c>
      <c r="CH173" s="22">
        <f t="shared" ref="CH173:CI173" si="1355">CH171+CH172</f>
        <v>45.286100000000005</v>
      </c>
      <c r="CI173" s="22">
        <f t="shared" si="1355"/>
        <v>90.375501195710882</v>
      </c>
      <c r="CJ173" s="22">
        <f t="shared" ref="CJ173:DB173" si="1356">CJ171+CJ172</f>
        <v>93.52</v>
      </c>
      <c r="CK173" s="22">
        <f t="shared" ref="CK173:CL173" si="1357">CK171+CK172</f>
        <v>212.3331873717911</v>
      </c>
      <c r="CL173" s="22">
        <f t="shared" si="1357"/>
        <v>242.136</v>
      </c>
      <c r="CM173" s="21">
        <f t="shared" si="1356"/>
        <v>282.3174553627515</v>
      </c>
      <c r="CN173" s="21">
        <f t="shared" si="1356"/>
        <v>354.47811804750074</v>
      </c>
      <c r="CO173" s="21">
        <f t="shared" si="1356"/>
        <v>498.62840380432044</v>
      </c>
      <c r="CP173" s="21">
        <f t="shared" si="1356"/>
        <v>634.4299394387383</v>
      </c>
      <c r="CQ173" s="21">
        <f t="shared" si="1356"/>
        <v>696.15280151956904</v>
      </c>
      <c r="CR173" s="21">
        <f t="shared" si="1356"/>
        <v>801.89274498956206</v>
      </c>
      <c r="CS173" s="21">
        <f t="shared" si="1356"/>
        <v>1006.0960317381955</v>
      </c>
      <c r="CT173" s="21">
        <f t="shared" si="1356"/>
        <v>1205.6920090405561</v>
      </c>
      <c r="CU173" s="21">
        <f t="shared" si="1356"/>
        <v>1303.3733109167574</v>
      </c>
      <c r="CV173" s="21">
        <f t="shared" si="1356"/>
        <v>1460.763009753523</v>
      </c>
      <c r="CW173" s="21">
        <f t="shared" si="1356"/>
        <v>1748.6288927297862</v>
      </c>
      <c r="CX173" s="21">
        <f t="shared" si="1356"/>
        <v>2032.0957199960221</v>
      </c>
      <c r="CY173" s="21">
        <f t="shared" si="1356"/>
        <v>2183.0111209008446</v>
      </c>
      <c r="CZ173" s="21">
        <f t="shared" si="1356"/>
        <v>2413.4857549825692</v>
      </c>
      <c r="DA173" s="21">
        <f t="shared" si="1356"/>
        <v>2815.2920012900922</v>
      </c>
      <c r="DB173" s="21">
        <f t="shared" si="1356"/>
        <v>3212.8183640934185</v>
      </c>
      <c r="DE173" s="126"/>
      <c r="DF173" s="22">
        <v>242.1361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x14ac:dyDescent="0.2">
      <c r="A175" s="23" t="s">
        <v>78</v>
      </c>
      <c r="B175" s="23">
        <f>-'Annual Raw'!C49</f>
        <v>0</v>
      </c>
      <c r="C175" s="23">
        <f>-'Annual Raw'!D49</f>
        <v>0</v>
      </c>
      <c r="D175" s="23">
        <f>-'Annual Raw'!E49</f>
        <v>0</v>
      </c>
      <c r="E175" s="23">
        <f>-'Annual Raw'!F49</f>
        <v>0</v>
      </c>
      <c r="F175" s="23">
        <f>-'Annual Raw'!G49</f>
        <v>0</v>
      </c>
      <c r="G175" s="23">
        <f>-'Annual Raw'!H49</f>
        <v>0</v>
      </c>
      <c r="H175" s="23">
        <f>-'Annual Raw'!I49</f>
        <v>0</v>
      </c>
      <c r="I175" s="23">
        <f>-'Annual Raw'!J49</f>
        <v>0</v>
      </c>
      <c r="J175" s="23">
        <f>-'Annual Raw'!K49</f>
        <v>0.1157439</v>
      </c>
      <c r="K175" s="23">
        <f>-'Annual Raw'!L49</f>
        <v>0.1157439</v>
      </c>
      <c r="L175" s="23">
        <f>-'Annual Raw'!M49</f>
        <v>0.1052217</v>
      </c>
      <c r="M175" s="23">
        <f>-'Annual Raw'!N49</f>
        <v>0.1052217</v>
      </c>
      <c r="N175" s="23">
        <f>-'Annual Raw'!O49</f>
        <v>0.1052217</v>
      </c>
      <c r="O175" s="23">
        <f>-'Annual Raw'!P49</f>
        <v>9.8774299999999995E-2</v>
      </c>
      <c r="P175" s="23">
        <f>-'Annual Raw'!Q49</f>
        <v>0</v>
      </c>
      <c r="Q175" s="23">
        <f>-'Annual Raw'!R49</f>
        <v>0</v>
      </c>
      <c r="R175" s="23">
        <f>-'Annual Raw'!S49</f>
        <v>0.39200000000000002</v>
      </c>
      <c r="S175" s="23">
        <f>-'Annual Raw'!T49</f>
        <v>-7.6230000000000002</v>
      </c>
      <c r="T175" s="23">
        <f>-'Annual Raw'!U49</f>
        <v>4.6479999999999997</v>
      </c>
      <c r="U175" s="23">
        <f>-'Annual Raw'!V49</f>
        <v>5.1150000000000002</v>
      </c>
      <c r="V175" s="23">
        <f>-'Annual Raw'!W49</f>
        <v>4.1520000000000001</v>
      </c>
      <c r="W175" s="23">
        <f>-'Annual Raw'!X49</f>
        <v>3.8069999999999999</v>
      </c>
      <c r="X175" s="23">
        <f>-'Annual Raw'!Y49</f>
        <v>0.47560000000000002</v>
      </c>
      <c r="Y175" s="23">
        <f>-'Annual Raw'!Z49</f>
        <v>-3.1036000000000001</v>
      </c>
      <c r="Z175" s="23">
        <f>-'Annual Raw'!AA49</f>
        <v>-5.9592999999999998</v>
      </c>
      <c r="AA175" s="23">
        <f>-'Annual Raw'!AB49</f>
        <v>-21.018999999999998</v>
      </c>
      <c r="AB175" s="24">
        <f t="shared" ref="AB175:AB176" si="1358">+CP175</f>
        <v>-21.018999999999998</v>
      </c>
      <c r="AC175" s="24">
        <f t="shared" ref="AC175:AC176" si="1359">+CT175</f>
        <v>-21.018999999999998</v>
      </c>
      <c r="AD175" s="24">
        <f t="shared" ref="AD175:AD176" si="1360">+CX175</f>
        <v>-21.018999999999998</v>
      </c>
      <c r="AE175" s="24">
        <f t="shared" ref="AE175:AE176" si="1361">+DB175</f>
        <v>-21.018999999999998</v>
      </c>
      <c r="AJ175" s="23">
        <f>+'QTR Raw'!D96</f>
        <v>0</v>
      </c>
      <c r="AK175" s="23">
        <f t="shared" ref="AK175:CE175" si="1362">+AJ175</f>
        <v>0</v>
      </c>
      <c r="AL175" s="23">
        <f>+'QTR Raw'!F96</f>
        <v>0</v>
      </c>
      <c r="AM175" s="23">
        <f t="shared" si="1362"/>
        <v>0</v>
      </c>
      <c r="AN175" s="23">
        <f>+'QTR Raw'!H96</f>
        <v>0</v>
      </c>
      <c r="AO175" s="23">
        <f t="shared" si="1362"/>
        <v>0</v>
      </c>
      <c r="AP175" s="23">
        <f>+'QTR Raw'!J96</f>
        <v>0</v>
      </c>
      <c r="AQ175" s="23">
        <f t="shared" si="1362"/>
        <v>0</v>
      </c>
      <c r="AR175" s="23">
        <f>+'QTR Raw'!L96</f>
        <v>0</v>
      </c>
      <c r="AS175" s="23">
        <f t="shared" si="1362"/>
        <v>0</v>
      </c>
      <c r="AT175" s="23">
        <f>+'QTR Raw'!N96</f>
        <v>0</v>
      </c>
      <c r="AU175" s="23">
        <f t="shared" si="1362"/>
        <v>0</v>
      </c>
      <c r="AV175" s="23">
        <f>+'QTR Raw'!P96</f>
        <v>0</v>
      </c>
      <c r="AW175" s="23">
        <f t="shared" si="1362"/>
        <v>0</v>
      </c>
      <c r="AX175" s="23">
        <f>+'QTR Raw'!R96</f>
        <v>0</v>
      </c>
      <c r="AY175" s="23">
        <f t="shared" si="1362"/>
        <v>0</v>
      </c>
      <c r="AZ175" s="23">
        <f>+'QTR Raw'!T96</f>
        <v>0</v>
      </c>
      <c r="BA175" s="23">
        <f t="shared" si="1362"/>
        <v>0</v>
      </c>
      <c r="BB175" s="23">
        <f>+'QTR Raw'!V96</f>
        <v>0</v>
      </c>
      <c r="BC175" s="23">
        <f t="shared" si="1362"/>
        <v>0</v>
      </c>
      <c r="BD175" s="23">
        <f>+'QTR Raw'!X96</f>
        <v>0</v>
      </c>
      <c r="BE175" s="23">
        <f t="shared" si="1362"/>
        <v>0</v>
      </c>
      <c r="BF175" s="23">
        <f>+'QTR Raw'!Z96</f>
        <v>0</v>
      </c>
      <c r="BG175" s="23">
        <f t="shared" si="1362"/>
        <v>0</v>
      </c>
      <c r="BH175" s="23">
        <f>+'QTR Raw'!AB96</f>
        <v>0</v>
      </c>
      <c r="BI175" s="23">
        <f t="shared" si="1362"/>
        <v>0</v>
      </c>
      <c r="BJ175" s="23">
        <f>+'QTR Raw'!AD96</f>
        <v>0</v>
      </c>
      <c r="BK175" s="23">
        <f t="shared" si="1362"/>
        <v>0</v>
      </c>
      <c r="BL175" s="23">
        <f>+'QTR Raw'!AF96</f>
        <v>0</v>
      </c>
      <c r="BM175" s="23">
        <f t="shared" si="1362"/>
        <v>0</v>
      </c>
      <c r="BN175" s="23">
        <f>+'QTR Raw'!AH96</f>
        <v>0</v>
      </c>
      <c r="BO175" s="23">
        <f t="shared" si="1362"/>
        <v>0</v>
      </c>
      <c r="BP175" s="23">
        <f>+'QTR Raw'!AJ96</f>
        <v>0</v>
      </c>
      <c r="BQ175" s="23">
        <f t="shared" si="1362"/>
        <v>0</v>
      </c>
      <c r="BR175" s="23">
        <f>+'QTR Raw'!AL96</f>
        <v>4.1520000000000001</v>
      </c>
      <c r="BS175" s="23">
        <f t="shared" si="1362"/>
        <v>4.1520000000000001</v>
      </c>
      <c r="BT175" s="23">
        <f>+'QTR Raw'!AN96</f>
        <v>0</v>
      </c>
      <c r="BU175" s="23">
        <f t="shared" si="1362"/>
        <v>0</v>
      </c>
      <c r="BV175" s="23">
        <f>+'QTR Raw'!AP96</f>
        <v>3.8069999999999999</v>
      </c>
      <c r="BW175" s="23">
        <f t="shared" si="1362"/>
        <v>3.8069999999999999</v>
      </c>
      <c r="BX175" s="23">
        <f>+'QTR Raw'!AR96</f>
        <v>3.8610000000000002</v>
      </c>
      <c r="BY175" s="23">
        <f t="shared" si="1362"/>
        <v>3.8610000000000002</v>
      </c>
      <c r="BZ175" s="23">
        <f>+'QTR Raw'!AT96</f>
        <v>0.47599999999999998</v>
      </c>
      <c r="CA175" s="23">
        <f t="shared" si="1362"/>
        <v>0.47599999999999998</v>
      </c>
      <c r="CB175" s="23">
        <f>+'QTR Raw'!AV96</f>
        <v>0.2</v>
      </c>
      <c r="CC175" s="23">
        <f t="shared" si="1362"/>
        <v>0.2</v>
      </c>
      <c r="CD175" s="23">
        <f>+'QTR Raw'!AX96</f>
        <v>-3.1040000000000001</v>
      </c>
      <c r="CE175" s="23">
        <f t="shared" si="1362"/>
        <v>-3.1040000000000001</v>
      </c>
      <c r="CF175" s="23">
        <f>+'QTR Raw'!AZ96</f>
        <v>-1.8380000000000001</v>
      </c>
      <c r="CG175" s="23">
        <f t="shared" ref="CG175:CI176" si="1363">+CF175</f>
        <v>-1.8380000000000001</v>
      </c>
      <c r="CH175" s="23">
        <f t="shared" ref="CH175:CH176" si="1364">Z175</f>
        <v>-5.9592999999999998</v>
      </c>
      <c r="CI175" s="23">
        <f t="shared" si="1363"/>
        <v>-5.9592999999999998</v>
      </c>
      <c r="CJ175" s="23">
        <f>+'QTR Raw'!BD96</f>
        <v>-6.0469999999999997</v>
      </c>
      <c r="CK175" s="23">
        <f t="shared" ref="CK175:CM176" si="1365">+CJ175</f>
        <v>-6.0469999999999997</v>
      </c>
      <c r="CL175" s="23">
        <f>+'QTR Raw'!BF96</f>
        <v>-21.018999999999998</v>
      </c>
      <c r="CM175" s="24">
        <f t="shared" si="1365"/>
        <v>-21.018999999999998</v>
      </c>
      <c r="CN175" s="24">
        <f t="shared" ref="CN175:CN176" si="1366">+CM175</f>
        <v>-21.018999999999998</v>
      </c>
      <c r="CO175" s="24">
        <f t="shared" ref="CO175:CO176" si="1367">+CN175</f>
        <v>-21.018999999999998</v>
      </c>
      <c r="CP175" s="24">
        <f t="shared" ref="CP175:CP176" si="1368">+CO175</f>
        <v>-21.018999999999998</v>
      </c>
      <c r="CQ175" s="24">
        <f t="shared" ref="CQ175:CQ176" si="1369">+CP175</f>
        <v>-21.018999999999998</v>
      </c>
      <c r="CR175" s="24">
        <f t="shared" ref="CR175:CR176" si="1370">+CQ175</f>
        <v>-21.018999999999998</v>
      </c>
      <c r="CS175" s="24">
        <f t="shared" ref="CS175:CS176" si="1371">+CR175</f>
        <v>-21.018999999999998</v>
      </c>
      <c r="CT175" s="24">
        <f t="shared" ref="CT175:CT176" si="1372">+CS175</f>
        <v>-21.018999999999998</v>
      </c>
      <c r="CU175" s="24">
        <f t="shared" ref="CU175:CU176" si="1373">+CT175</f>
        <v>-21.018999999999998</v>
      </c>
      <c r="CV175" s="24">
        <f t="shared" ref="CV175:CV176" si="1374">+CU175</f>
        <v>-21.018999999999998</v>
      </c>
      <c r="CW175" s="24">
        <f t="shared" ref="CW175:CW176" si="1375">+CV175</f>
        <v>-21.018999999999998</v>
      </c>
      <c r="CX175" s="24">
        <f t="shared" ref="CX175:CX176" si="1376">+CW175</f>
        <v>-21.018999999999998</v>
      </c>
      <c r="CY175" s="24">
        <f t="shared" ref="CY175:CY176" si="1377">+CX175</f>
        <v>-21.018999999999998</v>
      </c>
      <c r="CZ175" s="24">
        <f t="shared" ref="CZ175:CZ176" si="1378">+CY175</f>
        <v>-21.018999999999998</v>
      </c>
      <c r="DA175" s="24">
        <f t="shared" ref="DA175:DA176" si="1379">+CZ175</f>
        <v>-21.018999999999998</v>
      </c>
      <c r="DB175" s="24">
        <f t="shared" ref="DB175:DB176" si="1380">+DA175</f>
        <v>-21.018999999999998</v>
      </c>
      <c r="DE175" s="123"/>
      <c r="DF175" s="23">
        <v>-21.018999999999998</v>
      </c>
    </row>
    <row r="176" spans="1:110" s="23" customFormat="1" x14ac:dyDescent="0.2">
      <c r="A176" s="23" t="s">
        <v>79</v>
      </c>
      <c r="B176" s="23">
        <f>'Annual Raw'!C83</f>
        <v>0</v>
      </c>
      <c r="C176" s="23">
        <f>'Annual Raw'!D83</f>
        <v>0</v>
      </c>
      <c r="D176" s="23">
        <f>'Annual Raw'!E83</f>
        <v>0</v>
      </c>
      <c r="E176" s="23">
        <f>'Annual Raw'!F83</f>
        <v>0</v>
      </c>
      <c r="F176" s="23">
        <f>'Annual Raw'!G83</f>
        <v>0</v>
      </c>
      <c r="G176" s="23">
        <f>'Annual Raw'!H83</f>
        <v>0</v>
      </c>
      <c r="H176" s="23">
        <f>'Annual Raw'!I83</f>
        <v>0</v>
      </c>
      <c r="I176" s="23">
        <f>'Annual Raw'!J83</f>
        <v>0</v>
      </c>
      <c r="J176" s="23">
        <f>'Annual Raw'!K83</f>
        <v>0</v>
      </c>
      <c r="K176" s="23">
        <f>'Annual Raw'!L83</f>
        <v>0</v>
      </c>
      <c r="L176" s="23">
        <f>'Annual Raw'!M83</f>
        <v>0</v>
      </c>
      <c r="M176" s="23">
        <f>'Annual Raw'!N83</f>
        <v>0</v>
      </c>
      <c r="N176" s="23">
        <f>'Annual Raw'!O83</f>
        <v>0</v>
      </c>
      <c r="O176" s="23">
        <f>'Annual Raw'!P83</f>
        <v>0</v>
      </c>
      <c r="P176" s="23">
        <f>'Annual Raw'!Q83</f>
        <v>0</v>
      </c>
      <c r="Q176" s="23">
        <f>'Annual Raw'!R83</f>
        <v>0</v>
      </c>
      <c r="R176" s="23">
        <f>'Annual Raw'!S83</f>
        <v>0</v>
      </c>
      <c r="S176" s="23">
        <f>'Annual Raw'!T83</f>
        <v>0</v>
      </c>
      <c r="T176" s="23">
        <f>'Annual Raw'!U83</f>
        <v>0</v>
      </c>
      <c r="U176" s="23">
        <f>'Annual Raw'!V83</f>
        <v>0</v>
      </c>
      <c r="V176" s="23">
        <f>'Annual Raw'!W83</f>
        <v>0</v>
      </c>
      <c r="W176" s="23">
        <f>'Annual Raw'!X83</f>
        <v>0</v>
      </c>
      <c r="X176" s="23">
        <f>'Annual Raw'!Y83</f>
        <v>0</v>
      </c>
      <c r="Y176" s="23">
        <f>'Annual Raw'!Z83</f>
        <v>0</v>
      </c>
      <c r="Z176" s="23">
        <f>'Annual Raw'!AA83</f>
        <v>0</v>
      </c>
      <c r="AA176" s="23">
        <f>'Annual Raw'!AB83</f>
        <v>0</v>
      </c>
      <c r="AB176" s="24">
        <f t="shared" si="1358"/>
        <v>0</v>
      </c>
      <c r="AC176" s="24">
        <f t="shared" si="1359"/>
        <v>0</v>
      </c>
      <c r="AD176" s="24">
        <f t="shared" si="1360"/>
        <v>0</v>
      </c>
      <c r="AE176" s="24">
        <f t="shared" si="1361"/>
        <v>0</v>
      </c>
      <c r="AJ176" s="23">
        <f>+'QTR Raw'!D95</f>
        <v>0</v>
      </c>
      <c r="AK176" s="23">
        <f t="shared" ref="AK176:CE176" si="1381">+AJ176</f>
        <v>0</v>
      </c>
      <c r="AL176" s="23">
        <f>+'QTR Raw'!F95</f>
        <v>0</v>
      </c>
      <c r="AM176" s="23">
        <f t="shared" si="1381"/>
        <v>0</v>
      </c>
      <c r="AN176" s="23">
        <f>+'QTR Raw'!H95</f>
        <v>0</v>
      </c>
      <c r="AO176" s="23">
        <f t="shared" si="1381"/>
        <v>0</v>
      </c>
      <c r="AP176" s="23">
        <f>+'QTR Raw'!J95</f>
        <v>0</v>
      </c>
      <c r="AQ176" s="23">
        <f t="shared" si="1381"/>
        <v>0</v>
      </c>
      <c r="AR176" s="23">
        <f>+'QTR Raw'!L95</f>
        <v>0</v>
      </c>
      <c r="AS176" s="23">
        <f t="shared" si="1381"/>
        <v>0</v>
      </c>
      <c r="AT176" s="23">
        <f>+'QTR Raw'!N95</f>
        <v>0</v>
      </c>
      <c r="AU176" s="23">
        <f t="shared" si="1381"/>
        <v>0</v>
      </c>
      <c r="AV176" s="23">
        <f>+'QTR Raw'!P95</f>
        <v>0</v>
      </c>
      <c r="AW176" s="23">
        <f t="shared" si="1381"/>
        <v>0</v>
      </c>
      <c r="AX176" s="23">
        <f>+'QTR Raw'!R95</f>
        <v>0</v>
      </c>
      <c r="AY176" s="23">
        <f t="shared" si="1381"/>
        <v>0</v>
      </c>
      <c r="AZ176" s="23">
        <f>+'QTR Raw'!T95</f>
        <v>0</v>
      </c>
      <c r="BA176" s="23">
        <f t="shared" si="1381"/>
        <v>0</v>
      </c>
      <c r="BB176" s="23">
        <f>+'QTR Raw'!V95</f>
        <v>0</v>
      </c>
      <c r="BC176" s="23">
        <f t="shared" si="1381"/>
        <v>0</v>
      </c>
      <c r="BD176" s="23">
        <f>+'QTR Raw'!X95</f>
        <v>0</v>
      </c>
      <c r="BE176" s="23">
        <f t="shared" si="1381"/>
        <v>0</v>
      </c>
      <c r="BF176" s="23">
        <f>+'QTR Raw'!Z95</f>
        <v>0</v>
      </c>
      <c r="BG176" s="23">
        <f t="shared" si="1381"/>
        <v>0</v>
      </c>
      <c r="BH176" s="23">
        <f>+'QTR Raw'!AB95</f>
        <v>0</v>
      </c>
      <c r="BI176" s="23">
        <f t="shared" si="1381"/>
        <v>0</v>
      </c>
      <c r="BJ176" s="23">
        <f>+'QTR Raw'!AD95</f>
        <v>0</v>
      </c>
      <c r="BK176" s="23">
        <f t="shared" si="1381"/>
        <v>0</v>
      </c>
      <c r="BL176" s="23">
        <f>+'QTR Raw'!AF95</f>
        <v>0</v>
      </c>
      <c r="BM176" s="23">
        <f t="shared" si="1381"/>
        <v>0</v>
      </c>
      <c r="BN176" s="23">
        <f>+'QTR Raw'!AH95</f>
        <v>0</v>
      </c>
      <c r="BO176" s="23">
        <f t="shared" si="1381"/>
        <v>0</v>
      </c>
      <c r="BP176" s="23">
        <f>+'QTR Raw'!AJ95</f>
        <v>0</v>
      </c>
      <c r="BQ176" s="23">
        <f t="shared" si="1381"/>
        <v>0</v>
      </c>
      <c r="BR176" s="23">
        <f>+'QTR Raw'!AL95</f>
        <v>0</v>
      </c>
      <c r="BS176" s="23">
        <f t="shared" si="1381"/>
        <v>0</v>
      </c>
      <c r="BT176" s="23">
        <f>+'QTR Raw'!AN95</f>
        <v>0</v>
      </c>
      <c r="BU176" s="23">
        <f t="shared" si="1381"/>
        <v>0</v>
      </c>
      <c r="BV176" s="23">
        <f>+'QTR Raw'!AP95</f>
        <v>0</v>
      </c>
      <c r="BW176" s="23">
        <f t="shared" si="1381"/>
        <v>0</v>
      </c>
      <c r="BX176" s="23">
        <f>+'QTR Raw'!AR95</f>
        <v>0</v>
      </c>
      <c r="BY176" s="23">
        <f t="shared" si="1381"/>
        <v>0</v>
      </c>
      <c r="BZ176" s="23">
        <f>+'QTR Raw'!AT95</f>
        <v>0</v>
      </c>
      <c r="CA176" s="23">
        <f t="shared" si="1381"/>
        <v>0</v>
      </c>
      <c r="CB176" s="23">
        <f>+'QTR Raw'!AV95</f>
        <v>0</v>
      </c>
      <c r="CC176" s="23">
        <f t="shared" si="1381"/>
        <v>0</v>
      </c>
      <c r="CD176" s="23">
        <f>+'QTR Raw'!AX95</f>
        <v>0</v>
      </c>
      <c r="CE176" s="23">
        <f t="shared" si="1381"/>
        <v>0</v>
      </c>
      <c r="CF176" s="23">
        <f>+'QTR Raw'!AZ95</f>
        <v>0</v>
      </c>
      <c r="CG176" s="23">
        <f t="shared" si="1363"/>
        <v>0</v>
      </c>
      <c r="CH176" s="23">
        <f t="shared" si="1364"/>
        <v>0</v>
      </c>
      <c r="CI176" s="23">
        <f t="shared" si="1363"/>
        <v>0</v>
      </c>
      <c r="CJ176" s="23">
        <f>+'QTR Raw'!BD95</f>
        <v>0</v>
      </c>
      <c r="CK176" s="23">
        <f t="shared" si="1365"/>
        <v>0</v>
      </c>
      <c r="CL176" s="23">
        <f>+'QTR Raw'!BF95</f>
        <v>0</v>
      </c>
      <c r="CM176" s="24">
        <f t="shared" si="1365"/>
        <v>0</v>
      </c>
      <c r="CN176" s="24">
        <f t="shared" si="1366"/>
        <v>0</v>
      </c>
      <c r="CO176" s="24">
        <f t="shared" si="1367"/>
        <v>0</v>
      </c>
      <c r="CP176" s="24">
        <f t="shared" si="1368"/>
        <v>0</v>
      </c>
      <c r="CQ176" s="24">
        <f t="shared" si="1369"/>
        <v>0</v>
      </c>
      <c r="CR176" s="24">
        <f t="shared" si="1370"/>
        <v>0</v>
      </c>
      <c r="CS176" s="24">
        <f t="shared" si="1371"/>
        <v>0</v>
      </c>
      <c r="CT176" s="24">
        <f t="shared" si="1372"/>
        <v>0</v>
      </c>
      <c r="CU176" s="24">
        <f t="shared" si="1373"/>
        <v>0</v>
      </c>
      <c r="CV176" s="24">
        <f t="shared" si="1374"/>
        <v>0</v>
      </c>
      <c r="CW176" s="24">
        <f t="shared" si="1375"/>
        <v>0</v>
      </c>
      <c r="CX176" s="24">
        <f t="shared" si="1376"/>
        <v>0</v>
      </c>
      <c r="CY176" s="24">
        <f t="shared" si="1377"/>
        <v>0</v>
      </c>
      <c r="CZ176" s="24">
        <f t="shared" si="1378"/>
        <v>0</v>
      </c>
      <c r="DA176" s="24">
        <f t="shared" si="1379"/>
        <v>0</v>
      </c>
      <c r="DB176" s="24">
        <f t="shared" si="1380"/>
        <v>0</v>
      </c>
      <c r="DE176" s="123"/>
      <c r="DF176" s="23">
        <v>0</v>
      </c>
    </row>
    <row r="177" spans="1:110" s="26" customFormat="1" x14ac:dyDescent="0.2">
      <c r="A177" s="26" t="s">
        <v>438</v>
      </c>
      <c r="B177" s="26">
        <f t="shared" ref="B177:W177" si="1382">B175+B173+B169+B152+B150+B176</f>
        <v>0</v>
      </c>
      <c r="C177" s="26">
        <f t="shared" si="1382"/>
        <v>0</v>
      </c>
      <c r="D177" s="26">
        <f t="shared" si="1382"/>
        <v>0</v>
      </c>
      <c r="E177" s="26">
        <f t="shared" si="1382"/>
        <v>0</v>
      </c>
      <c r="F177" s="26">
        <f t="shared" si="1382"/>
        <v>0</v>
      </c>
      <c r="G177" s="26">
        <f t="shared" si="1382"/>
        <v>0</v>
      </c>
      <c r="H177" s="26">
        <f t="shared" si="1382"/>
        <v>0</v>
      </c>
      <c r="I177" s="26">
        <f t="shared" si="1382"/>
        <v>0</v>
      </c>
      <c r="J177" s="26">
        <f t="shared" si="1382"/>
        <v>5.0979256999999993</v>
      </c>
      <c r="K177" s="26">
        <f t="shared" si="1382"/>
        <v>5.2870421999999992</v>
      </c>
      <c r="L177" s="26">
        <f t="shared" si="1382"/>
        <v>5.8079336999999995</v>
      </c>
      <c r="M177" s="26">
        <f t="shared" si="1382"/>
        <v>5.9150752999999998</v>
      </c>
      <c r="N177" s="26">
        <f t="shared" si="1382"/>
        <v>6.0576746000000004</v>
      </c>
      <c r="O177" s="26">
        <f t="shared" si="1382"/>
        <v>6.3442319000000005</v>
      </c>
      <c r="P177" s="26">
        <f t="shared" si="1382"/>
        <v>6.3168400000000009</v>
      </c>
      <c r="Q177" s="26">
        <f t="shared" si="1382"/>
        <v>6.4359999999999999</v>
      </c>
      <c r="R177" s="26">
        <f t="shared" si="1382"/>
        <v>38.706000000000003</v>
      </c>
      <c r="S177" s="26">
        <f t="shared" si="1382"/>
        <v>78.848000000000013</v>
      </c>
      <c r="T177" s="26">
        <f t="shared" si="1382"/>
        <v>137.07</v>
      </c>
      <c r="U177" s="26">
        <f t="shared" si="1382"/>
        <v>238.83800000000002</v>
      </c>
      <c r="V177" s="26">
        <f t="shared" si="1382"/>
        <v>286.53460000000001</v>
      </c>
      <c r="W177" s="26">
        <f t="shared" si="1382"/>
        <v>380.28749999999991</v>
      </c>
      <c r="X177" s="26">
        <f t="shared" ref="X177:Y177" si="1383">X175+X173+X169+X152+X150+X176</f>
        <v>496.91009999999994</v>
      </c>
      <c r="Y177" s="26">
        <f t="shared" si="1383"/>
        <v>670.0397999999999</v>
      </c>
      <c r="Z177" s="26">
        <f t="shared" ref="Z177:AA177" si="1384">Z175+Z173+Z169+Z152+Z150+Z176</f>
        <v>709.4769</v>
      </c>
      <c r="AA177" s="26">
        <f t="shared" ref="AA177" si="1385">AA175+AA173+AA169+AA152+AA150+AA176</f>
        <v>1028.875</v>
      </c>
      <c r="AB177" s="27">
        <f t="shared" ref="AB177:AD177" si="1386">AB175+AB173+AB169+AB152+AB150+AB176</f>
        <v>1509.834576477605</v>
      </c>
      <c r="AC177" s="27">
        <f t="shared" si="1386"/>
        <v>2216.8608317186845</v>
      </c>
      <c r="AD177" s="27">
        <f t="shared" si="1386"/>
        <v>3234.5644404337067</v>
      </c>
      <c r="AE177" s="27">
        <f t="shared" ref="AE177" si="1387">AE175+AE173+AE169+AE152+AE150+AE176</f>
        <v>4674.6717501988887</v>
      </c>
      <c r="AJ177" s="26">
        <f t="shared" ref="AJ177" si="1388">AJ175+AJ173+AJ169+AJ152+AJ150+AJ176</f>
        <v>0</v>
      </c>
      <c r="AK177" s="26" t="e">
        <f t="shared" ref="AK177:AL177" si="1389">AK175+AK173+AK169+AK152+AK150+AK176</f>
        <v>#DIV/0!</v>
      </c>
      <c r="AL177" s="26">
        <f t="shared" si="1389"/>
        <v>0</v>
      </c>
      <c r="AM177" s="26" t="e">
        <f t="shared" ref="AM177:AO177" si="1390">AM175+AM173+AM169+AM152+AM150+AM176</f>
        <v>#DIV/0!</v>
      </c>
      <c r="AN177" s="26">
        <f t="shared" si="1390"/>
        <v>0</v>
      </c>
      <c r="AO177" s="26" t="e">
        <f t="shared" si="1390"/>
        <v>#DIV/0!</v>
      </c>
      <c r="AP177" s="26">
        <f t="shared" ref="AP177:CE177" si="1391">AP175+AP173+AP169+AP152+AP150+AP176</f>
        <v>0</v>
      </c>
      <c r="AQ177" s="26" t="e">
        <f t="shared" si="1391"/>
        <v>#DIV/0!</v>
      </c>
      <c r="AR177" s="26">
        <f t="shared" si="1391"/>
        <v>0</v>
      </c>
      <c r="AS177" s="26" t="e">
        <f t="shared" si="1391"/>
        <v>#DIV/0!</v>
      </c>
      <c r="AT177" s="26">
        <f t="shared" si="1391"/>
        <v>0</v>
      </c>
      <c r="AU177" s="26" t="e">
        <f t="shared" si="1391"/>
        <v>#DIV/0!</v>
      </c>
      <c r="AV177" s="26">
        <f t="shared" si="1391"/>
        <v>0</v>
      </c>
      <c r="AW177" s="26" t="e">
        <f t="shared" si="1391"/>
        <v>#DIV/0!</v>
      </c>
      <c r="AX177" s="26">
        <f t="shared" si="1391"/>
        <v>0</v>
      </c>
      <c r="AY177" s="26" t="e">
        <f t="shared" si="1391"/>
        <v>#DIV/0!</v>
      </c>
      <c r="AZ177" s="26">
        <f t="shared" si="1391"/>
        <v>0</v>
      </c>
      <c r="BA177" s="26" t="e">
        <f t="shared" si="1391"/>
        <v>#DIV/0!</v>
      </c>
      <c r="BB177" s="26">
        <f t="shared" si="1391"/>
        <v>0</v>
      </c>
      <c r="BC177" s="26" t="e">
        <f t="shared" si="1391"/>
        <v>#DIV/0!</v>
      </c>
      <c r="BD177" s="26">
        <f t="shared" si="1391"/>
        <v>0</v>
      </c>
      <c r="BE177" s="26" t="e">
        <f t="shared" si="1391"/>
        <v>#DIV/0!</v>
      </c>
      <c r="BF177" s="26">
        <f t="shared" si="1391"/>
        <v>0</v>
      </c>
      <c r="BG177" s="26" t="e">
        <f t="shared" si="1391"/>
        <v>#DIV/0!</v>
      </c>
      <c r="BH177" s="26">
        <f t="shared" ref="BH177" si="1392">BH175+BH173+BH169+BH152+BH150+BH176</f>
        <v>0</v>
      </c>
      <c r="BI177" s="26" t="e">
        <f t="shared" si="1391"/>
        <v>#DIV/0!</v>
      </c>
      <c r="BJ177" s="26">
        <f t="shared" si="1391"/>
        <v>0</v>
      </c>
      <c r="BK177" s="26" t="e">
        <f t="shared" si="1391"/>
        <v>#DIV/0!</v>
      </c>
      <c r="BL177" s="26">
        <f t="shared" si="1391"/>
        <v>0</v>
      </c>
      <c r="BM177" s="26" t="e">
        <f t="shared" si="1391"/>
        <v>#DIV/0!</v>
      </c>
      <c r="BN177" s="26">
        <f t="shared" si="1391"/>
        <v>0</v>
      </c>
      <c r="BO177" s="26" t="e">
        <f t="shared" si="1391"/>
        <v>#DIV/0!</v>
      </c>
      <c r="BP177" s="26">
        <f t="shared" si="1391"/>
        <v>0</v>
      </c>
      <c r="BQ177" s="26" t="e">
        <f t="shared" si="1391"/>
        <v>#DIV/0!</v>
      </c>
      <c r="BR177" s="26">
        <f t="shared" si="1391"/>
        <v>286.53399999999999</v>
      </c>
      <c r="BS177" s="26">
        <f t="shared" si="1391"/>
        <v>316.23899999999998</v>
      </c>
      <c r="BT177" s="26">
        <f t="shared" si="1391"/>
        <v>0</v>
      </c>
      <c r="BU177" s="26">
        <f t="shared" si="1391"/>
        <v>32.021000000000001</v>
      </c>
      <c r="BV177" s="26">
        <f t="shared" si="1391"/>
        <v>380.28699999999998</v>
      </c>
      <c r="BW177" s="26">
        <f t="shared" si="1391"/>
        <v>419.99000000000007</v>
      </c>
      <c r="BX177" s="26">
        <f t="shared" si="1391"/>
        <v>433.87099999999992</v>
      </c>
      <c r="BY177" s="26">
        <f t="shared" si="1391"/>
        <v>477.03599999999994</v>
      </c>
      <c r="BZ177" s="26">
        <f t="shared" si="1391"/>
        <v>496.91099999999994</v>
      </c>
      <c r="CA177" s="26">
        <f t="shared" si="1391"/>
        <v>549.97299999999996</v>
      </c>
      <c r="CB177" s="26">
        <f t="shared" si="1391"/>
        <v>577.90100000000007</v>
      </c>
      <c r="CC177" s="26">
        <f t="shared" si="1391"/>
        <v>635.72400000000005</v>
      </c>
      <c r="CD177" s="26">
        <f t="shared" si="1391"/>
        <v>670.03899999999999</v>
      </c>
      <c r="CE177" s="26">
        <f t="shared" si="1391"/>
        <v>743.27900000000011</v>
      </c>
      <c r="CF177" s="26">
        <f t="shared" ref="CF177:CG177" si="1393">CF175+CF173+CF169+CF152+CF150+CF176</f>
        <v>571.03200000000004</v>
      </c>
      <c r="CG177" s="26">
        <f t="shared" si="1393"/>
        <v>648.05499999999995</v>
      </c>
      <c r="CH177" s="26">
        <f t="shared" ref="CH177:CI177" si="1394">CH175+CH173+CH169+CH152+CH150+CH176</f>
        <v>709.4769</v>
      </c>
      <c r="CI177" s="26">
        <f t="shared" si="1394"/>
        <v>803.09989999999993</v>
      </c>
      <c r="CJ177" s="26">
        <f t="shared" ref="CJ177:DB177" si="1395">CJ175+CJ173+CJ169+CJ152+CJ150+CJ176</f>
        <v>842.56700000000001</v>
      </c>
      <c r="CK177" s="26">
        <f t="shared" ref="CK177:CL177" si="1396">CK175+CK173+CK169+CK152+CK150+CK176</f>
        <v>942.4190000000001</v>
      </c>
      <c r="CL177" s="26">
        <f t="shared" si="1396"/>
        <v>1028.875</v>
      </c>
      <c r="CM177" s="27">
        <f t="shared" si="1395"/>
        <v>1140.2337218901298</v>
      </c>
      <c r="CN177" s="27">
        <f t="shared" si="1395"/>
        <v>1264.0318794605555</v>
      </c>
      <c r="CO177" s="27">
        <f t="shared" si="1395"/>
        <v>1385.2286291961427</v>
      </c>
      <c r="CP177" s="27">
        <f t="shared" si="1395"/>
        <v>1509.834576477605</v>
      </c>
      <c r="CQ177" s="27">
        <f t="shared" si="1395"/>
        <v>1669.8536313259033</v>
      </c>
      <c r="CR177" s="27">
        <f t="shared" si="1395"/>
        <v>1848.0377174709135</v>
      </c>
      <c r="CS177" s="27">
        <f t="shared" si="1395"/>
        <v>2027.3016351488511</v>
      </c>
      <c r="CT177" s="27">
        <f t="shared" si="1395"/>
        <v>2216.8608317186845</v>
      </c>
      <c r="CU177" s="27">
        <f t="shared" si="1395"/>
        <v>2446.4918197654488</v>
      </c>
      <c r="CV177" s="27">
        <f t="shared" si="1395"/>
        <v>2701.898251152073</v>
      </c>
      <c r="CW177" s="27">
        <f t="shared" si="1395"/>
        <v>2960.8824203194658</v>
      </c>
      <c r="CX177" s="27">
        <f t="shared" si="1395"/>
        <v>3234.5644404337067</v>
      </c>
      <c r="CY177" s="27">
        <f t="shared" si="1395"/>
        <v>3560.0225763840385</v>
      </c>
      <c r="CZ177" s="27">
        <f t="shared" si="1395"/>
        <v>3920.6921478310987</v>
      </c>
      <c r="DA177" s="27">
        <f t="shared" si="1395"/>
        <v>4287.5087452006674</v>
      </c>
      <c r="DB177" s="27">
        <f t="shared" si="1395"/>
        <v>4674.6717501988887</v>
      </c>
      <c r="DE177" s="121"/>
      <c r="DF177" s="26">
        <v>1028.875</v>
      </c>
    </row>
    <row r="178" spans="1:110" s="23" customFormat="1" x14ac:dyDescent="0.2">
      <c r="A178" s="28" t="s">
        <v>439</v>
      </c>
      <c r="B178" s="23">
        <f t="shared" ref="B178:W178" si="1397">B177-B141</f>
        <v>0</v>
      </c>
      <c r="C178" s="23">
        <f t="shared" si="1397"/>
        <v>0</v>
      </c>
      <c r="D178" s="23">
        <f t="shared" si="1397"/>
        <v>0</v>
      </c>
      <c r="E178" s="23">
        <f t="shared" si="1397"/>
        <v>0</v>
      </c>
      <c r="F178" s="23">
        <f t="shared" si="1397"/>
        <v>0</v>
      </c>
      <c r="G178" s="23">
        <f t="shared" si="1397"/>
        <v>0</v>
      </c>
      <c r="H178" s="23">
        <f t="shared" si="1397"/>
        <v>0</v>
      </c>
      <c r="I178" s="23">
        <f t="shared" si="1397"/>
        <v>0</v>
      </c>
      <c r="J178" s="23">
        <f t="shared" si="1397"/>
        <v>0</v>
      </c>
      <c r="K178" s="23">
        <f t="shared" si="1397"/>
        <v>0</v>
      </c>
      <c r="L178" s="23">
        <f t="shared" si="1397"/>
        <v>0</v>
      </c>
      <c r="M178" s="23">
        <f t="shared" si="1397"/>
        <v>0</v>
      </c>
      <c r="N178" s="23">
        <f t="shared" si="1397"/>
        <v>0</v>
      </c>
      <c r="O178" s="23">
        <f t="shared" si="1397"/>
        <v>0</v>
      </c>
      <c r="P178" s="23">
        <f t="shared" si="1397"/>
        <v>0</v>
      </c>
      <c r="Q178" s="23">
        <f t="shared" si="1397"/>
        <v>0</v>
      </c>
      <c r="R178" s="23">
        <f t="shared" si="1397"/>
        <v>0</v>
      </c>
      <c r="S178" s="23">
        <f t="shared" si="1397"/>
        <v>0</v>
      </c>
      <c r="T178" s="23">
        <f t="shared" si="1397"/>
        <v>0</v>
      </c>
      <c r="U178" s="23">
        <f t="shared" si="1397"/>
        <v>0</v>
      </c>
      <c r="V178" s="23">
        <f t="shared" si="1397"/>
        <v>0</v>
      </c>
      <c r="W178" s="23">
        <f t="shared" si="1397"/>
        <v>0</v>
      </c>
      <c r="X178" s="23">
        <f t="shared" ref="X178:Y178" si="1398">X177-X141</f>
        <v>0</v>
      </c>
      <c r="Y178" s="23">
        <f t="shared" si="1398"/>
        <v>0</v>
      </c>
      <c r="Z178" s="23">
        <f t="shared" ref="Z178:AA178" si="1399">Z177-Z141</f>
        <v>0</v>
      </c>
      <c r="AA178" s="23">
        <f t="shared" ref="AA178" si="1400">AA177-AA141</f>
        <v>0</v>
      </c>
      <c r="AB178" s="24">
        <f t="shared" ref="AB178:AD178" si="1401">AB177-AB141</f>
        <v>0</v>
      </c>
      <c r="AC178" s="24">
        <f t="shared" si="1401"/>
        <v>0</v>
      </c>
      <c r="AD178" s="24">
        <f t="shared" si="1401"/>
        <v>0</v>
      </c>
      <c r="AE178" s="24">
        <f t="shared" ref="AE178" si="1402">AE177-AE141</f>
        <v>0</v>
      </c>
      <c r="AJ178" s="23">
        <f t="shared" ref="AJ178" si="1403">AJ177-AJ141</f>
        <v>0</v>
      </c>
      <c r="AK178" s="23" t="e">
        <f t="shared" ref="AK178" si="1404">AK177-AK141</f>
        <v>#DIV/0!</v>
      </c>
      <c r="AL178" s="23">
        <f t="shared" ref="AL178:AM178" si="1405">AL177-AL141</f>
        <v>0</v>
      </c>
      <c r="AM178" s="23" t="e">
        <f t="shared" si="1405"/>
        <v>#DIV/0!</v>
      </c>
      <c r="AN178" s="23">
        <f t="shared" ref="AN178:AO178" si="1406">AN177-AN141</f>
        <v>0</v>
      </c>
      <c r="AO178" s="23" t="e">
        <f t="shared" si="1406"/>
        <v>#DIV/0!</v>
      </c>
      <c r="AP178" s="23">
        <f t="shared" ref="AP178:CE178" si="1407">AP177-AP141</f>
        <v>0</v>
      </c>
      <c r="AQ178" s="23" t="e">
        <f t="shared" si="1407"/>
        <v>#DIV/0!</v>
      </c>
      <c r="AR178" s="23">
        <f t="shared" si="1407"/>
        <v>0</v>
      </c>
      <c r="AS178" s="23" t="e">
        <f t="shared" si="1407"/>
        <v>#DIV/0!</v>
      </c>
      <c r="AT178" s="23">
        <f t="shared" si="1407"/>
        <v>0</v>
      </c>
      <c r="AU178" s="23" t="e">
        <f t="shared" si="1407"/>
        <v>#DIV/0!</v>
      </c>
      <c r="AV178" s="23">
        <f t="shared" si="1407"/>
        <v>0</v>
      </c>
      <c r="AW178" s="23" t="e">
        <f t="shared" si="1407"/>
        <v>#DIV/0!</v>
      </c>
      <c r="AX178" s="23">
        <f t="shared" si="1407"/>
        <v>0</v>
      </c>
      <c r="AY178" s="23" t="e">
        <f t="shared" si="1407"/>
        <v>#DIV/0!</v>
      </c>
      <c r="AZ178" s="23">
        <f t="shared" si="1407"/>
        <v>0</v>
      </c>
      <c r="BA178" s="23" t="e">
        <f t="shared" si="1407"/>
        <v>#DIV/0!</v>
      </c>
      <c r="BB178" s="23">
        <f t="shared" si="1407"/>
        <v>0</v>
      </c>
      <c r="BC178" s="23" t="e">
        <f t="shared" si="1407"/>
        <v>#DIV/0!</v>
      </c>
      <c r="BD178" s="23">
        <f t="shared" si="1407"/>
        <v>0</v>
      </c>
      <c r="BE178" s="23" t="e">
        <f t="shared" si="1407"/>
        <v>#DIV/0!</v>
      </c>
      <c r="BF178" s="23">
        <f t="shared" si="1407"/>
        <v>0</v>
      </c>
      <c r="BG178" s="23" t="e">
        <f t="shared" si="1407"/>
        <v>#DIV/0!</v>
      </c>
      <c r="BH178" s="23">
        <f t="shared" ref="BH178" si="1408">BH177-BH141</f>
        <v>0</v>
      </c>
      <c r="BI178" s="23" t="e">
        <f t="shared" si="1407"/>
        <v>#DIV/0!</v>
      </c>
      <c r="BJ178" s="23">
        <f t="shared" si="1407"/>
        <v>0</v>
      </c>
      <c r="BK178" s="23" t="e">
        <f t="shared" si="1407"/>
        <v>#DIV/0!</v>
      </c>
      <c r="BL178" s="23">
        <f t="shared" si="1407"/>
        <v>0</v>
      </c>
      <c r="BM178" s="23" t="e">
        <f t="shared" si="1407"/>
        <v>#DIV/0!</v>
      </c>
      <c r="BN178" s="23">
        <f t="shared" si="1407"/>
        <v>0</v>
      </c>
      <c r="BO178" s="23" t="e">
        <f t="shared" si="1407"/>
        <v>#DIV/0!</v>
      </c>
      <c r="BP178" s="23">
        <f t="shared" si="1407"/>
        <v>0</v>
      </c>
      <c r="BQ178" s="23" t="e">
        <f t="shared" si="1407"/>
        <v>#DIV/0!</v>
      </c>
      <c r="BR178" s="23">
        <f t="shared" si="1407"/>
        <v>-1.0000000000331966E-3</v>
      </c>
      <c r="BS178" s="23">
        <f t="shared" si="1407"/>
        <v>-1.00000000009004E-3</v>
      </c>
      <c r="BT178" s="23">
        <f t="shared" si="1407"/>
        <v>0</v>
      </c>
      <c r="BU178" s="23">
        <f t="shared" si="1407"/>
        <v>0</v>
      </c>
      <c r="BV178" s="23">
        <f t="shared" si="1407"/>
        <v>0</v>
      </c>
      <c r="BW178" s="23">
        <f t="shared" si="1407"/>
        <v>0</v>
      </c>
      <c r="BX178" s="23">
        <f t="shared" si="1407"/>
        <v>-1.00000000009004E-3</v>
      </c>
      <c r="BY178" s="23">
        <f t="shared" si="1407"/>
        <v>-1.00000000009004E-3</v>
      </c>
      <c r="BZ178" s="23">
        <f t="shared" si="1407"/>
        <v>9.9999999997635314E-4</v>
      </c>
      <c r="CA178" s="23">
        <f t="shared" si="1407"/>
        <v>9.9999999997635314E-4</v>
      </c>
      <c r="CB178" s="23">
        <f t="shared" si="1407"/>
        <v>-9.999999998626663E-4</v>
      </c>
      <c r="CC178" s="23">
        <f t="shared" si="1407"/>
        <v>-9.999999998626663E-4</v>
      </c>
      <c r="CD178" s="23">
        <f t="shared" si="1407"/>
        <v>0</v>
      </c>
      <c r="CE178" s="23">
        <f t="shared" si="1407"/>
        <v>0</v>
      </c>
      <c r="CF178" s="23">
        <f t="shared" ref="CF178:CG178" si="1409">CF177-CF141</f>
        <v>-9.999999998626663E-4</v>
      </c>
      <c r="CG178" s="23">
        <f t="shared" si="1409"/>
        <v>-9.9999999997635314E-4</v>
      </c>
      <c r="CH178" s="23">
        <f t="shared" ref="CH178:CI178" si="1410">CH177-CH141</f>
        <v>0</v>
      </c>
      <c r="CI178" s="23">
        <f t="shared" si="1410"/>
        <v>0</v>
      </c>
      <c r="CJ178" s="23">
        <f t="shared" ref="CJ178:DB178" si="1411">CJ177-CJ141</f>
        <v>-9.9999999997635314E-4</v>
      </c>
      <c r="CK178" s="23">
        <f t="shared" ref="CK178:CL178" si="1412">CK177-CK141</f>
        <v>-9.9999999997635314E-4</v>
      </c>
      <c r="CL178" s="23">
        <f t="shared" si="1412"/>
        <v>0</v>
      </c>
      <c r="CM178" s="24">
        <f t="shared" si="1411"/>
        <v>0</v>
      </c>
      <c r="CN178" s="24">
        <f t="shared" si="1411"/>
        <v>0</v>
      </c>
      <c r="CO178" s="24">
        <f t="shared" si="1411"/>
        <v>0</v>
      </c>
      <c r="CP178" s="24">
        <f t="shared" si="1411"/>
        <v>0</v>
      </c>
      <c r="CQ178" s="24">
        <f t="shared" si="1411"/>
        <v>0</v>
      </c>
      <c r="CR178" s="24">
        <f t="shared" si="1411"/>
        <v>0</v>
      </c>
      <c r="CS178" s="24">
        <f t="shared" si="1411"/>
        <v>0</v>
      </c>
      <c r="CT178" s="24">
        <f t="shared" si="1411"/>
        <v>0</v>
      </c>
      <c r="CU178" s="24">
        <f t="shared" si="1411"/>
        <v>0</v>
      </c>
      <c r="CV178" s="24">
        <f t="shared" si="1411"/>
        <v>0</v>
      </c>
      <c r="CW178" s="24">
        <f t="shared" si="1411"/>
        <v>0</v>
      </c>
      <c r="CX178" s="24">
        <f t="shared" si="1411"/>
        <v>0</v>
      </c>
      <c r="CY178" s="24">
        <f t="shared" si="1411"/>
        <v>0</v>
      </c>
      <c r="CZ178" s="24">
        <f t="shared" si="1411"/>
        <v>0</v>
      </c>
      <c r="DA178" s="24">
        <f t="shared" si="1411"/>
        <v>0</v>
      </c>
      <c r="DB178" s="24">
        <f t="shared" si="1411"/>
        <v>0</v>
      </c>
      <c r="DE178" s="123"/>
      <c r="DF178" s="23">
        <v>0</v>
      </c>
    </row>
    <row r="179" spans="1:110" s="23" customFormat="1" x14ac:dyDescent="0.2">
      <c r="A179" s="28"/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</row>
    <row r="180" spans="1:110" s="22" customFormat="1" x14ac:dyDescent="0.2">
      <c r="A180" s="22" t="s">
        <v>80</v>
      </c>
      <c r="B180" s="22">
        <f t="shared" ref="B180:W180" si="1413">B140-B173</f>
        <v>0</v>
      </c>
      <c r="C180" s="22">
        <f t="shared" si="1413"/>
        <v>0</v>
      </c>
      <c r="D180" s="22">
        <f t="shared" si="1413"/>
        <v>0</v>
      </c>
      <c r="E180" s="22">
        <f t="shared" si="1413"/>
        <v>0</v>
      </c>
      <c r="F180" s="22">
        <f t="shared" si="1413"/>
        <v>0</v>
      </c>
      <c r="G180" s="22">
        <f t="shared" si="1413"/>
        <v>0</v>
      </c>
      <c r="H180" s="22">
        <f t="shared" si="1413"/>
        <v>0</v>
      </c>
      <c r="I180" s="22">
        <f t="shared" si="1413"/>
        <v>0</v>
      </c>
      <c r="J180" s="22">
        <f t="shared" si="1413"/>
        <v>-3.1662999999999997E-2</v>
      </c>
      <c r="K180" s="22">
        <f t="shared" si="1413"/>
        <v>-3.5004993999999998</v>
      </c>
      <c r="L180" s="22">
        <f t="shared" si="1413"/>
        <v>-7.5606499999999993E-2</v>
      </c>
      <c r="M180" s="22">
        <f t="shared" si="1413"/>
        <v>-9.5451800000000003E-2</v>
      </c>
      <c r="N180" s="22">
        <f t="shared" si="1413"/>
        <v>-0.1291727</v>
      </c>
      <c r="O180" s="22">
        <f t="shared" si="1413"/>
        <v>-0.2180993</v>
      </c>
      <c r="P180" s="22">
        <f t="shared" si="1413"/>
        <v>-2.9447600000000001E-2</v>
      </c>
      <c r="Q180" s="22">
        <f t="shared" si="1413"/>
        <v>-0.54400000000000004</v>
      </c>
      <c r="R180" s="22">
        <f t="shared" si="1413"/>
        <v>22.619</v>
      </c>
      <c r="S180" s="22">
        <f t="shared" si="1413"/>
        <v>-50.003999999999998</v>
      </c>
      <c r="T180" s="22">
        <f t="shared" si="1413"/>
        <v>-85.941999999999993</v>
      </c>
      <c r="U180" s="22">
        <f t="shared" si="1413"/>
        <v>11.600999999999996</v>
      </c>
      <c r="V180" s="22">
        <f t="shared" si="1413"/>
        <v>-34.683300000000003</v>
      </c>
      <c r="W180" s="22">
        <f t="shared" si="1413"/>
        <v>-62.157599999999995</v>
      </c>
      <c r="X180" s="22">
        <f t="shared" ref="X180:Y180" si="1414">X140-X173</f>
        <v>-47.945100000000004</v>
      </c>
      <c r="Y180" s="22">
        <f t="shared" si="1414"/>
        <v>-25.770499999999998</v>
      </c>
      <c r="Z180" s="22">
        <f t="shared" ref="Z180:AA180" si="1415">Z140-Z173</f>
        <v>-23.440400000000007</v>
      </c>
      <c r="AA180" s="22">
        <f t="shared" ref="AA180" si="1416">AA140-AA173</f>
        <v>-225.1163</v>
      </c>
      <c r="AB180" s="21">
        <f t="shared" ref="AB180:AD180" si="1417">AB140-AB173</f>
        <v>-617.40993943873832</v>
      </c>
      <c r="AC180" s="21">
        <f t="shared" si="1417"/>
        <v>-1188.6720090405561</v>
      </c>
      <c r="AD180" s="21">
        <f t="shared" si="1417"/>
        <v>-2015.0757199960221</v>
      </c>
      <c r="AE180" s="21">
        <f t="shared" ref="AE180" si="1418">AE140-AE173</f>
        <v>-3195.7983640934185</v>
      </c>
      <c r="AJ180" s="22">
        <f t="shared" ref="AJ180:AM180" si="1419">AJ140-AJ173</f>
        <v>0</v>
      </c>
      <c r="AK180" s="22" t="e">
        <f t="shared" si="1419"/>
        <v>#DIV/0!</v>
      </c>
      <c r="AL180" s="22">
        <f t="shared" si="1419"/>
        <v>0</v>
      </c>
      <c r="AM180" s="22" t="e">
        <f t="shared" si="1419"/>
        <v>#DIV/0!</v>
      </c>
      <c r="AN180" s="22">
        <f t="shared" ref="AN180:AO180" si="1420">AN140-AN173</f>
        <v>0</v>
      </c>
      <c r="AO180" s="22" t="e">
        <f t="shared" si="1420"/>
        <v>#DIV/0!</v>
      </c>
      <c r="AP180" s="22">
        <f t="shared" ref="AP180:CE180" si="1421">AP140-AP173</f>
        <v>0</v>
      </c>
      <c r="AQ180" s="22" t="e">
        <f t="shared" si="1421"/>
        <v>#DIV/0!</v>
      </c>
      <c r="AR180" s="22">
        <f t="shared" si="1421"/>
        <v>0</v>
      </c>
      <c r="AS180" s="22" t="e">
        <f t="shared" si="1421"/>
        <v>#DIV/0!</v>
      </c>
      <c r="AT180" s="22">
        <f t="shared" si="1421"/>
        <v>0</v>
      </c>
      <c r="AU180" s="22" t="e">
        <f t="shared" si="1421"/>
        <v>#DIV/0!</v>
      </c>
      <c r="AV180" s="22">
        <f t="shared" si="1421"/>
        <v>0</v>
      </c>
      <c r="AW180" s="22" t="e">
        <f t="shared" si="1421"/>
        <v>#DIV/0!</v>
      </c>
      <c r="AX180" s="22">
        <f t="shared" si="1421"/>
        <v>0</v>
      </c>
      <c r="AY180" s="22" t="e">
        <f t="shared" si="1421"/>
        <v>#DIV/0!</v>
      </c>
      <c r="AZ180" s="22">
        <f t="shared" si="1421"/>
        <v>0</v>
      </c>
      <c r="BA180" s="22" t="e">
        <f t="shared" si="1421"/>
        <v>#DIV/0!</v>
      </c>
      <c r="BB180" s="22">
        <f t="shared" si="1421"/>
        <v>0</v>
      </c>
      <c r="BC180" s="22" t="e">
        <f t="shared" si="1421"/>
        <v>#DIV/0!</v>
      </c>
      <c r="BD180" s="22">
        <f t="shared" si="1421"/>
        <v>0</v>
      </c>
      <c r="BE180" s="22" t="e">
        <f t="shared" si="1421"/>
        <v>#DIV/0!</v>
      </c>
      <c r="BF180" s="22">
        <f t="shared" si="1421"/>
        <v>0</v>
      </c>
      <c r="BG180" s="22" t="e">
        <f t="shared" si="1421"/>
        <v>#DIV/0!</v>
      </c>
      <c r="BH180" s="22">
        <f t="shared" si="1421"/>
        <v>0</v>
      </c>
      <c r="BI180" s="22" t="e">
        <f t="shared" si="1421"/>
        <v>#DIV/0!</v>
      </c>
      <c r="BJ180" s="22">
        <f t="shared" si="1421"/>
        <v>0</v>
      </c>
      <c r="BK180" s="22" t="e">
        <f t="shared" si="1421"/>
        <v>#DIV/0!</v>
      </c>
      <c r="BL180" s="22">
        <f t="shared" si="1421"/>
        <v>0</v>
      </c>
      <c r="BM180" s="22" t="e">
        <f t="shared" si="1421"/>
        <v>#DIV/0!</v>
      </c>
      <c r="BN180" s="22">
        <f t="shared" si="1421"/>
        <v>0</v>
      </c>
      <c r="BO180" s="22" t="e">
        <f t="shared" si="1421"/>
        <v>#DIV/0!</v>
      </c>
      <c r="BP180" s="22">
        <f t="shared" si="1421"/>
        <v>0</v>
      </c>
      <c r="BQ180" s="22" t="e">
        <f t="shared" si="1421"/>
        <v>#DIV/0!</v>
      </c>
      <c r="BR180" s="22">
        <f t="shared" si="1421"/>
        <v>-34.682999999999993</v>
      </c>
      <c r="BS180" s="22">
        <f t="shared" si="1421"/>
        <v>-60.234402034101095</v>
      </c>
      <c r="BT180" s="22">
        <f t="shared" si="1421"/>
        <v>0</v>
      </c>
      <c r="BU180" s="22">
        <f t="shared" si="1421"/>
        <v>-32.021000000000001</v>
      </c>
      <c r="BV180" s="22">
        <f t="shared" si="1421"/>
        <v>-62.157999999999994</v>
      </c>
      <c r="BW180" s="22">
        <f t="shared" si="1421"/>
        <v>-99.33287745633919</v>
      </c>
      <c r="BX180" s="22">
        <f t="shared" si="1421"/>
        <v>-193.73799999999997</v>
      </c>
      <c r="BY180" s="22">
        <f t="shared" si="1421"/>
        <v>-236.67426118783209</v>
      </c>
      <c r="BZ180" s="22">
        <f t="shared" si="1421"/>
        <v>-47.945999999999998</v>
      </c>
      <c r="CA180" s="22">
        <f t="shared" si="1421"/>
        <v>-97.236835632344693</v>
      </c>
      <c r="CB180" s="22">
        <f t="shared" si="1421"/>
        <v>-162.55500000000001</v>
      </c>
      <c r="CC180" s="22">
        <f t="shared" si="1421"/>
        <v>-220.395641211298</v>
      </c>
      <c r="CD180" s="22">
        <f t="shared" si="1421"/>
        <v>-25.771000000000001</v>
      </c>
      <c r="CE180" s="22">
        <f t="shared" si="1421"/>
        <v>-90.842380315165698</v>
      </c>
      <c r="CF180" s="22">
        <f t="shared" ref="CF180:CG180" si="1422">CF140-CF173</f>
        <v>-115.785</v>
      </c>
      <c r="CG180" s="22">
        <f t="shared" si="1422"/>
        <v>-193.61739253384803</v>
      </c>
      <c r="CH180" s="22">
        <f t="shared" ref="CH180:CI180" si="1423">CH140-CH173</f>
        <v>-23.440400000000007</v>
      </c>
      <c r="CI180" s="22">
        <f t="shared" si="1423"/>
        <v>-68.529801195710888</v>
      </c>
      <c r="CJ180" s="22">
        <f t="shared" ref="CJ180:DB180" si="1424">CJ140-CJ173</f>
        <v>-73.950999999999993</v>
      </c>
      <c r="CK180" s="22">
        <f t="shared" ref="CK180:CL180" si="1425">CK140-CK173</f>
        <v>-192.76418737179111</v>
      </c>
      <c r="CL180" s="22">
        <f t="shared" si="1425"/>
        <v>-225.11599999999999</v>
      </c>
      <c r="CM180" s="21">
        <f t="shared" si="1424"/>
        <v>-265.29745536275152</v>
      </c>
      <c r="CN180" s="21">
        <f t="shared" si="1424"/>
        <v>-337.45811804750076</v>
      </c>
      <c r="CO180" s="21">
        <f t="shared" si="1424"/>
        <v>-481.60840380432046</v>
      </c>
      <c r="CP180" s="21">
        <f t="shared" si="1424"/>
        <v>-617.40993943873832</v>
      </c>
      <c r="CQ180" s="21">
        <f t="shared" si="1424"/>
        <v>-679.13280151956906</v>
      </c>
      <c r="CR180" s="21">
        <f t="shared" si="1424"/>
        <v>-784.87274498956208</v>
      </c>
      <c r="CS180" s="21">
        <f t="shared" si="1424"/>
        <v>-989.07603173819552</v>
      </c>
      <c r="CT180" s="21">
        <f t="shared" si="1424"/>
        <v>-1188.6720090405561</v>
      </c>
      <c r="CU180" s="21">
        <f t="shared" si="1424"/>
        <v>-1286.3533109167574</v>
      </c>
      <c r="CV180" s="21">
        <f t="shared" si="1424"/>
        <v>-1443.743009753523</v>
      </c>
      <c r="CW180" s="21">
        <f t="shared" si="1424"/>
        <v>-1731.6088927297862</v>
      </c>
      <c r="CX180" s="21">
        <f t="shared" si="1424"/>
        <v>-2015.0757199960221</v>
      </c>
      <c r="CY180" s="21">
        <f t="shared" si="1424"/>
        <v>-2165.9911209008446</v>
      </c>
      <c r="CZ180" s="21">
        <f t="shared" si="1424"/>
        <v>-2396.4657549825693</v>
      </c>
      <c r="DA180" s="21">
        <f t="shared" si="1424"/>
        <v>-2798.2720012900922</v>
      </c>
      <c r="DB180" s="21">
        <f t="shared" si="1424"/>
        <v>-3195.7983640934185</v>
      </c>
      <c r="DE180" s="126"/>
      <c r="DF180" s="22">
        <v>-225.1163</v>
      </c>
    </row>
    <row r="181" spans="1:110" x14ac:dyDescent="0.2">
      <c r="AA181" s="2"/>
      <c r="CE181" s="111"/>
      <c r="CG181" s="111"/>
    </row>
    <row r="182" spans="1:110" s="49" customFormat="1" x14ac:dyDescent="0.2">
      <c r="A182" s="49" t="s">
        <v>81</v>
      </c>
      <c r="B182" s="49">
        <f>'Annual Raw'!C85</f>
        <v>0</v>
      </c>
      <c r="C182" s="49">
        <f>'Annual Raw'!D85</f>
        <v>0</v>
      </c>
      <c r="D182" s="49">
        <f>'Annual Raw'!E85</f>
        <v>0</v>
      </c>
      <c r="E182" s="49">
        <f>'Annual Raw'!F85</f>
        <v>0</v>
      </c>
      <c r="F182" s="49">
        <f>'Annual Raw'!G85</f>
        <v>0</v>
      </c>
      <c r="G182" s="49">
        <f>'Annual Raw'!H85</f>
        <v>0</v>
      </c>
      <c r="H182" s="49">
        <f>'Annual Raw'!I85</f>
        <v>0</v>
      </c>
      <c r="I182" s="49">
        <f>'Annual Raw'!J85</f>
        <v>0</v>
      </c>
      <c r="J182" s="49">
        <f>'Annual Raw'!K85</f>
        <v>0</v>
      </c>
      <c r="K182" s="49">
        <f>'Annual Raw'!L85</f>
        <v>0</v>
      </c>
      <c r="L182" s="49">
        <f>'Annual Raw'!M85</f>
        <v>0</v>
      </c>
      <c r="M182" s="49">
        <f>'Annual Raw'!N85</f>
        <v>0</v>
      </c>
      <c r="N182" s="49">
        <f>'Annual Raw'!O85</f>
        <v>0</v>
      </c>
      <c r="O182" s="49">
        <f>'Annual Raw'!P85</f>
        <v>0</v>
      </c>
      <c r="P182" s="49">
        <f>'Annual Raw'!Q85</f>
        <v>0</v>
      </c>
      <c r="Q182" s="49">
        <f>'Annual Raw'!R85</f>
        <v>0</v>
      </c>
      <c r="R182" s="49">
        <f>'Annual Raw'!S85</f>
        <v>0.41699999999999998</v>
      </c>
      <c r="S182" s="49">
        <f>'Annual Raw'!T85</f>
        <v>1.56</v>
      </c>
      <c r="T182" s="49">
        <f>'Annual Raw'!U85</f>
        <v>1.5609999999999999</v>
      </c>
      <c r="U182" s="49">
        <f>'Annual Raw'!V85</f>
        <v>1.5609999999999999</v>
      </c>
      <c r="V182" s="49">
        <f>'Annual Raw'!W85</f>
        <v>2.0226000000000002</v>
      </c>
      <c r="W182" s="49">
        <f>'Annual Raw'!X85</f>
        <v>0.46239999999999998</v>
      </c>
      <c r="X182" s="49">
        <f>'Annual Raw'!Y85</f>
        <v>0.46239999999999998</v>
      </c>
      <c r="Y182" s="49">
        <f>'Annual Raw'!Z85</f>
        <v>0</v>
      </c>
      <c r="Z182" s="49">
        <f>'Annual Raw'!AA85</f>
        <v>0</v>
      </c>
      <c r="AA182" s="49">
        <f>'Annual Raw'!AB85</f>
        <v>0</v>
      </c>
      <c r="AB182" s="50"/>
      <c r="AC182" s="50"/>
      <c r="AD182" s="50"/>
      <c r="AE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E182" s="138"/>
      <c r="DF182" s="49">
        <v>0</v>
      </c>
    </row>
    <row r="183" spans="1:110" s="29" customFormat="1" x14ac:dyDescent="0.2">
      <c r="A183" s="29" t="s">
        <v>82</v>
      </c>
      <c r="B183" s="29">
        <f>'Annual Raw'!C95</f>
        <v>0</v>
      </c>
      <c r="C183" s="29">
        <f>'Annual Raw'!D95</f>
        <v>0</v>
      </c>
      <c r="D183" s="29">
        <f>'Annual Raw'!E95</f>
        <v>0</v>
      </c>
      <c r="E183" s="29">
        <f>'Annual Raw'!F95</f>
        <v>0</v>
      </c>
      <c r="F183" s="29">
        <f>'Annual Raw'!G95</f>
        <v>0</v>
      </c>
      <c r="G183" s="29">
        <f>'Annual Raw'!H95</f>
        <v>0</v>
      </c>
      <c r="H183" s="29">
        <f>'Annual Raw'!I95</f>
        <v>0</v>
      </c>
      <c r="I183" s="29">
        <f>'Annual Raw'!J95</f>
        <v>0</v>
      </c>
      <c r="J183" s="29">
        <f>'Annual Raw'!K95</f>
        <v>0</v>
      </c>
      <c r="K183" s="29">
        <f>'Annual Raw'!L95</f>
        <v>0</v>
      </c>
      <c r="L183" s="29">
        <f>'Annual Raw'!M95</f>
        <v>0</v>
      </c>
      <c r="M183" s="29">
        <f>'Annual Raw'!N95</f>
        <v>0</v>
      </c>
      <c r="N183" s="29">
        <f>'Annual Raw'!O95</f>
        <v>0</v>
      </c>
      <c r="O183" s="29">
        <f>'Annual Raw'!P95</f>
        <v>0</v>
      </c>
      <c r="P183" s="29">
        <f>'Annual Raw'!Q95</f>
        <v>0</v>
      </c>
      <c r="Q183" s="29">
        <f>'Annual Raw'!R95</f>
        <v>0</v>
      </c>
      <c r="R183" s="29">
        <f>'Annual Raw'!S95</f>
        <v>0</v>
      </c>
      <c r="S183" s="29">
        <f>'Annual Raw'!T95</f>
        <v>0</v>
      </c>
      <c r="T183" s="29">
        <f>'Annual Raw'!U95</f>
        <v>0</v>
      </c>
      <c r="U183" s="29">
        <f>'Annual Raw'!V95</f>
        <v>0</v>
      </c>
      <c r="V183" s="29">
        <f>'Annual Raw'!W95</f>
        <v>0</v>
      </c>
      <c r="W183" s="29">
        <f>'Annual Raw'!X95</f>
        <v>0</v>
      </c>
      <c r="X183" s="29">
        <f>'Annual Raw'!Y95</f>
        <v>0</v>
      </c>
      <c r="Y183" s="29">
        <f>'Annual Raw'!Z95</f>
        <v>0</v>
      </c>
      <c r="Z183" s="29">
        <f>'Annual Raw'!AA95</f>
        <v>0</v>
      </c>
      <c r="AA183" s="29">
        <f>'Annual Raw'!AB95</f>
        <v>0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0" s="29" customFormat="1" x14ac:dyDescent="0.2">
      <c r="A184" s="29" t="s">
        <v>83</v>
      </c>
      <c r="B184" s="29">
        <f>'Annual Raw'!C93</f>
        <v>0</v>
      </c>
      <c r="C184" s="29">
        <f>'Annual Raw'!D93</f>
        <v>0</v>
      </c>
      <c r="D184" s="29">
        <f>'Annual Raw'!E93</f>
        <v>0</v>
      </c>
      <c r="E184" s="29">
        <f>'Annual Raw'!F93</f>
        <v>0</v>
      </c>
      <c r="F184" s="29">
        <f>'Annual Raw'!G93</f>
        <v>0</v>
      </c>
      <c r="G184" s="29">
        <f>'Annual Raw'!H93</f>
        <v>0</v>
      </c>
      <c r="H184" s="29">
        <f>'Annual Raw'!I93</f>
        <v>0</v>
      </c>
      <c r="I184" s="29">
        <f>'Annual Raw'!J93</f>
        <v>0</v>
      </c>
      <c r="J184" s="29">
        <f>'Annual Raw'!K93</f>
        <v>0</v>
      </c>
      <c r="K184" s="29">
        <f>'Annual Raw'!L93</f>
        <v>0</v>
      </c>
      <c r="L184" s="29">
        <f>'Annual Raw'!M93</f>
        <v>0</v>
      </c>
      <c r="M184" s="29">
        <f>'Annual Raw'!N93</f>
        <v>0</v>
      </c>
      <c r="N184" s="29">
        <f>'Annual Raw'!O93</f>
        <v>0</v>
      </c>
      <c r="O184" s="29">
        <f>'Annual Raw'!P93</f>
        <v>0</v>
      </c>
      <c r="P184" s="29">
        <f>'Annual Raw'!Q93</f>
        <v>0</v>
      </c>
      <c r="Q184" s="29">
        <f>'Annual Raw'!R93</f>
        <v>0</v>
      </c>
      <c r="R184" s="29">
        <f>'Annual Raw'!S93</f>
        <v>0.41699999999999998</v>
      </c>
      <c r="S184" s="29">
        <f>'Annual Raw'!T93</f>
        <v>1.56</v>
      </c>
      <c r="T184" s="29">
        <f>'Annual Raw'!U93</f>
        <v>1.5609999999999999</v>
      </c>
      <c r="U184" s="29">
        <f>'Annual Raw'!V93</f>
        <v>1.5609999999999999</v>
      </c>
      <c r="V184" s="29">
        <f>'Annual Raw'!W93</f>
        <v>2.0226000000000002</v>
      </c>
      <c r="W184" s="29">
        <f>'Annual Raw'!X93</f>
        <v>0.46239999999999998</v>
      </c>
      <c r="X184" s="29">
        <f>'Annual Raw'!Y93</f>
        <v>0.46239999999999998</v>
      </c>
      <c r="Y184" s="29">
        <f>'Annual Raw'!Z93</f>
        <v>0</v>
      </c>
      <c r="Z184" s="29">
        <f>'Annual Raw'!AA93</f>
        <v>0</v>
      </c>
      <c r="AA184" s="29">
        <f>'Annual Raw'!AB93</f>
        <v>0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0</v>
      </c>
    </row>
    <row r="185" spans="1:110" s="29" customFormat="1" x14ac:dyDescent="0.2">
      <c r="A185" s="29" t="s">
        <v>84</v>
      </c>
      <c r="B185" s="29">
        <f t="shared" ref="B185:V185" si="1426">B182-B183-B184</f>
        <v>0</v>
      </c>
      <c r="C185" s="29">
        <f t="shared" si="1426"/>
        <v>0</v>
      </c>
      <c r="D185" s="29">
        <f t="shared" si="1426"/>
        <v>0</v>
      </c>
      <c r="E185" s="29">
        <f t="shared" si="1426"/>
        <v>0</v>
      </c>
      <c r="F185" s="29">
        <f t="shared" si="1426"/>
        <v>0</v>
      </c>
      <c r="G185" s="29">
        <f t="shared" si="1426"/>
        <v>0</v>
      </c>
      <c r="H185" s="29">
        <f t="shared" si="1426"/>
        <v>0</v>
      </c>
      <c r="I185" s="29">
        <f t="shared" si="1426"/>
        <v>0</v>
      </c>
      <c r="J185" s="29">
        <f t="shared" si="1426"/>
        <v>0</v>
      </c>
      <c r="K185" s="29">
        <f t="shared" si="1426"/>
        <v>0</v>
      </c>
      <c r="L185" s="29">
        <f t="shared" si="1426"/>
        <v>0</v>
      </c>
      <c r="M185" s="29">
        <f t="shared" si="1426"/>
        <v>0</v>
      </c>
      <c r="N185" s="29">
        <f t="shared" si="1426"/>
        <v>0</v>
      </c>
      <c r="O185" s="29">
        <f t="shared" si="1426"/>
        <v>0</v>
      </c>
      <c r="P185" s="29">
        <f t="shared" si="1426"/>
        <v>0</v>
      </c>
      <c r="Q185" s="29">
        <f t="shared" si="1426"/>
        <v>0</v>
      </c>
      <c r="R185" s="29">
        <f t="shared" si="1426"/>
        <v>0</v>
      </c>
      <c r="S185" s="29">
        <f t="shared" si="1426"/>
        <v>0</v>
      </c>
      <c r="T185" s="29">
        <f t="shared" si="1426"/>
        <v>0</v>
      </c>
      <c r="U185" s="29">
        <f t="shared" si="1426"/>
        <v>0</v>
      </c>
      <c r="V185" s="29">
        <f t="shared" si="1426"/>
        <v>0</v>
      </c>
      <c r="W185" s="29">
        <f t="shared" ref="W185" si="1427">W182-W183-W184</f>
        <v>0</v>
      </c>
      <c r="X185" s="29">
        <f t="shared" ref="X185:Y185" si="1428">X182-X183-X184</f>
        <v>0</v>
      </c>
      <c r="Y185" s="29">
        <f t="shared" si="1428"/>
        <v>0</v>
      </c>
      <c r="Z185" s="29">
        <f t="shared" ref="Z185:AA185" si="1429">Z182-Z183-Z184</f>
        <v>0</v>
      </c>
      <c r="AA185" s="29">
        <f t="shared" ref="AA185" si="1430">AA182-AA183-AA184</f>
        <v>0</v>
      </c>
      <c r="AB185" s="30">
        <f t="shared" ref="AB185:AD185" si="1431">AB182-AB183-AB184</f>
        <v>0</v>
      </c>
      <c r="AC185" s="30">
        <f t="shared" si="1431"/>
        <v>0</v>
      </c>
      <c r="AD185" s="30">
        <f t="shared" si="1431"/>
        <v>0</v>
      </c>
      <c r="AE185" s="30">
        <f t="shared" ref="AE185" si="1432">AE182-AE183-AE184</f>
        <v>0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0</v>
      </c>
    </row>
    <row r="186" spans="1:110" s="5" customFormat="1" x14ac:dyDescent="0.2">
      <c r="AB186" s="63"/>
      <c r="AC186" s="63"/>
      <c r="AD186" s="63"/>
      <c r="AE186" s="63"/>
      <c r="CE186" s="112"/>
      <c r="CG186" s="112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95" customFormat="1" x14ac:dyDescent="0.2">
      <c r="A187" s="95" t="s">
        <v>85</v>
      </c>
      <c r="B187" s="95" t="e">
        <f t="shared" ref="B187:W187" si="1433">B182/B132</f>
        <v>#DIV/0!</v>
      </c>
      <c r="C187" s="95" t="e">
        <f t="shared" si="1433"/>
        <v>#DIV/0!</v>
      </c>
      <c r="D187" s="95" t="e">
        <f t="shared" si="1433"/>
        <v>#DIV/0!</v>
      </c>
      <c r="E187" s="95" t="e">
        <f t="shared" si="1433"/>
        <v>#DIV/0!</v>
      </c>
      <c r="F187" s="95" t="e">
        <f t="shared" si="1433"/>
        <v>#DIV/0!</v>
      </c>
      <c r="G187" s="95" t="e">
        <f t="shared" si="1433"/>
        <v>#DIV/0!</v>
      </c>
      <c r="H187" s="95" t="e">
        <f t="shared" si="1433"/>
        <v>#DIV/0!</v>
      </c>
      <c r="I187" s="95" t="e">
        <f t="shared" si="1433"/>
        <v>#DIV/0!</v>
      </c>
      <c r="J187" s="95">
        <f t="shared" si="1433"/>
        <v>0</v>
      </c>
      <c r="K187" s="95">
        <f t="shared" si="1433"/>
        <v>0</v>
      </c>
      <c r="L187" s="95">
        <f t="shared" si="1433"/>
        <v>0</v>
      </c>
      <c r="M187" s="95">
        <f t="shared" si="1433"/>
        <v>0</v>
      </c>
      <c r="N187" s="95">
        <f t="shared" si="1433"/>
        <v>0</v>
      </c>
      <c r="O187" s="95">
        <f t="shared" si="1433"/>
        <v>0</v>
      </c>
      <c r="P187" s="95">
        <f t="shared" si="1433"/>
        <v>0</v>
      </c>
      <c r="Q187" s="95">
        <f t="shared" si="1433"/>
        <v>0</v>
      </c>
      <c r="R187" s="95">
        <f t="shared" si="1433"/>
        <v>3.2044878198724348E-2</v>
      </c>
      <c r="S187" s="95">
        <f t="shared" si="1433"/>
        <v>1.990684616857015E-2</v>
      </c>
      <c r="T187" s="95">
        <f t="shared" si="1433"/>
        <v>1.2595210431190293E-2</v>
      </c>
      <c r="U187" s="95">
        <f t="shared" si="1433"/>
        <v>8.4140510880052598E-3</v>
      </c>
      <c r="V187" s="95">
        <f t="shared" si="1433"/>
        <v>8.3725759020823413E-3</v>
      </c>
      <c r="W187" s="95">
        <f t="shared" si="1433"/>
        <v>1.3454892936995949E-3</v>
      </c>
      <c r="X187" s="95">
        <f t="shared" ref="X187:Y187" si="1434">X182/X132</f>
        <v>9.8754463599241404E-4</v>
      </c>
      <c r="Y187" s="95">
        <f t="shared" si="1434"/>
        <v>0</v>
      </c>
      <c r="Z187" s="95">
        <f t="shared" ref="Z187:AA187" si="1435">Z182/Z132</f>
        <v>0</v>
      </c>
      <c r="AA187" s="95">
        <f t="shared" ref="AA187" si="1436">AA182/AA132</f>
        <v>0</v>
      </c>
      <c r="AB187" s="87">
        <f t="shared" ref="AB187:AD187" si="1437">AB182/AB132</f>
        <v>0</v>
      </c>
      <c r="AC187" s="87">
        <f t="shared" si="1437"/>
        <v>0</v>
      </c>
      <c r="AD187" s="87">
        <f t="shared" si="1437"/>
        <v>0</v>
      </c>
      <c r="AE187" s="87">
        <f t="shared" ref="AE187" si="1438">AE182/AE132</f>
        <v>0</v>
      </c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E187" s="140"/>
      <c r="DF187" s="95">
        <v>0</v>
      </c>
    </row>
    <row r="188" spans="1:110" x14ac:dyDescent="0.2">
      <c r="A188" s="152" t="s">
        <v>492</v>
      </c>
      <c r="AA188" s="2"/>
      <c r="CE188" s="111"/>
      <c r="CG188" s="111"/>
    </row>
    <row r="189" spans="1:110" s="6" customFormat="1" x14ac:dyDescent="0.2">
      <c r="AB189" s="19"/>
      <c r="AC189" s="19"/>
      <c r="AD189" s="19"/>
      <c r="AE189" s="19"/>
      <c r="CE189" s="113"/>
      <c r="CG189" s="113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</row>
    <row r="190" spans="1:110" s="62" customFormat="1" x14ac:dyDescent="0.2">
      <c r="A190" s="153" t="s">
        <v>493</v>
      </c>
      <c r="AB190" s="63"/>
      <c r="AC190" s="63"/>
      <c r="AD190" s="63"/>
      <c r="AE190" s="63"/>
      <c r="CE190" s="114"/>
      <c r="CG190" s="114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62" customFormat="1" outlineLevel="1" x14ac:dyDescent="0.2">
      <c r="A191" s="68" t="s">
        <v>464</v>
      </c>
      <c r="B191" s="67" t="e">
        <f t="shared" ref="B191:AE191" si="1439">B156/B20*365</f>
        <v>#DIV/0!</v>
      </c>
      <c r="C191" s="67" t="e">
        <f t="shared" si="1439"/>
        <v>#DIV/0!</v>
      </c>
      <c r="D191" s="67" t="e">
        <f t="shared" si="1439"/>
        <v>#DIV/0!</v>
      </c>
      <c r="E191" s="67" t="e">
        <f t="shared" si="1439"/>
        <v>#DIV/0!</v>
      </c>
      <c r="F191" s="67" t="e">
        <f t="shared" si="1439"/>
        <v>#DIV/0!</v>
      </c>
      <c r="G191" s="67" t="e">
        <f t="shared" si="1439"/>
        <v>#DIV/0!</v>
      </c>
      <c r="H191" s="67" t="e">
        <f t="shared" si="1439"/>
        <v>#DIV/0!</v>
      </c>
      <c r="I191" s="67" t="e">
        <f t="shared" si="1439"/>
        <v>#DIV/0!</v>
      </c>
      <c r="J191" s="67">
        <f t="shared" si="1439"/>
        <v>0</v>
      </c>
      <c r="K191" s="67">
        <f t="shared" si="1439"/>
        <v>0</v>
      </c>
      <c r="L191" s="67">
        <f t="shared" si="1439"/>
        <v>0</v>
      </c>
      <c r="M191" s="67">
        <f t="shared" si="1439"/>
        <v>0</v>
      </c>
      <c r="N191" s="67">
        <f t="shared" si="1439"/>
        <v>0</v>
      </c>
      <c r="O191" s="67">
        <f t="shared" si="1439"/>
        <v>0</v>
      </c>
      <c r="P191" s="67" t="e">
        <f t="shared" si="1439"/>
        <v>#DIV/0!</v>
      </c>
      <c r="Q191" s="67">
        <f t="shared" si="1439"/>
        <v>0</v>
      </c>
      <c r="R191" s="67">
        <f t="shared" si="1439"/>
        <v>0</v>
      </c>
      <c r="S191" s="67">
        <f t="shared" si="1439"/>
        <v>0</v>
      </c>
      <c r="T191" s="67">
        <f t="shared" si="1439"/>
        <v>0</v>
      </c>
      <c r="U191" s="67">
        <f t="shared" si="1439"/>
        <v>0</v>
      </c>
      <c r="V191" s="67">
        <f t="shared" si="1439"/>
        <v>0</v>
      </c>
      <c r="W191" s="67">
        <f t="shared" si="1439"/>
        <v>0</v>
      </c>
      <c r="X191" s="67">
        <f t="shared" si="1439"/>
        <v>0</v>
      </c>
      <c r="Y191" s="67">
        <f t="shared" si="1439"/>
        <v>0</v>
      </c>
      <c r="Z191" s="67">
        <f t="shared" si="1439"/>
        <v>0</v>
      </c>
      <c r="AA191" s="67">
        <f t="shared" ref="AA191" si="1440">AA156/AA20*365</f>
        <v>0</v>
      </c>
      <c r="AB191" s="18">
        <f t="shared" si="1439"/>
        <v>0</v>
      </c>
      <c r="AC191" s="18">
        <f t="shared" si="1439"/>
        <v>0</v>
      </c>
      <c r="AD191" s="18">
        <f t="shared" si="1439"/>
        <v>0</v>
      </c>
      <c r="AE191" s="18">
        <f t="shared" si="1439"/>
        <v>0</v>
      </c>
      <c r="AI191" s="67" t="e">
        <f>AJ156/AI20*90</f>
        <v>#DIV/0!</v>
      </c>
      <c r="AJ191" s="67" t="e">
        <f>AJ156/AJ20*90</f>
        <v>#DIV/0!</v>
      </c>
      <c r="AK191" s="67" t="e">
        <f t="shared" ref="AK191:CE191" si="1441">+AJ191</f>
        <v>#DIV/0!</v>
      </c>
      <c r="AL191" s="67" t="e">
        <f>AL156/AL20*90</f>
        <v>#DIV/0!</v>
      </c>
      <c r="AM191" s="67" t="e">
        <f t="shared" ref="AM191:AM192" si="1442">+AL191</f>
        <v>#DIV/0!</v>
      </c>
      <c r="AN191" s="67" t="e">
        <f>AN156/AN20*90</f>
        <v>#DIV/0!</v>
      </c>
      <c r="AO191" s="67" t="e">
        <f t="shared" ref="AO191:AO192" si="1443">+AN191</f>
        <v>#DIV/0!</v>
      </c>
      <c r="AP191" s="67" t="e">
        <f>AP156/AP20*90</f>
        <v>#DIV/0!</v>
      </c>
      <c r="AQ191" s="67" t="e">
        <f t="shared" ref="AQ191:AQ192" si="1444">+AP191</f>
        <v>#DIV/0!</v>
      </c>
      <c r="AR191" s="67" t="e">
        <f>AR156/AR20*90</f>
        <v>#DIV/0!</v>
      </c>
      <c r="AS191" s="67" t="e">
        <f t="shared" ref="AS191:AS192" si="1445">+AR191</f>
        <v>#DIV/0!</v>
      </c>
      <c r="AT191" s="67" t="e">
        <f>AT156/AT20*90</f>
        <v>#DIV/0!</v>
      </c>
      <c r="AU191" s="67" t="e">
        <f t="shared" ref="AU191:AU192" si="1446">+AT191</f>
        <v>#DIV/0!</v>
      </c>
      <c r="AV191" s="67" t="e">
        <f>AV156/AV20*90</f>
        <v>#DIV/0!</v>
      </c>
      <c r="AW191" s="67" t="e">
        <f t="shared" ref="AW191:AW192" si="1447">+AV191</f>
        <v>#DIV/0!</v>
      </c>
      <c r="AX191" s="67" t="e">
        <f>AX156/AX20*90</f>
        <v>#DIV/0!</v>
      </c>
      <c r="AY191" s="67" t="e">
        <f t="shared" ref="AY191:AY192" si="1448">+AX191</f>
        <v>#DIV/0!</v>
      </c>
      <c r="AZ191" s="67" t="e">
        <f>AZ156/AZ20*90</f>
        <v>#DIV/0!</v>
      </c>
      <c r="BA191" s="67" t="e">
        <f t="shared" ref="BA191:BA192" si="1449">+AZ191</f>
        <v>#DIV/0!</v>
      </c>
      <c r="BB191" s="67" t="e">
        <f>BB156/BB20*90</f>
        <v>#DIV/0!</v>
      </c>
      <c r="BC191" s="67" t="e">
        <f t="shared" ref="BC191:BC192" si="1450">+BB191</f>
        <v>#DIV/0!</v>
      </c>
      <c r="BD191" s="67" t="e">
        <f>BD156/BD20*90</f>
        <v>#DIV/0!</v>
      </c>
      <c r="BE191" s="67" t="e">
        <f t="shared" ref="BE191:BE192" si="1451">+BD191</f>
        <v>#DIV/0!</v>
      </c>
      <c r="BF191" s="67" t="e">
        <f>BF156/BF20*90</f>
        <v>#DIV/0!</v>
      </c>
      <c r="BG191" s="67" t="e">
        <f t="shared" ref="BG191:BG192" si="1452">+BF191</f>
        <v>#DIV/0!</v>
      </c>
      <c r="BH191" s="67" t="e">
        <f>BH156/BH20*90</f>
        <v>#DIV/0!</v>
      </c>
      <c r="BI191" s="67" t="e">
        <f t="shared" ref="BI191:BI192" si="1453">+BH191</f>
        <v>#DIV/0!</v>
      </c>
      <c r="BJ191" s="67" t="e">
        <f>BJ156/BJ20*90</f>
        <v>#DIV/0!</v>
      </c>
      <c r="BK191" s="67" t="e">
        <f t="shared" ref="BK191:BK192" si="1454">+BJ191</f>
        <v>#DIV/0!</v>
      </c>
      <c r="BL191" s="67" t="e">
        <f>BL156/BL20*90</f>
        <v>#DIV/0!</v>
      </c>
      <c r="BM191" s="67" t="e">
        <f t="shared" ref="BM191:BM192" si="1455">+BL191</f>
        <v>#DIV/0!</v>
      </c>
      <c r="BN191" s="67" t="e">
        <f>BN156/BN20*90</f>
        <v>#DIV/0!</v>
      </c>
      <c r="BO191" s="67" t="e">
        <f t="shared" ref="BO191:BO192" si="1456">+BN191</f>
        <v>#DIV/0!</v>
      </c>
      <c r="BP191" s="67" t="e">
        <f>BP156/BP20*90</f>
        <v>#DIV/0!</v>
      </c>
      <c r="BQ191" s="67" t="e">
        <f t="shared" ref="BQ191:BQ192" si="1457">+BP191</f>
        <v>#DIV/0!</v>
      </c>
      <c r="BR191" s="67">
        <f>BR156/BR20*90</f>
        <v>0</v>
      </c>
      <c r="BS191" s="67">
        <f t="shared" ref="BS191:BS192" si="1458">+BR191</f>
        <v>0</v>
      </c>
      <c r="BT191" s="67">
        <f>BT156/BT20*90</f>
        <v>0</v>
      </c>
      <c r="BU191" s="67">
        <f t="shared" ref="BU191:BU192" si="1459">+BT191</f>
        <v>0</v>
      </c>
      <c r="BV191" s="67">
        <f>BV156/BV20*90</f>
        <v>0</v>
      </c>
      <c r="BW191" s="67">
        <f t="shared" ref="BW191:BW192" si="1460">+BV191</f>
        <v>0</v>
      </c>
      <c r="BX191" s="67">
        <f>BX156/BX20*90</f>
        <v>0</v>
      </c>
      <c r="BY191" s="67">
        <f t="shared" ref="BY191:BY192" si="1461">+BX191</f>
        <v>0</v>
      </c>
      <c r="BZ191" s="67">
        <f>BZ156/BZ20*90</f>
        <v>0</v>
      </c>
      <c r="CA191" s="67">
        <f t="shared" ref="CA191:CA192" si="1462">+BZ191</f>
        <v>0</v>
      </c>
      <c r="CB191" s="67">
        <f>CB156/CB20*90</f>
        <v>0</v>
      </c>
      <c r="CC191" s="67">
        <f t="shared" ref="CC191:CC192" si="1463">+CB191</f>
        <v>0</v>
      </c>
      <c r="CD191" s="67">
        <f>CD156/CD20*90</f>
        <v>0</v>
      </c>
      <c r="CE191" s="67">
        <f t="shared" si="1441"/>
        <v>0</v>
      </c>
      <c r="CF191" s="67">
        <f>CF156/CF20*90</f>
        <v>0</v>
      </c>
      <c r="CG191" s="67">
        <f t="shared" ref="CG191:CI192" si="1464">+CF191</f>
        <v>0</v>
      </c>
      <c r="CH191" s="67">
        <f>CH156/CH20*90</f>
        <v>0</v>
      </c>
      <c r="CI191" s="67">
        <f t="shared" si="1464"/>
        <v>0</v>
      </c>
      <c r="CJ191" s="67">
        <f>CJ156/CJ20*90</f>
        <v>0</v>
      </c>
      <c r="CK191" s="67">
        <f t="shared" ref="CK191:CK192" si="1465">+CJ191</f>
        <v>0</v>
      </c>
      <c r="CL191" s="67">
        <f>CL156/CL20*90</f>
        <v>0</v>
      </c>
      <c r="CM191" s="30">
        <f t="shared" ref="CM191:CM192" si="1466">+CL191</f>
        <v>0</v>
      </c>
      <c r="CN191" s="30">
        <f t="shared" ref="CN191:CN192" si="1467">+CM191</f>
        <v>0</v>
      </c>
      <c r="CO191" s="30">
        <f t="shared" ref="CO191:CO192" si="1468">+CN191</f>
        <v>0</v>
      </c>
      <c r="CP191" s="30">
        <f t="shared" ref="CP191:CP192" si="1469">+CO191</f>
        <v>0</v>
      </c>
      <c r="CQ191" s="30">
        <f t="shared" ref="CQ191:CQ192" si="1470">+CP191</f>
        <v>0</v>
      </c>
      <c r="CR191" s="30">
        <f t="shared" ref="CR191:CR192" si="1471">+CQ191</f>
        <v>0</v>
      </c>
      <c r="CS191" s="30">
        <f t="shared" ref="CS191:CS192" si="1472">+CR191</f>
        <v>0</v>
      </c>
      <c r="CT191" s="30">
        <f t="shared" ref="CT191:CT192" si="1473">+CS191</f>
        <v>0</v>
      </c>
      <c r="CU191" s="30">
        <f t="shared" ref="CU191:CU192" si="1474">+CT191</f>
        <v>0</v>
      </c>
      <c r="CV191" s="30">
        <f t="shared" ref="CV191:CV192" si="1475">+CU191</f>
        <v>0</v>
      </c>
      <c r="CW191" s="30">
        <f t="shared" ref="CW191:CW192" si="1476">+CV191</f>
        <v>0</v>
      </c>
      <c r="CX191" s="30">
        <f t="shared" ref="CX191:CX192" si="1477">+CW191</f>
        <v>0</v>
      </c>
      <c r="CY191" s="30">
        <f t="shared" ref="CY191:CY192" si="1478">+CX191</f>
        <v>0</v>
      </c>
      <c r="CZ191" s="30">
        <f t="shared" ref="CZ191:CZ192" si="1479">+CY191</f>
        <v>0</v>
      </c>
      <c r="DA191" s="30">
        <f t="shared" ref="DA191:DA192" si="1480">+CZ191</f>
        <v>0</v>
      </c>
      <c r="DB191" s="30">
        <f t="shared" ref="DB191:DB192" si="1481">+DA191</f>
        <v>0</v>
      </c>
      <c r="DE191" s="139"/>
      <c r="DF191" s="62">
        <v>0</v>
      </c>
    </row>
    <row r="192" spans="1:110" s="62" customFormat="1" outlineLevel="1" x14ac:dyDescent="0.2">
      <c r="A192" s="68" t="s">
        <v>465</v>
      </c>
      <c r="B192" s="67" t="e">
        <f t="shared" ref="B192:AE192" si="1482">B157/B20*365</f>
        <v>#DIV/0!</v>
      </c>
      <c r="C192" s="67" t="e">
        <f t="shared" si="1482"/>
        <v>#DIV/0!</v>
      </c>
      <c r="D192" s="67" t="e">
        <f t="shared" si="1482"/>
        <v>#DIV/0!</v>
      </c>
      <c r="E192" s="67" t="e">
        <f t="shared" si="1482"/>
        <v>#DIV/0!</v>
      </c>
      <c r="F192" s="67" t="e">
        <f t="shared" si="1482"/>
        <v>#DIV/0!</v>
      </c>
      <c r="G192" s="67" t="e">
        <f t="shared" si="1482"/>
        <v>#DIV/0!</v>
      </c>
      <c r="H192" s="67" t="e">
        <f t="shared" si="1482"/>
        <v>#DIV/0!</v>
      </c>
      <c r="I192" s="67" t="e">
        <f t="shared" si="1482"/>
        <v>#DIV/0!</v>
      </c>
      <c r="J192" s="67">
        <f t="shared" si="1482"/>
        <v>96.51718716868946</v>
      </c>
      <c r="K192" s="67">
        <f t="shared" si="1482"/>
        <v>161.92540069211731</v>
      </c>
      <c r="L192" s="67">
        <f t="shared" si="1482"/>
        <v>271.99979597415506</v>
      </c>
      <c r="M192" s="67">
        <f t="shared" si="1482"/>
        <v>0</v>
      </c>
      <c r="N192" s="67">
        <f t="shared" si="1482"/>
        <v>0</v>
      </c>
      <c r="O192" s="67">
        <f t="shared" si="1482"/>
        <v>369.10258548707753</v>
      </c>
      <c r="P192" s="67" t="e">
        <f t="shared" si="1482"/>
        <v>#DIV/0!</v>
      </c>
      <c r="Q192" s="67">
        <f t="shared" si="1482"/>
        <v>376.5263157894737</v>
      </c>
      <c r="R192" s="67">
        <f t="shared" si="1482"/>
        <v>66.389525527868528</v>
      </c>
      <c r="S192" s="67">
        <f t="shared" si="1482"/>
        <v>20.268603641101738</v>
      </c>
      <c r="T192" s="67">
        <f t="shared" si="1482"/>
        <v>14.534703366391046</v>
      </c>
      <c r="U192" s="67">
        <f t="shared" si="1482"/>
        <v>10.025133578641883</v>
      </c>
      <c r="V192" s="67">
        <f t="shared" si="1482"/>
        <v>14.946926508931133</v>
      </c>
      <c r="W192" s="67">
        <f t="shared" si="1482"/>
        <v>13.025850503407188</v>
      </c>
      <c r="X192" s="67">
        <f t="shared" si="1482"/>
        <v>11.395114681691684</v>
      </c>
      <c r="Y192" s="67">
        <f t="shared" si="1482"/>
        <v>14.234860162427648</v>
      </c>
      <c r="Z192" s="67">
        <f t="shared" si="1482"/>
        <v>13.777187090629637</v>
      </c>
      <c r="AA192" s="67">
        <f t="shared" ref="AA192" si="1483">AA157/AA20*365</f>
        <v>13.584897612778274</v>
      </c>
      <c r="AB192" s="18">
        <f t="shared" si="1482"/>
        <v>13.694558848730711</v>
      </c>
      <c r="AC192" s="18">
        <f t="shared" si="1482"/>
        <v>13.694558848730708</v>
      </c>
      <c r="AD192" s="18">
        <f t="shared" si="1482"/>
        <v>13.694558848730706</v>
      </c>
      <c r="AE192" s="18">
        <f t="shared" si="1482"/>
        <v>13.694558848730711</v>
      </c>
      <c r="AI192" s="67" t="e">
        <f>AJ157/AI20*90</f>
        <v>#DIV/0!</v>
      </c>
      <c r="AJ192" s="67" t="e">
        <f>AJ157/AJ20*90</f>
        <v>#DIV/0!</v>
      </c>
      <c r="AK192" s="67" t="e">
        <f>+AJ192</f>
        <v>#DIV/0!</v>
      </c>
      <c r="AL192" s="67" t="e">
        <f>AL157/AL20*90</f>
        <v>#DIV/0!</v>
      </c>
      <c r="AM192" s="67" t="e">
        <f t="shared" si="1442"/>
        <v>#DIV/0!</v>
      </c>
      <c r="AN192" s="67" t="e">
        <f>AN157/AN20*90</f>
        <v>#DIV/0!</v>
      </c>
      <c r="AO192" s="67" t="e">
        <f t="shared" si="1443"/>
        <v>#DIV/0!</v>
      </c>
      <c r="AP192" s="67" t="e">
        <f>AP157/AP20*90</f>
        <v>#DIV/0!</v>
      </c>
      <c r="AQ192" s="67" t="e">
        <f t="shared" si="1444"/>
        <v>#DIV/0!</v>
      </c>
      <c r="AR192" s="67" t="e">
        <f>AR157/AR20*90</f>
        <v>#DIV/0!</v>
      </c>
      <c r="AS192" s="67" t="e">
        <f t="shared" si="1445"/>
        <v>#DIV/0!</v>
      </c>
      <c r="AT192" s="67" t="e">
        <f>AT157/AT20*90</f>
        <v>#DIV/0!</v>
      </c>
      <c r="AU192" s="67" t="e">
        <f t="shared" si="1446"/>
        <v>#DIV/0!</v>
      </c>
      <c r="AV192" s="67" t="e">
        <f>AV157/AV20*90</f>
        <v>#DIV/0!</v>
      </c>
      <c r="AW192" s="67" t="e">
        <f t="shared" si="1447"/>
        <v>#DIV/0!</v>
      </c>
      <c r="AX192" s="67" t="e">
        <f>AX157/AX20*90</f>
        <v>#DIV/0!</v>
      </c>
      <c r="AY192" s="67" t="e">
        <f t="shared" si="1448"/>
        <v>#DIV/0!</v>
      </c>
      <c r="AZ192" s="67" t="e">
        <f>AZ157/AZ20*90</f>
        <v>#DIV/0!</v>
      </c>
      <c r="BA192" s="67" t="e">
        <f t="shared" si="1449"/>
        <v>#DIV/0!</v>
      </c>
      <c r="BB192" s="67" t="e">
        <f>BB157/BB20*90</f>
        <v>#DIV/0!</v>
      </c>
      <c r="BC192" s="67" t="e">
        <f t="shared" si="1450"/>
        <v>#DIV/0!</v>
      </c>
      <c r="BD192" s="67" t="e">
        <f>BD157/BD20*90</f>
        <v>#DIV/0!</v>
      </c>
      <c r="BE192" s="67" t="e">
        <f t="shared" si="1451"/>
        <v>#DIV/0!</v>
      </c>
      <c r="BF192" s="67" t="e">
        <f>BF157/BF20*90</f>
        <v>#DIV/0!</v>
      </c>
      <c r="BG192" s="67" t="e">
        <f t="shared" si="1452"/>
        <v>#DIV/0!</v>
      </c>
      <c r="BH192" s="67" t="e">
        <f>BH157/BH20*90</f>
        <v>#DIV/0!</v>
      </c>
      <c r="BI192" s="67" t="e">
        <f t="shared" si="1453"/>
        <v>#DIV/0!</v>
      </c>
      <c r="BJ192" s="67" t="e">
        <f>BJ157/BJ20*90</f>
        <v>#DIV/0!</v>
      </c>
      <c r="BK192" s="67" t="e">
        <f t="shared" si="1454"/>
        <v>#DIV/0!</v>
      </c>
      <c r="BL192" s="67" t="e">
        <f>BL157/BL20*90</f>
        <v>#DIV/0!</v>
      </c>
      <c r="BM192" s="67" t="e">
        <f t="shared" si="1455"/>
        <v>#DIV/0!</v>
      </c>
      <c r="BN192" s="67" t="e">
        <f>BN157/BN20*90</f>
        <v>#DIV/0!</v>
      </c>
      <c r="BO192" s="67" t="e">
        <f t="shared" si="1456"/>
        <v>#DIV/0!</v>
      </c>
      <c r="BP192" s="67" t="e">
        <f>BP157/BP20*90</f>
        <v>#DIV/0!</v>
      </c>
      <c r="BQ192" s="67" t="e">
        <f t="shared" si="1457"/>
        <v>#DIV/0!</v>
      </c>
      <c r="BR192" s="67">
        <f>BR157/BR20*90</f>
        <v>13.928891927695396</v>
      </c>
      <c r="BS192" s="67">
        <f t="shared" si="1458"/>
        <v>13.928891927695396</v>
      </c>
      <c r="BT192" s="67">
        <f>BT157/BT20*90</f>
        <v>0</v>
      </c>
      <c r="BU192" s="67">
        <f t="shared" si="1459"/>
        <v>0</v>
      </c>
      <c r="BV192" s="67">
        <f>BV157/BV20*90</f>
        <v>11.917610985201973</v>
      </c>
      <c r="BW192" s="67">
        <f t="shared" si="1460"/>
        <v>11.917610985201973</v>
      </c>
      <c r="BX192" s="67">
        <f>BX157/BX20*90</f>
        <v>10.617067093919729</v>
      </c>
      <c r="BY192" s="67">
        <f t="shared" si="1461"/>
        <v>10.617067093919729</v>
      </c>
      <c r="BZ192" s="67">
        <f>BZ157/BZ20*90</f>
        <v>10.782876329043088</v>
      </c>
      <c r="CA192" s="67">
        <f t="shared" si="1462"/>
        <v>10.782876329043088</v>
      </c>
      <c r="CB192" s="67">
        <f>CB157/CB20*90</f>
        <v>10.632048241602357</v>
      </c>
      <c r="CC192" s="67">
        <f t="shared" si="1463"/>
        <v>10.632048241602357</v>
      </c>
      <c r="CD192" s="67">
        <f>CD157/CD20*90</f>
        <v>13.795663215471773</v>
      </c>
      <c r="CE192" s="114">
        <f t="shared" ref="CE192" si="1484">+CD192</f>
        <v>13.795663215471773</v>
      </c>
      <c r="CF192" s="67">
        <f>CF157/CF20*90</f>
        <v>13.388595395103122</v>
      </c>
      <c r="CG192" s="67">
        <f t="shared" si="1464"/>
        <v>13.388595395103122</v>
      </c>
      <c r="CH192" s="67">
        <f>CH157/CH20*90</f>
        <v>14.372914038565508</v>
      </c>
      <c r="CI192" s="67">
        <f t="shared" si="1464"/>
        <v>14.372914038565508</v>
      </c>
      <c r="CJ192" s="67">
        <f>CJ157/CJ20*90</f>
        <v>12.440729605940154</v>
      </c>
      <c r="CK192" s="67">
        <f t="shared" si="1465"/>
        <v>12.440729605940154</v>
      </c>
      <c r="CL192" s="67">
        <f>CL157/CL20*90</f>
        <v>13.370324302163173</v>
      </c>
      <c r="CM192" s="30">
        <f t="shared" si="1466"/>
        <v>13.370324302163173</v>
      </c>
      <c r="CN192" s="30">
        <f t="shared" si="1467"/>
        <v>13.370324302163173</v>
      </c>
      <c r="CO192" s="30">
        <f t="shared" si="1468"/>
        <v>13.370324302163173</v>
      </c>
      <c r="CP192" s="30">
        <f t="shared" si="1469"/>
        <v>13.370324302163173</v>
      </c>
      <c r="CQ192" s="30">
        <f t="shared" si="1470"/>
        <v>13.370324302163173</v>
      </c>
      <c r="CR192" s="30">
        <f t="shared" si="1471"/>
        <v>13.370324302163173</v>
      </c>
      <c r="CS192" s="30">
        <f t="shared" si="1472"/>
        <v>13.370324302163173</v>
      </c>
      <c r="CT192" s="30">
        <f t="shared" si="1473"/>
        <v>13.370324302163173</v>
      </c>
      <c r="CU192" s="30">
        <f t="shared" si="1474"/>
        <v>13.370324302163173</v>
      </c>
      <c r="CV192" s="30">
        <f t="shared" si="1475"/>
        <v>13.370324302163173</v>
      </c>
      <c r="CW192" s="30">
        <f t="shared" si="1476"/>
        <v>13.370324302163173</v>
      </c>
      <c r="CX192" s="30">
        <f t="shared" si="1477"/>
        <v>13.370324302163173</v>
      </c>
      <c r="CY192" s="30">
        <f t="shared" si="1478"/>
        <v>13.370324302163173</v>
      </c>
      <c r="CZ192" s="30">
        <f t="shared" si="1479"/>
        <v>13.370324302163173</v>
      </c>
      <c r="DA192" s="30">
        <f t="shared" si="1480"/>
        <v>13.370324302163173</v>
      </c>
      <c r="DB192" s="30">
        <f t="shared" si="1481"/>
        <v>13.370324302163173</v>
      </c>
      <c r="DE192" s="139"/>
      <c r="DF192" s="62">
        <v>13.584897612778274</v>
      </c>
    </row>
    <row r="193" spans="1:110" s="62" customFormat="1" outlineLevel="1" x14ac:dyDescent="0.2">
      <c r="A193" s="68" t="s">
        <v>466</v>
      </c>
      <c r="B193" s="67" t="e">
        <f>B194-B192-B191</f>
        <v>#DIV/0!</v>
      </c>
      <c r="C193" s="67" t="e">
        <f t="shared" ref="C193:U193" si="1485">C194-C192-C191</f>
        <v>#DIV/0!</v>
      </c>
      <c r="D193" s="67" t="e">
        <f t="shared" si="1485"/>
        <v>#DIV/0!</v>
      </c>
      <c r="E193" s="67" t="e">
        <f t="shared" si="1485"/>
        <v>#DIV/0!</v>
      </c>
      <c r="F193" s="67" t="e">
        <f t="shared" si="1485"/>
        <v>#DIV/0!</v>
      </c>
      <c r="G193" s="67" t="e">
        <f t="shared" si="1485"/>
        <v>#DIV/0!</v>
      </c>
      <c r="H193" s="67" t="e">
        <f t="shared" si="1485"/>
        <v>#DIV/0!</v>
      </c>
      <c r="I193" s="67" t="e">
        <f t="shared" si="1485"/>
        <v>#DIV/0!</v>
      </c>
      <c r="J193" s="67">
        <f t="shared" si="1485"/>
        <v>81.665560381976732</v>
      </c>
      <c r="K193" s="67">
        <f t="shared" si="1485"/>
        <v>95.285322827302309</v>
      </c>
      <c r="L193" s="67">
        <f t="shared" si="1485"/>
        <v>37.806997514910506</v>
      </c>
      <c r="M193" s="67">
        <f t="shared" si="1485"/>
        <v>80.049558934923837</v>
      </c>
      <c r="N193" s="67">
        <f t="shared" si="1485"/>
        <v>186.6625763168588</v>
      </c>
      <c r="O193" s="67">
        <f t="shared" si="1485"/>
        <v>209.75889662027822</v>
      </c>
      <c r="P193" s="67" t="e">
        <f t="shared" si="1485"/>
        <v>#DIV/0!</v>
      </c>
      <c r="Q193" s="67">
        <f t="shared" si="1485"/>
        <v>1267.1263157894739</v>
      </c>
      <c r="R193" s="67">
        <f t="shared" si="1485"/>
        <v>117.51657970449114</v>
      </c>
      <c r="S193" s="67">
        <f t="shared" si="1485"/>
        <v>95.801105722248366</v>
      </c>
      <c r="T193" s="67">
        <f t="shared" si="1485"/>
        <v>128.20732717011285</v>
      </c>
      <c r="U193" s="67">
        <f t="shared" si="1485"/>
        <v>202.3759217905716</v>
      </c>
      <c r="V193" s="67">
        <f>V194-V192-V191</f>
        <v>42.192113826469807</v>
      </c>
      <c r="W193" s="67">
        <f t="shared" ref="W193" si="1486">W194-W192-W191</f>
        <v>128.42347307724273</v>
      </c>
      <c r="X193" s="67">
        <f t="shared" ref="X193:Y193" si="1487">X194-X192-X191</f>
        <v>199.69825380091117</v>
      </c>
      <c r="Y193" s="67">
        <f t="shared" si="1487"/>
        <v>278.62351576818332</v>
      </c>
      <c r="Z193" s="67">
        <f t="shared" ref="Z193:AA193" si="1488">Z194-Z192-Z191</f>
        <v>174.95606619397023</v>
      </c>
      <c r="AA193" s="67">
        <f t="shared" ref="AA193" si="1489">AA194-AA192-AA191</f>
        <v>187.18970948577893</v>
      </c>
      <c r="AB193" s="18">
        <f t="shared" ref="AB193:AD193" si="1490">AB194-AB192-AB191</f>
        <v>208.16542962851349</v>
      </c>
      <c r="AC193" s="18">
        <f t="shared" si="1490"/>
        <v>208.16542962851344</v>
      </c>
      <c r="AD193" s="18">
        <f t="shared" si="1490"/>
        <v>208.16542962851346</v>
      </c>
      <c r="AE193" s="18">
        <f t="shared" ref="AE193" si="1491">AE194-AE192-AE191</f>
        <v>208.16542962851349</v>
      </c>
      <c r="AI193" s="67" t="e">
        <f t="shared" ref="AI193:AK193" si="1492">AI194-AI192-AI191</f>
        <v>#DIV/0!</v>
      </c>
      <c r="AJ193" s="67" t="e">
        <f t="shared" ref="AJ193:AM193" si="1493">AJ194-AJ192-AJ191</f>
        <v>#DIV/0!</v>
      </c>
      <c r="AK193" s="67" t="e">
        <f t="shared" si="1492"/>
        <v>#DIV/0!</v>
      </c>
      <c r="AL193" s="67" t="e">
        <f t="shared" si="1493"/>
        <v>#DIV/0!</v>
      </c>
      <c r="AM193" s="67" t="e">
        <f t="shared" si="1493"/>
        <v>#DIV/0!</v>
      </c>
      <c r="AN193" s="67" t="e">
        <f t="shared" ref="AN193:AY193" si="1494">AN194-AN192-AN191</f>
        <v>#DIV/0!</v>
      </c>
      <c r="AO193" s="67" t="e">
        <f t="shared" si="1494"/>
        <v>#DIV/0!</v>
      </c>
      <c r="AP193" s="67" t="e">
        <f t="shared" si="1494"/>
        <v>#DIV/0!</v>
      </c>
      <c r="AQ193" s="67" t="e">
        <f t="shared" si="1494"/>
        <v>#DIV/0!</v>
      </c>
      <c r="AR193" s="67" t="e">
        <f t="shared" si="1494"/>
        <v>#DIV/0!</v>
      </c>
      <c r="AS193" s="67" t="e">
        <f t="shared" si="1494"/>
        <v>#DIV/0!</v>
      </c>
      <c r="AT193" s="67" t="e">
        <f t="shared" si="1494"/>
        <v>#DIV/0!</v>
      </c>
      <c r="AU193" s="67" t="e">
        <f t="shared" si="1494"/>
        <v>#DIV/0!</v>
      </c>
      <c r="AV193" s="67" t="e">
        <f t="shared" si="1494"/>
        <v>#DIV/0!</v>
      </c>
      <c r="AW193" s="67" t="e">
        <f t="shared" si="1494"/>
        <v>#DIV/0!</v>
      </c>
      <c r="AX193" s="67" t="e">
        <f t="shared" si="1494"/>
        <v>#DIV/0!</v>
      </c>
      <c r="AY193" s="67" t="e">
        <f t="shared" si="1494"/>
        <v>#DIV/0!</v>
      </c>
      <c r="AZ193" s="67" t="e">
        <f t="shared" ref="AZ193:BC193" si="1495">AZ194-AZ192-AZ191</f>
        <v>#DIV/0!</v>
      </c>
      <c r="BA193" s="67" t="e">
        <f t="shared" si="1495"/>
        <v>#DIV/0!</v>
      </c>
      <c r="BB193" s="67" t="e">
        <f t="shared" si="1495"/>
        <v>#DIV/0!</v>
      </c>
      <c r="BC193" s="67" t="e">
        <f t="shared" si="1495"/>
        <v>#DIV/0!</v>
      </c>
      <c r="BD193" s="67" t="e">
        <f t="shared" ref="BD193:CE193" si="1496">BD194-BD192-BD191</f>
        <v>#DIV/0!</v>
      </c>
      <c r="BE193" s="67" t="e">
        <f t="shared" si="1496"/>
        <v>#DIV/0!</v>
      </c>
      <c r="BF193" s="67" t="e">
        <f t="shared" si="1496"/>
        <v>#DIV/0!</v>
      </c>
      <c r="BG193" s="67" t="e">
        <f t="shared" si="1496"/>
        <v>#DIV/0!</v>
      </c>
      <c r="BH193" s="67" t="e">
        <f t="shared" si="1496"/>
        <v>#DIV/0!</v>
      </c>
      <c r="BI193" s="67" t="e">
        <f t="shared" si="1496"/>
        <v>#DIV/0!</v>
      </c>
      <c r="BJ193" s="67" t="e">
        <f t="shared" si="1496"/>
        <v>#DIV/0!</v>
      </c>
      <c r="BK193" s="67" t="e">
        <f t="shared" si="1496"/>
        <v>#DIV/0!</v>
      </c>
      <c r="BL193" s="67" t="e">
        <f t="shared" si="1496"/>
        <v>#DIV/0!</v>
      </c>
      <c r="BM193" s="67" t="e">
        <f t="shared" si="1496"/>
        <v>#DIV/0!</v>
      </c>
      <c r="BN193" s="67" t="e">
        <f t="shared" si="1496"/>
        <v>#DIV/0!</v>
      </c>
      <c r="BO193" s="67" t="e">
        <f t="shared" si="1496"/>
        <v>#DIV/0!</v>
      </c>
      <c r="BP193" s="67" t="e">
        <f t="shared" si="1496"/>
        <v>#DIV/0!</v>
      </c>
      <c r="BQ193" s="67" t="e">
        <f t="shared" si="1496"/>
        <v>#DIV/0!</v>
      </c>
      <c r="BR193" s="67">
        <f t="shared" si="1496"/>
        <v>55.884791248237242</v>
      </c>
      <c r="BS193" s="67">
        <f t="shared" si="1496"/>
        <v>40.217319993439389</v>
      </c>
      <c r="BT193" s="67">
        <f t="shared" si="1496"/>
        <v>0</v>
      </c>
      <c r="BU193" s="67">
        <f t="shared" si="1496"/>
        <v>0</v>
      </c>
      <c r="BV193" s="67">
        <f t="shared" si="1496"/>
        <v>128.02772963604852</v>
      </c>
      <c r="BW193" s="67">
        <f t="shared" si="1496"/>
        <v>109.45496820077959</v>
      </c>
      <c r="BX193" s="67">
        <f t="shared" si="1496"/>
        <v>108.37597289490897</v>
      </c>
      <c r="BY193" s="67">
        <f t="shared" si="1496"/>
        <v>106.85323401110128</v>
      </c>
      <c r="BZ193" s="67">
        <f t="shared" si="1496"/>
        <v>200.59436205931723</v>
      </c>
      <c r="CA193" s="67">
        <f t="shared" si="1496"/>
        <v>163.84405745432107</v>
      </c>
      <c r="CB193" s="67">
        <f t="shared" si="1496"/>
        <v>177.75420224448331</v>
      </c>
      <c r="CC193" s="67">
        <f t="shared" si="1496"/>
        <v>177.90035684724637</v>
      </c>
      <c r="CD193" s="67">
        <f t="shared" si="1496"/>
        <v>290.33844500879076</v>
      </c>
      <c r="CE193" s="114">
        <f t="shared" si="1496"/>
        <v>225.17498968915976</v>
      </c>
      <c r="CF193" s="67">
        <f t="shared" ref="CF193:CG193" si="1497">CF194-CF192-CF191</f>
        <v>175.42615710096877</v>
      </c>
      <c r="CG193" s="67">
        <f t="shared" si="1497"/>
        <v>179.4528771515356</v>
      </c>
      <c r="CH193" s="67">
        <f t="shared" ref="CH193" si="1498">CH194-CH192-CH191</f>
        <v>182.52118399711659</v>
      </c>
      <c r="CI193" s="67">
        <f>CH193</f>
        <v>182.52118399711659</v>
      </c>
      <c r="CJ193" s="67">
        <f t="shared" ref="CJ193:CL193" si="1499">CJ194-CJ192-CJ191</f>
        <v>189.61421278828112</v>
      </c>
      <c r="CK193" s="67">
        <f t="shared" ref="CK193:DB193" si="1500">CJ193</f>
        <v>189.61421278828112</v>
      </c>
      <c r="CL193" s="67">
        <f t="shared" si="1499"/>
        <v>203.23687191211116</v>
      </c>
      <c r="CM193" s="30">
        <f t="shared" si="1500"/>
        <v>203.23687191211116</v>
      </c>
      <c r="CN193" s="30">
        <f t="shared" si="1500"/>
        <v>203.23687191211116</v>
      </c>
      <c r="CO193" s="30">
        <f t="shared" si="1500"/>
        <v>203.23687191211116</v>
      </c>
      <c r="CP193" s="30">
        <f t="shared" si="1500"/>
        <v>203.23687191211116</v>
      </c>
      <c r="CQ193" s="30">
        <f t="shared" si="1500"/>
        <v>203.23687191211116</v>
      </c>
      <c r="CR193" s="30">
        <f t="shared" si="1500"/>
        <v>203.23687191211116</v>
      </c>
      <c r="CS193" s="30">
        <f t="shared" si="1500"/>
        <v>203.23687191211116</v>
      </c>
      <c r="CT193" s="30">
        <f t="shared" si="1500"/>
        <v>203.23687191211116</v>
      </c>
      <c r="CU193" s="30">
        <f t="shared" si="1500"/>
        <v>203.23687191211116</v>
      </c>
      <c r="CV193" s="30">
        <f t="shared" si="1500"/>
        <v>203.23687191211116</v>
      </c>
      <c r="CW193" s="30">
        <f t="shared" si="1500"/>
        <v>203.23687191211116</v>
      </c>
      <c r="CX193" s="30">
        <f t="shared" si="1500"/>
        <v>203.23687191211116</v>
      </c>
      <c r="CY193" s="30">
        <f t="shared" si="1500"/>
        <v>203.23687191211116</v>
      </c>
      <c r="CZ193" s="30">
        <f t="shared" si="1500"/>
        <v>203.23687191211116</v>
      </c>
      <c r="DA193" s="30">
        <f t="shared" si="1500"/>
        <v>203.23687191211116</v>
      </c>
      <c r="DB193" s="30">
        <f t="shared" si="1500"/>
        <v>203.23687191211116</v>
      </c>
      <c r="DE193" s="139"/>
      <c r="DF193" s="62">
        <v>187.18970948577893</v>
      </c>
    </row>
    <row r="194" spans="1:110" s="7" customFormat="1" outlineLevel="1" x14ac:dyDescent="0.2">
      <c r="A194" s="69" t="s">
        <v>467</v>
      </c>
      <c r="B194" s="70" t="e">
        <f t="shared" ref="B194:AE194" si="1501">B160/B20*365</f>
        <v>#DIV/0!</v>
      </c>
      <c r="C194" s="70" t="e">
        <f t="shared" si="1501"/>
        <v>#DIV/0!</v>
      </c>
      <c r="D194" s="70" t="e">
        <f t="shared" si="1501"/>
        <v>#DIV/0!</v>
      </c>
      <c r="E194" s="70" t="e">
        <f t="shared" si="1501"/>
        <v>#DIV/0!</v>
      </c>
      <c r="F194" s="70" t="e">
        <f t="shared" si="1501"/>
        <v>#DIV/0!</v>
      </c>
      <c r="G194" s="70" t="e">
        <f t="shared" si="1501"/>
        <v>#DIV/0!</v>
      </c>
      <c r="H194" s="70" t="e">
        <f t="shared" si="1501"/>
        <v>#DIV/0!</v>
      </c>
      <c r="I194" s="70" t="e">
        <f t="shared" si="1501"/>
        <v>#DIV/0!</v>
      </c>
      <c r="J194" s="70">
        <f t="shared" si="1501"/>
        <v>178.18274755066619</v>
      </c>
      <c r="K194" s="70">
        <f t="shared" si="1501"/>
        <v>257.21072351941962</v>
      </c>
      <c r="L194" s="70">
        <f t="shared" si="1501"/>
        <v>309.80679348906557</v>
      </c>
      <c r="M194" s="70">
        <f t="shared" si="1501"/>
        <v>80.049558934923837</v>
      </c>
      <c r="N194" s="70">
        <f t="shared" si="1501"/>
        <v>186.6625763168588</v>
      </c>
      <c r="O194" s="70">
        <f t="shared" si="1501"/>
        <v>578.86148210735576</v>
      </c>
      <c r="P194" s="70" t="e">
        <f t="shared" si="1501"/>
        <v>#DIV/0!</v>
      </c>
      <c r="Q194" s="70">
        <f t="shared" si="1501"/>
        <v>1643.6526315789476</v>
      </c>
      <c r="R194" s="70">
        <f t="shared" si="1501"/>
        <v>183.90610523235966</v>
      </c>
      <c r="S194" s="70">
        <f t="shared" si="1501"/>
        <v>116.0697093633501</v>
      </c>
      <c r="T194" s="70">
        <f t="shared" si="1501"/>
        <v>142.7420305365039</v>
      </c>
      <c r="U194" s="70">
        <f t="shared" si="1501"/>
        <v>212.40105536921348</v>
      </c>
      <c r="V194" s="70">
        <f t="shared" si="1501"/>
        <v>57.139040335400942</v>
      </c>
      <c r="W194" s="70">
        <f t="shared" si="1501"/>
        <v>141.44932358064992</v>
      </c>
      <c r="X194" s="70">
        <f t="shared" si="1501"/>
        <v>211.09336848260287</v>
      </c>
      <c r="Y194" s="70">
        <f t="shared" si="1501"/>
        <v>292.85837593061098</v>
      </c>
      <c r="Z194" s="70">
        <f t="shared" si="1501"/>
        <v>188.73325328459987</v>
      </c>
      <c r="AA194" s="70">
        <f t="shared" ref="AA194" si="1502">AA160/AA20*365</f>
        <v>200.7746070985572</v>
      </c>
      <c r="AB194" s="71">
        <f t="shared" si="1501"/>
        <v>221.8599884772442</v>
      </c>
      <c r="AC194" s="71">
        <f t="shared" si="1501"/>
        <v>221.85998847724414</v>
      </c>
      <c r="AD194" s="71">
        <f t="shared" si="1501"/>
        <v>221.85998847724417</v>
      </c>
      <c r="AE194" s="71">
        <f t="shared" si="1501"/>
        <v>221.8599884772442</v>
      </c>
      <c r="AI194" s="70" t="e">
        <f t="shared" ref="AI194:CD194" si="1503">AI160/AI20*90</f>
        <v>#DIV/0!</v>
      </c>
      <c r="AJ194" s="70" t="e">
        <f t="shared" si="1503"/>
        <v>#DIV/0!</v>
      </c>
      <c r="AK194" s="70" t="e">
        <f t="shared" si="1503"/>
        <v>#DIV/0!</v>
      </c>
      <c r="AL194" s="70" t="e">
        <f t="shared" si="1503"/>
        <v>#DIV/0!</v>
      </c>
      <c r="AM194" s="70" t="e">
        <f t="shared" si="1503"/>
        <v>#DIV/0!</v>
      </c>
      <c r="AN194" s="70" t="e">
        <f t="shared" si="1503"/>
        <v>#DIV/0!</v>
      </c>
      <c r="AO194" s="70" t="e">
        <f t="shared" si="1503"/>
        <v>#DIV/0!</v>
      </c>
      <c r="AP194" s="70" t="e">
        <f t="shared" si="1503"/>
        <v>#DIV/0!</v>
      </c>
      <c r="AQ194" s="70" t="e">
        <f t="shared" si="1503"/>
        <v>#DIV/0!</v>
      </c>
      <c r="AR194" s="70" t="e">
        <f t="shared" si="1503"/>
        <v>#DIV/0!</v>
      </c>
      <c r="AS194" s="70" t="e">
        <f t="shared" si="1503"/>
        <v>#DIV/0!</v>
      </c>
      <c r="AT194" s="70" t="e">
        <f t="shared" si="1503"/>
        <v>#DIV/0!</v>
      </c>
      <c r="AU194" s="70" t="e">
        <f t="shared" si="1503"/>
        <v>#DIV/0!</v>
      </c>
      <c r="AV194" s="70" t="e">
        <f t="shared" si="1503"/>
        <v>#DIV/0!</v>
      </c>
      <c r="AW194" s="70" t="e">
        <f t="shared" si="1503"/>
        <v>#DIV/0!</v>
      </c>
      <c r="AX194" s="70" t="e">
        <f t="shared" si="1503"/>
        <v>#DIV/0!</v>
      </c>
      <c r="AY194" s="70" t="e">
        <f t="shared" si="1503"/>
        <v>#DIV/0!</v>
      </c>
      <c r="AZ194" s="70" t="e">
        <f t="shared" si="1503"/>
        <v>#DIV/0!</v>
      </c>
      <c r="BA194" s="70" t="e">
        <f t="shared" si="1503"/>
        <v>#DIV/0!</v>
      </c>
      <c r="BB194" s="70" t="e">
        <f t="shared" si="1503"/>
        <v>#DIV/0!</v>
      </c>
      <c r="BC194" s="70" t="e">
        <f t="shared" si="1503"/>
        <v>#DIV/0!</v>
      </c>
      <c r="BD194" s="70" t="e">
        <f t="shared" si="1503"/>
        <v>#DIV/0!</v>
      </c>
      <c r="BE194" s="70" t="e">
        <f t="shared" si="1503"/>
        <v>#DIV/0!</v>
      </c>
      <c r="BF194" s="70" t="e">
        <f t="shared" si="1503"/>
        <v>#DIV/0!</v>
      </c>
      <c r="BG194" s="70" t="e">
        <f t="shared" si="1503"/>
        <v>#DIV/0!</v>
      </c>
      <c r="BH194" s="70" t="e">
        <f t="shared" si="1503"/>
        <v>#DIV/0!</v>
      </c>
      <c r="BI194" s="70" t="e">
        <f t="shared" si="1503"/>
        <v>#DIV/0!</v>
      </c>
      <c r="BJ194" s="70" t="e">
        <f t="shared" si="1503"/>
        <v>#DIV/0!</v>
      </c>
      <c r="BK194" s="70" t="e">
        <f t="shared" si="1503"/>
        <v>#DIV/0!</v>
      </c>
      <c r="BL194" s="70" t="e">
        <f t="shared" si="1503"/>
        <v>#DIV/0!</v>
      </c>
      <c r="BM194" s="70" t="e">
        <f t="shared" si="1503"/>
        <v>#DIV/0!</v>
      </c>
      <c r="BN194" s="70" t="e">
        <f t="shared" si="1503"/>
        <v>#DIV/0!</v>
      </c>
      <c r="BO194" s="70" t="e">
        <f t="shared" si="1503"/>
        <v>#DIV/0!</v>
      </c>
      <c r="BP194" s="70" t="e">
        <f t="shared" si="1503"/>
        <v>#DIV/0!</v>
      </c>
      <c r="BQ194" s="70" t="e">
        <f t="shared" si="1503"/>
        <v>#DIV/0!</v>
      </c>
      <c r="BR194" s="70">
        <f t="shared" si="1503"/>
        <v>69.813683175932638</v>
      </c>
      <c r="BS194" s="70">
        <f t="shared" si="1503"/>
        <v>54.146211921134785</v>
      </c>
      <c r="BT194" s="70">
        <f t="shared" si="1503"/>
        <v>0</v>
      </c>
      <c r="BU194" s="70">
        <f t="shared" si="1503"/>
        <v>0</v>
      </c>
      <c r="BV194" s="70">
        <f t="shared" si="1503"/>
        <v>139.94534062125049</v>
      </c>
      <c r="BW194" s="70">
        <f t="shared" si="1503"/>
        <v>121.37257918598156</v>
      </c>
      <c r="BX194" s="70">
        <f t="shared" si="1503"/>
        <v>118.9930399888287</v>
      </c>
      <c r="BY194" s="70">
        <f t="shared" si="1503"/>
        <v>117.47030110502101</v>
      </c>
      <c r="BZ194" s="70">
        <f t="shared" si="1503"/>
        <v>211.37723838836033</v>
      </c>
      <c r="CA194" s="70">
        <f t="shared" si="1503"/>
        <v>174.62693378336417</v>
      </c>
      <c r="CB194" s="70">
        <f t="shared" si="1503"/>
        <v>188.38625048608566</v>
      </c>
      <c r="CC194" s="70">
        <f t="shared" si="1503"/>
        <v>188.53240508884872</v>
      </c>
      <c r="CD194" s="70">
        <f t="shared" si="1503"/>
        <v>304.13410822426255</v>
      </c>
      <c r="CE194" s="115">
        <f>CE160/CE22*90</f>
        <v>238.97065290463152</v>
      </c>
      <c r="CF194" s="70">
        <f>CF160/CF20*90</f>
        <v>188.81475249607189</v>
      </c>
      <c r="CG194" s="70">
        <f>CG160/CG22*90</f>
        <v>192.84147254663873</v>
      </c>
      <c r="CH194" s="70">
        <f>CH160/CH20*90</f>
        <v>196.89409803568211</v>
      </c>
      <c r="CI194" s="70">
        <f>CI191+CI192+CI193</f>
        <v>196.89409803568211</v>
      </c>
      <c r="CJ194" s="70">
        <f>CJ160/CJ20*90</f>
        <v>202.05494239422129</v>
      </c>
      <c r="CK194" s="70">
        <f t="shared" ref="CK194:DB194" si="1504">CK191+CK192+CK193</f>
        <v>202.05494239422129</v>
      </c>
      <c r="CL194" s="70">
        <f>CL160/CL20*90</f>
        <v>216.60719621427432</v>
      </c>
      <c r="CM194" s="50">
        <f t="shared" si="1504"/>
        <v>216.60719621427432</v>
      </c>
      <c r="CN194" s="50">
        <f t="shared" si="1504"/>
        <v>216.60719621427432</v>
      </c>
      <c r="CO194" s="50">
        <f t="shared" si="1504"/>
        <v>216.60719621427432</v>
      </c>
      <c r="CP194" s="50">
        <f t="shared" si="1504"/>
        <v>216.60719621427432</v>
      </c>
      <c r="CQ194" s="50">
        <f t="shared" si="1504"/>
        <v>216.60719621427432</v>
      </c>
      <c r="CR194" s="50">
        <f t="shared" si="1504"/>
        <v>216.60719621427432</v>
      </c>
      <c r="CS194" s="50">
        <f t="shared" si="1504"/>
        <v>216.60719621427432</v>
      </c>
      <c r="CT194" s="50">
        <f t="shared" si="1504"/>
        <v>216.60719621427432</v>
      </c>
      <c r="CU194" s="50">
        <f t="shared" si="1504"/>
        <v>216.60719621427432</v>
      </c>
      <c r="CV194" s="50">
        <f t="shared" si="1504"/>
        <v>216.60719621427432</v>
      </c>
      <c r="CW194" s="50">
        <f t="shared" si="1504"/>
        <v>216.60719621427432</v>
      </c>
      <c r="CX194" s="50">
        <f t="shared" si="1504"/>
        <v>216.60719621427432</v>
      </c>
      <c r="CY194" s="50">
        <f t="shared" si="1504"/>
        <v>216.60719621427432</v>
      </c>
      <c r="CZ194" s="50">
        <f t="shared" si="1504"/>
        <v>216.60719621427432</v>
      </c>
      <c r="DA194" s="50">
        <f t="shared" si="1504"/>
        <v>216.60719621427432</v>
      </c>
      <c r="DB194" s="50">
        <f t="shared" si="1504"/>
        <v>216.60719621427432</v>
      </c>
      <c r="DE194" s="138"/>
      <c r="DF194" s="7">
        <v>200.7746070985572</v>
      </c>
    </row>
    <row r="195" spans="1:110" s="62" customFormat="1" outlineLevel="1" x14ac:dyDescent="0.2">
      <c r="A195" s="68" t="s">
        <v>468</v>
      </c>
      <c r="B195" s="67" t="e">
        <f t="shared" ref="B195:AE195" si="1505">B165/B20*365</f>
        <v>#DIV/0!</v>
      </c>
      <c r="C195" s="67" t="e">
        <f t="shared" si="1505"/>
        <v>#DIV/0!</v>
      </c>
      <c r="D195" s="67" t="e">
        <f t="shared" si="1505"/>
        <v>#DIV/0!</v>
      </c>
      <c r="E195" s="67" t="e">
        <f t="shared" si="1505"/>
        <v>#DIV/0!</v>
      </c>
      <c r="F195" s="67" t="e">
        <f t="shared" si="1505"/>
        <v>#DIV/0!</v>
      </c>
      <c r="G195" s="67" t="e">
        <f t="shared" si="1505"/>
        <v>#DIV/0!</v>
      </c>
      <c r="H195" s="67" t="e">
        <f t="shared" si="1505"/>
        <v>#DIV/0!</v>
      </c>
      <c r="I195" s="67" t="e">
        <f t="shared" si="1505"/>
        <v>#DIV/0!</v>
      </c>
      <c r="J195" s="67">
        <f t="shared" si="1505"/>
        <v>0</v>
      </c>
      <c r="K195" s="67">
        <f t="shared" si="1505"/>
        <v>0</v>
      </c>
      <c r="L195" s="67">
        <f t="shared" si="1505"/>
        <v>61.724348161033795</v>
      </c>
      <c r="M195" s="67">
        <f t="shared" si="1505"/>
        <v>0</v>
      </c>
      <c r="N195" s="67">
        <f t="shared" si="1505"/>
        <v>0</v>
      </c>
      <c r="O195" s="67">
        <f t="shared" si="1505"/>
        <v>0</v>
      </c>
      <c r="P195" s="67" t="e">
        <f t="shared" si="1505"/>
        <v>#DIV/0!</v>
      </c>
      <c r="Q195" s="67">
        <f t="shared" si="1505"/>
        <v>0</v>
      </c>
      <c r="R195" s="67">
        <f t="shared" si="1505"/>
        <v>36.184961232749785</v>
      </c>
      <c r="S195" s="67">
        <f t="shared" si="1505"/>
        <v>8.8908393354808357</v>
      </c>
      <c r="T195" s="67">
        <f t="shared" si="1505"/>
        <v>0.21378445118534131</v>
      </c>
      <c r="U195" s="67">
        <f t="shared" si="1505"/>
        <v>1.8259514747142334</v>
      </c>
      <c r="V195" s="67">
        <f t="shared" si="1505"/>
        <v>0.27829285923728247</v>
      </c>
      <c r="W195" s="67">
        <f t="shared" si="1505"/>
        <v>0</v>
      </c>
      <c r="X195" s="67">
        <f t="shared" si="1505"/>
        <v>0.20950032772446936</v>
      </c>
      <c r="Y195" s="67">
        <f t="shared" si="1505"/>
        <v>1.0380735100732064E-2</v>
      </c>
      <c r="Z195" s="67">
        <f t="shared" si="1505"/>
        <v>2.604103995486717E-2</v>
      </c>
      <c r="AA195" s="67">
        <f t="shared" ref="AA195" si="1506">AA165/AA20*365</f>
        <v>4.4480229800013059E-2</v>
      </c>
      <c r="AB195" s="18">
        <f t="shared" si="1505"/>
        <v>4.4839287123399123E-2</v>
      </c>
      <c r="AC195" s="18">
        <f t="shared" si="1505"/>
        <v>4.4839287123399123E-2</v>
      </c>
      <c r="AD195" s="18">
        <f t="shared" si="1505"/>
        <v>4.4839287123399109E-2</v>
      </c>
      <c r="AE195" s="18">
        <f t="shared" si="1505"/>
        <v>4.4839287123399123E-2</v>
      </c>
      <c r="AI195" s="67" t="e">
        <f>AJ165/AI20*90</f>
        <v>#DIV/0!</v>
      </c>
      <c r="AJ195" s="67" t="e">
        <f>AJ165/AJ20*90</f>
        <v>#DIV/0!</v>
      </c>
      <c r="AK195" s="67" t="e">
        <f t="shared" ref="AK195:CE195" si="1507">+AJ195</f>
        <v>#DIV/0!</v>
      </c>
      <c r="AL195" s="67" t="e">
        <f>AL165/AL20*90</f>
        <v>#DIV/0!</v>
      </c>
      <c r="AM195" s="67" t="e">
        <f t="shared" ref="AM195" si="1508">+AL195</f>
        <v>#DIV/0!</v>
      </c>
      <c r="AN195" s="67" t="e">
        <f>AN165/AN20*90</f>
        <v>#DIV/0!</v>
      </c>
      <c r="AO195" s="67" t="e">
        <f t="shared" ref="AO195" si="1509">+AN195</f>
        <v>#DIV/0!</v>
      </c>
      <c r="AP195" s="67" t="e">
        <f>AP165/AP20*90</f>
        <v>#DIV/0!</v>
      </c>
      <c r="AQ195" s="67" t="e">
        <f t="shared" ref="AQ195" si="1510">+AP195</f>
        <v>#DIV/0!</v>
      </c>
      <c r="AR195" s="67" t="e">
        <f>AR165/AR20*90</f>
        <v>#DIV/0!</v>
      </c>
      <c r="AS195" s="67" t="e">
        <f t="shared" ref="AS195" si="1511">+AR195</f>
        <v>#DIV/0!</v>
      </c>
      <c r="AT195" s="67" t="e">
        <f>AT165/AT20*90</f>
        <v>#DIV/0!</v>
      </c>
      <c r="AU195" s="67" t="e">
        <f t="shared" ref="AU195" si="1512">+AT195</f>
        <v>#DIV/0!</v>
      </c>
      <c r="AV195" s="67" t="e">
        <f>AV165/AV20*90</f>
        <v>#DIV/0!</v>
      </c>
      <c r="AW195" s="67" t="e">
        <f t="shared" ref="AW195" si="1513">+AV195</f>
        <v>#DIV/0!</v>
      </c>
      <c r="AX195" s="67" t="e">
        <f>AX165/AX20*90</f>
        <v>#DIV/0!</v>
      </c>
      <c r="AY195" s="67" t="e">
        <f t="shared" ref="AY195" si="1514">+AX195</f>
        <v>#DIV/0!</v>
      </c>
      <c r="AZ195" s="67" t="e">
        <f>AZ165/AZ20*90</f>
        <v>#DIV/0!</v>
      </c>
      <c r="BA195" s="67" t="e">
        <f t="shared" ref="BA195" si="1515">+AZ195</f>
        <v>#DIV/0!</v>
      </c>
      <c r="BB195" s="67" t="e">
        <f>BB165/BB20*90</f>
        <v>#DIV/0!</v>
      </c>
      <c r="BC195" s="67" t="e">
        <f t="shared" ref="BC195" si="1516">+BB195</f>
        <v>#DIV/0!</v>
      </c>
      <c r="BD195" s="67" t="e">
        <f>BD165/BD20*90</f>
        <v>#DIV/0!</v>
      </c>
      <c r="BE195" s="67" t="e">
        <f t="shared" ref="BE195" si="1517">+BD195</f>
        <v>#DIV/0!</v>
      </c>
      <c r="BF195" s="67" t="e">
        <f>BF165/BF20*90</f>
        <v>#DIV/0!</v>
      </c>
      <c r="BG195" s="67" t="e">
        <f t="shared" ref="BG195" si="1518">+BF195</f>
        <v>#DIV/0!</v>
      </c>
      <c r="BH195" s="67" t="e">
        <f>BH165/BH20*90</f>
        <v>#DIV/0!</v>
      </c>
      <c r="BI195" s="67" t="e">
        <f t="shared" ref="BI195" si="1519">+BH195</f>
        <v>#DIV/0!</v>
      </c>
      <c r="BJ195" s="67" t="e">
        <f>BJ165/BJ20*90</f>
        <v>#DIV/0!</v>
      </c>
      <c r="BK195" s="67" t="e">
        <f t="shared" ref="BK195" si="1520">+BJ195</f>
        <v>#DIV/0!</v>
      </c>
      <c r="BL195" s="67" t="e">
        <f>BL165/BL20*90</f>
        <v>#DIV/0!</v>
      </c>
      <c r="BM195" s="67" t="e">
        <f t="shared" ref="BM195" si="1521">+BL195</f>
        <v>#DIV/0!</v>
      </c>
      <c r="BN195" s="67" t="e">
        <f>BN165/BN20*90</f>
        <v>#DIV/0!</v>
      </c>
      <c r="BO195" s="67" t="e">
        <f t="shared" ref="BO195" si="1522">+BN195</f>
        <v>#DIV/0!</v>
      </c>
      <c r="BP195" s="67" t="e">
        <f>BP165/BP20*90</f>
        <v>#DIV/0!</v>
      </c>
      <c r="BQ195" s="67" t="e">
        <f t="shared" ref="BQ195" si="1523">+BP195</f>
        <v>#DIV/0!</v>
      </c>
      <c r="BR195" s="67">
        <f>BR165/BR20*90</f>
        <v>0.26024528866287766</v>
      </c>
      <c r="BS195" s="67">
        <f t="shared" ref="BS195" si="1524">+BR195</f>
        <v>0.26024528866287766</v>
      </c>
      <c r="BT195" s="67">
        <f>BT165/BT20*90</f>
        <v>0</v>
      </c>
      <c r="BU195" s="67">
        <f t="shared" ref="BU195" si="1525">+BT195</f>
        <v>0</v>
      </c>
      <c r="BV195" s="67">
        <f>BV165/BV20*90</f>
        <v>0</v>
      </c>
      <c r="BW195" s="67">
        <f t="shared" ref="BW195" si="1526">+BV195</f>
        <v>0</v>
      </c>
      <c r="BX195" s="67">
        <f>BX165/BX20*90</f>
        <v>0</v>
      </c>
      <c r="BY195" s="67">
        <f t="shared" ref="BY195" si="1527">+BX195</f>
        <v>0</v>
      </c>
      <c r="BZ195" s="67">
        <f>BZ165/BZ20*90</f>
        <v>0.19830721880246222</v>
      </c>
      <c r="CA195" s="67">
        <f t="shared" ref="CA195" si="1528">+BZ195</f>
        <v>0.19830721880246222</v>
      </c>
      <c r="CB195" s="67">
        <f>CB165/CB20*90</f>
        <v>4.7321462802810813E-2</v>
      </c>
      <c r="CC195" s="67">
        <f t="shared" ref="CC195" si="1529">+CB195</f>
        <v>4.7321462802810813E-2</v>
      </c>
      <c r="CD195" s="67">
        <f>CD165/CD20*90</f>
        <v>1.0255909357296348E-2</v>
      </c>
      <c r="CE195" s="114">
        <f t="shared" si="1507"/>
        <v>1.0255909357296348E-2</v>
      </c>
      <c r="CF195" s="67">
        <f>CF165/CF20*90</f>
        <v>3.7116310143887567E-4</v>
      </c>
      <c r="CG195" s="67">
        <f t="shared" ref="CG195:CI195" si="1530">+CF195</f>
        <v>3.7116310143887567E-4</v>
      </c>
      <c r="CH195" s="67">
        <f>CH165/CH20*90</f>
        <v>2.7167057127410344E-2</v>
      </c>
      <c r="CI195" s="67">
        <f t="shared" si="1530"/>
        <v>2.7167057127410344E-2</v>
      </c>
      <c r="CJ195" s="67">
        <f>CJ165/CJ20*90</f>
        <v>7.5059018179617035E-2</v>
      </c>
      <c r="CK195" s="67">
        <f t="shared" ref="CK195" si="1531">+CJ195</f>
        <v>7.5059018179617035E-2</v>
      </c>
      <c r="CL195" s="67">
        <f>CL165/CL20*90</f>
        <v>4.3777665052220506E-2</v>
      </c>
      <c r="CM195" s="30">
        <f t="shared" ref="CM195" si="1532">+CL195</f>
        <v>4.3777665052220506E-2</v>
      </c>
      <c r="CN195" s="30">
        <f t="shared" ref="CN195" si="1533">+CM195</f>
        <v>4.3777665052220506E-2</v>
      </c>
      <c r="CO195" s="30">
        <f t="shared" ref="CO195" si="1534">+CN195</f>
        <v>4.3777665052220506E-2</v>
      </c>
      <c r="CP195" s="30">
        <f t="shared" ref="CP195" si="1535">+CO195</f>
        <v>4.3777665052220506E-2</v>
      </c>
      <c r="CQ195" s="30">
        <f t="shared" ref="CQ195" si="1536">+CP195</f>
        <v>4.3777665052220506E-2</v>
      </c>
      <c r="CR195" s="30">
        <f t="shared" ref="CR195" si="1537">+CQ195</f>
        <v>4.3777665052220506E-2</v>
      </c>
      <c r="CS195" s="30">
        <f t="shared" ref="CS195" si="1538">+CR195</f>
        <v>4.3777665052220506E-2</v>
      </c>
      <c r="CT195" s="30">
        <f t="shared" ref="CT195" si="1539">+CS195</f>
        <v>4.3777665052220506E-2</v>
      </c>
      <c r="CU195" s="30">
        <f t="shared" ref="CU195" si="1540">+CT195</f>
        <v>4.3777665052220506E-2</v>
      </c>
      <c r="CV195" s="30">
        <f t="shared" ref="CV195" si="1541">+CU195</f>
        <v>4.3777665052220506E-2</v>
      </c>
      <c r="CW195" s="30">
        <f t="shared" ref="CW195" si="1542">+CV195</f>
        <v>4.3777665052220506E-2</v>
      </c>
      <c r="CX195" s="30">
        <f t="shared" ref="CX195" si="1543">+CW195</f>
        <v>4.3777665052220506E-2</v>
      </c>
      <c r="CY195" s="30">
        <f t="shared" ref="CY195" si="1544">+CX195</f>
        <v>4.3777665052220506E-2</v>
      </c>
      <c r="CZ195" s="30">
        <f t="shared" ref="CZ195" si="1545">+CY195</f>
        <v>4.3777665052220506E-2</v>
      </c>
      <c r="DA195" s="30">
        <f t="shared" ref="DA195" si="1546">+CZ195</f>
        <v>4.3777665052220506E-2</v>
      </c>
      <c r="DB195" s="30">
        <f t="shared" ref="DB195" si="1547">+DA195</f>
        <v>4.3777665052220506E-2</v>
      </c>
      <c r="DE195" s="139"/>
      <c r="DF195" s="62">
        <v>4.4480229800013059E-2</v>
      </c>
    </row>
    <row r="196" spans="1:110" s="62" customFormat="1" outlineLevel="1" x14ac:dyDescent="0.2">
      <c r="A196" s="68" t="s">
        <v>466</v>
      </c>
      <c r="B196" s="67" t="e">
        <f>B197-B195</f>
        <v>#DIV/0!</v>
      </c>
      <c r="C196" s="67" t="e">
        <f t="shared" ref="C196:V196" si="1548">C197-C195</f>
        <v>#DIV/0!</v>
      </c>
      <c r="D196" s="67" t="e">
        <f t="shared" si="1548"/>
        <v>#DIV/0!</v>
      </c>
      <c r="E196" s="67" t="e">
        <f t="shared" si="1548"/>
        <v>#DIV/0!</v>
      </c>
      <c r="F196" s="67" t="e">
        <f t="shared" si="1548"/>
        <v>#DIV/0!</v>
      </c>
      <c r="G196" s="67" t="e">
        <f t="shared" si="1548"/>
        <v>#DIV/0!</v>
      </c>
      <c r="H196" s="67" t="e">
        <f t="shared" si="1548"/>
        <v>#DIV/0!</v>
      </c>
      <c r="I196" s="67" t="e">
        <f t="shared" si="1548"/>
        <v>#DIV/0!</v>
      </c>
      <c r="J196" s="67">
        <f t="shared" si="1548"/>
        <v>4.4607795630954152</v>
      </c>
      <c r="K196" s="67">
        <f t="shared" si="1548"/>
        <v>5.1646414097734299</v>
      </c>
      <c r="L196" s="67">
        <f t="shared" si="1548"/>
        <v>3.9628623260437408</v>
      </c>
      <c r="M196" s="67">
        <f t="shared" si="1548"/>
        <v>5.9428682611638388</v>
      </c>
      <c r="N196" s="67">
        <f t="shared" si="1548"/>
        <v>13.547460538946638</v>
      </c>
      <c r="O196" s="67">
        <f t="shared" si="1548"/>
        <v>8.7080437375745525</v>
      </c>
      <c r="P196" s="67" t="e">
        <f t="shared" si="1548"/>
        <v>#DIV/0!</v>
      </c>
      <c r="Q196" s="67">
        <f t="shared" si="1548"/>
        <v>375.7578947368421</v>
      </c>
      <c r="R196" s="67">
        <f t="shared" si="1548"/>
        <v>111.87435997464281</v>
      </c>
      <c r="S196" s="67">
        <f t="shared" si="1548"/>
        <v>117.47004958558036</v>
      </c>
      <c r="T196" s="67">
        <f t="shared" si="1548"/>
        <v>189.15964958584462</v>
      </c>
      <c r="U196" s="67">
        <f t="shared" si="1548"/>
        <v>251.65351222173004</v>
      </c>
      <c r="V196" s="67">
        <f t="shared" si="1548"/>
        <v>72.924422097446865</v>
      </c>
      <c r="W196" s="67">
        <f t="shared" ref="W196" si="1549">W197-W195</f>
        <v>87.316711422754963</v>
      </c>
      <c r="X196" s="67">
        <f t="shared" ref="X196:Y196" si="1550">X197-X195</f>
        <v>84.421313865260402</v>
      </c>
      <c r="Y196" s="67">
        <f t="shared" si="1550"/>
        <v>104.09518964273511</v>
      </c>
      <c r="Z196" s="67">
        <f t="shared" ref="Z196:AA196" si="1551">Z197-Z195</f>
        <v>95.555769354865859</v>
      </c>
      <c r="AA196" s="67">
        <f t="shared" ref="AA196" si="1552">AA197-AA195</f>
        <v>88.55804060670684</v>
      </c>
      <c r="AB196" s="18">
        <f t="shared" ref="AB196:AD196" si="1553">AB197-AB195</f>
        <v>89.272778698331493</v>
      </c>
      <c r="AC196" s="18">
        <f t="shared" si="1553"/>
        <v>89.272778698331479</v>
      </c>
      <c r="AD196" s="18">
        <f t="shared" si="1553"/>
        <v>89.272778698331479</v>
      </c>
      <c r="AE196" s="18">
        <f t="shared" ref="AE196" si="1554">AE197-AE195</f>
        <v>89.272778698331479</v>
      </c>
      <c r="AI196" s="67" t="e">
        <f t="shared" ref="AI196:AK196" si="1555">AI197-AI195</f>
        <v>#DIV/0!</v>
      </c>
      <c r="AJ196" s="67" t="e">
        <f t="shared" ref="AJ196:AM196" si="1556">AJ197-AJ195</f>
        <v>#DIV/0!</v>
      </c>
      <c r="AK196" s="67" t="e">
        <f t="shared" si="1555"/>
        <v>#DIV/0!</v>
      </c>
      <c r="AL196" s="67" t="e">
        <f t="shared" si="1556"/>
        <v>#DIV/0!</v>
      </c>
      <c r="AM196" s="67" t="e">
        <f t="shared" si="1556"/>
        <v>#DIV/0!</v>
      </c>
      <c r="AN196" s="67" t="e">
        <f t="shared" ref="AN196:AY196" si="1557">AN197-AN195</f>
        <v>#DIV/0!</v>
      </c>
      <c r="AO196" s="67" t="e">
        <f t="shared" si="1557"/>
        <v>#DIV/0!</v>
      </c>
      <c r="AP196" s="67" t="e">
        <f t="shared" si="1557"/>
        <v>#DIV/0!</v>
      </c>
      <c r="AQ196" s="67" t="e">
        <f t="shared" si="1557"/>
        <v>#DIV/0!</v>
      </c>
      <c r="AR196" s="67" t="e">
        <f t="shared" si="1557"/>
        <v>#DIV/0!</v>
      </c>
      <c r="AS196" s="67" t="e">
        <f t="shared" si="1557"/>
        <v>#DIV/0!</v>
      </c>
      <c r="AT196" s="67" t="e">
        <f t="shared" si="1557"/>
        <v>#DIV/0!</v>
      </c>
      <c r="AU196" s="67" t="e">
        <f t="shared" si="1557"/>
        <v>#DIV/0!</v>
      </c>
      <c r="AV196" s="67" t="e">
        <f t="shared" si="1557"/>
        <v>#DIV/0!</v>
      </c>
      <c r="AW196" s="67" t="e">
        <f t="shared" si="1557"/>
        <v>#DIV/0!</v>
      </c>
      <c r="AX196" s="67" t="e">
        <f t="shared" si="1557"/>
        <v>#DIV/0!</v>
      </c>
      <c r="AY196" s="67" t="e">
        <f t="shared" si="1557"/>
        <v>#DIV/0!</v>
      </c>
      <c r="AZ196" s="67" t="e">
        <f t="shared" ref="AZ196:BC196" si="1558">AZ197-AZ195</f>
        <v>#DIV/0!</v>
      </c>
      <c r="BA196" s="67" t="e">
        <f t="shared" si="1558"/>
        <v>#DIV/0!</v>
      </c>
      <c r="BB196" s="67" t="e">
        <f t="shared" si="1558"/>
        <v>#DIV/0!</v>
      </c>
      <c r="BC196" s="67" t="e">
        <f t="shared" si="1558"/>
        <v>#DIV/0!</v>
      </c>
      <c r="BD196" s="67" t="e">
        <f t="shared" ref="BD196:CE196" si="1559">BD197-BD195</f>
        <v>#DIV/0!</v>
      </c>
      <c r="BE196" s="67" t="e">
        <f t="shared" si="1559"/>
        <v>#DIV/0!</v>
      </c>
      <c r="BF196" s="67" t="e">
        <f t="shared" si="1559"/>
        <v>#DIV/0!</v>
      </c>
      <c r="BG196" s="67" t="e">
        <f t="shared" si="1559"/>
        <v>#DIV/0!</v>
      </c>
      <c r="BH196" s="67" t="e">
        <f t="shared" si="1559"/>
        <v>#DIV/0!</v>
      </c>
      <c r="BI196" s="67" t="e">
        <f t="shared" si="1559"/>
        <v>#DIV/0!</v>
      </c>
      <c r="BJ196" s="67" t="e">
        <f t="shared" si="1559"/>
        <v>#DIV/0!</v>
      </c>
      <c r="BK196" s="67" t="e">
        <f t="shared" si="1559"/>
        <v>#DIV/0!</v>
      </c>
      <c r="BL196" s="67" t="e">
        <f t="shared" si="1559"/>
        <v>#DIV/0!</v>
      </c>
      <c r="BM196" s="67" t="e">
        <f t="shared" si="1559"/>
        <v>#DIV/0!</v>
      </c>
      <c r="BN196" s="67" t="e">
        <f t="shared" si="1559"/>
        <v>#DIV/0!</v>
      </c>
      <c r="BO196" s="67" t="e">
        <f t="shared" si="1559"/>
        <v>#DIV/0!</v>
      </c>
      <c r="BP196" s="67" t="e">
        <f t="shared" si="1559"/>
        <v>#DIV/0!</v>
      </c>
      <c r="BQ196" s="67" t="e">
        <f t="shared" si="1559"/>
        <v>#DIV/0!</v>
      </c>
      <c r="BR196" s="67">
        <f t="shared" si="1559"/>
        <v>67.959916242895602</v>
      </c>
      <c r="BS196" s="67">
        <f t="shared" si="1559"/>
        <v>48.907146957520084</v>
      </c>
      <c r="BT196" s="67">
        <f t="shared" si="1559"/>
        <v>0</v>
      </c>
      <c r="BU196" s="67">
        <f t="shared" si="1559"/>
        <v>0</v>
      </c>
      <c r="BV196" s="67">
        <f t="shared" si="1559"/>
        <v>79.886948406879085</v>
      </c>
      <c r="BW196" s="67">
        <f t="shared" si="1559"/>
        <v>68.297886890514945</v>
      </c>
      <c r="BX196" s="67">
        <f t="shared" si="1559"/>
        <v>123.29781057304339</v>
      </c>
      <c r="BY196" s="67">
        <f t="shared" si="1559"/>
        <v>121.56541209547687</v>
      </c>
      <c r="BZ196" s="67">
        <f t="shared" si="1559"/>
        <v>79.885702294348064</v>
      </c>
      <c r="CA196" s="67">
        <f t="shared" si="1559"/>
        <v>65.250077131397617</v>
      </c>
      <c r="CB196" s="67">
        <f t="shared" si="1559"/>
        <v>99.565836532826509</v>
      </c>
      <c r="CC196" s="67">
        <f t="shared" si="1559"/>
        <v>99.647702418996772</v>
      </c>
      <c r="CD196" s="67">
        <f t="shared" si="1559"/>
        <v>100.88445008790779</v>
      </c>
      <c r="CE196" s="114">
        <f t="shared" si="1559"/>
        <v>78.241980691373399</v>
      </c>
      <c r="CF196" s="67">
        <f t="shared" ref="CF196:CG196" si="1560">CF197-CF195</f>
        <v>103.01297833644701</v>
      </c>
      <c r="CG196" s="67">
        <f t="shared" si="1560"/>
        <v>105.37753121835979</v>
      </c>
      <c r="CH196" s="67">
        <f t="shared" ref="CH196" si="1561">CH197-CH195</f>
        <v>99.687610380248685</v>
      </c>
      <c r="CI196" s="67">
        <f>CH196</f>
        <v>99.687610380248685</v>
      </c>
      <c r="CJ196" s="67">
        <f t="shared" ref="CJ196:CL196" si="1562">CJ197-CJ195</f>
        <v>81.973830229414261</v>
      </c>
      <c r="CK196" s="67">
        <f t="shared" ref="CK196:DB196" si="1563">CJ196</f>
        <v>81.973830229414261</v>
      </c>
      <c r="CL196" s="67">
        <f t="shared" si="1562"/>
        <v>87.15914223571842</v>
      </c>
      <c r="CM196" s="30">
        <f t="shared" si="1563"/>
        <v>87.15914223571842</v>
      </c>
      <c r="CN196" s="30">
        <f t="shared" si="1563"/>
        <v>87.15914223571842</v>
      </c>
      <c r="CO196" s="30">
        <f t="shared" si="1563"/>
        <v>87.15914223571842</v>
      </c>
      <c r="CP196" s="30">
        <f t="shared" si="1563"/>
        <v>87.15914223571842</v>
      </c>
      <c r="CQ196" s="30">
        <f t="shared" si="1563"/>
        <v>87.15914223571842</v>
      </c>
      <c r="CR196" s="30">
        <f t="shared" si="1563"/>
        <v>87.15914223571842</v>
      </c>
      <c r="CS196" s="30">
        <f t="shared" si="1563"/>
        <v>87.15914223571842</v>
      </c>
      <c r="CT196" s="30">
        <f t="shared" si="1563"/>
        <v>87.15914223571842</v>
      </c>
      <c r="CU196" s="30">
        <f t="shared" si="1563"/>
        <v>87.15914223571842</v>
      </c>
      <c r="CV196" s="30">
        <f t="shared" si="1563"/>
        <v>87.15914223571842</v>
      </c>
      <c r="CW196" s="30">
        <f t="shared" si="1563"/>
        <v>87.15914223571842</v>
      </c>
      <c r="CX196" s="30">
        <f t="shared" si="1563"/>
        <v>87.15914223571842</v>
      </c>
      <c r="CY196" s="30">
        <f t="shared" si="1563"/>
        <v>87.15914223571842</v>
      </c>
      <c r="CZ196" s="30">
        <f t="shared" si="1563"/>
        <v>87.15914223571842</v>
      </c>
      <c r="DA196" s="30">
        <f t="shared" si="1563"/>
        <v>87.15914223571842</v>
      </c>
      <c r="DB196" s="30">
        <f t="shared" si="1563"/>
        <v>87.15914223571842</v>
      </c>
      <c r="DE196" s="139"/>
      <c r="DF196" s="62">
        <v>88.55804060670684</v>
      </c>
    </row>
    <row r="197" spans="1:110" s="7" customFormat="1" outlineLevel="1" x14ac:dyDescent="0.2">
      <c r="A197" s="69" t="s">
        <v>469</v>
      </c>
      <c r="B197" s="70" t="e">
        <f t="shared" ref="B197:AE197" si="1564">B168/B20*365</f>
        <v>#DIV/0!</v>
      </c>
      <c r="C197" s="70" t="e">
        <f t="shared" si="1564"/>
        <v>#DIV/0!</v>
      </c>
      <c r="D197" s="70" t="e">
        <f t="shared" si="1564"/>
        <v>#DIV/0!</v>
      </c>
      <c r="E197" s="70" t="e">
        <f t="shared" si="1564"/>
        <v>#DIV/0!</v>
      </c>
      <c r="F197" s="70" t="e">
        <f t="shared" si="1564"/>
        <v>#DIV/0!</v>
      </c>
      <c r="G197" s="70" t="e">
        <f t="shared" si="1564"/>
        <v>#DIV/0!</v>
      </c>
      <c r="H197" s="70" t="e">
        <f t="shared" si="1564"/>
        <v>#DIV/0!</v>
      </c>
      <c r="I197" s="70" t="e">
        <f t="shared" si="1564"/>
        <v>#DIV/0!</v>
      </c>
      <c r="J197" s="70">
        <f t="shared" si="1564"/>
        <v>4.4607795630954152</v>
      </c>
      <c r="K197" s="70">
        <f t="shared" si="1564"/>
        <v>5.1646414097734299</v>
      </c>
      <c r="L197" s="70">
        <f t="shared" si="1564"/>
        <v>65.687210487077536</v>
      </c>
      <c r="M197" s="70">
        <f t="shared" si="1564"/>
        <v>5.9428682611638388</v>
      </c>
      <c r="N197" s="70">
        <f t="shared" si="1564"/>
        <v>13.547460538946638</v>
      </c>
      <c r="O197" s="70">
        <f t="shared" si="1564"/>
        <v>8.7080437375745525</v>
      </c>
      <c r="P197" s="70" t="e">
        <f t="shared" si="1564"/>
        <v>#DIV/0!</v>
      </c>
      <c r="Q197" s="70">
        <f t="shared" si="1564"/>
        <v>375.7578947368421</v>
      </c>
      <c r="R197" s="70">
        <f t="shared" si="1564"/>
        <v>148.0593212073926</v>
      </c>
      <c r="S197" s="70">
        <f t="shared" si="1564"/>
        <v>126.36088892106119</v>
      </c>
      <c r="T197" s="70">
        <f t="shared" si="1564"/>
        <v>189.37343403702997</v>
      </c>
      <c r="U197" s="70">
        <f t="shared" si="1564"/>
        <v>253.47946369644427</v>
      </c>
      <c r="V197" s="70">
        <f t="shared" si="1564"/>
        <v>73.202714956684147</v>
      </c>
      <c r="W197" s="70">
        <f t="shared" si="1564"/>
        <v>87.316711422754963</v>
      </c>
      <c r="X197" s="70">
        <f t="shared" si="1564"/>
        <v>84.630814192984872</v>
      </c>
      <c r="Y197" s="70">
        <f t="shared" si="1564"/>
        <v>104.10557037783585</v>
      </c>
      <c r="Z197" s="70">
        <f t="shared" si="1564"/>
        <v>95.581810394820721</v>
      </c>
      <c r="AA197" s="70">
        <f t="shared" ref="AA197" si="1565">AA168/AA20*365</f>
        <v>88.602520836506855</v>
      </c>
      <c r="AB197" s="71">
        <f t="shared" si="1564"/>
        <v>89.317617985454888</v>
      </c>
      <c r="AC197" s="71">
        <f t="shared" si="1564"/>
        <v>89.317617985454874</v>
      </c>
      <c r="AD197" s="71">
        <f t="shared" si="1564"/>
        <v>89.317617985454874</v>
      </c>
      <c r="AE197" s="71">
        <f t="shared" si="1564"/>
        <v>89.317617985454874</v>
      </c>
      <c r="AI197" s="70" t="e">
        <f t="shared" ref="AI197:CD197" si="1566">AI168/AI20*90</f>
        <v>#DIV/0!</v>
      </c>
      <c r="AJ197" s="70" t="e">
        <f t="shared" si="1566"/>
        <v>#DIV/0!</v>
      </c>
      <c r="AK197" s="70" t="e">
        <f>AK168/AK20*90</f>
        <v>#DIV/0!</v>
      </c>
      <c r="AL197" s="70" t="e">
        <f t="shared" si="1566"/>
        <v>#DIV/0!</v>
      </c>
      <c r="AM197" s="70" t="e">
        <f t="shared" si="1566"/>
        <v>#DIV/0!</v>
      </c>
      <c r="AN197" s="70" t="e">
        <f t="shared" si="1566"/>
        <v>#DIV/0!</v>
      </c>
      <c r="AO197" s="70" t="e">
        <f t="shared" si="1566"/>
        <v>#DIV/0!</v>
      </c>
      <c r="AP197" s="70" t="e">
        <f t="shared" si="1566"/>
        <v>#DIV/0!</v>
      </c>
      <c r="AQ197" s="70" t="e">
        <f t="shared" si="1566"/>
        <v>#DIV/0!</v>
      </c>
      <c r="AR197" s="70" t="e">
        <f t="shared" si="1566"/>
        <v>#DIV/0!</v>
      </c>
      <c r="AS197" s="70" t="e">
        <f t="shared" si="1566"/>
        <v>#DIV/0!</v>
      </c>
      <c r="AT197" s="70" t="e">
        <f t="shared" si="1566"/>
        <v>#DIV/0!</v>
      </c>
      <c r="AU197" s="70" t="e">
        <f t="shared" si="1566"/>
        <v>#DIV/0!</v>
      </c>
      <c r="AV197" s="70" t="e">
        <f t="shared" si="1566"/>
        <v>#DIV/0!</v>
      </c>
      <c r="AW197" s="70" t="e">
        <f t="shared" si="1566"/>
        <v>#DIV/0!</v>
      </c>
      <c r="AX197" s="70" t="e">
        <f t="shared" si="1566"/>
        <v>#DIV/0!</v>
      </c>
      <c r="AY197" s="70" t="e">
        <f t="shared" si="1566"/>
        <v>#DIV/0!</v>
      </c>
      <c r="AZ197" s="70" t="e">
        <f t="shared" si="1566"/>
        <v>#DIV/0!</v>
      </c>
      <c r="BA197" s="70" t="e">
        <f t="shared" si="1566"/>
        <v>#DIV/0!</v>
      </c>
      <c r="BB197" s="70" t="e">
        <f t="shared" si="1566"/>
        <v>#DIV/0!</v>
      </c>
      <c r="BC197" s="70" t="e">
        <f t="shared" si="1566"/>
        <v>#DIV/0!</v>
      </c>
      <c r="BD197" s="70" t="e">
        <f t="shared" si="1566"/>
        <v>#DIV/0!</v>
      </c>
      <c r="BE197" s="70" t="e">
        <f t="shared" si="1566"/>
        <v>#DIV/0!</v>
      </c>
      <c r="BF197" s="70" t="e">
        <f t="shared" si="1566"/>
        <v>#DIV/0!</v>
      </c>
      <c r="BG197" s="70" t="e">
        <f t="shared" si="1566"/>
        <v>#DIV/0!</v>
      </c>
      <c r="BH197" s="70" t="e">
        <f t="shared" si="1566"/>
        <v>#DIV/0!</v>
      </c>
      <c r="BI197" s="70" t="e">
        <f t="shared" si="1566"/>
        <v>#DIV/0!</v>
      </c>
      <c r="BJ197" s="70" t="e">
        <f t="shared" si="1566"/>
        <v>#DIV/0!</v>
      </c>
      <c r="BK197" s="70" t="e">
        <f t="shared" si="1566"/>
        <v>#DIV/0!</v>
      </c>
      <c r="BL197" s="70" t="e">
        <f t="shared" si="1566"/>
        <v>#DIV/0!</v>
      </c>
      <c r="BM197" s="70" t="e">
        <f t="shared" si="1566"/>
        <v>#DIV/0!</v>
      </c>
      <c r="BN197" s="70" t="e">
        <f t="shared" si="1566"/>
        <v>#DIV/0!</v>
      </c>
      <c r="BO197" s="70" t="e">
        <f t="shared" si="1566"/>
        <v>#DIV/0!</v>
      </c>
      <c r="BP197" s="70" t="e">
        <f t="shared" si="1566"/>
        <v>#DIV/0!</v>
      </c>
      <c r="BQ197" s="70" t="e">
        <f t="shared" si="1566"/>
        <v>#DIV/0!</v>
      </c>
      <c r="BR197" s="70">
        <f t="shared" si="1566"/>
        <v>68.220161531558475</v>
      </c>
      <c r="BS197" s="70">
        <f t="shared" si="1566"/>
        <v>49.167392246182963</v>
      </c>
      <c r="BT197" s="70">
        <f t="shared" si="1566"/>
        <v>0</v>
      </c>
      <c r="BU197" s="70">
        <f t="shared" si="1566"/>
        <v>0</v>
      </c>
      <c r="BV197" s="70">
        <f t="shared" si="1566"/>
        <v>79.886948406879085</v>
      </c>
      <c r="BW197" s="70">
        <f t="shared" si="1566"/>
        <v>68.297886890514945</v>
      </c>
      <c r="BX197" s="70">
        <f t="shared" si="1566"/>
        <v>123.29781057304339</v>
      </c>
      <c r="BY197" s="70">
        <f t="shared" si="1566"/>
        <v>121.56541209547687</v>
      </c>
      <c r="BZ197" s="70">
        <f t="shared" si="1566"/>
        <v>80.084009513150534</v>
      </c>
      <c r="CA197" s="70">
        <f t="shared" si="1566"/>
        <v>65.448384350200087</v>
      </c>
      <c r="CB197" s="70">
        <f t="shared" si="1566"/>
        <v>99.613157995629322</v>
      </c>
      <c r="CC197" s="70">
        <f t="shared" si="1566"/>
        <v>99.695023881799585</v>
      </c>
      <c r="CD197" s="70">
        <f t="shared" si="1566"/>
        <v>100.89470599726509</v>
      </c>
      <c r="CE197" s="115">
        <f>CE168/CE22*90</f>
        <v>78.252236600730697</v>
      </c>
      <c r="CF197" s="70">
        <f>CF168/CF20*90</f>
        <v>103.01334949954844</v>
      </c>
      <c r="CG197" s="70">
        <f>CG168/CG22*90</f>
        <v>105.37790238146123</v>
      </c>
      <c r="CH197" s="70">
        <f>CH168/CH20*90</f>
        <v>99.7147774373761</v>
      </c>
      <c r="CI197" s="70">
        <f>CI195+CI196</f>
        <v>99.7147774373761</v>
      </c>
      <c r="CJ197" s="70">
        <f>CJ168/CJ20*90</f>
        <v>82.048889247593877</v>
      </c>
      <c r="CK197" s="70">
        <f t="shared" ref="CK197:DB197" si="1567">CK195+CK196</f>
        <v>82.048889247593877</v>
      </c>
      <c r="CL197" s="70">
        <f>CL168/CL20*90</f>
        <v>87.202919900770638</v>
      </c>
      <c r="CM197" s="50">
        <f t="shared" si="1567"/>
        <v>87.202919900770638</v>
      </c>
      <c r="CN197" s="50">
        <f t="shared" si="1567"/>
        <v>87.202919900770638</v>
      </c>
      <c r="CO197" s="50">
        <f t="shared" si="1567"/>
        <v>87.202919900770638</v>
      </c>
      <c r="CP197" s="50">
        <f t="shared" si="1567"/>
        <v>87.202919900770638</v>
      </c>
      <c r="CQ197" s="50">
        <f t="shared" si="1567"/>
        <v>87.202919900770638</v>
      </c>
      <c r="CR197" s="50">
        <f t="shared" si="1567"/>
        <v>87.202919900770638</v>
      </c>
      <c r="CS197" s="50">
        <f t="shared" si="1567"/>
        <v>87.202919900770638</v>
      </c>
      <c r="CT197" s="50">
        <f t="shared" si="1567"/>
        <v>87.202919900770638</v>
      </c>
      <c r="CU197" s="50">
        <f t="shared" si="1567"/>
        <v>87.202919900770638</v>
      </c>
      <c r="CV197" s="50">
        <f t="shared" si="1567"/>
        <v>87.202919900770638</v>
      </c>
      <c r="CW197" s="50">
        <f t="shared" si="1567"/>
        <v>87.202919900770638</v>
      </c>
      <c r="CX197" s="50">
        <f t="shared" si="1567"/>
        <v>87.202919900770638</v>
      </c>
      <c r="CY197" s="50">
        <f t="shared" si="1567"/>
        <v>87.202919900770638</v>
      </c>
      <c r="CZ197" s="50">
        <f t="shared" si="1567"/>
        <v>87.202919900770638</v>
      </c>
      <c r="DA197" s="50">
        <f t="shared" si="1567"/>
        <v>87.202919900770638</v>
      </c>
      <c r="DB197" s="50">
        <f t="shared" si="1567"/>
        <v>87.202919900770638</v>
      </c>
      <c r="DE197" s="138"/>
      <c r="DF197" s="7">
        <v>88.602520836506855</v>
      </c>
    </row>
    <row r="198" spans="1:110" s="7" customFormat="1" x14ac:dyDescent="0.2">
      <c r="A198" s="69" t="s">
        <v>470</v>
      </c>
      <c r="B198" s="70" t="e">
        <f>B194-B197</f>
        <v>#DIV/0!</v>
      </c>
      <c r="C198" s="70" t="e">
        <f t="shared" ref="C198:V198" si="1568">C194-C197</f>
        <v>#DIV/0!</v>
      </c>
      <c r="D198" s="70" t="e">
        <f t="shared" si="1568"/>
        <v>#DIV/0!</v>
      </c>
      <c r="E198" s="70" t="e">
        <f t="shared" si="1568"/>
        <v>#DIV/0!</v>
      </c>
      <c r="F198" s="70" t="e">
        <f t="shared" si="1568"/>
        <v>#DIV/0!</v>
      </c>
      <c r="G198" s="70" t="e">
        <f t="shared" si="1568"/>
        <v>#DIV/0!</v>
      </c>
      <c r="H198" s="70" t="e">
        <f t="shared" si="1568"/>
        <v>#DIV/0!</v>
      </c>
      <c r="I198" s="70" t="e">
        <f t="shared" si="1568"/>
        <v>#DIV/0!</v>
      </c>
      <c r="J198" s="70">
        <f t="shared" si="1568"/>
        <v>173.72196798757076</v>
      </c>
      <c r="K198" s="70">
        <f t="shared" si="1568"/>
        <v>252.04608210964619</v>
      </c>
      <c r="L198" s="70">
        <f t="shared" si="1568"/>
        <v>244.11958300198802</v>
      </c>
      <c r="M198" s="70">
        <f t="shared" si="1568"/>
        <v>74.106690673759999</v>
      </c>
      <c r="N198" s="70">
        <f t="shared" si="1568"/>
        <v>173.11511577791217</v>
      </c>
      <c r="O198" s="70">
        <f t="shared" si="1568"/>
        <v>570.15343836978116</v>
      </c>
      <c r="P198" s="70" t="e">
        <f t="shared" si="1568"/>
        <v>#DIV/0!</v>
      </c>
      <c r="Q198" s="70">
        <f t="shared" si="1568"/>
        <v>1267.8947368421054</v>
      </c>
      <c r="R198" s="70">
        <f t="shared" si="1568"/>
        <v>35.846784024967064</v>
      </c>
      <c r="S198" s="70">
        <f t="shared" si="1568"/>
        <v>-10.291179557711089</v>
      </c>
      <c r="T198" s="70">
        <f t="shared" si="1568"/>
        <v>-46.631403500526062</v>
      </c>
      <c r="U198" s="70">
        <f t="shared" si="1568"/>
        <v>-41.07840832723079</v>
      </c>
      <c r="V198" s="70">
        <f t="shared" si="1568"/>
        <v>-16.063674621283205</v>
      </c>
      <c r="W198" s="70">
        <f t="shared" ref="W198" si="1569">W194-W197</f>
        <v>54.132612157894954</v>
      </c>
      <c r="X198" s="70">
        <f t="shared" ref="X198:Y198" si="1570">X194-X197</f>
        <v>126.462554289618</v>
      </c>
      <c r="Y198" s="70">
        <f t="shared" si="1570"/>
        <v>188.75280555277513</v>
      </c>
      <c r="Z198" s="70">
        <f t="shared" ref="Z198:AA198" si="1571">Z194-Z197</f>
        <v>93.151442889779148</v>
      </c>
      <c r="AA198" s="70">
        <f t="shared" ref="AA198" si="1572">AA194-AA197</f>
        <v>112.17208626205034</v>
      </c>
      <c r="AB198" s="71">
        <f t="shared" ref="AB198:AD198" si="1573">AB194-AB197</f>
        <v>132.54237049178931</v>
      </c>
      <c r="AC198" s="71">
        <f t="shared" si="1573"/>
        <v>132.54237049178926</v>
      </c>
      <c r="AD198" s="71">
        <f t="shared" si="1573"/>
        <v>132.54237049178931</v>
      </c>
      <c r="AE198" s="71">
        <f t="shared" ref="AE198" si="1574">AE194-AE197</f>
        <v>132.54237049178931</v>
      </c>
      <c r="AI198" s="70" t="e">
        <f t="shared" ref="AI198:AK198" si="1575">AI194-AI197</f>
        <v>#DIV/0!</v>
      </c>
      <c r="AJ198" s="70" t="e">
        <f t="shared" ref="AJ198:AM198" si="1576">AJ194-AJ197</f>
        <v>#DIV/0!</v>
      </c>
      <c r="AK198" s="70" t="e">
        <f t="shared" si="1575"/>
        <v>#DIV/0!</v>
      </c>
      <c r="AL198" s="70" t="e">
        <f t="shared" si="1576"/>
        <v>#DIV/0!</v>
      </c>
      <c r="AM198" s="70" t="e">
        <f t="shared" si="1576"/>
        <v>#DIV/0!</v>
      </c>
      <c r="AN198" s="70" t="e">
        <f t="shared" ref="AN198:AY198" si="1577">AN194-AN197</f>
        <v>#DIV/0!</v>
      </c>
      <c r="AO198" s="70" t="e">
        <f t="shared" si="1577"/>
        <v>#DIV/0!</v>
      </c>
      <c r="AP198" s="70" t="e">
        <f t="shared" si="1577"/>
        <v>#DIV/0!</v>
      </c>
      <c r="AQ198" s="70" t="e">
        <f t="shared" si="1577"/>
        <v>#DIV/0!</v>
      </c>
      <c r="AR198" s="70" t="e">
        <f t="shared" si="1577"/>
        <v>#DIV/0!</v>
      </c>
      <c r="AS198" s="70" t="e">
        <f t="shared" si="1577"/>
        <v>#DIV/0!</v>
      </c>
      <c r="AT198" s="70" t="e">
        <f t="shared" si="1577"/>
        <v>#DIV/0!</v>
      </c>
      <c r="AU198" s="70" t="e">
        <f t="shared" si="1577"/>
        <v>#DIV/0!</v>
      </c>
      <c r="AV198" s="70" t="e">
        <f t="shared" si="1577"/>
        <v>#DIV/0!</v>
      </c>
      <c r="AW198" s="70" t="e">
        <f t="shared" si="1577"/>
        <v>#DIV/0!</v>
      </c>
      <c r="AX198" s="70" t="e">
        <f t="shared" si="1577"/>
        <v>#DIV/0!</v>
      </c>
      <c r="AY198" s="70" t="e">
        <f t="shared" si="1577"/>
        <v>#DIV/0!</v>
      </c>
      <c r="AZ198" s="70" t="e">
        <f t="shared" ref="AZ198:BC198" si="1578">AZ194-AZ197</f>
        <v>#DIV/0!</v>
      </c>
      <c r="BA198" s="70" t="e">
        <f t="shared" si="1578"/>
        <v>#DIV/0!</v>
      </c>
      <c r="BB198" s="70" t="e">
        <f t="shared" si="1578"/>
        <v>#DIV/0!</v>
      </c>
      <c r="BC198" s="70" t="e">
        <f t="shared" si="1578"/>
        <v>#DIV/0!</v>
      </c>
      <c r="BD198" s="70" t="e">
        <f t="shared" ref="BD198:CE198" si="1579">BD194-BD197</f>
        <v>#DIV/0!</v>
      </c>
      <c r="BE198" s="70" t="e">
        <f t="shared" si="1579"/>
        <v>#DIV/0!</v>
      </c>
      <c r="BF198" s="70" t="e">
        <f t="shared" si="1579"/>
        <v>#DIV/0!</v>
      </c>
      <c r="BG198" s="70" t="e">
        <f t="shared" si="1579"/>
        <v>#DIV/0!</v>
      </c>
      <c r="BH198" s="70" t="e">
        <f t="shared" si="1579"/>
        <v>#DIV/0!</v>
      </c>
      <c r="BI198" s="70" t="e">
        <f t="shared" si="1579"/>
        <v>#DIV/0!</v>
      </c>
      <c r="BJ198" s="70" t="e">
        <f t="shared" si="1579"/>
        <v>#DIV/0!</v>
      </c>
      <c r="BK198" s="70" t="e">
        <f t="shared" si="1579"/>
        <v>#DIV/0!</v>
      </c>
      <c r="BL198" s="70" t="e">
        <f t="shared" si="1579"/>
        <v>#DIV/0!</v>
      </c>
      <c r="BM198" s="70" t="e">
        <f t="shared" si="1579"/>
        <v>#DIV/0!</v>
      </c>
      <c r="BN198" s="70" t="e">
        <f t="shared" si="1579"/>
        <v>#DIV/0!</v>
      </c>
      <c r="BO198" s="70" t="e">
        <f t="shared" si="1579"/>
        <v>#DIV/0!</v>
      </c>
      <c r="BP198" s="70" t="e">
        <f t="shared" si="1579"/>
        <v>#DIV/0!</v>
      </c>
      <c r="BQ198" s="70" t="e">
        <f t="shared" si="1579"/>
        <v>#DIV/0!</v>
      </c>
      <c r="BR198" s="70">
        <f t="shared" si="1579"/>
        <v>1.5935216443741638</v>
      </c>
      <c r="BS198" s="70">
        <f t="shared" si="1579"/>
        <v>4.9788196749518221</v>
      </c>
      <c r="BT198" s="70">
        <f t="shared" si="1579"/>
        <v>0</v>
      </c>
      <c r="BU198" s="70">
        <f t="shared" si="1579"/>
        <v>0</v>
      </c>
      <c r="BV198" s="70">
        <f t="shared" si="1579"/>
        <v>60.058392214371409</v>
      </c>
      <c r="BW198" s="70">
        <f t="shared" si="1579"/>
        <v>53.074692295466619</v>
      </c>
      <c r="BX198" s="70">
        <f t="shared" si="1579"/>
        <v>-4.3047705842146939</v>
      </c>
      <c r="BY198" s="70">
        <f t="shared" si="1579"/>
        <v>-4.0951109904558649</v>
      </c>
      <c r="BZ198" s="70">
        <f t="shared" si="1579"/>
        <v>131.29322887520979</v>
      </c>
      <c r="CA198" s="70">
        <f t="shared" si="1579"/>
        <v>109.17854943316408</v>
      </c>
      <c r="CB198" s="70">
        <f t="shared" si="1579"/>
        <v>88.773092490456335</v>
      </c>
      <c r="CC198" s="70">
        <f t="shared" si="1579"/>
        <v>88.837381207049134</v>
      </c>
      <c r="CD198" s="70">
        <f t="shared" si="1579"/>
        <v>203.23940222699747</v>
      </c>
      <c r="CE198" s="115">
        <f t="shared" si="1579"/>
        <v>160.71841630390082</v>
      </c>
      <c r="CF198" s="70">
        <f t="shared" ref="CF198:CG198" si="1580">CF194-CF197</f>
        <v>85.80140299652345</v>
      </c>
      <c r="CG198" s="70">
        <f t="shared" si="1580"/>
        <v>87.463570165177501</v>
      </c>
      <c r="CH198" s="70">
        <f t="shared" ref="CH198:CI198" si="1581">CH194-CH197</f>
        <v>97.179320598306006</v>
      </c>
      <c r="CI198" s="70">
        <f t="shared" si="1581"/>
        <v>97.179320598306006</v>
      </c>
      <c r="CJ198" s="70">
        <f t="shared" ref="CJ198:DB198" si="1582">CJ194-CJ197</f>
        <v>120.00605314662741</v>
      </c>
      <c r="CK198" s="70">
        <f t="shared" si="1582"/>
        <v>120.00605314662741</v>
      </c>
      <c r="CL198" s="70">
        <f t="shared" ref="CL198" si="1583">CL194-CL197</f>
        <v>129.40427631350369</v>
      </c>
      <c r="CM198" s="50">
        <f t="shared" si="1582"/>
        <v>129.40427631350369</v>
      </c>
      <c r="CN198" s="50">
        <f t="shared" si="1582"/>
        <v>129.40427631350369</v>
      </c>
      <c r="CO198" s="50">
        <f t="shared" si="1582"/>
        <v>129.40427631350369</v>
      </c>
      <c r="CP198" s="50">
        <f t="shared" si="1582"/>
        <v>129.40427631350369</v>
      </c>
      <c r="CQ198" s="50">
        <f t="shared" si="1582"/>
        <v>129.40427631350369</v>
      </c>
      <c r="CR198" s="50">
        <f t="shared" si="1582"/>
        <v>129.40427631350369</v>
      </c>
      <c r="CS198" s="50">
        <f t="shared" si="1582"/>
        <v>129.40427631350369</v>
      </c>
      <c r="CT198" s="50">
        <f t="shared" si="1582"/>
        <v>129.40427631350369</v>
      </c>
      <c r="CU198" s="50">
        <f t="shared" si="1582"/>
        <v>129.40427631350369</v>
      </c>
      <c r="CV198" s="50">
        <f t="shared" si="1582"/>
        <v>129.40427631350369</v>
      </c>
      <c r="CW198" s="50">
        <f t="shared" si="1582"/>
        <v>129.40427631350369</v>
      </c>
      <c r="CX198" s="50">
        <f t="shared" si="1582"/>
        <v>129.40427631350369</v>
      </c>
      <c r="CY198" s="50">
        <f t="shared" si="1582"/>
        <v>129.40427631350369</v>
      </c>
      <c r="CZ198" s="50">
        <f t="shared" si="1582"/>
        <v>129.40427631350369</v>
      </c>
      <c r="DA198" s="50">
        <f t="shared" si="1582"/>
        <v>129.40427631350369</v>
      </c>
      <c r="DB198" s="50">
        <f t="shared" si="1582"/>
        <v>129.40427631350369</v>
      </c>
      <c r="DE198" s="138"/>
      <c r="DF198" s="7">
        <v>112.17208626205034</v>
      </c>
    </row>
    <row r="199" spans="1:110" s="7" customFormat="1" x14ac:dyDescent="0.2">
      <c r="A199" s="69" t="s">
        <v>86</v>
      </c>
      <c r="AB199" s="77"/>
      <c r="AC199" s="77"/>
      <c r="AD199" s="77"/>
      <c r="AE199" s="77"/>
      <c r="CE199" s="115"/>
      <c r="CG199" s="115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E199" s="138"/>
    </row>
    <row r="200" spans="1:110" s="86" customFormat="1" x14ac:dyDescent="0.2">
      <c r="A200" s="86" t="s">
        <v>440</v>
      </c>
      <c r="C200" s="86" t="e">
        <f t="shared" ref="C200:Y200" si="1584">C22/B22-1</f>
        <v>#DIV/0!</v>
      </c>
      <c r="D200" s="86" t="e">
        <f t="shared" si="1584"/>
        <v>#DIV/0!</v>
      </c>
      <c r="E200" s="86" t="e">
        <f t="shared" si="1584"/>
        <v>#DIV/0!</v>
      </c>
      <c r="F200" s="86" t="e">
        <f t="shared" si="1584"/>
        <v>#DIV/0!</v>
      </c>
      <c r="G200" s="86" t="e">
        <f t="shared" si="1584"/>
        <v>#DIV/0!</v>
      </c>
      <c r="H200" s="86" t="e">
        <f t="shared" si="1584"/>
        <v>#DIV/0!</v>
      </c>
      <c r="I200" s="86" t="e">
        <f t="shared" si="1584"/>
        <v>#DIV/0!</v>
      </c>
      <c r="J200" s="86" t="e">
        <f t="shared" si="1584"/>
        <v>#DIV/0!</v>
      </c>
      <c r="K200" s="86">
        <f t="shared" si="1584"/>
        <v>0.22557292034366494</v>
      </c>
      <c r="L200" s="86">
        <f t="shared" si="1584"/>
        <v>4.9701791571266085E-8</v>
      </c>
      <c r="M200" s="86">
        <f t="shared" si="1584"/>
        <v>-0.53164383697813122</v>
      </c>
      <c r="N200" s="86">
        <f t="shared" si="1584"/>
        <v>-0.32831231775277647</v>
      </c>
      <c r="O200" s="86">
        <f t="shared" si="1584"/>
        <v>-0.2053124938779044</v>
      </c>
      <c r="P200" s="86">
        <f t="shared" si="1584"/>
        <v>-1</v>
      </c>
      <c r="Q200" s="86" t="e">
        <f t="shared" si="1584"/>
        <v>#DIV/0!</v>
      </c>
      <c r="R200" s="86">
        <f t="shared" si="1584"/>
        <v>85.345263157894749</v>
      </c>
      <c r="S200" s="86">
        <f t="shared" si="1584"/>
        <v>4.3891841810113617</v>
      </c>
      <c r="T200" s="86">
        <f t="shared" si="1584"/>
        <v>0.25134369684027646</v>
      </c>
      <c r="U200" s="86">
        <f t="shared" si="1584"/>
        <v>0.19972016038353213</v>
      </c>
      <c r="V200" s="86">
        <f t="shared" si="1584"/>
        <v>-0.2003959894764441</v>
      </c>
      <c r="W200" s="86">
        <f t="shared" si="1584"/>
        <v>0.57345488753259155</v>
      </c>
      <c r="X200" s="86">
        <f t="shared" si="1584"/>
        <v>0.3141345643233735</v>
      </c>
      <c r="Y200" s="86">
        <f t="shared" si="1584"/>
        <v>0.3202347440431792</v>
      </c>
      <c r="Z200" s="86">
        <f>Z22/Y22-1</f>
        <v>0.29651446696740758</v>
      </c>
      <c r="AA200" s="86">
        <f>AA22/Z22-1</f>
        <v>0.22333255882847158</v>
      </c>
      <c r="AB200" s="87">
        <f t="shared" ref="AB200:AE200" si="1585">AB22/AA22-1</f>
        <v>0.28959005483032541</v>
      </c>
      <c r="AC200" s="87">
        <f t="shared" si="1585"/>
        <v>0.30000000000000004</v>
      </c>
      <c r="AD200" s="87">
        <f t="shared" si="1585"/>
        <v>0.30000000000000004</v>
      </c>
      <c r="AE200" s="87">
        <f t="shared" si="1585"/>
        <v>0.29999999999999982</v>
      </c>
      <c r="AN200" s="86" t="e">
        <f t="shared" ref="AN200:CI200" si="1586">+(AN22+AM22)/(AJ22+AI22)-1</f>
        <v>#DIV/0!</v>
      </c>
      <c r="AO200" s="86" t="e">
        <f t="shared" si="1586"/>
        <v>#DIV/0!</v>
      </c>
      <c r="AP200" s="86" t="e">
        <f t="shared" si="1586"/>
        <v>#DIV/0!</v>
      </c>
      <c r="AQ200" s="86" t="e">
        <f t="shared" si="1586"/>
        <v>#DIV/0!</v>
      </c>
      <c r="AR200" s="86" t="e">
        <f t="shared" si="1586"/>
        <v>#DIV/0!</v>
      </c>
      <c r="AS200" s="86" t="e">
        <f t="shared" si="1586"/>
        <v>#DIV/0!</v>
      </c>
      <c r="AT200" s="86" t="e">
        <f t="shared" si="1586"/>
        <v>#DIV/0!</v>
      </c>
      <c r="AU200" s="86" t="e">
        <f t="shared" si="1586"/>
        <v>#DIV/0!</v>
      </c>
      <c r="AV200" s="86" t="e">
        <f t="shared" si="1586"/>
        <v>#DIV/0!</v>
      </c>
      <c r="AW200" s="86" t="e">
        <f t="shared" si="1586"/>
        <v>#DIV/0!</v>
      </c>
      <c r="AX200" s="86" t="e">
        <f t="shared" si="1586"/>
        <v>#DIV/0!</v>
      </c>
      <c r="AY200" s="86" t="e">
        <f t="shared" si="1586"/>
        <v>#DIV/0!</v>
      </c>
      <c r="AZ200" s="86" t="e">
        <f t="shared" si="1586"/>
        <v>#DIV/0!</v>
      </c>
      <c r="BA200" s="86" t="e">
        <f t="shared" si="1586"/>
        <v>#DIV/0!</v>
      </c>
      <c r="BB200" s="86" t="e">
        <f t="shared" si="1586"/>
        <v>#DIV/0!</v>
      </c>
      <c r="BC200" s="86" t="e">
        <f t="shared" si="1586"/>
        <v>#DIV/0!</v>
      </c>
      <c r="BD200" s="86" t="e">
        <f t="shared" si="1586"/>
        <v>#DIV/0!</v>
      </c>
      <c r="BE200" s="86" t="e">
        <f t="shared" si="1586"/>
        <v>#DIV/0!</v>
      </c>
      <c r="BF200" s="86" t="e">
        <f t="shared" si="1586"/>
        <v>#DIV/0!</v>
      </c>
      <c r="BG200" s="86" t="e">
        <f t="shared" si="1586"/>
        <v>#DIV/0!</v>
      </c>
      <c r="BH200" s="86" t="e">
        <f t="shared" si="1586"/>
        <v>#DIV/0!</v>
      </c>
      <c r="BI200" s="86" t="e">
        <f t="shared" si="1586"/>
        <v>#DIV/0!</v>
      </c>
      <c r="BJ200" s="86" t="e">
        <f t="shared" si="1586"/>
        <v>#DIV/0!</v>
      </c>
      <c r="BK200" s="86" t="e">
        <f t="shared" si="1586"/>
        <v>#DIV/0!</v>
      </c>
      <c r="BL200" s="86" t="e">
        <f t="shared" si="1586"/>
        <v>#DIV/0!</v>
      </c>
      <c r="BM200" s="86" t="e">
        <f t="shared" si="1586"/>
        <v>#DIV/0!</v>
      </c>
      <c r="BN200" s="86" t="e">
        <f t="shared" si="1586"/>
        <v>#DIV/0!</v>
      </c>
      <c r="BO200" s="86" t="e">
        <f t="shared" si="1586"/>
        <v>#DIV/0!</v>
      </c>
      <c r="BP200" s="86" t="e">
        <f t="shared" si="1586"/>
        <v>#DIV/0!</v>
      </c>
      <c r="BQ200" s="86" t="e">
        <f t="shared" si="1586"/>
        <v>#DIV/0!</v>
      </c>
      <c r="BR200" s="86" t="e">
        <f t="shared" si="1586"/>
        <v>#DIV/0!</v>
      </c>
      <c r="BS200" s="86" t="e">
        <f t="shared" si="1586"/>
        <v>#DIV/0!</v>
      </c>
      <c r="BT200" s="86" t="e">
        <f t="shared" si="1586"/>
        <v>#DIV/0!</v>
      </c>
      <c r="BU200" s="86">
        <f t="shared" si="1586"/>
        <v>2.0465908757087048</v>
      </c>
      <c r="BV200" s="86">
        <f t="shared" si="1586"/>
        <v>0.5779585638355571</v>
      </c>
      <c r="BW200" s="86">
        <f t="shared" si="1586"/>
        <v>0.45522935232928985</v>
      </c>
      <c r="BX200" s="86">
        <f t="shared" si="1586"/>
        <v>0.34320568856415923</v>
      </c>
      <c r="BY200" s="86">
        <f t="shared" si="1586"/>
        <v>0.32131733986442823</v>
      </c>
      <c r="BZ200" s="86">
        <f t="shared" si="1586"/>
        <v>0.28758798944126696</v>
      </c>
      <c r="CA200" s="86">
        <f t="shared" si="1586"/>
        <v>0.30257002646217868</v>
      </c>
      <c r="CB200" s="86">
        <f t="shared" si="1586"/>
        <v>0.33599955168677864</v>
      </c>
      <c r="CC200" s="86">
        <f t="shared" si="1586"/>
        <v>0.33184463539671238</v>
      </c>
      <c r="CD200" s="86">
        <f t="shared" si="1586"/>
        <v>0.30521209273852001</v>
      </c>
      <c r="CE200" s="86">
        <f t="shared" si="1586"/>
        <v>0.32678168221242454</v>
      </c>
      <c r="CF200" s="86">
        <f t="shared" si="1586"/>
        <v>0.34252125937132116</v>
      </c>
      <c r="CG200" s="86">
        <f t="shared" si="1586"/>
        <v>0.3137129738200386</v>
      </c>
      <c r="CH200" s="86">
        <f t="shared" si="1586"/>
        <v>0.25165319117025464</v>
      </c>
      <c r="CI200" s="86">
        <f t="shared" si="1586"/>
        <v>0.17558509402746614</v>
      </c>
      <c r="CJ200" s="86">
        <f>+(CJ22+CI22)/(CF22+CE22)-1</f>
        <v>0.190145700330143</v>
      </c>
      <c r="CL200" s="86">
        <f>+(CL22+CK22)/(CH22+CG22)-1</f>
        <v>0.25804357298474945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0.22333255882847158</v>
      </c>
    </row>
    <row r="201" spans="1:110" s="86" customFormat="1" x14ac:dyDescent="0.2">
      <c r="A201" s="86" t="s">
        <v>441</v>
      </c>
      <c r="C201" s="86" t="e">
        <f t="shared" ref="C201" si="1587">C198/B198-1</f>
        <v>#DIV/0!</v>
      </c>
      <c r="D201" s="86" t="e">
        <f t="shared" ref="D201" si="1588">D198/C198-1</f>
        <v>#DIV/0!</v>
      </c>
      <c r="E201" s="86" t="e">
        <f>E198/D198-1</f>
        <v>#DIV/0!</v>
      </c>
      <c r="F201" s="86" t="e">
        <f t="shared" ref="F201" si="1589">F198/E198-1</f>
        <v>#DIV/0!</v>
      </c>
      <c r="G201" s="86" t="e">
        <f t="shared" ref="G201" si="1590">G198/F198-1</f>
        <v>#DIV/0!</v>
      </c>
      <c r="H201" s="86" t="e">
        <f t="shared" ref="H201" si="1591">H198/G198-1</f>
        <v>#DIV/0!</v>
      </c>
      <c r="I201" s="86" t="e">
        <f t="shared" ref="I201" si="1592">I198/H198-1</f>
        <v>#DIV/0!</v>
      </c>
      <c r="J201" s="86" t="e">
        <f t="shared" ref="J201" si="1593">J198/I198-1</f>
        <v>#DIV/0!</v>
      </c>
      <c r="K201" s="86">
        <f>K198/J198-1</f>
        <v>0.45085900781229493</v>
      </c>
      <c r="L201" s="86">
        <f t="shared" ref="L201" si="1594">L198/K198-1</f>
        <v>-3.1448610671956256E-2</v>
      </c>
      <c r="M201" s="86">
        <f t="shared" ref="M201" si="1595">M198/L198-1</f>
        <v>-0.69643283114588761</v>
      </c>
      <c r="N201" s="86">
        <f t="shared" ref="N201" si="1596">N198/M198-1</f>
        <v>1.3360254547057986</v>
      </c>
      <c r="O201" s="86">
        <f t="shared" ref="O201" si="1597">O198/N198-1</f>
        <v>2.2934930945095857</v>
      </c>
      <c r="P201" s="86" t="e">
        <f t="shared" ref="P201" si="1598">P198/O198-1</f>
        <v>#DIV/0!</v>
      </c>
      <c r="Q201" s="86" t="e">
        <f t="shared" ref="Q201" si="1599">Q198/P198-1</f>
        <v>#DIV/0!</v>
      </c>
      <c r="R201" s="86">
        <f t="shared" ref="R201" si="1600">R198/Q198-1</f>
        <v>-0.97172731853572547</v>
      </c>
      <c r="S201" s="86">
        <f t="shared" ref="S201" si="1601">S198/R198-1</f>
        <v>-1.2870879449197827</v>
      </c>
      <c r="T201" s="86">
        <f t="shared" ref="T201" si="1602">T198/S198-1</f>
        <v>3.5312010386200638</v>
      </c>
      <c r="U201" s="86">
        <f t="shared" ref="U201" si="1603">U198/T198-1</f>
        <v>-0.11908273730668706</v>
      </c>
      <c r="V201" s="86">
        <f t="shared" ref="V201" si="1604">V198/U198-1</f>
        <v>-0.60895089962298687</v>
      </c>
      <c r="W201" s="86">
        <f t="shared" ref="W201:AA201" si="1605">W198/V198-1</f>
        <v>-4.3698772811404663</v>
      </c>
      <c r="X201" s="86">
        <f t="shared" si="1605"/>
        <v>1.3361620518283841</v>
      </c>
      <c r="Y201" s="86">
        <f t="shared" si="1605"/>
        <v>0.49255885754531903</v>
      </c>
      <c r="Z201" s="86">
        <f t="shared" si="1605"/>
        <v>-0.50648975724107004</v>
      </c>
      <c r="AA201" s="86">
        <f t="shared" si="1605"/>
        <v>0.20419053942918786</v>
      </c>
      <c r="AB201" s="87">
        <f t="shared" ref="AB201" si="1606">AB198/AA198-1</f>
        <v>0.18159851446598774</v>
      </c>
      <c r="AC201" s="87">
        <f t="shared" ref="AC201" si="1607">AC198/AB198-1</f>
        <v>0</v>
      </c>
      <c r="AD201" s="87">
        <f t="shared" ref="AD201" si="1608">AD198/AC198-1</f>
        <v>0</v>
      </c>
      <c r="AE201" s="87">
        <f t="shared" ref="AE201" si="1609">AE198/AD198-1</f>
        <v>0</v>
      </c>
      <c r="AN201" s="86" t="e">
        <f t="shared" ref="AN201:CI201" si="1610">+AN198/AJ198-1</f>
        <v>#DIV/0!</v>
      </c>
      <c r="AO201" s="86" t="e">
        <f t="shared" si="1610"/>
        <v>#DIV/0!</v>
      </c>
      <c r="AP201" s="86" t="e">
        <f t="shared" si="1610"/>
        <v>#DIV/0!</v>
      </c>
      <c r="AQ201" s="86" t="e">
        <f t="shared" si="1610"/>
        <v>#DIV/0!</v>
      </c>
      <c r="AR201" s="86" t="e">
        <f t="shared" si="1610"/>
        <v>#DIV/0!</v>
      </c>
      <c r="AS201" s="86" t="e">
        <f t="shared" si="1610"/>
        <v>#DIV/0!</v>
      </c>
      <c r="AT201" s="86" t="e">
        <f t="shared" si="1610"/>
        <v>#DIV/0!</v>
      </c>
      <c r="AU201" s="86" t="e">
        <f t="shared" si="1610"/>
        <v>#DIV/0!</v>
      </c>
      <c r="AV201" s="86" t="e">
        <f t="shared" si="1610"/>
        <v>#DIV/0!</v>
      </c>
      <c r="AW201" s="86" t="e">
        <f t="shared" si="1610"/>
        <v>#DIV/0!</v>
      </c>
      <c r="AX201" s="86" t="e">
        <f t="shared" si="1610"/>
        <v>#DIV/0!</v>
      </c>
      <c r="AY201" s="86" t="e">
        <f t="shared" si="1610"/>
        <v>#DIV/0!</v>
      </c>
      <c r="AZ201" s="86" t="e">
        <f t="shared" si="1610"/>
        <v>#DIV/0!</v>
      </c>
      <c r="BA201" s="86" t="e">
        <f t="shared" si="1610"/>
        <v>#DIV/0!</v>
      </c>
      <c r="BB201" s="86" t="e">
        <f t="shared" si="1610"/>
        <v>#DIV/0!</v>
      </c>
      <c r="BC201" s="86" t="e">
        <f t="shared" si="1610"/>
        <v>#DIV/0!</v>
      </c>
      <c r="BD201" s="86" t="e">
        <f t="shared" si="1610"/>
        <v>#DIV/0!</v>
      </c>
      <c r="BE201" s="86" t="e">
        <f t="shared" si="1610"/>
        <v>#DIV/0!</v>
      </c>
      <c r="BF201" s="86" t="e">
        <f t="shared" si="1610"/>
        <v>#DIV/0!</v>
      </c>
      <c r="BG201" s="86" t="e">
        <f t="shared" si="1610"/>
        <v>#DIV/0!</v>
      </c>
      <c r="BH201" s="86" t="e">
        <f t="shared" si="1610"/>
        <v>#DIV/0!</v>
      </c>
      <c r="BI201" s="86" t="e">
        <f t="shared" si="1610"/>
        <v>#DIV/0!</v>
      </c>
      <c r="BJ201" s="86" t="e">
        <f t="shared" si="1610"/>
        <v>#DIV/0!</v>
      </c>
      <c r="BK201" s="86" t="e">
        <f t="shared" si="1610"/>
        <v>#DIV/0!</v>
      </c>
      <c r="BL201" s="86" t="e">
        <f t="shared" si="1610"/>
        <v>#DIV/0!</v>
      </c>
      <c r="BM201" s="86" t="e">
        <f t="shared" si="1610"/>
        <v>#DIV/0!</v>
      </c>
      <c r="BN201" s="86" t="e">
        <f t="shared" si="1610"/>
        <v>#DIV/0!</v>
      </c>
      <c r="BO201" s="86" t="e">
        <f t="shared" si="1610"/>
        <v>#DIV/0!</v>
      </c>
      <c r="BP201" s="86" t="e">
        <f t="shared" si="1610"/>
        <v>#DIV/0!</v>
      </c>
      <c r="BQ201" s="86" t="e">
        <f t="shared" si="1610"/>
        <v>#DIV/0!</v>
      </c>
      <c r="BR201" s="86" t="e">
        <f t="shared" si="1610"/>
        <v>#DIV/0!</v>
      </c>
      <c r="BS201" s="86" t="e">
        <f t="shared" si="1610"/>
        <v>#DIV/0!</v>
      </c>
      <c r="BT201" s="86" t="e">
        <f t="shared" si="1610"/>
        <v>#DIV/0!</v>
      </c>
      <c r="BU201" s="86" t="e">
        <f t="shared" si="1610"/>
        <v>#DIV/0!</v>
      </c>
      <c r="BV201" s="86">
        <f t="shared" si="1610"/>
        <v>36.689097243457027</v>
      </c>
      <c r="BW201" s="86">
        <f t="shared" si="1610"/>
        <v>9.6600953158602199</v>
      </c>
      <c r="BX201" s="86" t="e">
        <f t="shared" si="1610"/>
        <v>#DIV/0!</v>
      </c>
      <c r="BY201" s="86" t="e">
        <f t="shared" si="1610"/>
        <v>#DIV/0!</v>
      </c>
      <c r="BZ201" s="86">
        <f t="shared" si="1610"/>
        <v>1.1860929677666689</v>
      </c>
      <c r="CA201" s="86">
        <f t="shared" si="1610"/>
        <v>1.0570736204247306</v>
      </c>
      <c r="CB201" s="86">
        <f t="shared" si="1610"/>
        <v>-21.622026366743292</v>
      </c>
      <c r="CC201" s="86">
        <f t="shared" si="1610"/>
        <v>-22.693522205892599</v>
      </c>
      <c r="CD201" s="86">
        <f t="shared" si="1610"/>
        <v>0.54798083624076543</v>
      </c>
      <c r="CE201" s="86">
        <f t="shared" si="1610"/>
        <v>0.47206953324002487</v>
      </c>
      <c r="CF201" s="86">
        <f t="shared" si="1610"/>
        <v>-3.3475115156682889E-2</v>
      </c>
      <c r="CG201" s="86">
        <f t="shared" si="1610"/>
        <v>-1.5464335206704871E-2</v>
      </c>
      <c r="CH201" s="86">
        <f t="shared" si="1610"/>
        <v>-0.52184802979411082</v>
      </c>
      <c r="CI201" s="86">
        <f t="shared" si="1610"/>
        <v>-0.39534421236113593</v>
      </c>
      <c r="CJ201" s="86">
        <f>+CJ198/CF198-1</f>
        <v>0.39864907746892997</v>
      </c>
      <c r="CL201" s="86">
        <f>+CL198/CH198-1</f>
        <v>0.33160301509413315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0.20419053942918786</v>
      </c>
    </row>
    <row r="202" spans="1:110" s="103" customFormat="1" x14ac:dyDescent="0.2">
      <c r="A202" s="147" t="s">
        <v>87</v>
      </c>
      <c r="C202" s="103" t="e">
        <f>IF(C201&gt;C200,"RF",0)</f>
        <v>#DIV/0!</v>
      </c>
      <c r="D202" s="103" t="e">
        <f>IF(D201&gt;D200,"RF",0)</f>
        <v>#DIV/0!</v>
      </c>
      <c r="E202" s="103" t="e">
        <f t="shared" ref="E202:U202" si="1611">IF(E201&gt;E200,"RF",0)</f>
        <v>#DIV/0!</v>
      </c>
      <c r="F202" s="103" t="e">
        <f t="shared" si="1611"/>
        <v>#DIV/0!</v>
      </c>
      <c r="G202" s="103" t="e">
        <f t="shared" si="1611"/>
        <v>#DIV/0!</v>
      </c>
      <c r="H202" s="103" t="e">
        <f t="shared" si="1611"/>
        <v>#DIV/0!</v>
      </c>
      <c r="I202" s="103" t="e">
        <f t="shared" si="1611"/>
        <v>#DIV/0!</v>
      </c>
      <c r="J202" s="103" t="e">
        <f t="shared" si="1611"/>
        <v>#DIV/0!</v>
      </c>
      <c r="K202" s="103" t="str">
        <f t="shared" si="1611"/>
        <v>RF</v>
      </c>
      <c r="L202" s="103">
        <f t="shared" si="1611"/>
        <v>0</v>
      </c>
      <c r="M202" s="103">
        <f t="shared" si="1611"/>
        <v>0</v>
      </c>
      <c r="N202" s="103" t="str">
        <f t="shared" si="1611"/>
        <v>RF</v>
      </c>
      <c r="O202" s="103" t="str">
        <f t="shared" si="1611"/>
        <v>RF</v>
      </c>
      <c r="P202" s="103" t="e">
        <f t="shared" si="1611"/>
        <v>#DIV/0!</v>
      </c>
      <c r="Q202" s="103" t="e">
        <f t="shared" si="1611"/>
        <v>#DIV/0!</v>
      </c>
      <c r="R202" s="103">
        <f t="shared" si="1611"/>
        <v>0</v>
      </c>
      <c r="S202" s="103">
        <f t="shared" si="1611"/>
        <v>0</v>
      </c>
      <c r="T202" s="103" t="str">
        <f t="shared" si="1611"/>
        <v>RF</v>
      </c>
      <c r="U202" s="103">
        <f t="shared" si="1611"/>
        <v>0</v>
      </c>
      <c r="V202" s="103">
        <f>IF(V201&gt;V200,"RF",0)</f>
        <v>0</v>
      </c>
      <c r="W202" s="103">
        <f t="shared" ref="W202" si="1612">IF(W201&gt;W200,"RF",0)</f>
        <v>0</v>
      </c>
      <c r="X202" s="103" t="str">
        <f t="shared" ref="X202:Y202" si="1613">IF(X201&gt;X200,"RF",0)</f>
        <v>RF</v>
      </c>
      <c r="Y202" s="103" t="str">
        <f t="shared" si="1613"/>
        <v>RF</v>
      </c>
      <c r="Z202" s="103">
        <f t="shared" ref="Z202:AA202" si="1614">IF(Z201&gt;Z200,"RF",0)</f>
        <v>0</v>
      </c>
      <c r="AA202" s="103">
        <f t="shared" ref="AA202" si="1615">IF(AA201&gt;AA200,"RF",0)</f>
        <v>0</v>
      </c>
      <c r="AB202" s="73">
        <f t="shared" ref="AB202:AD202" si="1616">IF(AB201&gt;AB200,"RF",0)</f>
        <v>0</v>
      </c>
      <c r="AC202" s="73">
        <f t="shared" si="1616"/>
        <v>0</v>
      </c>
      <c r="AD202" s="73">
        <f t="shared" si="1616"/>
        <v>0</v>
      </c>
      <c r="AE202" s="73">
        <f t="shared" ref="AE202" si="1617">IF(AE201&gt;AE200,"RF",0)</f>
        <v>0</v>
      </c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E202" s="142"/>
      <c r="DF202" s="103">
        <v>0</v>
      </c>
    </row>
    <row r="203" spans="1:110" x14ac:dyDescent="0.2">
      <c r="A203" s="153" t="s">
        <v>494</v>
      </c>
      <c r="AA203" s="2"/>
    </row>
    <row r="204" spans="1:110" x14ac:dyDescent="0.2">
      <c r="A204" s="152" t="s">
        <v>495</v>
      </c>
      <c r="AA204" s="2"/>
    </row>
    <row r="205" spans="1:110" s="23" customFormat="1" x14ac:dyDescent="0.2">
      <c r="A205" s="23" t="s">
        <v>22</v>
      </c>
      <c r="C205" s="23">
        <f t="shared" ref="C205:AE205" si="1618">C60</f>
        <v>0</v>
      </c>
      <c r="D205" s="23">
        <f t="shared" si="1618"/>
        <v>0</v>
      </c>
      <c r="E205" s="23">
        <f t="shared" si="1618"/>
        <v>0</v>
      </c>
      <c r="F205" s="23">
        <f t="shared" si="1618"/>
        <v>0</v>
      </c>
      <c r="G205" s="23">
        <f t="shared" si="1618"/>
        <v>0</v>
      </c>
      <c r="H205" s="23">
        <f t="shared" si="1618"/>
        <v>0</v>
      </c>
      <c r="I205" s="23">
        <f t="shared" si="1618"/>
        <v>0</v>
      </c>
      <c r="J205" s="23">
        <f t="shared" si="1618"/>
        <v>0.35855059999999983</v>
      </c>
      <c r="K205" s="23">
        <f t="shared" si="1618"/>
        <v>0.1897734999999999</v>
      </c>
      <c r="L205" s="23">
        <f t="shared" si="1618"/>
        <v>0.52089149999999984</v>
      </c>
      <c r="M205" s="23">
        <f t="shared" si="1618"/>
        <v>0.10714169999999995</v>
      </c>
      <c r="N205" s="23">
        <f t="shared" si="1618"/>
        <v>0.14259930000000007</v>
      </c>
      <c r="O205" s="23">
        <f t="shared" si="1618"/>
        <v>0.28655730000000007</v>
      </c>
      <c r="P205" s="23">
        <f t="shared" si="1618"/>
        <v>-2.7392E-2</v>
      </c>
      <c r="Q205" s="23">
        <f t="shared" si="1618"/>
        <v>0.15699999999999995</v>
      </c>
      <c r="R205" s="23">
        <f t="shared" si="1618"/>
        <v>-7.1999999999987713E-2</v>
      </c>
      <c r="S205" s="23">
        <f t="shared" si="1618"/>
        <v>46.252999999999979</v>
      </c>
      <c r="T205" s="23">
        <f t="shared" si="1618"/>
        <v>59.205999999999982</v>
      </c>
      <c r="U205" s="23">
        <f t="shared" si="1618"/>
        <v>61.382999999999981</v>
      </c>
      <c r="V205" s="23">
        <f t="shared" si="1618"/>
        <v>44.538900000000012</v>
      </c>
      <c r="W205" s="23">
        <f t="shared" si="1618"/>
        <v>126.72630000000002</v>
      </c>
      <c r="X205" s="23">
        <f t="shared" si="1618"/>
        <v>168.40640000000002</v>
      </c>
      <c r="Y205" s="23">
        <f t="shared" si="1618"/>
        <v>224.97439999999995</v>
      </c>
      <c r="Z205" s="23">
        <f t="shared" si="1618"/>
        <v>299.82529999999991</v>
      </c>
      <c r="AA205" s="23">
        <f t="shared" ref="AA205" si="1619">AA60</f>
        <v>395.91149999999999</v>
      </c>
      <c r="AB205" s="24">
        <f t="shared" si="1618"/>
        <v>480.95957647760508</v>
      </c>
      <c r="AC205" s="24">
        <f t="shared" si="1618"/>
        <v>707.02625524107873</v>
      </c>
      <c r="AD205" s="24">
        <f t="shared" si="1618"/>
        <v>1017.7036087150228</v>
      </c>
      <c r="AE205" s="24">
        <f t="shared" si="1618"/>
        <v>1440.1073097651811</v>
      </c>
      <c r="AI205" s="23">
        <f t="shared" ref="AI205:BN205" si="1620">AI60</f>
        <v>0</v>
      </c>
      <c r="AJ205" s="23">
        <f t="shared" si="1620"/>
        <v>0</v>
      </c>
      <c r="AK205" s="23">
        <f t="shared" si="1620"/>
        <v>0</v>
      </c>
      <c r="AL205" s="23">
        <f t="shared" si="1620"/>
        <v>0</v>
      </c>
      <c r="AM205" s="23">
        <f t="shared" si="1620"/>
        <v>0</v>
      </c>
      <c r="AN205" s="23">
        <f t="shared" si="1620"/>
        <v>0</v>
      </c>
      <c r="AO205" s="23">
        <f t="shared" si="1620"/>
        <v>0</v>
      </c>
      <c r="AP205" s="23">
        <f t="shared" si="1620"/>
        <v>0</v>
      </c>
      <c r="AQ205" s="23">
        <f t="shared" si="1620"/>
        <v>0</v>
      </c>
      <c r="AR205" s="23">
        <f t="shared" si="1620"/>
        <v>0</v>
      </c>
      <c r="AS205" s="23">
        <f t="shared" si="1620"/>
        <v>0</v>
      </c>
      <c r="AT205" s="23">
        <f t="shared" si="1620"/>
        <v>0</v>
      </c>
      <c r="AU205" s="23">
        <f t="shared" si="1620"/>
        <v>0</v>
      </c>
      <c r="AV205" s="23">
        <f t="shared" si="1620"/>
        <v>0</v>
      </c>
      <c r="AW205" s="23">
        <f t="shared" si="1620"/>
        <v>0</v>
      </c>
      <c r="AX205" s="23">
        <f t="shared" si="1620"/>
        <v>0</v>
      </c>
      <c r="AY205" s="23">
        <f t="shared" si="1620"/>
        <v>0</v>
      </c>
      <c r="AZ205" s="23">
        <f t="shared" si="1620"/>
        <v>0</v>
      </c>
      <c r="BA205" s="23">
        <f t="shared" si="1620"/>
        <v>0</v>
      </c>
      <c r="BB205" s="23">
        <f t="shared" si="1620"/>
        <v>0</v>
      </c>
      <c r="BC205" s="23">
        <f t="shared" si="1620"/>
        <v>0</v>
      </c>
      <c r="BD205" s="23">
        <f t="shared" si="1620"/>
        <v>0</v>
      </c>
      <c r="BE205" s="23">
        <f t="shared" si="1620"/>
        <v>0</v>
      </c>
      <c r="BF205" s="23">
        <f t="shared" si="1620"/>
        <v>0</v>
      </c>
      <c r="BG205" s="23">
        <f t="shared" si="1620"/>
        <v>0</v>
      </c>
      <c r="BH205" s="23">
        <f t="shared" si="1620"/>
        <v>0</v>
      </c>
      <c r="BI205" s="23">
        <f t="shared" si="1620"/>
        <v>0</v>
      </c>
      <c r="BJ205" s="23">
        <f t="shared" si="1620"/>
        <v>0</v>
      </c>
      <c r="BK205" s="23">
        <f t="shared" si="1620"/>
        <v>0</v>
      </c>
      <c r="BL205" s="23">
        <f t="shared" si="1620"/>
        <v>0</v>
      </c>
      <c r="BM205" s="23">
        <f t="shared" si="1620"/>
        <v>0</v>
      </c>
      <c r="BN205" s="23">
        <f t="shared" si="1620"/>
        <v>0</v>
      </c>
      <c r="BO205" s="23">
        <f t="shared" ref="BO205:CT205" si="1621">BO60</f>
        <v>0</v>
      </c>
      <c r="BP205" s="23">
        <f t="shared" si="1621"/>
        <v>0</v>
      </c>
      <c r="BQ205" s="23">
        <f t="shared" si="1621"/>
        <v>13.082999999999998</v>
      </c>
      <c r="BR205" s="23">
        <f t="shared" si="1621"/>
        <v>9.6930000000000014</v>
      </c>
      <c r="BS205" s="23">
        <f t="shared" si="1621"/>
        <v>29.705000000000009</v>
      </c>
      <c r="BT205" s="23">
        <f t="shared" si="1621"/>
        <v>30.440999999999992</v>
      </c>
      <c r="BU205" s="23">
        <f t="shared" si="1621"/>
        <v>32.021000000000001</v>
      </c>
      <c r="BV205" s="23">
        <f t="shared" si="1621"/>
        <v>34.559999999999995</v>
      </c>
      <c r="BW205" s="23">
        <f t="shared" si="1621"/>
        <v>39.703000000000003</v>
      </c>
      <c r="BX205" s="23">
        <f t="shared" si="1621"/>
        <v>42.922999999999988</v>
      </c>
      <c r="BY205" s="23">
        <f t="shared" si="1621"/>
        <v>43.165000000000013</v>
      </c>
      <c r="BZ205" s="23">
        <f t="shared" si="1621"/>
        <v>42.614000000000004</v>
      </c>
      <c r="CA205" s="23">
        <f t="shared" si="1621"/>
        <v>53.062000000000012</v>
      </c>
      <c r="CB205" s="23">
        <f t="shared" si="1621"/>
        <v>57.491999999999976</v>
      </c>
      <c r="CC205" s="23">
        <f t="shared" si="1621"/>
        <v>57.823000000000008</v>
      </c>
      <c r="CD205" s="23">
        <f t="shared" si="1621"/>
        <v>56.596999999999987</v>
      </c>
      <c r="CE205" s="23">
        <f t="shared" si="1621"/>
        <v>73.240000000000009</v>
      </c>
      <c r="CF205" s="23">
        <f t="shared" si="1621"/>
        <v>76.112000000000009</v>
      </c>
      <c r="CG205" s="23">
        <f t="shared" si="1621"/>
        <v>77.022999999999982</v>
      </c>
      <c r="CH205" s="23">
        <f t="shared" si="1621"/>
        <v>73.452999999999989</v>
      </c>
      <c r="CI205" s="23">
        <f t="shared" si="1621"/>
        <v>93.623000000000005</v>
      </c>
      <c r="CJ205" s="23">
        <f t="shared" si="1621"/>
        <v>99.34999999999998</v>
      </c>
      <c r="CK205" s="23">
        <f t="shared" si="1621"/>
        <v>99.852000000000046</v>
      </c>
      <c r="CL205" s="23">
        <f t="shared" ref="CL205" si="1622">CL60</f>
        <v>103.08399999999997</v>
      </c>
      <c r="CM205" s="24">
        <f t="shared" si="1621"/>
        <v>111.3587218901299</v>
      </c>
      <c r="CN205" s="24">
        <f t="shared" si="1621"/>
        <v>123.79815757042553</v>
      </c>
      <c r="CO205" s="24">
        <f t="shared" si="1621"/>
        <v>121.19674973558719</v>
      </c>
      <c r="CP205" s="24">
        <f t="shared" si="1621"/>
        <v>124.60594728146256</v>
      </c>
      <c r="CQ205" s="24">
        <f t="shared" si="1621"/>
        <v>160.01905484829823</v>
      </c>
      <c r="CR205" s="24">
        <f t="shared" si="1621"/>
        <v>178.18408614501013</v>
      </c>
      <c r="CS205" s="24">
        <f t="shared" si="1621"/>
        <v>179.26391767793734</v>
      </c>
      <c r="CT205" s="24">
        <f t="shared" si="1621"/>
        <v>189.55919656983301</v>
      </c>
      <c r="CU205" s="24">
        <f t="shared" ref="CU205:DB205" si="1623">CU60</f>
        <v>229.63098804676454</v>
      </c>
      <c r="CV205" s="24">
        <f t="shared" si="1623"/>
        <v>255.40643138662386</v>
      </c>
      <c r="CW205" s="24">
        <f t="shared" si="1623"/>
        <v>258.98416916739251</v>
      </c>
      <c r="CX205" s="24">
        <f t="shared" si="1623"/>
        <v>273.68202011424142</v>
      </c>
      <c r="CY205" s="24">
        <f t="shared" si="1623"/>
        <v>325.45813595033115</v>
      </c>
      <c r="CZ205" s="24">
        <f t="shared" si="1623"/>
        <v>360.66957144706015</v>
      </c>
      <c r="DA205" s="24">
        <f t="shared" si="1623"/>
        <v>366.81659736956891</v>
      </c>
      <c r="DB205" s="24">
        <f t="shared" si="1623"/>
        <v>387.16300499822086</v>
      </c>
      <c r="DE205" s="123"/>
      <c r="DF205" s="23">
        <v>395.91149999999999</v>
      </c>
    </row>
    <row r="206" spans="1:110" s="23" customFormat="1" x14ac:dyDescent="0.2">
      <c r="A206" s="23" t="s">
        <v>88</v>
      </c>
      <c r="C206" s="23">
        <f t="shared" ref="C206:AE206" si="1624">C44</f>
        <v>0</v>
      </c>
      <c r="D206" s="23">
        <f t="shared" si="1624"/>
        <v>0</v>
      </c>
      <c r="E206" s="23">
        <f t="shared" si="1624"/>
        <v>0</v>
      </c>
      <c r="F206" s="23">
        <f t="shared" si="1624"/>
        <v>0</v>
      </c>
      <c r="G206" s="23">
        <f t="shared" si="1624"/>
        <v>0</v>
      </c>
      <c r="H206" s="23">
        <f t="shared" si="1624"/>
        <v>0</v>
      </c>
      <c r="I206" s="23">
        <f t="shared" si="1624"/>
        <v>0</v>
      </c>
      <c r="J206" s="23">
        <f t="shared" si="1624"/>
        <v>7.2963999999999998E-3</v>
      </c>
      <c r="K206" s="23">
        <f t="shared" si="1624"/>
        <v>0</v>
      </c>
      <c r="L206" s="23">
        <f t="shared" si="1624"/>
        <v>0</v>
      </c>
      <c r="M206" s="23">
        <f t="shared" si="1624"/>
        <v>0</v>
      </c>
      <c r="N206" s="23">
        <f t="shared" si="1624"/>
        <v>0</v>
      </c>
      <c r="O206" s="23">
        <f t="shared" si="1624"/>
        <v>0</v>
      </c>
      <c r="P206" s="23">
        <f t="shared" si="1624"/>
        <v>0</v>
      </c>
      <c r="Q206" s="23">
        <f t="shared" si="1624"/>
        <v>0</v>
      </c>
      <c r="R206" s="23">
        <f t="shared" si="1624"/>
        <v>1.034</v>
      </c>
      <c r="S206" s="23">
        <f t="shared" si="1624"/>
        <v>5.18</v>
      </c>
      <c r="T206" s="23">
        <f t="shared" si="1624"/>
        <v>16.268999999999998</v>
      </c>
      <c r="U206" s="23">
        <f t="shared" si="1624"/>
        <v>21.047999999999998</v>
      </c>
      <c r="V206" s="23">
        <f t="shared" si="1624"/>
        <v>17.728999999999999</v>
      </c>
      <c r="W206" s="23">
        <f t="shared" si="1624"/>
        <v>15.650700000000001</v>
      </c>
      <c r="X206" s="23">
        <f t="shared" si="1624"/>
        <v>16.612200000000001</v>
      </c>
      <c r="Y206" s="23">
        <f t="shared" si="1624"/>
        <v>19.357500000000002</v>
      </c>
      <c r="Z206" s="23">
        <f t="shared" si="1624"/>
        <v>25.450399999999998</v>
      </c>
      <c r="AA206" s="23">
        <f t="shared" ref="AA206" si="1625">AA44</f>
        <v>34.139299999999999</v>
      </c>
      <c r="AB206" s="24">
        <f t="shared" si="1624"/>
        <v>35.483962961133258</v>
      </c>
      <c r="AC206" s="24">
        <f t="shared" si="1624"/>
        <v>25.63029436073824</v>
      </c>
      <c r="AD206" s="24">
        <f t="shared" si="1624"/>
        <v>18.512926240443534</v>
      </c>
      <c r="AE206" s="24">
        <f t="shared" si="1624"/>
        <v>13.372005532215478</v>
      </c>
      <c r="AI206" s="23">
        <f t="shared" ref="AI206:BN206" si="1626">AI44</f>
        <v>0</v>
      </c>
      <c r="AJ206" s="23">
        <f t="shared" si="1626"/>
        <v>0</v>
      </c>
      <c r="AK206" s="23">
        <f t="shared" si="1626"/>
        <v>0</v>
      </c>
      <c r="AL206" s="23">
        <f t="shared" si="1626"/>
        <v>0</v>
      </c>
      <c r="AM206" s="23">
        <f t="shared" si="1626"/>
        <v>0</v>
      </c>
      <c r="AN206" s="23">
        <f t="shared" si="1626"/>
        <v>0</v>
      </c>
      <c r="AO206" s="23">
        <f t="shared" si="1626"/>
        <v>0</v>
      </c>
      <c r="AP206" s="23">
        <f t="shared" si="1626"/>
        <v>0</v>
      </c>
      <c r="AQ206" s="23">
        <f t="shared" si="1626"/>
        <v>0</v>
      </c>
      <c r="AR206" s="23">
        <f t="shared" si="1626"/>
        <v>0</v>
      </c>
      <c r="AS206" s="23">
        <f t="shared" si="1626"/>
        <v>0</v>
      </c>
      <c r="AT206" s="23">
        <f t="shared" si="1626"/>
        <v>0</v>
      </c>
      <c r="AU206" s="23">
        <f t="shared" si="1626"/>
        <v>0</v>
      </c>
      <c r="AV206" s="23">
        <f t="shared" si="1626"/>
        <v>0</v>
      </c>
      <c r="AW206" s="23">
        <f t="shared" si="1626"/>
        <v>0</v>
      </c>
      <c r="AX206" s="23">
        <f t="shared" si="1626"/>
        <v>0</v>
      </c>
      <c r="AY206" s="23">
        <f t="shared" si="1626"/>
        <v>0</v>
      </c>
      <c r="AZ206" s="23">
        <f t="shared" si="1626"/>
        <v>0</v>
      </c>
      <c r="BA206" s="23">
        <f t="shared" si="1626"/>
        <v>0</v>
      </c>
      <c r="BB206" s="23">
        <f t="shared" si="1626"/>
        <v>0</v>
      </c>
      <c r="BC206" s="23">
        <f t="shared" si="1626"/>
        <v>0</v>
      </c>
      <c r="BD206" s="23">
        <f t="shared" si="1626"/>
        <v>0</v>
      </c>
      <c r="BE206" s="23">
        <f t="shared" si="1626"/>
        <v>0</v>
      </c>
      <c r="BF206" s="23">
        <f t="shared" si="1626"/>
        <v>0</v>
      </c>
      <c r="BG206" s="23">
        <f t="shared" si="1626"/>
        <v>0</v>
      </c>
      <c r="BH206" s="23">
        <f t="shared" si="1626"/>
        <v>0</v>
      </c>
      <c r="BI206" s="23">
        <f t="shared" si="1626"/>
        <v>0</v>
      </c>
      <c r="BJ206" s="23">
        <f t="shared" si="1626"/>
        <v>0</v>
      </c>
      <c r="BK206" s="23">
        <f t="shared" si="1626"/>
        <v>0</v>
      </c>
      <c r="BL206" s="23">
        <f t="shared" si="1626"/>
        <v>0</v>
      </c>
      <c r="BM206" s="23">
        <f t="shared" si="1626"/>
        <v>0</v>
      </c>
      <c r="BN206" s="23">
        <f t="shared" si="1626"/>
        <v>0</v>
      </c>
      <c r="BO206" s="23">
        <f t="shared" ref="BO206:CT206" si="1627">BO44</f>
        <v>0</v>
      </c>
      <c r="BP206" s="23">
        <f t="shared" si="1627"/>
        <v>0</v>
      </c>
      <c r="BQ206" s="23">
        <f t="shared" si="1627"/>
        <v>4.327</v>
      </c>
      <c r="BR206" s="23">
        <f t="shared" si="1627"/>
        <v>4.0129999999999999</v>
      </c>
      <c r="BS206" s="23">
        <f t="shared" si="1627"/>
        <v>4.0579999999999998</v>
      </c>
      <c r="BT206" s="23">
        <f t="shared" si="1627"/>
        <v>4.0369999999999999</v>
      </c>
      <c r="BU206" s="23">
        <f t="shared" si="1627"/>
        <v>4.2439999999999998</v>
      </c>
      <c r="BV206" s="23">
        <f t="shared" si="1627"/>
        <v>3.3119999999999998</v>
      </c>
      <c r="BW206" s="23">
        <f t="shared" si="1627"/>
        <v>3.827</v>
      </c>
      <c r="BX206" s="23">
        <f t="shared" si="1627"/>
        <v>4.0810000000000004</v>
      </c>
      <c r="BY206" s="23">
        <f t="shared" si="1627"/>
        <v>4.3940000000000001</v>
      </c>
      <c r="BZ206" s="23">
        <f t="shared" si="1627"/>
        <v>4.3109999999999999</v>
      </c>
      <c r="CA206" s="23">
        <f t="shared" si="1627"/>
        <v>4.5119999999999996</v>
      </c>
      <c r="CB206" s="23">
        <f t="shared" si="1627"/>
        <v>4.6130000000000004</v>
      </c>
      <c r="CC206" s="23">
        <f t="shared" si="1627"/>
        <v>5.0199999999999996</v>
      </c>
      <c r="CD206" s="23">
        <f t="shared" si="1627"/>
        <v>5.2119999999999997</v>
      </c>
      <c r="CE206" s="23">
        <f t="shared" si="1627"/>
        <v>5.6660000000000004</v>
      </c>
      <c r="CF206" s="23">
        <f t="shared" si="1627"/>
        <v>6.1310000000000002</v>
      </c>
      <c r="CG206" s="23">
        <f t="shared" si="1627"/>
        <v>6.5270000000000001</v>
      </c>
      <c r="CH206" s="23">
        <f t="shared" si="1627"/>
        <v>7.1260000000000003</v>
      </c>
      <c r="CI206" s="23">
        <f t="shared" si="1627"/>
        <v>7.6760000000000002</v>
      </c>
      <c r="CJ206" s="23">
        <f t="shared" si="1627"/>
        <v>8.3040000000000003</v>
      </c>
      <c r="CK206" s="23">
        <f t="shared" si="1627"/>
        <v>8.6379999999999999</v>
      </c>
      <c r="CL206" s="23">
        <f t="shared" ref="CL206" si="1628">CL44</f>
        <v>9.5229999999999997</v>
      </c>
      <c r="CM206" s="24">
        <f t="shared" si="1627"/>
        <v>9.9806307557290737</v>
      </c>
      <c r="CN206" s="24">
        <f t="shared" si="1627"/>
        <v>9.2010704902576439</v>
      </c>
      <c r="CO206" s="24">
        <f t="shared" si="1627"/>
        <v>8.4823995836228807</v>
      </c>
      <c r="CP206" s="24">
        <f t="shared" si="1627"/>
        <v>7.8198621315236645</v>
      </c>
      <c r="CQ206" s="24">
        <f t="shared" si="1627"/>
        <v>7.209073700571909</v>
      </c>
      <c r="CR206" s="24">
        <f t="shared" si="1627"/>
        <v>6.6459923136971337</v>
      </c>
      <c r="CS206" s="24">
        <f t="shared" si="1627"/>
        <v>6.1268917018031557</v>
      </c>
      <c r="CT206" s="24">
        <f t="shared" si="1627"/>
        <v>5.6483366446660401</v>
      </c>
      <c r="CU206" s="24">
        <f t="shared" ref="CU206:DB206" si="1629">CU44</f>
        <v>5.2071602378883073</v>
      </c>
      <c r="CV206" s="24">
        <f t="shared" si="1629"/>
        <v>4.8004429354702829</v>
      </c>
      <c r="CW206" s="24">
        <f t="shared" si="1629"/>
        <v>4.4254932293099234</v>
      </c>
      <c r="CX206" s="24">
        <f t="shared" si="1629"/>
        <v>4.0798298377750211</v>
      </c>
      <c r="CY206" s="24">
        <f t="shared" si="1629"/>
        <v>3.7611652854782127</v>
      </c>
      <c r="CZ206" s="24">
        <f t="shared" si="1629"/>
        <v>3.4673907655916549</v>
      </c>
      <c r="DA206" s="24">
        <f t="shared" si="1629"/>
        <v>3.1965621845256509</v>
      </c>
      <c r="DB206" s="24">
        <f t="shared" si="1629"/>
        <v>2.9468872966199591</v>
      </c>
      <c r="DE206" s="123"/>
      <c r="DF206" s="23">
        <v>34.139299999999999</v>
      </c>
    </row>
    <row r="207" spans="1:110" s="22" customFormat="1" x14ac:dyDescent="0.2">
      <c r="A207" s="22" t="s">
        <v>89</v>
      </c>
      <c r="C207" s="22">
        <f t="shared" ref="C207:W207" si="1630">C205+C206</f>
        <v>0</v>
      </c>
      <c r="D207" s="22">
        <f t="shared" si="1630"/>
        <v>0</v>
      </c>
      <c r="E207" s="22">
        <f t="shared" si="1630"/>
        <v>0</v>
      </c>
      <c r="F207" s="22">
        <f t="shared" si="1630"/>
        <v>0</v>
      </c>
      <c r="G207" s="22">
        <f t="shared" si="1630"/>
        <v>0</v>
      </c>
      <c r="H207" s="22">
        <f t="shared" si="1630"/>
        <v>0</v>
      </c>
      <c r="I207" s="22">
        <f t="shared" si="1630"/>
        <v>0</v>
      </c>
      <c r="J207" s="22">
        <f t="shared" si="1630"/>
        <v>0.36584699999999981</v>
      </c>
      <c r="K207" s="22">
        <f t="shared" si="1630"/>
        <v>0.1897734999999999</v>
      </c>
      <c r="L207" s="22">
        <f t="shared" si="1630"/>
        <v>0.52089149999999984</v>
      </c>
      <c r="M207" s="22">
        <f t="shared" si="1630"/>
        <v>0.10714169999999995</v>
      </c>
      <c r="N207" s="22">
        <f t="shared" si="1630"/>
        <v>0.14259930000000007</v>
      </c>
      <c r="O207" s="22">
        <f t="shared" si="1630"/>
        <v>0.28655730000000007</v>
      </c>
      <c r="P207" s="22">
        <f t="shared" si="1630"/>
        <v>-2.7392E-2</v>
      </c>
      <c r="Q207" s="22">
        <f t="shared" si="1630"/>
        <v>0.15699999999999995</v>
      </c>
      <c r="R207" s="22">
        <f t="shared" si="1630"/>
        <v>0.96200000000001229</v>
      </c>
      <c r="S207" s="22">
        <f t="shared" si="1630"/>
        <v>51.432999999999979</v>
      </c>
      <c r="T207" s="22">
        <f t="shared" si="1630"/>
        <v>75.47499999999998</v>
      </c>
      <c r="U207" s="22">
        <f t="shared" si="1630"/>
        <v>82.430999999999983</v>
      </c>
      <c r="V207" s="22">
        <f t="shared" si="1630"/>
        <v>62.267900000000012</v>
      </c>
      <c r="W207" s="22">
        <f t="shared" si="1630"/>
        <v>142.37700000000001</v>
      </c>
      <c r="X207" s="22">
        <f t="shared" ref="X207:Y207" si="1631">X205+X206</f>
        <v>185.01860000000002</v>
      </c>
      <c r="Y207" s="22">
        <f t="shared" si="1631"/>
        <v>244.33189999999996</v>
      </c>
      <c r="Z207" s="22">
        <f t="shared" ref="Z207:AA207" si="1632">Z205+Z206</f>
        <v>325.27569999999992</v>
      </c>
      <c r="AA207" s="22">
        <f t="shared" ref="AA207" si="1633">AA205+AA206</f>
        <v>430.05079999999998</v>
      </c>
      <c r="AB207" s="21">
        <f t="shared" ref="AB207:AD207" si="1634">AB205+AB206</f>
        <v>516.4435394387383</v>
      </c>
      <c r="AC207" s="21">
        <f t="shared" si="1634"/>
        <v>732.65654960181701</v>
      </c>
      <c r="AD207" s="21">
        <f t="shared" si="1634"/>
        <v>1036.2165349554664</v>
      </c>
      <c r="AE207" s="21">
        <f t="shared" ref="AE207" si="1635">AE205+AE206</f>
        <v>1453.4793152973966</v>
      </c>
      <c r="AI207" s="22">
        <f t="shared" ref="AI207" si="1636">AI205+AI206</f>
        <v>0</v>
      </c>
      <c r="AJ207" s="22">
        <f t="shared" ref="AJ207:AL207" si="1637">AJ205+AJ206</f>
        <v>0</v>
      </c>
      <c r="AK207" s="22">
        <f t="shared" si="1637"/>
        <v>0</v>
      </c>
      <c r="AL207" s="22">
        <f t="shared" si="1637"/>
        <v>0</v>
      </c>
      <c r="AM207" s="22">
        <f t="shared" ref="AM207" si="1638">AM205+AM206</f>
        <v>0</v>
      </c>
      <c r="AN207" s="22">
        <f t="shared" ref="AN207:CD207" si="1639">AN205+AN206</f>
        <v>0</v>
      </c>
      <c r="AO207" s="22">
        <f t="shared" si="1639"/>
        <v>0</v>
      </c>
      <c r="AP207" s="22">
        <f t="shared" si="1639"/>
        <v>0</v>
      </c>
      <c r="AQ207" s="22">
        <f t="shared" si="1639"/>
        <v>0</v>
      </c>
      <c r="AR207" s="22">
        <f t="shared" si="1639"/>
        <v>0</v>
      </c>
      <c r="AS207" s="22">
        <f t="shared" si="1639"/>
        <v>0</v>
      </c>
      <c r="AT207" s="22">
        <f t="shared" si="1639"/>
        <v>0</v>
      </c>
      <c r="AU207" s="22">
        <f t="shared" si="1639"/>
        <v>0</v>
      </c>
      <c r="AV207" s="22">
        <f t="shared" si="1639"/>
        <v>0</v>
      </c>
      <c r="AW207" s="22">
        <f t="shared" si="1639"/>
        <v>0</v>
      </c>
      <c r="AX207" s="22">
        <f t="shared" si="1639"/>
        <v>0</v>
      </c>
      <c r="AY207" s="22">
        <f t="shared" si="1639"/>
        <v>0</v>
      </c>
      <c r="AZ207" s="22">
        <f t="shared" si="1639"/>
        <v>0</v>
      </c>
      <c r="BA207" s="22">
        <f t="shared" si="1639"/>
        <v>0</v>
      </c>
      <c r="BB207" s="22">
        <f t="shared" si="1639"/>
        <v>0</v>
      </c>
      <c r="BC207" s="22">
        <f t="shared" si="1639"/>
        <v>0</v>
      </c>
      <c r="BD207" s="22">
        <f t="shared" si="1639"/>
        <v>0</v>
      </c>
      <c r="BE207" s="22">
        <f t="shared" si="1639"/>
        <v>0</v>
      </c>
      <c r="BF207" s="22">
        <f t="shared" si="1639"/>
        <v>0</v>
      </c>
      <c r="BG207" s="22">
        <f t="shared" si="1639"/>
        <v>0</v>
      </c>
      <c r="BH207" s="22">
        <f t="shared" si="1639"/>
        <v>0</v>
      </c>
      <c r="BI207" s="22">
        <f t="shared" si="1639"/>
        <v>0</v>
      </c>
      <c r="BJ207" s="22">
        <f t="shared" si="1639"/>
        <v>0</v>
      </c>
      <c r="BK207" s="22">
        <f t="shared" si="1639"/>
        <v>0</v>
      </c>
      <c r="BL207" s="22">
        <f t="shared" si="1639"/>
        <v>0</v>
      </c>
      <c r="BM207" s="22">
        <f t="shared" si="1639"/>
        <v>0</v>
      </c>
      <c r="BN207" s="22">
        <f t="shared" si="1639"/>
        <v>0</v>
      </c>
      <c r="BO207" s="22">
        <f t="shared" si="1639"/>
        <v>0</v>
      </c>
      <c r="BP207" s="22">
        <f t="shared" si="1639"/>
        <v>0</v>
      </c>
      <c r="BQ207" s="22">
        <f t="shared" si="1639"/>
        <v>17.409999999999997</v>
      </c>
      <c r="BR207" s="22">
        <f t="shared" si="1639"/>
        <v>13.706000000000001</v>
      </c>
      <c r="BS207" s="22">
        <f t="shared" si="1639"/>
        <v>33.763000000000005</v>
      </c>
      <c r="BT207" s="22">
        <f t="shared" si="1639"/>
        <v>34.477999999999994</v>
      </c>
      <c r="BU207" s="22">
        <f t="shared" si="1639"/>
        <v>36.265000000000001</v>
      </c>
      <c r="BV207" s="22">
        <f t="shared" si="1639"/>
        <v>37.871999999999993</v>
      </c>
      <c r="BW207" s="22">
        <f t="shared" si="1639"/>
        <v>43.53</v>
      </c>
      <c r="BX207" s="22">
        <f t="shared" si="1639"/>
        <v>47.003999999999991</v>
      </c>
      <c r="BY207" s="22">
        <f t="shared" si="1639"/>
        <v>47.559000000000012</v>
      </c>
      <c r="BZ207" s="22">
        <f t="shared" si="1639"/>
        <v>46.925000000000004</v>
      </c>
      <c r="CA207" s="22">
        <f t="shared" si="1639"/>
        <v>57.574000000000012</v>
      </c>
      <c r="CB207" s="22">
        <f t="shared" si="1639"/>
        <v>62.104999999999976</v>
      </c>
      <c r="CC207" s="22">
        <f t="shared" si="1639"/>
        <v>62.843000000000004</v>
      </c>
      <c r="CD207" s="22">
        <f t="shared" si="1639"/>
        <v>61.808999999999983</v>
      </c>
      <c r="CE207" s="22">
        <f t="shared" ref="CE207:CF207" si="1640">CE205+CE206</f>
        <v>78.906000000000006</v>
      </c>
      <c r="CF207" s="22">
        <f t="shared" si="1640"/>
        <v>82.243000000000009</v>
      </c>
      <c r="CG207" s="22">
        <f t="shared" ref="CG207:CH207" si="1641">CG205+CG206</f>
        <v>83.549999999999983</v>
      </c>
      <c r="CH207" s="22">
        <f t="shared" si="1641"/>
        <v>80.578999999999994</v>
      </c>
      <c r="CI207" s="22">
        <f t="shared" ref="CI207:CJ207" si="1642">CI205+CI206</f>
        <v>101.29900000000001</v>
      </c>
      <c r="CJ207" s="22">
        <f t="shared" si="1642"/>
        <v>107.65399999999998</v>
      </c>
      <c r="CK207" s="22">
        <f t="shared" ref="CK207:DB207" si="1643">CK205+CK206</f>
        <v>108.49000000000005</v>
      </c>
      <c r="CL207" s="22">
        <f t="shared" si="1643"/>
        <v>112.60699999999997</v>
      </c>
      <c r="CM207" s="21">
        <f t="shared" si="1643"/>
        <v>121.33935264585898</v>
      </c>
      <c r="CN207" s="21">
        <f t="shared" si="1643"/>
        <v>132.99922806068318</v>
      </c>
      <c r="CO207" s="21">
        <f t="shared" si="1643"/>
        <v>129.67914931921007</v>
      </c>
      <c r="CP207" s="21">
        <f t="shared" si="1643"/>
        <v>132.42580941298624</v>
      </c>
      <c r="CQ207" s="21">
        <f t="shared" si="1643"/>
        <v>167.22812854887013</v>
      </c>
      <c r="CR207" s="21">
        <f t="shared" si="1643"/>
        <v>184.83007845870725</v>
      </c>
      <c r="CS207" s="21">
        <f t="shared" si="1643"/>
        <v>185.39080937974049</v>
      </c>
      <c r="CT207" s="21">
        <f t="shared" si="1643"/>
        <v>195.20753321449905</v>
      </c>
      <c r="CU207" s="21">
        <f t="shared" si="1643"/>
        <v>234.83814828465285</v>
      </c>
      <c r="CV207" s="21">
        <f t="shared" si="1643"/>
        <v>260.20687432209417</v>
      </c>
      <c r="CW207" s="21">
        <f t="shared" si="1643"/>
        <v>263.40966239670246</v>
      </c>
      <c r="CX207" s="21">
        <f t="shared" si="1643"/>
        <v>277.76184995201646</v>
      </c>
      <c r="CY207" s="21">
        <f t="shared" si="1643"/>
        <v>329.21930123580938</v>
      </c>
      <c r="CZ207" s="21">
        <f t="shared" si="1643"/>
        <v>364.13696221265178</v>
      </c>
      <c r="DA207" s="21">
        <f t="shared" si="1643"/>
        <v>370.01315955409456</v>
      </c>
      <c r="DB207" s="21">
        <f t="shared" si="1643"/>
        <v>390.10989229484079</v>
      </c>
      <c r="DE207" s="126"/>
      <c r="DF207" s="22">
        <v>430.05079999999998</v>
      </c>
    </row>
    <row r="208" spans="1:110" s="23" customFormat="1" x14ac:dyDescent="0.2">
      <c r="A208" s="23" t="s">
        <v>65</v>
      </c>
      <c r="C208" s="23">
        <f t="shared" ref="C208:AA208" si="1644">B160-C160+B175+B176-C175-C176</f>
        <v>0</v>
      </c>
      <c r="D208" s="23">
        <f t="shared" si="1644"/>
        <v>0</v>
      </c>
      <c r="E208" s="23">
        <f>D160-E160+D175+D176-E175-E176</f>
        <v>0</v>
      </c>
      <c r="F208" s="23">
        <f t="shared" si="1644"/>
        <v>0</v>
      </c>
      <c r="G208" s="23">
        <f t="shared" si="1644"/>
        <v>0</v>
      </c>
      <c r="H208" s="23">
        <f t="shared" si="1644"/>
        <v>0</v>
      </c>
      <c r="I208" s="23">
        <f t="shared" si="1644"/>
        <v>0</v>
      </c>
      <c r="J208" s="23">
        <f>I160-J160+I175+I176-J175-J176</f>
        <v>-0.9171665</v>
      </c>
      <c r="K208" s="23">
        <f>J160-K160+J175+J176-K175-K176</f>
        <v>-0.61640739999999994</v>
      </c>
      <c r="L208" s="23">
        <f t="shared" si="1644"/>
        <v>-0.27940469999999995</v>
      </c>
      <c r="M208" s="23">
        <f t="shared" si="1644"/>
        <v>1.5010903</v>
      </c>
      <c r="N208" s="23">
        <f t="shared" si="1644"/>
        <v>-0.1170284</v>
      </c>
      <c r="O208" s="23">
        <f t="shared" si="1644"/>
        <v>-0.46757629999999983</v>
      </c>
      <c r="P208" s="23">
        <f t="shared" si="1644"/>
        <v>-1.1569419000000001</v>
      </c>
      <c r="Q208" s="23">
        <f t="shared" si="1644"/>
        <v>-8.5565100000000172E-2</v>
      </c>
      <c r="R208" s="23">
        <f t="shared" si="1644"/>
        <v>-18.917999999999999</v>
      </c>
      <c r="S208" s="23">
        <f t="shared" si="1644"/>
        <v>-41.607999999999997</v>
      </c>
      <c r="T208" s="23">
        <f t="shared" si="1644"/>
        <v>-50.149000000000001</v>
      </c>
      <c r="U208" s="23">
        <f t="shared" si="1644"/>
        <v>-85.39800000000001</v>
      </c>
      <c r="V208" s="23">
        <f t="shared" si="1644"/>
        <v>152.52380000000005</v>
      </c>
      <c r="W208" s="23">
        <f t="shared" si="1644"/>
        <v>-119.90779999999999</v>
      </c>
      <c r="X208" s="23">
        <f t="shared" si="1644"/>
        <v>-152.17410000000001</v>
      </c>
      <c r="Y208" s="23">
        <f t="shared" si="1644"/>
        <v>-260.28769999999997</v>
      </c>
      <c r="Z208" s="23">
        <f t="shared" si="1644"/>
        <v>98.432499999999933</v>
      </c>
      <c r="AA208" s="23">
        <f t="shared" si="1644"/>
        <v>-131.28689999999997</v>
      </c>
      <c r="AB208" s="24">
        <f t="shared" ref="AB208" si="1645">AA160-AB160+AA175+AA176-AB175-AB176</f>
        <v>-268.58530000000019</v>
      </c>
      <c r="AC208" s="24">
        <f t="shared" ref="AC208" si="1646">AB160-AC160+AB175+AB176-AC175-AC176</f>
        <v>-270.15494999999964</v>
      </c>
      <c r="AD208" s="24">
        <f t="shared" ref="AD208" si="1647">AC160-AD160+AC175+AC176-AD175-AD176</f>
        <v>-351.20143500000017</v>
      </c>
      <c r="AE208" s="24">
        <f t="shared" ref="AE208" si="1648">AD160-AE160+AD175+AD176-AE175-AE176</f>
        <v>-456.56186550000007</v>
      </c>
      <c r="AI208" s="23">
        <f>AH160-AI160+AH175+AH176-AI175-AJ176</f>
        <v>0</v>
      </c>
      <c r="AJ208" s="23">
        <f t="shared" ref="AJ208:AL208" si="1649">AI160-AJ160+AI175+AI176-AJ175-AK176</f>
        <v>0</v>
      </c>
      <c r="AK208" s="23" t="e">
        <f t="shared" si="1649"/>
        <v>#DIV/0!</v>
      </c>
      <c r="AL208" s="23" t="e">
        <f t="shared" si="1649"/>
        <v>#DIV/0!</v>
      </c>
      <c r="AM208" s="23" t="e">
        <f t="shared" ref="AM208" si="1650">AL160-AM160+AL175+AL176-AM175-AM176</f>
        <v>#DIV/0!</v>
      </c>
      <c r="AN208" s="23" t="e">
        <f t="shared" ref="AN208" si="1651">AM160-AN160+AM175+AM176-AN175-AN176</f>
        <v>#DIV/0!</v>
      </c>
      <c r="AO208" s="23" t="e">
        <f t="shared" ref="AO208" si="1652">AN160-AO160+AN175+AN176-AO175-AO176</f>
        <v>#DIV/0!</v>
      </c>
      <c r="AP208" s="23" t="e">
        <f t="shared" ref="AP208" si="1653">AO160-AP160+AO175+AO176-AP175-AP176</f>
        <v>#DIV/0!</v>
      </c>
      <c r="AQ208" s="23" t="e">
        <f t="shared" ref="AQ208" si="1654">AP160-AQ160+AP175+AP176-AQ175-AQ176</f>
        <v>#DIV/0!</v>
      </c>
      <c r="AR208" s="23" t="e">
        <f t="shared" ref="AR208" si="1655">AQ160-AR160+AQ175+AQ176-AR175-AR176</f>
        <v>#DIV/0!</v>
      </c>
      <c r="AS208" s="23" t="e">
        <f t="shared" ref="AS208" si="1656">AR160-AS160+AR175+AR176-AS175-AS176</f>
        <v>#DIV/0!</v>
      </c>
      <c r="AT208" s="23" t="e">
        <f t="shared" ref="AT208" si="1657">AS160-AT160+AS175+AS176-AT175-AT176</f>
        <v>#DIV/0!</v>
      </c>
      <c r="AU208" s="23" t="e">
        <f t="shared" ref="AU208" si="1658">AT160-AU160+AT175+AT176-AU175-AU176</f>
        <v>#DIV/0!</v>
      </c>
      <c r="AV208" s="23" t="e">
        <f t="shared" ref="AV208" si="1659">AU160-AV160+AU175+AU176-AV175-AV176</f>
        <v>#DIV/0!</v>
      </c>
      <c r="AW208" s="23" t="e">
        <f t="shared" ref="AW208" si="1660">AV160-AW160+AV175+AV176-AW175-AW176</f>
        <v>#DIV/0!</v>
      </c>
      <c r="AX208" s="23" t="e">
        <f t="shared" ref="AX208" si="1661">AW160-AX160+AW175+AW176-AX175-AX176</f>
        <v>#DIV/0!</v>
      </c>
      <c r="AY208" s="23" t="e">
        <f t="shared" ref="AY208" si="1662">AX160-AY160+AX175+AX176-AY175-AY176</f>
        <v>#DIV/0!</v>
      </c>
      <c r="AZ208" s="23" t="e">
        <f t="shared" ref="AZ208" si="1663">AY160-AZ160+AY175+AY176-AZ175-AZ176</f>
        <v>#DIV/0!</v>
      </c>
      <c r="BA208" s="23" t="e">
        <f t="shared" ref="BA208" si="1664">AZ160-BA160+AZ175+AZ176-BA175-BA176</f>
        <v>#DIV/0!</v>
      </c>
      <c r="BB208" s="23" t="e">
        <f t="shared" ref="BB208" si="1665">BA160-BB160+BA175+BA176-BB175-BB176</f>
        <v>#DIV/0!</v>
      </c>
      <c r="BC208" s="23" t="e">
        <f t="shared" ref="BC208" si="1666">BB160-BC160+BB175+BB176-BC175-BC176</f>
        <v>#DIV/0!</v>
      </c>
      <c r="BD208" s="23" t="e">
        <f t="shared" ref="BD208" si="1667">BC160-BD160+BC175+BC176-BD175-BD176</f>
        <v>#DIV/0!</v>
      </c>
      <c r="BE208" s="23" t="e">
        <f t="shared" ref="BE208" si="1668">BD160-BE160+BD175+BD176-BE175-BE176</f>
        <v>#DIV/0!</v>
      </c>
      <c r="BF208" s="23" t="e">
        <f t="shared" ref="BF208" si="1669">BE160-BF160+BE175+BE176-BF175-BF176</f>
        <v>#DIV/0!</v>
      </c>
      <c r="BG208" s="23" t="e">
        <f t="shared" ref="BG208" si="1670">BF160-BG160+BF175+BF176-BG175-BG176</f>
        <v>#DIV/0!</v>
      </c>
      <c r="BH208" s="23" t="e">
        <f t="shared" ref="BH208" si="1671">BG160-BH160+BG175+BG176-BH175-BH176</f>
        <v>#DIV/0!</v>
      </c>
      <c r="BI208" s="23" t="e">
        <f t="shared" ref="BI208" si="1672">BH160-BI160+BH175+BH176-BI175-BI176</f>
        <v>#DIV/0!</v>
      </c>
      <c r="BJ208" s="23" t="e">
        <f t="shared" ref="BJ208" si="1673">BI160-BJ160+BI175+BI176-BJ175-BJ176</f>
        <v>#DIV/0!</v>
      </c>
      <c r="BK208" s="23" t="e">
        <f t="shared" ref="BK208" si="1674">BJ160-BK160+BJ175+BJ176-BK175-BK176</f>
        <v>#DIV/0!</v>
      </c>
      <c r="BL208" s="23" t="e">
        <f t="shared" ref="BL208" si="1675">BK160-BL160+BK175+BK176-BL175-BL176</f>
        <v>#DIV/0!</v>
      </c>
      <c r="BM208" s="23" t="e">
        <f t="shared" ref="BM208" si="1676">BL160-BM160+BL175+BL176-BM175-BM176</f>
        <v>#DIV/0!</v>
      </c>
      <c r="BN208" s="23" t="e">
        <f t="shared" ref="BN208" si="1677">BM160-BN160+BM175+BM176-BN175-BN176</f>
        <v>#DIV/0!</v>
      </c>
      <c r="BO208" s="23" t="e">
        <f t="shared" ref="BO208" si="1678">BN160-BO160+BN175+BN176-BO175-BO176</f>
        <v>#DIV/0!</v>
      </c>
      <c r="BP208" s="23" t="e">
        <f t="shared" ref="BP208" si="1679">BO160-BP160+BO175+BO176-BP175-BP176</f>
        <v>#DIV/0!</v>
      </c>
      <c r="BQ208" s="23" t="e">
        <f t="shared" ref="BQ208" si="1680">BP160-BQ160+BP175+BP176-BQ175-BQ176</f>
        <v>#DIV/0!</v>
      </c>
      <c r="BR208" s="23" t="e">
        <f t="shared" ref="BR208" si="1681">BQ160-BR160+BQ175+BQ176-BR175-BR176</f>
        <v>#DIV/0!</v>
      </c>
      <c r="BS208" s="23">
        <f t="shared" ref="BS208" si="1682">BR160-BS160+BR175+BR176-BS175-BS176</f>
        <v>-4.2326807258949088</v>
      </c>
      <c r="BT208" s="23">
        <f t="shared" ref="BT208" si="1683">BS160-BT160+BS175+BS176-BT175-BT176</f>
        <v>62.841680725894904</v>
      </c>
      <c r="BU208" s="23">
        <f t="shared" ref="BU208" si="1684">BT160-BU160+BT175+BT176-BU175-BU176</f>
        <v>0</v>
      </c>
      <c r="BV208" s="23">
        <f t="shared" ref="BV208" si="1685">BU160-BV160+BU175+BU176-BV175-BV176</f>
        <v>-178.76199999999997</v>
      </c>
      <c r="BW208" s="23">
        <f t="shared" ref="BW208" si="1686">BV160-BW160+BV175+BV176-BW175-BW176</f>
        <v>-2.5281225436608565</v>
      </c>
      <c r="BX208" s="23">
        <f t="shared" ref="BX208" si="1687">BW160-BX160+BW175+BW176-BX175-BX176</f>
        <v>-2.4658774563391415</v>
      </c>
      <c r="BY208" s="23">
        <f t="shared" ref="BY208" si="1688">BX160-BY160+BX175+BX176-BY175-BY176</f>
        <v>-0.22873881216790437</v>
      </c>
      <c r="BZ208" s="23">
        <f t="shared" ref="BZ208" si="1689">BY160-BZ160+BY175+BY176-BZ175-BZ176</f>
        <v>-152.25226118783209</v>
      </c>
      <c r="CA208" s="23">
        <f t="shared" ref="CA208" si="1690">BZ160-CA160+BZ175+BZ176-CA175-CA176</f>
        <v>-3.8418190263010956</v>
      </c>
      <c r="CB208" s="23">
        <f t="shared" ref="CB208" si="1691">CA160-CB160+CA175+CA176-CB175-CB176</f>
        <v>-42.296180973698952</v>
      </c>
      <c r="CC208" s="23">
        <f t="shared" ref="CC208" si="1692">CB160-CC160+CB175+CB176-CC175-CC176</f>
        <v>1.7720080402625626E-2</v>
      </c>
      <c r="CD208" s="23">
        <f t="shared" ref="CD208" si="1693">CC160-CD160+CC175+CC176-CD175-CD176</f>
        <v>-237.28372008040262</v>
      </c>
      <c r="CE208" s="23">
        <f t="shared" ref="CE208" si="1694">CD160-CE160+CD175+CD176-CE175-CE176</f>
        <v>-8.1746968809012515</v>
      </c>
      <c r="CF208" s="23">
        <f t="shared" ref="CF208" si="1695">CE160-CF160+CE175+CE176-CF175-CF176</f>
        <v>120.94269688090124</v>
      </c>
      <c r="CG208" s="23">
        <f t="shared" ref="CG208" si="1696">CF160-CG160+CF175+CF176-CG175-CG176</f>
        <v>0.80941497271953722</v>
      </c>
      <c r="CH208" s="23">
        <f t="shared" ref="CH208:CL208" si="1697">CG160-CH160+CG175+CG176-CH175-CH176</f>
        <v>26.43828502728045</v>
      </c>
      <c r="CI208" s="23">
        <f t="shared" si="1697"/>
        <v>-113.8857340160389</v>
      </c>
      <c r="CJ208" s="23">
        <f t="shared" si="1697"/>
        <v>-68.044965983961148</v>
      </c>
      <c r="CK208" s="23">
        <f t="shared" ref="CK208" si="1698">CJ160-CK160+CJ175+CJ176-CK175-CK176</f>
        <v>17.381215155734026</v>
      </c>
      <c r="CL208" s="23">
        <f t="shared" si="1697"/>
        <v>-27.511215155734</v>
      </c>
      <c r="CM208" s="24">
        <f t="shared" ref="CM208" si="1699">CL160-CM160+CL175+CL176-CM175-CM176</f>
        <v>-135.8485598926494</v>
      </c>
      <c r="CN208" s="24">
        <f t="shared" ref="CN208" si="1700">CM160-CN160+CM175+CM176-CN175-CN176</f>
        <v>-101.83644191057328</v>
      </c>
      <c r="CO208" s="24">
        <f t="shared" ref="CO208" si="1701">CN160-CO160+CN175+CN176-CO175-CO176</f>
        <v>24.222942077979496</v>
      </c>
      <c r="CP208" s="24">
        <f t="shared" ref="CP208" si="1702">CO160-CP160+CO175+CO176-CP175-CP176</f>
        <v>5.6505597252430562</v>
      </c>
      <c r="CQ208" s="24">
        <f t="shared" ref="CQ208" si="1703">CP160-CQ160+CP175+CP176-CQ175-CQ176</f>
        <v>-176.60312786044415</v>
      </c>
      <c r="CR208" s="24">
        <f t="shared" ref="CR208" si="1704">CQ160-CR160+CQ175+CQ176-CR175-CR176</f>
        <v>-132.38737448374536</v>
      </c>
      <c r="CS208" s="24">
        <f t="shared" ref="CS208" si="1705">CR160-CS160+CR175+CR176-CS175-CS176</f>
        <v>31.489824701373891</v>
      </c>
      <c r="CT208" s="24">
        <f t="shared" ref="CT208" si="1706">CS160-CT160+CS175+CS176-CT175-CT176</f>
        <v>7.345727642815973</v>
      </c>
      <c r="CU208" s="24">
        <f t="shared" ref="CU208" si="1707">CT160-CU160+CT175+CT176-CU175-CU176</f>
        <v>-229.58406621857762</v>
      </c>
      <c r="CV208" s="24">
        <f t="shared" ref="CV208" si="1708">CU160-CV160+CU175+CU176-CV175-CV176</f>
        <v>-172.10358682886931</v>
      </c>
      <c r="CW208" s="24">
        <f t="shared" ref="CW208" si="1709">CV160-CW160+CV175+CV176-CW175-CW176</f>
        <v>40.936772111786013</v>
      </c>
      <c r="CX208" s="24">
        <f t="shared" ref="CX208" si="1710">CW160-CX160+CW175+CW176-CX175-CX176</f>
        <v>9.5494459356607422</v>
      </c>
      <c r="CY208" s="24">
        <f t="shared" ref="CY208" si="1711">CX160-CY160+CX175+CX176-CY175-CY176</f>
        <v>-298.45928608415056</v>
      </c>
      <c r="CZ208" s="24">
        <f t="shared" ref="CZ208" si="1712">CY160-CZ160+CY175+CY176-CZ175-CZ176</f>
        <v>-223.7346628775299</v>
      </c>
      <c r="DA208" s="24">
        <f t="shared" ref="DA208" si="1713">CZ160-DA160+CZ175+CZ176-DA175-DA176</f>
        <v>53.217803745321135</v>
      </c>
      <c r="DB208" s="24">
        <f t="shared" ref="DB208" si="1714">DA160-DB160+DA175+DA176-DB175-DB176</f>
        <v>12.41427971635926</v>
      </c>
      <c r="DE208" s="123"/>
      <c r="DF208" s="23">
        <v>-131.28689999999997</v>
      </c>
    </row>
    <row r="209" spans="1:110" s="23" customFormat="1" x14ac:dyDescent="0.2">
      <c r="A209" s="23" t="s">
        <v>73</v>
      </c>
      <c r="C209" s="23">
        <f t="shared" ref="C209:AA209" si="1715">B168-C168</f>
        <v>0</v>
      </c>
      <c r="D209" s="23">
        <f t="shared" si="1715"/>
        <v>0</v>
      </c>
      <c r="E209" s="23">
        <f>D168-E168</f>
        <v>0</v>
      </c>
      <c r="F209" s="23">
        <f t="shared" si="1715"/>
        <v>0</v>
      </c>
      <c r="G209" s="23">
        <f t="shared" si="1715"/>
        <v>0</v>
      </c>
      <c r="H209" s="23">
        <f t="shared" si="1715"/>
        <v>0</v>
      </c>
      <c r="I209" s="23">
        <f t="shared" si="1715"/>
        <v>0</v>
      </c>
      <c r="J209" s="23">
        <f>I168-J168</f>
        <v>-2.0063500000000001E-2</v>
      </c>
      <c r="K209" s="23">
        <f>J168-K168</f>
        <v>-8.4056999999999986E-3</v>
      </c>
      <c r="L209" s="23">
        <f t="shared" si="1715"/>
        <v>-0.33362029999999998</v>
      </c>
      <c r="M209" s="23">
        <f t="shared" si="1715"/>
        <v>0.34674660000000002</v>
      </c>
      <c r="N209" s="23">
        <f t="shared" si="1715"/>
        <v>-8.1499999999999975E-3</v>
      </c>
      <c r="O209" s="23">
        <f t="shared" si="1715"/>
        <v>1.1492499999999996E-2</v>
      </c>
      <c r="P209" s="23">
        <f t="shared" si="1715"/>
        <v>4.3179000000000013E-3</v>
      </c>
      <c r="Q209" s="23">
        <f t="shared" si="1715"/>
        <v>-0.48131750000000001</v>
      </c>
      <c r="R209" s="23">
        <f t="shared" si="1715"/>
        <v>-16.148</v>
      </c>
      <c r="S209" s="23">
        <f t="shared" si="1715"/>
        <v>-59.882999999999996</v>
      </c>
      <c r="T209" s="23">
        <f t="shared" si="1715"/>
        <v>-66.982000000000014</v>
      </c>
      <c r="U209" s="23">
        <f t="shared" si="1715"/>
        <v>-86.94</v>
      </c>
      <c r="V209" s="23">
        <f t="shared" si="1715"/>
        <v>177.22860000000003</v>
      </c>
      <c r="W209" s="23">
        <f t="shared" si="1715"/>
        <v>-46.659000000000006</v>
      </c>
      <c r="X209" s="23">
        <f t="shared" si="1715"/>
        <v>-27.336200000000005</v>
      </c>
      <c r="Y209" s="23">
        <f t="shared" si="1715"/>
        <v>-79.383200000000002</v>
      </c>
      <c r="Z209" s="23">
        <f t="shared" si="1715"/>
        <v>-39.326999999999998</v>
      </c>
      <c r="AA209" s="23">
        <f t="shared" si="1715"/>
        <v>-32.954599999999999</v>
      </c>
      <c r="AB209" s="24">
        <f t="shared" ref="AB209" si="1716">AA168-AB168</f>
        <v>-83.661500000000046</v>
      </c>
      <c r="AC209" s="24">
        <f t="shared" ref="AC209" si="1717">AB168-AC168</f>
        <v>-108.76046999999994</v>
      </c>
      <c r="AD209" s="24">
        <f t="shared" ref="AD209" si="1718">AC168-AD168</f>
        <v>-141.38861100000003</v>
      </c>
      <c r="AE209" s="24">
        <f t="shared" ref="AE209" si="1719">AD168-AE168</f>
        <v>-183.80519430000004</v>
      </c>
      <c r="AI209" s="23">
        <f t="shared" ref="AI209" si="1720">AH168-AI168</f>
        <v>0</v>
      </c>
      <c r="AJ209" s="23">
        <f t="shared" ref="AJ209" si="1721">AI168-AJ168</f>
        <v>0</v>
      </c>
      <c r="AK209" s="23" t="e">
        <f t="shared" ref="AK209" si="1722">AJ168-AK168</f>
        <v>#DIV/0!</v>
      </c>
      <c r="AL209" s="23" t="e">
        <f t="shared" ref="AL209" si="1723">AK168-AL168</f>
        <v>#DIV/0!</v>
      </c>
      <c r="AM209" s="23" t="e">
        <f t="shared" ref="AM209" si="1724">AL168-AM168</f>
        <v>#DIV/0!</v>
      </c>
      <c r="AN209" s="23" t="e">
        <f t="shared" ref="AN209" si="1725">AM168-AN168</f>
        <v>#DIV/0!</v>
      </c>
      <c r="AO209" s="23" t="e">
        <f t="shared" ref="AO209" si="1726">AN168-AO168</f>
        <v>#DIV/0!</v>
      </c>
      <c r="AP209" s="23" t="e">
        <f t="shared" ref="AP209" si="1727">AO168-AP168</f>
        <v>#DIV/0!</v>
      </c>
      <c r="AQ209" s="23" t="e">
        <f t="shared" ref="AQ209" si="1728">AP168-AQ168</f>
        <v>#DIV/0!</v>
      </c>
      <c r="AR209" s="23" t="e">
        <f t="shared" ref="AR209" si="1729">AQ168-AR168</f>
        <v>#DIV/0!</v>
      </c>
      <c r="AS209" s="23" t="e">
        <f t="shared" ref="AS209" si="1730">AR168-AS168</f>
        <v>#DIV/0!</v>
      </c>
      <c r="AT209" s="23" t="e">
        <f t="shared" ref="AT209" si="1731">AS168-AT168</f>
        <v>#DIV/0!</v>
      </c>
      <c r="AU209" s="23" t="e">
        <f t="shared" ref="AU209" si="1732">AT168-AU168</f>
        <v>#DIV/0!</v>
      </c>
      <c r="AV209" s="23" t="e">
        <f t="shared" ref="AV209" si="1733">AU168-AV168</f>
        <v>#DIV/0!</v>
      </c>
      <c r="AW209" s="23" t="e">
        <f t="shared" ref="AW209" si="1734">AV168-AW168</f>
        <v>#DIV/0!</v>
      </c>
      <c r="AX209" s="23" t="e">
        <f t="shared" ref="AX209" si="1735">AW168-AX168</f>
        <v>#DIV/0!</v>
      </c>
      <c r="AY209" s="23" t="e">
        <f t="shared" ref="AY209" si="1736">AX168-AY168</f>
        <v>#DIV/0!</v>
      </c>
      <c r="AZ209" s="23" t="e">
        <f t="shared" ref="AZ209" si="1737">AY168-AZ168</f>
        <v>#DIV/0!</v>
      </c>
      <c r="BA209" s="23" t="e">
        <f t="shared" ref="BA209" si="1738">AZ168-BA168</f>
        <v>#DIV/0!</v>
      </c>
      <c r="BB209" s="23" t="e">
        <f t="shared" ref="BB209" si="1739">BA168-BB168</f>
        <v>#DIV/0!</v>
      </c>
      <c r="BC209" s="23" t="e">
        <f t="shared" ref="BC209" si="1740">BB168-BC168</f>
        <v>#DIV/0!</v>
      </c>
      <c r="BD209" s="23" t="e">
        <f t="shared" ref="BD209" si="1741">BC168-BD168</f>
        <v>#DIV/0!</v>
      </c>
      <c r="BE209" s="23" t="e">
        <f t="shared" ref="BE209" si="1742">BD168-BE168</f>
        <v>#DIV/0!</v>
      </c>
      <c r="BF209" s="23" t="e">
        <f t="shared" ref="BF209" si="1743">BE168-BF168</f>
        <v>#DIV/0!</v>
      </c>
      <c r="BG209" s="23" t="e">
        <f t="shared" ref="BG209" si="1744">BF168-BG168</f>
        <v>#DIV/0!</v>
      </c>
      <c r="BH209" s="23" t="e">
        <f t="shared" ref="BH209" si="1745">BG168-BH168</f>
        <v>#DIV/0!</v>
      </c>
      <c r="BI209" s="23" t="e">
        <f t="shared" ref="BI209" si="1746">BH168-BI168</f>
        <v>#DIV/0!</v>
      </c>
      <c r="BJ209" s="23" t="e">
        <f t="shared" ref="BJ209" si="1747">BI168-BJ168</f>
        <v>#DIV/0!</v>
      </c>
      <c r="BK209" s="23" t="e">
        <f t="shared" ref="BK209" si="1748">BJ168-BK168</f>
        <v>#DIV/0!</v>
      </c>
      <c r="BL209" s="23" t="e">
        <f t="shared" ref="BL209" si="1749">BK168-BL168</f>
        <v>#DIV/0!</v>
      </c>
      <c r="BM209" s="23" t="e">
        <f t="shared" ref="BM209" si="1750">BL168-BM168</f>
        <v>#DIV/0!</v>
      </c>
      <c r="BN209" s="23" t="e">
        <f t="shared" ref="BN209" si="1751">BM168-BN168</f>
        <v>#DIV/0!</v>
      </c>
      <c r="BO209" s="23" t="e">
        <f t="shared" ref="BO209" si="1752">BN168-BO168</f>
        <v>#DIV/0!</v>
      </c>
      <c r="BP209" s="23" t="e">
        <f t="shared" ref="BP209" si="1753">BO168-BP168</f>
        <v>#DIV/0!</v>
      </c>
      <c r="BQ209" s="23" t="e">
        <f t="shared" ref="BQ209" si="1754">BP168-BQ168</f>
        <v>#DIV/0!</v>
      </c>
      <c r="BR209" s="23" t="e">
        <f t="shared" ref="BR209" si="1755">BQ168-BR168</f>
        <v>#DIV/0!</v>
      </c>
      <c r="BS209" s="23">
        <f t="shared" ref="BS209" si="1756">BR168-BS168</f>
        <v>-7.9082759996012442E-2</v>
      </c>
      <c r="BT209" s="23">
        <f t="shared" ref="BT209" si="1757">BS168-BT168</f>
        <v>53.293082759996011</v>
      </c>
      <c r="BU209" s="23">
        <f t="shared" ref="BU209" si="1758">BT168-BU168</f>
        <v>0</v>
      </c>
      <c r="BV209" s="23">
        <f t="shared" ref="BV209" si="1759">BU168-BV168</f>
        <v>-99.872</v>
      </c>
      <c r="BW209" s="23">
        <f t="shared" ref="BW209" si="1760">BV168-BW168</f>
        <v>0</v>
      </c>
      <c r="BX209" s="23">
        <f t="shared" ref="BX209" si="1761">BW168-BX168</f>
        <v>-86.53100000000002</v>
      </c>
      <c r="BY209" s="23">
        <f t="shared" ref="BY209" si="1762">BX168-BY168</f>
        <v>0</v>
      </c>
      <c r="BZ209" s="23">
        <f t="shared" ref="BZ209" si="1763">BY168-BZ168</f>
        <v>59.194000000000017</v>
      </c>
      <c r="CA209" s="23">
        <f t="shared" ref="CA209" si="1764">BZ168-CA168</f>
        <v>-7.0654658645779023E-2</v>
      </c>
      <c r="CB209" s="23">
        <f t="shared" ref="CB209" si="1765">CA168-CB168</f>
        <v>-74.803345341354188</v>
      </c>
      <c r="CC209" s="23">
        <f t="shared" ref="CC209" si="1766">CB168-CC168</f>
        <v>7.8869104640943988E-5</v>
      </c>
      <c r="CD209" s="23">
        <f t="shared" ref="CD209" si="1767">CC168-CD168</f>
        <v>-4.5090788691046839</v>
      </c>
      <c r="CE209" s="23">
        <f t="shared" ref="CE209" si="1768">CD168-CE168</f>
        <v>-6.077196066939905E-3</v>
      </c>
      <c r="CF209" s="23">
        <f t="shared" ref="CF209" si="1769">CE168-CF168</f>
        <v>-70.943922803933077</v>
      </c>
      <c r="CG209" s="23">
        <f t="shared" ref="CG209" si="1770">CF168-CG168</f>
        <v>2.2438871496888169E-5</v>
      </c>
      <c r="CH209" s="23">
        <f t="shared" ref="CH209:CL209" si="1771">CG168-CH168</f>
        <v>31.623177561128529</v>
      </c>
      <c r="CI209" s="23">
        <f t="shared" si="1771"/>
        <v>-57.676135211749767</v>
      </c>
      <c r="CJ209" s="23">
        <f t="shared" si="1771"/>
        <v>32.499935211749744</v>
      </c>
      <c r="CK209" s="23">
        <f t="shared" ref="CK209" si="1772">CJ168-CK168</f>
        <v>7.0580277839429755</v>
      </c>
      <c r="CL209" s="23">
        <f t="shared" si="1771"/>
        <v>-14.836027783942939</v>
      </c>
      <c r="CM209" s="24">
        <f t="shared" ref="CM209" si="1773">CL168-CM168</f>
        <v>-54.690662609542073</v>
      </c>
      <c r="CN209" s="24">
        <f t="shared" ref="CN209" si="1774">CM168-CN168</f>
        <v>-40.997876534639317</v>
      </c>
      <c r="CO209" s="24">
        <f t="shared" ref="CO209" si="1775">CN168-CO168</f>
        <v>9.7518056403698665</v>
      </c>
      <c r="CP209" s="24">
        <f t="shared" ref="CP209" si="1776">CO168-CP168</f>
        <v>2.2748335038114647</v>
      </c>
      <c r="CQ209" s="24">
        <f t="shared" ref="CQ209" si="1777">CP168-CQ168</f>
        <v>-71.097861392404695</v>
      </c>
      <c r="CR209" s="24">
        <f t="shared" ref="CR209" si="1778">CQ168-CR168</f>
        <v>-53.297239495031079</v>
      </c>
      <c r="CS209" s="24">
        <f t="shared" ref="CS209" si="1779">CR168-CS168</f>
        <v>12.677347332480963</v>
      </c>
      <c r="CT209" s="24">
        <f t="shared" ref="CT209" si="1780">CS168-CT168</f>
        <v>2.9572835549548699</v>
      </c>
      <c r="CU209" s="24">
        <f t="shared" ref="CU209" si="1781">CT168-CU168</f>
        <v>-92.427219810126019</v>
      </c>
      <c r="CV209" s="24">
        <f t="shared" ref="CV209" si="1782">CU168-CV168</f>
        <v>-69.286411343540635</v>
      </c>
      <c r="CW209" s="24">
        <f t="shared" ref="CW209" si="1783">CV168-CW168</f>
        <v>16.480551532225263</v>
      </c>
      <c r="CX209" s="24">
        <f t="shared" ref="CX209" si="1784">CW168-CX168</f>
        <v>3.844468621441365</v>
      </c>
      <c r="CY209" s="24">
        <f t="shared" ref="CY209" si="1785">CX168-CY168</f>
        <v>-120.15538575316373</v>
      </c>
      <c r="CZ209" s="24">
        <f t="shared" ref="CZ209" si="1786">CY168-CZ168</f>
        <v>-90.072334746602792</v>
      </c>
      <c r="DA209" s="24">
        <f t="shared" ref="DA209" si="1787">CZ168-DA168</f>
        <v>21.424716991892637</v>
      </c>
      <c r="DB209" s="24">
        <f t="shared" ref="DB209" si="1788">DA168-DB168</f>
        <v>4.9978092078738428</v>
      </c>
      <c r="DE209" s="123"/>
      <c r="DF209" s="23">
        <v>-32.954599999999999</v>
      </c>
    </row>
    <row r="210" spans="1:110" s="22" customFormat="1" x14ac:dyDescent="0.2">
      <c r="A210" s="22" t="s">
        <v>90</v>
      </c>
      <c r="C210" s="22">
        <f t="shared" ref="C210:W210" si="1789">C208-C209</f>
        <v>0</v>
      </c>
      <c r="D210" s="22">
        <f t="shared" si="1789"/>
        <v>0</v>
      </c>
      <c r="E210" s="22">
        <f t="shared" si="1789"/>
        <v>0</v>
      </c>
      <c r="F210" s="22">
        <f t="shared" si="1789"/>
        <v>0</v>
      </c>
      <c r="G210" s="22">
        <f t="shared" si="1789"/>
        <v>0</v>
      </c>
      <c r="H210" s="22">
        <f t="shared" si="1789"/>
        <v>0</v>
      </c>
      <c r="I210" s="22">
        <f t="shared" si="1789"/>
        <v>0</v>
      </c>
      <c r="J210" s="22">
        <f>J208-J209</f>
        <v>-0.89710299999999998</v>
      </c>
      <c r="K210" s="22">
        <f t="shared" si="1789"/>
        <v>-0.60800169999999998</v>
      </c>
      <c r="L210" s="22">
        <f t="shared" si="1789"/>
        <v>5.421560000000003E-2</v>
      </c>
      <c r="M210" s="22">
        <f t="shared" si="1789"/>
        <v>1.1543437000000001</v>
      </c>
      <c r="N210" s="22">
        <f t="shared" si="1789"/>
        <v>-0.10887840000000001</v>
      </c>
      <c r="O210" s="22">
        <f t="shared" si="1789"/>
        <v>-0.47906879999999985</v>
      </c>
      <c r="P210" s="22">
        <f t="shared" si="1789"/>
        <v>-1.1612598000000001</v>
      </c>
      <c r="Q210" s="22">
        <f t="shared" si="1789"/>
        <v>0.39575239999999984</v>
      </c>
      <c r="R210" s="22">
        <f t="shared" si="1789"/>
        <v>-2.7699999999999996</v>
      </c>
      <c r="S210" s="22">
        <f t="shared" si="1789"/>
        <v>18.274999999999999</v>
      </c>
      <c r="T210" s="22">
        <f t="shared" si="1789"/>
        <v>16.833000000000013</v>
      </c>
      <c r="U210" s="22">
        <f t="shared" si="1789"/>
        <v>1.5419999999999874</v>
      </c>
      <c r="V210" s="22">
        <f t="shared" si="1789"/>
        <v>-24.704799999999977</v>
      </c>
      <c r="W210" s="22">
        <f t="shared" si="1789"/>
        <v>-73.248799999999989</v>
      </c>
      <c r="X210" s="22">
        <f t="shared" ref="X210:Y210" si="1790">X208-X209</f>
        <v>-124.8379</v>
      </c>
      <c r="Y210" s="22">
        <f t="shared" si="1790"/>
        <v>-180.90449999999998</v>
      </c>
      <c r="Z210" s="22">
        <f t="shared" ref="Z210:AA210" si="1791">Z208-Z209</f>
        <v>137.75949999999995</v>
      </c>
      <c r="AA210" s="22">
        <f t="shared" ref="AA210" si="1792">AA208-AA209</f>
        <v>-98.332299999999975</v>
      </c>
      <c r="AB210" s="21">
        <f t="shared" ref="AB210:AD210" si="1793">AB208-AB209</f>
        <v>-184.92380000000014</v>
      </c>
      <c r="AC210" s="21">
        <f t="shared" si="1793"/>
        <v>-161.3944799999997</v>
      </c>
      <c r="AD210" s="21">
        <f t="shared" si="1793"/>
        <v>-209.81282400000015</v>
      </c>
      <c r="AE210" s="21">
        <f t="shared" ref="AE210" si="1794">AE208-AE209</f>
        <v>-272.75667120000003</v>
      </c>
      <c r="AI210" s="22">
        <f t="shared" ref="AI210" si="1795">AI208-AI209</f>
        <v>0</v>
      </c>
      <c r="AJ210" s="22">
        <f t="shared" ref="AJ210:AL210" si="1796">AJ208-AJ209</f>
        <v>0</v>
      </c>
      <c r="AK210" s="22" t="e">
        <f t="shared" si="1796"/>
        <v>#DIV/0!</v>
      </c>
      <c r="AL210" s="22" t="e">
        <f t="shared" si="1796"/>
        <v>#DIV/0!</v>
      </c>
      <c r="AM210" s="22" t="e">
        <f t="shared" ref="AM210" si="1797">AM208-AM209</f>
        <v>#DIV/0!</v>
      </c>
      <c r="AN210" s="22" t="e">
        <f t="shared" ref="AN210:CD210" si="1798">AN208-AN209</f>
        <v>#DIV/0!</v>
      </c>
      <c r="AO210" s="22" t="e">
        <f t="shared" si="1798"/>
        <v>#DIV/0!</v>
      </c>
      <c r="AP210" s="22" t="e">
        <f t="shared" si="1798"/>
        <v>#DIV/0!</v>
      </c>
      <c r="AQ210" s="22" t="e">
        <f t="shared" si="1798"/>
        <v>#DIV/0!</v>
      </c>
      <c r="AR210" s="22" t="e">
        <f t="shared" si="1798"/>
        <v>#DIV/0!</v>
      </c>
      <c r="AS210" s="22" t="e">
        <f t="shared" si="1798"/>
        <v>#DIV/0!</v>
      </c>
      <c r="AT210" s="22" t="e">
        <f t="shared" si="1798"/>
        <v>#DIV/0!</v>
      </c>
      <c r="AU210" s="22" t="e">
        <f t="shared" si="1798"/>
        <v>#DIV/0!</v>
      </c>
      <c r="AV210" s="22" t="e">
        <f t="shared" si="1798"/>
        <v>#DIV/0!</v>
      </c>
      <c r="AW210" s="22" t="e">
        <f t="shared" si="1798"/>
        <v>#DIV/0!</v>
      </c>
      <c r="AX210" s="22" t="e">
        <f t="shared" si="1798"/>
        <v>#DIV/0!</v>
      </c>
      <c r="AY210" s="22" t="e">
        <f t="shared" si="1798"/>
        <v>#DIV/0!</v>
      </c>
      <c r="AZ210" s="22" t="e">
        <f t="shared" si="1798"/>
        <v>#DIV/0!</v>
      </c>
      <c r="BA210" s="22" t="e">
        <f t="shared" si="1798"/>
        <v>#DIV/0!</v>
      </c>
      <c r="BB210" s="22" t="e">
        <f t="shared" si="1798"/>
        <v>#DIV/0!</v>
      </c>
      <c r="BC210" s="22" t="e">
        <f t="shared" si="1798"/>
        <v>#DIV/0!</v>
      </c>
      <c r="BD210" s="22" t="e">
        <f t="shared" si="1798"/>
        <v>#DIV/0!</v>
      </c>
      <c r="BE210" s="22" t="e">
        <f t="shared" si="1798"/>
        <v>#DIV/0!</v>
      </c>
      <c r="BF210" s="22" t="e">
        <f t="shared" si="1798"/>
        <v>#DIV/0!</v>
      </c>
      <c r="BG210" s="22" t="e">
        <f t="shared" si="1798"/>
        <v>#DIV/0!</v>
      </c>
      <c r="BH210" s="22" t="e">
        <f t="shared" si="1798"/>
        <v>#DIV/0!</v>
      </c>
      <c r="BI210" s="22" t="e">
        <f t="shared" si="1798"/>
        <v>#DIV/0!</v>
      </c>
      <c r="BJ210" s="22" t="e">
        <f t="shared" si="1798"/>
        <v>#DIV/0!</v>
      </c>
      <c r="BK210" s="22" t="e">
        <f t="shared" si="1798"/>
        <v>#DIV/0!</v>
      </c>
      <c r="BL210" s="22" t="e">
        <f t="shared" si="1798"/>
        <v>#DIV/0!</v>
      </c>
      <c r="BM210" s="22" t="e">
        <f t="shared" si="1798"/>
        <v>#DIV/0!</v>
      </c>
      <c r="BN210" s="22" t="e">
        <f t="shared" si="1798"/>
        <v>#DIV/0!</v>
      </c>
      <c r="BO210" s="22" t="e">
        <f t="shared" si="1798"/>
        <v>#DIV/0!</v>
      </c>
      <c r="BP210" s="22" t="e">
        <f t="shared" si="1798"/>
        <v>#DIV/0!</v>
      </c>
      <c r="BQ210" s="22" t="e">
        <f t="shared" si="1798"/>
        <v>#DIV/0!</v>
      </c>
      <c r="BR210" s="22" t="e">
        <f t="shared" si="1798"/>
        <v>#DIV/0!</v>
      </c>
      <c r="BS210" s="22">
        <f t="shared" si="1798"/>
        <v>-4.1535979658988964</v>
      </c>
      <c r="BT210" s="22">
        <f t="shared" si="1798"/>
        <v>9.5485979658988924</v>
      </c>
      <c r="BU210" s="22">
        <f t="shared" si="1798"/>
        <v>0</v>
      </c>
      <c r="BV210" s="22">
        <f t="shared" si="1798"/>
        <v>-78.889999999999972</v>
      </c>
      <c r="BW210" s="22">
        <f t="shared" si="1798"/>
        <v>-2.5281225436608565</v>
      </c>
      <c r="BX210" s="22">
        <f t="shared" si="1798"/>
        <v>84.065122543660877</v>
      </c>
      <c r="BY210" s="22">
        <f t="shared" si="1798"/>
        <v>-0.22873881216790437</v>
      </c>
      <c r="BZ210" s="22">
        <f t="shared" si="1798"/>
        <v>-211.44626118783211</v>
      </c>
      <c r="CA210" s="22">
        <f t="shared" si="1798"/>
        <v>-3.7711643676553166</v>
      </c>
      <c r="CB210" s="22">
        <f t="shared" si="1798"/>
        <v>32.507164367655236</v>
      </c>
      <c r="CC210" s="22">
        <f t="shared" si="1798"/>
        <v>1.7641211297984682E-2</v>
      </c>
      <c r="CD210" s="22">
        <f t="shared" si="1798"/>
        <v>-232.77464121129793</v>
      </c>
      <c r="CE210" s="22">
        <f t="shared" ref="CE210:CF210" si="1799">CE208-CE209</f>
        <v>-8.1686196848343116</v>
      </c>
      <c r="CF210" s="22">
        <f t="shared" si="1799"/>
        <v>191.88661968483433</v>
      </c>
      <c r="CG210" s="22">
        <f t="shared" ref="CG210:CH210" si="1800">CG208-CG209</f>
        <v>0.80939253384804033</v>
      </c>
      <c r="CH210" s="22">
        <f t="shared" si="1800"/>
        <v>-5.1848925338480782</v>
      </c>
      <c r="CI210" s="22">
        <f t="shared" ref="CI210:CJ210" si="1801">CI208-CI209</f>
        <v>-56.209598804289129</v>
      </c>
      <c r="CJ210" s="22">
        <f t="shared" si="1801"/>
        <v>-100.54490119571089</v>
      </c>
      <c r="CK210" s="22">
        <f t="shared" ref="CK210:DB210" si="1802">CK208-CK209</f>
        <v>10.32318737179105</v>
      </c>
      <c r="CL210" s="22">
        <f t="shared" si="1802"/>
        <v>-12.675187371791061</v>
      </c>
      <c r="CM210" s="21">
        <f t="shared" si="1802"/>
        <v>-81.157897283107332</v>
      </c>
      <c r="CN210" s="21">
        <f t="shared" si="1802"/>
        <v>-60.838565375933968</v>
      </c>
      <c r="CO210" s="21">
        <f t="shared" si="1802"/>
        <v>14.47113643760963</v>
      </c>
      <c r="CP210" s="21">
        <f t="shared" si="1802"/>
        <v>3.3757262214315915</v>
      </c>
      <c r="CQ210" s="21">
        <f t="shared" si="1802"/>
        <v>-105.50526646803945</v>
      </c>
      <c r="CR210" s="21">
        <f t="shared" si="1802"/>
        <v>-79.090134988714283</v>
      </c>
      <c r="CS210" s="21">
        <f t="shared" si="1802"/>
        <v>18.812477368892928</v>
      </c>
      <c r="CT210" s="21">
        <f t="shared" si="1802"/>
        <v>4.3884440878611031</v>
      </c>
      <c r="CU210" s="21">
        <f t="shared" si="1802"/>
        <v>-137.1568464084516</v>
      </c>
      <c r="CV210" s="21">
        <f t="shared" si="1802"/>
        <v>-102.81717548532868</v>
      </c>
      <c r="CW210" s="21">
        <f t="shared" si="1802"/>
        <v>24.45622057956075</v>
      </c>
      <c r="CX210" s="21">
        <f t="shared" si="1802"/>
        <v>5.7049773142193771</v>
      </c>
      <c r="CY210" s="21">
        <f t="shared" si="1802"/>
        <v>-178.30390033098683</v>
      </c>
      <c r="CZ210" s="21">
        <f t="shared" si="1802"/>
        <v>-133.66232813092711</v>
      </c>
      <c r="DA210" s="21">
        <f t="shared" si="1802"/>
        <v>31.793086753428497</v>
      </c>
      <c r="DB210" s="21">
        <f t="shared" si="1802"/>
        <v>7.4164705084854177</v>
      </c>
      <c r="DE210" s="126"/>
      <c r="DF210" s="22">
        <v>-98.332299999999975</v>
      </c>
    </row>
    <row r="211" spans="1:110" s="22" customFormat="1" x14ac:dyDescent="0.2">
      <c r="A211" s="22" t="s">
        <v>91</v>
      </c>
      <c r="C211" s="22">
        <f t="shared" ref="C211:W211" si="1803">C207+C210</f>
        <v>0</v>
      </c>
      <c r="D211" s="22">
        <f>D207+D210</f>
        <v>0</v>
      </c>
      <c r="E211" s="22">
        <f t="shared" si="1803"/>
        <v>0</v>
      </c>
      <c r="F211" s="22">
        <f t="shared" si="1803"/>
        <v>0</v>
      </c>
      <c r="G211" s="22">
        <f t="shared" si="1803"/>
        <v>0</v>
      </c>
      <c r="H211" s="22">
        <f t="shared" si="1803"/>
        <v>0</v>
      </c>
      <c r="I211" s="22">
        <f t="shared" si="1803"/>
        <v>0</v>
      </c>
      <c r="J211" s="22">
        <f>J207+J210</f>
        <v>-0.53125600000000017</v>
      </c>
      <c r="K211" s="22">
        <f t="shared" si="1803"/>
        <v>-0.41822820000000005</v>
      </c>
      <c r="L211" s="22">
        <f t="shared" si="1803"/>
        <v>0.57510709999999987</v>
      </c>
      <c r="M211" s="22">
        <f t="shared" si="1803"/>
        <v>1.2614854</v>
      </c>
      <c r="N211" s="22">
        <f t="shared" si="1803"/>
        <v>3.3720900000000054E-2</v>
      </c>
      <c r="O211" s="22">
        <f t="shared" si="1803"/>
        <v>-0.19251149999999978</v>
      </c>
      <c r="P211" s="22">
        <f t="shared" si="1803"/>
        <v>-1.1886518000000001</v>
      </c>
      <c r="Q211" s="22">
        <f t="shared" si="1803"/>
        <v>0.55275239999999981</v>
      </c>
      <c r="R211" s="22">
        <f t="shared" si="1803"/>
        <v>-1.8079999999999874</v>
      </c>
      <c r="S211" s="22">
        <f t="shared" si="1803"/>
        <v>69.70799999999997</v>
      </c>
      <c r="T211" s="22">
        <f t="shared" si="1803"/>
        <v>92.307999999999993</v>
      </c>
      <c r="U211" s="22">
        <f t="shared" si="1803"/>
        <v>83.972999999999971</v>
      </c>
      <c r="V211" s="22">
        <f t="shared" si="1803"/>
        <v>37.563100000000034</v>
      </c>
      <c r="W211" s="22">
        <f t="shared" si="1803"/>
        <v>69.128200000000021</v>
      </c>
      <c r="X211" s="22">
        <f t="shared" ref="X211:Y211" si="1804">X207+X210</f>
        <v>60.180700000000016</v>
      </c>
      <c r="Y211" s="22">
        <f t="shared" si="1804"/>
        <v>63.427399999999977</v>
      </c>
      <c r="Z211" s="22">
        <f t="shared" ref="Z211:AA211" si="1805">Z207+Z210</f>
        <v>463.03519999999986</v>
      </c>
      <c r="AA211" s="22">
        <f t="shared" ref="AA211" si="1806">AA207+AA210</f>
        <v>331.71850000000001</v>
      </c>
      <c r="AB211" s="21">
        <f t="shared" ref="AB211:AD211" si="1807">AB207+AB210</f>
        <v>331.51973943873816</v>
      </c>
      <c r="AC211" s="21">
        <f t="shared" si="1807"/>
        <v>571.2620696018173</v>
      </c>
      <c r="AD211" s="21">
        <f t="shared" si="1807"/>
        <v>826.40371095546629</v>
      </c>
      <c r="AE211" s="21">
        <f t="shared" ref="AE211" si="1808">AE207+AE210</f>
        <v>1180.7226440973966</v>
      </c>
      <c r="AI211" s="22">
        <f t="shared" ref="AI211" si="1809">AI207+AI210</f>
        <v>0</v>
      </c>
      <c r="AJ211" s="22">
        <f t="shared" ref="AJ211:AL211" si="1810">AJ207+AJ210</f>
        <v>0</v>
      </c>
      <c r="AK211" s="22" t="e">
        <f t="shared" si="1810"/>
        <v>#DIV/0!</v>
      </c>
      <c r="AL211" s="22" t="e">
        <f t="shared" si="1810"/>
        <v>#DIV/0!</v>
      </c>
      <c r="AM211" s="22" t="e">
        <f t="shared" ref="AM211" si="1811">AM207+AM210</f>
        <v>#DIV/0!</v>
      </c>
      <c r="AN211" s="22" t="e">
        <f t="shared" ref="AN211:CD211" si="1812">AN207+AN210</f>
        <v>#DIV/0!</v>
      </c>
      <c r="AO211" s="22" t="e">
        <f t="shared" si="1812"/>
        <v>#DIV/0!</v>
      </c>
      <c r="AP211" s="22" t="e">
        <f t="shared" si="1812"/>
        <v>#DIV/0!</v>
      </c>
      <c r="AQ211" s="22" t="e">
        <f t="shared" si="1812"/>
        <v>#DIV/0!</v>
      </c>
      <c r="AR211" s="22" t="e">
        <f t="shared" si="1812"/>
        <v>#DIV/0!</v>
      </c>
      <c r="AS211" s="22" t="e">
        <f t="shared" si="1812"/>
        <v>#DIV/0!</v>
      </c>
      <c r="AT211" s="22" t="e">
        <f t="shared" si="1812"/>
        <v>#DIV/0!</v>
      </c>
      <c r="AU211" s="22" t="e">
        <f t="shared" si="1812"/>
        <v>#DIV/0!</v>
      </c>
      <c r="AV211" s="22" t="e">
        <f t="shared" si="1812"/>
        <v>#DIV/0!</v>
      </c>
      <c r="AW211" s="22" t="e">
        <f t="shared" si="1812"/>
        <v>#DIV/0!</v>
      </c>
      <c r="AX211" s="22" t="e">
        <f t="shared" si="1812"/>
        <v>#DIV/0!</v>
      </c>
      <c r="AY211" s="22" t="e">
        <f t="shared" si="1812"/>
        <v>#DIV/0!</v>
      </c>
      <c r="AZ211" s="22" t="e">
        <f t="shared" si="1812"/>
        <v>#DIV/0!</v>
      </c>
      <c r="BA211" s="22" t="e">
        <f t="shared" si="1812"/>
        <v>#DIV/0!</v>
      </c>
      <c r="BB211" s="22" t="e">
        <f t="shared" si="1812"/>
        <v>#DIV/0!</v>
      </c>
      <c r="BC211" s="22" t="e">
        <f t="shared" si="1812"/>
        <v>#DIV/0!</v>
      </c>
      <c r="BD211" s="22" t="e">
        <f t="shared" si="1812"/>
        <v>#DIV/0!</v>
      </c>
      <c r="BE211" s="22" t="e">
        <f t="shared" si="1812"/>
        <v>#DIV/0!</v>
      </c>
      <c r="BF211" s="22" t="e">
        <f t="shared" si="1812"/>
        <v>#DIV/0!</v>
      </c>
      <c r="BG211" s="22" t="e">
        <f t="shared" si="1812"/>
        <v>#DIV/0!</v>
      </c>
      <c r="BH211" s="22" t="e">
        <f t="shared" si="1812"/>
        <v>#DIV/0!</v>
      </c>
      <c r="BI211" s="22" t="e">
        <f t="shared" si="1812"/>
        <v>#DIV/0!</v>
      </c>
      <c r="BJ211" s="22" t="e">
        <f t="shared" si="1812"/>
        <v>#DIV/0!</v>
      </c>
      <c r="BK211" s="22" t="e">
        <f t="shared" si="1812"/>
        <v>#DIV/0!</v>
      </c>
      <c r="BL211" s="22" t="e">
        <f t="shared" si="1812"/>
        <v>#DIV/0!</v>
      </c>
      <c r="BM211" s="22" t="e">
        <f t="shared" si="1812"/>
        <v>#DIV/0!</v>
      </c>
      <c r="BN211" s="22" t="e">
        <f t="shared" si="1812"/>
        <v>#DIV/0!</v>
      </c>
      <c r="BO211" s="22" t="e">
        <f t="shared" si="1812"/>
        <v>#DIV/0!</v>
      </c>
      <c r="BP211" s="22" t="e">
        <f t="shared" si="1812"/>
        <v>#DIV/0!</v>
      </c>
      <c r="BQ211" s="22" t="e">
        <f t="shared" si="1812"/>
        <v>#DIV/0!</v>
      </c>
      <c r="BR211" s="22" t="e">
        <f t="shared" si="1812"/>
        <v>#DIV/0!</v>
      </c>
      <c r="BS211" s="22">
        <f t="shared" si="1812"/>
        <v>29.609402034101109</v>
      </c>
      <c r="BT211" s="22">
        <f t="shared" si="1812"/>
        <v>44.026597965898887</v>
      </c>
      <c r="BU211" s="22">
        <f t="shared" si="1812"/>
        <v>36.265000000000001</v>
      </c>
      <c r="BV211" s="22">
        <f t="shared" si="1812"/>
        <v>-41.017999999999979</v>
      </c>
      <c r="BW211" s="22">
        <f t="shared" si="1812"/>
        <v>41.001877456339145</v>
      </c>
      <c r="BX211" s="22">
        <f t="shared" si="1812"/>
        <v>131.06912254366085</v>
      </c>
      <c r="BY211" s="22">
        <f t="shared" si="1812"/>
        <v>47.330261187832107</v>
      </c>
      <c r="BZ211" s="22">
        <f t="shared" si="1812"/>
        <v>-164.5212611878321</v>
      </c>
      <c r="CA211" s="22">
        <f t="shared" si="1812"/>
        <v>53.802835632344696</v>
      </c>
      <c r="CB211" s="22">
        <f t="shared" si="1812"/>
        <v>94.612164367655211</v>
      </c>
      <c r="CC211" s="22">
        <f t="shared" si="1812"/>
        <v>62.860641211297988</v>
      </c>
      <c r="CD211" s="22">
        <f t="shared" si="1812"/>
        <v>-170.96564121129796</v>
      </c>
      <c r="CE211" s="22">
        <f t="shared" ref="CE211:CF211" si="1813">CE207+CE210</f>
        <v>70.737380315165694</v>
      </c>
      <c r="CF211" s="22">
        <f t="shared" si="1813"/>
        <v>274.12961968483432</v>
      </c>
      <c r="CG211" s="22">
        <f t="shared" ref="CG211:CH211" si="1814">CG207+CG210</f>
        <v>84.359392533848023</v>
      </c>
      <c r="CH211" s="22">
        <f t="shared" si="1814"/>
        <v>75.394107466151922</v>
      </c>
      <c r="CI211" s="22">
        <f t="shared" ref="CI211:CJ211" si="1815">CI207+CI210</f>
        <v>45.089401195710877</v>
      </c>
      <c r="CJ211" s="22">
        <f t="shared" si="1815"/>
        <v>7.1090988042890899</v>
      </c>
      <c r="CK211" s="22">
        <f t="shared" ref="CK211:DB211" si="1816">CK207+CK210</f>
        <v>118.8131873717911</v>
      </c>
      <c r="CL211" s="22">
        <f t="shared" si="1816"/>
        <v>99.931812628208917</v>
      </c>
      <c r="CM211" s="21">
        <f t="shared" si="1816"/>
        <v>40.181455362751649</v>
      </c>
      <c r="CN211" s="21">
        <f t="shared" si="1816"/>
        <v>72.160662684749212</v>
      </c>
      <c r="CO211" s="21">
        <f t="shared" si="1816"/>
        <v>144.1502857568197</v>
      </c>
      <c r="CP211" s="21">
        <f t="shared" si="1816"/>
        <v>135.80153563441783</v>
      </c>
      <c r="CQ211" s="21">
        <f t="shared" si="1816"/>
        <v>61.72286208083068</v>
      </c>
      <c r="CR211" s="21">
        <f t="shared" si="1816"/>
        <v>105.73994346999297</v>
      </c>
      <c r="CS211" s="21">
        <f t="shared" si="1816"/>
        <v>204.20328674863342</v>
      </c>
      <c r="CT211" s="21">
        <f t="shared" si="1816"/>
        <v>199.59597730236015</v>
      </c>
      <c r="CU211" s="21">
        <f t="shared" si="1816"/>
        <v>97.681301876201246</v>
      </c>
      <c r="CV211" s="21">
        <f t="shared" si="1816"/>
        <v>157.38969883676549</v>
      </c>
      <c r="CW211" s="21">
        <f t="shared" si="1816"/>
        <v>287.86588297626321</v>
      </c>
      <c r="CX211" s="21">
        <f t="shared" si="1816"/>
        <v>283.46682726623584</v>
      </c>
      <c r="CY211" s="21">
        <f t="shared" si="1816"/>
        <v>150.91540090482255</v>
      </c>
      <c r="CZ211" s="21">
        <f t="shared" si="1816"/>
        <v>230.47463408172467</v>
      </c>
      <c r="DA211" s="21">
        <f t="shared" si="1816"/>
        <v>401.80624630752305</v>
      </c>
      <c r="DB211" s="21">
        <f t="shared" si="1816"/>
        <v>397.52636280332621</v>
      </c>
      <c r="DE211" s="126"/>
      <c r="DF211" s="22">
        <v>331.71850000000001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92</v>
      </c>
      <c r="C213" s="22">
        <f t="shared" ref="C213:W213" si="1817">C214+C215</f>
        <v>0</v>
      </c>
      <c r="D213" s="22">
        <f>D214+D215</f>
        <v>0</v>
      </c>
      <c r="E213" s="22">
        <f t="shared" si="1817"/>
        <v>0</v>
      </c>
      <c r="F213" s="22">
        <f t="shared" si="1817"/>
        <v>0</v>
      </c>
      <c r="G213" s="22">
        <f t="shared" si="1817"/>
        <v>0</v>
      </c>
      <c r="H213" s="22">
        <f t="shared" si="1817"/>
        <v>0</v>
      </c>
      <c r="I213" s="22">
        <f t="shared" si="1817"/>
        <v>0</v>
      </c>
      <c r="J213" s="22">
        <f t="shared" si="1817"/>
        <v>-4.1764561000000002</v>
      </c>
      <c r="K213" s="22">
        <f t="shared" si="1817"/>
        <v>3.8877215999999999</v>
      </c>
      <c r="L213" s="22">
        <f t="shared" si="1817"/>
        <v>-4</v>
      </c>
      <c r="M213" s="22">
        <f t="shared" si="1817"/>
        <v>-1.2416400000000003</v>
      </c>
      <c r="N213" s="22">
        <f t="shared" si="1817"/>
        <v>0</v>
      </c>
      <c r="O213" s="22">
        <f t="shared" si="1817"/>
        <v>0.28143809999999991</v>
      </c>
      <c r="P213" s="22">
        <f t="shared" si="1817"/>
        <v>1</v>
      </c>
      <c r="Q213" s="22">
        <f t="shared" si="1817"/>
        <v>-3.599999999996939E-4</v>
      </c>
      <c r="R213" s="22">
        <f t="shared" si="1817"/>
        <v>-28.388999999999999</v>
      </c>
      <c r="S213" s="22">
        <f t="shared" si="1817"/>
        <v>-15.597000000000001</v>
      </c>
      <c r="T213" s="22">
        <f t="shared" si="1817"/>
        <v>-55.474999999999994</v>
      </c>
      <c r="U213" s="22">
        <f t="shared" si="1817"/>
        <v>-180.767</v>
      </c>
      <c r="V213" s="22">
        <f t="shared" si="1817"/>
        <v>-2.8065999999999889</v>
      </c>
      <c r="W213" s="22">
        <f t="shared" si="1817"/>
        <v>-17.08899999999997</v>
      </c>
      <c r="X213" s="22">
        <f t="shared" ref="X213:Y213" si="1818">X214+X215</f>
        <v>-30.744200000000021</v>
      </c>
      <c r="Y213" s="22">
        <f t="shared" si="1818"/>
        <v>-42.088500000000025</v>
      </c>
      <c r="Z213" s="22">
        <f t="shared" ref="Z213:AA213" si="1819">Z214+Z215</f>
        <v>-191.61680000000001</v>
      </c>
      <c r="AA213" s="22">
        <f t="shared" ref="AA213" si="1820">AA214+AA215</f>
        <v>-58.355099999999993</v>
      </c>
      <c r="AB213" s="21">
        <f t="shared" ref="AB213:AD213" si="1821">AB214+AB215</f>
        <v>60.774099999999976</v>
      </c>
      <c r="AC213" s="21">
        <f t="shared" si="1821"/>
        <v>0</v>
      </c>
      <c r="AD213" s="21">
        <f t="shared" si="1821"/>
        <v>0</v>
      </c>
      <c r="AE213" s="21">
        <f t="shared" ref="AE213" si="1822">AE214+AE215</f>
        <v>0</v>
      </c>
      <c r="AI213" s="22">
        <f t="shared" ref="AI213" si="1823">AI214+AI215</f>
        <v>0</v>
      </c>
      <c r="AJ213" s="22">
        <f t="shared" ref="AJ213:AL213" si="1824">AJ214+AJ215</f>
        <v>0</v>
      </c>
      <c r="AK213" s="22">
        <f t="shared" si="1824"/>
        <v>0</v>
      </c>
      <c r="AL213" s="22">
        <f t="shared" si="1824"/>
        <v>0</v>
      </c>
      <c r="AM213" s="22">
        <f t="shared" ref="AM213" si="1825">AM214+AM215</f>
        <v>0</v>
      </c>
      <c r="AN213" s="22">
        <f t="shared" ref="AN213:CD213" si="1826">AN214+AN215</f>
        <v>0</v>
      </c>
      <c r="AO213" s="22">
        <f t="shared" si="1826"/>
        <v>0</v>
      </c>
      <c r="AP213" s="22">
        <f t="shared" si="1826"/>
        <v>0</v>
      </c>
      <c r="AQ213" s="22">
        <f t="shared" si="1826"/>
        <v>0</v>
      </c>
      <c r="AR213" s="22">
        <f t="shared" si="1826"/>
        <v>0</v>
      </c>
      <c r="AS213" s="22">
        <f t="shared" si="1826"/>
        <v>0</v>
      </c>
      <c r="AT213" s="22">
        <f t="shared" si="1826"/>
        <v>0</v>
      </c>
      <c r="AU213" s="22">
        <f t="shared" si="1826"/>
        <v>0</v>
      </c>
      <c r="AV213" s="22">
        <f t="shared" si="1826"/>
        <v>0</v>
      </c>
      <c r="AW213" s="22">
        <f t="shared" si="1826"/>
        <v>0</v>
      </c>
      <c r="AX213" s="22">
        <f t="shared" si="1826"/>
        <v>0</v>
      </c>
      <c r="AY213" s="22">
        <f t="shared" si="1826"/>
        <v>0</v>
      </c>
      <c r="AZ213" s="22">
        <f t="shared" si="1826"/>
        <v>0</v>
      </c>
      <c r="BA213" s="22">
        <f t="shared" si="1826"/>
        <v>0</v>
      </c>
      <c r="BB213" s="22">
        <f t="shared" si="1826"/>
        <v>0</v>
      </c>
      <c r="BC213" s="22">
        <f t="shared" si="1826"/>
        <v>0</v>
      </c>
      <c r="BD213" s="22">
        <f t="shared" si="1826"/>
        <v>0</v>
      </c>
      <c r="BE213" s="22">
        <f t="shared" si="1826"/>
        <v>0</v>
      </c>
      <c r="BF213" s="22">
        <f t="shared" si="1826"/>
        <v>0</v>
      </c>
      <c r="BG213" s="22">
        <f t="shared" si="1826"/>
        <v>0</v>
      </c>
      <c r="BH213" s="22">
        <f t="shared" si="1826"/>
        <v>0</v>
      </c>
      <c r="BI213" s="22">
        <f t="shared" si="1826"/>
        <v>0</v>
      </c>
      <c r="BJ213" s="22">
        <f t="shared" si="1826"/>
        <v>0</v>
      </c>
      <c r="BK213" s="22">
        <f t="shared" si="1826"/>
        <v>0</v>
      </c>
      <c r="BL213" s="22">
        <f t="shared" si="1826"/>
        <v>0</v>
      </c>
      <c r="BM213" s="22">
        <f t="shared" si="1826"/>
        <v>0</v>
      </c>
      <c r="BN213" s="22">
        <f t="shared" si="1826"/>
        <v>0</v>
      </c>
      <c r="BO213" s="22">
        <f t="shared" si="1826"/>
        <v>0</v>
      </c>
      <c r="BP213" s="22">
        <f t="shared" si="1826"/>
        <v>0</v>
      </c>
      <c r="BQ213" s="22">
        <f t="shared" si="1826"/>
        <v>-4.327</v>
      </c>
      <c r="BR213" s="22">
        <f t="shared" si="1826"/>
        <v>-217.10899999999998</v>
      </c>
      <c r="BS213" s="22">
        <f t="shared" si="1826"/>
        <v>-4.0580000000000069</v>
      </c>
      <c r="BT213" s="22">
        <f t="shared" si="1826"/>
        <v>209.05899999999997</v>
      </c>
      <c r="BU213" s="22">
        <f t="shared" si="1826"/>
        <v>-4.2439999999999998</v>
      </c>
      <c r="BV213" s="22">
        <f t="shared" si="1826"/>
        <v>-217.6</v>
      </c>
      <c r="BW213" s="22">
        <f t="shared" si="1826"/>
        <v>-3.8269999999999982</v>
      </c>
      <c r="BX213" s="22">
        <f t="shared" si="1826"/>
        <v>-11.828000000000003</v>
      </c>
      <c r="BY213" s="22">
        <f t="shared" si="1826"/>
        <v>-4.3940000000000055</v>
      </c>
      <c r="BZ213" s="22">
        <f t="shared" si="1826"/>
        <v>-5.3969999999999914</v>
      </c>
      <c r="CA213" s="22">
        <f t="shared" si="1826"/>
        <v>-4.5120000000000005</v>
      </c>
      <c r="CB213" s="22">
        <f t="shared" si="1826"/>
        <v>-3.8910000000000053</v>
      </c>
      <c r="CC213" s="22">
        <f t="shared" si="1826"/>
        <v>-5.019999999999996</v>
      </c>
      <c r="CD213" s="22">
        <f t="shared" si="1826"/>
        <v>-5.546999999999997</v>
      </c>
      <c r="CE213" s="22">
        <f t="shared" ref="CE213:CF213" si="1827">CE214+CE215</f>
        <v>-5.6659999999999968</v>
      </c>
      <c r="CF213" s="22">
        <f t="shared" si="1827"/>
        <v>-5.0030000000000001</v>
      </c>
      <c r="CG213" s="22">
        <f t="shared" ref="CG213:CH213" si="1828">CG214+CG215</f>
        <v>-6.527000000000001</v>
      </c>
      <c r="CH213" s="22">
        <f t="shared" si="1828"/>
        <v>-216.0043</v>
      </c>
      <c r="CI213" s="22">
        <f t="shared" ref="CI213:CJ213" si="1829">CI214+CI215</f>
        <v>0</v>
      </c>
      <c r="CJ213" s="22">
        <f t="shared" si="1829"/>
        <v>55.918300000000016</v>
      </c>
      <c r="CK213" s="22">
        <f t="shared" ref="CK213:DB213" si="1830">CK214+CK215</f>
        <v>0</v>
      </c>
      <c r="CL213" s="22">
        <f t="shared" si="1830"/>
        <v>-53.501000000000033</v>
      </c>
      <c r="CM213" s="21">
        <f t="shared" si="1830"/>
        <v>0</v>
      </c>
      <c r="CN213" s="21">
        <f t="shared" si="1830"/>
        <v>0</v>
      </c>
      <c r="CO213" s="21">
        <f t="shared" si="1830"/>
        <v>0</v>
      </c>
      <c r="CP213" s="21">
        <f t="shared" si="1830"/>
        <v>0</v>
      </c>
      <c r="CQ213" s="21">
        <f t="shared" si="1830"/>
        <v>0</v>
      </c>
      <c r="CR213" s="21">
        <f t="shared" si="1830"/>
        <v>0</v>
      </c>
      <c r="CS213" s="21">
        <f t="shared" si="1830"/>
        <v>0</v>
      </c>
      <c r="CT213" s="21">
        <f t="shared" si="1830"/>
        <v>0</v>
      </c>
      <c r="CU213" s="21">
        <f t="shared" si="1830"/>
        <v>0</v>
      </c>
      <c r="CV213" s="21">
        <f t="shared" si="1830"/>
        <v>0</v>
      </c>
      <c r="CW213" s="21">
        <f t="shared" si="1830"/>
        <v>0</v>
      </c>
      <c r="CX213" s="21">
        <f t="shared" si="1830"/>
        <v>0</v>
      </c>
      <c r="CY213" s="21">
        <f t="shared" si="1830"/>
        <v>0</v>
      </c>
      <c r="CZ213" s="21">
        <f t="shared" si="1830"/>
        <v>0</v>
      </c>
      <c r="DA213" s="21">
        <f t="shared" si="1830"/>
        <v>0</v>
      </c>
      <c r="DB213" s="21">
        <f t="shared" si="1830"/>
        <v>0</v>
      </c>
      <c r="DE213" s="126"/>
      <c r="DF213" s="22">
        <v>-58.355099999999993</v>
      </c>
    </row>
    <row r="214" spans="1:110" s="23" customFormat="1" x14ac:dyDescent="0.2">
      <c r="A214" s="23" t="s">
        <v>93</v>
      </c>
      <c r="C214" s="23">
        <f t="shared" ref="C214:AA214" si="1831">B152-C152</f>
        <v>0</v>
      </c>
      <c r="D214" s="23">
        <f t="shared" si="1831"/>
        <v>0</v>
      </c>
      <c r="E214" s="23">
        <f>D152-E152</f>
        <v>0</v>
      </c>
      <c r="F214" s="23">
        <f t="shared" si="1831"/>
        <v>0</v>
      </c>
      <c r="G214" s="23">
        <f t="shared" si="1831"/>
        <v>0</v>
      </c>
      <c r="H214" s="23">
        <f t="shared" si="1831"/>
        <v>0</v>
      </c>
      <c r="I214" s="23">
        <f t="shared" si="1831"/>
        <v>0</v>
      </c>
      <c r="J214" s="23">
        <f>I152-J152</f>
        <v>-4.1691596999999998</v>
      </c>
      <c r="K214" s="23">
        <f>J152-K152</f>
        <v>3.8877215999999999</v>
      </c>
      <c r="L214" s="23">
        <f t="shared" si="1831"/>
        <v>-4</v>
      </c>
      <c r="M214" s="23">
        <f t="shared" si="1831"/>
        <v>-1.2416400000000003</v>
      </c>
      <c r="N214" s="23">
        <f t="shared" si="1831"/>
        <v>0</v>
      </c>
      <c r="O214" s="23">
        <f t="shared" si="1831"/>
        <v>0.28143809999999991</v>
      </c>
      <c r="P214" s="23">
        <f t="shared" si="1831"/>
        <v>1</v>
      </c>
      <c r="Q214" s="23">
        <f t="shared" si="1831"/>
        <v>-3.599999999996939E-4</v>
      </c>
      <c r="R214" s="23">
        <f t="shared" si="1831"/>
        <v>4.242</v>
      </c>
      <c r="S214" s="23">
        <f t="shared" si="1831"/>
        <v>0</v>
      </c>
      <c r="T214" s="23">
        <f t="shared" si="1831"/>
        <v>0</v>
      </c>
      <c r="U214" s="23">
        <f t="shared" si="1831"/>
        <v>-101.318</v>
      </c>
      <c r="V214" s="23">
        <f t="shared" si="1831"/>
        <v>-0.49680000000000746</v>
      </c>
      <c r="W214" s="23">
        <f t="shared" si="1831"/>
        <v>-1.6851999999999947</v>
      </c>
      <c r="X214" s="23">
        <f t="shared" si="1831"/>
        <v>-2.0024999999999977</v>
      </c>
      <c r="Y214" s="23">
        <f t="shared" si="1831"/>
        <v>-5.6496999999999957</v>
      </c>
      <c r="Z214" s="23">
        <f t="shared" si="1831"/>
        <v>-131.39240000000001</v>
      </c>
      <c r="AA214" s="23">
        <f t="shared" si="1831"/>
        <v>-21.113499999999988</v>
      </c>
      <c r="AB214" s="24">
        <f t="shared" ref="AB214" si="1832">AA152-AB152</f>
        <v>9.9999999974897946E-5</v>
      </c>
      <c r="AC214" s="24">
        <f t="shared" ref="AC214" si="1833">AB152-AC152</f>
        <v>0</v>
      </c>
      <c r="AD214" s="24">
        <f t="shared" ref="AD214" si="1834">AC152-AD152</f>
        <v>0</v>
      </c>
      <c r="AE214" s="24">
        <f t="shared" ref="AE214" si="1835">AD152-AE152</f>
        <v>0</v>
      </c>
      <c r="AI214" s="23">
        <f t="shared" ref="AI214" si="1836">AH152-AI152</f>
        <v>0</v>
      </c>
      <c r="AJ214" s="23">
        <f t="shared" ref="AJ214" si="1837">AI152-AJ152</f>
        <v>0</v>
      </c>
      <c r="AK214" s="23">
        <f t="shared" ref="AK214" si="1838">AJ152-AK152</f>
        <v>0</v>
      </c>
      <c r="AL214" s="23">
        <f t="shared" ref="AL214" si="1839">AK152-AL152</f>
        <v>0</v>
      </c>
      <c r="AM214" s="23">
        <f t="shared" ref="AM214" si="1840">AL152-AM152</f>
        <v>0</v>
      </c>
      <c r="AN214" s="23">
        <f t="shared" ref="AN214" si="1841">AM152-AN152</f>
        <v>0</v>
      </c>
      <c r="AO214" s="23">
        <f t="shared" ref="AO214" si="1842">AN152-AO152</f>
        <v>0</v>
      </c>
      <c r="AP214" s="23">
        <f t="shared" ref="AP214" si="1843">AO152-AP152</f>
        <v>0</v>
      </c>
      <c r="AQ214" s="23">
        <f t="shared" ref="AQ214" si="1844">AP152-AQ152</f>
        <v>0</v>
      </c>
      <c r="AR214" s="23">
        <f t="shared" ref="AR214" si="1845">AQ152-AR152</f>
        <v>0</v>
      </c>
      <c r="AS214" s="23">
        <f t="shared" ref="AS214" si="1846">AR152-AS152</f>
        <v>0</v>
      </c>
      <c r="AT214" s="23">
        <f t="shared" ref="AT214" si="1847">AS152-AT152</f>
        <v>0</v>
      </c>
      <c r="AU214" s="23">
        <f t="shared" ref="AU214" si="1848">AT152-AU152</f>
        <v>0</v>
      </c>
      <c r="AV214" s="23">
        <f t="shared" ref="AV214" si="1849">AU152-AV152</f>
        <v>0</v>
      </c>
      <c r="AW214" s="23">
        <f t="shared" ref="AW214" si="1850">AV152-AW152</f>
        <v>0</v>
      </c>
      <c r="AX214" s="23">
        <f t="shared" ref="AX214" si="1851">AW152-AX152</f>
        <v>0</v>
      </c>
      <c r="AY214" s="23">
        <f t="shared" ref="AY214" si="1852">AX152-AY152</f>
        <v>0</v>
      </c>
      <c r="AZ214" s="23">
        <f t="shared" ref="AZ214" si="1853">AY152-AZ152</f>
        <v>0</v>
      </c>
      <c r="BA214" s="23">
        <f t="shared" ref="BA214" si="1854">AZ152-BA152</f>
        <v>0</v>
      </c>
      <c r="BB214" s="23">
        <f t="shared" ref="BB214" si="1855">BA152-BB152</f>
        <v>0</v>
      </c>
      <c r="BC214" s="23">
        <f t="shared" ref="BC214" si="1856">BB152-BC152</f>
        <v>0</v>
      </c>
      <c r="BD214" s="23">
        <f t="shared" ref="BD214" si="1857">BC152-BD152</f>
        <v>0</v>
      </c>
      <c r="BE214" s="23">
        <f t="shared" ref="BE214" si="1858">BD152-BE152</f>
        <v>0</v>
      </c>
      <c r="BF214" s="23">
        <f t="shared" ref="BF214" si="1859">BE152-BF152</f>
        <v>0</v>
      </c>
      <c r="BG214" s="23">
        <f t="shared" ref="BG214" si="1860">BF152-BG152</f>
        <v>0</v>
      </c>
      <c r="BH214" s="23">
        <f t="shared" ref="BH214" si="1861">BG152-BH152</f>
        <v>0</v>
      </c>
      <c r="BI214" s="23">
        <f t="shared" ref="BI214" si="1862">BH152-BI152</f>
        <v>0</v>
      </c>
      <c r="BJ214" s="23">
        <f t="shared" ref="BJ214" si="1863">BI152-BJ152</f>
        <v>0</v>
      </c>
      <c r="BK214" s="23">
        <f t="shared" ref="BK214" si="1864">BJ152-BK152</f>
        <v>0</v>
      </c>
      <c r="BL214" s="23">
        <f t="shared" ref="BL214" si="1865">BK152-BL152</f>
        <v>0</v>
      </c>
      <c r="BM214" s="23">
        <f t="shared" ref="BM214" si="1866">BL152-BM152</f>
        <v>0</v>
      </c>
      <c r="BN214" s="23">
        <f t="shared" ref="BN214" si="1867">BM152-BN152</f>
        <v>0</v>
      </c>
      <c r="BO214" s="23">
        <f t="shared" ref="BO214" si="1868">BN152-BO152</f>
        <v>0</v>
      </c>
      <c r="BP214" s="23">
        <f t="shared" ref="BP214" si="1869">BO152-BP152</f>
        <v>0</v>
      </c>
      <c r="BQ214" s="23">
        <f t="shared" ref="BQ214" si="1870">BP152-BQ152</f>
        <v>0</v>
      </c>
      <c r="BR214" s="23">
        <f t="shared" ref="BR214" si="1871">BQ152-BR152</f>
        <v>-101.815</v>
      </c>
      <c r="BS214" s="23">
        <f t="shared" ref="BS214" si="1872">BR152-BS152</f>
        <v>0</v>
      </c>
      <c r="BT214" s="23">
        <f t="shared" ref="BT214" si="1873">BS152-BT152</f>
        <v>101.815</v>
      </c>
      <c r="BU214" s="23">
        <f t="shared" ref="BU214" si="1874">BT152-BU152</f>
        <v>0</v>
      </c>
      <c r="BV214" s="23">
        <f t="shared" ref="BV214" si="1875">BU152-BV152</f>
        <v>-103.5</v>
      </c>
      <c r="BW214" s="23">
        <f t="shared" ref="BW214" si="1876">BV152-BW152</f>
        <v>0</v>
      </c>
      <c r="BX214" s="23">
        <f t="shared" ref="BX214" si="1877">BW152-BX152</f>
        <v>0.46599999999999397</v>
      </c>
      <c r="BY214" s="23">
        <f t="shared" ref="BY214" si="1878">BX152-BY152</f>
        <v>0</v>
      </c>
      <c r="BZ214" s="23">
        <f t="shared" ref="BZ214" si="1879">BY152-BZ152</f>
        <v>-2.4689999999999941</v>
      </c>
      <c r="CA214" s="23">
        <f t="shared" ref="CA214" si="1880">BZ152-CA152</f>
        <v>0</v>
      </c>
      <c r="CB214" s="23">
        <f t="shared" ref="CB214" si="1881">CA152-CB152</f>
        <v>-1.8220000000000027</v>
      </c>
      <c r="CC214" s="23">
        <f t="shared" ref="CC214" si="1882">CB152-CC152</f>
        <v>0</v>
      </c>
      <c r="CD214" s="23">
        <f t="shared" ref="CD214" si="1883">CC152-CD152</f>
        <v>-3.8269999999999982</v>
      </c>
      <c r="CE214" s="23">
        <f t="shared" ref="CE214" si="1884">CD152-CE152</f>
        <v>0</v>
      </c>
      <c r="CF214" s="23">
        <f t="shared" ref="CF214" si="1885">CE152-CF152</f>
        <v>-0.21500000000000341</v>
      </c>
      <c r="CG214" s="23">
        <f t="shared" ref="CG214" si="1886">CF152-CG152</f>
        <v>0</v>
      </c>
      <c r="CH214" s="23">
        <f t="shared" ref="CH214:CL214" si="1887">CG152-CH152</f>
        <v>-131.17759999999998</v>
      </c>
      <c r="CI214" s="23">
        <f t="shared" si="1887"/>
        <v>0</v>
      </c>
      <c r="CJ214" s="23">
        <f t="shared" si="1887"/>
        <v>17.004600000000011</v>
      </c>
      <c r="CK214" s="23">
        <f t="shared" ref="CK214" si="1888">CJ152-CK152</f>
        <v>0</v>
      </c>
      <c r="CL214" s="23">
        <f t="shared" si="1887"/>
        <v>-38.118000000000023</v>
      </c>
      <c r="CM214" s="24">
        <f t="shared" ref="CM214" si="1889">CL152-CM152</f>
        <v>0</v>
      </c>
      <c r="CN214" s="24">
        <f t="shared" ref="CN214" si="1890">CM152-CN152</f>
        <v>0</v>
      </c>
      <c r="CO214" s="24">
        <f t="shared" ref="CO214" si="1891">CN152-CO152</f>
        <v>0</v>
      </c>
      <c r="CP214" s="24">
        <f t="shared" ref="CP214" si="1892">CO152-CP152</f>
        <v>0</v>
      </c>
      <c r="CQ214" s="24">
        <f t="shared" ref="CQ214" si="1893">CP152-CQ152</f>
        <v>0</v>
      </c>
      <c r="CR214" s="24">
        <f t="shared" ref="CR214" si="1894">CQ152-CR152</f>
        <v>0</v>
      </c>
      <c r="CS214" s="24">
        <f t="shared" ref="CS214" si="1895">CR152-CS152</f>
        <v>0</v>
      </c>
      <c r="CT214" s="24">
        <f t="shared" ref="CT214" si="1896">CS152-CT152</f>
        <v>0</v>
      </c>
      <c r="CU214" s="24">
        <f t="shared" ref="CU214" si="1897">CT152-CU152</f>
        <v>0</v>
      </c>
      <c r="CV214" s="24">
        <f t="shared" ref="CV214" si="1898">CU152-CV152</f>
        <v>0</v>
      </c>
      <c r="CW214" s="24">
        <f t="shared" ref="CW214" si="1899">CV152-CW152</f>
        <v>0</v>
      </c>
      <c r="CX214" s="24">
        <f t="shared" ref="CX214" si="1900">CW152-CX152</f>
        <v>0</v>
      </c>
      <c r="CY214" s="24">
        <f t="shared" ref="CY214" si="1901">CX152-CY152</f>
        <v>0</v>
      </c>
      <c r="CZ214" s="24">
        <f t="shared" ref="CZ214" si="1902">CY152-CZ152</f>
        <v>0</v>
      </c>
      <c r="DA214" s="24">
        <f t="shared" ref="DA214" si="1903">CZ152-DA152</f>
        <v>0</v>
      </c>
      <c r="DB214" s="24">
        <f t="shared" ref="DB214" si="1904">DA152-DB152</f>
        <v>0</v>
      </c>
      <c r="DE214" s="123"/>
      <c r="DF214" s="23">
        <v>-21.113499999999988</v>
      </c>
    </row>
    <row r="215" spans="1:110" s="23" customFormat="1" x14ac:dyDescent="0.2">
      <c r="A215" s="23" t="s">
        <v>94</v>
      </c>
      <c r="C215" s="23">
        <f t="shared" ref="C215:AE215" si="1905">B150-C44-C150</f>
        <v>0</v>
      </c>
      <c r="D215" s="23">
        <f t="shared" si="1905"/>
        <v>0</v>
      </c>
      <c r="E215" s="23">
        <f t="shared" si="1905"/>
        <v>0</v>
      </c>
      <c r="F215" s="23">
        <f t="shared" si="1905"/>
        <v>0</v>
      </c>
      <c r="G215" s="23">
        <f t="shared" si="1905"/>
        <v>0</v>
      </c>
      <c r="H215" s="23">
        <f t="shared" si="1905"/>
        <v>0</v>
      </c>
      <c r="I215" s="23">
        <f t="shared" si="1905"/>
        <v>0</v>
      </c>
      <c r="J215" s="23">
        <f t="shared" si="1905"/>
        <v>-7.2963999999999998E-3</v>
      </c>
      <c r="K215" s="23">
        <f t="shared" si="1905"/>
        <v>0</v>
      </c>
      <c r="L215" s="23">
        <f t="shared" si="1905"/>
        <v>0</v>
      </c>
      <c r="M215" s="23">
        <f t="shared" si="1905"/>
        <v>0</v>
      </c>
      <c r="N215" s="23">
        <f t="shared" si="1905"/>
        <v>0</v>
      </c>
      <c r="O215" s="23">
        <f t="shared" si="1905"/>
        <v>0</v>
      </c>
      <c r="P215" s="23">
        <f t="shared" si="1905"/>
        <v>0</v>
      </c>
      <c r="Q215" s="23">
        <f t="shared" si="1905"/>
        <v>0</v>
      </c>
      <c r="R215" s="23">
        <f t="shared" si="1905"/>
        <v>-32.631</v>
      </c>
      <c r="S215" s="23">
        <f t="shared" si="1905"/>
        <v>-15.597000000000001</v>
      </c>
      <c r="T215" s="23">
        <f t="shared" si="1905"/>
        <v>-55.474999999999994</v>
      </c>
      <c r="U215" s="23">
        <f t="shared" si="1905"/>
        <v>-79.449000000000012</v>
      </c>
      <c r="V215" s="23">
        <f t="shared" si="1905"/>
        <v>-2.3097999999999814</v>
      </c>
      <c r="W215" s="23">
        <f t="shared" si="1905"/>
        <v>-15.403799999999976</v>
      </c>
      <c r="X215" s="23">
        <f t="shared" si="1905"/>
        <v>-28.741700000000023</v>
      </c>
      <c r="Y215" s="23">
        <f t="shared" si="1905"/>
        <v>-36.438800000000029</v>
      </c>
      <c r="Z215" s="23">
        <f t="shared" si="1905"/>
        <v>-60.224400000000003</v>
      </c>
      <c r="AA215" s="23">
        <f t="shared" si="1905"/>
        <v>-37.241600000000005</v>
      </c>
      <c r="AB215" s="24">
        <f t="shared" si="1905"/>
        <v>60.774000000000001</v>
      </c>
      <c r="AC215" s="24">
        <f t="shared" si="1905"/>
        <v>0</v>
      </c>
      <c r="AD215" s="24">
        <f t="shared" si="1905"/>
        <v>0</v>
      </c>
      <c r="AE215" s="24">
        <f t="shared" si="1905"/>
        <v>0</v>
      </c>
      <c r="AI215" s="23">
        <f t="shared" ref="AI215:BN215" si="1906">AH150-AI44-AI150</f>
        <v>0</v>
      </c>
      <c r="AJ215" s="23">
        <f t="shared" si="1906"/>
        <v>0</v>
      </c>
      <c r="AK215" s="23">
        <f t="shared" si="1906"/>
        <v>0</v>
      </c>
      <c r="AL215" s="23">
        <f t="shared" si="1906"/>
        <v>0</v>
      </c>
      <c r="AM215" s="23">
        <f t="shared" si="1906"/>
        <v>0</v>
      </c>
      <c r="AN215" s="23">
        <f t="shared" si="1906"/>
        <v>0</v>
      </c>
      <c r="AO215" s="23">
        <f t="shared" si="1906"/>
        <v>0</v>
      </c>
      <c r="AP215" s="23">
        <f t="shared" si="1906"/>
        <v>0</v>
      </c>
      <c r="AQ215" s="23">
        <f t="shared" si="1906"/>
        <v>0</v>
      </c>
      <c r="AR215" s="23">
        <f t="shared" si="1906"/>
        <v>0</v>
      </c>
      <c r="AS215" s="23">
        <f t="shared" si="1906"/>
        <v>0</v>
      </c>
      <c r="AT215" s="23">
        <f t="shared" si="1906"/>
        <v>0</v>
      </c>
      <c r="AU215" s="23">
        <f t="shared" si="1906"/>
        <v>0</v>
      </c>
      <c r="AV215" s="23">
        <f t="shared" si="1906"/>
        <v>0</v>
      </c>
      <c r="AW215" s="23">
        <f t="shared" si="1906"/>
        <v>0</v>
      </c>
      <c r="AX215" s="23">
        <f t="shared" si="1906"/>
        <v>0</v>
      </c>
      <c r="AY215" s="23">
        <f t="shared" si="1906"/>
        <v>0</v>
      </c>
      <c r="AZ215" s="23">
        <f t="shared" si="1906"/>
        <v>0</v>
      </c>
      <c r="BA215" s="23">
        <f t="shared" si="1906"/>
        <v>0</v>
      </c>
      <c r="BB215" s="23">
        <f t="shared" si="1906"/>
        <v>0</v>
      </c>
      <c r="BC215" s="23">
        <f t="shared" si="1906"/>
        <v>0</v>
      </c>
      <c r="BD215" s="23">
        <f t="shared" si="1906"/>
        <v>0</v>
      </c>
      <c r="BE215" s="23">
        <f t="shared" si="1906"/>
        <v>0</v>
      </c>
      <c r="BF215" s="23">
        <f t="shared" si="1906"/>
        <v>0</v>
      </c>
      <c r="BG215" s="23">
        <f t="shared" si="1906"/>
        <v>0</v>
      </c>
      <c r="BH215" s="23">
        <f t="shared" si="1906"/>
        <v>0</v>
      </c>
      <c r="BI215" s="23">
        <f t="shared" si="1906"/>
        <v>0</v>
      </c>
      <c r="BJ215" s="23">
        <f t="shared" si="1906"/>
        <v>0</v>
      </c>
      <c r="BK215" s="23">
        <f t="shared" si="1906"/>
        <v>0</v>
      </c>
      <c r="BL215" s="23">
        <f t="shared" si="1906"/>
        <v>0</v>
      </c>
      <c r="BM215" s="23">
        <f t="shared" si="1906"/>
        <v>0</v>
      </c>
      <c r="BN215" s="23">
        <f t="shared" si="1906"/>
        <v>0</v>
      </c>
      <c r="BO215" s="23">
        <f t="shared" ref="BO215:CT215" si="1907">BN150-BO44-BO150</f>
        <v>0</v>
      </c>
      <c r="BP215" s="23">
        <f t="shared" si="1907"/>
        <v>0</v>
      </c>
      <c r="BQ215" s="23">
        <f t="shared" si="1907"/>
        <v>-4.327</v>
      </c>
      <c r="BR215" s="23">
        <f t="shared" si="1907"/>
        <v>-115.294</v>
      </c>
      <c r="BS215" s="23">
        <f t="shared" si="1907"/>
        <v>-4.0580000000000069</v>
      </c>
      <c r="BT215" s="23">
        <f t="shared" si="1907"/>
        <v>107.24399999999999</v>
      </c>
      <c r="BU215" s="23">
        <f t="shared" si="1907"/>
        <v>-4.2439999999999998</v>
      </c>
      <c r="BV215" s="23">
        <f t="shared" si="1907"/>
        <v>-114.1</v>
      </c>
      <c r="BW215" s="23">
        <f t="shared" si="1907"/>
        <v>-3.8269999999999982</v>
      </c>
      <c r="BX215" s="23">
        <f t="shared" si="1907"/>
        <v>-12.293999999999997</v>
      </c>
      <c r="BY215" s="23">
        <f t="shared" si="1907"/>
        <v>-4.3940000000000055</v>
      </c>
      <c r="BZ215" s="23">
        <f t="shared" si="1907"/>
        <v>-2.9279999999999973</v>
      </c>
      <c r="CA215" s="23">
        <f t="shared" si="1907"/>
        <v>-4.5120000000000005</v>
      </c>
      <c r="CB215" s="23">
        <f t="shared" si="1907"/>
        <v>-2.0690000000000026</v>
      </c>
      <c r="CC215" s="23">
        <f t="shared" si="1907"/>
        <v>-5.019999999999996</v>
      </c>
      <c r="CD215" s="23">
        <f t="shared" si="1907"/>
        <v>-1.7199999999999989</v>
      </c>
      <c r="CE215" s="23">
        <f t="shared" si="1907"/>
        <v>-5.6659999999999968</v>
      </c>
      <c r="CF215" s="23">
        <f t="shared" si="1907"/>
        <v>-4.7879999999999967</v>
      </c>
      <c r="CG215" s="23">
        <f t="shared" si="1907"/>
        <v>-6.527000000000001</v>
      </c>
      <c r="CH215" s="23">
        <f t="shared" si="1907"/>
        <v>-84.826700000000031</v>
      </c>
      <c r="CI215" s="23">
        <f t="shared" si="1907"/>
        <v>0</v>
      </c>
      <c r="CJ215" s="23">
        <f t="shared" si="1907"/>
        <v>38.913700000000006</v>
      </c>
      <c r="CK215" s="23">
        <f t="shared" si="1907"/>
        <v>0</v>
      </c>
      <c r="CL215" s="23">
        <f t="shared" si="1907"/>
        <v>-15.38300000000001</v>
      </c>
      <c r="CM215" s="24">
        <f t="shared" si="1907"/>
        <v>0</v>
      </c>
      <c r="CN215" s="24">
        <f t="shared" si="1907"/>
        <v>0</v>
      </c>
      <c r="CO215" s="24">
        <f t="shared" si="1907"/>
        <v>0</v>
      </c>
      <c r="CP215" s="24">
        <f t="shared" si="1907"/>
        <v>0</v>
      </c>
      <c r="CQ215" s="24">
        <f t="shared" si="1907"/>
        <v>0</v>
      </c>
      <c r="CR215" s="24">
        <f t="shared" si="1907"/>
        <v>0</v>
      </c>
      <c r="CS215" s="24">
        <f t="shared" si="1907"/>
        <v>0</v>
      </c>
      <c r="CT215" s="24">
        <f t="shared" si="1907"/>
        <v>0</v>
      </c>
      <c r="CU215" s="24">
        <f t="shared" ref="CU215:DB215" si="1908">CT150-CU44-CU150</f>
        <v>0</v>
      </c>
      <c r="CV215" s="24">
        <f t="shared" si="1908"/>
        <v>0</v>
      </c>
      <c r="CW215" s="24">
        <f t="shared" si="1908"/>
        <v>0</v>
      </c>
      <c r="CX215" s="24">
        <f t="shared" si="1908"/>
        <v>0</v>
      </c>
      <c r="CY215" s="24">
        <f t="shared" si="1908"/>
        <v>0</v>
      </c>
      <c r="CZ215" s="24">
        <f t="shared" si="1908"/>
        <v>0</v>
      </c>
      <c r="DA215" s="24">
        <f t="shared" si="1908"/>
        <v>0</v>
      </c>
      <c r="DB215" s="24">
        <f t="shared" si="1908"/>
        <v>0</v>
      </c>
      <c r="DE215" s="123"/>
      <c r="DF215" s="23">
        <v>-37.241600000000005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95</v>
      </c>
      <c r="C217" s="22">
        <f t="shared" ref="C217:W217" si="1909">C218+C219</f>
        <v>0</v>
      </c>
      <c r="D217" s="22">
        <f t="shared" si="1909"/>
        <v>0</v>
      </c>
      <c r="E217" s="22">
        <f t="shared" si="1909"/>
        <v>0</v>
      </c>
      <c r="F217" s="22">
        <f t="shared" si="1909"/>
        <v>0</v>
      </c>
      <c r="G217" s="22">
        <f t="shared" si="1909"/>
        <v>0</v>
      </c>
      <c r="H217" s="22">
        <f t="shared" si="1909"/>
        <v>0</v>
      </c>
      <c r="I217" s="22">
        <f t="shared" si="1909"/>
        <v>0</v>
      </c>
      <c r="J217" s="22">
        <f t="shared" si="1909"/>
        <v>4.7393751000000002</v>
      </c>
      <c r="K217" s="22">
        <f t="shared" si="1909"/>
        <v>-6.5700000000035175E-4</v>
      </c>
      <c r="L217" s="22">
        <f t="shared" si="1909"/>
        <v>0</v>
      </c>
      <c r="M217" s="22">
        <f t="shared" si="1909"/>
        <v>-9.9999999392252903E-8</v>
      </c>
      <c r="N217" s="22">
        <f t="shared" si="1909"/>
        <v>0</v>
      </c>
      <c r="O217" s="22">
        <f t="shared" si="1909"/>
        <v>0</v>
      </c>
      <c r="P217" s="22">
        <f t="shared" si="1909"/>
        <v>9.9999999392252903E-8</v>
      </c>
      <c r="Q217" s="22">
        <f t="shared" si="1909"/>
        <v>-3.7840000000000096E-2</v>
      </c>
      <c r="R217" s="22">
        <f t="shared" si="1909"/>
        <v>32.341999999999985</v>
      </c>
      <c r="S217" s="22">
        <f t="shared" si="1909"/>
        <v>-6.1109999999999722</v>
      </c>
      <c r="T217" s="22">
        <f t="shared" si="1909"/>
        <v>-0.98399999999999077</v>
      </c>
      <c r="U217" s="22">
        <f t="shared" si="1909"/>
        <v>40.385000000000019</v>
      </c>
      <c r="V217" s="22">
        <f t="shared" si="1909"/>
        <v>3.1576999999999877</v>
      </c>
      <c r="W217" s="22">
        <f t="shared" si="1909"/>
        <v>-32.973400000000012</v>
      </c>
      <c r="X217" s="22">
        <f t="shared" ref="X217:Y217" si="1910">X218+X219</f>
        <v>-51.78380000000007</v>
      </c>
      <c r="Y217" s="22">
        <f t="shared" si="1910"/>
        <v>-51.844700000000017</v>
      </c>
      <c r="Z217" s="22">
        <f t="shared" ref="Z217:AA217" si="1911">Z218+Z219</f>
        <v>-260.38819999999987</v>
      </c>
      <c r="AA217" s="22">
        <f t="shared" ref="AA217" si="1912">AA218+AA219</f>
        <v>-76.51339999999999</v>
      </c>
      <c r="AB217" s="21">
        <f t="shared" ref="AB217:AD217" si="1913">AB218+AB219</f>
        <v>-1.7763568394002505E-13</v>
      </c>
      <c r="AC217" s="21">
        <f t="shared" si="1913"/>
        <v>4.5474735088646412E-13</v>
      </c>
      <c r="AD217" s="21">
        <f t="shared" si="1913"/>
        <v>-4.5474735088646412E-13</v>
      </c>
      <c r="AE217" s="21">
        <f t="shared" ref="AE217" si="1914">AE218+AE219</f>
        <v>0</v>
      </c>
      <c r="AI217" s="22">
        <f t="shared" ref="AI217" si="1915">AI218+AI219</f>
        <v>0</v>
      </c>
      <c r="AJ217" s="22">
        <f t="shared" ref="AJ217:AL217" si="1916">AJ218+AJ219</f>
        <v>0</v>
      </c>
      <c r="AK217" s="22">
        <f t="shared" si="1916"/>
        <v>0</v>
      </c>
      <c r="AL217" s="22">
        <f t="shared" si="1916"/>
        <v>0</v>
      </c>
      <c r="AM217" s="22">
        <f t="shared" ref="AM217" si="1917">AM218+AM219</f>
        <v>0</v>
      </c>
      <c r="AN217" s="22">
        <f t="shared" ref="AN217:CD217" si="1918">AN218+AN219</f>
        <v>0</v>
      </c>
      <c r="AO217" s="22">
        <f t="shared" si="1918"/>
        <v>0</v>
      </c>
      <c r="AP217" s="22">
        <f t="shared" si="1918"/>
        <v>0</v>
      </c>
      <c r="AQ217" s="22">
        <f t="shared" si="1918"/>
        <v>0</v>
      </c>
      <c r="AR217" s="22">
        <f t="shared" si="1918"/>
        <v>0</v>
      </c>
      <c r="AS217" s="22">
        <f t="shared" si="1918"/>
        <v>0</v>
      </c>
      <c r="AT217" s="22">
        <f t="shared" si="1918"/>
        <v>0</v>
      </c>
      <c r="AU217" s="22">
        <f t="shared" si="1918"/>
        <v>0</v>
      </c>
      <c r="AV217" s="22">
        <f t="shared" si="1918"/>
        <v>0</v>
      </c>
      <c r="AW217" s="22">
        <f t="shared" si="1918"/>
        <v>0</v>
      </c>
      <c r="AX217" s="22">
        <f t="shared" si="1918"/>
        <v>0</v>
      </c>
      <c r="AY217" s="22">
        <f t="shared" si="1918"/>
        <v>0</v>
      </c>
      <c r="AZ217" s="22">
        <f t="shared" si="1918"/>
        <v>0</v>
      </c>
      <c r="BA217" s="22">
        <f t="shared" si="1918"/>
        <v>0</v>
      </c>
      <c r="BB217" s="22">
        <f t="shared" si="1918"/>
        <v>0</v>
      </c>
      <c r="BC217" s="22">
        <f t="shared" si="1918"/>
        <v>0</v>
      </c>
      <c r="BD217" s="22">
        <f t="shared" si="1918"/>
        <v>0</v>
      </c>
      <c r="BE217" s="22">
        <f t="shared" si="1918"/>
        <v>0</v>
      </c>
      <c r="BF217" s="22">
        <f t="shared" si="1918"/>
        <v>0</v>
      </c>
      <c r="BG217" s="22">
        <f t="shared" si="1918"/>
        <v>0</v>
      </c>
      <c r="BH217" s="22">
        <f t="shared" si="1918"/>
        <v>0</v>
      </c>
      <c r="BI217" s="22">
        <f t="shared" si="1918"/>
        <v>0</v>
      </c>
      <c r="BJ217" s="22">
        <f t="shared" si="1918"/>
        <v>0</v>
      </c>
      <c r="BK217" s="22">
        <f t="shared" si="1918"/>
        <v>0</v>
      </c>
      <c r="BL217" s="22">
        <f t="shared" si="1918"/>
        <v>0</v>
      </c>
      <c r="BM217" s="22">
        <f t="shared" si="1918"/>
        <v>0</v>
      </c>
      <c r="BN217" s="22">
        <f t="shared" si="1918"/>
        <v>0</v>
      </c>
      <c r="BO217" s="22">
        <f t="shared" si="1918"/>
        <v>0</v>
      </c>
      <c r="BP217" s="22">
        <f t="shared" si="1918"/>
        <v>0</v>
      </c>
      <c r="BQ217" s="22">
        <f t="shared" si="1918"/>
        <v>0</v>
      </c>
      <c r="BR217" s="22">
        <f t="shared" si="1918"/>
        <v>263.75900000000001</v>
      </c>
      <c r="BS217" s="22">
        <f t="shared" si="1918"/>
        <v>0</v>
      </c>
      <c r="BT217" s="22">
        <f t="shared" si="1918"/>
        <v>-346.68100000000004</v>
      </c>
      <c r="BU217" s="22">
        <f t="shared" si="1918"/>
        <v>0</v>
      </c>
      <c r="BV217" s="22">
        <f t="shared" si="1918"/>
        <v>313.70599999999996</v>
      </c>
      <c r="BW217" s="22">
        <f t="shared" si="1918"/>
        <v>5.6843418860808015E-14</v>
      </c>
      <c r="BX217" s="22">
        <f t="shared" si="1918"/>
        <v>-29.041000000000025</v>
      </c>
      <c r="BY217" s="22">
        <f t="shared" si="1918"/>
        <v>0</v>
      </c>
      <c r="BZ217" s="22">
        <f t="shared" si="1918"/>
        <v>-22.741000000000064</v>
      </c>
      <c r="CA217" s="22">
        <f t="shared" si="1918"/>
        <v>0</v>
      </c>
      <c r="CB217" s="22">
        <f t="shared" si="1918"/>
        <v>-29.561999999999987</v>
      </c>
      <c r="CC217" s="22">
        <f t="shared" si="1918"/>
        <v>0</v>
      </c>
      <c r="CD217" s="22">
        <f t="shared" si="1918"/>
        <v>-22.282999999999873</v>
      </c>
      <c r="CE217" s="22">
        <f t="shared" ref="CE217:CF217" si="1919">CE218+CE219</f>
        <v>0</v>
      </c>
      <c r="CF217" s="22">
        <f t="shared" si="1919"/>
        <v>-248.35800000000009</v>
      </c>
      <c r="CG217" s="22">
        <f t="shared" ref="CG217:CH217" si="1920">CG218+CG219</f>
        <v>0</v>
      </c>
      <c r="CH217" s="22">
        <f t="shared" si="1920"/>
        <v>-12.032099999999996</v>
      </c>
      <c r="CI217" s="22">
        <f t="shared" ref="CI217:CJ217" si="1921">CI218+CI219</f>
        <v>0</v>
      </c>
      <c r="CJ217" s="22">
        <f t="shared" si="1921"/>
        <v>-59.881900000000073</v>
      </c>
      <c r="CK217" s="22">
        <f t="shared" ref="CK217:DB217" si="1922">CK218+CK219</f>
        <v>0</v>
      </c>
      <c r="CL217" s="22">
        <f t="shared" si="1922"/>
        <v>-16.62900000000003</v>
      </c>
      <c r="CM217" s="21">
        <f t="shared" si="1922"/>
        <v>-1.1368683772161603E-13</v>
      </c>
      <c r="CN217" s="21">
        <f t="shared" si="1922"/>
        <v>0</v>
      </c>
      <c r="CO217" s="21">
        <f t="shared" si="1922"/>
        <v>0</v>
      </c>
      <c r="CP217" s="21">
        <f t="shared" si="1922"/>
        <v>0</v>
      </c>
      <c r="CQ217" s="21">
        <f t="shared" si="1922"/>
        <v>0</v>
      </c>
      <c r="CR217" s="21">
        <f t="shared" si="1922"/>
        <v>0</v>
      </c>
      <c r="CS217" s="21">
        <f t="shared" si="1922"/>
        <v>0</v>
      </c>
      <c r="CT217" s="21">
        <f t="shared" si="1922"/>
        <v>4.5474735088646412E-13</v>
      </c>
      <c r="CU217" s="21">
        <f t="shared" si="1922"/>
        <v>0</v>
      </c>
      <c r="CV217" s="21">
        <f t="shared" si="1922"/>
        <v>0</v>
      </c>
      <c r="CW217" s="21">
        <f t="shared" si="1922"/>
        <v>0</v>
      </c>
      <c r="CX217" s="21">
        <f t="shared" si="1922"/>
        <v>0</v>
      </c>
      <c r="CY217" s="21">
        <f t="shared" si="1922"/>
        <v>0</v>
      </c>
      <c r="CZ217" s="21">
        <f t="shared" si="1922"/>
        <v>0</v>
      </c>
      <c r="DA217" s="21">
        <f t="shared" si="1922"/>
        <v>0</v>
      </c>
      <c r="DB217" s="21">
        <f t="shared" si="1922"/>
        <v>0</v>
      </c>
      <c r="DE217" s="126"/>
      <c r="DF217" s="22">
        <v>-76.51339999999999</v>
      </c>
    </row>
    <row r="218" spans="1:110" s="23" customFormat="1" x14ac:dyDescent="0.2">
      <c r="A218" s="23" t="s">
        <v>49</v>
      </c>
      <c r="C218" s="23">
        <f t="shared" ref="C218:AA218" si="1923">C140-B140</f>
        <v>0</v>
      </c>
      <c r="D218" s="23">
        <f t="shared" si="1923"/>
        <v>0</v>
      </c>
      <c r="E218" s="23">
        <f>E140-D140</f>
        <v>0</v>
      </c>
      <c r="F218" s="23">
        <f t="shared" si="1923"/>
        <v>0</v>
      </c>
      <c r="G218" s="23">
        <f t="shared" si="1923"/>
        <v>0</v>
      </c>
      <c r="H218" s="23">
        <f t="shared" si="1923"/>
        <v>0</v>
      </c>
      <c r="I218" s="23">
        <f t="shared" si="1923"/>
        <v>0</v>
      </c>
      <c r="J218" s="23">
        <f>J140-I140</f>
        <v>0</v>
      </c>
      <c r="K218" s="23">
        <f>K140-J140</f>
        <v>0</v>
      </c>
      <c r="L218" s="23">
        <f t="shared" si="1923"/>
        <v>0</v>
      </c>
      <c r="M218" s="23">
        <f t="shared" si="1923"/>
        <v>0</v>
      </c>
      <c r="N218" s="23">
        <f t="shared" si="1923"/>
        <v>0</v>
      </c>
      <c r="O218" s="23">
        <f t="shared" si="1923"/>
        <v>0</v>
      </c>
      <c r="P218" s="23">
        <f t="shared" si="1923"/>
        <v>0</v>
      </c>
      <c r="Q218" s="23">
        <f t="shared" si="1923"/>
        <v>0</v>
      </c>
      <c r="R218" s="23">
        <f t="shared" si="1923"/>
        <v>25.308</v>
      </c>
      <c r="S218" s="23">
        <f t="shared" si="1923"/>
        <v>-24.623000000000001</v>
      </c>
      <c r="T218" s="23">
        <f t="shared" si="1923"/>
        <v>-8.9000000000000079E-2</v>
      </c>
      <c r="U218" s="23">
        <f t="shared" si="1923"/>
        <v>41.134</v>
      </c>
      <c r="V218" s="23">
        <f t="shared" si="1923"/>
        <v>-8.3701000000000008</v>
      </c>
      <c r="W218" s="23">
        <f t="shared" si="1923"/>
        <v>-8.4084999999999965</v>
      </c>
      <c r="X218" s="23">
        <f t="shared" si="1923"/>
        <v>-8.1347999999999985</v>
      </c>
      <c r="Y218" s="23">
        <f t="shared" si="1923"/>
        <v>-8.3312000000000008</v>
      </c>
      <c r="Z218" s="23">
        <f t="shared" si="1923"/>
        <v>13.360299999999997</v>
      </c>
      <c r="AA218" s="23">
        <f t="shared" si="1923"/>
        <v>-4.8258999999999972</v>
      </c>
      <c r="AB218" s="24">
        <f t="shared" ref="AB218" si="1924">AB140-AA140</f>
        <v>1.9999999999953388E-4</v>
      </c>
      <c r="AC218" s="24">
        <f t="shared" ref="AC218" si="1925">AC140-AB140</f>
        <v>0</v>
      </c>
      <c r="AD218" s="24">
        <f t="shared" ref="AD218" si="1926">AD140-AC140</f>
        <v>0</v>
      </c>
      <c r="AE218" s="24">
        <f t="shared" ref="AE218" si="1927">AE140-AD140</f>
        <v>0</v>
      </c>
      <c r="AI218" s="23">
        <f t="shared" ref="AI218" si="1928">AI140-AH140</f>
        <v>0</v>
      </c>
      <c r="AJ218" s="23">
        <f t="shared" ref="AJ218" si="1929">AJ140-AI140</f>
        <v>0</v>
      </c>
      <c r="AK218" s="23">
        <f t="shared" ref="AK218" si="1930">AK140-AJ140</f>
        <v>0</v>
      </c>
      <c r="AL218" s="23">
        <f t="shared" ref="AL218" si="1931">AL140-AK140</f>
        <v>0</v>
      </c>
      <c r="AM218" s="23">
        <f t="shared" ref="AM218" si="1932">AM140-AL140</f>
        <v>0</v>
      </c>
      <c r="AN218" s="23">
        <f t="shared" ref="AN218" si="1933">AN140-AM140</f>
        <v>0</v>
      </c>
      <c r="AO218" s="23">
        <f t="shared" ref="AO218" si="1934">AO140-AN140</f>
        <v>0</v>
      </c>
      <c r="AP218" s="23">
        <f t="shared" ref="AP218" si="1935">AP140-AO140</f>
        <v>0</v>
      </c>
      <c r="AQ218" s="23">
        <f t="shared" ref="AQ218" si="1936">AQ140-AP140</f>
        <v>0</v>
      </c>
      <c r="AR218" s="23">
        <f t="shared" ref="AR218" si="1937">AR140-AQ140</f>
        <v>0</v>
      </c>
      <c r="AS218" s="23">
        <f t="shared" ref="AS218" si="1938">AS140-AR140</f>
        <v>0</v>
      </c>
      <c r="AT218" s="23">
        <f t="shared" ref="AT218" si="1939">AT140-AS140</f>
        <v>0</v>
      </c>
      <c r="AU218" s="23">
        <f t="shared" ref="AU218" si="1940">AU140-AT140</f>
        <v>0</v>
      </c>
      <c r="AV218" s="23">
        <f t="shared" ref="AV218" si="1941">AV140-AU140</f>
        <v>0</v>
      </c>
      <c r="AW218" s="23">
        <f t="shared" ref="AW218" si="1942">AW140-AV140</f>
        <v>0</v>
      </c>
      <c r="AX218" s="23">
        <f t="shared" ref="AX218" si="1943">AX140-AW140</f>
        <v>0</v>
      </c>
      <c r="AY218" s="23">
        <f t="shared" ref="AY218" si="1944">AY140-AX140</f>
        <v>0</v>
      </c>
      <c r="AZ218" s="23">
        <f t="shared" ref="AZ218" si="1945">AZ140-AY140</f>
        <v>0</v>
      </c>
      <c r="BA218" s="23">
        <f t="shared" ref="BA218" si="1946">BA140-AZ140</f>
        <v>0</v>
      </c>
      <c r="BB218" s="23">
        <f t="shared" ref="BB218" si="1947">BB140-BA140</f>
        <v>0</v>
      </c>
      <c r="BC218" s="23">
        <f t="shared" ref="BC218" si="1948">BC140-BB140</f>
        <v>0</v>
      </c>
      <c r="BD218" s="23">
        <f t="shared" ref="BD218" si="1949">BD140-BC140</f>
        <v>0</v>
      </c>
      <c r="BE218" s="23">
        <f t="shared" ref="BE218" si="1950">BE140-BD140</f>
        <v>0</v>
      </c>
      <c r="BF218" s="23">
        <f t="shared" ref="BF218" si="1951">BF140-BE140</f>
        <v>0</v>
      </c>
      <c r="BG218" s="23">
        <f t="shared" ref="BG218" si="1952">BG140-BF140</f>
        <v>0</v>
      </c>
      <c r="BH218" s="23">
        <f t="shared" ref="BH218" si="1953">BH140-BG140</f>
        <v>0</v>
      </c>
      <c r="BI218" s="23">
        <f t="shared" ref="BI218" si="1954">BI140-BH140</f>
        <v>0</v>
      </c>
      <c r="BJ218" s="23">
        <f t="shared" ref="BJ218" si="1955">BJ140-BI140</f>
        <v>0</v>
      </c>
      <c r="BK218" s="23">
        <f t="shared" ref="BK218" si="1956">BK140-BJ140</f>
        <v>0</v>
      </c>
      <c r="BL218" s="23">
        <f t="shared" ref="BL218" si="1957">BL140-BK140</f>
        <v>0</v>
      </c>
      <c r="BM218" s="23">
        <f t="shared" ref="BM218" si="1958">BM140-BL140</f>
        <v>0</v>
      </c>
      <c r="BN218" s="23">
        <f t="shared" ref="BN218" si="1959">BN140-BM140</f>
        <v>0</v>
      </c>
      <c r="BO218" s="23">
        <f t="shared" ref="BO218" si="1960">BO140-BN140</f>
        <v>0</v>
      </c>
      <c r="BP218" s="23">
        <f t="shared" ref="BP218" si="1961">BP140-BO140</f>
        <v>0</v>
      </c>
      <c r="BQ218" s="23">
        <f t="shared" ref="BQ218" si="1962">BQ140-BP140</f>
        <v>0</v>
      </c>
      <c r="BR218" s="23">
        <f t="shared" ref="BR218" si="1963">BR140-BQ140</f>
        <v>33.36</v>
      </c>
      <c r="BS218" s="23">
        <f t="shared" ref="BS218" si="1964">BS140-BR140</f>
        <v>0</v>
      </c>
      <c r="BT218" s="23">
        <f t="shared" ref="BT218" si="1965">BT140-BS140</f>
        <v>-33.36</v>
      </c>
      <c r="BU218" s="23">
        <f t="shared" ref="BU218" si="1966">BU140-BT140</f>
        <v>0</v>
      </c>
      <c r="BV218" s="23">
        <f t="shared" ref="BV218" si="1967">BV140-BU140</f>
        <v>24.951000000000001</v>
      </c>
      <c r="BW218" s="23">
        <f t="shared" ref="BW218" si="1968">BW140-BV140</f>
        <v>0</v>
      </c>
      <c r="BX218" s="23">
        <f t="shared" ref="BX218" si="1969">BX140-BW140</f>
        <v>-4.2060000000000031</v>
      </c>
      <c r="BY218" s="23">
        <f t="shared" ref="BY218" si="1970">BY140-BX140</f>
        <v>0</v>
      </c>
      <c r="BZ218" s="23">
        <f t="shared" ref="BZ218" si="1971">BZ140-BY140</f>
        <v>-3.9289999999999985</v>
      </c>
      <c r="CA218" s="23">
        <f t="shared" ref="CA218" si="1972">CA140-BZ140</f>
        <v>0</v>
      </c>
      <c r="CB218" s="23">
        <f t="shared" ref="CB218" si="1973">CB140-CA140</f>
        <v>-4.1609999999999978</v>
      </c>
      <c r="CC218" s="23">
        <f t="shared" ref="CC218" si="1974">CC140-CB140</f>
        <v>0</v>
      </c>
      <c r="CD218" s="23">
        <f t="shared" ref="CD218" si="1975">CD140-CC140</f>
        <v>-4.17</v>
      </c>
      <c r="CE218" s="23">
        <f t="shared" ref="CE218" si="1976">CE140-CD140</f>
        <v>0</v>
      </c>
      <c r="CF218" s="23">
        <f t="shared" ref="CF218" si="1977">CF140-CE140</f>
        <v>-4.1750000000000016</v>
      </c>
      <c r="CG218" s="23">
        <f t="shared" ref="CG218" si="1978">CG140-CF140</f>
        <v>0</v>
      </c>
      <c r="CH218" s="23">
        <f t="shared" ref="CH218:CL218" si="1979">CH140-CG140</f>
        <v>17.535699999999999</v>
      </c>
      <c r="CI218" s="23">
        <f t="shared" si="1979"/>
        <v>0</v>
      </c>
      <c r="CJ218" s="23">
        <f t="shared" si="1979"/>
        <v>-2.2766999999999982</v>
      </c>
      <c r="CK218" s="23">
        <f t="shared" ref="CK218" si="1980">CK140-CJ140</f>
        <v>0</v>
      </c>
      <c r="CL218" s="23">
        <f t="shared" si="1979"/>
        <v>-2.5489999999999995</v>
      </c>
      <c r="CM218" s="24">
        <f t="shared" ref="CM218" si="1981">CM140-CL140</f>
        <v>0</v>
      </c>
      <c r="CN218" s="24">
        <f t="shared" ref="CN218" si="1982">CN140-CM140</f>
        <v>0</v>
      </c>
      <c r="CO218" s="24">
        <f t="shared" ref="CO218" si="1983">CO140-CN140</f>
        <v>0</v>
      </c>
      <c r="CP218" s="24">
        <f t="shared" ref="CP218" si="1984">CP140-CO140</f>
        <v>0</v>
      </c>
      <c r="CQ218" s="24">
        <f t="shared" ref="CQ218" si="1985">CQ140-CP140</f>
        <v>0</v>
      </c>
      <c r="CR218" s="24">
        <f t="shared" ref="CR218" si="1986">CR140-CQ140</f>
        <v>0</v>
      </c>
      <c r="CS218" s="24">
        <f t="shared" ref="CS218" si="1987">CS140-CR140</f>
        <v>0</v>
      </c>
      <c r="CT218" s="24">
        <f t="shared" ref="CT218" si="1988">CT140-CS140</f>
        <v>0</v>
      </c>
      <c r="CU218" s="24">
        <f t="shared" ref="CU218" si="1989">CU140-CT140</f>
        <v>0</v>
      </c>
      <c r="CV218" s="24">
        <f t="shared" ref="CV218" si="1990">CV140-CU140</f>
        <v>0</v>
      </c>
      <c r="CW218" s="24">
        <f t="shared" ref="CW218" si="1991">CW140-CV140</f>
        <v>0</v>
      </c>
      <c r="CX218" s="24">
        <f t="shared" ref="CX218" si="1992">CX140-CW140</f>
        <v>0</v>
      </c>
      <c r="CY218" s="24">
        <f t="shared" ref="CY218" si="1993">CY140-CX140</f>
        <v>0</v>
      </c>
      <c r="CZ218" s="24">
        <f t="shared" ref="CZ218" si="1994">CZ140-CY140</f>
        <v>0</v>
      </c>
      <c r="DA218" s="24">
        <f t="shared" ref="DA218" si="1995">DA140-CZ140</f>
        <v>0</v>
      </c>
      <c r="DB218" s="24">
        <f t="shared" ref="DB218" si="1996">DB140-DA140</f>
        <v>0</v>
      </c>
      <c r="DE218" s="123"/>
      <c r="DF218" s="23">
        <v>-4.8258999999999972</v>
      </c>
    </row>
    <row r="219" spans="1:110" s="23" customFormat="1" x14ac:dyDescent="0.2">
      <c r="A219" s="23" t="s">
        <v>27</v>
      </c>
      <c r="C219" s="23">
        <f t="shared" ref="C219:AE219" si="1997">C132-C60-B132+C134-B134</f>
        <v>0</v>
      </c>
      <c r="D219" s="23">
        <f t="shared" si="1997"/>
        <v>0</v>
      </c>
      <c r="E219" s="23">
        <f t="shared" si="1997"/>
        <v>0</v>
      </c>
      <c r="F219" s="23">
        <f t="shared" si="1997"/>
        <v>0</v>
      </c>
      <c r="G219" s="23">
        <f t="shared" si="1997"/>
        <v>0</v>
      </c>
      <c r="H219" s="23">
        <f t="shared" si="1997"/>
        <v>0</v>
      </c>
      <c r="I219" s="23">
        <f t="shared" si="1997"/>
        <v>0</v>
      </c>
      <c r="J219" s="23">
        <f t="shared" si="1997"/>
        <v>4.7393751000000002</v>
      </c>
      <c r="K219" s="23">
        <f t="shared" si="1997"/>
        <v>-6.5700000000035175E-4</v>
      </c>
      <c r="L219" s="23">
        <f t="shared" si="1997"/>
        <v>0</v>
      </c>
      <c r="M219" s="23">
        <f t="shared" si="1997"/>
        <v>-9.9999999392252903E-8</v>
      </c>
      <c r="N219" s="23">
        <f t="shared" si="1997"/>
        <v>0</v>
      </c>
      <c r="O219" s="23">
        <f t="shared" si="1997"/>
        <v>0</v>
      </c>
      <c r="P219" s="23">
        <f t="shared" si="1997"/>
        <v>9.9999999392252903E-8</v>
      </c>
      <c r="Q219" s="23">
        <f t="shared" si="1997"/>
        <v>-3.7840000000000096E-2</v>
      </c>
      <c r="R219" s="23">
        <f t="shared" si="1997"/>
        <v>7.0339999999999883</v>
      </c>
      <c r="S219" s="23">
        <f t="shared" si="1997"/>
        <v>18.512000000000029</v>
      </c>
      <c r="T219" s="23">
        <f t="shared" si="1997"/>
        <v>-0.89499999999999069</v>
      </c>
      <c r="U219" s="23">
        <f t="shared" si="1997"/>
        <v>-0.74899999999997746</v>
      </c>
      <c r="V219" s="23">
        <f t="shared" si="1997"/>
        <v>11.527799999999989</v>
      </c>
      <c r="W219" s="23">
        <f t="shared" si="1997"/>
        <v>-24.564900000000012</v>
      </c>
      <c r="X219" s="23">
        <f t="shared" si="1997"/>
        <v>-43.649000000000072</v>
      </c>
      <c r="Y219" s="23">
        <f t="shared" si="1997"/>
        <v>-43.513500000000015</v>
      </c>
      <c r="Z219" s="23">
        <f t="shared" si="1997"/>
        <v>-273.74849999999986</v>
      </c>
      <c r="AA219" s="23">
        <f t="shared" si="1997"/>
        <v>-71.687499999999986</v>
      </c>
      <c r="AB219" s="24">
        <f t="shared" si="1997"/>
        <v>-2.0000000017716957E-4</v>
      </c>
      <c r="AC219" s="24">
        <f t="shared" si="1997"/>
        <v>4.5474735088646412E-13</v>
      </c>
      <c r="AD219" s="24">
        <f t="shared" si="1997"/>
        <v>-4.5474735088646412E-13</v>
      </c>
      <c r="AE219" s="24">
        <f t="shared" si="1997"/>
        <v>0</v>
      </c>
      <c r="AI219" s="23">
        <f t="shared" ref="AI219:BN219" si="1998">AI132-AI60-AH132+AI134-AH134</f>
        <v>0</v>
      </c>
      <c r="AJ219" s="23">
        <f t="shared" si="1998"/>
        <v>0</v>
      </c>
      <c r="AK219" s="23">
        <f t="shared" si="1998"/>
        <v>0</v>
      </c>
      <c r="AL219" s="23">
        <f t="shared" si="1998"/>
        <v>0</v>
      </c>
      <c r="AM219" s="23">
        <f t="shared" si="1998"/>
        <v>0</v>
      </c>
      <c r="AN219" s="23">
        <f t="shared" si="1998"/>
        <v>0</v>
      </c>
      <c r="AO219" s="23">
        <f t="shared" si="1998"/>
        <v>0</v>
      </c>
      <c r="AP219" s="23">
        <f t="shared" si="1998"/>
        <v>0</v>
      </c>
      <c r="AQ219" s="23">
        <f t="shared" si="1998"/>
        <v>0</v>
      </c>
      <c r="AR219" s="23">
        <f t="shared" si="1998"/>
        <v>0</v>
      </c>
      <c r="AS219" s="23">
        <f t="shared" si="1998"/>
        <v>0</v>
      </c>
      <c r="AT219" s="23">
        <f t="shared" si="1998"/>
        <v>0</v>
      </c>
      <c r="AU219" s="23">
        <f t="shared" si="1998"/>
        <v>0</v>
      </c>
      <c r="AV219" s="23">
        <f t="shared" si="1998"/>
        <v>0</v>
      </c>
      <c r="AW219" s="23">
        <f t="shared" si="1998"/>
        <v>0</v>
      </c>
      <c r="AX219" s="23">
        <f t="shared" si="1998"/>
        <v>0</v>
      </c>
      <c r="AY219" s="23">
        <f t="shared" si="1998"/>
        <v>0</v>
      </c>
      <c r="AZ219" s="23">
        <f t="shared" si="1998"/>
        <v>0</v>
      </c>
      <c r="BA219" s="23">
        <f t="shared" si="1998"/>
        <v>0</v>
      </c>
      <c r="BB219" s="23">
        <f t="shared" si="1998"/>
        <v>0</v>
      </c>
      <c r="BC219" s="23">
        <f t="shared" si="1998"/>
        <v>0</v>
      </c>
      <c r="BD219" s="23">
        <f t="shared" si="1998"/>
        <v>0</v>
      </c>
      <c r="BE219" s="23">
        <f t="shared" si="1998"/>
        <v>0</v>
      </c>
      <c r="BF219" s="23">
        <f t="shared" si="1998"/>
        <v>0</v>
      </c>
      <c r="BG219" s="23">
        <f t="shared" si="1998"/>
        <v>0</v>
      </c>
      <c r="BH219" s="23">
        <f t="shared" si="1998"/>
        <v>0</v>
      </c>
      <c r="BI219" s="23">
        <f t="shared" si="1998"/>
        <v>0</v>
      </c>
      <c r="BJ219" s="23">
        <f t="shared" si="1998"/>
        <v>0</v>
      </c>
      <c r="BK219" s="23">
        <f t="shared" si="1998"/>
        <v>0</v>
      </c>
      <c r="BL219" s="23">
        <f t="shared" si="1998"/>
        <v>0</v>
      </c>
      <c r="BM219" s="23">
        <f t="shared" si="1998"/>
        <v>0</v>
      </c>
      <c r="BN219" s="23">
        <f t="shared" si="1998"/>
        <v>0</v>
      </c>
      <c r="BO219" s="23">
        <f t="shared" ref="BO219:CT219" si="1999">BO132-BO60-BN132+BO134-BN134</f>
        <v>0</v>
      </c>
      <c r="BP219" s="23">
        <f t="shared" si="1999"/>
        <v>0</v>
      </c>
      <c r="BQ219" s="23">
        <f t="shared" si="1999"/>
        <v>0</v>
      </c>
      <c r="BR219" s="23">
        <f t="shared" si="1999"/>
        <v>230.399</v>
      </c>
      <c r="BS219" s="23">
        <f t="shared" si="1999"/>
        <v>0</v>
      </c>
      <c r="BT219" s="23">
        <f t="shared" si="1999"/>
        <v>-313.32100000000003</v>
      </c>
      <c r="BU219" s="23">
        <f t="shared" si="1999"/>
        <v>0</v>
      </c>
      <c r="BV219" s="23">
        <f t="shared" si="1999"/>
        <v>288.75499999999994</v>
      </c>
      <c r="BW219" s="23">
        <f t="shared" si="1999"/>
        <v>5.6843418860808015E-14</v>
      </c>
      <c r="BX219" s="23">
        <f t="shared" si="1999"/>
        <v>-24.835000000000022</v>
      </c>
      <c r="BY219" s="23">
        <f t="shared" si="1999"/>
        <v>0</v>
      </c>
      <c r="BZ219" s="23">
        <f t="shared" si="1999"/>
        <v>-18.812000000000065</v>
      </c>
      <c r="CA219" s="23">
        <f t="shared" si="1999"/>
        <v>0</v>
      </c>
      <c r="CB219" s="23">
        <f t="shared" si="1999"/>
        <v>-25.400999999999989</v>
      </c>
      <c r="CC219" s="23">
        <f t="shared" si="1999"/>
        <v>0</v>
      </c>
      <c r="CD219" s="23">
        <f t="shared" si="1999"/>
        <v>-18.112999999999872</v>
      </c>
      <c r="CE219" s="23">
        <f t="shared" si="1999"/>
        <v>0</v>
      </c>
      <c r="CF219" s="23">
        <f t="shared" si="1999"/>
        <v>-244.18300000000008</v>
      </c>
      <c r="CG219" s="23">
        <f t="shared" si="1999"/>
        <v>0</v>
      </c>
      <c r="CH219" s="23">
        <f t="shared" si="1999"/>
        <v>-29.567799999999995</v>
      </c>
      <c r="CI219" s="23">
        <f t="shared" si="1999"/>
        <v>0</v>
      </c>
      <c r="CJ219" s="23">
        <f t="shared" si="1999"/>
        <v>-57.605200000000075</v>
      </c>
      <c r="CK219" s="23">
        <f t="shared" si="1999"/>
        <v>0</v>
      </c>
      <c r="CL219" s="23">
        <f t="shared" si="1999"/>
        <v>-14.08000000000003</v>
      </c>
      <c r="CM219" s="24">
        <f t="shared" si="1999"/>
        <v>-1.1368683772161603E-13</v>
      </c>
      <c r="CN219" s="24">
        <f t="shared" si="1999"/>
        <v>0</v>
      </c>
      <c r="CO219" s="24">
        <f t="shared" si="1999"/>
        <v>0</v>
      </c>
      <c r="CP219" s="24">
        <f t="shared" si="1999"/>
        <v>0</v>
      </c>
      <c r="CQ219" s="24">
        <f t="shared" si="1999"/>
        <v>0</v>
      </c>
      <c r="CR219" s="24">
        <f t="shared" si="1999"/>
        <v>0</v>
      </c>
      <c r="CS219" s="24">
        <f t="shared" si="1999"/>
        <v>0</v>
      </c>
      <c r="CT219" s="24">
        <f t="shared" si="1999"/>
        <v>4.5474735088646412E-13</v>
      </c>
      <c r="CU219" s="24">
        <f t="shared" ref="CU219:DB219" si="2000">CU132-CU60-CT132+CU134-CT134</f>
        <v>0</v>
      </c>
      <c r="CV219" s="24">
        <f t="shared" si="2000"/>
        <v>0</v>
      </c>
      <c r="CW219" s="24">
        <f t="shared" si="2000"/>
        <v>0</v>
      </c>
      <c r="CX219" s="24">
        <f t="shared" si="2000"/>
        <v>0</v>
      </c>
      <c r="CY219" s="24">
        <f t="shared" si="2000"/>
        <v>0</v>
      </c>
      <c r="CZ219" s="24">
        <f t="shared" si="2000"/>
        <v>0</v>
      </c>
      <c r="DA219" s="24">
        <f t="shared" si="2000"/>
        <v>0</v>
      </c>
      <c r="DB219" s="24">
        <f t="shared" si="2000"/>
        <v>0</v>
      </c>
      <c r="DE219" s="123"/>
      <c r="DF219" s="23">
        <v>-71.687499999999986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3" customFormat="1" x14ac:dyDescent="0.2">
      <c r="A221" s="23" t="s">
        <v>442</v>
      </c>
      <c r="C221" s="23">
        <f t="shared" ref="C221" si="2001">B173</f>
        <v>0</v>
      </c>
      <c r="D221" s="23">
        <f t="shared" ref="D221" si="2002">C173</f>
        <v>0</v>
      </c>
      <c r="E221" s="23">
        <f>D173</f>
        <v>0</v>
      </c>
      <c r="F221" s="23">
        <f t="shared" ref="F221" si="2003">E173</f>
        <v>0</v>
      </c>
      <c r="G221" s="23">
        <f t="shared" ref="G221" si="2004">F173</f>
        <v>0</v>
      </c>
      <c r="H221" s="23">
        <f t="shared" ref="H221" si="2005">G173</f>
        <v>0</v>
      </c>
      <c r="I221" s="23">
        <f t="shared" ref="I221" si="2006">H173</f>
        <v>0</v>
      </c>
      <c r="J221" s="23">
        <f>I173</f>
        <v>0</v>
      </c>
      <c r="K221" s="23">
        <f>J173</f>
        <v>3.1662999999999997E-2</v>
      </c>
      <c r="L221" s="23">
        <f t="shared" ref="L221" si="2007">K173</f>
        <v>3.5004993999999998</v>
      </c>
      <c r="M221" s="23">
        <f t="shared" ref="M221" si="2008">L173</f>
        <v>7.5606499999999993E-2</v>
      </c>
      <c r="N221" s="23">
        <f t="shared" ref="N221" si="2009">M173</f>
        <v>9.5451800000000003E-2</v>
      </c>
      <c r="O221" s="23">
        <f t="shared" ref="O221" si="2010">N173</f>
        <v>0.1291727</v>
      </c>
      <c r="P221" s="23">
        <f t="shared" ref="P221" si="2011">O173</f>
        <v>0.2180993</v>
      </c>
      <c r="Q221" s="23">
        <f t="shared" ref="Q221" si="2012">P173</f>
        <v>2.9447600000000001E-2</v>
      </c>
      <c r="R221" s="23">
        <f t="shared" ref="R221" si="2013">Q173</f>
        <v>0.54400000000000004</v>
      </c>
      <c r="S221" s="23">
        <f t="shared" ref="S221" si="2014">R173</f>
        <v>2.6890000000000001</v>
      </c>
      <c r="T221" s="23">
        <f t="shared" ref="T221" si="2015">S173</f>
        <v>50.689</v>
      </c>
      <c r="U221" s="23">
        <f t="shared" ref="U221" si="2016">T173</f>
        <v>86.537999999999997</v>
      </c>
      <c r="V221" s="23">
        <f t="shared" ref="V221" si="2017">U173</f>
        <v>30.129000000000001</v>
      </c>
      <c r="W221" s="23">
        <f t="shared" ref="W221:AA221" si="2018">V173</f>
        <v>68.043199999999999</v>
      </c>
      <c r="X221" s="23">
        <f t="shared" si="2018"/>
        <v>87.108999999999995</v>
      </c>
      <c r="Y221" s="23">
        <f t="shared" si="2018"/>
        <v>64.761700000000005</v>
      </c>
      <c r="Z221" s="23">
        <f t="shared" si="2018"/>
        <v>34.255899999999997</v>
      </c>
      <c r="AA221" s="23">
        <f t="shared" si="2018"/>
        <v>45.286100000000005</v>
      </c>
      <c r="AB221" s="24">
        <f t="shared" ref="AB221" si="2019">AA173</f>
        <v>242.1361</v>
      </c>
      <c r="AC221" s="24">
        <f t="shared" ref="AC221" si="2020">AB173</f>
        <v>634.4299394387383</v>
      </c>
      <c r="AD221" s="24">
        <f t="shared" ref="AD221" si="2021">AC173</f>
        <v>1205.6920090405561</v>
      </c>
      <c r="AE221" s="24">
        <f t="shared" ref="AE221" si="2022">AD173</f>
        <v>2032.0957199960221</v>
      </c>
      <c r="AI221" s="23">
        <f t="shared" ref="AI221" si="2023">AH173</f>
        <v>0</v>
      </c>
      <c r="AJ221" s="23">
        <f t="shared" ref="AJ221" si="2024">AI173</f>
        <v>0</v>
      </c>
      <c r="AK221" s="23">
        <f t="shared" ref="AK221" si="2025">AJ173</f>
        <v>0</v>
      </c>
      <c r="AL221" s="23" t="e">
        <f t="shared" ref="AL221" si="2026">AK173</f>
        <v>#DIV/0!</v>
      </c>
      <c r="AM221" s="23">
        <f t="shared" ref="AM221" si="2027">AL173</f>
        <v>0</v>
      </c>
      <c r="AN221" s="23" t="e">
        <f t="shared" ref="AN221" si="2028">AM173</f>
        <v>#DIV/0!</v>
      </c>
      <c r="AO221" s="23">
        <f t="shared" ref="AO221" si="2029">AN173</f>
        <v>0</v>
      </c>
      <c r="AP221" s="23" t="e">
        <f t="shared" ref="AP221" si="2030">AO173</f>
        <v>#DIV/0!</v>
      </c>
      <c r="AQ221" s="23">
        <f t="shared" ref="AQ221" si="2031">AP173</f>
        <v>0</v>
      </c>
      <c r="AR221" s="23" t="e">
        <f t="shared" ref="AR221" si="2032">AQ173</f>
        <v>#DIV/0!</v>
      </c>
      <c r="AS221" s="23">
        <f t="shared" ref="AS221" si="2033">AR173</f>
        <v>0</v>
      </c>
      <c r="AT221" s="23" t="e">
        <f t="shared" ref="AT221" si="2034">AS173</f>
        <v>#DIV/0!</v>
      </c>
      <c r="AU221" s="23">
        <f t="shared" ref="AU221" si="2035">AT173</f>
        <v>0</v>
      </c>
      <c r="AV221" s="23" t="e">
        <f t="shared" ref="AV221" si="2036">AU173</f>
        <v>#DIV/0!</v>
      </c>
      <c r="AW221" s="23">
        <f t="shared" ref="AW221" si="2037">AV173</f>
        <v>0</v>
      </c>
      <c r="AX221" s="23" t="e">
        <f t="shared" ref="AX221" si="2038">AW173</f>
        <v>#DIV/0!</v>
      </c>
      <c r="AY221" s="23">
        <f t="shared" ref="AY221" si="2039">AX173</f>
        <v>0</v>
      </c>
      <c r="AZ221" s="23" t="e">
        <f t="shared" ref="AZ221" si="2040">AY173</f>
        <v>#DIV/0!</v>
      </c>
      <c r="BA221" s="23">
        <f t="shared" ref="BA221" si="2041">AZ173</f>
        <v>0</v>
      </c>
      <c r="BB221" s="23" t="e">
        <f t="shared" ref="BB221" si="2042">BA173</f>
        <v>#DIV/0!</v>
      </c>
      <c r="BC221" s="23">
        <f t="shared" ref="BC221" si="2043">BB173</f>
        <v>0</v>
      </c>
      <c r="BD221" s="23" t="e">
        <f t="shared" ref="BD221" si="2044">BC173</f>
        <v>#DIV/0!</v>
      </c>
      <c r="BE221" s="23">
        <f t="shared" ref="BE221" si="2045">BD173</f>
        <v>0</v>
      </c>
      <c r="BF221" s="23" t="e">
        <f t="shared" ref="BF221" si="2046">BE173</f>
        <v>#DIV/0!</v>
      </c>
      <c r="BG221" s="23">
        <f t="shared" ref="BG221" si="2047">BF173</f>
        <v>0</v>
      </c>
      <c r="BH221" s="23" t="e">
        <f t="shared" ref="BH221" si="2048">BG173</f>
        <v>#DIV/0!</v>
      </c>
      <c r="BI221" s="23">
        <f t="shared" ref="BI221" si="2049">BH173</f>
        <v>0</v>
      </c>
      <c r="BJ221" s="23" t="e">
        <f t="shared" ref="BJ221" si="2050">BI173</f>
        <v>#DIV/0!</v>
      </c>
      <c r="BK221" s="23">
        <f t="shared" ref="BK221" si="2051">BJ173</f>
        <v>0</v>
      </c>
      <c r="BL221" s="23" t="e">
        <f t="shared" ref="BL221" si="2052">BK173</f>
        <v>#DIV/0!</v>
      </c>
      <c r="BM221" s="23">
        <f t="shared" ref="BM221" si="2053">BL173</f>
        <v>0</v>
      </c>
      <c r="BN221" s="23" t="e">
        <f t="shared" ref="BN221" si="2054">BM173</f>
        <v>#DIV/0!</v>
      </c>
      <c r="BO221" s="23">
        <f t="shared" ref="BO221" si="2055">BN173</f>
        <v>0</v>
      </c>
      <c r="BP221" s="23" t="e">
        <f t="shared" ref="BP221" si="2056">BO173</f>
        <v>#DIV/0!</v>
      </c>
      <c r="BQ221" s="23">
        <f t="shared" ref="BQ221" si="2057">BP173</f>
        <v>0</v>
      </c>
      <c r="BR221" s="23" t="e">
        <f t="shared" ref="BR221" si="2058">BQ173</f>
        <v>#DIV/0!</v>
      </c>
      <c r="BS221" s="23">
        <f t="shared" ref="BS221" si="2059">BR173</f>
        <v>68.042999999999992</v>
      </c>
      <c r="BT221" s="23">
        <f t="shared" ref="BT221" si="2060">BS173</f>
        <v>93.594402034101094</v>
      </c>
      <c r="BU221" s="23">
        <f t="shared" ref="BU221" si="2061">BT173</f>
        <v>0</v>
      </c>
      <c r="BV221" s="23">
        <f t="shared" ref="BV221" si="2062">BU173</f>
        <v>32.021000000000001</v>
      </c>
      <c r="BW221" s="23">
        <f t="shared" ref="BW221" si="2063">BV173</f>
        <v>87.108999999999995</v>
      </c>
      <c r="BX221" s="23">
        <f t="shared" ref="BX221" si="2064">BW173</f>
        <v>124.2838774563392</v>
      </c>
      <c r="BY221" s="23">
        <f t="shared" ref="BY221" si="2065">BX173</f>
        <v>214.48299999999998</v>
      </c>
      <c r="BZ221" s="23">
        <f t="shared" ref="BZ221" si="2066">BY173</f>
        <v>257.41926118783209</v>
      </c>
      <c r="CA221" s="23">
        <f t="shared" ref="CA221" si="2067">BZ173</f>
        <v>64.762</v>
      </c>
      <c r="CB221" s="23">
        <f t="shared" ref="CB221" si="2068">CA173</f>
        <v>114.0528356323447</v>
      </c>
      <c r="CC221" s="23">
        <f t="shared" ref="CC221" si="2069">CB173</f>
        <v>175.21</v>
      </c>
      <c r="CD221" s="23">
        <f t="shared" ref="CD221" si="2070">CC173</f>
        <v>233.050641211298</v>
      </c>
      <c r="CE221" s="23">
        <f t="shared" ref="CE221" si="2071">CD173</f>
        <v>34.256</v>
      </c>
      <c r="CF221" s="23">
        <f t="shared" ref="CF221" si="2072">CE173</f>
        <v>99.327380315165698</v>
      </c>
      <c r="CG221" s="23">
        <f t="shared" ref="CG221" si="2073">CF173</f>
        <v>120.095</v>
      </c>
      <c r="CH221" s="23">
        <f t="shared" ref="CH221:CL221" si="2074">CG173</f>
        <v>197.92739253384804</v>
      </c>
      <c r="CI221" s="23">
        <f t="shared" si="2074"/>
        <v>45.286100000000005</v>
      </c>
      <c r="CJ221" s="23">
        <f t="shared" si="2074"/>
        <v>90.375501195710882</v>
      </c>
      <c r="CK221" s="23">
        <f t="shared" ref="CK221" si="2075">CJ173</f>
        <v>93.52</v>
      </c>
      <c r="CL221" s="23">
        <f t="shared" si="2074"/>
        <v>212.3331873717911</v>
      </c>
      <c r="CM221" s="24">
        <f t="shared" ref="CM221" si="2076">CL173</f>
        <v>242.136</v>
      </c>
      <c r="CN221" s="24">
        <f t="shared" ref="CN221" si="2077">CM173</f>
        <v>282.3174553627515</v>
      </c>
      <c r="CO221" s="24">
        <f t="shared" ref="CO221" si="2078">CN173</f>
        <v>354.47811804750074</v>
      </c>
      <c r="CP221" s="24">
        <f t="shared" ref="CP221" si="2079">CO173</f>
        <v>498.62840380432044</v>
      </c>
      <c r="CQ221" s="24">
        <f t="shared" ref="CQ221" si="2080">CP173</f>
        <v>634.4299394387383</v>
      </c>
      <c r="CR221" s="24">
        <f t="shared" ref="CR221" si="2081">CQ173</f>
        <v>696.15280151956904</v>
      </c>
      <c r="CS221" s="24">
        <f t="shared" ref="CS221" si="2082">CR173</f>
        <v>801.89274498956206</v>
      </c>
      <c r="CT221" s="24">
        <f t="shared" ref="CT221" si="2083">CS173</f>
        <v>1006.0960317381955</v>
      </c>
      <c r="CU221" s="24">
        <f t="shared" ref="CU221" si="2084">CT173</f>
        <v>1205.6920090405561</v>
      </c>
      <c r="CV221" s="24">
        <f t="shared" ref="CV221" si="2085">CU173</f>
        <v>1303.3733109167574</v>
      </c>
      <c r="CW221" s="24">
        <f t="shared" ref="CW221" si="2086">CV173</f>
        <v>1460.763009753523</v>
      </c>
      <c r="CX221" s="24">
        <f t="shared" ref="CX221" si="2087">CW173</f>
        <v>1748.6288927297862</v>
      </c>
      <c r="CY221" s="24">
        <f t="shared" ref="CY221" si="2088">CX173</f>
        <v>2032.0957199960221</v>
      </c>
      <c r="CZ221" s="24">
        <f t="shared" ref="CZ221" si="2089">CY173</f>
        <v>2183.0111209008446</v>
      </c>
      <c r="DA221" s="24">
        <f t="shared" ref="DA221" si="2090">CZ173</f>
        <v>2413.4857549825692</v>
      </c>
      <c r="DB221" s="24">
        <f t="shared" ref="DB221" si="2091">DA173</f>
        <v>2815.2920012900922</v>
      </c>
      <c r="DE221" s="123"/>
      <c r="DF221" s="23">
        <v>45.286100000000005</v>
      </c>
    </row>
    <row r="222" spans="1:110" s="23" customFormat="1" x14ac:dyDescent="0.2">
      <c r="A222" s="23" t="s">
        <v>443</v>
      </c>
      <c r="C222" s="23">
        <f t="shared" ref="C222:W222" si="2092">C221+C217+C213+C211</f>
        <v>0</v>
      </c>
      <c r="D222" s="23">
        <f t="shared" si="2092"/>
        <v>0</v>
      </c>
      <c r="E222" s="23">
        <f t="shared" si="2092"/>
        <v>0</v>
      </c>
      <c r="F222" s="23">
        <f t="shared" si="2092"/>
        <v>0</v>
      </c>
      <c r="G222" s="23">
        <f t="shared" si="2092"/>
        <v>0</v>
      </c>
      <c r="H222" s="23">
        <f t="shared" si="2092"/>
        <v>0</v>
      </c>
      <c r="I222" s="23">
        <f t="shared" si="2092"/>
        <v>0</v>
      </c>
      <c r="J222" s="23">
        <f>J221+J217+J213+J211</f>
        <v>3.1662999999999775E-2</v>
      </c>
      <c r="K222" s="23">
        <f>K221+K217+K213+K211</f>
        <v>3.5004993999999994</v>
      </c>
      <c r="L222" s="23">
        <f>L221+L217+L213+L211</f>
        <v>7.5606499999999688E-2</v>
      </c>
      <c r="M222" s="23">
        <f>M221+M217+M213+M211</f>
        <v>9.5451800000000198E-2</v>
      </c>
      <c r="N222" s="23">
        <f t="shared" si="2092"/>
        <v>0.12917270000000006</v>
      </c>
      <c r="O222" s="23">
        <f t="shared" si="2092"/>
        <v>0.21809930000000016</v>
      </c>
      <c r="P222" s="23">
        <f t="shared" si="2092"/>
        <v>2.9447599999999241E-2</v>
      </c>
      <c r="Q222" s="23">
        <f t="shared" si="2092"/>
        <v>0.54400000000000004</v>
      </c>
      <c r="R222" s="23">
        <f t="shared" si="2092"/>
        <v>2.6889999999999947</v>
      </c>
      <c r="S222" s="23">
        <f t="shared" si="2092"/>
        <v>50.688999999999993</v>
      </c>
      <c r="T222" s="23">
        <f t="shared" si="2092"/>
        <v>86.538000000000011</v>
      </c>
      <c r="U222" s="23">
        <f t="shared" si="2092"/>
        <v>30.128999999999991</v>
      </c>
      <c r="V222" s="23">
        <f t="shared" si="2092"/>
        <v>68.043200000000041</v>
      </c>
      <c r="W222" s="23">
        <f t="shared" si="2092"/>
        <v>87.109000000000037</v>
      </c>
      <c r="X222" s="23">
        <f t="shared" ref="X222:Y222" si="2093">X221+X217+X213+X211</f>
        <v>64.761699999999919</v>
      </c>
      <c r="Y222" s="23">
        <f t="shared" si="2093"/>
        <v>34.25589999999994</v>
      </c>
      <c r="Z222" s="23">
        <f t="shared" ref="Z222:AA222" si="2094">Z221+Z217+Z213+Z211</f>
        <v>45.286099999999976</v>
      </c>
      <c r="AA222" s="23">
        <f t="shared" ref="AA222" si="2095">AA221+AA217+AA213+AA211</f>
        <v>242.13610000000003</v>
      </c>
      <c r="AB222" s="24">
        <f t="shared" ref="AB222:AD222" si="2096">AB221+AB217+AB213+AB211</f>
        <v>634.42993943873796</v>
      </c>
      <c r="AC222" s="24">
        <f t="shared" si="2096"/>
        <v>1205.6920090405561</v>
      </c>
      <c r="AD222" s="24">
        <f t="shared" si="2096"/>
        <v>2032.0957199960219</v>
      </c>
      <c r="AE222" s="24">
        <f t="shared" ref="AE222" si="2097">AE221+AE217+AE213+AE211</f>
        <v>3212.8183640934185</v>
      </c>
      <c r="AI222" s="23">
        <f t="shared" ref="AI222" si="2098">AI221+AI217+AI213+AI211</f>
        <v>0</v>
      </c>
      <c r="AJ222" s="23">
        <f t="shared" ref="AJ222:AL222" si="2099">AJ221+AJ217+AJ213+AJ211</f>
        <v>0</v>
      </c>
      <c r="AK222" s="23" t="e">
        <f t="shared" si="2099"/>
        <v>#DIV/0!</v>
      </c>
      <c r="AL222" s="23" t="e">
        <f t="shared" si="2099"/>
        <v>#DIV/0!</v>
      </c>
      <c r="AM222" s="23" t="e">
        <f t="shared" ref="AM222" si="2100">AM221+AM217+AM213+AM211</f>
        <v>#DIV/0!</v>
      </c>
      <c r="AN222" s="23" t="e">
        <f t="shared" ref="AN222:CD222" si="2101">AN221+AN217+AN213+AN211</f>
        <v>#DIV/0!</v>
      </c>
      <c r="AO222" s="23" t="e">
        <f t="shared" si="2101"/>
        <v>#DIV/0!</v>
      </c>
      <c r="AP222" s="23" t="e">
        <f t="shared" si="2101"/>
        <v>#DIV/0!</v>
      </c>
      <c r="AQ222" s="23" t="e">
        <f t="shared" si="2101"/>
        <v>#DIV/0!</v>
      </c>
      <c r="AR222" s="23" t="e">
        <f t="shared" si="2101"/>
        <v>#DIV/0!</v>
      </c>
      <c r="AS222" s="23" t="e">
        <f t="shared" si="2101"/>
        <v>#DIV/0!</v>
      </c>
      <c r="AT222" s="23" t="e">
        <f t="shared" si="2101"/>
        <v>#DIV/0!</v>
      </c>
      <c r="AU222" s="23" t="e">
        <f t="shared" si="2101"/>
        <v>#DIV/0!</v>
      </c>
      <c r="AV222" s="23" t="e">
        <f t="shared" si="2101"/>
        <v>#DIV/0!</v>
      </c>
      <c r="AW222" s="23" t="e">
        <f t="shared" si="2101"/>
        <v>#DIV/0!</v>
      </c>
      <c r="AX222" s="23" t="e">
        <f t="shared" si="2101"/>
        <v>#DIV/0!</v>
      </c>
      <c r="AY222" s="23" t="e">
        <f t="shared" si="2101"/>
        <v>#DIV/0!</v>
      </c>
      <c r="AZ222" s="23" t="e">
        <f t="shared" si="2101"/>
        <v>#DIV/0!</v>
      </c>
      <c r="BA222" s="23" t="e">
        <f t="shared" si="2101"/>
        <v>#DIV/0!</v>
      </c>
      <c r="BB222" s="23" t="e">
        <f t="shared" si="2101"/>
        <v>#DIV/0!</v>
      </c>
      <c r="BC222" s="23" t="e">
        <f t="shared" si="2101"/>
        <v>#DIV/0!</v>
      </c>
      <c r="BD222" s="23" t="e">
        <f t="shared" si="2101"/>
        <v>#DIV/0!</v>
      </c>
      <c r="BE222" s="23" t="e">
        <f t="shared" si="2101"/>
        <v>#DIV/0!</v>
      </c>
      <c r="BF222" s="23" t="e">
        <f t="shared" si="2101"/>
        <v>#DIV/0!</v>
      </c>
      <c r="BG222" s="23" t="e">
        <f t="shared" si="2101"/>
        <v>#DIV/0!</v>
      </c>
      <c r="BH222" s="23" t="e">
        <f t="shared" si="2101"/>
        <v>#DIV/0!</v>
      </c>
      <c r="BI222" s="23" t="e">
        <f t="shared" si="2101"/>
        <v>#DIV/0!</v>
      </c>
      <c r="BJ222" s="23" t="e">
        <f t="shared" si="2101"/>
        <v>#DIV/0!</v>
      </c>
      <c r="BK222" s="23" t="e">
        <f t="shared" si="2101"/>
        <v>#DIV/0!</v>
      </c>
      <c r="BL222" s="23" t="e">
        <f t="shared" si="2101"/>
        <v>#DIV/0!</v>
      </c>
      <c r="BM222" s="23" t="e">
        <f t="shared" si="2101"/>
        <v>#DIV/0!</v>
      </c>
      <c r="BN222" s="23" t="e">
        <f t="shared" si="2101"/>
        <v>#DIV/0!</v>
      </c>
      <c r="BO222" s="23" t="e">
        <f t="shared" si="2101"/>
        <v>#DIV/0!</v>
      </c>
      <c r="BP222" s="23" t="e">
        <f t="shared" si="2101"/>
        <v>#DIV/0!</v>
      </c>
      <c r="BQ222" s="23" t="e">
        <f t="shared" si="2101"/>
        <v>#DIV/0!</v>
      </c>
      <c r="BR222" s="23" t="e">
        <f t="shared" si="2101"/>
        <v>#DIV/0!</v>
      </c>
      <c r="BS222" s="23">
        <f t="shared" si="2101"/>
        <v>93.594402034101094</v>
      </c>
      <c r="BT222" s="23">
        <f t="shared" si="2101"/>
        <v>-1.0000000000758291E-3</v>
      </c>
      <c r="BU222" s="23">
        <f t="shared" si="2101"/>
        <v>32.021000000000001</v>
      </c>
      <c r="BV222" s="23">
        <f t="shared" si="2101"/>
        <v>87.109000000000009</v>
      </c>
      <c r="BW222" s="23">
        <f t="shared" si="2101"/>
        <v>124.2838774563392</v>
      </c>
      <c r="BX222" s="23">
        <f t="shared" si="2101"/>
        <v>214.48400000000004</v>
      </c>
      <c r="BY222" s="23">
        <f t="shared" si="2101"/>
        <v>257.41926118783209</v>
      </c>
      <c r="BZ222" s="23">
        <f t="shared" si="2101"/>
        <v>64.759999999999934</v>
      </c>
      <c r="CA222" s="23">
        <f t="shared" si="2101"/>
        <v>114.0528356323447</v>
      </c>
      <c r="CB222" s="23">
        <f t="shared" si="2101"/>
        <v>175.21199999999993</v>
      </c>
      <c r="CC222" s="23">
        <f t="shared" si="2101"/>
        <v>233.050641211298</v>
      </c>
      <c r="CD222" s="23">
        <f t="shared" si="2101"/>
        <v>34.255000000000166</v>
      </c>
      <c r="CE222" s="23">
        <f t="shared" ref="CE222:CF222" si="2102">CE221+CE217+CE213+CE211</f>
        <v>99.327380315165698</v>
      </c>
      <c r="CF222" s="23">
        <f t="shared" si="2102"/>
        <v>120.09599999999995</v>
      </c>
      <c r="CG222" s="23">
        <f t="shared" ref="CG222:CH222" si="2103">CG221+CG217+CG213+CG211</f>
        <v>197.92739253384804</v>
      </c>
      <c r="CH222" s="23">
        <f t="shared" si="2103"/>
        <v>45.285099999999971</v>
      </c>
      <c r="CI222" s="23">
        <f t="shared" ref="CI222:CJ222" si="2104">CI221+CI217+CI213+CI211</f>
        <v>90.375501195710882</v>
      </c>
      <c r="CJ222" s="23">
        <f t="shared" si="2104"/>
        <v>93.520999999999916</v>
      </c>
      <c r="CK222" s="23">
        <f t="shared" ref="CK222:DB222" si="2105">CK221+CK217+CK213+CK211</f>
        <v>212.3331873717911</v>
      </c>
      <c r="CL222" s="23">
        <f t="shared" si="2105"/>
        <v>242.13499999999996</v>
      </c>
      <c r="CM222" s="24">
        <f t="shared" si="2105"/>
        <v>282.3174553627515</v>
      </c>
      <c r="CN222" s="24">
        <f t="shared" si="2105"/>
        <v>354.47811804750074</v>
      </c>
      <c r="CO222" s="24">
        <f t="shared" si="2105"/>
        <v>498.62840380432044</v>
      </c>
      <c r="CP222" s="24">
        <f t="shared" si="2105"/>
        <v>634.4299394387383</v>
      </c>
      <c r="CQ222" s="24">
        <f t="shared" si="2105"/>
        <v>696.15280151956904</v>
      </c>
      <c r="CR222" s="24">
        <f t="shared" si="2105"/>
        <v>801.89274498956206</v>
      </c>
      <c r="CS222" s="24">
        <f t="shared" si="2105"/>
        <v>1006.0960317381955</v>
      </c>
      <c r="CT222" s="24">
        <f t="shared" si="2105"/>
        <v>1205.6920090405561</v>
      </c>
      <c r="CU222" s="24">
        <f t="shared" si="2105"/>
        <v>1303.3733109167574</v>
      </c>
      <c r="CV222" s="24">
        <f t="shared" si="2105"/>
        <v>1460.763009753523</v>
      </c>
      <c r="CW222" s="24">
        <f t="shared" si="2105"/>
        <v>1748.6288927297862</v>
      </c>
      <c r="CX222" s="24">
        <f t="shared" si="2105"/>
        <v>2032.0957199960221</v>
      </c>
      <c r="CY222" s="24">
        <f t="shared" si="2105"/>
        <v>2183.0111209008446</v>
      </c>
      <c r="CZ222" s="24">
        <f t="shared" si="2105"/>
        <v>2413.4857549825692</v>
      </c>
      <c r="DA222" s="24">
        <f t="shared" si="2105"/>
        <v>2815.2920012900922</v>
      </c>
      <c r="DB222" s="24">
        <f t="shared" si="2105"/>
        <v>3212.8183640934185</v>
      </c>
      <c r="DE222" s="123"/>
      <c r="DF222" s="23">
        <v>242.13610000000003</v>
      </c>
    </row>
    <row r="223" spans="1:110" s="28" customFormat="1" x14ac:dyDescent="0.2">
      <c r="A223" s="28" t="s">
        <v>444</v>
      </c>
      <c r="C223" s="28">
        <f t="shared" ref="C223:W223" si="2106">C222-C173</f>
        <v>0</v>
      </c>
      <c r="D223" s="28">
        <f t="shared" si="2106"/>
        <v>0</v>
      </c>
      <c r="E223" s="28">
        <f t="shared" si="2106"/>
        <v>0</v>
      </c>
      <c r="F223" s="28">
        <f t="shared" si="2106"/>
        <v>0</v>
      </c>
      <c r="G223" s="28">
        <f t="shared" si="2106"/>
        <v>0</v>
      </c>
      <c r="H223" s="28">
        <f t="shared" si="2106"/>
        <v>0</v>
      </c>
      <c r="I223" s="28">
        <f t="shared" si="2106"/>
        <v>0</v>
      </c>
      <c r="J223" s="28">
        <f>J222-J173</f>
        <v>-2.2204460492503131E-16</v>
      </c>
      <c r="K223" s="28">
        <f t="shared" si="2106"/>
        <v>0</v>
      </c>
      <c r="L223" s="28">
        <f t="shared" si="2106"/>
        <v>-3.0531133177191805E-16</v>
      </c>
      <c r="M223" s="28">
        <f t="shared" si="2106"/>
        <v>1.9428902930940239E-16</v>
      </c>
      <c r="N223" s="28">
        <f t="shared" si="2106"/>
        <v>0</v>
      </c>
      <c r="O223" s="28">
        <f t="shared" si="2106"/>
        <v>0</v>
      </c>
      <c r="P223" s="28">
        <f t="shared" si="2106"/>
        <v>-7.5980888247784151E-16</v>
      </c>
      <c r="Q223" s="28">
        <f t="shared" si="2106"/>
        <v>0</v>
      </c>
      <c r="R223" s="28">
        <f t="shared" si="2106"/>
        <v>-5.3290705182007514E-15</v>
      </c>
      <c r="S223" s="28">
        <f t="shared" si="2106"/>
        <v>0</v>
      </c>
      <c r="T223" s="28">
        <f t="shared" si="2106"/>
        <v>0</v>
      </c>
      <c r="U223" s="28">
        <f t="shared" si="2106"/>
        <v>0</v>
      </c>
      <c r="V223" s="28">
        <f t="shared" si="2106"/>
        <v>0</v>
      </c>
      <c r="W223" s="28">
        <f t="shared" si="2106"/>
        <v>0</v>
      </c>
      <c r="X223" s="28">
        <f t="shared" ref="X223:Y223" si="2107">X222-X173</f>
        <v>0</v>
      </c>
      <c r="Y223" s="28">
        <f t="shared" si="2107"/>
        <v>-5.6843418860808015E-14</v>
      </c>
      <c r="Z223" s="28">
        <f t="shared" ref="Z223:AA223" si="2108">Z222-Z173</f>
        <v>0</v>
      </c>
      <c r="AA223" s="28">
        <f t="shared" ref="AA223" si="2109">AA222-AA173</f>
        <v>0</v>
      </c>
      <c r="AB223" s="30">
        <f t="shared" ref="AB223:AD223" si="2110">AB222-AB173</f>
        <v>0</v>
      </c>
      <c r="AC223" s="30">
        <f t="shared" si="2110"/>
        <v>0</v>
      </c>
      <c r="AD223" s="30">
        <f t="shared" si="2110"/>
        <v>0</v>
      </c>
      <c r="AE223" s="30">
        <f t="shared" ref="AE223" si="2111">AE222-AE173</f>
        <v>0</v>
      </c>
      <c r="AI223" s="28">
        <f t="shared" ref="AI223" si="2112">AI222-AI173</f>
        <v>0</v>
      </c>
      <c r="AJ223" s="28">
        <f t="shared" ref="AJ223:AL223" si="2113">AJ222-AJ173</f>
        <v>0</v>
      </c>
      <c r="AK223" s="28" t="e">
        <f t="shared" si="2113"/>
        <v>#DIV/0!</v>
      </c>
      <c r="AL223" s="28" t="e">
        <f t="shared" si="2113"/>
        <v>#DIV/0!</v>
      </c>
      <c r="AM223" s="28" t="e">
        <f t="shared" ref="AM223" si="2114">AM222-AM173</f>
        <v>#DIV/0!</v>
      </c>
      <c r="AN223" s="28" t="e">
        <f t="shared" ref="AN223:CD223" si="2115">AN222-AN173</f>
        <v>#DIV/0!</v>
      </c>
      <c r="AO223" s="28" t="e">
        <f t="shared" si="2115"/>
        <v>#DIV/0!</v>
      </c>
      <c r="AP223" s="28" t="e">
        <f t="shared" si="2115"/>
        <v>#DIV/0!</v>
      </c>
      <c r="AQ223" s="28" t="e">
        <f t="shared" si="2115"/>
        <v>#DIV/0!</v>
      </c>
      <c r="AR223" s="28" t="e">
        <f t="shared" si="2115"/>
        <v>#DIV/0!</v>
      </c>
      <c r="AS223" s="28" t="e">
        <f t="shared" si="2115"/>
        <v>#DIV/0!</v>
      </c>
      <c r="AT223" s="28" t="e">
        <f t="shared" si="2115"/>
        <v>#DIV/0!</v>
      </c>
      <c r="AU223" s="28" t="e">
        <f t="shared" si="2115"/>
        <v>#DIV/0!</v>
      </c>
      <c r="AV223" s="28" t="e">
        <f t="shared" si="2115"/>
        <v>#DIV/0!</v>
      </c>
      <c r="AW223" s="28" t="e">
        <f t="shared" si="2115"/>
        <v>#DIV/0!</v>
      </c>
      <c r="AX223" s="28" t="e">
        <f t="shared" si="2115"/>
        <v>#DIV/0!</v>
      </c>
      <c r="AY223" s="28" t="e">
        <f t="shared" si="2115"/>
        <v>#DIV/0!</v>
      </c>
      <c r="AZ223" s="28" t="e">
        <f t="shared" si="2115"/>
        <v>#DIV/0!</v>
      </c>
      <c r="BA223" s="28" t="e">
        <f t="shared" si="2115"/>
        <v>#DIV/0!</v>
      </c>
      <c r="BB223" s="28" t="e">
        <f t="shared" si="2115"/>
        <v>#DIV/0!</v>
      </c>
      <c r="BC223" s="28" t="e">
        <f t="shared" si="2115"/>
        <v>#DIV/0!</v>
      </c>
      <c r="BD223" s="28" t="e">
        <f t="shared" si="2115"/>
        <v>#DIV/0!</v>
      </c>
      <c r="BE223" s="28" t="e">
        <f t="shared" si="2115"/>
        <v>#DIV/0!</v>
      </c>
      <c r="BF223" s="28" t="e">
        <f t="shared" si="2115"/>
        <v>#DIV/0!</v>
      </c>
      <c r="BG223" s="28" t="e">
        <f t="shared" si="2115"/>
        <v>#DIV/0!</v>
      </c>
      <c r="BH223" s="28" t="e">
        <f t="shared" si="2115"/>
        <v>#DIV/0!</v>
      </c>
      <c r="BI223" s="28" t="e">
        <f t="shared" si="2115"/>
        <v>#DIV/0!</v>
      </c>
      <c r="BJ223" s="28" t="e">
        <f t="shared" si="2115"/>
        <v>#DIV/0!</v>
      </c>
      <c r="BK223" s="28" t="e">
        <f t="shared" si="2115"/>
        <v>#DIV/0!</v>
      </c>
      <c r="BL223" s="28" t="e">
        <f t="shared" si="2115"/>
        <v>#DIV/0!</v>
      </c>
      <c r="BM223" s="28" t="e">
        <f t="shared" si="2115"/>
        <v>#DIV/0!</v>
      </c>
      <c r="BN223" s="28" t="e">
        <f t="shared" si="2115"/>
        <v>#DIV/0!</v>
      </c>
      <c r="BO223" s="28" t="e">
        <f t="shared" si="2115"/>
        <v>#DIV/0!</v>
      </c>
      <c r="BP223" s="28" t="e">
        <f t="shared" si="2115"/>
        <v>#DIV/0!</v>
      </c>
      <c r="BQ223" s="28" t="e">
        <f t="shared" si="2115"/>
        <v>#DIV/0!</v>
      </c>
      <c r="BR223" s="28" t="e">
        <f t="shared" si="2115"/>
        <v>#DIV/0!</v>
      </c>
      <c r="BS223" s="28">
        <f t="shared" si="2115"/>
        <v>0</v>
      </c>
      <c r="BT223" s="28">
        <f t="shared" si="2115"/>
        <v>-1.0000000000758291E-3</v>
      </c>
      <c r="BU223" s="28">
        <f t="shared" si="2115"/>
        <v>0</v>
      </c>
      <c r="BV223" s="28">
        <f t="shared" si="2115"/>
        <v>0</v>
      </c>
      <c r="BW223" s="28">
        <f t="shared" si="2115"/>
        <v>0</v>
      </c>
      <c r="BX223" s="28">
        <f t="shared" si="2115"/>
        <v>1.0000000000616183E-3</v>
      </c>
      <c r="BY223" s="28">
        <f t="shared" si="2115"/>
        <v>0</v>
      </c>
      <c r="BZ223" s="28">
        <f t="shared" si="2115"/>
        <v>-2.0000000000663931E-3</v>
      </c>
      <c r="CA223" s="28">
        <f t="shared" si="2115"/>
        <v>0</v>
      </c>
      <c r="CB223" s="28">
        <f t="shared" si="2115"/>
        <v>1.9999999999242846E-3</v>
      </c>
      <c r="CC223" s="28">
        <f t="shared" si="2115"/>
        <v>0</v>
      </c>
      <c r="CD223" s="28">
        <f t="shared" si="2115"/>
        <v>-9.9999999983424459E-4</v>
      </c>
      <c r="CE223" s="28">
        <f t="shared" ref="CE223:CF223" si="2116">CE222-CE173</f>
        <v>0</v>
      </c>
      <c r="CF223" s="28">
        <f t="shared" si="2116"/>
        <v>9.9999999994793143E-4</v>
      </c>
      <c r="CG223" s="28">
        <f t="shared" ref="CG223:CH223" si="2117">CG222-CG173</f>
        <v>0</v>
      </c>
      <c r="CH223" s="28">
        <f t="shared" si="2117"/>
        <v>-1.0000000000331966E-3</v>
      </c>
      <c r="CI223" s="28">
        <f t="shared" ref="CI223:CJ223" si="2118">CI222-CI173</f>
        <v>0</v>
      </c>
      <c r="CJ223" s="28">
        <f t="shared" si="2118"/>
        <v>9.9999999991950972E-4</v>
      </c>
      <c r="CK223" s="28">
        <f t="shared" ref="CK223:DB223" si="2119">CK222-CK173</f>
        <v>0</v>
      </c>
      <c r="CL223" s="28">
        <f t="shared" si="2119"/>
        <v>-1.0000000000331966E-3</v>
      </c>
      <c r="CM223" s="30">
        <f t="shared" si="2119"/>
        <v>0</v>
      </c>
      <c r="CN223" s="30">
        <f t="shared" si="2119"/>
        <v>0</v>
      </c>
      <c r="CO223" s="30">
        <f t="shared" si="2119"/>
        <v>0</v>
      </c>
      <c r="CP223" s="30">
        <f t="shared" si="2119"/>
        <v>0</v>
      </c>
      <c r="CQ223" s="30">
        <f t="shared" si="2119"/>
        <v>0</v>
      </c>
      <c r="CR223" s="30">
        <f t="shared" si="2119"/>
        <v>0</v>
      </c>
      <c r="CS223" s="30">
        <f t="shared" si="2119"/>
        <v>0</v>
      </c>
      <c r="CT223" s="30">
        <f t="shared" si="2119"/>
        <v>0</v>
      </c>
      <c r="CU223" s="30">
        <f t="shared" si="2119"/>
        <v>0</v>
      </c>
      <c r="CV223" s="30">
        <f t="shared" si="2119"/>
        <v>0</v>
      </c>
      <c r="CW223" s="30">
        <f t="shared" si="2119"/>
        <v>0</v>
      </c>
      <c r="CX223" s="30">
        <f t="shared" si="2119"/>
        <v>0</v>
      </c>
      <c r="CY223" s="30">
        <f t="shared" si="2119"/>
        <v>0</v>
      </c>
      <c r="CZ223" s="30">
        <f t="shared" si="2119"/>
        <v>0</v>
      </c>
      <c r="DA223" s="30">
        <f t="shared" si="2119"/>
        <v>0</v>
      </c>
      <c r="DB223" s="30">
        <f t="shared" si="2119"/>
        <v>0</v>
      </c>
      <c r="DE223" s="139"/>
      <c r="DF223" s="28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96</v>
      </c>
      <c r="C225" s="22">
        <f t="shared" ref="C225:W225" si="2120">C211+C213</f>
        <v>0</v>
      </c>
      <c r="D225" s="22">
        <f t="shared" si="2120"/>
        <v>0</v>
      </c>
      <c r="E225" s="22">
        <f t="shared" si="2120"/>
        <v>0</v>
      </c>
      <c r="F225" s="22">
        <f t="shared" si="2120"/>
        <v>0</v>
      </c>
      <c r="G225" s="22">
        <f t="shared" si="2120"/>
        <v>0</v>
      </c>
      <c r="H225" s="22">
        <f t="shared" si="2120"/>
        <v>0</v>
      </c>
      <c r="I225" s="22">
        <f t="shared" si="2120"/>
        <v>0</v>
      </c>
      <c r="J225" s="22">
        <f>J211+J213</f>
        <v>-4.7077121000000002</v>
      </c>
      <c r="K225" s="22">
        <f t="shared" si="2120"/>
        <v>3.4694933999999997</v>
      </c>
      <c r="L225" s="22">
        <f t="shared" si="2120"/>
        <v>-3.4248929000000001</v>
      </c>
      <c r="M225" s="22">
        <f t="shared" si="2120"/>
        <v>1.984539999999968E-2</v>
      </c>
      <c r="N225" s="22">
        <f t="shared" si="2120"/>
        <v>3.3720900000000054E-2</v>
      </c>
      <c r="O225" s="22">
        <f t="shared" si="2120"/>
        <v>8.8926600000000133E-2</v>
      </c>
      <c r="P225" s="22">
        <f t="shared" si="2120"/>
        <v>-0.18865180000000015</v>
      </c>
      <c r="Q225" s="22">
        <f t="shared" si="2120"/>
        <v>0.55239240000000012</v>
      </c>
      <c r="R225" s="22">
        <f t="shared" si="2120"/>
        <v>-30.196999999999989</v>
      </c>
      <c r="S225" s="22">
        <f t="shared" si="2120"/>
        <v>54.110999999999969</v>
      </c>
      <c r="T225" s="22">
        <f t="shared" si="2120"/>
        <v>36.832999999999998</v>
      </c>
      <c r="U225" s="22">
        <f t="shared" si="2120"/>
        <v>-96.794000000000025</v>
      </c>
      <c r="V225" s="22">
        <f t="shared" si="2120"/>
        <v>34.756500000000045</v>
      </c>
      <c r="W225" s="22">
        <f t="shared" si="2120"/>
        <v>52.039200000000051</v>
      </c>
      <c r="X225" s="22">
        <f t="shared" ref="X225:Y225" si="2121">X211+X213</f>
        <v>29.436499999999995</v>
      </c>
      <c r="Y225" s="22">
        <f t="shared" si="2121"/>
        <v>21.338899999999953</v>
      </c>
      <c r="Z225" s="22">
        <f t="shared" ref="Z225:AA225" si="2122">Z211+Z213</f>
        <v>271.41839999999985</v>
      </c>
      <c r="AA225" s="22">
        <f t="shared" ref="AA225" si="2123">AA211+AA213</f>
        <v>273.36340000000001</v>
      </c>
      <c r="AB225" s="21">
        <f t="shared" ref="AB225:AD225" si="2124">AB211+AB213</f>
        <v>392.29383943873813</v>
      </c>
      <c r="AC225" s="21">
        <f t="shared" si="2124"/>
        <v>571.2620696018173</v>
      </c>
      <c r="AD225" s="21">
        <f t="shared" si="2124"/>
        <v>826.40371095546629</v>
      </c>
      <c r="AE225" s="21">
        <f t="shared" ref="AE225" si="2125">AE211+AE213</f>
        <v>1180.7226440973966</v>
      </c>
      <c r="AI225" s="22">
        <f t="shared" ref="AI225" si="2126">AI211+AI213</f>
        <v>0</v>
      </c>
      <c r="AJ225" s="22">
        <f t="shared" ref="AJ225:AL225" si="2127">AJ211+AJ213</f>
        <v>0</v>
      </c>
      <c r="AK225" s="22" t="e">
        <f t="shared" si="2127"/>
        <v>#DIV/0!</v>
      </c>
      <c r="AL225" s="22" t="e">
        <f t="shared" si="2127"/>
        <v>#DIV/0!</v>
      </c>
      <c r="AM225" s="22" t="e">
        <f t="shared" ref="AM225" si="2128">AM211+AM213</f>
        <v>#DIV/0!</v>
      </c>
      <c r="AN225" s="22" t="e">
        <f t="shared" ref="AN225:CD225" si="2129">AN211+AN213</f>
        <v>#DIV/0!</v>
      </c>
      <c r="AO225" s="22" t="e">
        <f t="shared" si="2129"/>
        <v>#DIV/0!</v>
      </c>
      <c r="AP225" s="22" t="e">
        <f t="shared" si="2129"/>
        <v>#DIV/0!</v>
      </c>
      <c r="AQ225" s="22" t="e">
        <f t="shared" si="2129"/>
        <v>#DIV/0!</v>
      </c>
      <c r="AR225" s="22" t="e">
        <f t="shared" si="2129"/>
        <v>#DIV/0!</v>
      </c>
      <c r="AS225" s="22" t="e">
        <f t="shared" si="2129"/>
        <v>#DIV/0!</v>
      </c>
      <c r="AT225" s="22" t="e">
        <f t="shared" si="2129"/>
        <v>#DIV/0!</v>
      </c>
      <c r="AU225" s="22" t="e">
        <f t="shared" si="2129"/>
        <v>#DIV/0!</v>
      </c>
      <c r="AV225" s="22" t="e">
        <f t="shared" si="2129"/>
        <v>#DIV/0!</v>
      </c>
      <c r="AW225" s="22" t="e">
        <f t="shared" si="2129"/>
        <v>#DIV/0!</v>
      </c>
      <c r="AX225" s="22" t="e">
        <f t="shared" si="2129"/>
        <v>#DIV/0!</v>
      </c>
      <c r="AY225" s="22" t="e">
        <f t="shared" si="2129"/>
        <v>#DIV/0!</v>
      </c>
      <c r="AZ225" s="22" t="e">
        <f t="shared" si="2129"/>
        <v>#DIV/0!</v>
      </c>
      <c r="BA225" s="22" t="e">
        <f t="shared" si="2129"/>
        <v>#DIV/0!</v>
      </c>
      <c r="BB225" s="22" t="e">
        <f t="shared" si="2129"/>
        <v>#DIV/0!</v>
      </c>
      <c r="BC225" s="22" t="e">
        <f t="shared" si="2129"/>
        <v>#DIV/0!</v>
      </c>
      <c r="BD225" s="22" t="e">
        <f t="shared" si="2129"/>
        <v>#DIV/0!</v>
      </c>
      <c r="BE225" s="22" t="e">
        <f t="shared" si="2129"/>
        <v>#DIV/0!</v>
      </c>
      <c r="BF225" s="22" t="e">
        <f t="shared" si="2129"/>
        <v>#DIV/0!</v>
      </c>
      <c r="BG225" s="22" t="e">
        <f t="shared" si="2129"/>
        <v>#DIV/0!</v>
      </c>
      <c r="BH225" s="22" t="e">
        <f t="shared" si="2129"/>
        <v>#DIV/0!</v>
      </c>
      <c r="BI225" s="22" t="e">
        <f t="shared" si="2129"/>
        <v>#DIV/0!</v>
      </c>
      <c r="BJ225" s="22" t="e">
        <f t="shared" si="2129"/>
        <v>#DIV/0!</v>
      </c>
      <c r="BK225" s="22" t="e">
        <f t="shared" si="2129"/>
        <v>#DIV/0!</v>
      </c>
      <c r="BL225" s="22" t="e">
        <f t="shared" si="2129"/>
        <v>#DIV/0!</v>
      </c>
      <c r="BM225" s="22" t="e">
        <f t="shared" si="2129"/>
        <v>#DIV/0!</v>
      </c>
      <c r="BN225" s="22" t="e">
        <f t="shared" si="2129"/>
        <v>#DIV/0!</v>
      </c>
      <c r="BO225" s="22" t="e">
        <f t="shared" si="2129"/>
        <v>#DIV/0!</v>
      </c>
      <c r="BP225" s="22" t="e">
        <f t="shared" si="2129"/>
        <v>#DIV/0!</v>
      </c>
      <c r="BQ225" s="22" t="e">
        <f t="shared" si="2129"/>
        <v>#DIV/0!</v>
      </c>
      <c r="BR225" s="22" t="e">
        <f t="shared" si="2129"/>
        <v>#DIV/0!</v>
      </c>
      <c r="BS225" s="22">
        <f t="shared" si="2129"/>
        <v>25.551402034101102</v>
      </c>
      <c r="BT225" s="22">
        <f t="shared" si="2129"/>
        <v>253.08559796589884</v>
      </c>
      <c r="BU225" s="22">
        <f t="shared" si="2129"/>
        <v>32.021000000000001</v>
      </c>
      <c r="BV225" s="22">
        <f t="shared" si="2129"/>
        <v>-258.61799999999999</v>
      </c>
      <c r="BW225" s="22">
        <f t="shared" si="2129"/>
        <v>37.174877456339146</v>
      </c>
      <c r="BX225" s="22">
        <f t="shared" si="2129"/>
        <v>119.24112254366085</v>
      </c>
      <c r="BY225" s="22">
        <f t="shared" si="2129"/>
        <v>42.936261187832102</v>
      </c>
      <c r="BZ225" s="22">
        <f t="shared" si="2129"/>
        <v>-169.91826118783209</v>
      </c>
      <c r="CA225" s="22">
        <f t="shared" si="2129"/>
        <v>49.290835632344695</v>
      </c>
      <c r="CB225" s="22">
        <f t="shared" si="2129"/>
        <v>90.721164367655206</v>
      </c>
      <c r="CC225" s="22">
        <f t="shared" si="2129"/>
        <v>57.840641211297992</v>
      </c>
      <c r="CD225" s="22">
        <f t="shared" si="2129"/>
        <v>-176.51264121129796</v>
      </c>
      <c r="CE225" s="22">
        <f t="shared" ref="CE225:CF225" si="2130">CE211+CE213</f>
        <v>65.071380315165698</v>
      </c>
      <c r="CF225" s="22">
        <f t="shared" si="2130"/>
        <v>269.12661968483434</v>
      </c>
      <c r="CG225" s="22">
        <f t="shared" ref="CG225:CH225" si="2131">CG211+CG213</f>
        <v>77.832392533848022</v>
      </c>
      <c r="CH225" s="22">
        <f t="shared" si="2131"/>
        <v>-140.61019253384808</v>
      </c>
      <c r="CI225" s="22">
        <f t="shared" ref="CI225:CJ225" si="2132">CI211+CI213</f>
        <v>45.089401195710877</v>
      </c>
      <c r="CJ225" s="22">
        <f t="shared" si="2132"/>
        <v>63.027398804289106</v>
      </c>
      <c r="CK225" s="22">
        <f t="shared" ref="CK225:DB225" si="2133">CK211+CK213</f>
        <v>118.8131873717911</v>
      </c>
      <c r="CL225" s="22">
        <f t="shared" si="2133"/>
        <v>46.430812628208884</v>
      </c>
      <c r="CM225" s="21">
        <f t="shared" si="2133"/>
        <v>40.181455362751649</v>
      </c>
      <c r="CN225" s="21">
        <f t="shared" si="2133"/>
        <v>72.160662684749212</v>
      </c>
      <c r="CO225" s="21">
        <f t="shared" si="2133"/>
        <v>144.1502857568197</v>
      </c>
      <c r="CP225" s="21">
        <f t="shared" si="2133"/>
        <v>135.80153563441783</v>
      </c>
      <c r="CQ225" s="21">
        <f t="shared" si="2133"/>
        <v>61.72286208083068</v>
      </c>
      <c r="CR225" s="21">
        <f t="shared" si="2133"/>
        <v>105.73994346999297</v>
      </c>
      <c r="CS225" s="21">
        <f t="shared" si="2133"/>
        <v>204.20328674863342</v>
      </c>
      <c r="CT225" s="21">
        <f t="shared" si="2133"/>
        <v>199.59597730236015</v>
      </c>
      <c r="CU225" s="21">
        <f t="shared" si="2133"/>
        <v>97.681301876201246</v>
      </c>
      <c r="CV225" s="21">
        <f t="shared" si="2133"/>
        <v>157.38969883676549</v>
      </c>
      <c r="CW225" s="21">
        <f t="shared" si="2133"/>
        <v>287.86588297626321</v>
      </c>
      <c r="CX225" s="21">
        <f t="shared" si="2133"/>
        <v>283.46682726623584</v>
      </c>
      <c r="CY225" s="21">
        <f t="shared" si="2133"/>
        <v>150.91540090482255</v>
      </c>
      <c r="CZ225" s="21">
        <f t="shared" si="2133"/>
        <v>230.47463408172467</v>
      </c>
      <c r="DA225" s="21">
        <f t="shared" si="2133"/>
        <v>401.80624630752305</v>
      </c>
      <c r="DB225" s="21">
        <f t="shared" si="2133"/>
        <v>397.52636280332621</v>
      </c>
      <c r="DE225" s="126"/>
      <c r="DF225" s="22">
        <v>273.36340000000001</v>
      </c>
    </row>
    <row r="226" spans="1:110" x14ac:dyDescent="0.2">
      <c r="A226" s="152" t="s">
        <v>496</v>
      </c>
      <c r="AA226" s="2"/>
    </row>
    <row r="227" spans="1:110" x14ac:dyDescent="0.2">
      <c r="AA227" s="2"/>
    </row>
    <row r="228" spans="1:110" s="7" customFormat="1" hidden="1" outlineLevel="1" x14ac:dyDescent="0.2">
      <c r="A228" s="61" t="s">
        <v>97</v>
      </c>
      <c r="AB228" s="77"/>
      <c r="AC228" s="77"/>
      <c r="AD228" s="77"/>
      <c r="AE228" s="77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E228" s="138"/>
    </row>
    <row r="229" spans="1:110" s="62" customFormat="1" hidden="1" outlineLevel="1" x14ac:dyDescent="0.2">
      <c r="A229" s="62" t="s">
        <v>98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2" t="s">
        <v>99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100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11" customFormat="1" collapsed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83" customFormat="1" x14ac:dyDescent="0.2">
      <c r="A236" s="82" t="s">
        <v>101</v>
      </c>
      <c r="AB236" s="72"/>
      <c r="AC236" s="72"/>
      <c r="AD236" s="72"/>
      <c r="AE236" s="72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6" customFormat="1" x14ac:dyDescent="0.2">
      <c r="A237" s="66" t="s">
        <v>471</v>
      </c>
      <c r="AB237" s="50"/>
      <c r="AC237" s="50"/>
      <c r="AD237" s="50"/>
      <c r="AE237" s="50"/>
      <c r="AL237" s="66">
        <f t="shared" ref="AL237:BQ237" si="2134">SUM(AI22:AL22)</f>
        <v>0</v>
      </c>
      <c r="AM237" s="66">
        <f t="shared" si="2134"/>
        <v>0</v>
      </c>
      <c r="AN237" s="66">
        <f t="shared" si="2134"/>
        <v>0</v>
      </c>
      <c r="AO237" s="66">
        <f t="shared" si="2134"/>
        <v>0</v>
      </c>
      <c r="AP237" s="66">
        <f t="shared" si="2134"/>
        <v>0</v>
      </c>
      <c r="AQ237" s="66">
        <f t="shared" si="2134"/>
        <v>0</v>
      </c>
      <c r="AR237" s="66">
        <f t="shared" si="2134"/>
        <v>0</v>
      </c>
      <c r="AS237" s="66">
        <f t="shared" si="2134"/>
        <v>0</v>
      </c>
      <c r="AT237" s="66">
        <f t="shared" si="2134"/>
        <v>0</v>
      </c>
      <c r="AU237" s="66">
        <f t="shared" si="2134"/>
        <v>0</v>
      </c>
      <c r="AV237" s="66">
        <f t="shared" si="2134"/>
        <v>0</v>
      </c>
      <c r="AW237" s="66">
        <f t="shared" si="2134"/>
        <v>0</v>
      </c>
      <c r="AX237" s="66">
        <f t="shared" si="2134"/>
        <v>0</v>
      </c>
      <c r="AY237" s="66">
        <f t="shared" si="2134"/>
        <v>0</v>
      </c>
      <c r="AZ237" s="66">
        <f t="shared" si="2134"/>
        <v>0</v>
      </c>
      <c r="BA237" s="66">
        <f t="shared" si="2134"/>
        <v>0</v>
      </c>
      <c r="BB237" s="66">
        <f t="shared" si="2134"/>
        <v>0</v>
      </c>
      <c r="BC237" s="66">
        <f t="shared" si="2134"/>
        <v>0</v>
      </c>
      <c r="BD237" s="66">
        <f t="shared" si="2134"/>
        <v>0</v>
      </c>
      <c r="BE237" s="66">
        <f t="shared" si="2134"/>
        <v>0</v>
      </c>
      <c r="BF237" s="66">
        <f t="shared" si="2134"/>
        <v>0</v>
      </c>
      <c r="BG237" s="66">
        <f t="shared" si="2134"/>
        <v>0</v>
      </c>
      <c r="BH237" s="66">
        <f t="shared" si="2134"/>
        <v>0</v>
      </c>
      <c r="BI237" s="66">
        <f t="shared" si="2134"/>
        <v>0</v>
      </c>
      <c r="BJ237" s="66">
        <f t="shared" si="2134"/>
        <v>0</v>
      </c>
      <c r="BK237" s="66">
        <f t="shared" si="2134"/>
        <v>0</v>
      </c>
      <c r="BL237" s="66">
        <f t="shared" si="2134"/>
        <v>0</v>
      </c>
      <c r="BM237" s="66">
        <f t="shared" si="2134"/>
        <v>0</v>
      </c>
      <c r="BN237" s="66">
        <f t="shared" si="2134"/>
        <v>0</v>
      </c>
      <c r="BO237" s="66">
        <f t="shared" si="2134"/>
        <v>0</v>
      </c>
      <c r="BP237" s="66">
        <f t="shared" si="2134"/>
        <v>0</v>
      </c>
      <c r="BQ237" s="66">
        <f t="shared" si="2134"/>
        <v>68.081999999999994</v>
      </c>
      <c r="BR237" s="66">
        <f t="shared" ref="BR237:CW237" si="2135">SUM(BO22:BR22)</f>
        <v>138.285</v>
      </c>
      <c r="BS237" s="66">
        <f t="shared" si="2135"/>
        <v>235.83699999999999</v>
      </c>
      <c r="BT237" s="66">
        <f t="shared" si="2135"/>
        <v>337.56200000000001</v>
      </c>
      <c r="BU237" s="66">
        <f t="shared" si="2135"/>
        <v>375.173</v>
      </c>
      <c r="BV237" s="66">
        <f t="shared" si="2135"/>
        <v>417.48499999999996</v>
      </c>
      <c r="BW237" s="66">
        <f t="shared" si="2135"/>
        <v>451.53999999999996</v>
      </c>
      <c r="BX237" s="66">
        <f t="shared" si="2135"/>
        <v>485.87799999999999</v>
      </c>
      <c r="BY237" s="66">
        <f t="shared" si="2135"/>
        <v>518.18700000000001</v>
      </c>
      <c r="BZ237" s="66">
        <f t="shared" si="2135"/>
        <v>548.63199999999995</v>
      </c>
      <c r="CA237" s="66">
        <f t="shared" si="2135"/>
        <v>592.05099999999993</v>
      </c>
      <c r="CB237" s="66">
        <f t="shared" si="2135"/>
        <v>638.56899999999996</v>
      </c>
      <c r="CC237" s="66">
        <f t="shared" si="2135"/>
        <v>682.99800000000005</v>
      </c>
      <c r="CD237" s="66">
        <f t="shared" si="2135"/>
        <v>724.322</v>
      </c>
      <c r="CE237" s="66">
        <f t="shared" si="2135"/>
        <v>786.91000000000008</v>
      </c>
      <c r="CF237" s="66">
        <f t="shared" si="2135"/>
        <v>846.81000000000006</v>
      </c>
      <c r="CG237" s="66">
        <f t="shared" si="2135"/>
        <v>901.41899999999998</v>
      </c>
      <c r="CH237" s="66">
        <f t="shared" si="2135"/>
        <v>939.09500000000003</v>
      </c>
      <c r="CI237" s="66">
        <f t="shared" si="2135"/>
        <v>975.49800000000005</v>
      </c>
      <c r="CJ237" s="66">
        <f t="shared" si="2135"/>
        <v>1030.383</v>
      </c>
      <c r="CK237" s="66">
        <f t="shared" si="2135"/>
        <v>1082.9670000000001</v>
      </c>
      <c r="CL237" s="66">
        <f t="shared" si="2135"/>
        <v>1148.825</v>
      </c>
      <c r="CM237" s="50">
        <f t="shared" si="2135"/>
        <v>1219.0708947404487</v>
      </c>
      <c r="CN237" s="50">
        <f t="shared" si="2135"/>
        <v>1308.2806947404488</v>
      </c>
      <c r="CO237" s="50">
        <f t="shared" si="2135"/>
        <v>1395.1678947404487</v>
      </c>
      <c r="CP237" s="50">
        <f t="shared" si="2135"/>
        <v>1481.5132947404486</v>
      </c>
      <c r="CQ237" s="50">
        <f t="shared" si="2135"/>
        <v>1584.7921631625834</v>
      </c>
      <c r="CR237" s="50">
        <f t="shared" si="2135"/>
        <v>1700.7649031625836</v>
      </c>
      <c r="CS237" s="50">
        <f t="shared" si="2135"/>
        <v>1813.7182631625833</v>
      </c>
      <c r="CT237" s="50">
        <f t="shared" si="2135"/>
        <v>1925.9672831625833</v>
      </c>
      <c r="CU237" s="50">
        <f t="shared" si="2135"/>
        <v>2060.2298121113581</v>
      </c>
      <c r="CV237" s="50">
        <f t="shared" si="2135"/>
        <v>2210.9943741113584</v>
      </c>
      <c r="CW237" s="50">
        <f t="shared" si="2135"/>
        <v>2357.8337421113579</v>
      </c>
      <c r="CX237" s="50">
        <f t="shared" ref="CX237:DB237" si="2136">SUM(CU22:CX22)</f>
        <v>2503.7574681113583</v>
      </c>
      <c r="CY237" s="50">
        <f t="shared" si="2136"/>
        <v>2678.2987557447655</v>
      </c>
      <c r="CZ237" s="50">
        <f t="shared" si="2136"/>
        <v>2874.2926863447656</v>
      </c>
      <c r="DA237" s="50">
        <f t="shared" si="2136"/>
        <v>3065.1838647447653</v>
      </c>
      <c r="DB237" s="50">
        <f t="shared" si="2136"/>
        <v>3254.8847085447655</v>
      </c>
      <c r="DE237" s="138"/>
    </row>
    <row r="238" spans="1:110" s="66" customFormat="1" x14ac:dyDescent="0.2">
      <c r="A238" s="66" t="s">
        <v>472</v>
      </c>
      <c r="AB238" s="50"/>
      <c r="AC238" s="50"/>
      <c r="AD238" s="50"/>
      <c r="AE238" s="50"/>
      <c r="AL238" s="66">
        <f t="shared" ref="AL238:BQ238" si="2137">SUM(AI40:AL40)</f>
        <v>0</v>
      </c>
      <c r="AM238" s="66">
        <f t="shared" si="2137"/>
        <v>0</v>
      </c>
      <c r="AN238" s="66">
        <f t="shared" si="2137"/>
        <v>0</v>
      </c>
      <c r="AO238" s="66">
        <f t="shared" si="2137"/>
        <v>0</v>
      </c>
      <c r="AP238" s="66">
        <f t="shared" si="2137"/>
        <v>0</v>
      </c>
      <c r="AQ238" s="66">
        <f t="shared" si="2137"/>
        <v>0</v>
      </c>
      <c r="AR238" s="66">
        <f t="shared" si="2137"/>
        <v>0</v>
      </c>
      <c r="AS238" s="66">
        <f t="shared" si="2137"/>
        <v>0</v>
      </c>
      <c r="AT238" s="66">
        <f t="shared" si="2137"/>
        <v>0</v>
      </c>
      <c r="AU238" s="66">
        <f t="shared" si="2137"/>
        <v>0</v>
      </c>
      <c r="AV238" s="66">
        <f t="shared" si="2137"/>
        <v>0</v>
      </c>
      <c r="AW238" s="66">
        <f t="shared" si="2137"/>
        <v>0</v>
      </c>
      <c r="AX238" s="66">
        <f t="shared" si="2137"/>
        <v>0</v>
      </c>
      <c r="AY238" s="66">
        <f t="shared" si="2137"/>
        <v>0</v>
      </c>
      <c r="AZ238" s="66">
        <f t="shared" si="2137"/>
        <v>0</v>
      </c>
      <c r="BA238" s="66">
        <f t="shared" si="2137"/>
        <v>0</v>
      </c>
      <c r="BB238" s="66">
        <f t="shared" si="2137"/>
        <v>0</v>
      </c>
      <c r="BC238" s="66">
        <f t="shared" si="2137"/>
        <v>0</v>
      </c>
      <c r="BD238" s="66">
        <f t="shared" si="2137"/>
        <v>0</v>
      </c>
      <c r="BE238" s="66">
        <f t="shared" si="2137"/>
        <v>0</v>
      </c>
      <c r="BF238" s="66">
        <f t="shared" si="2137"/>
        <v>0</v>
      </c>
      <c r="BG238" s="66">
        <f t="shared" si="2137"/>
        <v>0</v>
      </c>
      <c r="BH238" s="66">
        <f t="shared" si="2137"/>
        <v>0</v>
      </c>
      <c r="BI238" s="66">
        <f t="shared" si="2137"/>
        <v>0</v>
      </c>
      <c r="BJ238" s="66">
        <f t="shared" si="2137"/>
        <v>0</v>
      </c>
      <c r="BK238" s="66">
        <f t="shared" si="2137"/>
        <v>0</v>
      </c>
      <c r="BL238" s="66">
        <f t="shared" si="2137"/>
        <v>0</v>
      </c>
      <c r="BM238" s="66">
        <f t="shared" si="2137"/>
        <v>0</v>
      </c>
      <c r="BN238" s="66">
        <f t="shared" si="2137"/>
        <v>0</v>
      </c>
      <c r="BO238" s="66">
        <f t="shared" si="2137"/>
        <v>0</v>
      </c>
      <c r="BP238" s="66">
        <f t="shared" si="2137"/>
        <v>0</v>
      </c>
      <c r="BQ238" s="66">
        <f t="shared" si="2137"/>
        <v>21.009999999999998</v>
      </c>
      <c r="BR238" s="66">
        <f t="shared" ref="BR238:CW238" si="2138">SUM(BO40:BR40)</f>
        <v>35.506</v>
      </c>
      <c r="BS238" s="66">
        <f t="shared" si="2138"/>
        <v>78.973000000000013</v>
      </c>
      <c r="BT238" s="66">
        <f t="shared" si="2138"/>
        <v>122.44800000000001</v>
      </c>
      <c r="BU238" s="66">
        <f t="shared" si="2138"/>
        <v>145.90699999999998</v>
      </c>
      <c r="BV238" s="66">
        <f t="shared" si="2138"/>
        <v>177.21600000000001</v>
      </c>
      <c r="BW238" s="66">
        <f t="shared" si="2138"/>
        <v>189.45799999999997</v>
      </c>
      <c r="BX238" s="66">
        <f t="shared" si="2138"/>
        <v>206.39099999999999</v>
      </c>
      <c r="BY238" s="66">
        <f t="shared" si="2138"/>
        <v>223.63899999999998</v>
      </c>
      <c r="BZ238" s="66">
        <f t="shared" si="2138"/>
        <v>238.65600000000001</v>
      </c>
      <c r="CA238" s="66">
        <f t="shared" si="2138"/>
        <v>256.303</v>
      </c>
      <c r="CB238" s="66">
        <f t="shared" si="2138"/>
        <v>273.36200000000002</v>
      </c>
      <c r="CC238" s="66">
        <f t="shared" si="2138"/>
        <v>291.47399999999999</v>
      </c>
      <c r="CD238" s="66">
        <f t="shared" si="2138"/>
        <v>303.78899999999999</v>
      </c>
      <c r="CE238" s="66">
        <f t="shared" si="2138"/>
        <v>328.66700000000003</v>
      </c>
      <c r="CF238" s="66">
        <f t="shared" si="2138"/>
        <v>355.31900000000002</v>
      </c>
      <c r="CG238" s="66">
        <f t="shared" si="2138"/>
        <v>382.55899999999997</v>
      </c>
      <c r="CH238" s="66">
        <f t="shared" si="2138"/>
        <v>400.26300000000003</v>
      </c>
      <c r="CI238" s="66">
        <f t="shared" si="2138"/>
        <v>429.80700000000002</v>
      </c>
      <c r="CJ238" s="66">
        <f t="shared" si="2138"/>
        <v>463.15999999999997</v>
      </c>
      <c r="CK238" s="66">
        <f t="shared" si="2138"/>
        <v>487.52000000000004</v>
      </c>
      <c r="CL238" s="66">
        <f t="shared" si="2138"/>
        <v>481.471</v>
      </c>
      <c r="CM238" s="50">
        <f t="shared" si="2138"/>
        <v>498.02588743763306</v>
      </c>
      <c r="CN238" s="50">
        <f t="shared" si="2138"/>
        <v>518.07826657091107</v>
      </c>
      <c r="CO238" s="50">
        <f t="shared" si="2138"/>
        <v>534.91306961504051</v>
      </c>
      <c r="CP238" s="50">
        <f t="shared" si="2138"/>
        <v>591.84709613923781</v>
      </c>
      <c r="CQ238" s="50">
        <f t="shared" si="2138"/>
        <v>626.45289527986517</v>
      </c>
      <c r="CR238" s="50">
        <f t="shared" si="2138"/>
        <v>667.41966338815178</v>
      </c>
      <c r="CS238" s="50">
        <f t="shared" si="2138"/>
        <v>710.94754729438705</v>
      </c>
      <c r="CT238" s="50">
        <f t="shared" si="2138"/>
        <v>759.58092652513346</v>
      </c>
      <c r="CU238" s="50">
        <f t="shared" si="2138"/>
        <v>810.16235729071172</v>
      </c>
      <c r="CV238" s="50">
        <f t="shared" si="2138"/>
        <v>868.5310434830501</v>
      </c>
      <c r="CW238" s="50">
        <f t="shared" si="2138"/>
        <v>926.62478556206736</v>
      </c>
      <c r="CX238" s="50">
        <f t="shared" ref="CX238:DB238" si="2139">SUM(CU40:CX40)</f>
        <v>984.73079736645047</v>
      </c>
      <c r="CY238" s="50">
        <f t="shared" si="2139"/>
        <v>1052.7019204707344</v>
      </c>
      <c r="CZ238" s="50">
        <f t="shared" si="2139"/>
        <v>1129.6491705891506</v>
      </c>
      <c r="DA238" s="50">
        <f t="shared" si="2139"/>
        <v>1204.8531177122077</v>
      </c>
      <c r="DB238" s="50">
        <f t="shared" si="2139"/>
        <v>1279.5091339697624</v>
      </c>
      <c r="DE238" s="138"/>
    </row>
    <row r="239" spans="1:110" s="66" customFormat="1" x14ac:dyDescent="0.2">
      <c r="A239" s="66" t="s">
        <v>473</v>
      </c>
      <c r="AB239" s="50"/>
      <c r="AC239" s="50"/>
      <c r="AD239" s="50"/>
      <c r="AE239" s="50"/>
      <c r="AL239" s="66">
        <f t="shared" ref="AL239:BQ239" si="2140">SUM(AI53:AL53)</f>
        <v>0</v>
      </c>
      <c r="AM239" s="66">
        <f t="shared" si="2140"/>
        <v>0</v>
      </c>
      <c r="AN239" s="66">
        <f t="shared" si="2140"/>
        <v>0</v>
      </c>
      <c r="AO239" s="66">
        <f t="shared" si="2140"/>
        <v>0</v>
      </c>
      <c r="AP239" s="66">
        <f t="shared" si="2140"/>
        <v>0</v>
      </c>
      <c r="AQ239" s="66">
        <f t="shared" si="2140"/>
        <v>0</v>
      </c>
      <c r="AR239" s="66">
        <f t="shared" si="2140"/>
        <v>0</v>
      </c>
      <c r="AS239" s="66">
        <f t="shared" si="2140"/>
        <v>0</v>
      </c>
      <c r="AT239" s="66">
        <f t="shared" si="2140"/>
        <v>0</v>
      </c>
      <c r="AU239" s="66">
        <f t="shared" si="2140"/>
        <v>0</v>
      </c>
      <c r="AV239" s="66">
        <f t="shared" si="2140"/>
        <v>0</v>
      </c>
      <c r="AW239" s="66">
        <f t="shared" si="2140"/>
        <v>0</v>
      </c>
      <c r="AX239" s="66">
        <f t="shared" si="2140"/>
        <v>0</v>
      </c>
      <c r="AY239" s="66">
        <f t="shared" si="2140"/>
        <v>0</v>
      </c>
      <c r="AZ239" s="66">
        <f t="shared" si="2140"/>
        <v>0</v>
      </c>
      <c r="BA239" s="66">
        <f t="shared" si="2140"/>
        <v>0</v>
      </c>
      <c r="BB239" s="66">
        <f t="shared" si="2140"/>
        <v>0</v>
      </c>
      <c r="BC239" s="66">
        <f t="shared" si="2140"/>
        <v>0</v>
      </c>
      <c r="BD239" s="66">
        <f t="shared" si="2140"/>
        <v>0</v>
      </c>
      <c r="BE239" s="66">
        <f t="shared" si="2140"/>
        <v>0</v>
      </c>
      <c r="BF239" s="66">
        <f t="shared" si="2140"/>
        <v>0</v>
      </c>
      <c r="BG239" s="66">
        <f t="shared" si="2140"/>
        <v>0</v>
      </c>
      <c r="BH239" s="66">
        <f t="shared" si="2140"/>
        <v>0</v>
      </c>
      <c r="BI239" s="66">
        <f t="shared" si="2140"/>
        <v>0</v>
      </c>
      <c r="BJ239" s="66">
        <f t="shared" si="2140"/>
        <v>0</v>
      </c>
      <c r="BK239" s="66">
        <f t="shared" si="2140"/>
        <v>0</v>
      </c>
      <c r="BL239" s="66">
        <f t="shared" si="2140"/>
        <v>0</v>
      </c>
      <c r="BM239" s="66">
        <f t="shared" si="2140"/>
        <v>0</v>
      </c>
      <c r="BN239" s="66">
        <f t="shared" si="2140"/>
        <v>0</v>
      </c>
      <c r="BO239" s="66">
        <f t="shared" si="2140"/>
        <v>0</v>
      </c>
      <c r="BP239" s="66">
        <f t="shared" si="2140"/>
        <v>0</v>
      </c>
      <c r="BQ239" s="66">
        <f t="shared" si="2140"/>
        <v>13.120999999999999</v>
      </c>
      <c r="BR239" s="66">
        <f t="shared" ref="BR239:CW239" si="2141">SUM(BO53:BR53)</f>
        <v>23.329000000000001</v>
      </c>
      <c r="BS239" s="66">
        <f t="shared" si="2141"/>
        <v>53.045000000000009</v>
      </c>
      <c r="BT239" s="66">
        <f t="shared" si="2141"/>
        <v>83.491</v>
      </c>
      <c r="BU239" s="66">
        <f t="shared" si="2141"/>
        <v>102.40600000000001</v>
      </c>
      <c r="BV239" s="66">
        <f t="shared" si="2141"/>
        <v>126.735</v>
      </c>
      <c r="BW239" s="66">
        <f t="shared" si="2141"/>
        <v>136.73299999999998</v>
      </c>
      <c r="BX239" s="66">
        <f t="shared" si="2141"/>
        <v>149.238</v>
      </c>
      <c r="BY239" s="66">
        <f t="shared" si="2141"/>
        <v>160.42700000000002</v>
      </c>
      <c r="BZ239" s="66">
        <f t="shared" si="2141"/>
        <v>168.60000000000002</v>
      </c>
      <c r="CA239" s="66">
        <f t="shared" si="2141"/>
        <v>182.119</v>
      </c>
      <c r="CB239" s="66">
        <f t="shared" si="2141"/>
        <v>196.85300000000001</v>
      </c>
      <c r="CC239" s="66">
        <f t="shared" si="2141"/>
        <v>211.67099999999999</v>
      </c>
      <c r="CD239" s="66">
        <f t="shared" si="2141"/>
        <v>225.82099999999997</v>
      </c>
      <c r="CE239" s="66">
        <f t="shared" si="2141"/>
        <v>246.03099999999998</v>
      </c>
      <c r="CF239" s="66">
        <f t="shared" si="2141"/>
        <v>264.65600000000001</v>
      </c>
      <c r="CG239" s="66">
        <f t="shared" si="2141"/>
        <v>283.84499999999997</v>
      </c>
      <c r="CH239" s="66">
        <f t="shared" si="2141"/>
        <v>300.63400000000001</v>
      </c>
      <c r="CI239" s="66">
        <f t="shared" si="2141"/>
        <v>321.09999999999997</v>
      </c>
      <c r="CJ239" s="66">
        <f t="shared" si="2141"/>
        <v>344.68499999999995</v>
      </c>
      <c r="CK239" s="66">
        <f t="shared" si="2141"/>
        <v>367.55600000000004</v>
      </c>
      <c r="CL239" s="66">
        <f t="shared" si="2141"/>
        <v>397.35300000000001</v>
      </c>
      <c r="CM239" s="50">
        <f t="shared" si="2141"/>
        <v>415.16472189012984</v>
      </c>
      <c r="CN239" s="50">
        <f t="shared" si="2141"/>
        <v>439.42987946055541</v>
      </c>
      <c r="CO239" s="50">
        <f t="shared" si="2141"/>
        <v>460.88562919614253</v>
      </c>
      <c r="CP239" s="50">
        <f t="shared" si="2141"/>
        <v>482.40757647760518</v>
      </c>
      <c r="CQ239" s="50">
        <f t="shared" si="2141"/>
        <v>531.06790943577357</v>
      </c>
      <c r="CR239" s="50">
        <f t="shared" si="2141"/>
        <v>585.45383801035814</v>
      </c>
      <c r="CS239" s="50">
        <f t="shared" si="2141"/>
        <v>643.52100595270826</v>
      </c>
      <c r="CT239" s="50">
        <f t="shared" si="2141"/>
        <v>708.47425524107871</v>
      </c>
      <c r="CU239" s="50">
        <f t="shared" si="2141"/>
        <v>778.08618843954491</v>
      </c>
      <c r="CV239" s="50">
        <f t="shared" si="2141"/>
        <v>855.30853368115868</v>
      </c>
      <c r="CW239" s="50">
        <f t="shared" si="2141"/>
        <v>935.0287851706139</v>
      </c>
      <c r="CX239" s="50">
        <f t="shared" ref="CX239:DB239" si="2142">SUM(CU53:CX53)</f>
        <v>1019.1516087150223</v>
      </c>
      <c r="CY239" s="50">
        <f t="shared" si="2142"/>
        <v>1114.9787566185892</v>
      </c>
      <c r="CZ239" s="50">
        <f t="shared" si="2142"/>
        <v>1220.2418966790253</v>
      </c>
      <c r="DA239" s="50">
        <f t="shared" si="2142"/>
        <v>1328.0743248812018</v>
      </c>
      <c r="DB239" s="50">
        <f t="shared" si="2142"/>
        <v>1441.5553097651814</v>
      </c>
      <c r="DE239" s="138"/>
    </row>
    <row r="240" spans="1:110" s="93" customFormat="1" x14ac:dyDescent="0.2"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11" customFormat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1" t="s">
        <v>339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4" customFormat="1" hidden="1" outlineLevel="1" x14ac:dyDescent="0.2">
      <c r="A243" s="64" t="s">
        <v>474</v>
      </c>
      <c r="B243" s="64">
        <f t="shared" ref="B243:Z243" si="2143">B20-B249</f>
        <v>0</v>
      </c>
      <c r="C243" s="64">
        <f t="shared" si="2143"/>
        <v>0</v>
      </c>
      <c r="D243" s="64">
        <f t="shared" si="2143"/>
        <v>0</v>
      </c>
      <c r="E243" s="64">
        <f t="shared" si="2143"/>
        <v>0</v>
      </c>
      <c r="F243" s="64">
        <f t="shared" si="2143"/>
        <v>0</v>
      </c>
      <c r="G243" s="64">
        <f t="shared" si="2143"/>
        <v>0</v>
      </c>
      <c r="H243" s="64">
        <f t="shared" si="2143"/>
        <v>0</v>
      </c>
      <c r="I243" s="64">
        <f t="shared" si="2143"/>
        <v>0</v>
      </c>
      <c r="J243" s="64">
        <f t="shared" si="2143"/>
        <v>1.6416811</v>
      </c>
      <c r="K243" s="64">
        <f t="shared" si="2143"/>
        <v>2.0119999000000002</v>
      </c>
      <c r="L243" s="64">
        <f t="shared" si="2143"/>
        <v>2.012</v>
      </c>
      <c r="M243" s="64">
        <f t="shared" si="2143"/>
        <v>0.94233259999999996</v>
      </c>
      <c r="N243" s="64">
        <f t="shared" si="2143"/>
        <v>0.63295319999999999</v>
      </c>
      <c r="O243" s="64">
        <f t="shared" si="2143"/>
        <v>0.503</v>
      </c>
      <c r="P243" s="64">
        <f t="shared" si="2143"/>
        <v>0</v>
      </c>
      <c r="Q243" s="64">
        <f t="shared" si="2143"/>
        <v>0.47499999999999998</v>
      </c>
      <c r="R243" s="64">
        <f t="shared" si="2143"/>
        <v>41.014000000000003</v>
      </c>
      <c r="S243" s="64">
        <f t="shared" si="2143"/>
        <v>221.03200000000001</v>
      </c>
      <c r="T243" s="64">
        <f t="shared" si="2143"/>
        <v>276.58699999999999</v>
      </c>
      <c r="U243" s="64">
        <f t="shared" si="2143"/>
        <v>331.827</v>
      </c>
      <c r="V243" s="64">
        <f t="shared" si="2143"/>
        <v>265.33019999999999</v>
      </c>
      <c r="W243" s="64">
        <f t="shared" si="2143"/>
        <v>417.48509999999999</v>
      </c>
      <c r="X243" s="64">
        <f t="shared" si="2143"/>
        <v>548.63160000000005</v>
      </c>
      <c r="Y243" s="64">
        <f t="shared" si="2143"/>
        <v>724.32249999999999</v>
      </c>
      <c r="Z243" s="64">
        <f t="shared" si="2143"/>
        <v>939.09460000000001</v>
      </c>
      <c r="AA243" s="64">
        <f t="shared" ref="AA243" si="2144">AA20-AA249</f>
        <v>1148.825</v>
      </c>
      <c r="AB243" s="30"/>
      <c r="AC243" s="30"/>
      <c r="AD243" s="30"/>
      <c r="AE243" s="30"/>
      <c r="AI243" s="64">
        <f t="shared" ref="AI243:BN243" si="2145">AI20-AI249</f>
        <v>0</v>
      </c>
      <c r="AJ243" s="64">
        <f t="shared" si="2145"/>
        <v>0</v>
      </c>
      <c r="AK243" s="64">
        <f t="shared" si="2145"/>
        <v>0</v>
      </c>
      <c r="AL243" s="64">
        <f t="shared" si="2145"/>
        <v>0</v>
      </c>
      <c r="AM243" s="64">
        <f t="shared" si="2145"/>
        <v>0</v>
      </c>
      <c r="AN243" s="64">
        <f t="shared" si="2145"/>
        <v>0</v>
      </c>
      <c r="AO243" s="64">
        <f t="shared" si="2145"/>
        <v>0</v>
      </c>
      <c r="AP243" s="64">
        <f t="shared" si="2145"/>
        <v>0</v>
      </c>
      <c r="AQ243" s="64">
        <f t="shared" si="2145"/>
        <v>0</v>
      </c>
      <c r="AR243" s="64">
        <f t="shared" si="2145"/>
        <v>0</v>
      </c>
      <c r="AS243" s="64">
        <f t="shared" si="2145"/>
        <v>0</v>
      </c>
      <c r="AT243" s="64">
        <f t="shared" si="2145"/>
        <v>0</v>
      </c>
      <c r="AU243" s="64">
        <f t="shared" si="2145"/>
        <v>0</v>
      </c>
      <c r="AV243" s="64">
        <f t="shared" si="2145"/>
        <v>0</v>
      </c>
      <c r="AW243" s="64">
        <f t="shared" si="2145"/>
        <v>0</v>
      </c>
      <c r="AX243" s="64">
        <f t="shared" si="2145"/>
        <v>0</v>
      </c>
      <c r="AY243" s="64">
        <f t="shared" si="2145"/>
        <v>0</v>
      </c>
      <c r="AZ243" s="64">
        <f t="shared" si="2145"/>
        <v>0</v>
      </c>
      <c r="BA243" s="64">
        <f t="shared" si="2145"/>
        <v>0</v>
      </c>
      <c r="BB243" s="64">
        <f t="shared" si="2145"/>
        <v>0</v>
      </c>
      <c r="BC243" s="64">
        <f t="shared" si="2145"/>
        <v>0</v>
      </c>
      <c r="BD243" s="64">
        <f t="shared" si="2145"/>
        <v>0</v>
      </c>
      <c r="BE243" s="64">
        <f t="shared" si="2145"/>
        <v>0</v>
      </c>
      <c r="BF243" s="64">
        <f t="shared" si="2145"/>
        <v>0</v>
      </c>
      <c r="BG243" s="64">
        <f t="shared" si="2145"/>
        <v>0</v>
      </c>
      <c r="BH243" s="64">
        <f t="shared" si="2145"/>
        <v>0</v>
      </c>
      <c r="BI243" s="64">
        <f t="shared" si="2145"/>
        <v>0</v>
      </c>
      <c r="BJ243" s="64">
        <f t="shared" si="2145"/>
        <v>0</v>
      </c>
      <c r="BK243" s="64">
        <f t="shared" si="2145"/>
        <v>0</v>
      </c>
      <c r="BL243" s="64">
        <f t="shared" si="2145"/>
        <v>0</v>
      </c>
      <c r="BM243" s="64">
        <f t="shared" si="2145"/>
        <v>0</v>
      </c>
      <c r="BN243" s="64">
        <f t="shared" si="2145"/>
        <v>0</v>
      </c>
      <c r="BO243" s="64">
        <f t="shared" ref="BO243:CT243" si="2146">BO20-BO249</f>
        <v>0</v>
      </c>
      <c r="BP243" s="64">
        <f t="shared" si="2146"/>
        <v>0</v>
      </c>
      <c r="BQ243" s="64">
        <f t="shared" si="2146"/>
        <v>68.081999999999994</v>
      </c>
      <c r="BR243" s="64">
        <f t="shared" si="2146"/>
        <v>70.203000000000003</v>
      </c>
      <c r="BS243" s="64">
        <f t="shared" si="2146"/>
        <v>97.552000000000007</v>
      </c>
      <c r="BT243" s="64">
        <f t="shared" si="2146"/>
        <v>101.72499999999999</v>
      </c>
      <c r="BU243" s="64">
        <f t="shared" si="2146"/>
        <v>105.693</v>
      </c>
      <c r="BV243" s="64">
        <f t="shared" si="2146"/>
        <v>112.515</v>
      </c>
      <c r="BW243" s="64">
        <f t="shared" si="2146"/>
        <v>131.607</v>
      </c>
      <c r="BX243" s="64">
        <f t="shared" si="2146"/>
        <v>136.06299999999999</v>
      </c>
      <c r="BY243" s="64">
        <f t="shared" si="2146"/>
        <v>138.00200000000001</v>
      </c>
      <c r="BZ243" s="64">
        <f t="shared" si="2146"/>
        <v>142.96</v>
      </c>
      <c r="CA243" s="64">
        <f t="shared" si="2146"/>
        <v>175.02600000000001</v>
      </c>
      <c r="CB243" s="64">
        <f t="shared" si="2146"/>
        <v>182.58099999999999</v>
      </c>
      <c r="CC243" s="64">
        <f t="shared" si="2146"/>
        <v>182.43100000000001</v>
      </c>
      <c r="CD243" s="64">
        <f t="shared" si="2146"/>
        <v>184.28399999999999</v>
      </c>
      <c r="CE243" s="64">
        <f t="shared" si="2146"/>
        <v>237.614</v>
      </c>
      <c r="CF243" s="64">
        <f t="shared" si="2146"/>
        <v>242.48099999999999</v>
      </c>
      <c r="CG243" s="64">
        <f t="shared" si="2146"/>
        <v>237.04</v>
      </c>
      <c r="CH243" s="64">
        <f t="shared" si="2146"/>
        <v>221.96</v>
      </c>
      <c r="CI243" s="64">
        <f t="shared" si="2146"/>
        <v>274.017</v>
      </c>
      <c r="CJ243" s="64">
        <f t="shared" si="2146"/>
        <v>297.36599999999999</v>
      </c>
      <c r="CK243" s="64">
        <f t="shared" si="2146"/>
        <v>289.62400000000002</v>
      </c>
      <c r="CL243" s="64">
        <f t="shared" ref="CL243" si="2147">CL20-CL249</f>
        <v>287.81799999999998</v>
      </c>
      <c r="CM243" s="30">
        <f t="shared" si="2146"/>
        <v>344.26289474044876</v>
      </c>
      <c r="CN243" s="30">
        <f t="shared" si="2146"/>
        <v>386.57579999999996</v>
      </c>
      <c r="CO243" s="30">
        <f t="shared" si="2146"/>
        <v>376.51120000000003</v>
      </c>
      <c r="CP243" s="30">
        <f t="shared" si="2146"/>
        <v>374.16339999999997</v>
      </c>
      <c r="CQ243" s="30">
        <f t="shared" si="2146"/>
        <v>447.54176316258344</v>
      </c>
      <c r="CR243" s="30">
        <f t="shared" si="2146"/>
        <v>502.54853999999995</v>
      </c>
      <c r="CS243" s="30">
        <f t="shared" si="2146"/>
        <v>489.46455999999995</v>
      </c>
      <c r="CT243" s="30">
        <f t="shared" si="2146"/>
        <v>486.41241999999994</v>
      </c>
      <c r="CU243" s="30">
        <f t="shared" ref="CU243:DB243" si="2148">CU20-CU249</f>
        <v>581.80429211135834</v>
      </c>
      <c r="CV243" s="30">
        <f t="shared" si="2148"/>
        <v>653.31310199999996</v>
      </c>
      <c r="CW243" s="30">
        <f t="shared" si="2148"/>
        <v>636.30392799999993</v>
      </c>
      <c r="CX243" s="30">
        <f t="shared" si="2148"/>
        <v>632.33614599999987</v>
      </c>
      <c r="CY243" s="30">
        <f t="shared" si="2148"/>
        <v>756.34557974476581</v>
      </c>
      <c r="CZ243" s="30">
        <f t="shared" si="2148"/>
        <v>849.30703259999984</v>
      </c>
      <c r="DA243" s="30">
        <f t="shared" si="2148"/>
        <v>827.1951064000001</v>
      </c>
      <c r="DB243" s="30">
        <f t="shared" si="2148"/>
        <v>822.0369897999999</v>
      </c>
      <c r="DE243" s="139"/>
      <c r="DF243" s="64">
        <v>1148.825</v>
      </c>
    </row>
    <row r="244" spans="1:110" s="64" customFormat="1" hidden="1" outlineLevel="1" x14ac:dyDescent="0.2">
      <c r="A244" s="64" t="s">
        <v>475</v>
      </c>
      <c r="B244" s="64">
        <f t="shared" ref="B244:Z244" si="2149">B40-B250</f>
        <v>0</v>
      </c>
      <c r="C244" s="64">
        <f t="shared" si="2149"/>
        <v>0</v>
      </c>
      <c r="D244" s="64">
        <f t="shared" si="2149"/>
        <v>0</v>
      </c>
      <c r="E244" s="64">
        <f t="shared" si="2149"/>
        <v>0</v>
      </c>
      <c r="F244" s="64">
        <f t="shared" si="2149"/>
        <v>0</v>
      </c>
      <c r="G244" s="64">
        <f t="shared" si="2149"/>
        <v>0</v>
      </c>
      <c r="H244" s="64">
        <f t="shared" si="2149"/>
        <v>0</v>
      </c>
      <c r="I244" s="64">
        <f t="shared" si="2149"/>
        <v>0</v>
      </c>
      <c r="J244" s="64">
        <f t="shared" si="2149"/>
        <v>0.31532189999999982</v>
      </c>
      <c r="K244" s="64">
        <f t="shared" si="2149"/>
        <v>7.1509999999999074E-3</v>
      </c>
      <c r="L244" s="64">
        <f t="shared" si="2149"/>
        <v>0.37503939999999991</v>
      </c>
      <c r="M244" s="64">
        <f t="shared" si="2149"/>
        <v>-0.27640790000000004</v>
      </c>
      <c r="N244" s="64">
        <f t="shared" si="2149"/>
        <v>3.4475000000000477E-3</v>
      </c>
      <c r="O244" s="64">
        <f t="shared" si="2149"/>
        <v>-0.19333939999999994</v>
      </c>
      <c r="P244" s="64">
        <f t="shared" si="2149"/>
        <v>-8.8880600000000004E-2</v>
      </c>
      <c r="Q244" s="64">
        <f t="shared" si="2149"/>
        <v>-5.0000000000000044E-2</v>
      </c>
      <c r="R244" s="64">
        <f t="shared" si="2149"/>
        <v>-0.92299999999998761</v>
      </c>
      <c r="S244" s="64">
        <f t="shared" si="2149"/>
        <v>78.525999999999982</v>
      </c>
      <c r="T244" s="64">
        <f t="shared" si="2149"/>
        <v>97.877999999999986</v>
      </c>
      <c r="U244" s="64">
        <f t="shared" si="2149"/>
        <v>106.71799999999999</v>
      </c>
      <c r="V244" s="64">
        <f t="shared" si="2149"/>
        <v>69.583200000000005</v>
      </c>
      <c r="W244" s="64">
        <f t="shared" si="2149"/>
        <v>177.28570000000002</v>
      </c>
      <c r="X244" s="64">
        <f t="shared" si="2149"/>
        <v>238.65560000000005</v>
      </c>
      <c r="Y244" s="64">
        <f t="shared" si="2149"/>
        <v>303.79039999999998</v>
      </c>
      <c r="Z244" s="64">
        <f t="shared" si="2149"/>
        <v>400.27869999999996</v>
      </c>
      <c r="AA244" s="64">
        <f t="shared" ref="AA244" si="2150">AA40-AA250</f>
        <v>481.48810000000003</v>
      </c>
      <c r="AB244" s="30"/>
      <c r="AC244" s="30"/>
      <c r="AD244" s="30"/>
      <c r="AE244" s="30"/>
      <c r="AI244" s="64">
        <f t="shared" ref="AI244:BN244" si="2151">AI40-AI250</f>
        <v>0</v>
      </c>
      <c r="AJ244" s="64">
        <f t="shared" si="2151"/>
        <v>0</v>
      </c>
      <c r="AK244" s="64">
        <f t="shared" si="2151"/>
        <v>0</v>
      </c>
      <c r="AL244" s="64">
        <f t="shared" si="2151"/>
        <v>0</v>
      </c>
      <c r="AM244" s="64">
        <f t="shared" si="2151"/>
        <v>0</v>
      </c>
      <c r="AN244" s="64">
        <f t="shared" si="2151"/>
        <v>0</v>
      </c>
      <c r="AO244" s="64">
        <f t="shared" si="2151"/>
        <v>0</v>
      </c>
      <c r="AP244" s="64">
        <f t="shared" si="2151"/>
        <v>0</v>
      </c>
      <c r="AQ244" s="64">
        <f t="shared" si="2151"/>
        <v>0</v>
      </c>
      <c r="AR244" s="64">
        <f t="shared" si="2151"/>
        <v>0</v>
      </c>
      <c r="AS244" s="64">
        <f t="shared" si="2151"/>
        <v>0</v>
      </c>
      <c r="AT244" s="64">
        <f t="shared" si="2151"/>
        <v>0</v>
      </c>
      <c r="AU244" s="64">
        <f t="shared" si="2151"/>
        <v>0</v>
      </c>
      <c r="AV244" s="64">
        <f t="shared" si="2151"/>
        <v>0</v>
      </c>
      <c r="AW244" s="64">
        <f t="shared" si="2151"/>
        <v>0</v>
      </c>
      <c r="AX244" s="64">
        <f t="shared" si="2151"/>
        <v>0</v>
      </c>
      <c r="AY244" s="64">
        <f t="shared" si="2151"/>
        <v>0</v>
      </c>
      <c r="AZ244" s="64">
        <f t="shared" si="2151"/>
        <v>0</v>
      </c>
      <c r="BA244" s="64">
        <f t="shared" si="2151"/>
        <v>0</v>
      </c>
      <c r="BB244" s="64">
        <f t="shared" si="2151"/>
        <v>0</v>
      </c>
      <c r="BC244" s="64">
        <f t="shared" si="2151"/>
        <v>0</v>
      </c>
      <c r="BD244" s="64">
        <f t="shared" si="2151"/>
        <v>0</v>
      </c>
      <c r="BE244" s="64">
        <f t="shared" si="2151"/>
        <v>0</v>
      </c>
      <c r="BF244" s="64">
        <f t="shared" si="2151"/>
        <v>0</v>
      </c>
      <c r="BG244" s="64">
        <f t="shared" si="2151"/>
        <v>0</v>
      </c>
      <c r="BH244" s="64">
        <f t="shared" si="2151"/>
        <v>0</v>
      </c>
      <c r="BI244" s="64">
        <f t="shared" si="2151"/>
        <v>0</v>
      </c>
      <c r="BJ244" s="64">
        <f t="shared" si="2151"/>
        <v>0</v>
      </c>
      <c r="BK244" s="64">
        <f t="shared" si="2151"/>
        <v>0</v>
      </c>
      <c r="BL244" s="64">
        <f t="shared" si="2151"/>
        <v>0</v>
      </c>
      <c r="BM244" s="64">
        <f t="shared" si="2151"/>
        <v>0</v>
      </c>
      <c r="BN244" s="64">
        <f t="shared" si="2151"/>
        <v>0</v>
      </c>
      <c r="BO244" s="64">
        <f t="shared" ref="BO244:CT244" si="2152">BO40-BO250</f>
        <v>0</v>
      </c>
      <c r="BP244" s="64">
        <f t="shared" si="2152"/>
        <v>0</v>
      </c>
      <c r="BQ244" s="64">
        <f t="shared" si="2152"/>
        <v>21.009999999999998</v>
      </c>
      <c r="BR244" s="64">
        <f t="shared" si="2152"/>
        <v>14.496000000000002</v>
      </c>
      <c r="BS244" s="64">
        <f t="shared" si="2152"/>
        <v>43.467000000000006</v>
      </c>
      <c r="BT244" s="64">
        <f t="shared" si="2152"/>
        <v>43.474999999999994</v>
      </c>
      <c r="BU244" s="64">
        <f t="shared" si="2152"/>
        <v>44.468999999999994</v>
      </c>
      <c r="BV244" s="64">
        <f t="shared" si="2152"/>
        <v>45.804999999999993</v>
      </c>
      <c r="BW244" s="64">
        <f t="shared" si="2152"/>
        <v>55.709000000000003</v>
      </c>
      <c r="BX244" s="64">
        <f t="shared" si="2152"/>
        <v>60.407999999999987</v>
      </c>
      <c r="BY244" s="64">
        <f t="shared" si="2152"/>
        <v>61.717000000000013</v>
      </c>
      <c r="BZ244" s="64">
        <f t="shared" si="2152"/>
        <v>60.822000000000003</v>
      </c>
      <c r="CA244" s="64">
        <f t="shared" si="2152"/>
        <v>73.356000000000009</v>
      </c>
      <c r="CB244" s="64">
        <f t="shared" si="2152"/>
        <v>77.466999999999985</v>
      </c>
      <c r="CC244" s="64">
        <f t="shared" si="2152"/>
        <v>79.829000000000008</v>
      </c>
      <c r="CD244" s="64">
        <f t="shared" si="2152"/>
        <v>73.136999999999986</v>
      </c>
      <c r="CE244" s="64">
        <f t="shared" si="2152"/>
        <v>98.234000000000009</v>
      </c>
      <c r="CF244" s="64">
        <f t="shared" si="2152"/>
        <v>104.119</v>
      </c>
      <c r="CG244" s="64">
        <f t="shared" si="2152"/>
        <v>107.06899999999999</v>
      </c>
      <c r="CH244" s="64">
        <f t="shared" si="2152"/>
        <v>90.841000000000008</v>
      </c>
      <c r="CI244" s="64">
        <f t="shared" si="2152"/>
        <v>127.77799999999999</v>
      </c>
      <c r="CJ244" s="64">
        <f t="shared" si="2152"/>
        <v>137.47199999999998</v>
      </c>
      <c r="CK244" s="64">
        <f t="shared" si="2152"/>
        <v>131.42900000000003</v>
      </c>
      <c r="CL244" s="64">
        <f t="shared" ref="CL244" si="2153">CL40-CL250</f>
        <v>84.791999999999973</v>
      </c>
      <c r="CM244" s="30">
        <f t="shared" si="2152"/>
        <v>144.33288743763305</v>
      </c>
      <c r="CN244" s="30">
        <f t="shared" si="2152"/>
        <v>157.52437913327796</v>
      </c>
      <c r="CO244" s="30">
        <f t="shared" si="2152"/>
        <v>148.26380304412959</v>
      </c>
      <c r="CP244" s="30">
        <f t="shared" si="2152"/>
        <v>141.72602652419724</v>
      </c>
      <c r="CQ244" s="30">
        <f t="shared" si="2152"/>
        <v>178.93868657826044</v>
      </c>
      <c r="CR244" s="30">
        <f t="shared" si="2152"/>
        <v>198.49114724156453</v>
      </c>
      <c r="CS244" s="30">
        <f t="shared" si="2152"/>
        <v>191.79168695036498</v>
      </c>
      <c r="CT244" s="30">
        <f t="shared" si="2152"/>
        <v>190.35940575494345</v>
      </c>
      <c r="CU244" s="30">
        <f t="shared" ref="CU244:DB244" si="2154">CU40-CU250</f>
        <v>229.52011734383882</v>
      </c>
      <c r="CV244" s="30">
        <f t="shared" si="2154"/>
        <v>256.85983343390279</v>
      </c>
      <c r="CW244" s="30">
        <f t="shared" si="2154"/>
        <v>249.88542902938229</v>
      </c>
      <c r="CX244" s="30">
        <f t="shared" si="2154"/>
        <v>248.46541755932651</v>
      </c>
      <c r="CY244" s="30">
        <f t="shared" si="2154"/>
        <v>297.49124044812294</v>
      </c>
      <c r="CZ244" s="30">
        <f t="shared" si="2154"/>
        <v>333.80708355231877</v>
      </c>
      <c r="DA244" s="30">
        <f t="shared" si="2154"/>
        <v>325.08937615243946</v>
      </c>
      <c r="DB244" s="30">
        <f t="shared" si="2154"/>
        <v>323.12143381688122</v>
      </c>
      <c r="DE244" s="139"/>
      <c r="DF244" s="64">
        <v>481.48810000000003</v>
      </c>
    </row>
    <row r="245" spans="1:110" s="89" customFormat="1" hidden="1" outlineLevel="1" x14ac:dyDescent="0.2">
      <c r="A245" s="86" t="s">
        <v>476</v>
      </c>
      <c r="B245" s="86" t="e">
        <f>+B244/B243</f>
        <v>#DIV/0!</v>
      </c>
      <c r="C245" s="86" t="e">
        <f t="shared" ref="C245" si="2155">+C244/C243</f>
        <v>#DIV/0!</v>
      </c>
      <c r="D245" s="86" t="e">
        <f t="shared" ref="D245" si="2156">+D244/D243</f>
        <v>#DIV/0!</v>
      </c>
      <c r="E245" s="86" t="e">
        <f t="shared" ref="E245" si="2157">+E244/E243</f>
        <v>#DIV/0!</v>
      </c>
      <c r="F245" s="86" t="e">
        <f t="shared" ref="F245" si="2158">+F244/F243</f>
        <v>#DIV/0!</v>
      </c>
      <c r="G245" s="86" t="e">
        <f t="shared" ref="G245" si="2159">+G244/G243</f>
        <v>#DIV/0!</v>
      </c>
      <c r="H245" s="86" t="e">
        <f t="shared" ref="H245" si="2160">+H244/H243</f>
        <v>#DIV/0!</v>
      </c>
      <c r="I245" s="86" t="e">
        <f t="shared" ref="I245" si="2161">+I244/I243</f>
        <v>#DIV/0!</v>
      </c>
      <c r="J245" s="86">
        <f t="shared" ref="J245" si="2162">+J244/J243</f>
        <v>0.19207256512851359</v>
      </c>
      <c r="K245" s="86">
        <f t="shared" ref="K245" si="2163">+K244/K243</f>
        <v>3.5541751269470277E-3</v>
      </c>
      <c r="L245" s="86">
        <f t="shared" ref="L245" si="2164">+L244/L243</f>
        <v>0.18640129224652083</v>
      </c>
      <c r="M245" s="86">
        <f t="shared" ref="M245" si="2165">+M244/M243</f>
        <v>-0.2933230793458701</v>
      </c>
      <c r="N245" s="86">
        <f t="shared" ref="N245" si="2166">+N244/N243</f>
        <v>5.4466902134313374E-3</v>
      </c>
      <c r="O245" s="86">
        <f t="shared" ref="O245" si="2167">+O244/O243</f>
        <v>-0.38437256461232594</v>
      </c>
      <c r="P245" s="86" t="e">
        <f t="shared" ref="P245" si="2168">+P244/P243</f>
        <v>#DIV/0!</v>
      </c>
      <c r="Q245" s="86">
        <f t="shared" ref="Q245" si="2169">+Q244/Q243</f>
        <v>-0.10526315789473695</v>
      </c>
      <c r="R245" s="86">
        <f t="shared" ref="R245" si="2170">+R244/R243</f>
        <v>-2.2504510654898023E-2</v>
      </c>
      <c r="S245" s="86">
        <f t="shared" ref="S245" si="2171">+S244/S243</f>
        <v>0.35526982518368372</v>
      </c>
      <c r="T245" s="86">
        <f t="shared" ref="T245" si="2172">+T244/T243</f>
        <v>0.35387780336747565</v>
      </c>
      <c r="U245" s="86">
        <f t="shared" ref="U245" si="2173">+U244/U243</f>
        <v>0.32160734358566356</v>
      </c>
      <c r="V245" s="86">
        <f t="shared" ref="V245" si="2174">+V244/V243</f>
        <v>0.26225133814394291</v>
      </c>
      <c r="W245" s="86">
        <f t="shared" ref="W245" si="2175">+W244/W243</f>
        <v>0.42465156241504193</v>
      </c>
      <c r="X245" s="86">
        <f t="shared" ref="X245:Y245" si="2176">+X244/X243</f>
        <v>0.43500155660009382</v>
      </c>
      <c r="Y245" s="86">
        <f t="shared" si="2176"/>
        <v>0.41941317576079712</v>
      </c>
      <c r="Z245" s="86">
        <f t="shared" ref="Z245:AA245" si="2177">+Z244/Z243</f>
        <v>0.42623895398823503</v>
      </c>
      <c r="AA245" s="86">
        <f t="shared" ref="AA245" si="2178">+AA244/AA243</f>
        <v>0.41911352904054144</v>
      </c>
      <c r="AB245" s="87"/>
      <c r="AC245" s="87"/>
      <c r="AD245" s="87"/>
      <c r="AE245" s="87"/>
      <c r="AF245" s="86"/>
      <c r="AG245" s="86"/>
      <c r="AH245" s="86"/>
      <c r="AI245" s="86" t="e">
        <f t="shared" ref="AI245" si="2179">+AI244/AI243</f>
        <v>#DIV/0!</v>
      </c>
      <c r="AJ245" s="86" t="e">
        <f t="shared" ref="AJ245" si="2180">+AJ244/AJ243</f>
        <v>#DIV/0!</v>
      </c>
      <c r="AK245" s="86" t="e">
        <f t="shared" ref="AK245" si="2181">+AK244/AK243</f>
        <v>#DIV/0!</v>
      </c>
      <c r="AL245" s="86" t="e">
        <f t="shared" ref="AL245" si="2182">+AL244/AL243</f>
        <v>#DIV/0!</v>
      </c>
      <c r="AM245" s="86" t="e">
        <f t="shared" ref="AM245" si="2183">+AM244/AM243</f>
        <v>#DIV/0!</v>
      </c>
      <c r="AN245" s="86" t="e">
        <f t="shared" ref="AN245" si="2184">+AN244/AN243</f>
        <v>#DIV/0!</v>
      </c>
      <c r="AO245" s="86" t="e">
        <f t="shared" ref="AO245" si="2185">+AO244/AO243</f>
        <v>#DIV/0!</v>
      </c>
      <c r="AP245" s="86" t="e">
        <f t="shared" ref="AP245" si="2186">+AP244/AP243</f>
        <v>#DIV/0!</v>
      </c>
      <c r="AQ245" s="86" t="e">
        <f t="shared" ref="AQ245" si="2187">+AQ244/AQ243</f>
        <v>#DIV/0!</v>
      </c>
      <c r="AR245" s="86" t="e">
        <f t="shared" ref="AR245" si="2188">+AR244/AR243</f>
        <v>#DIV/0!</v>
      </c>
      <c r="AS245" s="86" t="e">
        <f t="shared" ref="AS245" si="2189">+AS244/AS243</f>
        <v>#DIV/0!</v>
      </c>
      <c r="AT245" s="86" t="e">
        <f t="shared" ref="AT245" si="2190">+AT244/AT243</f>
        <v>#DIV/0!</v>
      </c>
      <c r="AU245" s="86" t="e">
        <f t="shared" ref="AU245" si="2191">+AU244/AU243</f>
        <v>#DIV/0!</v>
      </c>
      <c r="AV245" s="86" t="e">
        <f t="shared" ref="AV245" si="2192">+AV244/AV243</f>
        <v>#DIV/0!</v>
      </c>
      <c r="AW245" s="86" t="e">
        <f t="shared" ref="AW245" si="2193">+AW244/AW243</f>
        <v>#DIV/0!</v>
      </c>
      <c r="AX245" s="86" t="e">
        <f t="shared" ref="AX245" si="2194">+AX244/AX243</f>
        <v>#DIV/0!</v>
      </c>
      <c r="AY245" s="86" t="e">
        <f t="shared" ref="AY245" si="2195">+AY244/AY243</f>
        <v>#DIV/0!</v>
      </c>
      <c r="AZ245" s="86" t="e">
        <f t="shared" ref="AZ245" si="2196">+AZ244/AZ243</f>
        <v>#DIV/0!</v>
      </c>
      <c r="BA245" s="86" t="e">
        <f t="shared" ref="BA245" si="2197">+BA244/BA243</f>
        <v>#DIV/0!</v>
      </c>
      <c r="BB245" s="86" t="e">
        <f t="shared" ref="BB245" si="2198">+BB244/BB243</f>
        <v>#DIV/0!</v>
      </c>
      <c r="BC245" s="86" t="e">
        <f t="shared" ref="BC245" si="2199">+BC244/BC243</f>
        <v>#DIV/0!</v>
      </c>
      <c r="BD245" s="86" t="e">
        <f t="shared" ref="BD245" si="2200">+BD244/BD243</f>
        <v>#DIV/0!</v>
      </c>
      <c r="BE245" s="86" t="e">
        <f t="shared" ref="BE245" si="2201">+BE244/BE243</f>
        <v>#DIV/0!</v>
      </c>
      <c r="BF245" s="86" t="e">
        <f t="shared" ref="BF245" si="2202">+BF244/BF243</f>
        <v>#DIV/0!</v>
      </c>
      <c r="BG245" s="86" t="e">
        <f t="shared" ref="BG245" si="2203">+BG244/BG243</f>
        <v>#DIV/0!</v>
      </c>
      <c r="BH245" s="86" t="e">
        <f t="shared" ref="BH245" si="2204">+BH244/BH243</f>
        <v>#DIV/0!</v>
      </c>
      <c r="BI245" s="86" t="e">
        <f t="shared" ref="BI245" si="2205">+BI244/BI243</f>
        <v>#DIV/0!</v>
      </c>
      <c r="BJ245" s="86" t="e">
        <f t="shared" ref="BJ245" si="2206">+BJ244/BJ243</f>
        <v>#DIV/0!</v>
      </c>
      <c r="BK245" s="86" t="e">
        <f t="shared" ref="BK245" si="2207">+BK244/BK243</f>
        <v>#DIV/0!</v>
      </c>
      <c r="BL245" s="86" t="e">
        <f t="shared" ref="BL245" si="2208">+BL244/BL243</f>
        <v>#DIV/0!</v>
      </c>
      <c r="BM245" s="86" t="e">
        <f t="shared" ref="BM245" si="2209">+BM244/BM243</f>
        <v>#DIV/0!</v>
      </c>
      <c r="BN245" s="86" t="e">
        <f t="shared" ref="BN245" si="2210">+BN244/BN243</f>
        <v>#DIV/0!</v>
      </c>
      <c r="BO245" s="86" t="e">
        <f t="shared" ref="BO245" si="2211">+BO244/BO243</f>
        <v>#DIV/0!</v>
      </c>
      <c r="BP245" s="86" t="e">
        <f t="shared" ref="BP245" si="2212">+BP244/BP243</f>
        <v>#DIV/0!</v>
      </c>
      <c r="BQ245" s="86">
        <f t="shared" ref="BQ245" si="2213">+BQ244/BQ243</f>
        <v>0.30859845480450043</v>
      </c>
      <c r="BR245" s="86">
        <f t="shared" ref="BR245" si="2214">+BR244/BR243</f>
        <v>0.20648690226913383</v>
      </c>
      <c r="BS245" s="86">
        <f t="shared" ref="BS245" si="2215">+BS244/BS243</f>
        <v>0.44557774315237003</v>
      </c>
      <c r="BT245" s="86">
        <f t="shared" ref="BT245" si="2216">+BT244/BT243</f>
        <v>0.42737773408699925</v>
      </c>
      <c r="BU245" s="86">
        <f t="shared" ref="BU245" si="2217">+BU244/BU243</f>
        <v>0.42073741875053217</v>
      </c>
      <c r="BV245" s="86">
        <f t="shared" ref="BV245" si="2218">+BV244/BV243</f>
        <v>0.40710127538550411</v>
      </c>
      <c r="BW245" s="86">
        <f t="shared" ref="BW245" si="2219">+BW244/BW243</f>
        <v>0.42329815283381583</v>
      </c>
      <c r="BX245" s="86">
        <f t="shared" ref="BX245" si="2220">+BX244/BX243</f>
        <v>0.44397080764057822</v>
      </c>
      <c r="BY245" s="86">
        <f t="shared" ref="BY245" si="2221">+BY244/BY243</f>
        <v>0.447218156258605</v>
      </c>
      <c r="BZ245" s="86">
        <f t="shared" ref="BZ245" si="2222">+BZ244/BZ243</f>
        <v>0.42544767767207609</v>
      </c>
      <c r="CA245" s="86">
        <f t="shared" ref="CA245" si="2223">+CA244/CA243</f>
        <v>0.41911487436152345</v>
      </c>
      <c r="CB245" s="86">
        <f t="shared" ref="CB245:CC245" si="2224">+CB244/CB243</f>
        <v>0.42428839802608154</v>
      </c>
      <c r="CC245" s="86">
        <f t="shared" si="2224"/>
        <v>0.43758462103480222</v>
      </c>
      <c r="CD245" s="86">
        <f t="shared" ref="CD245" si="2225">+CD244/CD243</f>
        <v>0.39687113368496446</v>
      </c>
      <c r="CE245" s="86">
        <f t="shared" ref="CE245:CF245" si="2226">+CE244/CE243</f>
        <v>0.41341840127265234</v>
      </c>
      <c r="CF245" s="86">
        <f t="shared" si="2226"/>
        <v>0.42939034398571435</v>
      </c>
      <c r="CG245" s="86">
        <f t="shared" ref="CG245:CH245" si="2227">+CG244/CG243</f>
        <v>0.45169169760377992</v>
      </c>
      <c r="CH245" s="86">
        <f t="shared" si="2227"/>
        <v>0.40926743557397732</v>
      </c>
      <c r="CI245" s="86">
        <f t="shared" ref="CI245:CJ245" si="2228">+CI244/CI243</f>
        <v>0.46631413379461856</v>
      </c>
      <c r="CJ245" s="86">
        <f t="shared" si="2228"/>
        <v>0.46229898508908207</v>
      </c>
      <c r="CK245" s="86">
        <f t="shared" ref="CK245:DB245" si="2229">+CK244/CK243</f>
        <v>0.4537918128331907</v>
      </c>
      <c r="CL245" s="86">
        <f t="shared" si="2229"/>
        <v>0.29460283929427616</v>
      </c>
      <c r="CM245" s="47">
        <f t="shared" si="2229"/>
        <v>0.41925194275279193</v>
      </c>
      <c r="CN245" s="47">
        <f t="shared" si="2229"/>
        <v>0.40748639499233519</v>
      </c>
      <c r="CO245" s="47">
        <f t="shared" si="2229"/>
        <v>0.39378324746814858</v>
      </c>
      <c r="CP245" s="47">
        <f t="shared" si="2229"/>
        <v>0.37878110612688803</v>
      </c>
      <c r="CQ245" s="47">
        <f t="shared" si="2229"/>
        <v>0.39982567283504089</v>
      </c>
      <c r="CR245" s="47">
        <f t="shared" si="2229"/>
        <v>0.39496910535560315</v>
      </c>
      <c r="CS245" s="47">
        <f t="shared" si="2229"/>
        <v>0.39183978294642008</v>
      </c>
      <c r="CT245" s="47">
        <f t="shared" si="2229"/>
        <v>0.39135391681598813</v>
      </c>
      <c r="CU245" s="47">
        <f t="shared" si="2229"/>
        <v>0.39449711948826305</v>
      </c>
      <c r="CV245" s="47">
        <f t="shared" si="2229"/>
        <v>0.39316498115156862</v>
      </c>
      <c r="CW245" s="47">
        <f t="shared" si="2229"/>
        <v>0.39271395010055998</v>
      </c>
      <c r="CX245" s="47">
        <f t="shared" si="2229"/>
        <v>0.39293249188909496</v>
      </c>
      <c r="CY245" s="47">
        <f t="shared" si="2229"/>
        <v>0.39332713565737171</v>
      </c>
      <c r="CZ245" s="47">
        <f t="shared" si="2229"/>
        <v>0.39303463969964875</v>
      </c>
      <c r="DA245" s="47">
        <f t="shared" si="2229"/>
        <v>0.3930020543366689</v>
      </c>
      <c r="DB245" s="47">
        <f t="shared" si="2229"/>
        <v>0.39307408039569613</v>
      </c>
      <c r="DE245" s="130"/>
      <c r="DF245" s="89">
        <v>0.41911352904054144</v>
      </c>
    </row>
    <row r="246" spans="1:110" s="64" customFormat="1" hidden="1" outlineLevel="1" x14ac:dyDescent="0.2">
      <c r="A246" s="64" t="s">
        <v>477</v>
      </c>
      <c r="B246" s="64">
        <f t="shared" ref="B246:Z246" si="2230">B53-B252</f>
        <v>0</v>
      </c>
      <c r="C246" s="64">
        <f t="shared" si="2230"/>
        <v>0</v>
      </c>
      <c r="D246" s="64">
        <f t="shared" si="2230"/>
        <v>0</v>
      </c>
      <c r="E246" s="64">
        <f t="shared" si="2230"/>
        <v>0</v>
      </c>
      <c r="F246" s="64">
        <f t="shared" si="2230"/>
        <v>0</v>
      </c>
      <c r="G246" s="64">
        <f t="shared" si="2230"/>
        <v>0</v>
      </c>
      <c r="H246" s="64">
        <f t="shared" si="2230"/>
        <v>0</v>
      </c>
      <c r="I246" s="64">
        <f t="shared" si="2230"/>
        <v>0</v>
      </c>
      <c r="J246" s="64">
        <f t="shared" si="2230"/>
        <v>0.35855059999999983</v>
      </c>
      <c r="K246" s="64">
        <f t="shared" si="2230"/>
        <v>0.1897734999999999</v>
      </c>
      <c r="L246" s="64">
        <f t="shared" si="2230"/>
        <v>0.52089149999999984</v>
      </c>
      <c r="M246" s="64">
        <f t="shared" si="2230"/>
        <v>0.10714169999999995</v>
      </c>
      <c r="N246" s="64">
        <f t="shared" si="2230"/>
        <v>0.14259930000000007</v>
      </c>
      <c r="O246" s="64">
        <f t="shared" si="2230"/>
        <v>0.28655730000000007</v>
      </c>
      <c r="P246" s="64">
        <f t="shared" si="2230"/>
        <v>-2.7392E-2</v>
      </c>
      <c r="Q246" s="64">
        <f t="shared" si="2230"/>
        <v>0.15699999999999995</v>
      </c>
      <c r="R246" s="64">
        <f t="shared" si="2230"/>
        <v>-0.15999999999998771</v>
      </c>
      <c r="S246" s="64">
        <f t="shared" si="2230"/>
        <v>46.081999999999979</v>
      </c>
      <c r="T246" s="64">
        <f t="shared" si="2230"/>
        <v>58.432999999999979</v>
      </c>
      <c r="U246" s="64">
        <f t="shared" si="2230"/>
        <v>61.613999999999983</v>
      </c>
      <c r="V246" s="64">
        <f t="shared" si="2230"/>
        <v>44.624400000000009</v>
      </c>
      <c r="W246" s="64">
        <f t="shared" si="2230"/>
        <v>126.56070000000003</v>
      </c>
      <c r="X246" s="64">
        <f t="shared" si="2230"/>
        <v>168.60110000000003</v>
      </c>
      <c r="Y246" s="64">
        <f t="shared" si="2230"/>
        <v>225.82229999999996</v>
      </c>
      <c r="Z246" s="64">
        <f t="shared" si="2230"/>
        <v>300.5098999999999</v>
      </c>
      <c r="AA246" s="64">
        <f t="shared" ref="AA246" si="2231">AA53-AA252</f>
        <v>397.16539999999998</v>
      </c>
      <c r="AB246" s="30"/>
      <c r="AC246" s="30"/>
      <c r="AD246" s="30"/>
      <c r="AE246" s="30"/>
      <c r="AI246" s="64">
        <f t="shared" ref="AI246:BN246" si="2232">AI53-AI252</f>
        <v>0</v>
      </c>
      <c r="AJ246" s="64">
        <f t="shared" si="2232"/>
        <v>0</v>
      </c>
      <c r="AK246" s="64">
        <f t="shared" si="2232"/>
        <v>0</v>
      </c>
      <c r="AL246" s="64">
        <f t="shared" si="2232"/>
        <v>0</v>
      </c>
      <c r="AM246" s="64">
        <f t="shared" si="2232"/>
        <v>0</v>
      </c>
      <c r="AN246" s="64">
        <f t="shared" si="2232"/>
        <v>0</v>
      </c>
      <c r="AO246" s="64">
        <f t="shared" si="2232"/>
        <v>0</v>
      </c>
      <c r="AP246" s="64">
        <f t="shared" si="2232"/>
        <v>0</v>
      </c>
      <c r="AQ246" s="64">
        <f t="shared" si="2232"/>
        <v>0</v>
      </c>
      <c r="AR246" s="64">
        <f t="shared" si="2232"/>
        <v>0</v>
      </c>
      <c r="AS246" s="64">
        <f t="shared" si="2232"/>
        <v>0</v>
      </c>
      <c r="AT246" s="64">
        <f t="shared" si="2232"/>
        <v>0</v>
      </c>
      <c r="AU246" s="64">
        <f t="shared" si="2232"/>
        <v>0</v>
      </c>
      <c r="AV246" s="64">
        <f t="shared" si="2232"/>
        <v>0</v>
      </c>
      <c r="AW246" s="64">
        <f t="shared" si="2232"/>
        <v>0</v>
      </c>
      <c r="AX246" s="64">
        <f t="shared" si="2232"/>
        <v>0</v>
      </c>
      <c r="AY246" s="64">
        <f t="shared" si="2232"/>
        <v>0</v>
      </c>
      <c r="AZ246" s="64">
        <f t="shared" si="2232"/>
        <v>0</v>
      </c>
      <c r="BA246" s="64">
        <f t="shared" si="2232"/>
        <v>0</v>
      </c>
      <c r="BB246" s="64">
        <f t="shared" si="2232"/>
        <v>0</v>
      </c>
      <c r="BC246" s="64">
        <f t="shared" si="2232"/>
        <v>0</v>
      </c>
      <c r="BD246" s="64">
        <f t="shared" si="2232"/>
        <v>0</v>
      </c>
      <c r="BE246" s="64">
        <f t="shared" si="2232"/>
        <v>0</v>
      </c>
      <c r="BF246" s="64">
        <f t="shared" si="2232"/>
        <v>0</v>
      </c>
      <c r="BG246" s="64">
        <f t="shared" si="2232"/>
        <v>0</v>
      </c>
      <c r="BH246" s="64">
        <f t="shared" si="2232"/>
        <v>0</v>
      </c>
      <c r="BI246" s="64">
        <f t="shared" si="2232"/>
        <v>0</v>
      </c>
      <c r="BJ246" s="64">
        <f t="shared" si="2232"/>
        <v>0</v>
      </c>
      <c r="BK246" s="64">
        <f t="shared" si="2232"/>
        <v>0</v>
      </c>
      <c r="BL246" s="64">
        <f t="shared" si="2232"/>
        <v>0</v>
      </c>
      <c r="BM246" s="64">
        <f t="shared" si="2232"/>
        <v>0</v>
      </c>
      <c r="BN246" s="64">
        <f t="shared" si="2232"/>
        <v>0</v>
      </c>
      <c r="BO246" s="64">
        <f t="shared" ref="BO246:CT246" si="2233">BO53-BO252</f>
        <v>0</v>
      </c>
      <c r="BP246" s="64">
        <f t="shared" si="2233"/>
        <v>0</v>
      </c>
      <c r="BQ246" s="64">
        <f t="shared" si="2233"/>
        <v>13.120999999999999</v>
      </c>
      <c r="BR246" s="64">
        <f t="shared" si="2233"/>
        <v>10.208000000000002</v>
      </c>
      <c r="BS246" s="64">
        <f t="shared" si="2233"/>
        <v>29.716000000000008</v>
      </c>
      <c r="BT246" s="64">
        <f t="shared" si="2233"/>
        <v>30.445999999999991</v>
      </c>
      <c r="BU246" s="64">
        <f t="shared" si="2233"/>
        <v>32.036000000000001</v>
      </c>
      <c r="BV246" s="64">
        <f t="shared" si="2233"/>
        <v>34.536999999999992</v>
      </c>
      <c r="BW246" s="64">
        <f t="shared" si="2233"/>
        <v>39.714000000000006</v>
      </c>
      <c r="BX246" s="64">
        <f t="shared" si="2233"/>
        <v>42.950999999999986</v>
      </c>
      <c r="BY246" s="64">
        <f t="shared" si="2233"/>
        <v>43.225000000000016</v>
      </c>
      <c r="BZ246" s="64">
        <f t="shared" si="2233"/>
        <v>42.71</v>
      </c>
      <c r="CA246" s="64">
        <f t="shared" si="2233"/>
        <v>53.233000000000011</v>
      </c>
      <c r="CB246" s="64">
        <f t="shared" si="2233"/>
        <v>57.684999999999974</v>
      </c>
      <c r="CC246" s="64">
        <f t="shared" si="2233"/>
        <v>58.043000000000006</v>
      </c>
      <c r="CD246" s="64">
        <f t="shared" si="2233"/>
        <v>56.859999999999985</v>
      </c>
      <c r="CE246" s="64">
        <f t="shared" si="2233"/>
        <v>73.443000000000012</v>
      </c>
      <c r="CF246" s="64">
        <f t="shared" si="2233"/>
        <v>76.31</v>
      </c>
      <c r="CG246" s="64">
        <f t="shared" si="2233"/>
        <v>77.231999999999985</v>
      </c>
      <c r="CH246" s="64">
        <f t="shared" si="2233"/>
        <v>73.649000000000001</v>
      </c>
      <c r="CI246" s="64">
        <f t="shared" si="2233"/>
        <v>93.909000000000006</v>
      </c>
      <c r="CJ246" s="64">
        <f t="shared" si="2233"/>
        <v>99.894999999999982</v>
      </c>
      <c r="CK246" s="64">
        <f t="shared" si="2233"/>
        <v>100.10300000000004</v>
      </c>
      <c r="CL246" s="64">
        <f t="shared" ref="CL246" si="2234">CL53-CL252</f>
        <v>103.44599999999997</v>
      </c>
      <c r="CM246" s="30">
        <f t="shared" si="2233"/>
        <v>111.72072189012989</v>
      </c>
      <c r="CN246" s="30">
        <f t="shared" si="2233"/>
        <v>124.16015757042553</v>
      </c>
      <c r="CO246" s="30">
        <f t="shared" si="2233"/>
        <v>121.55874973558718</v>
      </c>
      <c r="CP246" s="30">
        <f t="shared" si="2233"/>
        <v>124.96794728146256</v>
      </c>
      <c r="CQ246" s="30">
        <f t="shared" si="2233"/>
        <v>160.38105484829822</v>
      </c>
      <c r="CR246" s="30">
        <f t="shared" si="2233"/>
        <v>178.54608614501012</v>
      </c>
      <c r="CS246" s="30">
        <f t="shared" si="2233"/>
        <v>179.62591767793734</v>
      </c>
      <c r="CT246" s="30">
        <f t="shared" si="2233"/>
        <v>189.921196569833</v>
      </c>
      <c r="CU246" s="30">
        <f t="shared" ref="CU246:DB246" si="2235">CU53-CU252</f>
        <v>229.99298804676454</v>
      </c>
      <c r="CV246" s="30">
        <f t="shared" si="2235"/>
        <v>255.76843138662386</v>
      </c>
      <c r="CW246" s="30">
        <f t="shared" si="2235"/>
        <v>259.34616916739253</v>
      </c>
      <c r="CX246" s="30">
        <f t="shared" si="2235"/>
        <v>274.04402011424145</v>
      </c>
      <c r="CY246" s="30">
        <f t="shared" si="2235"/>
        <v>325.82013595033118</v>
      </c>
      <c r="CZ246" s="30">
        <f t="shared" si="2235"/>
        <v>361.03157144706017</v>
      </c>
      <c r="DA246" s="30">
        <f t="shared" si="2235"/>
        <v>367.17859736956893</v>
      </c>
      <c r="DB246" s="30">
        <f t="shared" si="2235"/>
        <v>387.52500499822088</v>
      </c>
      <c r="DE246" s="139"/>
      <c r="DF246" s="64">
        <v>397.16539999999998</v>
      </c>
    </row>
    <row r="247" spans="1:110" s="64" customFormat="1" hidden="1" outlineLevel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5" t="s">
        <v>352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478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479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89" customFormat="1" hidden="1" outlineLevel="1" x14ac:dyDescent="0.2">
      <c r="A251" s="86" t="s">
        <v>480</v>
      </c>
      <c r="B251" s="86" t="e">
        <f>+B250/B249</f>
        <v>#DIV/0!</v>
      </c>
      <c r="C251" s="86" t="e">
        <f t="shared" ref="C251:X251" si="2236">+C250/C249</f>
        <v>#DIV/0!</v>
      </c>
      <c r="D251" s="86" t="e">
        <f t="shared" si="2236"/>
        <v>#DIV/0!</v>
      </c>
      <c r="E251" s="86" t="e">
        <f t="shared" si="2236"/>
        <v>#DIV/0!</v>
      </c>
      <c r="F251" s="86" t="e">
        <f t="shared" si="2236"/>
        <v>#DIV/0!</v>
      </c>
      <c r="G251" s="86" t="e">
        <f t="shared" si="2236"/>
        <v>#DIV/0!</v>
      </c>
      <c r="H251" s="86" t="e">
        <f t="shared" si="2236"/>
        <v>#DIV/0!</v>
      </c>
      <c r="I251" s="86" t="e">
        <f t="shared" si="2236"/>
        <v>#DIV/0!</v>
      </c>
      <c r="J251" s="86" t="e">
        <f t="shared" si="2236"/>
        <v>#DIV/0!</v>
      </c>
      <c r="K251" s="86" t="e">
        <f t="shared" si="2236"/>
        <v>#DIV/0!</v>
      </c>
      <c r="L251" s="86" t="e">
        <f t="shared" si="2236"/>
        <v>#DIV/0!</v>
      </c>
      <c r="M251" s="86" t="e">
        <f t="shared" si="2236"/>
        <v>#DIV/0!</v>
      </c>
      <c r="N251" s="86" t="e">
        <f t="shared" si="2236"/>
        <v>#DIV/0!</v>
      </c>
      <c r="O251" s="86" t="e">
        <f t="shared" si="2236"/>
        <v>#DIV/0!</v>
      </c>
      <c r="P251" s="86" t="e">
        <f t="shared" si="2236"/>
        <v>#DIV/0!</v>
      </c>
      <c r="Q251" s="86" t="e">
        <f t="shared" si="2236"/>
        <v>#DIV/0!</v>
      </c>
      <c r="R251" s="86" t="e">
        <f t="shared" si="2236"/>
        <v>#DIV/0!</v>
      </c>
      <c r="S251" s="86" t="e">
        <f t="shared" si="2236"/>
        <v>#DIV/0!</v>
      </c>
      <c r="T251" s="86" t="e">
        <f t="shared" si="2236"/>
        <v>#DIV/0!</v>
      </c>
      <c r="U251" s="86" t="e">
        <f t="shared" si="2236"/>
        <v>#DIV/0!</v>
      </c>
      <c r="V251" s="86" t="e">
        <f t="shared" si="2236"/>
        <v>#DIV/0!</v>
      </c>
      <c r="W251" s="86" t="e">
        <f t="shared" si="2236"/>
        <v>#DIV/0!</v>
      </c>
      <c r="X251" s="86" t="e">
        <f t="shared" si="2236"/>
        <v>#DIV/0!</v>
      </c>
      <c r="Y251" s="86" t="e">
        <f t="shared" ref="Y251:Z251" si="2237">+Y250/Y249</f>
        <v>#DIV/0!</v>
      </c>
      <c r="Z251" s="86" t="e">
        <f t="shared" si="2237"/>
        <v>#DIV/0!</v>
      </c>
      <c r="AA251" s="86" t="e">
        <f t="shared" ref="AA251" si="2238">+AA250/AA249</f>
        <v>#DIV/0!</v>
      </c>
      <c r="AB251" s="87"/>
      <c r="AC251" s="87"/>
      <c r="AD251" s="87"/>
      <c r="AE251" s="87"/>
      <c r="AF251" s="86"/>
      <c r="AG251" s="86"/>
      <c r="AH251" s="86"/>
      <c r="AI251" s="86" t="e">
        <f t="shared" ref="AI251" si="2239">+AI250/AI249</f>
        <v>#DIV/0!</v>
      </c>
      <c r="AJ251" s="86" t="e">
        <f t="shared" ref="AJ251" si="2240">+AJ250/AJ249</f>
        <v>#DIV/0!</v>
      </c>
      <c r="AK251" s="86" t="e">
        <f t="shared" ref="AK251" si="2241">+AK250/AK249</f>
        <v>#DIV/0!</v>
      </c>
      <c r="AL251" s="86" t="e">
        <f t="shared" ref="AL251" si="2242">+AL250/AL249</f>
        <v>#DIV/0!</v>
      </c>
      <c r="AM251" s="86" t="e">
        <f t="shared" ref="AM251" si="2243">+AM250/AM249</f>
        <v>#DIV/0!</v>
      </c>
      <c r="AN251" s="86" t="e">
        <f t="shared" ref="AN251" si="2244">+AN250/AN249</f>
        <v>#DIV/0!</v>
      </c>
      <c r="AO251" s="86" t="e">
        <f t="shared" ref="AO251" si="2245">+AO250/AO249</f>
        <v>#DIV/0!</v>
      </c>
      <c r="AP251" s="86" t="e">
        <f t="shared" ref="AP251" si="2246">+AP250/AP249</f>
        <v>#DIV/0!</v>
      </c>
      <c r="AQ251" s="86" t="e">
        <f t="shared" ref="AQ251" si="2247">+AQ250/AQ249</f>
        <v>#DIV/0!</v>
      </c>
      <c r="AR251" s="86" t="e">
        <f t="shared" ref="AR251" si="2248">+AR250/AR249</f>
        <v>#DIV/0!</v>
      </c>
      <c r="AS251" s="86" t="e">
        <f t="shared" ref="AS251" si="2249">+AS250/AS249</f>
        <v>#DIV/0!</v>
      </c>
      <c r="AT251" s="86" t="e">
        <f t="shared" ref="AT251" si="2250">+AT250/AT249</f>
        <v>#DIV/0!</v>
      </c>
      <c r="AU251" s="86" t="e">
        <f t="shared" ref="AU251" si="2251">+AU250/AU249</f>
        <v>#DIV/0!</v>
      </c>
      <c r="AV251" s="86" t="e">
        <f t="shared" ref="AV251" si="2252">+AV250/AV249</f>
        <v>#DIV/0!</v>
      </c>
      <c r="AW251" s="86" t="e">
        <f t="shared" ref="AW251" si="2253">+AW250/AW249</f>
        <v>#DIV/0!</v>
      </c>
      <c r="AX251" s="86" t="e">
        <f t="shared" ref="AX251" si="2254">+AX250/AX249</f>
        <v>#DIV/0!</v>
      </c>
      <c r="AY251" s="86" t="e">
        <f t="shared" ref="AY251" si="2255">+AY250/AY249</f>
        <v>#DIV/0!</v>
      </c>
      <c r="AZ251" s="86" t="e">
        <f t="shared" ref="AZ251" si="2256">+AZ250/AZ249</f>
        <v>#DIV/0!</v>
      </c>
      <c r="BA251" s="86" t="e">
        <f t="shared" ref="BA251" si="2257">+BA250/BA249</f>
        <v>#DIV/0!</v>
      </c>
      <c r="BB251" s="86" t="e">
        <f t="shared" ref="BB251" si="2258">+BB250/BB249</f>
        <v>#DIV/0!</v>
      </c>
      <c r="BC251" s="86" t="e">
        <f t="shared" ref="BC251" si="2259">+BC250/BC249</f>
        <v>#DIV/0!</v>
      </c>
      <c r="BD251" s="86" t="e">
        <f t="shared" ref="BD251" si="2260">+BD250/BD249</f>
        <v>#DIV/0!</v>
      </c>
      <c r="BE251" s="86" t="e">
        <f t="shared" ref="BE251" si="2261">+BE250/BE249</f>
        <v>#DIV/0!</v>
      </c>
      <c r="BF251" s="86" t="e">
        <f t="shared" ref="BF251" si="2262">+BF250/BF249</f>
        <v>#DIV/0!</v>
      </c>
      <c r="BG251" s="86" t="e">
        <f t="shared" ref="BG251" si="2263">+BG250/BG249</f>
        <v>#DIV/0!</v>
      </c>
      <c r="BH251" s="86" t="e">
        <f t="shared" ref="BH251" si="2264">+BH250/BH249</f>
        <v>#DIV/0!</v>
      </c>
      <c r="BI251" s="86" t="e">
        <f t="shared" ref="BI251" si="2265">+BI250/BI249</f>
        <v>#DIV/0!</v>
      </c>
      <c r="BJ251" s="86" t="e">
        <f t="shared" ref="BJ251" si="2266">+BJ250/BJ249</f>
        <v>#DIV/0!</v>
      </c>
      <c r="BK251" s="86" t="e">
        <f t="shared" ref="BK251" si="2267">+BK250/BK249</f>
        <v>#DIV/0!</v>
      </c>
      <c r="BL251" s="86" t="e">
        <f t="shared" ref="BL251" si="2268">+BL250/BL249</f>
        <v>#DIV/0!</v>
      </c>
      <c r="BM251" s="86" t="e">
        <f t="shared" ref="BM251" si="2269">+BM250/BM249</f>
        <v>#DIV/0!</v>
      </c>
      <c r="BN251" s="86" t="e">
        <f t="shared" ref="BN251" si="2270">+BN250/BN249</f>
        <v>#DIV/0!</v>
      </c>
      <c r="BO251" s="86" t="e">
        <f t="shared" ref="BO251" si="2271">+BO250/BO249</f>
        <v>#DIV/0!</v>
      </c>
      <c r="BP251" s="86" t="e">
        <f t="shared" ref="BP251" si="2272">+BP250/BP249</f>
        <v>#DIV/0!</v>
      </c>
      <c r="BQ251" s="86" t="e">
        <f t="shared" ref="BQ251" si="2273">+BQ250/BQ249</f>
        <v>#DIV/0!</v>
      </c>
      <c r="BR251" s="86" t="e">
        <f t="shared" ref="BR251" si="2274">+BR250/BR249</f>
        <v>#DIV/0!</v>
      </c>
      <c r="BS251" s="86" t="e">
        <f t="shared" ref="BS251" si="2275">+BS250/BS249</f>
        <v>#DIV/0!</v>
      </c>
      <c r="BT251" s="86" t="e">
        <f t="shared" ref="BT251" si="2276">+BT250/BT249</f>
        <v>#DIV/0!</v>
      </c>
      <c r="BU251" s="86" t="e">
        <f t="shared" ref="BU251" si="2277">+BU250/BU249</f>
        <v>#DIV/0!</v>
      </c>
      <c r="BV251" s="86" t="e">
        <f t="shared" ref="BV251" si="2278">+BV250/BV249</f>
        <v>#DIV/0!</v>
      </c>
      <c r="BW251" s="86" t="e">
        <f t="shared" ref="BW251" si="2279">+BW250/BW249</f>
        <v>#DIV/0!</v>
      </c>
      <c r="BX251" s="86" t="e">
        <f t="shared" ref="BX251" si="2280">+BX250/BX249</f>
        <v>#DIV/0!</v>
      </c>
      <c r="BY251" s="86" t="e">
        <f t="shared" ref="BY251" si="2281">+BY250/BY249</f>
        <v>#DIV/0!</v>
      </c>
      <c r="BZ251" s="86" t="e">
        <f t="shared" ref="BZ251" si="2282">+BZ250/BZ249</f>
        <v>#DIV/0!</v>
      </c>
      <c r="CA251" s="86" t="e">
        <f t="shared" ref="CA251" si="2283">+CA250/CA249</f>
        <v>#DIV/0!</v>
      </c>
      <c r="CB251" s="86" t="e">
        <f t="shared" ref="CB251:CC251" si="2284">+CB250/CB249</f>
        <v>#DIV/0!</v>
      </c>
      <c r="CC251" s="86" t="e">
        <f t="shared" si="2284"/>
        <v>#DIV/0!</v>
      </c>
      <c r="CD251" s="86" t="e">
        <f t="shared" ref="CD251" si="2285">+CD250/CD249</f>
        <v>#DIV/0!</v>
      </c>
      <c r="CE251" s="86" t="e">
        <f t="shared" ref="CE251:CF251" si="2286">+CE250/CE249</f>
        <v>#DIV/0!</v>
      </c>
      <c r="CF251" s="86" t="e">
        <f t="shared" si="2286"/>
        <v>#DIV/0!</v>
      </c>
      <c r="CG251" s="86" t="e">
        <f t="shared" ref="CG251:CH251" si="2287">+CG250/CG249</f>
        <v>#DIV/0!</v>
      </c>
      <c r="CH251" s="86" t="e">
        <f t="shared" si="2287"/>
        <v>#DIV/0!</v>
      </c>
      <c r="CI251" s="86" t="e">
        <f t="shared" ref="CI251:CJ251" si="2288">+CI250/CI249</f>
        <v>#DIV/0!</v>
      </c>
      <c r="CJ251" s="86" t="e">
        <f t="shared" si="2288"/>
        <v>#DIV/0!</v>
      </c>
      <c r="CK251" s="86" t="e">
        <f t="shared" ref="CK251:DB251" si="2289">+CK250/CK249</f>
        <v>#DIV/0!</v>
      </c>
      <c r="CL251" s="86" t="e">
        <f t="shared" si="2289"/>
        <v>#DIV/0!</v>
      </c>
      <c r="CM251" s="47" t="e">
        <f t="shared" si="2289"/>
        <v>#DIV/0!</v>
      </c>
      <c r="CN251" s="47" t="e">
        <f t="shared" si="2289"/>
        <v>#DIV/0!</v>
      </c>
      <c r="CO251" s="47" t="e">
        <f t="shared" si="2289"/>
        <v>#DIV/0!</v>
      </c>
      <c r="CP251" s="47" t="e">
        <f t="shared" si="2289"/>
        <v>#DIV/0!</v>
      </c>
      <c r="CQ251" s="47" t="e">
        <f t="shared" si="2289"/>
        <v>#DIV/0!</v>
      </c>
      <c r="CR251" s="47" t="e">
        <f t="shared" si="2289"/>
        <v>#DIV/0!</v>
      </c>
      <c r="CS251" s="47" t="e">
        <f t="shared" si="2289"/>
        <v>#DIV/0!</v>
      </c>
      <c r="CT251" s="47" t="e">
        <f t="shared" si="2289"/>
        <v>#DIV/0!</v>
      </c>
      <c r="CU251" s="47" t="e">
        <f t="shared" si="2289"/>
        <v>#DIV/0!</v>
      </c>
      <c r="CV251" s="47" t="e">
        <f t="shared" si="2289"/>
        <v>#DIV/0!</v>
      </c>
      <c r="CW251" s="47" t="e">
        <f t="shared" si="2289"/>
        <v>#DIV/0!</v>
      </c>
      <c r="CX251" s="47" t="e">
        <f t="shared" si="2289"/>
        <v>#DIV/0!</v>
      </c>
      <c r="CY251" s="47" t="e">
        <f t="shared" si="2289"/>
        <v>#DIV/0!</v>
      </c>
      <c r="CZ251" s="47" t="e">
        <f t="shared" si="2289"/>
        <v>#DIV/0!</v>
      </c>
      <c r="DA251" s="47" t="e">
        <f t="shared" si="2289"/>
        <v>#DIV/0!</v>
      </c>
      <c r="DB251" s="47" t="e">
        <f t="shared" si="2289"/>
        <v>#DIV/0!</v>
      </c>
      <c r="DE251" s="130"/>
      <c r="DF251" s="89" t="e">
        <v>#DIV/0!</v>
      </c>
    </row>
    <row r="252" spans="1:110" s="64" customFormat="1" hidden="1" outlineLevel="1" x14ac:dyDescent="0.2">
      <c r="A252" s="64" t="s">
        <v>481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x14ac:dyDescent="0.2">
      <c r="A255" s="154" t="s">
        <v>497</v>
      </c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63"/>
      <c r="AC255" s="63"/>
      <c r="AD255" s="63"/>
      <c r="AE255" s="63"/>
      <c r="AL255" s="180"/>
      <c r="CF255" s="180"/>
      <c r="CG255" s="180"/>
      <c r="CH255" s="180"/>
      <c r="CI255" s="180"/>
      <c r="CJ255" s="180"/>
      <c r="CK255" s="180"/>
      <c r="CL255" s="18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84" customFormat="1" x14ac:dyDescent="0.2">
      <c r="A256" s="84" t="s">
        <v>512</v>
      </c>
      <c r="B256" s="84" t="e">
        <f>B20/B177</f>
        <v>#DIV/0!</v>
      </c>
      <c r="C256" s="84" t="e">
        <f>C20/C177</f>
        <v>#DIV/0!</v>
      </c>
      <c r="D256" s="84" t="e">
        <f>D20/D177</f>
        <v>#DIV/0!</v>
      </c>
      <c r="E256" s="84" t="e">
        <f t="shared" ref="E256:Y256" si="2290">E22/(E173+E160+E150)</f>
        <v>#DIV/0!</v>
      </c>
      <c r="F256" s="84" t="e">
        <f t="shared" si="2290"/>
        <v>#DIV/0!</v>
      </c>
      <c r="G256" s="84" t="e">
        <f t="shared" si="2290"/>
        <v>#DIV/0!</v>
      </c>
      <c r="H256" s="84" t="e">
        <f t="shared" si="2290"/>
        <v>#DIV/0!</v>
      </c>
      <c r="I256" s="84" t="e">
        <f t="shared" si="2290"/>
        <v>#DIV/0!</v>
      </c>
      <c r="J256" s="84">
        <f t="shared" si="2290"/>
        <v>1.9706031409017273</v>
      </c>
      <c r="K256" s="84">
        <f t="shared" si="2290"/>
        <v>0.40908197405403557</v>
      </c>
      <c r="L256" s="84">
        <f t="shared" si="2290"/>
        <v>1.1282052777353175</v>
      </c>
      <c r="M256" s="84">
        <f t="shared" si="2290"/>
        <v>3.1190837764267254</v>
      </c>
      <c r="N256" s="84">
        <f t="shared" si="2290"/>
        <v>1.3976558716817296</v>
      </c>
      <c r="O256" s="84">
        <f t="shared" si="2290"/>
        <v>0.49516744141174901</v>
      </c>
      <c r="P256" s="84">
        <f t="shared" si="2290"/>
        <v>0</v>
      </c>
      <c r="Q256" s="84">
        <f t="shared" si="2290"/>
        <v>0.17704062616474092</v>
      </c>
      <c r="R256" s="84">
        <f t="shared" si="2290"/>
        <v>0.74637404232862004</v>
      </c>
      <c r="S256" s="84">
        <f t="shared" si="2290"/>
        <v>1.3560994165322011</v>
      </c>
      <c r="T256" s="84">
        <f t="shared" si="2290"/>
        <v>1.002402835563416</v>
      </c>
      <c r="U256" s="84">
        <f t="shared" si="2290"/>
        <v>0.91450942132634416</v>
      </c>
      <c r="V256" s="84">
        <f t="shared" si="2290"/>
        <v>1.1349509712500407</v>
      </c>
      <c r="W256" s="84">
        <f t="shared" si="2290"/>
        <v>1.1197045805463766</v>
      </c>
      <c r="X256" s="84">
        <f t="shared" si="2290"/>
        <v>1.0588469616162102</v>
      </c>
      <c r="Y256" s="84">
        <f t="shared" si="2290"/>
        <v>0.94241285586592471</v>
      </c>
      <c r="Z256" s="84">
        <f>Z22/(Z173+Z160+Z150)</f>
        <v>1.3064566122026058</v>
      </c>
      <c r="AA256" s="84">
        <f>AA22/(AA173+AA160+AA150)</f>
        <v>1.078598224614131</v>
      </c>
      <c r="AB256" s="50">
        <f t="shared" ref="AB256:AE256" si="2291">AB22/(AB173+AB160+AB150)</f>
        <v>0.90905417559748669</v>
      </c>
      <c r="AC256" s="50">
        <f t="shared" si="2291"/>
        <v>0.78755008625947642</v>
      </c>
      <c r="AD256" s="50">
        <f t="shared" si="2291"/>
        <v>0.69459882483342883</v>
      </c>
      <c r="AE256" s="50">
        <f t="shared" si="2291"/>
        <v>0.62252482726926595</v>
      </c>
      <c r="AL256" s="84" t="e">
        <f>SUM(AI22:AL22)/(AL173+AL160+AL150)</f>
        <v>#DIV/0!</v>
      </c>
      <c r="AM256" s="84" t="e">
        <f t="shared" ref="AM256:CL256" si="2292">SUM(AJ22:AM22)/(AM173+AM160+AM150)</f>
        <v>#DIV/0!</v>
      </c>
      <c r="AN256" s="84" t="e">
        <f t="shared" si="2292"/>
        <v>#DIV/0!</v>
      </c>
      <c r="AO256" s="84" t="e">
        <f t="shared" si="2292"/>
        <v>#DIV/0!</v>
      </c>
      <c r="AP256" s="84" t="e">
        <f t="shared" si="2292"/>
        <v>#DIV/0!</v>
      </c>
      <c r="AQ256" s="84" t="e">
        <f t="shared" si="2292"/>
        <v>#DIV/0!</v>
      </c>
      <c r="AR256" s="84" t="e">
        <f t="shared" si="2292"/>
        <v>#DIV/0!</v>
      </c>
      <c r="AS256" s="84" t="e">
        <f t="shared" si="2292"/>
        <v>#DIV/0!</v>
      </c>
      <c r="AT256" s="84" t="e">
        <f t="shared" si="2292"/>
        <v>#DIV/0!</v>
      </c>
      <c r="AU256" s="84" t="e">
        <f t="shared" si="2292"/>
        <v>#DIV/0!</v>
      </c>
      <c r="AV256" s="84" t="e">
        <f t="shared" si="2292"/>
        <v>#DIV/0!</v>
      </c>
      <c r="AW256" s="84" t="e">
        <f t="shared" si="2292"/>
        <v>#DIV/0!</v>
      </c>
      <c r="AX256" s="84" t="e">
        <f t="shared" si="2292"/>
        <v>#DIV/0!</v>
      </c>
      <c r="AY256" s="84" t="e">
        <f t="shared" si="2292"/>
        <v>#DIV/0!</v>
      </c>
      <c r="AZ256" s="84" t="e">
        <f t="shared" si="2292"/>
        <v>#DIV/0!</v>
      </c>
      <c r="BA256" s="84" t="e">
        <f t="shared" si="2292"/>
        <v>#DIV/0!</v>
      </c>
      <c r="BB256" s="84" t="e">
        <f t="shared" si="2292"/>
        <v>#DIV/0!</v>
      </c>
      <c r="BC256" s="84" t="e">
        <f t="shared" si="2292"/>
        <v>#DIV/0!</v>
      </c>
      <c r="BD256" s="84" t="e">
        <f t="shared" si="2292"/>
        <v>#DIV/0!</v>
      </c>
      <c r="BE256" s="84" t="e">
        <f t="shared" si="2292"/>
        <v>#DIV/0!</v>
      </c>
      <c r="BF256" s="84" t="e">
        <f t="shared" si="2292"/>
        <v>#DIV/0!</v>
      </c>
      <c r="BG256" s="84" t="e">
        <f t="shared" si="2292"/>
        <v>#DIV/0!</v>
      </c>
      <c r="BH256" s="84" t="e">
        <f t="shared" si="2292"/>
        <v>#DIV/0!</v>
      </c>
      <c r="BI256" s="84" t="e">
        <f t="shared" si="2292"/>
        <v>#DIV/0!</v>
      </c>
      <c r="BJ256" s="84" t="e">
        <f t="shared" si="2292"/>
        <v>#DIV/0!</v>
      </c>
      <c r="BK256" s="84" t="e">
        <f t="shared" si="2292"/>
        <v>#DIV/0!</v>
      </c>
      <c r="BL256" s="84" t="e">
        <f t="shared" si="2292"/>
        <v>#DIV/0!</v>
      </c>
      <c r="BM256" s="84" t="e">
        <f t="shared" si="2292"/>
        <v>#DIV/0!</v>
      </c>
      <c r="BN256" s="84" t="e">
        <f t="shared" si="2292"/>
        <v>#DIV/0!</v>
      </c>
      <c r="BO256" s="84" t="e">
        <f t="shared" si="2292"/>
        <v>#DIV/0!</v>
      </c>
      <c r="BP256" s="84" t="e">
        <f t="shared" si="2292"/>
        <v>#DIV/0!</v>
      </c>
      <c r="BQ256" s="84" t="e">
        <f t="shared" si="2292"/>
        <v>#DIV/0!</v>
      </c>
      <c r="BR256" s="84">
        <f t="shared" si="2292"/>
        <v>0.59151513596057859</v>
      </c>
      <c r="BS256" s="84">
        <f t="shared" si="2292"/>
        <v>0.89479606907852283</v>
      </c>
      <c r="BT256" s="84" t="e">
        <f t="shared" si="2292"/>
        <v>#DIV/0!</v>
      </c>
      <c r="BU256" s="84">
        <f t="shared" si="2292"/>
        <v>11.716467318322351</v>
      </c>
      <c r="BV256" s="84">
        <f t="shared" si="2292"/>
        <v>1.1197070151159172</v>
      </c>
      <c r="BW256" s="84">
        <f t="shared" si="2292"/>
        <v>1.0944964913769071</v>
      </c>
      <c r="BX256" s="84">
        <f t="shared" si="2292"/>
        <v>0.94643138889592304</v>
      </c>
      <c r="BY256" s="84">
        <f t="shared" si="2292"/>
        <v>0.93108002242410304</v>
      </c>
      <c r="BZ256" s="84">
        <f t="shared" si="2292"/>
        <v>1.0588469161869067</v>
      </c>
      <c r="CA256" s="84">
        <f t="shared" si="2292"/>
        <v>1.0363702144706277</v>
      </c>
      <c r="CB256" s="84">
        <f t="shared" si="2292"/>
        <v>0.94960287541693988</v>
      </c>
      <c r="CC256" s="84">
        <f t="shared" si="2292"/>
        <v>0.93525251034878065</v>
      </c>
      <c r="CD256" s="84">
        <f t="shared" si="2292"/>
        <v>0.94241220531809844</v>
      </c>
      <c r="CE256" s="84">
        <f t="shared" si="2292"/>
        <v>0.93476219973419161</v>
      </c>
      <c r="CF256" s="84">
        <f t="shared" si="2292"/>
        <v>1.1458165605612649</v>
      </c>
      <c r="CG256" s="84">
        <f t="shared" si="2292"/>
        <v>1.1045881284227674</v>
      </c>
      <c r="CH256" s="84">
        <f t="shared" si="2292"/>
        <v>1.3064571686775817</v>
      </c>
      <c r="CI256" s="84">
        <f t="shared" si="2292"/>
        <v>1.1211209169919083</v>
      </c>
      <c r="CJ256" s="84">
        <f t="shared" si="2292"/>
        <v>1.1523358559735351</v>
      </c>
      <c r="CK256" s="84">
        <f t="shared" ref="CK256" si="2293">SUM(CH22:CK22)/(CK173+CK160+CK150)</f>
        <v>1.0972721677373389</v>
      </c>
      <c r="CL256" s="84">
        <f t="shared" si="2292"/>
        <v>1.078598528413524</v>
      </c>
      <c r="CM256" s="50">
        <f t="shared" ref="CM256:DB256" si="2294">SUM(CJ22:CM22)/(CM173+CM160+CM150)</f>
        <v>0.99018201889260971</v>
      </c>
      <c r="CN256" s="50">
        <f t="shared" si="2294"/>
        <v>0.93719442218470272</v>
      </c>
      <c r="CO256" s="50">
        <f t="shared" si="2294"/>
        <v>0.92554629467370619</v>
      </c>
      <c r="CP256" s="50">
        <f t="shared" si="2294"/>
        <v>0.90905417559748669</v>
      </c>
      <c r="CQ256" s="50">
        <f t="shared" si="2294"/>
        <v>0.85165079595674642</v>
      </c>
      <c r="CR256" s="50">
        <f t="shared" si="2294"/>
        <v>0.81285741013821744</v>
      </c>
      <c r="CS256" s="50">
        <f t="shared" si="2294"/>
        <v>0.80291557290017623</v>
      </c>
      <c r="CT256" s="50">
        <f t="shared" si="2294"/>
        <v>0.78755008625947642</v>
      </c>
      <c r="CU256" s="50">
        <f t="shared" si="2294"/>
        <v>0.74441686574578547</v>
      </c>
      <c r="CV256" s="50">
        <f t="shared" si="2294"/>
        <v>0.71500730004996749</v>
      </c>
      <c r="CW256" s="50">
        <f t="shared" si="2294"/>
        <v>0.70704498960318363</v>
      </c>
      <c r="CX256" s="50">
        <f t="shared" si="2294"/>
        <v>0.69459882483342883</v>
      </c>
      <c r="CY256" s="50">
        <f t="shared" si="2294"/>
        <v>0.66127193326059774</v>
      </c>
      <c r="CZ256" s="50">
        <f t="shared" si="2294"/>
        <v>0.63859478635387956</v>
      </c>
      <c r="DA256" s="50">
        <f t="shared" si="2294"/>
        <v>0.63247177946166266</v>
      </c>
      <c r="DB256" s="50">
        <f t="shared" si="2294"/>
        <v>0.62252482726926595</v>
      </c>
      <c r="DE256" s="138"/>
      <c r="DF256" s="84">
        <v>1.078598224614131</v>
      </c>
    </row>
    <row r="257" spans="1:110" s="84" customFormat="1" x14ac:dyDescent="0.2">
      <c r="A257" s="84" t="s">
        <v>513</v>
      </c>
      <c r="E257" s="181" t="e">
        <f>+E54</f>
        <v>#DIV/0!</v>
      </c>
      <c r="F257" s="181" t="e">
        <f t="shared" ref="F257:AE257" si="2295">+F54</f>
        <v>#DIV/0!</v>
      </c>
      <c r="G257" s="181" t="e">
        <f t="shared" si="2295"/>
        <v>#DIV/0!</v>
      </c>
      <c r="H257" s="181" t="e">
        <f t="shared" si="2295"/>
        <v>#DIV/0!</v>
      </c>
      <c r="I257" s="181" t="e">
        <f t="shared" si="2295"/>
        <v>#DIV/0!</v>
      </c>
      <c r="J257" s="181">
        <f t="shared" si="2295"/>
        <v>0.21840453666671306</v>
      </c>
      <c r="K257" s="181">
        <f t="shared" si="2295"/>
        <v>9.4320829737615741E-2</v>
      </c>
      <c r="L257" s="181">
        <f t="shared" si="2295"/>
        <v>0.25889239562624244</v>
      </c>
      <c r="M257" s="181">
        <f t="shared" si="2295"/>
        <v>0.11369839056825579</v>
      </c>
      <c r="N257" s="181">
        <f t="shared" si="2295"/>
        <v>0.22529201211084812</v>
      </c>
      <c r="O257" s="181">
        <f t="shared" si="2295"/>
        <v>0.56969642147117305</v>
      </c>
      <c r="P257" s="181" t="e">
        <f t="shared" si="2295"/>
        <v>#DIV/0!</v>
      </c>
      <c r="Q257" s="181">
        <f t="shared" si="2295"/>
        <v>0.33052631578947356</v>
      </c>
      <c r="R257" s="181">
        <f t="shared" si="2295"/>
        <v>-3.901106939093668E-3</v>
      </c>
      <c r="S257" s="181">
        <f t="shared" si="2295"/>
        <v>0.20848564913677647</v>
      </c>
      <c r="T257" s="181">
        <f t="shared" si="2295"/>
        <v>0.21126444843756206</v>
      </c>
      <c r="U257" s="181">
        <f t="shared" si="2295"/>
        <v>0.18568109285862808</v>
      </c>
      <c r="V257" s="181">
        <f t="shared" si="2295"/>
        <v>0.16818439815746572</v>
      </c>
      <c r="W257" s="181">
        <f t="shared" si="2295"/>
        <v>0.30315022021145194</v>
      </c>
      <c r="X257" s="181">
        <f t="shared" si="2295"/>
        <v>0.30731204691818703</v>
      </c>
      <c r="Y257" s="181">
        <f t="shared" si="2295"/>
        <v>0.31177037852613987</v>
      </c>
      <c r="Z257" s="181">
        <f t="shared" si="2295"/>
        <v>0.31999960387377363</v>
      </c>
      <c r="AA257" s="181">
        <f t="shared" ref="AA257" si="2296">+AA54</f>
        <v>0.34571444737013901</v>
      </c>
      <c r="AB257" s="182">
        <f t="shared" si="2295"/>
        <v>0.32561812181518068</v>
      </c>
      <c r="AC257" s="182">
        <f t="shared" si="2295"/>
        <v>0.3678537332564189</v>
      </c>
      <c r="AD257" s="182">
        <f t="shared" si="2295"/>
        <v>0.40704885425016513</v>
      </c>
      <c r="AE257" s="182">
        <f t="shared" si="2295"/>
        <v>0.44288982217428208</v>
      </c>
      <c r="AL257" s="181" t="e">
        <f t="shared" ref="AL257:CW257" si="2297">+AL54</f>
        <v>#DIV/0!</v>
      </c>
      <c r="AM257" s="181" t="e">
        <f t="shared" si="2297"/>
        <v>#DIV/0!</v>
      </c>
      <c r="AN257" s="181" t="e">
        <f t="shared" si="2297"/>
        <v>#DIV/0!</v>
      </c>
      <c r="AO257" s="181" t="e">
        <f t="shared" si="2297"/>
        <v>#DIV/0!</v>
      </c>
      <c r="AP257" s="181" t="e">
        <f t="shared" si="2297"/>
        <v>#DIV/0!</v>
      </c>
      <c r="AQ257" s="181" t="e">
        <f t="shared" si="2297"/>
        <v>#DIV/0!</v>
      </c>
      <c r="AR257" s="181" t="e">
        <f t="shared" si="2297"/>
        <v>#DIV/0!</v>
      </c>
      <c r="AS257" s="181" t="e">
        <f t="shared" si="2297"/>
        <v>#DIV/0!</v>
      </c>
      <c r="AT257" s="181" t="e">
        <f t="shared" si="2297"/>
        <v>#DIV/0!</v>
      </c>
      <c r="AU257" s="181" t="e">
        <f t="shared" si="2297"/>
        <v>#DIV/0!</v>
      </c>
      <c r="AV257" s="181" t="e">
        <f t="shared" si="2297"/>
        <v>#DIV/0!</v>
      </c>
      <c r="AW257" s="181" t="e">
        <f t="shared" si="2297"/>
        <v>#DIV/0!</v>
      </c>
      <c r="AX257" s="181" t="e">
        <f t="shared" si="2297"/>
        <v>#DIV/0!</v>
      </c>
      <c r="AY257" s="181" t="e">
        <f t="shared" si="2297"/>
        <v>#DIV/0!</v>
      </c>
      <c r="AZ257" s="181" t="e">
        <f t="shared" si="2297"/>
        <v>#DIV/0!</v>
      </c>
      <c r="BA257" s="181" t="e">
        <f t="shared" si="2297"/>
        <v>#DIV/0!</v>
      </c>
      <c r="BB257" s="181" t="e">
        <f t="shared" si="2297"/>
        <v>#DIV/0!</v>
      </c>
      <c r="BC257" s="181" t="e">
        <f t="shared" si="2297"/>
        <v>#DIV/0!</v>
      </c>
      <c r="BD257" s="181" t="e">
        <f t="shared" si="2297"/>
        <v>#DIV/0!</v>
      </c>
      <c r="BE257" s="181" t="e">
        <f t="shared" si="2297"/>
        <v>#DIV/0!</v>
      </c>
      <c r="BF257" s="181" t="e">
        <f t="shared" si="2297"/>
        <v>#DIV/0!</v>
      </c>
      <c r="BG257" s="181" t="e">
        <f t="shared" si="2297"/>
        <v>#DIV/0!</v>
      </c>
      <c r="BH257" s="181" t="e">
        <f t="shared" si="2297"/>
        <v>#DIV/0!</v>
      </c>
      <c r="BI257" s="181" t="e">
        <f t="shared" si="2297"/>
        <v>#DIV/0!</v>
      </c>
      <c r="BJ257" s="181" t="e">
        <f t="shared" si="2297"/>
        <v>#DIV/0!</v>
      </c>
      <c r="BK257" s="181" t="e">
        <f t="shared" si="2297"/>
        <v>#DIV/0!</v>
      </c>
      <c r="BL257" s="181" t="e">
        <f t="shared" si="2297"/>
        <v>#DIV/0!</v>
      </c>
      <c r="BM257" s="181" t="e">
        <f t="shared" si="2297"/>
        <v>#DIV/0!</v>
      </c>
      <c r="BN257" s="181" t="e">
        <f t="shared" si="2297"/>
        <v>#DIV/0!</v>
      </c>
      <c r="BO257" s="181" t="e">
        <f t="shared" si="2297"/>
        <v>#DIV/0!</v>
      </c>
      <c r="BP257" s="181" t="e">
        <f t="shared" si="2297"/>
        <v>#DIV/0!</v>
      </c>
      <c r="BQ257" s="181">
        <f t="shared" si="2297"/>
        <v>0.1927234805087982</v>
      </c>
      <c r="BR257" s="181">
        <f t="shared" si="2297"/>
        <v>0.14540689144338564</v>
      </c>
      <c r="BS257" s="181">
        <f t="shared" si="2297"/>
        <v>0.30461702476627855</v>
      </c>
      <c r="BT257" s="181">
        <f t="shared" si="2297"/>
        <v>0.2992971246006389</v>
      </c>
      <c r="BU257" s="181">
        <f t="shared" si="2297"/>
        <v>0.3031042736983528</v>
      </c>
      <c r="BV257" s="181">
        <f t="shared" si="2297"/>
        <v>0.30695462827178593</v>
      </c>
      <c r="BW257" s="181">
        <f t="shared" si="2297"/>
        <v>0.30176206432788533</v>
      </c>
      <c r="BX257" s="181">
        <f t="shared" si="2297"/>
        <v>0.31566994700984097</v>
      </c>
      <c r="BY257" s="181">
        <f t="shared" si="2297"/>
        <v>0.31322009825944563</v>
      </c>
      <c r="BZ257" s="181">
        <f t="shared" si="2297"/>
        <v>0.29875489647453835</v>
      </c>
      <c r="CA257" s="181">
        <f t="shared" si="2297"/>
        <v>0.30414338441145894</v>
      </c>
      <c r="CB257" s="181">
        <f t="shared" si="2297"/>
        <v>0.31594196548381254</v>
      </c>
      <c r="CC257" s="181">
        <f t="shared" si="2297"/>
        <v>0.31816412780722575</v>
      </c>
      <c r="CD257" s="181">
        <f t="shared" si="2297"/>
        <v>0.30854550584966678</v>
      </c>
      <c r="CE257" s="181">
        <f t="shared" si="2297"/>
        <v>0.30908532325536381</v>
      </c>
      <c r="CF257" s="181">
        <f t="shared" si="2297"/>
        <v>0.31470506967556222</v>
      </c>
      <c r="CG257" s="181">
        <f t="shared" si="2297"/>
        <v>0.32581842726965909</v>
      </c>
      <c r="CH257" s="181">
        <f t="shared" si="2297"/>
        <v>0.33181203820508198</v>
      </c>
      <c r="CI257" s="181">
        <f t="shared" si="2297"/>
        <v>0.34271231346960229</v>
      </c>
      <c r="CJ257" s="181">
        <f t="shared" si="2297"/>
        <v>0.33593282352387288</v>
      </c>
      <c r="CK257" s="181">
        <f t="shared" si="2297"/>
        <v>0.34563088694307109</v>
      </c>
      <c r="CL257" s="181">
        <f t="shared" ref="CL257" si="2298">+CL54</f>
        <v>0.3594146300787302</v>
      </c>
      <c r="CM257" s="182">
        <f t="shared" si="2297"/>
        <v>0.32452153164621433</v>
      </c>
      <c r="CN257" s="182">
        <f t="shared" si="2297"/>
        <v>0.32117933292882156</v>
      </c>
      <c r="CO257" s="182">
        <f t="shared" si="2297"/>
        <v>0.32285560093720234</v>
      </c>
      <c r="CP257" s="182">
        <f t="shared" si="2297"/>
        <v>0.33399297547932955</v>
      </c>
      <c r="CQ257" s="182">
        <f t="shared" si="2297"/>
        <v>0.35835997453054413</v>
      </c>
      <c r="CR257" s="182">
        <f t="shared" si="2297"/>
        <v>0.35528127520778419</v>
      </c>
      <c r="CS257" s="182">
        <f t="shared" si="2297"/>
        <v>0.36698452218468558</v>
      </c>
      <c r="CT257" s="182">
        <f t="shared" si="2297"/>
        <v>0.39045301633094198</v>
      </c>
      <c r="CU257" s="182">
        <f t="shared" si="2297"/>
        <v>0.39530988541202355</v>
      </c>
      <c r="CV257" s="182">
        <f t="shared" si="2297"/>
        <v>0.39149441608263336</v>
      </c>
      <c r="CW257" s="182">
        <f t="shared" si="2297"/>
        <v>0.40758222251205806</v>
      </c>
      <c r="CX257" s="182">
        <f t="shared" ref="CX257:DB257" si="2299">+CX54</f>
        <v>0.4333834493690979</v>
      </c>
      <c r="CY257" s="182">
        <f t="shared" si="2299"/>
        <v>0.43078209838984116</v>
      </c>
      <c r="CZ257" s="182">
        <f t="shared" si="2299"/>
        <v>0.42508958196404817</v>
      </c>
      <c r="DA257" s="182">
        <f t="shared" si="2299"/>
        <v>0.44388390904239139</v>
      </c>
      <c r="DB257" s="182">
        <f t="shared" si="2299"/>
        <v>0.47142039811676234</v>
      </c>
      <c r="DE257" s="138"/>
      <c r="DF257" s="84">
        <v>0.34571444737013901</v>
      </c>
    </row>
    <row r="258" spans="1:110" s="84" customFormat="1" x14ac:dyDescent="0.2">
      <c r="A258" s="84" t="s">
        <v>514</v>
      </c>
      <c r="E258" s="84" t="e">
        <f>(E173+E160+E150+E152)/E132</f>
        <v>#DIV/0!</v>
      </c>
      <c r="F258" s="84" t="e">
        <f t="shared" ref="F258:AE258" si="2300">(F173+F160+F150+F152)/F132</f>
        <v>#DIV/0!</v>
      </c>
      <c r="G258" s="84" t="e">
        <f t="shared" si="2300"/>
        <v>#DIV/0!</v>
      </c>
      <c r="H258" s="84" t="e">
        <f t="shared" si="2300"/>
        <v>#DIV/0!</v>
      </c>
      <c r="I258" s="84" t="e">
        <f t="shared" si="2300"/>
        <v>#DIV/0!</v>
      </c>
      <c r="J258" s="84">
        <f t="shared" si="2300"/>
        <v>0.98123150362901523</v>
      </c>
      <c r="K258" s="84">
        <f t="shared" si="2300"/>
        <v>0.98349271734581556</v>
      </c>
      <c r="L258" s="84">
        <f t="shared" si="2300"/>
        <v>1.0442270544513963</v>
      </c>
      <c r="M258" s="84">
        <f t="shared" si="2300"/>
        <v>0.98480513003782044</v>
      </c>
      <c r="N258" s="84">
        <f t="shared" si="2300"/>
        <v>0.98650822214847911</v>
      </c>
      <c r="O258" s="84">
        <f t="shared" si="2300"/>
        <v>0.98632239467791194</v>
      </c>
      <c r="P258" s="84">
        <f t="shared" si="2300"/>
        <v>1.0012161935398081</v>
      </c>
      <c r="Q258" s="84">
        <f t="shared" si="2300"/>
        <v>1.0759788688626477</v>
      </c>
      <c r="R258" s="84">
        <f t="shared" si="2300"/>
        <v>4.2227772227772231</v>
      </c>
      <c r="S258" s="84">
        <f t="shared" si="2300"/>
        <v>2.0798953614496267</v>
      </c>
      <c r="T258" s="84">
        <f t="shared" si="2300"/>
        <v>2.2263426284533954</v>
      </c>
      <c r="U258" s="84">
        <f t="shared" si="2300"/>
        <v>2.5019269847943382</v>
      </c>
      <c r="V258" s="84">
        <f t="shared" si="2300"/>
        <v>1.3892034917607163</v>
      </c>
      <c r="W258" s="84">
        <f t="shared" si="2300"/>
        <v>1.3860893749410763</v>
      </c>
      <c r="X258" s="84">
        <f t="shared" si="2300"/>
        <v>1.3319104631891883</v>
      </c>
      <c r="Y258" s="84">
        <f t="shared" si="2300"/>
        <v>1.3558289914481547</v>
      </c>
      <c r="Z258" s="84">
        <f t="shared" si="2300"/>
        <v>1.4263954261811749</v>
      </c>
      <c r="AA258" s="84">
        <f t="shared" ref="AA258" si="2301">(AA173+AA160+AA150+AA152)/AA132</f>
        <v>1.3312245743192785</v>
      </c>
      <c r="AB258" s="50">
        <f t="shared" si="2300"/>
        <v>1.2800832245665434</v>
      </c>
      <c r="AC258" s="50">
        <f t="shared" si="2300"/>
        <v>1.2392506473791312</v>
      </c>
      <c r="AD258" s="50">
        <f t="shared" si="2300"/>
        <v>1.2073834110040211</v>
      </c>
      <c r="AE258" s="50">
        <f t="shared" si="2300"/>
        <v>1.1826524915802938</v>
      </c>
      <c r="AL258" s="84" t="e">
        <f t="shared" ref="AL258:CW258" si="2302">(AL173+AL160+AL150+AL152)/AL132</f>
        <v>#DIV/0!</v>
      </c>
      <c r="AM258" s="84" t="e">
        <f t="shared" si="2302"/>
        <v>#DIV/0!</v>
      </c>
      <c r="AN258" s="84" t="e">
        <f t="shared" si="2302"/>
        <v>#DIV/0!</v>
      </c>
      <c r="AO258" s="84" t="e">
        <f t="shared" si="2302"/>
        <v>#DIV/0!</v>
      </c>
      <c r="AP258" s="84" t="e">
        <f t="shared" si="2302"/>
        <v>#DIV/0!</v>
      </c>
      <c r="AQ258" s="84" t="e">
        <f t="shared" si="2302"/>
        <v>#DIV/0!</v>
      </c>
      <c r="AR258" s="84" t="e">
        <f t="shared" si="2302"/>
        <v>#DIV/0!</v>
      </c>
      <c r="AS258" s="84" t="e">
        <f t="shared" si="2302"/>
        <v>#DIV/0!</v>
      </c>
      <c r="AT258" s="84" t="e">
        <f t="shared" si="2302"/>
        <v>#DIV/0!</v>
      </c>
      <c r="AU258" s="84" t="e">
        <f t="shared" si="2302"/>
        <v>#DIV/0!</v>
      </c>
      <c r="AV258" s="84" t="e">
        <f t="shared" si="2302"/>
        <v>#DIV/0!</v>
      </c>
      <c r="AW258" s="84" t="e">
        <f t="shared" si="2302"/>
        <v>#DIV/0!</v>
      </c>
      <c r="AX258" s="84" t="e">
        <f t="shared" si="2302"/>
        <v>#DIV/0!</v>
      </c>
      <c r="AY258" s="84" t="e">
        <f t="shared" si="2302"/>
        <v>#DIV/0!</v>
      </c>
      <c r="AZ258" s="84" t="e">
        <f t="shared" si="2302"/>
        <v>#DIV/0!</v>
      </c>
      <c r="BA258" s="84" t="e">
        <f t="shared" si="2302"/>
        <v>#DIV/0!</v>
      </c>
      <c r="BB258" s="84" t="e">
        <f t="shared" si="2302"/>
        <v>#DIV/0!</v>
      </c>
      <c r="BC258" s="84" t="e">
        <f t="shared" si="2302"/>
        <v>#DIV/0!</v>
      </c>
      <c r="BD258" s="84" t="e">
        <f t="shared" si="2302"/>
        <v>#DIV/0!</v>
      </c>
      <c r="BE258" s="84" t="e">
        <f t="shared" si="2302"/>
        <v>#DIV/0!</v>
      </c>
      <c r="BF258" s="84" t="e">
        <f t="shared" si="2302"/>
        <v>#DIV/0!</v>
      </c>
      <c r="BG258" s="84" t="e">
        <f t="shared" si="2302"/>
        <v>#DIV/0!</v>
      </c>
      <c r="BH258" s="84" t="e">
        <f t="shared" si="2302"/>
        <v>#DIV/0!</v>
      </c>
      <c r="BI258" s="84" t="e">
        <f t="shared" si="2302"/>
        <v>#DIV/0!</v>
      </c>
      <c r="BJ258" s="84" t="e">
        <f t="shared" si="2302"/>
        <v>#DIV/0!</v>
      </c>
      <c r="BK258" s="84" t="e">
        <f t="shared" si="2302"/>
        <v>#DIV/0!</v>
      </c>
      <c r="BL258" s="84" t="e">
        <f t="shared" si="2302"/>
        <v>#DIV/0!</v>
      </c>
      <c r="BM258" s="84" t="e">
        <f t="shared" si="2302"/>
        <v>#DIV/0!</v>
      </c>
      <c r="BN258" s="84" t="e">
        <f t="shared" si="2302"/>
        <v>#DIV/0!</v>
      </c>
      <c r="BO258" s="84" t="e">
        <f t="shared" si="2302"/>
        <v>#DIV/0!</v>
      </c>
      <c r="BP258" s="84" t="e">
        <f t="shared" si="2302"/>
        <v>#DIV/0!</v>
      </c>
      <c r="BQ258" s="84" t="e">
        <f t="shared" si="2302"/>
        <v>#DIV/0!</v>
      </c>
      <c r="BR258" s="84">
        <f t="shared" si="2302"/>
        <v>1.3892000413950119</v>
      </c>
      <c r="BS258" s="84">
        <f t="shared" si="2302"/>
        <v>1.3468743835151724</v>
      </c>
      <c r="BT258" s="84" t="e">
        <f t="shared" si="2302"/>
        <v>#DIV/0!</v>
      </c>
      <c r="BU258" s="84">
        <f t="shared" si="2302"/>
        <v>1</v>
      </c>
      <c r="BV258" s="84">
        <f t="shared" si="2302"/>
        <v>1.3860859494801654</v>
      </c>
      <c r="BW258" s="84">
        <f t="shared" si="2302"/>
        <v>1.3461016772308738</v>
      </c>
      <c r="BX258" s="84">
        <f t="shared" si="2302"/>
        <v>1.5355850121693291</v>
      </c>
      <c r="BY258" s="84">
        <f t="shared" si="2302"/>
        <v>1.4835846544185125</v>
      </c>
      <c r="BZ258" s="84">
        <f t="shared" si="2302"/>
        <v>1.3319123853132635</v>
      </c>
      <c r="CA258" s="84">
        <f t="shared" si="2302"/>
        <v>1.2982628893841972</v>
      </c>
      <c r="CB258" s="84">
        <f t="shared" si="2302"/>
        <v>1.4100313547645138</v>
      </c>
      <c r="CC258" s="84">
        <f t="shared" si="2302"/>
        <v>1.3712176350143741</v>
      </c>
      <c r="CD258" s="84">
        <f t="shared" si="2302"/>
        <v>1.3558288921698871</v>
      </c>
      <c r="CE258" s="84">
        <f t="shared" si="2302"/>
        <v>1.3197465665080541</v>
      </c>
      <c r="CF258" s="84">
        <f t="shared" si="2302"/>
        <v>1.5360656033813198</v>
      </c>
      <c r="CG258" s="84">
        <f t="shared" si="2302"/>
        <v>1.4705947288939061</v>
      </c>
      <c r="CH258" s="84">
        <f t="shared" si="2302"/>
        <v>1.4263954261811749</v>
      </c>
      <c r="CI258" s="84">
        <f t="shared" si="2302"/>
        <v>1.4495269532477342</v>
      </c>
      <c r="CJ258" s="84">
        <f t="shared" si="2302"/>
        <v>1.3849043301876292</v>
      </c>
      <c r="CK258" s="84">
        <f t="shared" si="2302"/>
        <v>1.3348235309447745</v>
      </c>
      <c r="CL258" s="84">
        <f t="shared" ref="CL258" si="2303">(CL173+CL160+CL150+CL152)/CL132</f>
        <v>1.3312244403168247</v>
      </c>
      <c r="CM258" s="50">
        <f t="shared" si="2302"/>
        <v>1.3472728658335265</v>
      </c>
      <c r="CN258" s="50">
        <f t="shared" si="2302"/>
        <v>1.345656189565638</v>
      </c>
      <c r="CO258" s="50">
        <f t="shared" si="2302"/>
        <v>1.3075285251446096</v>
      </c>
      <c r="CP258" s="50">
        <f t="shared" si="2302"/>
        <v>1.2800832245665434</v>
      </c>
      <c r="CQ258" s="50">
        <f t="shared" si="2302"/>
        <v>1.2961156114620109</v>
      </c>
      <c r="CR258" s="50">
        <f t="shared" si="2302"/>
        <v>1.2964095337421875</v>
      </c>
      <c r="CS258" s="50">
        <f t="shared" si="2302"/>
        <v>1.2634467370338593</v>
      </c>
      <c r="CT258" s="50">
        <f t="shared" si="2302"/>
        <v>1.2392506473791312</v>
      </c>
      <c r="CU258" s="50">
        <f t="shared" si="2302"/>
        <v>1.2547686166148337</v>
      </c>
      <c r="CV258" s="50">
        <f t="shared" si="2302"/>
        <v>1.2563472719222719</v>
      </c>
      <c r="CW258" s="50">
        <f t="shared" si="2302"/>
        <v>1.2280654045156949</v>
      </c>
      <c r="CX258" s="50">
        <f t="shared" ref="CX258:DB258" si="2304">(CX173+CX160+CX150+CX152)/CX132</f>
        <v>1.2073834110040211</v>
      </c>
      <c r="CY258" s="50">
        <f t="shared" si="2304"/>
        <v>1.222304427596411</v>
      </c>
      <c r="CZ258" s="50">
        <f t="shared" si="2304"/>
        <v>1.2248478634571469</v>
      </c>
      <c r="DA258" s="50">
        <f t="shared" si="2304"/>
        <v>1.2004391657699749</v>
      </c>
      <c r="DB258" s="50">
        <f t="shared" si="2304"/>
        <v>1.1826524915802938</v>
      </c>
      <c r="DE258" s="138"/>
      <c r="DF258" s="84">
        <v>1.3312245743192785</v>
      </c>
    </row>
    <row r="259" spans="1:110" s="84" customFormat="1" x14ac:dyDescent="0.2">
      <c r="A259" s="154" t="s">
        <v>498</v>
      </c>
      <c r="AB259" s="50"/>
      <c r="AC259" s="50"/>
      <c r="AD259" s="50"/>
      <c r="AE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E259" s="138"/>
    </row>
    <row r="260" spans="1:110" s="88" customFormat="1" x14ac:dyDescent="0.2">
      <c r="A260" s="88" t="s">
        <v>102</v>
      </c>
      <c r="B260" s="88" t="e">
        <f t="shared" ref="B260:AE260" si="2305">B173/B132</f>
        <v>#DIV/0!</v>
      </c>
      <c r="C260" s="88" t="e">
        <f t="shared" si="2305"/>
        <v>#DIV/0!</v>
      </c>
      <c r="D260" s="88" t="e">
        <f t="shared" si="2305"/>
        <v>#DIV/0!</v>
      </c>
      <c r="F260" s="88" t="e">
        <f t="shared" si="2305"/>
        <v>#DIV/0!</v>
      </c>
      <c r="G260" s="88" t="e">
        <f t="shared" si="2305"/>
        <v>#DIV/0!</v>
      </c>
      <c r="H260" s="88" t="e">
        <f t="shared" si="2305"/>
        <v>#DIV/0!</v>
      </c>
      <c r="I260" s="88" t="e">
        <f t="shared" si="2305"/>
        <v>#DIV/0!</v>
      </c>
      <c r="J260" s="88">
        <f t="shared" si="2305"/>
        <v>6.2109575272938939E-3</v>
      </c>
      <c r="K260" s="88">
        <f t="shared" si="2305"/>
        <v>0.6620903082634747</v>
      </c>
      <c r="L260" s="88">
        <f t="shared" si="2305"/>
        <v>1.3017796673539849E-2</v>
      </c>
      <c r="M260" s="88">
        <f t="shared" si="2305"/>
        <v>1.6137038864069912E-2</v>
      </c>
      <c r="N260" s="88">
        <f t="shared" si="2305"/>
        <v>2.1323809634806068E-2</v>
      </c>
      <c r="O260" s="88">
        <f t="shared" si="2305"/>
        <v>3.4377573745373334E-2</v>
      </c>
      <c r="P260" s="88">
        <f t="shared" si="2305"/>
        <v>4.6617612603770241E-3</v>
      </c>
      <c r="Q260" s="88">
        <f t="shared" si="2305"/>
        <v>8.4524549409571173E-2</v>
      </c>
      <c r="R260" s="88">
        <f t="shared" si="2305"/>
        <v>0.20663951433182204</v>
      </c>
      <c r="S260" s="88">
        <f t="shared" si="2305"/>
        <v>0.64683213169144382</v>
      </c>
      <c r="T260" s="88">
        <f t="shared" si="2305"/>
        <v>0.69824748257164992</v>
      </c>
      <c r="U260" s="88">
        <f t="shared" si="2305"/>
        <v>0.16240034928283825</v>
      </c>
      <c r="V260" s="88">
        <f t="shared" si="2305"/>
        <v>0.28166560695172999</v>
      </c>
      <c r="W260" s="88">
        <f t="shared" si="2305"/>
        <v>0.25346934879947669</v>
      </c>
      <c r="X260" s="88">
        <f t="shared" si="2305"/>
        <v>0.13831113635975331</v>
      </c>
      <c r="Y260" s="88">
        <f t="shared" si="2305"/>
        <v>5.2794457182284898E-2</v>
      </c>
      <c r="Z260" s="88">
        <f t="shared" si="2305"/>
        <v>6.7192541682919743E-2</v>
      </c>
      <c r="AA260" s="88">
        <f t="shared" ref="AA260" si="2306">AA173/AA132</f>
        <v>0.24258386129117124</v>
      </c>
      <c r="AB260" s="42">
        <f t="shared" si="2305"/>
        <v>0.42892577657868863</v>
      </c>
      <c r="AC260" s="42">
        <f t="shared" si="2305"/>
        <v>0.55151641791031891</v>
      </c>
      <c r="AD260" s="42">
        <f t="shared" si="2305"/>
        <v>0.63426810884396279</v>
      </c>
      <c r="AE260" s="42">
        <f t="shared" si="2305"/>
        <v>0.69182869003419611</v>
      </c>
      <c r="AL260" s="88" t="e">
        <f t="shared" ref="AL260:CW260" si="2307">AL173/AL132</f>
        <v>#DIV/0!</v>
      </c>
      <c r="AM260" s="88" t="e">
        <f t="shared" si="2307"/>
        <v>#DIV/0!</v>
      </c>
      <c r="AN260" s="88" t="e">
        <f t="shared" si="2307"/>
        <v>#DIV/0!</v>
      </c>
      <c r="AO260" s="88" t="e">
        <f t="shared" si="2307"/>
        <v>#DIV/0!</v>
      </c>
      <c r="AP260" s="88" t="e">
        <f t="shared" si="2307"/>
        <v>#DIV/0!</v>
      </c>
      <c r="AQ260" s="88" t="e">
        <f t="shared" si="2307"/>
        <v>#DIV/0!</v>
      </c>
      <c r="AR260" s="88" t="e">
        <f t="shared" si="2307"/>
        <v>#DIV/0!</v>
      </c>
      <c r="AS260" s="88" t="e">
        <f t="shared" si="2307"/>
        <v>#DIV/0!</v>
      </c>
      <c r="AT260" s="88" t="e">
        <f t="shared" si="2307"/>
        <v>#DIV/0!</v>
      </c>
      <c r="AU260" s="88" t="e">
        <f t="shared" si="2307"/>
        <v>#DIV/0!</v>
      </c>
      <c r="AV260" s="88" t="e">
        <f t="shared" si="2307"/>
        <v>#DIV/0!</v>
      </c>
      <c r="AW260" s="88" t="e">
        <f t="shared" si="2307"/>
        <v>#DIV/0!</v>
      </c>
      <c r="AX260" s="88" t="e">
        <f t="shared" si="2307"/>
        <v>#DIV/0!</v>
      </c>
      <c r="AY260" s="88" t="e">
        <f t="shared" si="2307"/>
        <v>#DIV/0!</v>
      </c>
      <c r="AZ260" s="88" t="e">
        <f t="shared" si="2307"/>
        <v>#DIV/0!</v>
      </c>
      <c r="BA260" s="88" t="e">
        <f t="shared" si="2307"/>
        <v>#DIV/0!</v>
      </c>
      <c r="BB260" s="88" t="e">
        <f t="shared" si="2307"/>
        <v>#DIV/0!</v>
      </c>
      <c r="BC260" s="88" t="e">
        <f t="shared" si="2307"/>
        <v>#DIV/0!</v>
      </c>
      <c r="BD260" s="88" t="e">
        <f t="shared" si="2307"/>
        <v>#DIV/0!</v>
      </c>
      <c r="BE260" s="88" t="e">
        <f t="shared" si="2307"/>
        <v>#DIV/0!</v>
      </c>
      <c r="BF260" s="88" t="e">
        <f t="shared" si="2307"/>
        <v>#DIV/0!</v>
      </c>
      <c r="BG260" s="88" t="e">
        <f t="shared" si="2307"/>
        <v>#DIV/0!</v>
      </c>
      <c r="BH260" s="88" t="e">
        <f t="shared" si="2307"/>
        <v>#DIV/0!</v>
      </c>
      <c r="BI260" s="88" t="e">
        <f t="shared" si="2307"/>
        <v>#DIV/0!</v>
      </c>
      <c r="BJ260" s="88" t="e">
        <f t="shared" si="2307"/>
        <v>#DIV/0!</v>
      </c>
      <c r="BK260" s="88" t="e">
        <f t="shared" si="2307"/>
        <v>#DIV/0!</v>
      </c>
      <c r="BL260" s="88" t="e">
        <f t="shared" si="2307"/>
        <v>#DIV/0!</v>
      </c>
      <c r="BM260" s="88" t="e">
        <f t="shared" si="2307"/>
        <v>#DIV/0!</v>
      </c>
      <c r="BN260" s="88" t="e">
        <f t="shared" si="2307"/>
        <v>#DIV/0!</v>
      </c>
      <c r="BO260" s="88" t="e">
        <f t="shared" si="2307"/>
        <v>#DIV/0!</v>
      </c>
      <c r="BP260" s="88" t="e">
        <f t="shared" si="2307"/>
        <v>#DIV/0!</v>
      </c>
      <c r="BQ260" s="88" t="e">
        <f t="shared" si="2307"/>
        <v>#DIV/0!</v>
      </c>
      <c r="BR260" s="88">
        <f t="shared" si="2307"/>
        <v>0.28166407947842281</v>
      </c>
      <c r="BS260" s="88">
        <f t="shared" si="2307"/>
        <v>0.34501032893726441</v>
      </c>
      <c r="BT260" s="88" t="e">
        <f t="shared" si="2307"/>
        <v>#DIV/0!</v>
      </c>
      <c r="BU260" s="88">
        <f t="shared" si="2307"/>
        <v>1</v>
      </c>
      <c r="BV260" s="88">
        <f t="shared" si="2307"/>
        <v>0.25346920129078437</v>
      </c>
      <c r="BW260" s="88">
        <f t="shared" si="2307"/>
        <v>0.3241878014876991</v>
      </c>
      <c r="BX260" s="88">
        <f t="shared" si="2307"/>
        <v>0.5343120280803848</v>
      </c>
      <c r="BY260" s="88">
        <f t="shared" si="2307"/>
        <v>0.57901152805281364</v>
      </c>
      <c r="BZ260" s="88">
        <f t="shared" si="2307"/>
        <v>0.13831177706777836</v>
      </c>
      <c r="CA260" s="88">
        <f t="shared" si="2307"/>
        <v>0.21878793086501033</v>
      </c>
      <c r="CB260" s="88">
        <f t="shared" si="2307"/>
        <v>0.31682054731603942</v>
      </c>
      <c r="CC260" s="88">
        <f t="shared" si="2307"/>
        <v>0.38151923177626224</v>
      </c>
      <c r="CD260" s="88">
        <f t="shared" si="2307"/>
        <v>5.2794619436729986E-2</v>
      </c>
      <c r="CE260" s="88">
        <f t="shared" si="2307"/>
        <v>0.13755464013710914</v>
      </c>
      <c r="CF260" s="88">
        <f t="shared" si="2307"/>
        <v>0.21692285461409244</v>
      </c>
      <c r="CG260" s="88">
        <f t="shared" si="2307"/>
        <v>0.31384516133887896</v>
      </c>
      <c r="CH260" s="88">
        <f t="shared" si="2307"/>
        <v>6.7192541682919743E-2</v>
      </c>
      <c r="CI260" s="88">
        <f t="shared" si="2307"/>
        <v>0.11773804702709774</v>
      </c>
      <c r="CJ260" s="88">
        <f t="shared" si="2307"/>
        <v>0.11566956500228816</v>
      </c>
      <c r="CK260" s="88">
        <f t="shared" si="2307"/>
        <v>0.23375393001005224</v>
      </c>
      <c r="CL260" s="88">
        <f t="shared" ref="CL260" si="2308">CL173/CL132</f>
        <v>0.24258380971272969</v>
      </c>
      <c r="CM260" s="42">
        <f t="shared" si="2307"/>
        <v>0.2544517514696043</v>
      </c>
      <c r="CN260" s="42">
        <f t="shared" si="2307"/>
        <v>0.28741992303071867</v>
      </c>
      <c r="CO260" s="42">
        <f t="shared" si="2307"/>
        <v>0.36812520878914551</v>
      </c>
      <c r="CP260" s="42">
        <f t="shared" si="2307"/>
        <v>0.42892577657868863</v>
      </c>
      <c r="CQ260" s="42">
        <f t="shared" si="2307"/>
        <v>0.42470803656470879</v>
      </c>
      <c r="CR260" s="42">
        <f t="shared" si="2307"/>
        <v>0.44125095932949099</v>
      </c>
      <c r="CS260" s="42">
        <f t="shared" si="2307"/>
        <v>0.50390954115569109</v>
      </c>
      <c r="CT260" s="42">
        <f t="shared" si="2307"/>
        <v>0.55151641791031891</v>
      </c>
      <c r="CU260" s="42">
        <f t="shared" si="2307"/>
        <v>0.53952688734078846</v>
      </c>
      <c r="CV260" s="42">
        <f t="shared" si="2307"/>
        <v>0.54686112990948066</v>
      </c>
      <c r="CW260" s="42">
        <f t="shared" si="2307"/>
        <v>0.5967687925326447</v>
      </c>
      <c r="CX260" s="42">
        <f t="shared" ref="CX260:DB260" si="2309">CX173/CX132</f>
        <v>0.63426810884396279</v>
      </c>
      <c r="CY260" s="42">
        <f t="shared" si="2309"/>
        <v>0.61853912839532943</v>
      </c>
      <c r="CZ260" s="42">
        <f t="shared" si="2309"/>
        <v>0.62043795783118816</v>
      </c>
      <c r="DA260" s="42">
        <f t="shared" si="2309"/>
        <v>0.66136536980595406</v>
      </c>
      <c r="DB260" s="42">
        <f t="shared" si="2309"/>
        <v>0.69182869003419611</v>
      </c>
      <c r="DE260" s="125"/>
      <c r="DF260" s="88">
        <v>0.24258386129117124</v>
      </c>
    </row>
    <row r="261" spans="1:110" s="89" customFormat="1" x14ac:dyDescent="0.2">
      <c r="A261" s="89" t="s">
        <v>103</v>
      </c>
      <c r="C261" s="89" t="e">
        <f t="shared" ref="C261:AE261" si="2310">C140/B140-1</f>
        <v>#DIV/0!</v>
      </c>
      <c r="D261" s="89" t="e">
        <f t="shared" si="2310"/>
        <v>#DIV/0!</v>
      </c>
      <c r="F261" s="89" t="e">
        <f t="shared" si="2310"/>
        <v>#DIV/0!</v>
      </c>
      <c r="G261" s="89" t="e">
        <f t="shared" si="2310"/>
        <v>#DIV/0!</v>
      </c>
      <c r="H261" s="89" t="e">
        <f t="shared" si="2310"/>
        <v>#DIV/0!</v>
      </c>
      <c r="I261" s="89" t="e">
        <f t="shared" si="2310"/>
        <v>#DIV/0!</v>
      </c>
      <c r="J261" s="89" t="e">
        <f t="shared" si="2310"/>
        <v>#DIV/0!</v>
      </c>
      <c r="K261" s="89" t="e">
        <f>K140/J140-1</f>
        <v>#DIV/0!</v>
      </c>
      <c r="L261" s="89" t="e">
        <f t="shared" si="2310"/>
        <v>#DIV/0!</v>
      </c>
      <c r="M261" s="89" t="e">
        <f t="shared" si="2310"/>
        <v>#DIV/0!</v>
      </c>
      <c r="N261" s="89" t="e">
        <f t="shared" si="2310"/>
        <v>#DIV/0!</v>
      </c>
      <c r="O261" s="89" t="e">
        <f t="shared" si="2310"/>
        <v>#DIV/0!</v>
      </c>
      <c r="P261" s="89" t="e">
        <f t="shared" si="2310"/>
        <v>#DIV/0!</v>
      </c>
      <c r="Q261" s="89" t="e">
        <f t="shared" si="2310"/>
        <v>#DIV/0!</v>
      </c>
      <c r="R261" s="89" t="e">
        <f t="shared" si="2310"/>
        <v>#DIV/0!</v>
      </c>
      <c r="S261" s="89">
        <f t="shared" si="2310"/>
        <v>-0.972933459775565</v>
      </c>
      <c r="T261" s="89">
        <f t="shared" si="2310"/>
        <v>-0.1299270072992702</v>
      </c>
      <c r="U261" s="89">
        <f t="shared" si="2310"/>
        <v>69.016778523489933</v>
      </c>
      <c r="V261" s="89">
        <f t="shared" si="2310"/>
        <v>-0.2005775221663072</v>
      </c>
      <c r="W261" s="89">
        <f t="shared" si="2310"/>
        <v>-0.25205411287204094</v>
      </c>
      <c r="X261" s="89">
        <f t="shared" si="2310"/>
        <v>-0.32602579414381549</v>
      </c>
      <c r="Y261" s="89">
        <f t="shared" si="2310"/>
        <v>-0.49541524446083041</v>
      </c>
      <c r="Z261" s="89">
        <f t="shared" si="2310"/>
        <v>1.5745044429254951</v>
      </c>
      <c r="AA261" s="89">
        <f t="shared" si="2310"/>
        <v>-0.22090846253496099</v>
      </c>
      <c r="AB261" s="47">
        <f t="shared" si="2310"/>
        <v>1.1751019400874085E-5</v>
      </c>
      <c r="AC261" s="47">
        <f t="shared" si="2310"/>
        <v>0</v>
      </c>
      <c r="AD261" s="47">
        <f t="shared" si="2310"/>
        <v>0</v>
      </c>
      <c r="AE261" s="47">
        <f t="shared" si="2310"/>
        <v>0</v>
      </c>
      <c r="AL261" s="89" t="e">
        <f t="shared" ref="AL261:CW261" si="2311">AL140/AK140-1</f>
        <v>#DIV/0!</v>
      </c>
      <c r="AM261" s="89" t="e">
        <f t="shared" si="2311"/>
        <v>#DIV/0!</v>
      </c>
      <c r="AN261" s="89" t="e">
        <f t="shared" si="2311"/>
        <v>#DIV/0!</v>
      </c>
      <c r="AO261" s="89" t="e">
        <f t="shared" si="2311"/>
        <v>#DIV/0!</v>
      </c>
      <c r="AP261" s="89" t="e">
        <f t="shared" si="2311"/>
        <v>#DIV/0!</v>
      </c>
      <c r="AQ261" s="89" t="e">
        <f t="shared" si="2311"/>
        <v>#DIV/0!</v>
      </c>
      <c r="AR261" s="89" t="e">
        <f t="shared" si="2311"/>
        <v>#DIV/0!</v>
      </c>
      <c r="AS261" s="89" t="e">
        <f t="shared" si="2311"/>
        <v>#DIV/0!</v>
      </c>
      <c r="AT261" s="89" t="e">
        <f t="shared" si="2311"/>
        <v>#DIV/0!</v>
      </c>
      <c r="AU261" s="89" t="e">
        <f t="shared" si="2311"/>
        <v>#DIV/0!</v>
      </c>
      <c r="AV261" s="89" t="e">
        <f t="shared" si="2311"/>
        <v>#DIV/0!</v>
      </c>
      <c r="AW261" s="89" t="e">
        <f t="shared" si="2311"/>
        <v>#DIV/0!</v>
      </c>
      <c r="AX261" s="89" t="e">
        <f t="shared" si="2311"/>
        <v>#DIV/0!</v>
      </c>
      <c r="AY261" s="89" t="e">
        <f t="shared" si="2311"/>
        <v>#DIV/0!</v>
      </c>
      <c r="AZ261" s="89" t="e">
        <f t="shared" si="2311"/>
        <v>#DIV/0!</v>
      </c>
      <c r="BA261" s="89" t="e">
        <f t="shared" si="2311"/>
        <v>#DIV/0!</v>
      </c>
      <c r="BB261" s="89" t="e">
        <f t="shared" si="2311"/>
        <v>#DIV/0!</v>
      </c>
      <c r="BC261" s="89" t="e">
        <f t="shared" si="2311"/>
        <v>#DIV/0!</v>
      </c>
      <c r="BD261" s="89" t="e">
        <f t="shared" si="2311"/>
        <v>#DIV/0!</v>
      </c>
      <c r="BE261" s="89" t="e">
        <f t="shared" si="2311"/>
        <v>#DIV/0!</v>
      </c>
      <c r="BF261" s="89" t="e">
        <f t="shared" si="2311"/>
        <v>#DIV/0!</v>
      </c>
      <c r="BG261" s="89" t="e">
        <f t="shared" si="2311"/>
        <v>#DIV/0!</v>
      </c>
      <c r="BH261" s="89" t="e">
        <f t="shared" si="2311"/>
        <v>#DIV/0!</v>
      </c>
      <c r="BI261" s="89" t="e">
        <f t="shared" si="2311"/>
        <v>#DIV/0!</v>
      </c>
      <c r="BJ261" s="89" t="e">
        <f t="shared" si="2311"/>
        <v>#DIV/0!</v>
      </c>
      <c r="BK261" s="89" t="e">
        <f t="shared" si="2311"/>
        <v>#DIV/0!</v>
      </c>
      <c r="BL261" s="89" t="e">
        <f t="shared" si="2311"/>
        <v>#DIV/0!</v>
      </c>
      <c r="BM261" s="89" t="e">
        <f t="shared" si="2311"/>
        <v>#DIV/0!</v>
      </c>
      <c r="BN261" s="89" t="e">
        <f t="shared" si="2311"/>
        <v>#DIV/0!</v>
      </c>
      <c r="BO261" s="89" t="e">
        <f t="shared" si="2311"/>
        <v>#DIV/0!</v>
      </c>
      <c r="BP261" s="89" t="e">
        <f t="shared" si="2311"/>
        <v>#DIV/0!</v>
      </c>
      <c r="BQ261" s="89" t="e">
        <f t="shared" si="2311"/>
        <v>#DIV/0!</v>
      </c>
      <c r="BR261" s="89" t="e">
        <f t="shared" si="2311"/>
        <v>#DIV/0!</v>
      </c>
      <c r="BS261" s="89">
        <f t="shared" si="2311"/>
        <v>0</v>
      </c>
      <c r="BT261" s="89">
        <f t="shared" si="2311"/>
        <v>-1</v>
      </c>
      <c r="BU261" s="89" t="e">
        <f t="shared" si="2311"/>
        <v>#DIV/0!</v>
      </c>
      <c r="BV261" s="89" t="e">
        <f t="shared" si="2311"/>
        <v>#DIV/0!</v>
      </c>
      <c r="BW261" s="89">
        <f t="shared" si="2311"/>
        <v>0</v>
      </c>
      <c r="BX261" s="89">
        <f t="shared" si="2311"/>
        <v>-0.16857039798004103</v>
      </c>
      <c r="BY261" s="89">
        <f t="shared" si="2311"/>
        <v>0</v>
      </c>
      <c r="BZ261" s="89">
        <f t="shared" si="2311"/>
        <v>-0.18939503494818022</v>
      </c>
      <c r="CA261" s="89">
        <f t="shared" si="2311"/>
        <v>0</v>
      </c>
      <c r="CB261" s="89">
        <f t="shared" si="2311"/>
        <v>-0.24744291151284481</v>
      </c>
      <c r="CC261" s="89">
        <f t="shared" si="2311"/>
        <v>0</v>
      </c>
      <c r="CD261" s="89">
        <f t="shared" si="2311"/>
        <v>-0.32951402607664948</v>
      </c>
      <c r="CE261" s="89">
        <f t="shared" si="2311"/>
        <v>0</v>
      </c>
      <c r="CF261" s="89">
        <f t="shared" si="2311"/>
        <v>-0.49204478491455517</v>
      </c>
      <c r="CG261" s="89">
        <f t="shared" si="2311"/>
        <v>0</v>
      </c>
      <c r="CH261" s="89">
        <f t="shared" si="2311"/>
        <v>4.0686078886310906</v>
      </c>
      <c r="CI261" s="89">
        <f t="shared" si="2311"/>
        <v>0</v>
      </c>
      <c r="CJ261" s="89">
        <f t="shared" si="2311"/>
        <v>-0.10421730592290468</v>
      </c>
      <c r="CK261" s="89">
        <f t="shared" si="2311"/>
        <v>0</v>
      </c>
      <c r="CL261" s="89">
        <f t="shared" si="2311"/>
        <v>-0.1302570391946446</v>
      </c>
      <c r="CM261" s="47">
        <f t="shared" si="2311"/>
        <v>0</v>
      </c>
      <c r="CN261" s="47">
        <f t="shared" si="2311"/>
        <v>0</v>
      </c>
      <c r="CO261" s="47">
        <f t="shared" si="2311"/>
        <v>0</v>
      </c>
      <c r="CP261" s="47">
        <f t="shared" si="2311"/>
        <v>0</v>
      </c>
      <c r="CQ261" s="47">
        <f t="shared" si="2311"/>
        <v>0</v>
      </c>
      <c r="CR261" s="47">
        <f t="shared" si="2311"/>
        <v>0</v>
      </c>
      <c r="CS261" s="47">
        <f t="shared" si="2311"/>
        <v>0</v>
      </c>
      <c r="CT261" s="47">
        <f t="shared" si="2311"/>
        <v>0</v>
      </c>
      <c r="CU261" s="47">
        <f t="shared" si="2311"/>
        <v>0</v>
      </c>
      <c r="CV261" s="47">
        <f t="shared" si="2311"/>
        <v>0</v>
      </c>
      <c r="CW261" s="47">
        <f t="shared" si="2311"/>
        <v>0</v>
      </c>
      <c r="CX261" s="47">
        <f t="shared" ref="CX261:DB261" si="2312">CX140/CW140-1</f>
        <v>0</v>
      </c>
      <c r="CY261" s="47">
        <f t="shared" si="2312"/>
        <v>0</v>
      </c>
      <c r="CZ261" s="47">
        <f t="shared" si="2312"/>
        <v>0</v>
      </c>
      <c r="DA261" s="47">
        <f t="shared" si="2312"/>
        <v>0</v>
      </c>
      <c r="DB261" s="47">
        <f t="shared" si="2312"/>
        <v>0</v>
      </c>
      <c r="DE261" s="130"/>
      <c r="DF261" s="89">
        <v>-0.22090846253496099</v>
      </c>
    </row>
    <row r="262" spans="1:110" s="89" customFormat="1" x14ac:dyDescent="0.2">
      <c r="A262" s="89" t="s">
        <v>104</v>
      </c>
      <c r="C262" s="89" t="e">
        <f>C40/B40-1</f>
        <v>#DIV/0!</v>
      </c>
      <c r="D262" s="89" t="e">
        <f>D40/C40-1</f>
        <v>#DIV/0!</v>
      </c>
      <c r="F262" s="89" t="e">
        <f t="shared" ref="F262:AE262" si="2313">F40/E40-1</f>
        <v>#DIV/0!</v>
      </c>
      <c r="G262" s="89" t="e">
        <f t="shared" si="2313"/>
        <v>#DIV/0!</v>
      </c>
      <c r="H262" s="89" t="e">
        <f t="shared" si="2313"/>
        <v>#DIV/0!</v>
      </c>
      <c r="I262" s="89" t="e">
        <f t="shared" si="2313"/>
        <v>#DIV/0!</v>
      </c>
      <c r="J262" s="89" t="e">
        <f t="shared" si="2313"/>
        <v>#DIV/0!</v>
      </c>
      <c r="K262" s="89">
        <f t="shared" si="2313"/>
        <v>-0.97732158787575518</v>
      </c>
      <c r="L262" s="89">
        <f t="shared" si="2313"/>
        <v>51.445727870228609</v>
      </c>
      <c r="M262" s="89">
        <f t="shared" si="2313"/>
        <v>-1.7370102981180113</v>
      </c>
      <c r="N262" s="89">
        <f t="shared" si="2313"/>
        <v>-1.01247250892612</v>
      </c>
      <c r="O262" s="89">
        <f t="shared" si="2313"/>
        <v>-57.081044234952067</v>
      </c>
      <c r="P262" s="89">
        <f t="shared" si="2313"/>
        <v>-0.54028718409180931</v>
      </c>
      <c r="Q262" s="89">
        <f t="shared" si="2313"/>
        <v>-0.4374475419832895</v>
      </c>
      <c r="R262" s="89">
        <f t="shared" si="2313"/>
        <v>17.459999999999734</v>
      </c>
      <c r="S262" s="89">
        <f t="shared" si="2313"/>
        <v>-86.076923076924203</v>
      </c>
      <c r="T262" s="89">
        <f t="shared" si="2313"/>
        <v>0.24644066933245057</v>
      </c>
      <c r="U262" s="89">
        <f t="shared" si="2313"/>
        <v>9.0316516479699294E-2</v>
      </c>
      <c r="V262" s="89">
        <f t="shared" si="2313"/>
        <v>-0.34797128881725659</v>
      </c>
      <c r="W262" s="89">
        <f t="shared" si="2313"/>
        <v>1.5478233251704436</v>
      </c>
      <c r="X262" s="89">
        <f t="shared" si="2313"/>
        <v>0.34616384739434714</v>
      </c>
      <c r="Y262" s="89">
        <f t="shared" si="2313"/>
        <v>0.27292382831159179</v>
      </c>
      <c r="Z262" s="89">
        <f t="shared" si="2313"/>
        <v>0.31761471066893487</v>
      </c>
      <c r="AA262" s="89">
        <f t="shared" si="2313"/>
        <v>0.20288214186765385</v>
      </c>
      <c r="AB262" s="47">
        <f t="shared" si="2313"/>
        <v>0.22920399515426793</v>
      </c>
      <c r="AC262" s="47">
        <f t="shared" si="2313"/>
        <v>0.28340737241098979</v>
      </c>
      <c r="AD262" s="47">
        <f t="shared" si="2313"/>
        <v>0.29641327603013146</v>
      </c>
      <c r="AE262" s="47">
        <f t="shared" si="2313"/>
        <v>0.29934915957910757</v>
      </c>
      <c r="AL262" s="89" t="e">
        <f t="shared" ref="AL262:CW262" si="2314">AL40/AK40-1</f>
        <v>#DIV/0!</v>
      </c>
      <c r="AM262" s="89" t="e">
        <f t="shared" si="2314"/>
        <v>#DIV/0!</v>
      </c>
      <c r="AN262" s="89" t="e">
        <f t="shared" si="2314"/>
        <v>#DIV/0!</v>
      </c>
      <c r="AO262" s="89" t="e">
        <f t="shared" si="2314"/>
        <v>#DIV/0!</v>
      </c>
      <c r="AP262" s="89" t="e">
        <f t="shared" si="2314"/>
        <v>#DIV/0!</v>
      </c>
      <c r="AQ262" s="89" t="e">
        <f t="shared" si="2314"/>
        <v>#DIV/0!</v>
      </c>
      <c r="AR262" s="89" t="e">
        <f t="shared" si="2314"/>
        <v>#DIV/0!</v>
      </c>
      <c r="AS262" s="89" t="e">
        <f t="shared" si="2314"/>
        <v>#DIV/0!</v>
      </c>
      <c r="AT262" s="89" t="e">
        <f t="shared" si="2314"/>
        <v>#DIV/0!</v>
      </c>
      <c r="AU262" s="89" t="e">
        <f t="shared" si="2314"/>
        <v>#DIV/0!</v>
      </c>
      <c r="AV262" s="89" t="e">
        <f t="shared" si="2314"/>
        <v>#DIV/0!</v>
      </c>
      <c r="AW262" s="89" t="e">
        <f t="shared" si="2314"/>
        <v>#DIV/0!</v>
      </c>
      <c r="AX262" s="89" t="e">
        <f t="shared" si="2314"/>
        <v>#DIV/0!</v>
      </c>
      <c r="AY262" s="89" t="e">
        <f t="shared" si="2314"/>
        <v>#DIV/0!</v>
      </c>
      <c r="AZ262" s="89" t="e">
        <f t="shared" si="2314"/>
        <v>#DIV/0!</v>
      </c>
      <c r="BA262" s="89" t="e">
        <f t="shared" si="2314"/>
        <v>#DIV/0!</v>
      </c>
      <c r="BB262" s="89" t="e">
        <f t="shared" si="2314"/>
        <v>#DIV/0!</v>
      </c>
      <c r="BC262" s="89" t="e">
        <f t="shared" si="2314"/>
        <v>#DIV/0!</v>
      </c>
      <c r="BD262" s="89" t="e">
        <f t="shared" si="2314"/>
        <v>#DIV/0!</v>
      </c>
      <c r="BE262" s="89" t="e">
        <f t="shared" si="2314"/>
        <v>#DIV/0!</v>
      </c>
      <c r="BF262" s="89" t="e">
        <f t="shared" si="2314"/>
        <v>#DIV/0!</v>
      </c>
      <c r="BG262" s="89" t="e">
        <f t="shared" si="2314"/>
        <v>#DIV/0!</v>
      </c>
      <c r="BH262" s="89" t="e">
        <f t="shared" si="2314"/>
        <v>#DIV/0!</v>
      </c>
      <c r="BI262" s="89" t="e">
        <f t="shared" si="2314"/>
        <v>#DIV/0!</v>
      </c>
      <c r="BJ262" s="89" t="e">
        <f t="shared" si="2314"/>
        <v>#DIV/0!</v>
      </c>
      <c r="BK262" s="89" t="e">
        <f t="shared" si="2314"/>
        <v>#DIV/0!</v>
      </c>
      <c r="BL262" s="89" t="e">
        <f t="shared" si="2314"/>
        <v>#DIV/0!</v>
      </c>
      <c r="BM262" s="89" t="e">
        <f t="shared" si="2314"/>
        <v>#DIV/0!</v>
      </c>
      <c r="BN262" s="89" t="e">
        <f t="shared" si="2314"/>
        <v>#DIV/0!</v>
      </c>
      <c r="BO262" s="89" t="e">
        <f t="shared" si="2314"/>
        <v>#DIV/0!</v>
      </c>
      <c r="BP262" s="89" t="e">
        <f t="shared" si="2314"/>
        <v>#DIV/0!</v>
      </c>
      <c r="BQ262" s="89" t="e">
        <f t="shared" si="2314"/>
        <v>#DIV/0!</v>
      </c>
      <c r="BR262" s="89">
        <f t="shared" si="2314"/>
        <v>-0.31004283674440725</v>
      </c>
      <c r="BS262" s="89">
        <f t="shared" si="2314"/>
        <v>1.9985513245033113</v>
      </c>
      <c r="BT262" s="89">
        <f t="shared" si="2314"/>
        <v>1.8404766834589914E-4</v>
      </c>
      <c r="BU262" s="89">
        <f t="shared" si="2314"/>
        <v>2.2863714778608379E-2</v>
      </c>
      <c r="BV262" s="89">
        <f t="shared" si="2314"/>
        <v>3.0043401020935834E-2</v>
      </c>
      <c r="BW262" s="89">
        <f t="shared" si="2314"/>
        <v>0.21622093657897645</v>
      </c>
      <c r="BX262" s="89">
        <f t="shared" si="2314"/>
        <v>8.4349027984705893E-2</v>
      </c>
      <c r="BY262" s="89">
        <f t="shared" si="2314"/>
        <v>2.1669315322474292E-2</v>
      </c>
      <c r="BZ262" s="89">
        <f t="shared" si="2314"/>
        <v>-1.4501677009576164E-2</v>
      </c>
      <c r="CA262" s="89">
        <f t="shared" si="2314"/>
        <v>0.20607674854493441</v>
      </c>
      <c r="CB262" s="89">
        <f t="shared" si="2314"/>
        <v>5.6041768907791889E-2</v>
      </c>
      <c r="CC262" s="89">
        <f t="shared" si="2314"/>
        <v>3.0490402364878211E-2</v>
      </c>
      <c r="CD262" s="89">
        <f t="shared" si="2314"/>
        <v>-8.382918488268698E-2</v>
      </c>
      <c r="CE262" s="89">
        <f t="shared" si="2314"/>
        <v>0.34315052572569327</v>
      </c>
      <c r="CF262" s="89">
        <f t="shared" si="2314"/>
        <v>5.9907974835596622E-2</v>
      </c>
      <c r="CG262" s="89">
        <f t="shared" si="2314"/>
        <v>2.8332965164859392E-2</v>
      </c>
      <c r="CH262" s="89">
        <f t="shared" si="2314"/>
        <v>-0.15156581270022118</v>
      </c>
      <c r="CI262" s="89">
        <f t="shared" si="2314"/>
        <v>0.40661155205248711</v>
      </c>
      <c r="CJ262" s="89">
        <f t="shared" si="2314"/>
        <v>7.5865955015730346E-2</v>
      </c>
      <c r="CK262" s="89">
        <f t="shared" si="2314"/>
        <v>-4.3958042364990346E-2</v>
      </c>
      <c r="CL262" s="89">
        <f t="shared" si="2314"/>
        <v>-0.35484558202527638</v>
      </c>
      <c r="CM262" s="47">
        <f t="shared" si="2314"/>
        <v>0.70219935179772963</v>
      </c>
      <c r="CN262" s="47">
        <f t="shared" si="2314"/>
        <v>9.1396298721904357E-2</v>
      </c>
      <c r="CO262" s="47">
        <f t="shared" si="2314"/>
        <v>-5.8788208784579354E-2</v>
      </c>
      <c r="CP262" s="47">
        <f t="shared" si="2314"/>
        <v>-4.4095567398783286E-2</v>
      </c>
      <c r="CQ262" s="47">
        <f t="shared" si="2314"/>
        <v>0.26256758173989869</v>
      </c>
      <c r="CR262" s="47">
        <f t="shared" si="2314"/>
        <v>0.10926905208255588</v>
      </c>
      <c r="CS262" s="47">
        <f t="shared" si="2314"/>
        <v>-3.3751934956808394E-2</v>
      </c>
      <c r="CT262" s="47">
        <f t="shared" si="2314"/>
        <v>-7.4679002943031092E-3</v>
      </c>
      <c r="CU262" s="47">
        <f t="shared" si="2314"/>
        <v>0.20571986676249865</v>
      </c>
      <c r="CV262" s="47">
        <f t="shared" si="2314"/>
        <v>0.11911686176557224</v>
      </c>
      <c r="CW262" s="47">
        <f t="shared" si="2314"/>
        <v>-2.7152569209756172E-2</v>
      </c>
      <c r="CX262" s="47">
        <f t="shared" ref="CX262:DB262" si="2315">CX40/CW40-1</f>
        <v>-5.6826501471952673E-3</v>
      </c>
      <c r="CY262" s="47">
        <f t="shared" si="2315"/>
        <v>0.19731447285653125</v>
      </c>
      <c r="CZ262" s="47">
        <f t="shared" si="2315"/>
        <v>0.12207365517549973</v>
      </c>
      <c r="DA262" s="47">
        <f t="shared" si="2315"/>
        <v>-2.61160048106438E-2</v>
      </c>
      <c r="DB262" s="47">
        <f t="shared" si="2315"/>
        <v>-6.0535424406962246E-3</v>
      </c>
      <c r="DE262" s="130"/>
      <c r="DF262" s="89">
        <v>0.20288214186765385</v>
      </c>
    </row>
    <row r="263" spans="1:110" s="103" customFormat="1" x14ac:dyDescent="0.2">
      <c r="A263" s="147" t="s">
        <v>105</v>
      </c>
      <c r="C263" s="103" t="e">
        <f>IF(C261&gt;C262,"RF",0)</f>
        <v>#DIV/0!</v>
      </c>
      <c r="D263" s="103" t="e">
        <f t="shared" ref="D263:U263" si="2316">IF(D261&gt;D262,"RF",0)</f>
        <v>#DIV/0!</v>
      </c>
      <c r="F263" s="103" t="e">
        <f t="shared" si="2316"/>
        <v>#DIV/0!</v>
      </c>
      <c r="G263" s="103" t="e">
        <f t="shared" si="2316"/>
        <v>#DIV/0!</v>
      </c>
      <c r="H263" s="103" t="e">
        <f t="shared" si="2316"/>
        <v>#DIV/0!</v>
      </c>
      <c r="I263" s="103" t="e">
        <f t="shared" si="2316"/>
        <v>#DIV/0!</v>
      </c>
      <c r="J263" s="103" t="e">
        <f t="shared" si="2316"/>
        <v>#DIV/0!</v>
      </c>
      <c r="K263" s="103" t="e">
        <f t="shared" si="2316"/>
        <v>#DIV/0!</v>
      </c>
      <c r="L263" s="103" t="e">
        <f t="shared" si="2316"/>
        <v>#DIV/0!</v>
      </c>
      <c r="M263" s="103" t="e">
        <f t="shared" si="2316"/>
        <v>#DIV/0!</v>
      </c>
      <c r="N263" s="103" t="e">
        <f t="shared" si="2316"/>
        <v>#DIV/0!</v>
      </c>
      <c r="O263" s="103" t="e">
        <f t="shared" si="2316"/>
        <v>#DIV/0!</v>
      </c>
      <c r="P263" s="103" t="e">
        <f t="shared" si="2316"/>
        <v>#DIV/0!</v>
      </c>
      <c r="Q263" s="103" t="e">
        <f t="shared" si="2316"/>
        <v>#DIV/0!</v>
      </c>
      <c r="R263" s="103" t="e">
        <f t="shared" si="2316"/>
        <v>#DIV/0!</v>
      </c>
      <c r="S263" s="103" t="str">
        <f t="shared" si="2316"/>
        <v>RF</v>
      </c>
      <c r="T263" s="103">
        <f t="shared" si="2316"/>
        <v>0</v>
      </c>
      <c r="U263" s="103" t="str">
        <f t="shared" si="2316"/>
        <v>RF</v>
      </c>
      <c r="V263" s="103" t="str">
        <f>IF(V261&gt;V262,"RF",0)</f>
        <v>RF</v>
      </c>
      <c r="W263" s="103">
        <f t="shared" ref="W263:AE263" si="2317">IF(W261&gt;W262,"RF",0)</f>
        <v>0</v>
      </c>
      <c r="X263" s="103">
        <f t="shared" si="2317"/>
        <v>0</v>
      </c>
      <c r="Y263" s="103">
        <f t="shared" si="2317"/>
        <v>0</v>
      </c>
      <c r="Z263" s="103" t="str">
        <f t="shared" si="2317"/>
        <v>RF</v>
      </c>
      <c r="AA263" s="103">
        <f t="shared" ref="AA263" si="2318">IF(AA261&gt;AA262,"RF",0)</f>
        <v>0</v>
      </c>
      <c r="AB263" s="73">
        <f t="shared" si="2317"/>
        <v>0</v>
      </c>
      <c r="AC263" s="73">
        <f t="shared" si="2317"/>
        <v>0</v>
      </c>
      <c r="AD263" s="73">
        <f t="shared" si="2317"/>
        <v>0</v>
      </c>
      <c r="AE263" s="73">
        <f t="shared" si="2317"/>
        <v>0</v>
      </c>
      <c r="AL263" s="103" t="e">
        <f t="shared" ref="AL263:CW263" si="2319">IF(AL261&gt;AL262,"RF",0)</f>
        <v>#DIV/0!</v>
      </c>
      <c r="AM263" s="103" t="e">
        <f t="shared" si="2319"/>
        <v>#DIV/0!</v>
      </c>
      <c r="AN263" s="103" t="e">
        <f t="shared" si="2319"/>
        <v>#DIV/0!</v>
      </c>
      <c r="AO263" s="103" t="e">
        <f t="shared" si="2319"/>
        <v>#DIV/0!</v>
      </c>
      <c r="AP263" s="103" t="e">
        <f t="shared" si="2319"/>
        <v>#DIV/0!</v>
      </c>
      <c r="AQ263" s="103" t="e">
        <f t="shared" si="2319"/>
        <v>#DIV/0!</v>
      </c>
      <c r="AR263" s="103" t="e">
        <f t="shared" si="2319"/>
        <v>#DIV/0!</v>
      </c>
      <c r="AS263" s="103" t="e">
        <f t="shared" si="2319"/>
        <v>#DIV/0!</v>
      </c>
      <c r="AT263" s="103" t="e">
        <f t="shared" si="2319"/>
        <v>#DIV/0!</v>
      </c>
      <c r="AU263" s="103" t="e">
        <f t="shared" si="2319"/>
        <v>#DIV/0!</v>
      </c>
      <c r="AV263" s="103" t="e">
        <f t="shared" si="2319"/>
        <v>#DIV/0!</v>
      </c>
      <c r="AW263" s="103" t="e">
        <f t="shared" si="2319"/>
        <v>#DIV/0!</v>
      </c>
      <c r="AX263" s="103" t="e">
        <f t="shared" si="2319"/>
        <v>#DIV/0!</v>
      </c>
      <c r="AY263" s="103" t="e">
        <f t="shared" si="2319"/>
        <v>#DIV/0!</v>
      </c>
      <c r="AZ263" s="103" t="e">
        <f t="shared" si="2319"/>
        <v>#DIV/0!</v>
      </c>
      <c r="BA263" s="103" t="e">
        <f t="shared" si="2319"/>
        <v>#DIV/0!</v>
      </c>
      <c r="BB263" s="103" t="e">
        <f t="shared" si="2319"/>
        <v>#DIV/0!</v>
      </c>
      <c r="BC263" s="103" t="e">
        <f t="shared" si="2319"/>
        <v>#DIV/0!</v>
      </c>
      <c r="BD263" s="103" t="e">
        <f t="shared" si="2319"/>
        <v>#DIV/0!</v>
      </c>
      <c r="BE263" s="103" t="e">
        <f t="shared" si="2319"/>
        <v>#DIV/0!</v>
      </c>
      <c r="BF263" s="103" t="e">
        <f t="shared" si="2319"/>
        <v>#DIV/0!</v>
      </c>
      <c r="BG263" s="103" t="e">
        <f t="shared" si="2319"/>
        <v>#DIV/0!</v>
      </c>
      <c r="BH263" s="103" t="e">
        <f t="shared" si="2319"/>
        <v>#DIV/0!</v>
      </c>
      <c r="BI263" s="103" t="e">
        <f t="shared" si="2319"/>
        <v>#DIV/0!</v>
      </c>
      <c r="BJ263" s="103" t="e">
        <f t="shared" si="2319"/>
        <v>#DIV/0!</v>
      </c>
      <c r="BK263" s="103" t="e">
        <f t="shared" si="2319"/>
        <v>#DIV/0!</v>
      </c>
      <c r="BL263" s="103" t="e">
        <f t="shared" si="2319"/>
        <v>#DIV/0!</v>
      </c>
      <c r="BM263" s="103" t="e">
        <f t="shared" si="2319"/>
        <v>#DIV/0!</v>
      </c>
      <c r="BN263" s="103" t="e">
        <f t="shared" si="2319"/>
        <v>#DIV/0!</v>
      </c>
      <c r="BO263" s="103" t="e">
        <f t="shared" si="2319"/>
        <v>#DIV/0!</v>
      </c>
      <c r="BP263" s="103" t="e">
        <f t="shared" si="2319"/>
        <v>#DIV/0!</v>
      </c>
      <c r="BQ263" s="103" t="e">
        <f t="shared" si="2319"/>
        <v>#DIV/0!</v>
      </c>
      <c r="BR263" s="103" t="e">
        <f t="shared" si="2319"/>
        <v>#DIV/0!</v>
      </c>
      <c r="BS263" s="103">
        <f t="shared" si="2319"/>
        <v>0</v>
      </c>
      <c r="BT263" s="103">
        <f t="shared" si="2319"/>
        <v>0</v>
      </c>
      <c r="BU263" s="103" t="e">
        <f t="shared" si="2319"/>
        <v>#DIV/0!</v>
      </c>
      <c r="BV263" s="103" t="e">
        <f t="shared" si="2319"/>
        <v>#DIV/0!</v>
      </c>
      <c r="BW263" s="103">
        <f t="shared" si="2319"/>
        <v>0</v>
      </c>
      <c r="BX263" s="103">
        <f t="shared" si="2319"/>
        <v>0</v>
      </c>
      <c r="BY263" s="103">
        <f t="shared" si="2319"/>
        <v>0</v>
      </c>
      <c r="BZ263" s="103">
        <f t="shared" si="2319"/>
        <v>0</v>
      </c>
      <c r="CA263" s="103">
        <f t="shared" si="2319"/>
        <v>0</v>
      </c>
      <c r="CB263" s="103">
        <f t="shared" si="2319"/>
        <v>0</v>
      </c>
      <c r="CC263" s="103">
        <f t="shared" si="2319"/>
        <v>0</v>
      </c>
      <c r="CD263" s="103">
        <f t="shared" si="2319"/>
        <v>0</v>
      </c>
      <c r="CE263" s="103">
        <f t="shared" si="2319"/>
        <v>0</v>
      </c>
      <c r="CF263" s="103">
        <f t="shared" si="2319"/>
        <v>0</v>
      </c>
      <c r="CG263" s="103">
        <f t="shared" si="2319"/>
        <v>0</v>
      </c>
      <c r="CH263" s="103" t="str">
        <f t="shared" si="2319"/>
        <v>RF</v>
      </c>
      <c r="CI263" s="103">
        <f t="shared" si="2319"/>
        <v>0</v>
      </c>
      <c r="CJ263" s="103">
        <f t="shared" si="2319"/>
        <v>0</v>
      </c>
      <c r="CK263" s="103" t="str">
        <f t="shared" si="2319"/>
        <v>RF</v>
      </c>
      <c r="CL263" s="103" t="str">
        <f t="shared" ref="CL263" si="2320">IF(CL261&gt;CL262,"RF",0)</f>
        <v>RF</v>
      </c>
      <c r="CM263" s="73">
        <f t="shared" si="2319"/>
        <v>0</v>
      </c>
      <c r="CN263" s="73">
        <f t="shared" si="2319"/>
        <v>0</v>
      </c>
      <c r="CO263" s="73" t="str">
        <f t="shared" si="2319"/>
        <v>RF</v>
      </c>
      <c r="CP263" s="73" t="str">
        <f t="shared" si="2319"/>
        <v>RF</v>
      </c>
      <c r="CQ263" s="73">
        <f t="shared" si="2319"/>
        <v>0</v>
      </c>
      <c r="CR263" s="73">
        <f t="shared" si="2319"/>
        <v>0</v>
      </c>
      <c r="CS263" s="73" t="str">
        <f t="shared" si="2319"/>
        <v>RF</v>
      </c>
      <c r="CT263" s="73" t="str">
        <f t="shared" si="2319"/>
        <v>RF</v>
      </c>
      <c r="CU263" s="73">
        <f t="shared" si="2319"/>
        <v>0</v>
      </c>
      <c r="CV263" s="73">
        <f t="shared" si="2319"/>
        <v>0</v>
      </c>
      <c r="CW263" s="73" t="str">
        <f t="shared" si="2319"/>
        <v>RF</v>
      </c>
      <c r="CX263" s="73" t="str">
        <f t="shared" ref="CX263:DB263" si="2321">IF(CX261&gt;CX262,"RF",0)</f>
        <v>RF</v>
      </c>
      <c r="CY263" s="73">
        <f t="shared" si="2321"/>
        <v>0</v>
      </c>
      <c r="CZ263" s="73">
        <f t="shared" si="2321"/>
        <v>0</v>
      </c>
      <c r="DA263" s="73" t="str">
        <f t="shared" si="2321"/>
        <v>RF</v>
      </c>
      <c r="DB263" s="73" t="str">
        <f t="shared" si="2321"/>
        <v>RF</v>
      </c>
      <c r="DE263" s="142"/>
      <c r="DF263" s="103">
        <v>0</v>
      </c>
    </row>
    <row r="264" spans="1:110" s="86" customFormat="1" x14ac:dyDescent="0.2">
      <c r="A264" s="86" t="s">
        <v>432</v>
      </c>
      <c r="B264" s="86" t="e">
        <f>B48/B20</f>
        <v>#DIV/0!</v>
      </c>
      <c r="C264" s="86" t="e">
        <f>C48/C20</f>
        <v>#DIV/0!</v>
      </c>
      <c r="D264" s="86" t="e">
        <f>D48/D20</f>
        <v>#DIV/0!</v>
      </c>
      <c r="F264" s="86" t="e">
        <f t="shared" ref="F264:AE264" si="2322">F48/F20</f>
        <v>#DIV/0!</v>
      </c>
      <c r="G264" s="86" t="e">
        <f t="shared" si="2322"/>
        <v>#DIV/0!</v>
      </c>
      <c r="H264" s="86" t="e">
        <f t="shared" si="2322"/>
        <v>#DIV/0!</v>
      </c>
      <c r="I264" s="86" t="e">
        <f t="shared" si="2322"/>
        <v>#DIV/0!</v>
      </c>
      <c r="J264" s="86">
        <f t="shared" si="2322"/>
        <v>2.162600276021939E-3</v>
      </c>
      <c r="K264" s="86">
        <f t="shared" si="2322"/>
        <v>1.9602386660158382E-4</v>
      </c>
      <c r="L264" s="86">
        <f t="shared" si="2322"/>
        <v>0</v>
      </c>
      <c r="M264" s="86">
        <f t="shared" si="2322"/>
        <v>0</v>
      </c>
      <c r="N264" s="86">
        <f t="shared" si="2322"/>
        <v>0</v>
      </c>
      <c r="O264" s="86">
        <f t="shared" si="2322"/>
        <v>3.9761431411530816E-4</v>
      </c>
      <c r="P264" s="86" t="e">
        <f t="shared" si="2322"/>
        <v>#DIV/0!</v>
      </c>
      <c r="Q264" s="86">
        <f t="shared" si="2322"/>
        <v>6.3157894736842113E-3</v>
      </c>
      <c r="R264" s="86">
        <f t="shared" si="2322"/>
        <v>2.8770663675818011E-3</v>
      </c>
      <c r="S264" s="86">
        <f t="shared" si="2322"/>
        <v>3.95055919504868E-2</v>
      </c>
      <c r="T264" s="86">
        <f t="shared" si="2322"/>
        <v>2.2090698405926527E-2</v>
      </c>
      <c r="U264" s="86">
        <f t="shared" si="2322"/>
        <v>9.9328867150653803E-3</v>
      </c>
      <c r="V264" s="86">
        <f t="shared" si="2322"/>
        <v>1.0891334646414168E-2</v>
      </c>
      <c r="W264" s="86">
        <f t="shared" si="2322"/>
        <v>4.8351426194611505E-3</v>
      </c>
      <c r="X264" s="86">
        <f t="shared" si="2322"/>
        <v>7.1709321883755874E-3</v>
      </c>
      <c r="Y264" s="86">
        <f t="shared" si="2322"/>
        <v>8.9283433829544165E-3</v>
      </c>
      <c r="Z264" s="86">
        <f t="shared" si="2322"/>
        <v>1.229088102519171E-2</v>
      </c>
      <c r="AA264" s="86">
        <f t="shared" ref="AA264" si="2323">AA48/AA20</f>
        <v>1.3748917372097578E-2</v>
      </c>
      <c r="AB264" s="87">
        <f t="shared" si="2322"/>
        <v>-6.4243675367910508E-2</v>
      </c>
      <c r="AC264" s="87">
        <f t="shared" si="2322"/>
        <v>-0.11587668605655334</v>
      </c>
      <c r="AD264" s="87">
        <f t="shared" si="2322"/>
        <v>-0.1640296108781337</v>
      </c>
      <c r="AE264" s="87">
        <f t="shared" si="2322"/>
        <v>-0.20936785677509023</v>
      </c>
      <c r="AL264" s="86" t="e">
        <f t="shared" ref="AL264:CW264" si="2324">AL48/AL20</f>
        <v>#DIV/0!</v>
      </c>
      <c r="AM264" s="86" t="e">
        <f t="shared" si="2324"/>
        <v>#DIV/0!</v>
      </c>
      <c r="AN264" s="86" t="e">
        <f t="shared" si="2324"/>
        <v>#DIV/0!</v>
      </c>
      <c r="AO264" s="86" t="e">
        <f t="shared" si="2324"/>
        <v>#DIV/0!</v>
      </c>
      <c r="AP264" s="86" t="e">
        <f t="shared" si="2324"/>
        <v>#DIV/0!</v>
      </c>
      <c r="AQ264" s="86" t="e">
        <f t="shared" si="2324"/>
        <v>#DIV/0!</v>
      </c>
      <c r="AR264" s="86" t="e">
        <f t="shared" si="2324"/>
        <v>#DIV/0!</v>
      </c>
      <c r="AS264" s="86" t="e">
        <f t="shared" si="2324"/>
        <v>#DIV/0!</v>
      </c>
      <c r="AT264" s="86" t="e">
        <f t="shared" si="2324"/>
        <v>#DIV/0!</v>
      </c>
      <c r="AU264" s="86" t="e">
        <f t="shared" si="2324"/>
        <v>#DIV/0!</v>
      </c>
      <c r="AV264" s="86" t="e">
        <f t="shared" si="2324"/>
        <v>#DIV/0!</v>
      </c>
      <c r="AW264" s="86" t="e">
        <f t="shared" si="2324"/>
        <v>#DIV/0!</v>
      </c>
      <c r="AX264" s="86" t="e">
        <f t="shared" si="2324"/>
        <v>#DIV/0!</v>
      </c>
      <c r="AY264" s="86" t="e">
        <f t="shared" si="2324"/>
        <v>#DIV/0!</v>
      </c>
      <c r="AZ264" s="86" t="e">
        <f t="shared" si="2324"/>
        <v>#DIV/0!</v>
      </c>
      <c r="BA264" s="86" t="e">
        <f t="shared" si="2324"/>
        <v>#DIV/0!</v>
      </c>
      <c r="BB264" s="86" t="e">
        <f t="shared" si="2324"/>
        <v>#DIV/0!</v>
      </c>
      <c r="BC264" s="86" t="e">
        <f t="shared" si="2324"/>
        <v>#DIV/0!</v>
      </c>
      <c r="BD264" s="86" t="e">
        <f t="shared" si="2324"/>
        <v>#DIV/0!</v>
      </c>
      <c r="BE264" s="86" t="e">
        <f t="shared" si="2324"/>
        <v>#DIV/0!</v>
      </c>
      <c r="BF264" s="86" t="e">
        <f t="shared" si="2324"/>
        <v>#DIV/0!</v>
      </c>
      <c r="BG264" s="86" t="e">
        <f t="shared" si="2324"/>
        <v>#DIV/0!</v>
      </c>
      <c r="BH264" s="86" t="e">
        <f t="shared" si="2324"/>
        <v>#DIV/0!</v>
      </c>
      <c r="BI264" s="86" t="e">
        <f t="shared" si="2324"/>
        <v>#DIV/0!</v>
      </c>
      <c r="BJ264" s="86" t="e">
        <f t="shared" si="2324"/>
        <v>#DIV/0!</v>
      </c>
      <c r="BK264" s="86" t="e">
        <f t="shared" si="2324"/>
        <v>#DIV/0!</v>
      </c>
      <c r="BL264" s="86" t="e">
        <f t="shared" si="2324"/>
        <v>#DIV/0!</v>
      </c>
      <c r="BM264" s="86" t="e">
        <f t="shared" si="2324"/>
        <v>#DIV/0!</v>
      </c>
      <c r="BN264" s="86" t="e">
        <f t="shared" si="2324"/>
        <v>#DIV/0!</v>
      </c>
      <c r="BO264" s="86" t="e">
        <f t="shared" si="2324"/>
        <v>#DIV/0!</v>
      </c>
      <c r="BP264" s="86" t="e">
        <f t="shared" si="2324"/>
        <v>#DIV/0!</v>
      </c>
      <c r="BQ264" s="86">
        <f t="shared" si="2324"/>
        <v>1.3895008959783791E-2</v>
      </c>
      <c r="BR264" s="86">
        <f t="shared" si="2324"/>
        <v>1.0526615671694941E-2</v>
      </c>
      <c r="BS264" s="86">
        <f t="shared" si="2324"/>
        <v>6.9808922420862719E-3</v>
      </c>
      <c r="BT264" s="86">
        <f t="shared" si="2324"/>
        <v>3.7355615630376014E-3</v>
      </c>
      <c r="BU264" s="86">
        <f t="shared" si="2324"/>
        <v>3.0560207393110234E-3</v>
      </c>
      <c r="BV264" s="86">
        <f t="shared" si="2324"/>
        <v>5.6525796560458605E-3</v>
      </c>
      <c r="BW264" s="86">
        <f t="shared" si="2324"/>
        <v>6.8005501227138372E-3</v>
      </c>
      <c r="BX264" s="86">
        <f t="shared" si="2324"/>
        <v>6.0339695582193546E-3</v>
      </c>
      <c r="BY264" s="86">
        <f t="shared" si="2324"/>
        <v>8.2679961159983183E-3</v>
      </c>
      <c r="BZ264" s="86">
        <f t="shared" si="2324"/>
        <v>7.540570789031897E-3</v>
      </c>
      <c r="CA264" s="86">
        <f t="shared" si="2324"/>
        <v>7.8045547518654371E-3</v>
      </c>
      <c r="CB264" s="86">
        <f t="shared" si="2324"/>
        <v>8.8892053390002244E-3</v>
      </c>
      <c r="CC264" s="86">
        <f t="shared" si="2324"/>
        <v>8.9787371663807135E-3</v>
      </c>
      <c r="CD264" s="86">
        <f t="shared" si="2324"/>
        <v>9.9900154109960719E-3</v>
      </c>
      <c r="CE264" s="86">
        <f t="shared" si="2324"/>
        <v>5.8161556137264637E-3</v>
      </c>
      <c r="CF264" s="86">
        <f t="shared" si="2324"/>
        <v>1.2174149727195121E-2</v>
      </c>
      <c r="CG264" s="86">
        <f t="shared" si="2324"/>
        <v>1.491731353358083E-2</v>
      </c>
      <c r="CH264" s="86">
        <f t="shared" si="2324"/>
        <v>1.6543521355199136E-2</v>
      </c>
      <c r="CI264" s="86">
        <f t="shared" si="2324"/>
        <v>1.4572088593043497E-2</v>
      </c>
      <c r="CJ264" s="86">
        <f t="shared" si="2324"/>
        <v>1.6252698694538045E-2</v>
      </c>
      <c r="CK264" s="86">
        <f t="shared" si="2324"/>
        <v>1.2329779300058005E-2</v>
      </c>
      <c r="CL264" s="86">
        <f t="shared" ref="CL264" si="2325">CL48/CL20</f>
        <v>1.1809546310515675E-2</v>
      </c>
      <c r="CM264" s="87">
        <f t="shared" si="2324"/>
        <v>-4.7528402464969505E-2</v>
      </c>
      <c r="CN264" s="87">
        <f t="shared" si="2324"/>
        <v>-4.9881038980578343E-2</v>
      </c>
      <c r="CO264" s="87">
        <f t="shared" si="2324"/>
        <v>-6.514469429291464E-2</v>
      </c>
      <c r="CP264" s="87">
        <f t="shared" si="2324"/>
        <v>-9.3555607456428699E-2</v>
      </c>
      <c r="CQ264" s="87">
        <f t="shared" si="2324"/>
        <v>-0.10027140909068694</v>
      </c>
      <c r="CR264" s="87">
        <f t="shared" si="2324"/>
        <v>-9.822312815821492E-2</v>
      </c>
      <c r="CS264" s="87">
        <f t="shared" si="2324"/>
        <v>-0.11655074829848654</v>
      </c>
      <c r="CT264" s="87">
        <f t="shared" si="2324"/>
        <v>-0.14779579975208632</v>
      </c>
      <c r="CU264" s="87">
        <f t="shared" si="2324"/>
        <v>-0.14849854040936641</v>
      </c>
      <c r="CV264" s="87">
        <f t="shared" si="2324"/>
        <v>-0.14311197346902907</v>
      </c>
      <c r="CW264" s="87">
        <f t="shared" si="2324"/>
        <v>-0.16491583578031055</v>
      </c>
      <c r="CX264" s="87">
        <f t="shared" ref="CX264:DB264" si="2326">CX48/CX20</f>
        <v>-0.19903931544074396</v>
      </c>
      <c r="CY264" s="87">
        <f t="shared" si="2326"/>
        <v>-0.19364583783602884</v>
      </c>
      <c r="CZ264" s="87">
        <f t="shared" si="2326"/>
        <v>-0.18536554890231544</v>
      </c>
      <c r="DA264" s="87">
        <f t="shared" si="2326"/>
        <v>-0.21057186356887858</v>
      </c>
      <c r="DB264" s="87">
        <f t="shared" si="2326"/>
        <v>-0.24742047516628576</v>
      </c>
      <c r="DE264" s="141"/>
      <c r="DF264" s="86">
        <v>1.3748917372097578E-2</v>
      </c>
    </row>
    <row r="265" spans="1:110" s="86" customFormat="1" x14ac:dyDescent="0.2">
      <c r="A265" s="86" t="s">
        <v>433</v>
      </c>
      <c r="B265" s="86" t="e">
        <f>B44/B20</f>
        <v>#DIV/0!</v>
      </c>
      <c r="C265" s="86" t="e">
        <f>C44/C20</f>
        <v>#DIV/0!</v>
      </c>
      <c r="D265" s="86" t="e">
        <f>D44/D20</f>
        <v>#DIV/0!</v>
      </c>
      <c r="F265" s="86" t="e">
        <f t="shared" ref="F265:AE265" si="2327">F44/F20</f>
        <v>#DIV/0!</v>
      </c>
      <c r="G265" s="86" t="e">
        <f t="shared" si="2327"/>
        <v>#DIV/0!</v>
      </c>
      <c r="H265" s="86" t="e">
        <f t="shared" si="2327"/>
        <v>#DIV/0!</v>
      </c>
      <c r="I265" s="86" t="e">
        <f t="shared" si="2327"/>
        <v>#DIV/0!</v>
      </c>
      <c r="J265" s="86">
        <f t="shared" si="2327"/>
        <v>4.4444685389872611E-3</v>
      </c>
      <c r="K265" s="86">
        <f t="shared" si="2327"/>
        <v>0</v>
      </c>
      <c r="L265" s="86">
        <f t="shared" si="2327"/>
        <v>0</v>
      </c>
      <c r="M265" s="86">
        <f t="shared" si="2327"/>
        <v>0</v>
      </c>
      <c r="N265" s="86">
        <f t="shared" si="2327"/>
        <v>0</v>
      </c>
      <c r="O265" s="86">
        <f t="shared" si="2327"/>
        <v>0</v>
      </c>
      <c r="P265" s="86" t="e">
        <f t="shared" si="2327"/>
        <v>#DIV/0!</v>
      </c>
      <c r="Q265" s="86">
        <f t="shared" si="2327"/>
        <v>0</v>
      </c>
      <c r="R265" s="86">
        <f t="shared" si="2327"/>
        <v>2.5210903593894766E-2</v>
      </c>
      <c r="S265" s="86">
        <f t="shared" si="2327"/>
        <v>2.3435520648593867E-2</v>
      </c>
      <c r="T265" s="86">
        <f t="shared" si="2327"/>
        <v>5.8820551942065244E-2</v>
      </c>
      <c r="U265" s="86">
        <f t="shared" si="2327"/>
        <v>6.3430643076060708E-2</v>
      </c>
      <c r="V265" s="86">
        <f t="shared" si="2327"/>
        <v>6.6818628260182977E-2</v>
      </c>
      <c r="W265" s="86">
        <f t="shared" si="2327"/>
        <v>3.7488044483503728E-2</v>
      </c>
      <c r="X265" s="86">
        <f t="shared" si="2327"/>
        <v>3.0279334985443784E-2</v>
      </c>
      <c r="Y265" s="86">
        <f t="shared" si="2327"/>
        <v>2.6724974027453243E-2</v>
      </c>
      <c r="Z265" s="86">
        <f t="shared" si="2327"/>
        <v>2.7100997066749184E-2</v>
      </c>
      <c r="AA265" s="86">
        <f t="shared" ref="AA265" si="2328">AA44/AA20</f>
        <v>2.9716710552085825E-2</v>
      </c>
      <c r="AB265" s="87">
        <f t="shared" si="2327"/>
        <v>2.3951160672742944E-2</v>
      </c>
      <c r="AC265" s="87">
        <f t="shared" si="2327"/>
        <v>1.3307751686545457E-2</v>
      </c>
      <c r="AD265" s="87">
        <f t="shared" si="2327"/>
        <v>7.3940573223365193E-3</v>
      </c>
      <c r="AE265" s="87">
        <f t="shared" si="2327"/>
        <v>4.1082885354160525E-3</v>
      </c>
      <c r="AL265" s="86" t="e">
        <f t="shared" ref="AL265:CW265" si="2329">AL44/AL20</f>
        <v>#DIV/0!</v>
      </c>
      <c r="AM265" s="86" t="e">
        <f t="shared" si="2329"/>
        <v>#DIV/0!</v>
      </c>
      <c r="AN265" s="86" t="e">
        <f t="shared" si="2329"/>
        <v>#DIV/0!</v>
      </c>
      <c r="AO265" s="86" t="e">
        <f t="shared" si="2329"/>
        <v>#DIV/0!</v>
      </c>
      <c r="AP265" s="86" t="e">
        <f t="shared" si="2329"/>
        <v>#DIV/0!</v>
      </c>
      <c r="AQ265" s="86" t="e">
        <f t="shared" si="2329"/>
        <v>#DIV/0!</v>
      </c>
      <c r="AR265" s="86" t="e">
        <f t="shared" si="2329"/>
        <v>#DIV/0!</v>
      </c>
      <c r="AS265" s="86" t="e">
        <f t="shared" si="2329"/>
        <v>#DIV/0!</v>
      </c>
      <c r="AT265" s="86" t="e">
        <f t="shared" si="2329"/>
        <v>#DIV/0!</v>
      </c>
      <c r="AU265" s="86" t="e">
        <f t="shared" si="2329"/>
        <v>#DIV/0!</v>
      </c>
      <c r="AV265" s="86" t="e">
        <f t="shared" si="2329"/>
        <v>#DIV/0!</v>
      </c>
      <c r="AW265" s="86" t="e">
        <f t="shared" si="2329"/>
        <v>#DIV/0!</v>
      </c>
      <c r="AX265" s="86" t="e">
        <f t="shared" si="2329"/>
        <v>#DIV/0!</v>
      </c>
      <c r="AY265" s="86" t="e">
        <f t="shared" si="2329"/>
        <v>#DIV/0!</v>
      </c>
      <c r="AZ265" s="86" t="e">
        <f t="shared" si="2329"/>
        <v>#DIV/0!</v>
      </c>
      <c r="BA265" s="86" t="e">
        <f t="shared" si="2329"/>
        <v>#DIV/0!</v>
      </c>
      <c r="BB265" s="86" t="e">
        <f t="shared" si="2329"/>
        <v>#DIV/0!</v>
      </c>
      <c r="BC265" s="86" t="e">
        <f t="shared" si="2329"/>
        <v>#DIV/0!</v>
      </c>
      <c r="BD265" s="86" t="e">
        <f t="shared" si="2329"/>
        <v>#DIV/0!</v>
      </c>
      <c r="BE265" s="86" t="e">
        <f t="shared" si="2329"/>
        <v>#DIV/0!</v>
      </c>
      <c r="BF265" s="86" t="e">
        <f t="shared" si="2329"/>
        <v>#DIV/0!</v>
      </c>
      <c r="BG265" s="86" t="e">
        <f t="shared" si="2329"/>
        <v>#DIV/0!</v>
      </c>
      <c r="BH265" s="86" t="e">
        <f t="shared" si="2329"/>
        <v>#DIV/0!</v>
      </c>
      <c r="BI265" s="86" t="e">
        <f t="shared" si="2329"/>
        <v>#DIV/0!</v>
      </c>
      <c r="BJ265" s="86" t="e">
        <f t="shared" si="2329"/>
        <v>#DIV/0!</v>
      </c>
      <c r="BK265" s="86" t="e">
        <f t="shared" si="2329"/>
        <v>#DIV/0!</v>
      </c>
      <c r="BL265" s="86" t="e">
        <f t="shared" si="2329"/>
        <v>#DIV/0!</v>
      </c>
      <c r="BM265" s="86" t="e">
        <f t="shared" si="2329"/>
        <v>#DIV/0!</v>
      </c>
      <c r="BN265" s="86" t="e">
        <f t="shared" si="2329"/>
        <v>#DIV/0!</v>
      </c>
      <c r="BO265" s="86" t="e">
        <f t="shared" si="2329"/>
        <v>#DIV/0!</v>
      </c>
      <c r="BP265" s="86" t="e">
        <f t="shared" si="2329"/>
        <v>#DIV/0!</v>
      </c>
      <c r="BQ265" s="86">
        <f t="shared" si="2329"/>
        <v>6.3555712229370467E-2</v>
      </c>
      <c r="BR265" s="86">
        <f t="shared" si="2329"/>
        <v>5.7162799310570771E-2</v>
      </c>
      <c r="BS265" s="86">
        <f t="shared" si="2329"/>
        <v>4.1598327046088235E-2</v>
      </c>
      <c r="BT265" s="86">
        <f t="shared" si="2329"/>
        <v>3.9685426394691574E-2</v>
      </c>
      <c r="BU265" s="86">
        <f t="shared" si="2329"/>
        <v>4.0154031014352887E-2</v>
      </c>
      <c r="BV265" s="86">
        <f t="shared" si="2329"/>
        <v>2.9436075189974667E-2</v>
      </c>
      <c r="BW265" s="86">
        <f t="shared" si="2329"/>
        <v>2.9079000357123862E-2</v>
      </c>
      <c r="BX265" s="86">
        <f t="shared" si="2329"/>
        <v>2.9993458912415578E-2</v>
      </c>
      <c r="BY265" s="86">
        <f t="shared" si="2329"/>
        <v>3.1840118259155663E-2</v>
      </c>
      <c r="BZ265" s="86">
        <f t="shared" si="2329"/>
        <v>3.0155288192501396E-2</v>
      </c>
      <c r="CA265" s="86">
        <f t="shared" si="2329"/>
        <v>2.5779027115971336E-2</v>
      </c>
      <c r="CB265" s="86">
        <f t="shared" si="2329"/>
        <v>2.5265498600621099E-2</v>
      </c>
      <c r="CC265" s="86">
        <f t="shared" si="2329"/>
        <v>2.7517253098431733E-2</v>
      </c>
      <c r="CD265" s="86">
        <f t="shared" si="2329"/>
        <v>2.8282433635041567E-2</v>
      </c>
      <c r="CE265" s="86">
        <f t="shared" si="2329"/>
        <v>2.3845396315031943E-2</v>
      </c>
      <c r="CF265" s="86">
        <f t="shared" si="2329"/>
        <v>2.5284455276908296E-2</v>
      </c>
      <c r="CG265" s="86">
        <f t="shared" si="2329"/>
        <v>2.7535437057036788E-2</v>
      </c>
      <c r="CH265" s="86">
        <f t="shared" si="2329"/>
        <v>3.2104883762840153E-2</v>
      </c>
      <c r="CI265" s="86">
        <f t="shared" si="2329"/>
        <v>2.8012860515953392E-2</v>
      </c>
      <c r="CJ265" s="86">
        <f t="shared" si="2329"/>
        <v>2.7925183107685481E-2</v>
      </c>
      <c r="CK265" s="86">
        <f t="shared" si="2329"/>
        <v>2.9824876391459268E-2</v>
      </c>
      <c r="CL265" s="86">
        <f t="shared" ref="CL265" si="2330">CL44/CL20</f>
        <v>3.3086881293039355E-2</v>
      </c>
      <c r="CM265" s="87">
        <f t="shared" si="2329"/>
        <v>2.8991305505793191E-2</v>
      </c>
      <c r="CN265" s="87">
        <f t="shared" si="2329"/>
        <v>2.3801465301908822E-2</v>
      </c>
      <c r="CO265" s="87">
        <f t="shared" si="2329"/>
        <v>2.2528943584209128E-2</v>
      </c>
      <c r="CP265" s="87">
        <f t="shared" si="2329"/>
        <v>2.0899591278900249E-2</v>
      </c>
      <c r="CQ265" s="87">
        <f t="shared" si="2329"/>
        <v>1.6108158598716046E-2</v>
      </c>
      <c r="CR265" s="87">
        <f t="shared" si="2329"/>
        <v>1.3224577895892672E-2</v>
      </c>
      <c r="CS265" s="87">
        <f t="shared" si="2329"/>
        <v>1.2517538965033865E-2</v>
      </c>
      <c r="CT265" s="87">
        <f t="shared" si="2329"/>
        <v>1.1612237706977221E-2</v>
      </c>
      <c r="CU265" s="87">
        <f t="shared" si="2329"/>
        <v>8.9500203221114221E-3</v>
      </c>
      <c r="CV265" s="87">
        <f t="shared" si="2329"/>
        <v>7.3478442737097954E-3</v>
      </c>
      <c r="CW265" s="87">
        <f t="shared" si="2329"/>
        <v>6.9549990728800344E-3</v>
      </c>
      <c r="CX265" s="87">
        <f t="shared" ref="CX265:DB265" si="2331">CX44/CX20</f>
        <v>6.4519952932993044E-3</v>
      </c>
      <c r="CY265" s="87">
        <f t="shared" si="2331"/>
        <v>4.9728132036514902E-3</v>
      </c>
      <c r="CZ265" s="87">
        <f t="shared" si="2331"/>
        <v>4.0826116263006388E-3</v>
      </c>
      <c r="DA265" s="87">
        <f t="shared" si="2331"/>
        <v>3.8643388479862634E-3</v>
      </c>
      <c r="DB265" s="87">
        <f t="shared" si="2331"/>
        <v>3.5848597243013742E-3</v>
      </c>
      <c r="DE265" s="141"/>
      <c r="DF265" s="86">
        <v>2.9716710552085825E-2</v>
      </c>
    </row>
    <row r="266" spans="1:110" s="85" customFormat="1" x14ac:dyDescent="0.2">
      <c r="AB266" s="58"/>
      <c r="AC266" s="58"/>
      <c r="AD266" s="58"/>
      <c r="AE266" s="58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E266" s="143"/>
    </row>
  </sheetData>
  <sortState xmlns:xlrd2="http://schemas.microsoft.com/office/spreadsheetml/2017/richdata2" ref="A32:DE37">
    <sortCondition ref="A32:A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226156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Anand Rathi Wealth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68.081999999999994</v>
      </c>
      <c r="AL6">
        <f>_xll.EQNXTDZ($A$1,$B6,AL$1,$B$1)</f>
        <v>70.203000000000003</v>
      </c>
      <c r="AM6">
        <f>_xll.EQNXTDZ($A$1,$B6,AM$1,$B$1)</f>
        <v>97.552000000000007</v>
      </c>
      <c r="AN6">
        <f>_xll.EQNXTDZ($A$1,$B6,AN$1,$B$1)</f>
        <v>101.72499999999999</v>
      </c>
      <c r="AO6">
        <f>_xll.EQNXTDZ($A$1,$B6,AO$1,$B$1)</f>
        <v>105.693</v>
      </c>
      <c r="AP6">
        <f>_xll.EQNXTDZ($A$1,$B6,AP$1,$B$1)</f>
        <v>112.515</v>
      </c>
      <c r="AQ6">
        <f>_xll.EQNXTDZ($A$1,$B6,AQ$1,$B$1)</f>
        <v>131.607</v>
      </c>
      <c r="AR6">
        <f>_xll.EQNXTDZ($A$1,$B6,AR$1,$B$1)</f>
        <v>136.06299999999999</v>
      </c>
      <c r="AS6">
        <f>_xll.EQNXTDZ($A$1,$B6,AS$1,$B$1)</f>
        <v>138.00200000000001</v>
      </c>
      <c r="AT6">
        <f>_xll.EQNXTDZ($A$1,$B6,AT$1,$B$1)</f>
        <v>142.96</v>
      </c>
      <c r="AU6">
        <f>_xll.EQNXTDZ($A$1,$B6,AU$1,$B$1)</f>
        <v>175.02600000000001</v>
      </c>
      <c r="AV6">
        <f>_xll.EQNXTDZ($A$1,$B6,AV$1,$B$1)</f>
        <v>182.58099999999999</v>
      </c>
      <c r="AW6">
        <f>_xll.EQNXTDZ($A$1,$B6,AW$1,$B$1)</f>
        <v>182.43100000000001</v>
      </c>
      <c r="AX6">
        <f>_xll.EQNXTDZ($A$1,$B6,AX$1,$B$1)</f>
        <v>184.28399999999999</v>
      </c>
      <c r="AY6">
        <f>_xll.EQNXTDZ($A$1,$B6,AY$1,$B$1)</f>
        <v>237.614</v>
      </c>
      <c r="AZ6">
        <f>_xll.EQNXTDZ($A$1,$B6,AZ$1,$B$1)</f>
        <v>242.48099999999999</v>
      </c>
      <c r="BA6">
        <f>_xll.EQNXTDZ($A$1,$B6,BA$1,$B$1)</f>
        <v>237.04</v>
      </c>
      <c r="BB6">
        <f>_xll.EQNXTDZ($A$1,$B6,BB$1,$B$1)</f>
        <v>221.96</v>
      </c>
      <c r="BC6">
        <f>_xll.EQNXTDZ($A$1,$B6,BC$1,$B$1)</f>
        <v>274.017</v>
      </c>
      <c r="BD6">
        <f>_xll.EQNXTDZ($A$1,$B6,BD$1,$B$1)</f>
        <v>297.36599999999999</v>
      </c>
      <c r="BE6">
        <f>_xll.EQNXTDZ($A$1,$B6,BE$1,$B$1)</f>
        <v>289.62400000000002</v>
      </c>
      <c r="BF6">
        <f>_xll.EQNXTDZ($A$1,$B6,BF$1,$B$1)</f>
        <v>287.81799999999998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68.081999999999994</v>
      </c>
      <c r="AL9">
        <f>_xll.EQNXTDZ($A$1,$B9,AL$1,$B$1)</f>
        <v>70.203000000000003</v>
      </c>
      <c r="AM9">
        <f>_xll.EQNXTDZ($A$1,$B9,AM$1,$B$1)</f>
        <v>97.552000000000007</v>
      </c>
      <c r="AN9">
        <f>_xll.EQNXTDZ($A$1,$B9,AN$1,$B$1)</f>
        <v>101.72499999999999</v>
      </c>
      <c r="AO9">
        <f>_xll.EQNXTDZ($A$1,$B9,AO$1,$B$1)</f>
        <v>105.693</v>
      </c>
      <c r="AP9">
        <f>_xll.EQNXTDZ($A$1,$B9,AP$1,$B$1)</f>
        <v>112.515</v>
      </c>
      <c r="AQ9">
        <f>_xll.EQNXTDZ($A$1,$B9,AQ$1,$B$1)</f>
        <v>131.607</v>
      </c>
      <c r="AR9">
        <f>_xll.EQNXTDZ($A$1,$B9,AR$1,$B$1)</f>
        <v>136.06299999999999</v>
      </c>
      <c r="AS9">
        <f>_xll.EQNXTDZ($A$1,$B9,AS$1,$B$1)</f>
        <v>138.00200000000001</v>
      </c>
      <c r="AT9">
        <f>_xll.EQNXTDZ($A$1,$B9,AT$1,$B$1)</f>
        <v>142.96</v>
      </c>
      <c r="AU9">
        <f>_xll.EQNXTDZ($A$1,$B9,AU$1,$B$1)</f>
        <v>175.02600000000001</v>
      </c>
      <c r="AV9">
        <f>_xll.EQNXTDZ($A$1,$B9,AV$1,$B$1)</f>
        <v>182.58099999999999</v>
      </c>
      <c r="AW9">
        <f>_xll.EQNXTDZ($A$1,$B9,AW$1,$B$1)</f>
        <v>182.43100000000001</v>
      </c>
      <c r="AX9">
        <f>_xll.EQNXTDZ($A$1,$B9,AX$1,$B$1)</f>
        <v>184.28399999999999</v>
      </c>
      <c r="AY9">
        <f>_xll.EQNXTDZ($A$1,$B9,AY$1,$B$1)</f>
        <v>237.614</v>
      </c>
      <c r="AZ9">
        <f>_xll.EQNXTDZ($A$1,$B9,AZ$1,$B$1)</f>
        <v>242.48099999999999</v>
      </c>
      <c r="BA9">
        <f>_xll.EQNXTDZ($A$1,$B9,BA$1,$B$1)</f>
        <v>237.04</v>
      </c>
      <c r="BB9">
        <f>_xll.EQNXTDZ($A$1,$B9,BB$1,$B$1)</f>
        <v>221.96</v>
      </c>
      <c r="BC9">
        <f>_xll.EQNXTDZ($A$1,$B9,BC$1,$B$1)</f>
        <v>274.017</v>
      </c>
      <c r="BD9">
        <f>_xll.EQNXTDZ($A$1,$B9,BD$1,$B$1)</f>
        <v>297.36599999999999</v>
      </c>
      <c r="BE9">
        <f>_xll.EQNXTDZ($A$1,$B9,BE$1,$B$1)</f>
        <v>289.62400000000002</v>
      </c>
      <c r="BF9">
        <f>_xll.EQNXTDZ($A$1,$B9,BF$1,$B$1)</f>
        <v>287.81799999999998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12.37</v>
      </c>
      <c r="AL14">
        <f>_xll.EQNXTDZ($A$1,$B14,AL$1,$B$1)</f>
        <v>13.725</v>
      </c>
      <c r="AM14">
        <f>_xll.EQNXTDZ($A$1,$B14,AM$1,$B$1)</f>
        <v>11.189</v>
      </c>
      <c r="AN14">
        <f>_xll.EQNXTDZ($A$1,$B14,AN$1,$B$1)</f>
        <v>11.663</v>
      </c>
      <c r="AO14">
        <f>_xll.EQNXTDZ($A$1,$B14,AO$1,$B$1)</f>
        <v>11.377000000000001</v>
      </c>
      <c r="AP14">
        <f>_xll.EQNXTDZ($A$1,$B14,AP$1,$B$1)</f>
        <v>14.537000000000001</v>
      </c>
      <c r="AQ14">
        <f>_xll.EQNXTDZ($A$1,$B14,AQ$1,$B$1)</f>
        <v>15.637</v>
      </c>
      <c r="AR14">
        <f>_xll.EQNXTDZ($A$1,$B14,AR$1,$B$1)</f>
        <v>16.550999999999998</v>
      </c>
      <c r="AS14">
        <f>_xll.EQNXTDZ($A$1,$B14,AS$1,$B$1)</f>
        <v>17.388000000000002</v>
      </c>
      <c r="AT14">
        <f>_xll.EQNXTDZ($A$1,$B14,AT$1,$B$1)</f>
        <v>19.266999999999999</v>
      </c>
      <c r="AU14">
        <f>_xll.EQNXTDZ($A$1,$B14,AU$1,$B$1)</f>
        <v>22.745999999999999</v>
      </c>
      <c r="AV14">
        <f>_xll.EQNXTDZ($A$1,$B14,AV$1,$B$1)</f>
        <v>24.23</v>
      </c>
      <c r="AW14">
        <f>_xll.EQNXTDZ($A$1,$B14,AW$1,$B$1)</f>
        <v>24.228000000000002</v>
      </c>
      <c r="AX14">
        <f>_xll.EQNXTDZ($A$1,$B14,AX$1,$B$1)</f>
        <v>27.11</v>
      </c>
      <c r="AY14">
        <f>_xll.EQNXTDZ($A$1,$B14,AY$1,$B$1)</f>
        <v>30.649000000000001</v>
      </c>
      <c r="AZ14">
        <f>_xll.EQNXTDZ($A$1,$B14,AZ$1,$B$1)</f>
        <v>28.914999999999999</v>
      </c>
      <c r="BA14">
        <f>_xll.EQNXTDZ($A$1,$B14,BA$1,$B$1)</f>
        <v>29.382000000000001</v>
      </c>
      <c r="BB14">
        <f>_xll.EQNXTDZ($A$1,$B14,BB$1,$B$1)</f>
        <v>30.007000000000001</v>
      </c>
      <c r="BC14">
        <f>_xll.EQNXTDZ($A$1,$B14,BC$1,$B$1)</f>
        <v>31.425999999999998</v>
      </c>
      <c r="BD14">
        <f>_xll.EQNXTDZ($A$1,$B14,BD$1,$B$1)</f>
        <v>34.972000000000001</v>
      </c>
      <c r="BE14">
        <f>_xll.EQNXTDZ($A$1,$B14,BE$1,$B$1)</f>
        <v>36.54</v>
      </c>
      <c r="BF14">
        <f>_xll.EQNXTDZ($A$1,$B14,BF$1,$B$1)</f>
        <v>34.527000000000001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34.701999999999998</v>
      </c>
      <c r="AL16">
        <f>_xll.EQNXTDZ($A$1,$B16,AL$1,$B$1)</f>
        <v>41.981999999999999</v>
      </c>
      <c r="AM16">
        <f>_xll.EQNXTDZ($A$1,$B16,AM$1,$B$1)</f>
        <v>42.896000000000001</v>
      </c>
      <c r="AN16">
        <f>_xll.EQNXTDZ($A$1,$B16,AN$1,$B$1)</f>
        <v>46.587000000000003</v>
      </c>
      <c r="AO16">
        <f>_xll.EQNXTDZ($A$1,$B16,AO$1,$B$1)</f>
        <v>49.847000000000001</v>
      </c>
      <c r="AP16">
        <f>_xll.EQNXTDZ($A$1,$B16,AP$1,$B$1)</f>
        <v>52.173000000000002</v>
      </c>
      <c r="AQ16">
        <f>_xll.EQNXTDZ($A$1,$B16,AQ$1,$B$1)</f>
        <v>60.261000000000003</v>
      </c>
      <c r="AR16">
        <f>_xll.EQNXTDZ($A$1,$B16,AR$1,$B$1)</f>
        <v>59.103999999999999</v>
      </c>
      <c r="AS16">
        <f>_xll.EQNXTDZ($A$1,$B16,AS$1,$B$1)</f>
        <v>58.896999999999998</v>
      </c>
      <c r="AT16">
        <f>_xll.EQNXTDZ($A$1,$B16,AT$1,$B$1)</f>
        <v>62.871000000000002</v>
      </c>
      <c r="AU16">
        <f>_xll.EQNXTDZ($A$1,$B16,AU$1,$B$1)</f>
        <v>78.924000000000007</v>
      </c>
      <c r="AV16">
        <f>_xll.EQNXTDZ($A$1,$B16,AV$1,$B$1)</f>
        <v>80.884</v>
      </c>
      <c r="AW16">
        <f>_xll.EQNXTDZ($A$1,$B16,AW$1,$B$1)</f>
        <v>78.373999999999995</v>
      </c>
      <c r="AX16">
        <f>_xll.EQNXTDZ($A$1,$B16,AX$1,$B$1)</f>
        <v>84.037000000000006</v>
      </c>
      <c r="AY16">
        <f>_xll.EQNXTDZ($A$1,$B16,AY$1,$B$1)</f>
        <v>108.73099999999999</v>
      </c>
      <c r="AZ16">
        <f>_xll.EQNXTDZ($A$1,$B16,AZ$1,$B$1)</f>
        <v>109.447</v>
      </c>
      <c r="BA16">
        <f>_xll.EQNXTDZ($A$1,$B16,BA$1,$B$1)</f>
        <v>100.589</v>
      </c>
      <c r="BB16">
        <f>_xll.EQNXTDZ($A$1,$B16,BB$1,$B$1)</f>
        <v>101.11199999999999</v>
      </c>
      <c r="BC16">
        <f>_xll.EQNXTDZ($A$1,$B16,BC$1,$B$1)</f>
        <v>114.813</v>
      </c>
      <c r="BD16">
        <f>_xll.EQNXTDZ($A$1,$B16,BD$1,$B$1)</f>
        <v>124.922</v>
      </c>
      <c r="BE16">
        <f>_xll.EQNXTDZ($A$1,$B16,BE$1,$B$1)</f>
        <v>121.655</v>
      </c>
      <c r="BF16">
        <f>_xll.EQNXTDZ($A$1,$B16,BF$1,$B$1)</f>
        <v>168.499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21.01</v>
      </c>
      <c r="AL22">
        <f>_xll.EQNXTDZ($A$1,$B22,AL$1,$B$1)</f>
        <v>14.496</v>
      </c>
      <c r="AM22">
        <f>_xll.EQNXTDZ($A$1,$B22,AM$1,$B$1)</f>
        <v>43.466999999999999</v>
      </c>
      <c r="AN22">
        <f>_xll.EQNXTDZ($A$1,$B22,AN$1,$B$1)</f>
        <v>43.475000000000001</v>
      </c>
      <c r="AO22">
        <f>_xll.EQNXTDZ($A$1,$B22,AO$1,$B$1)</f>
        <v>44.469000000000001</v>
      </c>
      <c r="AP22">
        <f>_xll.EQNXTDZ($A$1,$B22,AP$1,$B$1)</f>
        <v>45.805</v>
      </c>
      <c r="AQ22">
        <f>_xll.EQNXTDZ($A$1,$B22,AQ$1,$B$1)</f>
        <v>55.709000000000003</v>
      </c>
      <c r="AR22">
        <f>_xll.EQNXTDZ($A$1,$B22,AR$1,$B$1)</f>
        <v>60.408000000000001</v>
      </c>
      <c r="AS22">
        <f>_xll.EQNXTDZ($A$1,$B22,AS$1,$B$1)</f>
        <v>61.716999999999999</v>
      </c>
      <c r="AT22">
        <f>_xll.EQNXTDZ($A$1,$B22,AT$1,$B$1)</f>
        <v>60.822000000000003</v>
      </c>
      <c r="AU22">
        <f>_xll.EQNXTDZ($A$1,$B22,AU$1,$B$1)</f>
        <v>73.355999999999995</v>
      </c>
      <c r="AV22">
        <f>_xll.EQNXTDZ($A$1,$B22,AV$1,$B$1)</f>
        <v>77.466999999999999</v>
      </c>
      <c r="AW22">
        <f>_xll.EQNXTDZ($A$1,$B22,AW$1,$B$1)</f>
        <v>79.828999999999994</v>
      </c>
      <c r="AX22">
        <f>_xll.EQNXTDZ($A$1,$B22,AX$1,$B$1)</f>
        <v>73.137</v>
      </c>
      <c r="AY22">
        <f>_xll.EQNXTDZ($A$1,$B22,AY$1,$B$1)</f>
        <v>98.233999999999995</v>
      </c>
      <c r="AZ22">
        <f>_xll.EQNXTDZ($A$1,$B22,AZ$1,$B$1)</f>
        <v>104.119</v>
      </c>
      <c r="BA22">
        <f>_xll.EQNXTDZ($A$1,$B22,BA$1,$B$1)</f>
        <v>107.069</v>
      </c>
      <c r="BB22">
        <f>_xll.EQNXTDZ($A$1,$B22,BB$1,$B$1)</f>
        <v>90.840999999999994</v>
      </c>
      <c r="BC22">
        <f>_xll.EQNXTDZ($A$1,$B22,BC$1,$B$1)</f>
        <v>127.77800000000001</v>
      </c>
      <c r="BD22">
        <f>_xll.EQNXTDZ($A$1,$B22,BD$1,$B$1)</f>
        <v>137.47200000000001</v>
      </c>
      <c r="BE22">
        <f>_xll.EQNXTDZ($A$1,$B22,BE$1,$B$1)</f>
        <v>131.429</v>
      </c>
      <c r="BF22">
        <f>_xll.EQNXTDZ($A$1,$B22,BF$1,$B$1)</f>
        <v>84.792000000000002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2.073</v>
      </c>
      <c r="AL23">
        <f>_xll.EQNXTDZ($A$1,$B23,AL$1,$B$1)</f>
        <v>6.6029999999999998</v>
      </c>
      <c r="AM23">
        <f>_xll.EQNXTDZ($A$1,$B23,AM$1,$B$1)</f>
        <v>0.876</v>
      </c>
      <c r="AN23">
        <f>_xll.EQNXTDZ($A$1,$B23,AN$1,$B$1)</f>
        <v>2.0619999999999998</v>
      </c>
      <c r="AO23">
        <f>_xll.EQNXTDZ($A$1,$B23,AO$1,$B$1)</f>
        <v>2.968</v>
      </c>
      <c r="AP23">
        <f>_xll.EQNXTDZ($A$1,$B23,AP$1,$B$1)</f>
        <v>2.1339999999999999</v>
      </c>
      <c r="AQ23">
        <f>_xll.EQNXTDZ($A$1,$B23,AQ$1,$B$1)</f>
        <v>1.9319999999999999</v>
      </c>
      <c r="AR23">
        <f>_xll.EQNXTDZ($A$1,$B23,AR$1,$B$1)</f>
        <v>2.0270000000000001</v>
      </c>
      <c r="AS23">
        <f>_xll.EQNXTDZ($A$1,$B23,AS$1,$B$1)</f>
        <v>2.2080000000000002</v>
      </c>
      <c r="AT23">
        <f>_xll.EQNXTDZ($A$1,$B23,AT$1,$B$1)</f>
        <v>4.1100000000000003</v>
      </c>
      <c r="AU23">
        <f>_xll.EQNXTDZ($A$1,$B23,AU$1,$B$1)</f>
        <v>3.411</v>
      </c>
      <c r="AV23">
        <f>_xll.EQNXTDZ($A$1,$B23,AV$1,$B$1)</f>
        <v>6.49</v>
      </c>
      <c r="AW23">
        <f>_xll.EQNXTDZ($A$1,$B23,AW$1,$B$1)</f>
        <v>4.8330000000000002</v>
      </c>
      <c r="AX23">
        <f>_xll.EQNXTDZ($A$1,$B23,AX$1,$B$1)</f>
        <v>12.911</v>
      </c>
      <c r="AY23">
        <f>_xll.EQNXTDZ($A$1,$B23,AY$1,$B$1)</f>
        <v>7.8070000000000004</v>
      </c>
      <c r="AZ23">
        <f>_xll.EQNXTDZ($A$1,$B23,AZ$1,$B$1)</f>
        <v>7.1509999999999998</v>
      </c>
      <c r="BA23">
        <f>_xll.EQNXTDZ($A$1,$B23,BA$1,$B$1)</f>
        <v>7.069</v>
      </c>
      <c r="BB23">
        <f>_xll.EQNXTDZ($A$1,$B23,BB$1,$B$1)</f>
        <v>19.303999999999998</v>
      </c>
      <c r="BC23">
        <f>_xll.EQNXTDZ($A$1,$B23,BC$1,$B$1)</f>
        <v>10.244</v>
      </c>
      <c r="BD23">
        <f>_xll.EQNXTDZ($A$1,$B23,BD$1,$B$1)</f>
        <v>9.8140000000000001</v>
      </c>
      <c r="BE23">
        <f>_xll.EQNXTDZ($A$1,$B23,BE$1,$B$1)</f>
        <v>16.106999999999999</v>
      </c>
      <c r="BF23">
        <f>_xll.EQNXTDZ($A$1,$B23,BF$1,$B$1)</f>
        <v>68.396000000000001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23.082999999999998</v>
      </c>
      <c r="AL24">
        <f>_xll.EQNXTDZ($A$1,$B24,AL$1,$B$1)</f>
        <v>21.099</v>
      </c>
      <c r="AM24">
        <f>_xll.EQNXTDZ($A$1,$B24,AM$1,$B$1)</f>
        <v>44.343000000000004</v>
      </c>
      <c r="AN24">
        <f>_xll.EQNXTDZ($A$1,$B24,AN$1,$B$1)</f>
        <v>45.536999999999999</v>
      </c>
      <c r="AO24">
        <f>_xll.EQNXTDZ($A$1,$B24,AO$1,$B$1)</f>
        <v>47.436999999999998</v>
      </c>
      <c r="AP24">
        <f>_xll.EQNXTDZ($A$1,$B24,AP$1,$B$1)</f>
        <v>47.939</v>
      </c>
      <c r="AQ24">
        <f>_xll.EQNXTDZ($A$1,$B24,AQ$1,$B$1)</f>
        <v>57.640999999999998</v>
      </c>
      <c r="AR24">
        <f>_xll.EQNXTDZ($A$1,$B24,AR$1,$B$1)</f>
        <v>62.435000000000002</v>
      </c>
      <c r="AS24">
        <f>_xll.EQNXTDZ($A$1,$B24,AS$1,$B$1)</f>
        <v>63.924999999999997</v>
      </c>
      <c r="AT24">
        <f>_xll.EQNXTDZ($A$1,$B24,AT$1,$B$1)</f>
        <v>64.932000000000002</v>
      </c>
      <c r="AU24">
        <f>_xll.EQNXTDZ($A$1,$B24,AU$1,$B$1)</f>
        <v>76.766999999999996</v>
      </c>
      <c r="AV24">
        <f>_xll.EQNXTDZ($A$1,$B24,AV$1,$B$1)</f>
        <v>83.956000000000003</v>
      </c>
      <c r="AW24">
        <f>_xll.EQNXTDZ($A$1,$B24,AW$1,$B$1)</f>
        <v>84.662000000000006</v>
      </c>
      <c r="AX24">
        <f>_xll.EQNXTDZ($A$1,$B24,AX$1,$B$1)</f>
        <v>86.048000000000002</v>
      </c>
      <c r="AY24">
        <f>_xll.EQNXTDZ($A$1,$B24,AY$1,$B$1)</f>
        <v>106.041</v>
      </c>
      <c r="AZ24">
        <f>_xll.EQNXTDZ($A$1,$B24,AZ$1,$B$1)</f>
        <v>111.27</v>
      </c>
      <c r="BA24">
        <f>_xll.EQNXTDZ($A$1,$B24,BA$1,$B$1)</f>
        <v>114.13800000000001</v>
      </c>
      <c r="BB24">
        <f>_xll.EQNXTDZ($A$1,$B24,BB$1,$B$1)</f>
        <v>110.145</v>
      </c>
      <c r="BC24">
        <f>_xll.EQNXTDZ($A$1,$B24,BC$1,$B$1)</f>
        <v>138.02199999999999</v>
      </c>
      <c r="BD24">
        <f>_xll.EQNXTDZ($A$1,$B24,BD$1,$B$1)</f>
        <v>147.286</v>
      </c>
      <c r="BE24">
        <f>_xll.EQNXTDZ($A$1,$B24,BE$1,$B$1)</f>
        <v>147.535</v>
      </c>
      <c r="BF24">
        <f>_xll.EQNXTDZ($A$1,$B24,BF$1,$B$1)</f>
        <v>153.18899999999999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0.94599999999999995</v>
      </c>
      <c r="AL25">
        <f>_xll.EQNXTDZ($A$1,$B25,AL$1,$B$1)</f>
        <v>0.73899999999999999</v>
      </c>
      <c r="AM25">
        <f>_xll.EQNXTDZ($A$1,$B25,AM$1,$B$1)</f>
        <v>0.68100000000000005</v>
      </c>
      <c r="AN25">
        <f>_xll.EQNXTDZ($A$1,$B25,AN$1,$B$1)</f>
        <v>0.38</v>
      </c>
      <c r="AO25">
        <f>_xll.EQNXTDZ($A$1,$B25,AO$1,$B$1)</f>
        <v>0.32300000000000001</v>
      </c>
      <c r="AP25">
        <f>_xll.EQNXTDZ($A$1,$B25,AP$1,$B$1)</f>
        <v>0.63600000000000001</v>
      </c>
      <c r="AQ25">
        <f>_xll.EQNXTDZ($A$1,$B25,AQ$1,$B$1)</f>
        <v>0.89500000000000002</v>
      </c>
      <c r="AR25">
        <f>_xll.EQNXTDZ($A$1,$B25,AR$1,$B$1)</f>
        <v>0.82099999999999995</v>
      </c>
      <c r="AS25">
        <f>_xll.EQNXTDZ($A$1,$B25,AS$1,$B$1)</f>
        <v>1.141</v>
      </c>
      <c r="AT25">
        <f>_xll.EQNXTDZ($A$1,$B25,AT$1,$B$1)</f>
        <v>1.0780000000000001</v>
      </c>
      <c r="AU25">
        <f>_xll.EQNXTDZ($A$1,$B25,AU$1,$B$1)</f>
        <v>1.3660000000000001</v>
      </c>
      <c r="AV25">
        <f>_xll.EQNXTDZ($A$1,$B25,AV$1,$B$1)</f>
        <v>1.623</v>
      </c>
      <c r="AW25">
        <f>_xll.EQNXTDZ($A$1,$B25,AW$1,$B$1)</f>
        <v>1.6379999999999999</v>
      </c>
      <c r="AX25">
        <f>_xll.EQNXTDZ($A$1,$B25,AX$1,$B$1)</f>
        <v>1.841</v>
      </c>
      <c r="AY25">
        <f>_xll.EQNXTDZ($A$1,$B25,AY$1,$B$1)</f>
        <v>1.3819999999999999</v>
      </c>
      <c r="AZ25">
        <f>_xll.EQNXTDZ($A$1,$B25,AZ$1,$B$1)</f>
        <v>2.952</v>
      </c>
      <c r="BA25">
        <f>_xll.EQNXTDZ($A$1,$B25,BA$1,$B$1)</f>
        <v>3.536</v>
      </c>
      <c r="BB25">
        <f>_xll.EQNXTDZ($A$1,$B25,BB$1,$B$1)</f>
        <v>3.6720000000000002</v>
      </c>
      <c r="BC25">
        <f>_xll.EQNXTDZ($A$1,$B25,BC$1,$B$1)</f>
        <v>3.9929999999999999</v>
      </c>
      <c r="BD25">
        <f>_xll.EQNXTDZ($A$1,$B25,BD$1,$B$1)</f>
        <v>4.8330000000000002</v>
      </c>
      <c r="BE25">
        <f>_xll.EQNXTDZ($A$1,$B25,BE$1,$B$1)</f>
        <v>3.5710000000000002</v>
      </c>
      <c r="BF25">
        <f>_xll.EQNXTDZ($A$1,$B25,BF$1,$B$1)</f>
        <v>3.399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22.137</v>
      </c>
      <c r="AL27">
        <f>_xll.EQNXTDZ($A$1,$B27,AL$1,$B$1)</f>
        <v>20.36</v>
      </c>
      <c r="AM27">
        <f>_xll.EQNXTDZ($A$1,$B27,AM$1,$B$1)</f>
        <v>43.661999999999999</v>
      </c>
      <c r="AN27">
        <f>_xll.EQNXTDZ($A$1,$B27,AN$1,$B$1)</f>
        <v>45.156999999999996</v>
      </c>
      <c r="AO27">
        <f>_xll.EQNXTDZ($A$1,$B27,AO$1,$B$1)</f>
        <v>47.113999999999997</v>
      </c>
      <c r="AP27">
        <f>_xll.EQNXTDZ($A$1,$B27,AP$1,$B$1)</f>
        <v>47.302999999999997</v>
      </c>
      <c r="AQ27">
        <f>_xll.EQNXTDZ($A$1,$B27,AQ$1,$B$1)</f>
        <v>56.746000000000002</v>
      </c>
      <c r="AR27">
        <f>_xll.EQNXTDZ($A$1,$B27,AR$1,$B$1)</f>
        <v>61.613999999999997</v>
      </c>
      <c r="AS27">
        <f>_xll.EQNXTDZ($A$1,$B27,AS$1,$B$1)</f>
        <v>62.783999999999999</v>
      </c>
      <c r="AT27">
        <f>_xll.EQNXTDZ($A$1,$B27,AT$1,$B$1)</f>
        <v>63.853999999999999</v>
      </c>
      <c r="AU27">
        <f>_xll.EQNXTDZ($A$1,$B27,AU$1,$B$1)</f>
        <v>75.400999999999996</v>
      </c>
      <c r="AV27">
        <f>_xll.EQNXTDZ($A$1,$B27,AV$1,$B$1)</f>
        <v>82.332999999999998</v>
      </c>
      <c r="AW27">
        <f>_xll.EQNXTDZ($A$1,$B27,AW$1,$B$1)</f>
        <v>83.024000000000001</v>
      </c>
      <c r="AX27">
        <f>_xll.EQNXTDZ($A$1,$B27,AX$1,$B$1)</f>
        <v>84.206999999999994</v>
      </c>
      <c r="AY27">
        <f>_xll.EQNXTDZ($A$1,$B27,AY$1,$B$1)</f>
        <v>104.65900000000001</v>
      </c>
      <c r="AZ27">
        <f>_xll.EQNXTDZ($A$1,$B27,AZ$1,$B$1)</f>
        <v>108.318</v>
      </c>
      <c r="BA27">
        <f>_xll.EQNXTDZ($A$1,$B27,BA$1,$B$1)</f>
        <v>110.602</v>
      </c>
      <c r="BB27">
        <f>_xll.EQNXTDZ($A$1,$B27,BB$1,$B$1)</f>
        <v>106.473</v>
      </c>
      <c r="BC27">
        <f>_xll.EQNXTDZ($A$1,$B27,BC$1,$B$1)</f>
        <v>134.029</v>
      </c>
      <c r="BD27">
        <f>_xll.EQNXTDZ($A$1,$B27,BD$1,$B$1)</f>
        <v>142.453</v>
      </c>
      <c r="BE27">
        <f>_xll.EQNXTDZ($A$1,$B27,BE$1,$B$1)</f>
        <v>143.964</v>
      </c>
      <c r="BF27">
        <f>_xll.EQNXTDZ($A$1,$B27,BF$1,$B$1)</f>
        <v>149.79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4.327</v>
      </c>
      <c r="AL28">
        <f>_xll.EQNXTDZ($A$1,$B28,AL$1,$B$1)</f>
        <v>4.0129999999999999</v>
      </c>
      <c r="AM28">
        <f>_xll.EQNXTDZ($A$1,$B28,AM$1,$B$1)</f>
        <v>4.0579999999999998</v>
      </c>
      <c r="AN28">
        <f>_xll.EQNXTDZ($A$1,$B28,AN$1,$B$1)</f>
        <v>4.0369999999999999</v>
      </c>
      <c r="AO28">
        <f>_xll.EQNXTDZ($A$1,$B28,AO$1,$B$1)</f>
        <v>4.2439999999999998</v>
      </c>
      <c r="AP28">
        <f>_xll.EQNXTDZ($A$1,$B28,AP$1,$B$1)</f>
        <v>3.3119999999999998</v>
      </c>
      <c r="AQ28">
        <f>_xll.EQNXTDZ($A$1,$B28,AQ$1,$B$1)</f>
        <v>3.827</v>
      </c>
      <c r="AR28">
        <f>_xll.EQNXTDZ($A$1,$B28,AR$1,$B$1)</f>
        <v>4.0810000000000004</v>
      </c>
      <c r="AS28">
        <f>_xll.EQNXTDZ($A$1,$B28,AS$1,$B$1)</f>
        <v>4.3940000000000001</v>
      </c>
      <c r="AT28">
        <f>_xll.EQNXTDZ($A$1,$B28,AT$1,$B$1)</f>
        <v>4.3109999999999999</v>
      </c>
      <c r="AU28">
        <f>_xll.EQNXTDZ($A$1,$B28,AU$1,$B$1)</f>
        <v>4.5119999999999996</v>
      </c>
      <c r="AV28">
        <f>_xll.EQNXTDZ($A$1,$B28,AV$1,$B$1)</f>
        <v>4.6130000000000004</v>
      </c>
      <c r="AW28">
        <f>_xll.EQNXTDZ($A$1,$B28,AW$1,$B$1)</f>
        <v>5.0199999999999996</v>
      </c>
      <c r="AX28">
        <f>_xll.EQNXTDZ($A$1,$B28,AX$1,$B$1)</f>
        <v>5.2119999999999997</v>
      </c>
      <c r="AY28">
        <f>_xll.EQNXTDZ($A$1,$B28,AY$1,$B$1)</f>
        <v>5.6660000000000004</v>
      </c>
      <c r="AZ28">
        <f>_xll.EQNXTDZ($A$1,$B28,AZ$1,$B$1)</f>
        <v>6.1310000000000002</v>
      </c>
      <c r="BA28">
        <f>_xll.EQNXTDZ($A$1,$B28,BA$1,$B$1)</f>
        <v>6.5270000000000001</v>
      </c>
      <c r="BB28">
        <f>_xll.EQNXTDZ($A$1,$B28,BB$1,$B$1)</f>
        <v>7.1260000000000003</v>
      </c>
      <c r="BC28">
        <f>_xll.EQNXTDZ($A$1,$B28,BC$1,$B$1)</f>
        <v>7.6760000000000002</v>
      </c>
      <c r="BD28">
        <f>_xll.EQNXTDZ($A$1,$B28,BD$1,$B$1)</f>
        <v>8.3040000000000003</v>
      </c>
      <c r="BE28">
        <f>_xll.EQNXTDZ($A$1,$B28,BE$1,$B$1)</f>
        <v>8.6379999999999999</v>
      </c>
      <c r="BF28">
        <f>_xll.EQNXTDZ($A$1,$B28,BF$1,$B$1)</f>
        <v>9.5229999999999997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4.6890000000000001</v>
      </c>
      <c r="AL29">
        <f>_xll.EQNXTDZ($A$1,$B29,AL$1,$B$1)</f>
        <v>6.1390000000000002</v>
      </c>
      <c r="AM29">
        <f>_xll.EQNXTDZ($A$1,$B29,AM$1,$B$1)</f>
        <v>9.8879999999999999</v>
      </c>
      <c r="AN29">
        <f>_xll.EQNXTDZ($A$1,$B29,AN$1,$B$1)</f>
        <v>10.673999999999999</v>
      </c>
      <c r="AO29">
        <f>_xll.EQNXTDZ($A$1,$B29,AO$1,$B$1)</f>
        <v>10.834</v>
      </c>
      <c r="AP29">
        <f>_xll.EQNXTDZ($A$1,$B29,AP$1,$B$1)</f>
        <v>9.4540000000000006</v>
      </c>
      <c r="AQ29">
        <f>_xll.EQNXTDZ($A$1,$B29,AQ$1,$B$1)</f>
        <v>13.205</v>
      </c>
      <c r="AR29">
        <f>_xll.EQNXTDZ($A$1,$B29,AR$1,$B$1)</f>
        <v>14.582000000000001</v>
      </c>
      <c r="AS29">
        <f>_xll.EQNXTDZ($A$1,$B29,AS$1,$B$1)</f>
        <v>15.164999999999999</v>
      </c>
      <c r="AT29">
        <f>_xll.EQNXTDZ($A$1,$B29,AT$1,$B$1)</f>
        <v>16.832999999999998</v>
      </c>
      <c r="AU29">
        <f>_xll.EQNXTDZ($A$1,$B29,AU$1,$B$1)</f>
        <v>17.655999999999999</v>
      </c>
      <c r="AV29">
        <f>_xll.EQNXTDZ($A$1,$B29,AV$1,$B$1)</f>
        <v>20.036000000000001</v>
      </c>
      <c r="AW29">
        <f>_xll.EQNXTDZ($A$1,$B29,AW$1,$B$1)</f>
        <v>19.960999999999999</v>
      </c>
      <c r="AX29">
        <f>_xll.EQNXTDZ($A$1,$B29,AX$1,$B$1)</f>
        <v>22.135000000000002</v>
      </c>
      <c r="AY29">
        <f>_xll.EQNXTDZ($A$1,$B29,AY$1,$B$1)</f>
        <v>25.55</v>
      </c>
      <c r="AZ29">
        <f>_xll.EQNXTDZ($A$1,$B29,AZ$1,$B$1)</f>
        <v>25.876999999999999</v>
      </c>
      <c r="BA29">
        <f>_xll.EQNXTDZ($A$1,$B29,BA$1,$B$1)</f>
        <v>26.843</v>
      </c>
      <c r="BB29">
        <f>_xll.EQNXTDZ($A$1,$B29,BB$1,$B$1)</f>
        <v>25.698</v>
      </c>
      <c r="BC29">
        <f>_xll.EQNXTDZ($A$1,$B29,BC$1,$B$1)</f>
        <v>32.444000000000003</v>
      </c>
      <c r="BD29">
        <f>_xll.EQNXTDZ($A$1,$B29,BD$1,$B$1)</f>
        <v>34.253999999999998</v>
      </c>
      <c r="BE29">
        <f>_xll.EQNXTDZ($A$1,$B29,BE$1,$B$1)</f>
        <v>35.223999999999997</v>
      </c>
      <c r="BF29">
        <f>_xll.EQNXTDZ($A$1,$B29,BF$1,$B$1)</f>
        <v>36.82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13.121</v>
      </c>
      <c r="AL30">
        <f>_xll.EQNXTDZ($A$1,$B30,AL$1,$B$1)</f>
        <v>10.208</v>
      </c>
      <c r="AM30">
        <f>_xll.EQNXTDZ($A$1,$B30,AM$1,$B$1)</f>
        <v>29.716000000000001</v>
      </c>
      <c r="AN30">
        <f>_xll.EQNXTDZ($A$1,$B30,AN$1,$B$1)</f>
        <v>30.446000000000002</v>
      </c>
      <c r="AO30">
        <f>_xll.EQNXTDZ($A$1,$B30,AO$1,$B$1)</f>
        <v>32.036000000000001</v>
      </c>
      <c r="AP30">
        <f>_xll.EQNXTDZ($A$1,$B30,AP$1,$B$1)</f>
        <v>34.536999999999999</v>
      </c>
      <c r="AQ30">
        <f>_xll.EQNXTDZ($A$1,$B30,AQ$1,$B$1)</f>
        <v>39.713999999999999</v>
      </c>
      <c r="AR30">
        <f>_xll.EQNXTDZ($A$1,$B30,AR$1,$B$1)</f>
        <v>42.951000000000001</v>
      </c>
      <c r="AS30">
        <f>_xll.EQNXTDZ($A$1,$B30,AS$1,$B$1)</f>
        <v>43.225000000000001</v>
      </c>
      <c r="AT30">
        <f>_xll.EQNXTDZ($A$1,$B30,AT$1,$B$1)</f>
        <v>42.71</v>
      </c>
      <c r="AU30">
        <f>_xll.EQNXTDZ($A$1,$B30,AU$1,$B$1)</f>
        <v>53.232999999999997</v>
      </c>
      <c r="AV30">
        <f>_xll.EQNXTDZ($A$1,$B30,AV$1,$B$1)</f>
        <v>57.683999999999997</v>
      </c>
      <c r="AW30">
        <f>_xll.EQNXTDZ($A$1,$B30,AW$1,$B$1)</f>
        <v>58.042999999999999</v>
      </c>
      <c r="AX30">
        <f>_xll.EQNXTDZ($A$1,$B30,AX$1,$B$1)</f>
        <v>56.86</v>
      </c>
      <c r="AY30">
        <f>_xll.EQNXTDZ($A$1,$B30,AY$1,$B$1)</f>
        <v>73.442999999999998</v>
      </c>
      <c r="AZ30">
        <f>_xll.EQNXTDZ($A$1,$B30,AZ$1,$B$1)</f>
        <v>76.31</v>
      </c>
      <c r="BA30">
        <f>_xll.EQNXTDZ($A$1,$B30,BA$1,$B$1)</f>
        <v>77.231999999999999</v>
      </c>
      <c r="BB30">
        <f>_xll.EQNXTDZ($A$1,$B30,BB$1,$B$1)</f>
        <v>73.649000000000001</v>
      </c>
      <c r="BC30">
        <f>_xll.EQNXTDZ($A$1,$B30,BC$1,$B$1)</f>
        <v>93.909000000000006</v>
      </c>
      <c r="BD30">
        <f>_xll.EQNXTDZ($A$1,$B30,BD$1,$B$1)</f>
        <v>99.894999999999996</v>
      </c>
      <c r="BE30">
        <f>_xll.EQNXTDZ($A$1,$B30,BE$1,$B$1)</f>
        <v>100.102</v>
      </c>
      <c r="BF30">
        <f>_xll.EQNXTDZ($A$1,$B30,BF$1,$B$1)</f>
        <v>103.447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-3.7999999999999999E-2</v>
      </c>
      <c r="AL34">
        <f>_xll.EQNXTDZ($A$1,$B34,AL$1,$B$1)</f>
        <v>-0.51500000000000001</v>
      </c>
      <c r="AM34">
        <f>_xll.EQNXTDZ($A$1,$B34,AM$1,$B$1)</f>
        <v>-1.0999999999999999E-2</v>
      </c>
      <c r="AN34">
        <f>_xll.EQNXTDZ($A$1,$B34,AN$1,$B$1)</f>
        <v>-5.0000000000000001E-3</v>
      </c>
      <c r="AO34">
        <f>_xll.EQNXTDZ($A$1,$B34,AO$1,$B$1)</f>
        <v>-1.4999999999999999E-2</v>
      </c>
      <c r="AP34">
        <f>_xll.EQNXTDZ($A$1,$B34,AP$1,$B$1)</f>
        <v>-4.1000000000000002E-2</v>
      </c>
      <c r="AQ34">
        <f>_xll.EQNXTDZ($A$1,$B34,AQ$1,$B$1)</f>
        <v>-1.0999999999999999E-2</v>
      </c>
      <c r="AR34">
        <f>_xll.EQNXTDZ($A$1,$B34,AR$1,$B$1)</f>
        <v>-2.8000000000000001E-2</v>
      </c>
      <c r="AS34">
        <f>_xll.EQNXTDZ($A$1,$B34,AS$1,$B$1)</f>
        <v>-0.06</v>
      </c>
      <c r="AT34">
        <f>_xll.EQNXTDZ($A$1,$B34,AT$1,$B$1)</f>
        <v>-9.6000000000000002E-2</v>
      </c>
      <c r="AU34">
        <f>_xll.EQNXTDZ($A$1,$B34,AU$1,$B$1)</f>
        <v>-0.17100000000000001</v>
      </c>
      <c r="AV34">
        <f>_xll.EQNXTDZ($A$1,$B34,AV$1,$B$1)</f>
        <v>-0.193</v>
      </c>
      <c r="AW34">
        <f>_xll.EQNXTDZ($A$1,$B34,AW$1,$B$1)</f>
        <v>-0.22</v>
      </c>
      <c r="AX34">
        <f>_xll.EQNXTDZ($A$1,$B34,AX$1,$B$1)</f>
        <v>-0.26300000000000001</v>
      </c>
      <c r="AY34">
        <f>_xll.EQNXTDZ($A$1,$B34,AY$1,$B$1)</f>
        <v>-0.20300000000000001</v>
      </c>
      <c r="AZ34">
        <f>_xll.EQNXTDZ($A$1,$B34,AZ$1,$B$1)</f>
        <v>-0.19800000000000001</v>
      </c>
      <c r="BA34">
        <f>_xll.EQNXTDZ($A$1,$B34,BA$1,$B$1)</f>
        <v>-0.27800000000000002</v>
      </c>
      <c r="BB34">
        <f>_xll.EQNXTDZ($A$1,$B34,BB$1,$B$1)</f>
        <v>-0.28399999999999997</v>
      </c>
      <c r="BC34">
        <f>_xll.EQNXTDZ($A$1,$B34,BC$1,$B$1)</f>
        <v>-0.28599999999999998</v>
      </c>
      <c r="BD34">
        <f>_xll.EQNXTDZ($A$1,$B34,BD$1,$B$1)</f>
        <v>-0.54500000000000004</v>
      </c>
      <c r="BE34">
        <f>_xll.EQNXTDZ($A$1,$B34,BE$1,$B$1)</f>
        <v>-0.33500000000000002</v>
      </c>
      <c r="BF34">
        <f>_xll.EQNXTDZ($A$1,$B34,BF$1,$B$1)</f>
        <v>-0.36199999999999999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13.082000000000001</v>
      </c>
      <c r="AL38">
        <f>_xll.EQNXTDZ($A$1,$B38,AL$1,$B$1)</f>
        <v>9.6929999999999996</v>
      </c>
      <c r="AM38">
        <f>_xll.EQNXTDZ($A$1,$B38,AM$1,$B$1)</f>
        <v>29.704000000000001</v>
      </c>
      <c r="AN38">
        <f>_xll.EQNXTDZ($A$1,$B38,AN$1,$B$1)</f>
        <v>30.440999999999999</v>
      </c>
      <c r="AO38">
        <f>_xll.EQNXTDZ($A$1,$B38,AO$1,$B$1)</f>
        <v>32.021000000000001</v>
      </c>
      <c r="AP38">
        <f>_xll.EQNXTDZ($A$1,$B38,AP$1,$B$1)</f>
        <v>34.56</v>
      </c>
      <c r="AQ38">
        <f>_xll.EQNXTDZ($A$1,$B38,AQ$1,$B$1)</f>
        <v>39.703000000000003</v>
      </c>
      <c r="AR38">
        <f>_xll.EQNXTDZ($A$1,$B38,AR$1,$B$1)</f>
        <v>42.923999999999999</v>
      </c>
      <c r="AS38">
        <f>_xll.EQNXTDZ($A$1,$B38,AS$1,$B$1)</f>
        <v>43.165999999999997</v>
      </c>
      <c r="AT38">
        <f>_xll.EQNXTDZ($A$1,$B38,AT$1,$B$1)</f>
        <v>42.613</v>
      </c>
      <c r="AU38">
        <f>_xll.EQNXTDZ($A$1,$B38,AU$1,$B$1)</f>
        <v>53.061</v>
      </c>
      <c r="AV38">
        <f>_xll.EQNXTDZ($A$1,$B38,AV$1,$B$1)</f>
        <v>57.491999999999997</v>
      </c>
      <c r="AW38">
        <f>_xll.EQNXTDZ($A$1,$B38,AW$1,$B$1)</f>
        <v>57.823999999999998</v>
      </c>
      <c r="AX38">
        <f>_xll.EQNXTDZ($A$1,$B38,AX$1,$B$1)</f>
        <v>56.597999999999999</v>
      </c>
      <c r="AY38">
        <f>_xll.EQNXTDZ($A$1,$B38,AY$1,$B$1)</f>
        <v>73.239000000000004</v>
      </c>
      <c r="AZ38">
        <f>_xll.EQNXTDZ($A$1,$B38,AZ$1,$B$1)</f>
        <v>76.113</v>
      </c>
      <c r="BA38">
        <f>_xll.EQNXTDZ($A$1,$B38,BA$1,$B$1)</f>
        <v>77.022999999999996</v>
      </c>
      <c r="BB38">
        <f>_xll.EQNXTDZ($A$1,$B38,BB$1,$B$1)</f>
        <v>73.450999999999993</v>
      </c>
      <c r="BC38">
        <f>_xll.EQNXTDZ($A$1,$B38,BC$1,$B$1)</f>
        <v>93.623999999999995</v>
      </c>
      <c r="BD38">
        <f>_xll.EQNXTDZ($A$1,$B38,BD$1,$B$1)</f>
        <v>99.350999999999999</v>
      </c>
      <c r="BE38">
        <f>_xll.EQNXTDZ($A$1,$B38,BE$1,$B$1)</f>
        <v>99.850999999999999</v>
      </c>
      <c r="BF38">
        <f>_xll.EQNXTDZ($A$1,$B38,BF$1,$B$1)</f>
        <v>103.086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6.4000000000000001E-2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6.9000000000000006E-2</v>
      </c>
      <c r="BB39">
        <f>_xll.EQNXTDZ($A$1,$B39,BB$1,$B$1)</f>
        <v>8.7999999999999995E-2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8.4000000000000005E-2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-0.159</v>
      </c>
      <c r="AL40">
        <f>_xll.EQNXTDZ($A$1,$B40,AL$1,$B$1)</f>
        <v>-0.123</v>
      </c>
      <c r="AM40">
        <f>_xll.EQNXTDZ($A$1,$B40,AM$1,$B$1)</f>
        <v>-8.9999999999999993E-3</v>
      </c>
      <c r="AN40">
        <f>_xll.EQNXTDZ($A$1,$B40,AN$1,$B$1)</f>
        <v>0.14799999999999999</v>
      </c>
      <c r="AO40">
        <f>_xll.EQNXTDZ($A$1,$B40,AO$1,$B$1)</f>
        <v>-0.254</v>
      </c>
      <c r="AP40">
        <f>_xll.EQNXTDZ($A$1,$B40,AP$1,$B$1)</f>
        <v>0.19600000000000001</v>
      </c>
      <c r="AQ40">
        <f>_xll.EQNXTDZ($A$1,$B40,AQ$1,$B$1)</f>
        <v>-0.374</v>
      </c>
      <c r="AR40">
        <f>_xll.EQNXTDZ($A$1,$B40,AR$1,$B$1)</f>
        <v>-0.30399999999999999</v>
      </c>
      <c r="AS40">
        <f>_xll.EQNXTDZ($A$1,$B40,AS$1,$B$1)</f>
        <v>-0.13200000000000001</v>
      </c>
      <c r="AT40">
        <f>_xll.EQNXTDZ($A$1,$B40,AT$1,$B$1)</f>
        <v>-3.5000000000000003E-2</v>
      </c>
      <c r="AU40">
        <f>_xll.EQNXTDZ($A$1,$B40,AU$1,$B$1)</f>
        <v>0.28000000000000003</v>
      </c>
      <c r="AV40">
        <f>_xll.EQNXTDZ($A$1,$B40,AV$1,$B$1)</f>
        <v>-0.45200000000000001</v>
      </c>
      <c r="AW40">
        <f>_xll.EQNXTDZ($A$1,$B40,AW$1,$B$1)</f>
        <v>3.7999999999999999E-2</v>
      </c>
      <c r="AX40">
        <f>_xll.EQNXTDZ($A$1,$B40,AX$1,$B$1)</f>
        <v>5.8999999999999997E-2</v>
      </c>
      <c r="AY40">
        <f>_xll.EQNXTDZ($A$1,$B40,AY$1,$B$1)</f>
        <v>-1.627</v>
      </c>
      <c r="AZ40">
        <f>_xll.EQNXTDZ($A$1,$B40,AZ$1,$B$1)</f>
        <v>-0.71299999999999997</v>
      </c>
      <c r="BA40">
        <f>_xll.EQNXTDZ($A$1,$B40,BA$1,$B$1)</f>
        <v>-0.504</v>
      </c>
      <c r="BB40">
        <f>_xll.EQNXTDZ($A$1,$B40,BB$1,$B$1)</f>
        <v>-0.56699999999999995</v>
      </c>
      <c r="BC40">
        <f>_xll.EQNXTDZ($A$1,$B40,BC$1,$B$1)</f>
        <v>0.59599999999999997</v>
      </c>
      <c r="BD40">
        <f>_xll.EQNXTDZ($A$1,$B40,BD$1,$B$1)</f>
        <v>-0.92</v>
      </c>
      <c r="BE40">
        <f>_xll.EQNXTDZ($A$1,$B40,BE$1,$B$1)</f>
        <v>0.252</v>
      </c>
      <c r="BF40">
        <f>_xll.EQNXTDZ($A$1,$B40,BF$1,$B$1)</f>
        <v>-0.35099999999999998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12.925000000000001</v>
      </c>
      <c r="AL41">
        <f>_xll.EQNXTDZ($A$1,$B41,AL$1,$B$1)</f>
        <v>9.57</v>
      </c>
      <c r="AM41">
        <f>_xll.EQNXTDZ($A$1,$B41,AM$1,$B$1)</f>
        <v>29.69</v>
      </c>
      <c r="AN41">
        <f>_xll.EQNXTDZ($A$1,$B41,AN$1,$B$1)</f>
        <v>30.591000000000001</v>
      </c>
      <c r="AO41">
        <f>_xll.EQNXTDZ($A$1,$B41,AO$1,$B$1)</f>
        <v>31.774999999999999</v>
      </c>
      <c r="AP41">
        <f>_xll.EQNXTDZ($A$1,$B41,AP$1,$B$1)</f>
        <v>34.756</v>
      </c>
      <c r="AQ41">
        <f>_xll.EQNXTDZ($A$1,$B41,AQ$1,$B$1)</f>
        <v>39.326999999999998</v>
      </c>
      <c r="AR41">
        <f>_xll.EQNXTDZ($A$1,$B41,AR$1,$B$1)</f>
        <v>42.622</v>
      </c>
      <c r="AS41">
        <f>_xll.EQNXTDZ($A$1,$B41,AS$1,$B$1)</f>
        <v>43.036000000000001</v>
      </c>
      <c r="AT41">
        <f>_xll.EQNXTDZ($A$1,$B41,AT$1,$B$1)</f>
        <v>42.579000000000001</v>
      </c>
      <c r="AU41">
        <f>_xll.EQNXTDZ($A$1,$B41,AU$1,$B$1)</f>
        <v>53.343000000000004</v>
      </c>
      <c r="AV41">
        <f>_xll.EQNXTDZ($A$1,$B41,AV$1,$B$1)</f>
        <v>57.042999999999999</v>
      </c>
      <c r="AW41">
        <f>_xll.EQNXTDZ($A$1,$B41,AW$1,$B$1)</f>
        <v>57.860999999999997</v>
      </c>
      <c r="AX41">
        <f>_xll.EQNXTDZ($A$1,$B41,AX$1,$B$1)</f>
        <v>56.661000000000001</v>
      </c>
      <c r="AY41">
        <f>_xll.EQNXTDZ($A$1,$B41,AY$1,$B$1)</f>
        <v>71.617000000000004</v>
      </c>
      <c r="AZ41">
        <f>_xll.EQNXTDZ($A$1,$B41,AZ$1,$B$1)</f>
        <v>75.403999999999996</v>
      </c>
      <c r="BA41">
        <f>_xll.EQNXTDZ($A$1,$B41,BA$1,$B$1)</f>
        <v>76.516999999999996</v>
      </c>
      <c r="BB41">
        <f>_xll.EQNXTDZ($A$1,$B41,BB$1,$B$1)</f>
        <v>72.885999999999996</v>
      </c>
      <c r="BC41">
        <f>_xll.EQNXTDZ($A$1,$B41,BC$1,$B$1)</f>
        <v>94.218000000000004</v>
      </c>
      <c r="BD41">
        <f>_xll.EQNXTDZ($A$1,$B41,BD$1,$B$1)</f>
        <v>98.432000000000002</v>
      </c>
      <c r="BE41">
        <f>_xll.EQNXTDZ($A$1,$B41,BE$1,$B$1)</f>
        <v>100.08799999999999</v>
      </c>
      <c r="BF41">
        <f>_xll.EQNXTDZ($A$1,$B41,BF$1,$B$1)</f>
        <v>102.73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13.082000000000001</v>
      </c>
      <c r="AL42">
        <f>_xll.EQNXTDZ($A$1,$B42,AL$1,$B$1)</f>
        <v>9.6929999999999996</v>
      </c>
      <c r="AM42">
        <f>_xll.EQNXTDZ($A$1,$B42,AM$1,$B$1)</f>
        <v>29.704000000000001</v>
      </c>
      <c r="AN42">
        <f>_xll.EQNXTDZ($A$1,$B42,AN$1,$B$1)</f>
        <v>30.440999999999999</v>
      </c>
      <c r="AO42">
        <f>_xll.EQNXTDZ($A$1,$B42,AO$1,$B$1)</f>
        <v>32.021000000000001</v>
      </c>
      <c r="AP42">
        <f>_xll.EQNXTDZ($A$1,$B42,AP$1,$B$1)</f>
        <v>34.56</v>
      </c>
      <c r="AQ42">
        <f>_xll.EQNXTDZ($A$1,$B42,AQ$1,$B$1)</f>
        <v>39.703000000000003</v>
      </c>
      <c r="AR42">
        <f>_xll.EQNXTDZ($A$1,$B42,AR$1,$B$1)</f>
        <v>42.923999999999999</v>
      </c>
      <c r="AS42">
        <f>_xll.EQNXTDZ($A$1,$B42,AS$1,$B$1)</f>
        <v>43.165999999999997</v>
      </c>
      <c r="AT42">
        <f>_xll.EQNXTDZ($A$1,$B42,AT$1,$B$1)</f>
        <v>42.613</v>
      </c>
      <c r="AU42">
        <f>_xll.EQNXTDZ($A$1,$B42,AU$1,$B$1)</f>
        <v>53.061</v>
      </c>
      <c r="AV42">
        <f>_xll.EQNXTDZ($A$1,$B42,AV$1,$B$1)</f>
        <v>57.491999999999997</v>
      </c>
      <c r="AW42">
        <f>_xll.EQNXTDZ($A$1,$B42,AW$1,$B$1)</f>
        <v>57.823999999999998</v>
      </c>
      <c r="AX42">
        <f>_xll.EQNXTDZ($A$1,$B42,AX$1,$B$1)</f>
        <v>56.597999999999999</v>
      </c>
      <c r="AY42">
        <f>_xll.EQNXTDZ($A$1,$B42,AY$1,$B$1)</f>
        <v>73.239000000000004</v>
      </c>
      <c r="AZ42">
        <f>_xll.EQNXTDZ($A$1,$B42,AZ$1,$B$1)</f>
        <v>76.113</v>
      </c>
      <c r="BA42">
        <f>_xll.EQNXTDZ($A$1,$B42,BA$1,$B$1)</f>
        <v>77.022999999999996</v>
      </c>
      <c r="BB42">
        <f>_xll.EQNXTDZ($A$1,$B42,BB$1,$B$1)</f>
        <v>73.450999999999993</v>
      </c>
      <c r="BC42">
        <f>_xll.EQNXTDZ($A$1,$B42,BC$1,$B$1)</f>
        <v>93.623999999999995</v>
      </c>
      <c r="BD42">
        <f>_xll.EQNXTDZ($A$1,$B42,BD$1,$B$1)</f>
        <v>99.350999999999999</v>
      </c>
      <c r="BE42">
        <f>_xll.EQNXTDZ($A$1,$B42,BE$1,$B$1)</f>
        <v>99.850999999999999</v>
      </c>
      <c r="BF42">
        <f>_xll.EQNXTDZ($A$1,$B42,BF$1,$B$1)</f>
        <v>103.086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13.757</v>
      </c>
      <c r="AL45">
        <f>_xll.EQNXTDZ($A$1,$B45,AL$1,$B$1)</f>
        <v>13.757</v>
      </c>
      <c r="AM45">
        <f>_xll.EQNXTDZ($A$1,$B45,AM$1,$B$1)</f>
        <v>13.872</v>
      </c>
      <c r="AN45">
        <f>_xll.EQNXTDZ($A$1,$B45,AN$1,$B$1)</f>
        <v>20.808</v>
      </c>
      <c r="AO45">
        <f>_xll.EQNXTDZ($A$1,$B45,AO$1,$B$1)</f>
        <v>20.808</v>
      </c>
      <c r="AP45">
        <f>_xll.EQNXTDZ($A$1,$B45,AP$1,$B$1)</f>
        <v>20.808</v>
      </c>
      <c r="AQ45">
        <f>_xll.EQNXTDZ($A$1,$B45,AQ$1,$B$1)</f>
        <v>20.808</v>
      </c>
      <c r="AR45">
        <f>_xll.EQNXTDZ($A$1,$B45,AR$1,$B$1)</f>
        <v>20.844000000000001</v>
      </c>
      <c r="AS45">
        <f>_xll.EQNXTDZ($A$1,$B45,AS$1,$B$1)</f>
        <v>20.844000000000001</v>
      </c>
      <c r="AT45">
        <f>_xll.EQNXTDZ($A$1,$B45,AT$1,$B$1)</f>
        <v>20.844000000000001</v>
      </c>
      <c r="AU45">
        <f>_xll.EQNXTDZ($A$1,$B45,AU$1,$B$1)</f>
        <v>20.844000000000001</v>
      </c>
      <c r="AV45">
        <f>_xll.EQNXTDZ($A$1,$B45,AV$1,$B$1)</f>
        <v>20.87</v>
      </c>
      <c r="AW45">
        <f>_xll.EQNXTDZ($A$1,$B45,AW$1,$B$1)</f>
        <v>20.87</v>
      </c>
      <c r="AX45">
        <f>_xll.EQNXTDZ($A$1,$B45,AX$1,$B$1)</f>
        <v>20.914000000000001</v>
      </c>
      <c r="AY45">
        <f>_xll.EQNXTDZ($A$1,$B45,AY$1,$B$1)</f>
        <v>20.728999999999999</v>
      </c>
      <c r="AZ45">
        <f>_xll.EQNXTDZ($A$1,$B45,AZ$1,$B$1)</f>
        <v>20.754999999999999</v>
      </c>
      <c r="BA45">
        <f>_xll.EQNXTDZ($A$1,$B45,BA$1,$B$1)</f>
        <v>20.754999999999999</v>
      </c>
      <c r="BB45">
        <f>_xll.EQNXTDZ($A$1,$B45,BB$1,$B$1)</f>
        <v>41.51</v>
      </c>
      <c r="BC45">
        <f>_xll.EQNXTDZ($A$1,$B45,BC$1,$B$1)</f>
        <v>41.51</v>
      </c>
      <c r="BD45">
        <f>_xll.EQNXTDZ($A$1,$B45,BD$1,$B$1)</f>
        <v>41.51</v>
      </c>
      <c r="BE45">
        <f>_xll.EQNXTDZ($A$1,$B45,BE$1,$B$1)</f>
        <v>41.51</v>
      </c>
      <c r="BF45">
        <f>_xll.EQNXTDZ($A$1,$B45,BF$1,$B$1)</f>
        <v>41.51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147.19999999999999</v>
      </c>
      <c r="AP48" s="55">
        <f>_xll.EQNXTDZ($A$1,$B48,AP$5)</f>
        <v>151.48750000000001</v>
      </c>
      <c r="AQ48" s="55">
        <f>_xll.EQNXTDZ($A$1,$B48,AQ$5)</f>
        <v>164.1875</v>
      </c>
      <c r="AR48" s="55">
        <f>_xll.EQNXTDZ($A$1,$B48,AR$5)</f>
        <v>165.01249999999999</v>
      </c>
      <c r="AS48" s="55">
        <f>_xll.EQNXTDZ($A$1,$B48,AS$5)</f>
        <v>175.36250000000001</v>
      </c>
      <c r="AT48" s="55">
        <f>_xll.EQNXTDZ($A$1,$B48,AT$5)</f>
        <v>201.85</v>
      </c>
      <c r="AU48" s="55">
        <f>_xll.EQNXTDZ($A$1,$B48,AU$5)</f>
        <v>217.03749999999999</v>
      </c>
      <c r="AV48" s="55">
        <f>_xll.EQNXTDZ($A$1,$B48,AV$5)</f>
        <v>420.16250000000002</v>
      </c>
      <c r="AW48" s="55">
        <f>_xll.EQNXTDZ($A$1,$B48,AW$5)</f>
        <v>647.52499999999998</v>
      </c>
      <c r="AX48" s="55">
        <f>_xll.EQNXTDZ($A$1,$B48,AX$5)</f>
        <v>922.86249999999995</v>
      </c>
      <c r="AY48" s="55">
        <f>_xll.EQNXTDZ($A$1,$B48,AY$5)</f>
        <v>979.48749999999995</v>
      </c>
      <c r="AZ48" s="55">
        <f>_xll.EQNXTDZ($A$1,$B48,AZ$5)</f>
        <v>979.16250000000002</v>
      </c>
      <c r="BA48" s="55">
        <f>_xll.EQNXTDZ($A$1,$B48,BA$5)</f>
        <v>985.83749999999998</v>
      </c>
      <c r="BB48" s="55">
        <f>_xll.EQNXTDZ($A$1,$B48,BB$5)</f>
        <v>956.375</v>
      </c>
      <c r="BC48" s="55">
        <f>_xll.EQNXTDZ($A$1,$B48,BC$5)</f>
        <v>1080.55</v>
      </c>
      <c r="BD48" s="55">
        <f>_xll.EQNXTDZ($A$1,$B48,BD$5)</f>
        <v>1412.4</v>
      </c>
      <c r="BE48" s="55">
        <f>_xll.EQNXTDZ($A$1,$B48,BE$5)</f>
        <v>1556.35</v>
      </c>
      <c r="BF48" s="55">
        <f>_xll.EQNXTDZ($A$1,$B48,BF$5)</f>
        <v>1517.925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48.82</v>
      </c>
      <c r="AP49" s="55">
        <f>_xll.EQNXTDZ($A$1,$B49,AP$5)</f>
        <v>48.82</v>
      </c>
      <c r="AQ49" s="55">
        <f>_xll.EQNXTDZ($A$1,$B49,AQ$5)</f>
        <v>48.82</v>
      </c>
      <c r="AR49" s="55">
        <f>_xll.EQNXTDZ($A$1,$B49,AR$5)</f>
        <v>48.74</v>
      </c>
      <c r="AS49" s="55">
        <f>_xll.EQNXTDZ($A$1,$B49,AS$5)</f>
        <v>48.74</v>
      </c>
      <c r="AT49" s="55">
        <f>_xll.EQNXTDZ($A$1,$B49,AT$5)</f>
        <v>48.74</v>
      </c>
      <c r="AU49" s="55">
        <f>_xll.EQNXTDZ($A$1,$B49,AU$5)</f>
        <v>48.74</v>
      </c>
      <c r="AV49" s="55">
        <f>_xll.EQNXTDZ($A$1,$B49,AV$5)</f>
        <v>48.69</v>
      </c>
      <c r="AW49" s="55">
        <f>_xll.EQNXTDZ($A$1,$B49,AW$5)</f>
        <v>48.2</v>
      </c>
      <c r="AX49" s="55">
        <f>_xll.EQNXTDZ($A$1,$B49,AX$5)</f>
        <v>48.03</v>
      </c>
      <c r="AY49" s="55">
        <f>_xll.EQNXTDZ($A$1,$B49,AY$5)</f>
        <v>48.09</v>
      </c>
      <c r="AZ49" s="55">
        <f>_xll.EQNXTDZ($A$1,$B49,AZ$5)</f>
        <v>47.99</v>
      </c>
      <c r="BA49" s="55">
        <f>_xll.EQNXTDZ($A$1,$B49,BA$5)</f>
        <v>47.99</v>
      </c>
      <c r="BB49" s="55">
        <f>_xll.EQNXTDZ($A$1,$B49,BB$5)</f>
        <v>47.29</v>
      </c>
      <c r="BC49" s="55">
        <f>_xll.EQNXTDZ($A$1,$B49,BC$5)</f>
        <v>42.72</v>
      </c>
      <c r="BD49" s="55">
        <f>_xll.EQNXTDZ($A$1,$B49,BD$5)</f>
        <v>42.72</v>
      </c>
      <c r="BE49" s="55">
        <f>_xll.EQNXTDZ($A$1,$B49,BE$5)</f>
        <v>43.11</v>
      </c>
      <c r="BF49" s="55">
        <f>_xll.EQNXTDZ($A$1,$B49,BF$5)</f>
        <v>43.11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0.01</v>
      </c>
      <c r="AX50" s="55">
        <f>_xll.EQNXTDZ($A$1,$B50,AX$5)</f>
        <v>0.01</v>
      </c>
      <c r="AY50" s="55">
        <f>_xll.EQNXTDZ($A$1,$B50,AY$5)</f>
        <v>0.01</v>
      </c>
      <c r="AZ50" s="55">
        <f>_xll.EQNXTDZ($A$1,$B50,AZ$5)</f>
        <v>0.01</v>
      </c>
      <c r="BA50" s="55">
        <f>_xll.EQNXTDZ($A$1,$B50,BA$5)</f>
        <v>4.26</v>
      </c>
      <c r="BB50" s="55">
        <f>_xll.EQNXTDZ($A$1,$B50,BB$5)</f>
        <v>4.32</v>
      </c>
      <c r="BC50" s="55">
        <f>_xll.EQNXTDZ($A$1,$B50,BC$5)</f>
        <v>0.01</v>
      </c>
      <c r="BD50" s="55">
        <f>_xll.EQNXTDZ($A$1,$B50,BD$5)</f>
        <v>0.01</v>
      </c>
      <c r="BE50" s="55">
        <f>_xll.EQNXTDZ($A$1,$B50,BE$5)</f>
        <v>0.01</v>
      </c>
      <c r="BF50" s="55">
        <f>_xll.EQNXTDZ($A$1,$B50,BF$5)</f>
        <v>11.42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13.757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20.808</v>
      </c>
      <c r="AQ56" s="55">
        <f>_xll.EQNXTDZ($A$1,$B56,AQ$5,$B$1)</f>
        <v>0</v>
      </c>
      <c r="AR56" s="55">
        <f>_xll.EQNXTDZ($A$1,$B56,AR$5,$B$1)</f>
        <v>20.844000000000001</v>
      </c>
      <c r="AS56" s="55">
        <f>_xll.EQNXTDZ($A$1,$B56,AS$5,$B$1)</f>
        <v>0</v>
      </c>
      <c r="AT56" s="55">
        <f>_xll.EQNXTDZ($A$1,$B56,AT$5,$B$1)</f>
        <v>20.844000000000001</v>
      </c>
      <c r="AU56" s="55">
        <f>_xll.EQNXTDZ($A$1,$B56,AU$5,$B$1)</f>
        <v>0</v>
      </c>
      <c r="AV56" s="55">
        <f>_xll.EQNXTDZ($A$1,$B56,AV$5,$B$1)</f>
        <v>20.87</v>
      </c>
      <c r="AW56" s="55">
        <f>_xll.EQNXTDZ($A$1,$B56,AW$5,$B$1)</f>
        <v>0</v>
      </c>
      <c r="AX56" s="55">
        <f>_xll.EQNXTDZ($A$1,$B56,AX$5,$B$1)</f>
        <v>20.914000000000001</v>
      </c>
      <c r="AY56" s="55">
        <f>_xll.EQNXTDZ($A$1,$B56,AY$5,$B$1)</f>
        <v>0</v>
      </c>
      <c r="AZ56" s="55">
        <f>_xll.EQNXTDZ($A$1,$B56,AZ$5,$B$1)</f>
        <v>20.754999999999999</v>
      </c>
      <c r="BA56" s="55">
        <f>_xll.EQNXTDZ($A$1,$B56,BA$5,$B$1)</f>
        <v>0</v>
      </c>
      <c r="BB56" s="55">
        <f>_xll.EQNXTDZ($A$1,$B56,BB$5,$B$1)</f>
        <v>41.51</v>
      </c>
      <c r="BC56" s="55">
        <f>_xll.EQNXTDZ($A$1,$B56,BC$5,$B$1)</f>
        <v>0</v>
      </c>
      <c r="BD56" s="55">
        <f>_xll.EQNXTDZ($A$1,$B56,BD$5,$B$1)</f>
        <v>41.51</v>
      </c>
      <c r="BE56" s="55">
        <f>_xll.EQNXTDZ($A$1,$B56,BE$5,$B$1)</f>
        <v>0</v>
      </c>
      <c r="BF56" s="55">
        <f>_xll.EQNXTDZ($A$1,$B56,BF$5,$B$1)</f>
        <v>41.51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227.81800000000001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322.85899999999998</v>
      </c>
      <c r="AQ58" s="55">
        <f>_xll.EQNXTDZ($A$1,$B58,AQ$5,$B$1)</f>
        <v>0</v>
      </c>
      <c r="AR58" s="55">
        <f>_xll.EQNXTDZ($A$1,$B58,AR$5,$B$1)</f>
        <v>380.57499999999999</v>
      </c>
      <c r="AS58" s="55">
        <f>_xll.EQNXTDZ($A$1,$B58,AS$5,$B$1)</f>
        <v>0</v>
      </c>
      <c r="AT58" s="55">
        <f>_xll.EQNXTDZ($A$1,$B58,AT$5,$B$1)</f>
        <v>447.38799999999998</v>
      </c>
      <c r="AU58" s="55">
        <f>_xll.EQNXTDZ($A$1,$B58,AU$5,$B$1)</f>
        <v>0</v>
      </c>
      <c r="AV58" s="55">
        <f>_xll.EQNXTDZ($A$1,$B58,AV$5,$B$1)</f>
        <v>532.15599999999995</v>
      </c>
      <c r="AW58" s="55">
        <f>_xll.EQNXTDZ($A$1,$B58,AW$5,$B$1)</f>
        <v>0</v>
      </c>
      <c r="AX58" s="55">
        <f>_xll.EQNXTDZ($A$1,$B58,AX$5,$B$1)</f>
        <v>627.94000000000005</v>
      </c>
      <c r="AY58" s="55">
        <f>_xll.EQNXTDZ($A$1,$B58,AY$5,$B$1)</f>
        <v>0</v>
      </c>
      <c r="AZ58" s="55">
        <f>_xll.EQNXTDZ($A$1,$B58,AZ$5,$B$1)</f>
        <v>532.875</v>
      </c>
      <c r="BA58" s="55">
        <f>_xll.EQNXTDZ($A$1,$B58,BA$5,$B$1)</f>
        <v>0</v>
      </c>
      <c r="BB58" s="55">
        <f>_xll.EQNXTDZ($A$1,$B58,BB$5,$B$1)</f>
        <v>632.46500000000003</v>
      </c>
      <c r="BC58" s="55">
        <f>_xll.EQNXTDZ($A$1,$B58,BC$5,$B$1)</f>
        <v>0</v>
      </c>
      <c r="BD58" s="55">
        <f>_xll.EQNXTDZ($A$1,$B58,BD$5,$B$1)</f>
        <v>767</v>
      </c>
      <c r="BE58" s="55">
        <f>_xll.EQNXTDZ($A$1,$B58,BE$5,$B$1)</f>
        <v>0</v>
      </c>
      <c r="BF58" s="55">
        <f>_xll.EQNXTDZ($A$1,$B58,BF$5,$B$1)</f>
        <v>956.64400000000001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241.57499999999999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343.66699999999997</v>
      </c>
      <c r="AQ59" s="55">
        <f>_xll.EQNXTDZ($A$1,$B59,AQ$5,$B$1)</f>
        <v>0</v>
      </c>
      <c r="AR59" s="55">
        <f>_xll.EQNXTDZ($A$1,$B59,AR$5,$B$1)</f>
        <v>401.41899999999998</v>
      </c>
      <c r="AS59" s="55">
        <f>_xll.EQNXTDZ($A$1,$B59,AS$5,$B$1)</f>
        <v>0</v>
      </c>
      <c r="AT59" s="55">
        <f>_xll.EQNXTDZ($A$1,$B59,AT$5,$B$1)</f>
        <v>468.23200000000003</v>
      </c>
      <c r="AU59" s="55">
        <f>_xll.EQNXTDZ($A$1,$B59,AU$5,$B$1)</f>
        <v>0</v>
      </c>
      <c r="AV59" s="55">
        <f>_xll.EQNXTDZ($A$1,$B59,AV$5,$B$1)</f>
        <v>553.02599999999995</v>
      </c>
      <c r="AW59" s="55">
        <f>_xll.EQNXTDZ($A$1,$B59,AW$5,$B$1)</f>
        <v>0</v>
      </c>
      <c r="AX59" s="55">
        <f>_xll.EQNXTDZ($A$1,$B59,AX$5,$B$1)</f>
        <v>648.85400000000004</v>
      </c>
      <c r="AY59" s="55">
        <f>_xll.EQNXTDZ($A$1,$B59,AY$5,$B$1)</f>
        <v>0</v>
      </c>
      <c r="AZ59" s="55">
        <f>_xll.EQNXTDZ($A$1,$B59,AZ$5,$B$1)</f>
        <v>553.63</v>
      </c>
      <c r="BA59" s="55">
        <f>_xll.EQNXTDZ($A$1,$B59,BA$5,$B$1)</f>
        <v>0</v>
      </c>
      <c r="BB59" s="55">
        <f>_xll.EQNXTDZ($A$1,$B59,BB$5,$B$1)</f>
        <v>673.97500000000002</v>
      </c>
      <c r="BC59" s="55">
        <f>_xll.EQNXTDZ($A$1,$B59,BC$5,$B$1)</f>
        <v>0</v>
      </c>
      <c r="BD59" s="55">
        <f>_xll.EQNXTDZ($A$1,$B59,BD$5,$B$1)</f>
        <v>808.51</v>
      </c>
      <c r="BE59" s="55">
        <f>_xll.EQNXTDZ($A$1,$B59,BE$5,$B$1)</f>
        <v>0</v>
      </c>
      <c r="BF59" s="55">
        <f>_xll.EQNXTDZ($A$1,$B59,BF$5,$B$1)</f>
        <v>998.154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11.6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11.669</v>
      </c>
      <c r="AQ60" s="55">
        <f>_xll.EQNXTDZ($A$1,$B60,AQ$5,$B$1)</f>
        <v>0</v>
      </c>
      <c r="AR60" s="55">
        <f>_xll.EQNXTDZ($A$1,$B60,AR$5,$B$1)</f>
        <v>11.708</v>
      </c>
      <c r="AS60" s="55">
        <f>_xll.EQNXTDZ($A$1,$B60,AS$5,$B$1)</f>
        <v>0</v>
      </c>
      <c r="AT60" s="55">
        <f>_xll.EQNXTDZ($A$1,$B60,AT$5,$B$1)</f>
        <v>11.862</v>
      </c>
      <c r="AU60" s="55">
        <f>_xll.EQNXTDZ($A$1,$B60,AU$5,$B$1)</f>
        <v>0</v>
      </c>
      <c r="AV60" s="55">
        <f>_xll.EQNXTDZ($A$1,$B60,AV$5,$B$1)</f>
        <v>12.221</v>
      </c>
      <c r="AW60" s="55">
        <f>_xll.EQNXTDZ($A$1,$B60,AW$5,$B$1)</f>
        <v>0</v>
      </c>
      <c r="AX60" s="55">
        <f>_xll.EQNXTDZ($A$1,$B60,AX$5,$B$1)</f>
        <v>12.7</v>
      </c>
      <c r="AY60" s="55">
        <f>_xll.EQNXTDZ($A$1,$B60,AY$5,$B$1)</f>
        <v>0</v>
      </c>
      <c r="AZ60" s="55">
        <f>_xll.EQNXTDZ($A$1,$B60,AZ$5,$B$1)</f>
        <v>13.093</v>
      </c>
      <c r="BA60" s="55">
        <f>_xll.EQNXTDZ($A$1,$B60,BA$5,$B$1)</f>
        <v>0</v>
      </c>
      <c r="BB60" s="55">
        <f>_xll.EQNXTDZ($A$1,$B60,BB$5,$B$1)</f>
        <v>13.656000000000001</v>
      </c>
      <c r="BC60" s="55">
        <f>_xll.EQNXTDZ($A$1,$B60,BC$5,$B$1)</f>
        <v>0</v>
      </c>
      <c r="BD60" s="55">
        <f>_xll.EQNXTDZ($A$1,$B60,BD$5,$B$1)</f>
        <v>14.489000000000001</v>
      </c>
      <c r="BE60" s="55">
        <f>_xll.EQNXTDZ($A$1,$B60,BE$5,$B$1)</f>
        <v>0</v>
      </c>
      <c r="BF60" s="55">
        <f>_xll.EQNXTDZ($A$1,$B60,BF$5,$B$1)</f>
        <v>13.701000000000001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24.963999999999999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16.606999999999999</v>
      </c>
      <c r="AQ61" s="55">
        <f>_xll.EQNXTDZ($A$1,$B61,AQ$5,$B$1)</f>
        <v>0</v>
      </c>
      <c r="AR61" s="55">
        <f>_xll.EQNXTDZ($A$1,$B61,AR$5,$B$1)</f>
        <v>12.462999999999999</v>
      </c>
      <c r="AS61" s="55">
        <f>_xll.EQNXTDZ($A$1,$B61,AS$5,$B$1)</f>
        <v>0</v>
      </c>
      <c r="AT61" s="55">
        <f>_xll.EQNXTDZ($A$1,$B61,AT$5,$B$1)</f>
        <v>8.4849999999999994</v>
      </c>
      <c r="AU61" s="55">
        <f>_xll.EQNXTDZ($A$1,$B61,AU$5,$B$1)</f>
        <v>0</v>
      </c>
      <c r="AV61" s="55">
        <f>_xll.EQNXTDZ($A$1,$B61,AV$5,$B$1)</f>
        <v>4.3120000000000003</v>
      </c>
      <c r="AW61" s="55">
        <f>_xll.EQNXTDZ($A$1,$B61,AW$5,$B$1)</f>
        <v>0</v>
      </c>
      <c r="AX61" s="55">
        <f>_xll.EQNXTDZ($A$1,$B61,AX$5,$B$1)</f>
        <v>0.127</v>
      </c>
      <c r="AY61" s="55">
        <f>_xll.EQNXTDZ($A$1,$B61,AY$5,$B$1)</f>
        <v>0</v>
      </c>
      <c r="AZ61" s="55">
        <f>_xll.EQNXTDZ($A$1,$B61,AZ$5,$B$1)</f>
        <v>0.10100000000000001</v>
      </c>
      <c r="BA61" s="55">
        <f>_xll.EQNXTDZ($A$1,$B61,BA$5,$B$1)</f>
        <v>0</v>
      </c>
      <c r="BB61" s="55">
        <f>_xll.EQNXTDZ($A$1,$B61,BB$5,$B$1)</f>
        <v>18.036999999999999</v>
      </c>
      <c r="BC61" s="55">
        <f>_xll.EQNXTDZ($A$1,$B61,BC$5,$B$1)</f>
        <v>0</v>
      </c>
      <c r="BD61" s="55">
        <f>_xll.EQNXTDZ($A$1,$B61,BD$5,$B$1)</f>
        <v>15.634</v>
      </c>
      <c r="BE61" s="55">
        <f>_xll.EQNXTDZ($A$1,$B61,BE$5,$B$1)</f>
        <v>0</v>
      </c>
      <c r="BF61" s="55">
        <f>_xll.EQNXTDZ($A$1,$B61,BF$5,$B$1)</f>
        <v>13.079000000000001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24.963999999999999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16.606999999999999</v>
      </c>
      <c r="AQ63" s="55">
        <f>_xll.EQNXTDZ($A$1,$B63,AQ$5,$B$1)</f>
        <v>0</v>
      </c>
      <c r="AR63" s="55">
        <f>_xll.EQNXTDZ($A$1,$B63,AR$5,$B$1)</f>
        <v>12.462999999999999</v>
      </c>
      <c r="AS63" s="55">
        <f>_xll.EQNXTDZ($A$1,$B63,AS$5,$B$1)</f>
        <v>0</v>
      </c>
      <c r="AT63" s="55">
        <f>_xll.EQNXTDZ($A$1,$B63,AT$5,$B$1)</f>
        <v>8.4849999999999994</v>
      </c>
      <c r="AU63" s="55">
        <f>_xll.EQNXTDZ($A$1,$B63,AU$5,$B$1)</f>
        <v>0</v>
      </c>
      <c r="AV63" s="55">
        <f>_xll.EQNXTDZ($A$1,$B63,AV$5,$B$1)</f>
        <v>4.3120000000000003</v>
      </c>
      <c r="AW63" s="55">
        <f>_xll.EQNXTDZ($A$1,$B63,AW$5,$B$1)</f>
        <v>0</v>
      </c>
      <c r="AX63" s="55">
        <f>_xll.EQNXTDZ($A$1,$B63,AX$5,$B$1)</f>
        <v>0.127</v>
      </c>
      <c r="AY63" s="55">
        <f>_xll.EQNXTDZ($A$1,$B63,AY$5,$B$1)</f>
        <v>0</v>
      </c>
      <c r="AZ63" s="55">
        <f>_xll.EQNXTDZ($A$1,$B63,AZ$5,$B$1)</f>
        <v>0.10100000000000001</v>
      </c>
      <c r="BA63" s="55">
        <f>_xll.EQNXTDZ($A$1,$B63,BA$5,$B$1)</f>
        <v>0</v>
      </c>
      <c r="BB63" s="55">
        <f>_xll.EQNXTDZ($A$1,$B63,BB$5,$B$1)</f>
        <v>18.036999999999999</v>
      </c>
      <c r="BC63" s="55">
        <f>_xll.EQNXTDZ($A$1,$B63,BC$5,$B$1)</f>
        <v>0</v>
      </c>
      <c r="BD63" s="55">
        <f>_xll.EQNXTDZ($A$1,$B63,BD$5,$B$1)</f>
        <v>15.634</v>
      </c>
      <c r="BE63" s="55">
        <f>_xll.EQNXTDZ($A$1,$B63,BE$5,$B$1)</f>
        <v>0</v>
      </c>
      <c r="BF63" s="55">
        <f>_xll.EQNXTDZ($A$1,$B63,BF$5,$B$1)</f>
        <v>13.079000000000001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6.3739999999999997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8.5399999999999991</v>
      </c>
      <c r="AQ64" s="55">
        <f>_xll.EQNXTDZ($A$1,$B64,AQ$5,$B$1)</f>
        <v>0</v>
      </c>
      <c r="AR64" s="55">
        <f>_xll.EQNXTDZ($A$1,$B64,AR$5,$B$1)</f>
        <v>7.7359999999999998</v>
      </c>
      <c r="AS64" s="55">
        <f>_xll.EQNXTDZ($A$1,$B64,AS$5,$B$1)</f>
        <v>0</v>
      </c>
      <c r="AT64" s="55">
        <f>_xll.EQNXTDZ($A$1,$B64,AT$5,$B$1)</f>
        <v>14.167999999999999</v>
      </c>
      <c r="AU64" s="55">
        <f>_xll.EQNXTDZ($A$1,$B64,AU$5,$B$1)</f>
        <v>0</v>
      </c>
      <c r="AV64" s="55">
        <f>_xll.EQNXTDZ($A$1,$B64,AV$5,$B$1)</f>
        <v>27.151</v>
      </c>
      <c r="AW64" s="55">
        <f>_xll.EQNXTDZ($A$1,$B64,AW$5,$B$1)</f>
        <v>0</v>
      </c>
      <c r="AX64" s="55">
        <f>_xll.EQNXTDZ($A$1,$B64,AX$5,$B$1)</f>
        <v>34.686999999999998</v>
      </c>
      <c r="AY64" s="55">
        <f>_xll.EQNXTDZ($A$1,$B64,AY$5,$B$1)</f>
        <v>0</v>
      </c>
      <c r="AZ64" s="55">
        <f>_xll.EQNXTDZ($A$1,$B64,AZ$5,$B$1)</f>
        <v>50.820999999999998</v>
      </c>
      <c r="BA64" s="55">
        <f>_xll.EQNXTDZ($A$1,$B64,BA$5,$B$1)</f>
        <v>0</v>
      </c>
      <c r="BB64" s="55">
        <f>_xll.EQNXTDZ($A$1,$B64,BB$5,$B$1)</f>
        <v>45.46</v>
      </c>
      <c r="BC64" s="55">
        <f>_xll.EQNXTDZ($A$1,$B64,BC$5,$B$1)</f>
        <v>0</v>
      </c>
      <c r="BD64" s="55">
        <f>_xll.EQNXTDZ($A$1,$B64,BD$5,$B$1)</f>
        <v>48.195</v>
      </c>
      <c r="BE64" s="55">
        <f>_xll.EQNXTDZ($A$1,$B64,BE$5,$B$1)</f>
        <v>0</v>
      </c>
      <c r="BF64" s="55">
        <f>_xll.EQNXTDZ($A$1,$B64,BF$5,$B$1)</f>
        <v>52.640999999999998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1.1639999999999999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2.1259999999999999</v>
      </c>
      <c r="AQ66" s="55">
        <f>_xll.EQNXTDZ($A$1,$B66,AQ$5,$B$1)</f>
        <v>0</v>
      </c>
      <c r="AR66" s="55">
        <f>_xll.EQNXTDZ($A$1,$B66,AR$5,$B$1)</f>
        <v>2.907</v>
      </c>
      <c r="AS66" s="55">
        <f>_xll.EQNXTDZ($A$1,$B66,AS$5,$B$1)</f>
        <v>0</v>
      </c>
      <c r="AT66" s="55">
        <f>_xll.EQNXTDZ($A$1,$B66,AT$5,$B$1)</f>
        <v>3.8860000000000001</v>
      </c>
      <c r="AU66" s="55">
        <f>_xll.EQNXTDZ($A$1,$B66,AU$5,$B$1)</f>
        <v>0</v>
      </c>
      <c r="AV66" s="55">
        <f>_xll.EQNXTDZ($A$1,$B66,AV$5,$B$1)</f>
        <v>2.6829999999999998</v>
      </c>
      <c r="AW66" s="55">
        <f>_xll.EQNXTDZ($A$1,$B66,AW$5,$B$1)</f>
        <v>0</v>
      </c>
      <c r="AX66" s="55">
        <f>_xll.EQNXTDZ($A$1,$B66,AX$5,$B$1)</f>
        <v>3.573</v>
      </c>
      <c r="AY66" s="55">
        <f>_xll.EQNXTDZ($A$1,$B66,AY$5,$B$1)</f>
        <v>0</v>
      </c>
      <c r="AZ66" s="55">
        <f>_xll.EQNXTDZ($A$1,$B66,AZ$5,$B$1)</f>
        <v>5.8869999999999996</v>
      </c>
      <c r="BA66" s="55">
        <f>_xll.EQNXTDZ($A$1,$B66,BA$5,$B$1)</f>
        <v>0</v>
      </c>
      <c r="BB66" s="55">
        <f>_xll.EQNXTDZ($A$1,$B66,BB$5,$B$1)</f>
        <v>8.2759999999999998</v>
      </c>
      <c r="BC66" s="55">
        <f>_xll.EQNXTDZ($A$1,$B66,BC$5,$B$1)</f>
        <v>0</v>
      </c>
      <c r="BD66" s="55">
        <f>_xll.EQNXTDZ($A$1,$B66,BD$5,$B$1)</f>
        <v>6.16</v>
      </c>
      <c r="BE66" s="55">
        <f>_xll.EQNXTDZ($A$1,$B66,BE$5,$B$1)</f>
        <v>0</v>
      </c>
      <c r="BF66" s="55">
        <f>_xll.EQNXTDZ($A$1,$B66,BF$5,$B$1)</f>
        <v>4.0359999999999996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285.67700000000002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382.60899999999998</v>
      </c>
      <c r="AQ67" s="55">
        <f>_xll.EQNXTDZ($A$1,$B67,AQ$5,$B$1)</f>
        <v>0</v>
      </c>
      <c r="AR67" s="55">
        <f>_xll.EQNXTDZ($A$1,$B67,AR$5,$B$1)</f>
        <v>436.233</v>
      </c>
      <c r="AS67" s="55">
        <f>_xll.EQNXTDZ($A$1,$B67,AS$5,$B$1)</f>
        <v>0</v>
      </c>
      <c r="AT67" s="55">
        <f>_xll.EQNXTDZ($A$1,$B67,AT$5,$B$1)</f>
        <v>506.63299999999998</v>
      </c>
      <c r="AU67" s="55">
        <f>_xll.EQNXTDZ($A$1,$B67,AU$5,$B$1)</f>
        <v>0</v>
      </c>
      <c r="AV67" s="55">
        <f>_xll.EQNXTDZ($A$1,$B67,AV$5,$B$1)</f>
        <v>599.39300000000003</v>
      </c>
      <c r="AW67" s="55">
        <f>_xll.EQNXTDZ($A$1,$B67,AW$5,$B$1)</f>
        <v>0</v>
      </c>
      <c r="AX67" s="55">
        <f>_xll.EQNXTDZ($A$1,$B67,AX$5,$B$1)</f>
        <v>699.94100000000003</v>
      </c>
      <c r="AY67" s="55">
        <f>_xll.EQNXTDZ($A$1,$B67,AY$5,$B$1)</f>
        <v>0</v>
      </c>
      <c r="AZ67" s="55">
        <f>_xll.EQNXTDZ($A$1,$B67,AZ$5,$B$1)</f>
        <v>623.53200000000004</v>
      </c>
      <c r="BA67" s="55">
        <f>_xll.EQNXTDZ($A$1,$B67,BA$5,$B$1)</f>
        <v>0</v>
      </c>
      <c r="BB67" s="55">
        <f>_xll.EQNXTDZ($A$1,$B67,BB$5,$B$1)</f>
        <v>759.404</v>
      </c>
      <c r="BC67" s="55">
        <f>_xll.EQNXTDZ($A$1,$B67,BC$5,$B$1)</f>
        <v>0</v>
      </c>
      <c r="BD67" s="55">
        <f>_xll.EQNXTDZ($A$1,$B67,BD$5,$B$1)</f>
        <v>892.98800000000006</v>
      </c>
      <c r="BE67" s="55">
        <f>_xll.EQNXTDZ($A$1,$B67,BE$5,$B$1)</f>
        <v>0</v>
      </c>
      <c r="BF67" s="55">
        <f>_xll.EQNXTDZ($A$1,$B67,BF$5,$B$1)</f>
        <v>1081.6110000000001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39.341000000000001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107.887</v>
      </c>
      <c r="AQ68" s="55">
        <f>_xll.EQNXTDZ($A$1,$B68,AQ$5,$B$1)</f>
        <v>0</v>
      </c>
      <c r="AR68" s="55">
        <f>_xll.EQNXTDZ($A$1,$B68,AR$5,$B$1)</f>
        <v>116.1</v>
      </c>
      <c r="AS68" s="55">
        <f>_xll.EQNXTDZ($A$1,$B68,AS$5,$B$1)</f>
        <v>0</v>
      </c>
      <c r="AT68" s="55">
        <f>_xll.EQNXTDZ($A$1,$B68,AT$5,$B$1)</f>
        <v>114.717</v>
      </c>
      <c r="AU68" s="55">
        <f>_xll.EQNXTDZ($A$1,$B68,AU$5,$B$1)</f>
        <v>0</v>
      </c>
      <c r="AV68" s="55">
        <f>_xll.EQNXTDZ($A$1,$B68,AV$5,$B$1)</f>
        <v>112.173</v>
      </c>
      <c r="AW68" s="55">
        <f>_xll.EQNXTDZ($A$1,$B68,AW$5,$B$1)</f>
        <v>0</v>
      </c>
      <c r="AX68" s="55">
        <f>_xll.EQNXTDZ($A$1,$B68,AX$5,$B$1)</f>
        <v>107.86499999999999</v>
      </c>
      <c r="AY68" s="55">
        <f>_xll.EQNXTDZ($A$1,$B68,AY$5,$B$1)</f>
        <v>0</v>
      </c>
      <c r="AZ68" s="55">
        <f>_xll.EQNXTDZ($A$1,$B68,AZ$5,$B$1)</f>
        <v>105.94</v>
      </c>
      <c r="BA68" s="55">
        <f>_xll.EQNXTDZ($A$1,$B68,BA$5,$B$1)</f>
        <v>0</v>
      </c>
      <c r="BB68" s="55">
        <f>_xll.EQNXTDZ($A$1,$B68,BB$5,$B$1)</f>
        <v>132.029</v>
      </c>
      <c r="BC68" s="55">
        <f>_xll.EQNXTDZ($A$1,$B68,BC$5,$B$1)</f>
        <v>0</v>
      </c>
      <c r="BD68" s="55">
        <f>_xll.EQNXTDZ($A$1,$B68,BD$5,$B$1)</f>
        <v>130.56</v>
      </c>
      <c r="BE68" s="55">
        <f>_xll.EQNXTDZ($A$1,$B68,BE$5,$B$1)</f>
        <v>0</v>
      </c>
      <c r="BF68" s="55">
        <f>_xll.EQNXTDZ($A$1,$B68,BF$5,$B$1)</f>
        <v>127.78100000000001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39.341000000000001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107.887</v>
      </c>
      <c r="AQ71" s="55">
        <f>_xll.EQNXTDZ($A$1,$B71,AQ$5,$B$1)</f>
        <v>0</v>
      </c>
      <c r="AR71" s="55">
        <f>_xll.EQNXTDZ($A$1,$B71,AR$5,$B$1)</f>
        <v>116.1</v>
      </c>
      <c r="AS71" s="55">
        <f>_xll.EQNXTDZ($A$1,$B71,AS$5,$B$1)</f>
        <v>0</v>
      </c>
      <c r="AT71" s="55">
        <f>_xll.EQNXTDZ($A$1,$B71,AT$5,$B$1)</f>
        <v>114.717</v>
      </c>
      <c r="AU71" s="55">
        <f>_xll.EQNXTDZ($A$1,$B71,AU$5,$B$1)</f>
        <v>0</v>
      </c>
      <c r="AV71" s="55">
        <f>_xll.EQNXTDZ($A$1,$B71,AV$5,$B$1)</f>
        <v>112.173</v>
      </c>
      <c r="AW71" s="55">
        <f>_xll.EQNXTDZ($A$1,$B71,AW$5,$B$1)</f>
        <v>0</v>
      </c>
      <c r="AX71" s="55">
        <f>_xll.EQNXTDZ($A$1,$B71,AX$5,$B$1)</f>
        <v>107.86499999999999</v>
      </c>
      <c r="AY71" s="55">
        <f>_xll.EQNXTDZ($A$1,$B71,AY$5,$B$1)</f>
        <v>0</v>
      </c>
      <c r="AZ71" s="55">
        <f>_xll.EQNXTDZ($A$1,$B71,AZ$5,$B$1)</f>
        <v>105.94</v>
      </c>
      <c r="BA71" s="55">
        <f>_xll.EQNXTDZ($A$1,$B71,BA$5,$B$1)</f>
        <v>0</v>
      </c>
      <c r="BB71" s="55">
        <f>_xll.EQNXTDZ($A$1,$B71,BB$5,$B$1)</f>
        <v>132.029</v>
      </c>
      <c r="BC71" s="55">
        <f>_xll.EQNXTDZ($A$1,$B71,BC$5,$B$1)</f>
        <v>0</v>
      </c>
      <c r="BD71" s="55">
        <f>_xll.EQNXTDZ($A$1,$B71,BD$5,$B$1)</f>
        <v>130.56</v>
      </c>
      <c r="BE71" s="55">
        <f>_xll.EQNXTDZ($A$1,$B71,BE$5,$B$1)</f>
        <v>0</v>
      </c>
      <c r="BF71" s="55">
        <f>_xll.EQNXTDZ($A$1,$B71,BF$5,$B$1)</f>
        <v>127.78100000000001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2.9009999999999998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2.9009999999999998</v>
      </c>
      <c r="AQ72" s="55">
        <f>_xll.EQNXTDZ($A$1,$B72,AQ$5,$B$1)</f>
        <v>0</v>
      </c>
      <c r="AR72" s="55">
        <f>_xll.EQNXTDZ($A$1,$B72,AR$5,$B$1)</f>
        <v>2.9009999999999998</v>
      </c>
      <c r="AS72" s="55">
        <f>_xll.EQNXTDZ($A$1,$B72,AS$5,$B$1)</f>
        <v>0</v>
      </c>
      <c r="AT72" s="55">
        <f>_xll.EQNXTDZ($A$1,$B72,AT$5,$B$1)</f>
        <v>2.9009999999999998</v>
      </c>
      <c r="AU72" s="55">
        <f>_xll.EQNXTDZ($A$1,$B72,AU$5,$B$1)</f>
        <v>0</v>
      </c>
      <c r="AV72" s="55">
        <f>_xll.EQNXTDZ($A$1,$B72,AV$5,$B$1)</f>
        <v>2.9009999999999998</v>
      </c>
      <c r="AW72" s="55">
        <f>_xll.EQNXTDZ($A$1,$B72,AW$5,$B$1)</f>
        <v>0</v>
      </c>
      <c r="AX72" s="55">
        <f>_xll.EQNXTDZ($A$1,$B72,AX$5,$B$1)</f>
        <v>2.9009999999999998</v>
      </c>
      <c r="AY72" s="55">
        <f>_xll.EQNXTDZ($A$1,$B72,AY$5,$B$1)</f>
        <v>0</v>
      </c>
      <c r="AZ72" s="55">
        <f>_xll.EQNXTDZ($A$1,$B72,AZ$5,$B$1)</f>
        <v>2.9009999999999998</v>
      </c>
      <c r="BA72" s="55">
        <f>_xll.EQNXTDZ($A$1,$B72,BA$5,$B$1)</f>
        <v>0</v>
      </c>
      <c r="BB72" s="55">
        <f>_xll.EQNXTDZ($A$1,$B72,BB$5,$B$1)</f>
        <v>2.4870000000000001</v>
      </c>
      <c r="BC72" s="55">
        <f>_xll.EQNXTDZ($A$1,$B72,BC$5,$B$1)</f>
        <v>0</v>
      </c>
      <c r="BD72" s="55">
        <f>_xll.EQNXTDZ($A$1,$B72,BD$5,$B$1)</f>
        <v>2.4860000000000002</v>
      </c>
      <c r="BE72" s="55">
        <f>_xll.EQNXTDZ($A$1,$B72,BE$5,$B$1)</f>
        <v>0</v>
      </c>
      <c r="BF72" s="55">
        <f>_xll.EQNXTDZ($A$1,$B72,BF$5,$B$1)</f>
        <v>2.4870000000000001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69.039000000000001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0.81599999999999995</v>
      </c>
      <c r="AY74" s="55">
        <f>_xll.EQNXTDZ($A$1,$B74,AY$5,$B$1)</f>
        <v>0</v>
      </c>
      <c r="AZ74" s="55">
        <f>_xll.EQNXTDZ($A$1,$B74,AZ$5,$B$1)</f>
        <v>1.3979999999999999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101.815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103.5</v>
      </c>
      <c r="AQ77" s="55">
        <f>_xll.EQNXTDZ($A$1,$B77,AQ$5,$B$1)</f>
        <v>0</v>
      </c>
      <c r="AR77" s="55">
        <f>_xll.EQNXTDZ($A$1,$B77,AR$5,$B$1)</f>
        <v>103.03400000000001</v>
      </c>
      <c r="AS77" s="55">
        <f>_xll.EQNXTDZ($A$1,$B77,AS$5,$B$1)</f>
        <v>0</v>
      </c>
      <c r="AT77" s="55">
        <f>_xll.EQNXTDZ($A$1,$B77,AT$5,$B$1)</f>
        <v>105.503</v>
      </c>
      <c r="AU77" s="55">
        <f>_xll.EQNXTDZ($A$1,$B77,AU$5,$B$1)</f>
        <v>0</v>
      </c>
      <c r="AV77" s="55">
        <f>_xll.EQNXTDZ($A$1,$B77,AV$5,$B$1)</f>
        <v>107.325</v>
      </c>
      <c r="AW77" s="55">
        <f>_xll.EQNXTDZ($A$1,$B77,AW$5,$B$1)</f>
        <v>0</v>
      </c>
      <c r="AX77" s="55">
        <f>_xll.EQNXTDZ($A$1,$B77,AX$5,$B$1)</f>
        <v>111.152</v>
      </c>
      <c r="AY77" s="55">
        <f>_xll.EQNXTDZ($A$1,$B77,AY$5,$B$1)</f>
        <v>0</v>
      </c>
      <c r="AZ77" s="55">
        <f>_xll.EQNXTDZ($A$1,$B77,AZ$5,$B$1)</f>
        <v>111.367</v>
      </c>
      <c r="BA77" s="55">
        <f>_xll.EQNXTDZ($A$1,$B77,BA$5,$B$1)</f>
        <v>0</v>
      </c>
      <c r="BB77" s="55">
        <f>_xll.EQNXTDZ($A$1,$B77,BB$5,$B$1)</f>
        <v>242.54499999999999</v>
      </c>
      <c r="BC77" s="55">
        <f>_xll.EQNXTDZ($A$1,$B77,BC$5,$B$1)</f>
        <v>0</v>
      </c>
      <c r="BD77" s="55">
        <f>_xll.EQNXTDZ($A$1,$B77,BD$5,$B$1)</f>
        <v>225.54</v>
      </c>
      <c r="BE77" s="55">
        <f>_xll.EQNXTDZ($A$1,$B77,BE$5,$B$1)</f>
        <v>0</v>
      </c>
      <c r="BF77" s="55">
        <f>_xll.EQNXTDZ($A$1,$B77,BF$5,$B$1)</f>
        <v>263.65800000000002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28.31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60.878999999999998</v>
      </c>
      <c r="AQ79" s="55">
        <f>_xll.EQNXTDZ($A$1,$B79,AQ$5,$B$1)</f>
        <v>0</v>
      </c>
      <c r="AR79" s="55">
        <f>_xll.EQNXTDZ($A$1,$B79,AR$5,$B$1)</f>
        <v>43.972999999999999</v>
      </c>
      <c r="AS79" s="55">
        <f>_xll.EQNXTDZ($A$1,$B79,AS$5,$B$1)</f>
        <v>0</v>
      </c>
      <c r="AT79" s="55">
        <f>_xll.EQNXTDZ($A$1,$B79,AT$5,$B$1)</f>
        <v>53.462000000000003</v>
      </c>
      <c r="AU79" s="55">
        <f>_xll.EQNXTDZ($A$1,$B79,AU$5,$B$1)</f>
        <v>0</v>
      </c>
      <c r="AV79" s="55">
        <f>_xll.EQNXTDZ($A$1,$B79,AV$5,$B$1)</f>
        <v>71.260999999999996</v>
      </c>
      <c r="AW79" s="55">
        <f>_xll.EQNXTDZ($A$1,$B79,AW$5,$B$1)</f>
        <v>0</v>
      </c>
      <c r="AX79" s="55">
        <f>_xll.EQNXTDZ($A$1,$B79,AX$5,$B$1)</f>
        <v>46.767000000000003</v>
      </c>
      <c r="AY79" s="55">
        <f>_xll.EQNXTDZ($A$1,$B79,AY$5,$B$1)</f>
        <v>0</v>
      </c>
      <c r="AZ79" s="55">
        <f>_xll.EQNXTDZ($A$1,$B79,AZ$5,$B$1)</f>
        <v>66.935000000000002</v>
      </c>
      <c r="BA79" s="55">
        <f>_xll.EQNXTDZ($A$1,$B79,BA$5,$B$1)</f>
        <v>0</v>
      </c>
      <c r="BB79" s="55">
        <f>_xll.EQNXTDZ($A$1,$B79,BB$5,$B$1)</f>
        <v>60.113999999999997</v>
      </c>
      <c r="BC79" s="55">
        <f>_xll.EQNXTDZ($A$1,$B79,BC$5,$B$1)</f>
        <v>0</v>
      </c>
      <c r="BD79" s="55">
        <f>_xll.EQNXTDZ($A$1,$B79,BD$5,$B$1)</f>
        <v>64.893000000000001</v>
      </c>
      <c r="BE79" s="55">
        <f>_xll.EQNXTDZ($A$1,$B79,BE$5,$B$1)</f>
        <v>0</v>
      </c>
      <c r="BF79" s="55">
        <f>_xll.EQNXTDZ($A$1,$B79,BF$5,$B$1)</f>
        <v>68.813999999999993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2.6779999999999999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15.051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1.143</v>
      </c>
      <c r="AY80" s="55">
        <f>_xll.EQNXTDZ($A$1,$B80,AY$5,$B$1)</f>
        <v>0</v>
      </c>
      <c r="AZ80" s="55">
        <f>_xll.EQNXTDZ($A$1,$B80,AZ$5,$B$1)</f>
        <v>1.1779999999999999</v>
      </c>
      <c r="BA80" s="55">
        <f>_xll.EQNXTDZ($A$1,$B80,BA$5,$B$1)</f>
        <v>0</v>
      </c>
      <c r="BB80" s="55">
        <f>_xll.EQNXTDZ($A$1,$B80,BB$5,$B$1)</f>
        <v>1.2210000000000001</v>
      </c>
      <c r="BC80" s="55">
        <f>_xll.EQNXTDZ($A$1,$B80,BC$5,$B$1)</f>
        <v>0</v>
      </c>
      <c r="BD80" s="55">
        <f>_xll.EQNXTDZ($A$1,$B80,BD$5,$B$1)</f>
        <v>1.329</v>
      </c>
      <c r="BE80" s="55">
        <f>_xll.EQNXTDZ($A$1,$B80,BE$5,$B$1)</f>
        <v>0</v>
      </c>
      <c r="BF80" s="55">
        <f>_xll.EQNXTDZ($A$1,$B80,BF$5,$B$1)</f>
        <v>1.198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10.865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14.898999999999999</v>
      </c>
      <c r="AQ82" s="55">
        <f>_xll.EQNXTDZ($A$1,$B82,AQ$5,$B$1)</f>
        <v>0</v>
      </c>
      <c r="AR82" s="55">
        <f>_xll.EQNXTDZ($A$1,$B82,AR$5,$B$1)</f>
        <v>16.050999999999998</v>
      </c>
      <c r="AS82" s="55">
        <f>_xll.EQNXTDZ($A$1,$B82,AS$5,$B$1)</f>
        <v>0</v>
      </c>
      <c r="AT82" s="55">
        <f>_xll.EQNXTDZ($A$1,$B82,AT$5,$B$1)</f>
        <v>17.128</v>
      </c>
      <c r="AU82" s="55">
        <f>_xll.EQNXTDZ($A$1,$B82,AU$5,$B$1)</f>
        <v>0</v>
      </c>
      <c r="AV82" s="55">
        <f>_xll.EQNXTDZ($A$1,$B82,AV$5,$B$1)</f>
        <v>21.568999999999999</v>
      </c>
      <c r="AW82" s="55">
        <f>_xll.EQNXTDZ($A$1,$B82,AW$5,$B$1)</f>
        <v>0</v>
      </c>
      <c r="AX82" s="55">
        <f>_xll.EQNXTDZ($A$1,$B82,AX$5,$B$1)</f>
        <v>28.248000000000001</v>
      </c>
      <c r="AY82" s="55">
        <f>_xll.EQNXTDZ($A$1,$B82,AY$5,$B$1)</f>
        <v>0</v>
      </c>
      <c r="AZ82" s="55">
        <f>_xll.EQNXTDZ($A$1,$B82,AZ$5,$B$1)</f>
        <v>36.072000000000003</v>
      </c>
      <c r="BA82" s="55">
        <f>_xll.EQNXTDZ($A$1,$B82,BA$5,$B$1)</f>
        <v>0</v>
      </c>
      <c r="BB82" s="55">
        <f>_xll.EQNXTDZ($A$1,$B82,BB$5,$B$1)</f>
        <v>35.447000000000003</v>
      </c>
      <c r="BC82" s="55">
        <f>_xll.EQNXTDZ($A$1,$B82,BC$5,$B$1)</f>
        <v>0</v>
      </c>
      <c r="BD82" s="55">
        <f>_xll.EQNXTDZ($A$1,$B82,BD$5,$B$1)</f>
        <v>41.104999999999997</v>
      </c>
      <c r="BE82" s="55">
        <f>_xll.EQNXTDZ($A$1,$B82,BE$5,$B$1)</f>
        <v>0</v>
      </c>
      <c r="BF82" s="55">
        <f>_xll.EQNXTDZ($A$1,$B82,BF$5,$B$1)</f>
        <v>42.758000000000003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65.364999999999995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87.108999999999995</v>
      </c>
      <c r="AQ83" s="55">
        <f>_xll.EQNXTDZ($A$1,$B83,AQ$5,$B$1)</f>
        <v>0</v>
      </c>
      <c r="AR83" s="55">
        <f>_xll.EQNXTDZ($A$1,$B83,AR$5,$B$1)</f>
        <v>199.43199999999999</v>
      </c>
      <c r="AS83" s="55">
        <f>_xll.EQNXTDZ($A$1,$B83,AS$5,$B$1)</f>
        <v>0</v>
      </c>
      <c r="AT83" s="55">
        <f>_xll.EQNXTDZ($A$1,$B83,AT$5,$B$1)</f>
        <v>64.762</v>
      </c>
      <c r="AU83" s="55">
        <f>_xll.EQNXTDZ($A$1,$B83,AU$5,$B$1)</f>
        <v>0</v>
      </c>
      <c r="AV83" s="55">
        <f>_xll.EQNXTDZ($A$1,$B83,AV$5,$B$1)</f>
        <v>175.21</v>
      </c>
      <c r="AW83" s="55">
        <f>_xll.EQNXTDZ($A$1,$B83,AW$5,$B$1)</f>
        <v>0</v>
      </c>
      <c r="AX83" s="55">
        <f>_xll.EQNXTDZ($A$1,$B83,AX$5,$B$1)</f>
        <v>33.113</v>
      </c>
      <c r="AY83" s="55">
        <f>_xll.EQNXTDZ($A$1,$B83,AY$5,$B$1)</f>
        <v>0</v>
      </c>
      <c r="AZ83" s="55">
        <f>_xll.EQNXTDZ($A$1,$B83,AZ$5,$B$1)</f>
        <v>118.917</v>
      </c>
      <c r="BA83" s="55">
        <f>_xll.EQNXTDZ($A$1,$B83,BA$5,$B$1)</f>
        <v>0</v>
      </c>
      <c r="BB83" s="55">
        <f>_xll.EQNXTDZ($A$1,$B83,BB$5,$B$1)</f>
        <v>44.064999999999998</v>
      </c>
      <c r="BC83" s="55">
        <f>_xll.EQNXTDZ($A$1,$B83,BC$5,$B$1)</f>
        <v>0</v>
      </c>
      <c r="BD83" s="55">
        <f>_xll.EQNXTDZ($A$1,$B83,BD$5,$B$1)</f>
        <v>92.191000000000003</v>
      </c>
      <c r="BE83" s="55">
        <f>_xll.EQNXTDZ($A$1,$B83,BE$5,$B$1)</f>
        <v>0</v>
      </c>
      <c r="BF83" s="55">
        <f>_xll.EQNXTDZ($A$1,$B83,BF$5,$B$1)</f>
        <v>240.93799999999999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15.282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99.177000000000007</v>
      </c>
      <c r="AQ84" s="55">
        <f>_xll.EQNXTDZ($A$1,$B84,AQ$5,$B$1)</f>
        <v>0</v>
      </c>
      <c r="AR84" s="55">
        <f>_xll.EQNXTDZ($A$1,$B84,AR$5,$B$1)</f>
        <v>119.871</v>
      </c>
      <c r="AS84" s="55">
        <f>_xll.EQNXTDZ($A$1,$B84,AS$5,$B$1)</f>
        <v>0</v>
      </c>
      <c r="AT84" s="55">
        <f>_xll.EQNXTDZ($A$1,$B84,AT$5,$B$1)</f>
        <v>265.17099999999999</v>
      </c>
      <c r="AU84" s="55">
        <f>_xll.EQNXTDZ($A$1,$B84,AU$5,$B$1)</f>
        <v>0</v>
      </c>
      <c r="AV84" s="55">
        <f>_xll.EQNXTDZ($A$1,$B84,AV$5,$B$1)</f>
        <v>289.34500000000003</v>
      </c>
      <c r="AW84" s="55">
        <f>_xll.EQNXTDZ($A$1,$B84,AW$5,$B$1)</f>
        <v>0</v>
      </c>
      <c r="AX84" s="55">
        <f>_xll.EQNXTDZ($A$1,$B84,AX$5,$B$1)</f>
        <v>547.73</v>
      </c>
      <c r="AY84" s="55">
        <f>_xll.EQNXTDZ($A$1,$B84,AY$5,$B$1)</f>
        <v>0</v>
      </c>
      <c r="AZ84" s="55">
        <f>_xll.EQNXTDZ($A$1,$B84,AZ$5,$B$1)</f>
        <v>405.70400000000001</v>
      </c>
      <c r="BA84" s="55">
        <f>_xll.EQNXTDZ($A$1,$B84,BA$5,$B$1)</f>
        <v>0</v>
      </c>
      <c r="BB84" s="55">
        <f>_xll.EQNXTDZ($A$1,$B84,BB$5,$B$1)</f>
        <v>419.45100000000002</v>
      </c>
      <c r="BC84" s="55">
        <f>_xll.EQNXTDZ($A$1,$B84,BC$5,$B$1)</f>
        <v>0</v>
      </c>
      <c r="BD84" s="55">
        <f>_xll.EQNXTDZ($A$1,$B84,BD$5,$B$1)</f>
        <v>561.60500000000002</v>
      </c>
      <c r="BE84" s="55">
        <f>_xll.EQNXTDZ($A$1,$B84,BE$5,$B$1)</f>
        <v>0</v>
      </c>
      <c r="BF84" s="55">
        <f>_xll.EQNXTDZ($A$1,$B84,BF$5,$B$1)</f>
        <v>544.37900000000002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23.995999999999999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36.753999999999998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94.19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201.185</v>
      </c>
      <c r="AQ86" s="55">
        <f>_xll.EQNXTDZ($A$1,$B86,AQ$5,$B$1)</f>
        <v>0</v>
      </c>
      <c r="AR86" s="55">
        <f>_xll.EQNXTDZ($A$1,$B86,AR$5,$B$1)</f>
        <v>350.40499999999997</v>
      </c>
      <c r="AS86" s="55">
        <f>_xll.EQNXTDZ($A$1,$B86,AS$5,$B$1)</f>
        <v>0</v>
      </c>
      <c r="AT86" s="55">
        <f>_xll.EQNXTDZ($A$1,$B86,AT$5,$B$1)</f>
        <v>347.06099999999998</v>
      </c>
      <c r="AU86" s="55">
        <f>_xll.EQNXTDZ($A$1,$B86,AU$5,$B$1)</f>
        <v>0</v>
      </c>
      <c r="AV86" s="55">
        <f>_xll.EQNXTDZ($A$1,$B86,AV$5,$B$1)</f>
        <v>486.12400000000002</v>
      </c>
      <c r="AW86" s="55">
        <f>_xll.EQNXTDZ($A$1,$B86,AW$5,$B$1)</f>
        <v>0</v>
      </c>
      <c r="AX86" s="55">
        <f>_xll.EQNXTDZ($A$1,$B86,AX$5,$B$1)</f>
        <v>610.23400000000004</v>
      </c>
      <c r="AY86" s="55">
        <f>_xll.EQNXTDZ($A$1,$B86,AY$5,$B$1)</f>
        <v>0</v>
      </c>
      <c r="AZ86" s="55">
        <f>_xll.EQNXTDZ($A$1,$B86,AZ$5,$B$1)</f>
        <v>561.87099999999998</v>
      </c>
      <c r="BA86" s="55">
        <f>_xll.EQNXTDZ($A$1,$B86,BA$5,$B$1)</f>
        <v>0</v>
      </c>
      <c r="BB86" s="55">
        <f>_xll.EQNXTDZ($A$1,$B86,BB$5,$B$1)</f>
        <v>524.17999999999995</v>
      </c>
      <c r="BC86" s="55">
        <f>_xll.EQNXTDZ($A$1,$B86,BC$5,$B$1)</f>
        <v>0</v>
      </c>
      <c r="BD86" s="55">
        <f>_xll.EQNXTDZ($A$1,$B86,BD$5,$B$1)</f>
        <v>696.23</v>
      </c>
      <c r="BE86" s="55">
        <f>_xll.EQNXTDZ($A$1,$B86,BE$5,$B$1)</f>
        <v>0</v>
      </c>
      <c r="BF86" s="55">
        <f>_xll.EQNXTDZ($A$1,$B86,BF$5,$B$1)</f>
        <v>866.02700000000004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8.3960000000000008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8.3439999999999994</v>
      </c>
      <c r="AQ88" s="55">
        <f>_xll.EQNXTDZ($A$1,$B88,AQ$5,$B$1)</f>
        <v>0</v>
      </c>
      <c r="AR88" s="55">
        <f>_xll.EQNXTDZ($A$1,$B88,AR$5,$B$1)</f>
        <v>8.282</v>
      </c>
      <c r="AS88" s="55">
        <f>_xll.EQNXTDZ($A$1,$B88,AS$5,$B$1)</f>
        <v>0</v>
      </c>
      <c r="AT88" s="55">
        <f>_xll.EQNXTDZ($A$1,$B88,AT$5,$B$1)</f>
        <v>8.3309999999999995</v>
      </c>
      <c r="AU88" s="55">
        <f>_xll.EQNXTDZ($A$1,$B88,AU$5,$B$1)</f>
        <v>0</v>
      </c>
      <c r="AV88" s="55">
        <f>_xll.EQNXTDZ($A$1,$B88,AV$5,$B$1)</f>
        <v>8.343</v>
      </c>
      <c r="AW88" s="55">
        <f>_xll.EQNXTDZ($A$1,$B88,AW$5,$B$1)</f>
        <v>0</v>
      </c>
      <c r="AX88" s="55">
        <f>_xll.EQNXTDZ($A$1,$B88,AX$5,$B$1)</f>
        <v>8.3580000000000005</v>
      </c>
      <c r="AY88" s="55">
        <f>_xll.EQNXTDZ($A$1,$B88,AY$5,$B$1)</f>
        <v>0</v>
      </c>
      <c r="AZ88" s="55">
        <f>_xll.EQNXTDZ($A$1,$B88,AZ$5,$B$1)</f>
        <v>4.2089999999999996</v>
      </c>
      <c r="BA88" s="55">
        <f>_xll.EQNXTDZ($A$1,$B88,BA$5,$B$1)</f>
        <v>0</v>
      </c>
      <c r="BB88" s="55">
        <f>_xll.EQNXTDZ($A$1,$B88,BB$5,$B$1)</f>
        <v>3.8079999999999998</v>
      </c>
      <c r="BC88" s="55">
        <f>_xll.EQNXTDZ($A$1,$B88,BC$5,$B$1)</f>
        <v>0</v>
      </c>
      <c r="BD88" s="55">
        <f>_xll.EQNXTDZ($A$1,$B88,BD$5,$B$1)</f>
        <v>3.9350000000000001</v>
      </c>
      <c r="BE88" s="55">
        <f>_xll.EQNXTDZ($A$1,$B88,BE$5,$B$1)</f>
        <v>0</v>
      </c>
      <c r="BF88" s="55">
        <f>_xll.EQNXTDZ($A$1,$B88,BF$5,$B$1)</f>
        <v>3.9409999999999998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0.20300000000000001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0.315</v>
      </c>
      <c r="AU89" s="55">
        <f>_xll.EQNXTDZ($A$1,$B89,AU$5,$B$1)</f>
        <v>0</v>
      </c>
      <c r="AV89" s="55">
        <f>_xll.EQNXTDZ($A$1,$B89,AV$5,$B$1)</f>
        <v>9.6000000000000002E-2</v>
      </c>
      <c r="AW89" s="55">
        <f>_xll.EQNXTDZ($A$1,$B89,AW$5,$B$1)</f>
        <v>0</v>
      </c>
      <c r="AX89" s="55">
        <f>_xll.EQNXTDZ($A$1,$B89,AX$5,$B$1)</f>
        <v>2.1000000000000001E-2</v>
      </c>
      <c r="AY89" s="55">
        <f>_xll.EQNXTDZ($A$1,$B89,AY$5,$B$1)</f>
        <v>0</v>
      </c>
      <c r="AZ89" s="55">
        <f>_xll.EQNXTDZ($A$1,$B89,AZ$5,$B$1)</f>
        <v>1E-3</v>
      </c>
      <c r="BA89" s="55">
        <f>_xll.EQNXTDZ($A$1,$B89,BA$5,$B$1)</f>
        <v>0</v>
      </c>
      <c r="BB89" s="55">
        <f>_xll.EQNXTDZ($A$1,$B89,BB$5,$B$1)</f>
        <v>6.7000000000000004E-2</v>
      </c>
      <c r="BC89" s="55">
        <f>_xll.EQNXTDZ($A$1,$B89,BC$5,$B$1)</f>
        <v>0</v>
      </c>
      <c r="BD89" s="55">
        <f>_xll.EQNXTDZ($A$1,$B89,BD$5,$B$1)</f>
        <v>0.248</v>
      </c>
      <c r="BE89" s="55">
        <f>_xll.EQNXTDZ($A$1,$B89,BE$5,$B$1)</f>
        <v>0</v>
      </c>
      <c r="BF89" s="55">
        <f>_xll.EQNXTDZ($A$1,$B89,BF$5,$B$1)</f>
        <v>0.14000000000000001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25.704999999999998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35.585000000000001</v>
      </c>
      <c r="AQ91" s="55">
        <f>_xll.EQNXTDZ($A$1,$B91,AQ$5,$B$1)</f>
        <v>0</v>
      </c>
      <c r="AR91" s="55">
        <f>_xll.EQNXTDZ($A$1,$B91,AR$5,$B$1)</f>
        <v>129.79900000000001</v>
      </c>
      <c r="AS91" s="55">
        <f>_xll.EQNXTDZ($A$1,$B91,AS$5,$B$1)</f>
        <v>0</v>
      </c>
      <c r="AT91" s="55">
        <f>_xll.EQNXTDZ($A$1,$B91,AT$5,$B$1)</f>
        <v>28.562000000000001</v>
      </c>
      <c r="AU91" s="55">
        <f>_xll.EQNXTDZ($A$1,$B91,AU$5,$B$1)</f>
        <v>0</v>
      </c>
      <c r="AV91" s="55">
        <f>_xll.EQNXTDZ($A$1,$B91,AV$5,$B$1)</f>
        <v>110.47799999999999</v>
      </c>
      <c r="AW91" s="55">
        <f>_xll.EQNXTDZ($A$1,$B91,AW$5,$B$1)</f>
        <v>0</v>
      </c>
      <c r="AX91" s="55">
        <f>_xll.EQNXTDZ($A$1,$B91,AX$5,$B$1)</f>
        <v>59.173000000000002</v>
      </c>
      <c r="AY91" s="55">
        <f>_xll.EQNXTDZ($A$1,$B91,AY$5,$B$1)</f>
        <v>0</v>
      </c>
      <c r="AZ91" s="55">
        <f>_xll.EQNXTDZ($A$1,$B91,AZ$5,$B$1)</f>
        <v>126.489</v>
      </c>
      <c r="BA91" s="55">
        <f>_xll.EQNXTDZ($A$1,$B91,BA$5,$B$1)</f>
        <v>0</v>
      </c>
      <c r="BB91" s="55">
        <f>_xll.EQNXTDZ($A$1,$B91,BB$5,$B$1)</f>
        <v>35.860999999999997</v>
      </c>
      <c r="BC91" s="55">
        <f>_xll.EQNXTDZ($A$1,$B91,BC$5,$B$1)</f>
        <v>0</v>
      </c>
      <c r="BD91" s="55">
        <f>_xll.EQNXTDZ($A$1,$B91,BD$5,$B$1)</f>
        <v>95.486000000000004</v>
      </c>
      <c r="BE91" s="55">
        <f>_xll.EQNXTDZ($A$1,$B91,BE$5,$B$1)</f>
        <v>0</v>
      </c>
      <c r="BF91" s="55">
        <f>_xll.EQNXTDZ($A$1,$B91,BF$5,$B$1)</f>
        <v>54.872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19.768000000000001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53.621000000000002</v>
      </c>
      <c r="AQ92" s="55">
        <f>_xll.EQNXTDZ($A$1,$B92,AQ$5,$B$1)</f>
        <v>0</v>
      </c>
      <c r="AR92" s="55">
        <f>_xll.EQNXTDZ($A$1,$B92,AR$5,$B$1)</f>
        <v>45.960999999999999</v>
      </c>
      <c r="AS92" s="55">
        <f>_xll.EQNXTDZ($A$1,$B92,AS$5,$B$1)</f>
        <v>0</v>
      </c>
      <c r="AT92" s="55">
        <f>_xll.EQNXTDZ($A$1,$B92,AT$5,$B$1)</f>
        <v>80.278000000000006</v>
      </c>
      <c r="AU92" s="55">
        <f>_xll.EQNXTDZ($A$1,$B92,AU$5,$B$1)</f>
        <v>0</v>
      </c>
      <c r="AV92" s="55">
        <f>_xll.EQNXTDZ($A$1,$B92,AV$5,$B$1)</f>
        <v>61.674999999999997</v>
      </c>
      <c r="AW92" s="55">
        <f>_xll.EQNXTDZ($A$1,$B92,AW$5,$B$1)</f>
        <v>0</v>
      </c>
      <c r="AX92" s="55">
        <f>_xll.EQNXTDZ($A$1,$B92,AX$5,$B$1)</f>
        <v>109.13800000000001</v>
      </c>
      <c r="AY92" s="55">
        <f>_xll.EQNXTDZ($A$1,$B92,AY$5,$B$1)</f>
        <v>0</v>
      </c>
      <c r="AZ92" s="55">
        <f>_xll.EQNXTDZ($A$1,$B92,AZ$5,$B$1)</f>
        <v>94.343999999999994</v>
      </c>
      <c r="BA92" s="55">
        <f>_xll.EQNXTDZ($A$1,$B92,BA$5,$B$1)</f>
        <v>0</v>
      </c>
      <c r="BB92" s="55">
        <f>_xll.EQNXTDZ($A$1,$B92,BB$5,$B$1)</f>
        <v>156.256</v>
      </c>
      <c r="BC92" s="55">
        <f>_xll.EQNXTDZ($A$1,$B92,BC$5,$B$1)</f>
        <v>0</v>
      </c>
      <c r="BD92" s="55">
        <f>_xll.EQNXTDZ($A$1,$B92,BD$5,$B$1)</f>
        <v>121.006</v>
      </c>
      <c r="BE92" s="55">
        <f>_xll.EQNXTDZ($A$1,$B92,BE$5,$B$1)</f>
        <v>0</v>
      </c>
      <c r="BF92" s="55">
        <f>_xll.EQNXTDZ($A$1,$B92,BF$5,$B$1)</f>
        <v>167.184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54.072000000000003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97.55</v>
      </c>
      <c r="AQ93" s="55">
        <f>_xll.EQNXTDZ($A$1,$B93,AQ$5,$B$1)</f>
        <v>0</v>
      </c>
      <c r="AR93" s="55">
        <f>_xll.EQNXTDZ($A$1,$B93,AR$5,$B$1)</f>
        <v>184.042</v>
      </c>
      <c r="AS93" s="55">
        <f>_xll.EQNXTDZ($A$1,$B93,AS$5,$B$1)</f>
        <v>0</v>
      </c>
      <c r="AT93" s="55">
        <f>_xll.EQNXTDZ($A$1,$B93,AT$5,$B$1)</f>
        <v>117.486</v>
      </c>
      <c r="AU93" s="55">
        <f>_xll.EQNXTDZ($A$1,$B93,AU$5,$B$1)</f>
        <v>0</v>
      </c>
      <c r="AV93" s="55">
        <f>_xll.EQNXTDZ($A$1,$B93,AV$5,$B$1)</f>
        <v>180.59200000000001</v>
      </c>
      <c r="AW93" s="55">
        <f>_xll.EQNXTDZ($A$1,$B93,AW$5,$B$1)</f>
        <v>0</v>
      </c>
      <c r="AX93" s="55">
        <f>_xll.EQNXTDZ($A$1,$B93,AX$5,$B$1)</f>
        <v>176.69</v>
      </c>
      <c r="AY93" s="55">
        <f>_xll.EQNXTDZ($A$1,$B93,AY$5,$B$1)</f>
        <v>0</v>
      </c>
      <c r="AZ93" s="55">
        <f>_xll.EQNXTDZ($A$1,$B93,AZ$5,$B$1)</f>
        <v>225.04300000000001</v>
      </c>
      <c r="BA93" s="55">
        <f>_xll.EQNXTDZ($A$1,$B93,BA$5,$B$1)</f>
        <v>0</v>
      </c>
      <c r="BB93" s="55">
        <f>_xll.EQNXTDZ($A$1,$B93,BB$5,$B$1)</f>
        <v>195.99199999999999</v>
      </c>
      <c r="BC93" s="55">
        <f>_xll.EQNXTDZ($A$1,$B93,BC$5,$B$1)</f>
        <v>0</v>
      </c>
      <c r="BD93" s="55">
        <f>_xll.EQNXTDZ($A$1,$B93,BD$5,$B$1)</f>
        <v>220.67500000000001</v>
      </c>
      <c r="BE93" s="55">
        <f>_xll.EQNXTDZ($A$1,$B93,BE$5,$B$1)</f>
        <v>0</v>
      </c>
      <c r="BF93" s="55">
        <f>_xll.EQNXTDZ($A$1,$B93,BF$5,$B$1)</f>
        <v>226.137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40.118000000000002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103.63500000000001</v>
      </c>
      <c r="AQ94" s="55">
        <f>_xll.EQNXTDZ($A$1,$B94,AQ$5,$B$1)</f>
        <v>0</v>
      </c>
      <c r="AR94" s="55">
        <f>_xll.EQNXTDZ($A$1,$B94,AR$5,$B$1)</f>
        <v>166.363</v>
      </c>
      <c r="AS94" s="55">
        <f>_xll.EQNXTDZ($A$1,$B94,AS$5,$B$1)</f>
        <v>0</v>
      </c>
      <c r="AT94" s="55">
        <f>_xll.EQNXTDZ($A$1,$B94,AT$5,$B$1)</f>
        <v>229.57499999999999</v>
      </c>
      <c r="AU94" s="55">
        <f>_xll.EQNXTDZ($A$1,$B94,AU$5,$B$1)</f>
        <v>0</v>
      </c>
      <c r="AV94" s="55">
        <f>_xll.EQNXTDZ($A$1,$B94,AV$5,$B$1)</f>
        <v>305.53199999999998</v>
      </c>
      <c r="AW94" s="55">
        <f>_xll.EQNXTDZ($A$1,$B94,AW$5,$B$1)</f>
        <v>0</v>
      </c>
      <c r="AX94" s="55">
        <f>_xll.EQNXTDZ($A$1,$B94,AX$5,$B$1)</f>
        <v>433.54399999999998</v>
      </c>
      <c r="AY94" s="55">
        <f>_xll.EQNXTDZ($A$1,$B94,AY$5,$B$1)</f>
        <v>0</v>
      </c>
      <c r="AZ94" s="55">
        <f>_xll.EQNXTDZ($A$1,$B94,AZ$5,$B$1)</f>
        <v>336.82799999999997</v>
      </c>
      <c r="BA94" s="55">
        <f>_xll.EQNXTDZ($A$1,$B94,BA$5,$B$1)</f>
        <v>0</v>
      </c>
      <c r="BB94" s="55">
        <f>_xll.EQNXTDZ($A$1,$B94,BB$5,$B$1)</f>
        <v>328.18799999999999</v>
      </c>
      <c r="BC94" s="55">
        <f>_xll.EQNXTDZ($A$1,$B94,BC$5,$B$1)</f>
        <v>0</v>
      </c>
      <c r="BD94" s="55">
        <f>_xll.EQNXTDZ($A$1,$B94,BD$5,$B$1)</f>
        <v>475.55500000000001</v>
      </c>
      <c r="BE94" s="55">
        <f>_xll.EQNXTDZ($A$1,$B94,BE$5,$B$1)</f>
        <v>0</v>
      </c>
      <c r="BF94" s="55">
        <f>_xll.EQNXTDZ($A$1,$B94,BF$5,$B$1)</f>
        <v>639.89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4.1520000000000001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3.8069999999999999</v>
      </c>
      <c r="AQ96" s="55">
        <f>_xll.EQNXTDZ($A$1,$B96,AQ$5,$B$1)</f>
        <v>0</v>
      </c>
      <c r="AR96" s="55">
        <f>_xll.EQNXTDZ($A$1,$B96,AR$5,$B$1)</f>
        <v>3.8610000000000002</v>
      </c>
      <c r="AS96" s="55">
        <f>_xll.EQNXTDZ($A$1,$B96,AS$5,$B$1)</f>
        <v>0</v>
      </c>
      <c r="AT96" s="55">
        <f>_xll.EQNXTDZ($A$1,$B96,AT$5,$B$1)</f>
        <v>0.47599999999999998</v>
      </c>
      <c r="AU96" s="55">
        <f>_xll.EQNXTDZ($A$1,$B96,AU$5,$B$1)</f>
        <v>0</v>
      </c>
      <c r="AV96" s="55">
        <f>_xll.EQNXTDZ($A$1,$B96,AV$5,$B$1)</f>
        <v>0.2</v>
      </c>
      <c r="AW96" s="55">
        <f>_xll.EQNXTDZ($A$1,$B96,AW$5,$B$1)</f>
        <v>0</v>
      </c>
      <c r="AX96" s="55">
        <f>_xll.EQNXTDZ($A$1,$B96,AX$5,$B$1)</f>
        <v>-3.1040000000000001</v>
      </c>
      <c r="AY96" s="55">
        <f>_xll.EQNXTDZ($A$1,$B96,AY$5,$B$1)</f>
        <v>0</v>
      </c>
      <c r="AZ96" s="55">
        <f>_xll.EQNXTDZ($A$1,$B96,AZ$5,$B$1)</f>
        <v>-1.8380000000000001</v>
      </c>
      <c r="BA96" s="55">
        <f>_xll.EQNXTDZ($A$1,$B96,BA$5,$B$1)</f>
        <v>0</v>
      </c>
      <c r="BB96" s="55">
        <f>_xll.EQNXTDZ($A$1,$B96,BB$5,$B$1)</f>
        <v>-5.9589999999999996</v>
      </c>
      <c r="BC96" s="55">
        <f>_xll.EQNXTDZ($A$1,$B96,BC$5,$B$1)</f>
        <v>0</v>
      </c>
      <c r="BD96" s="55">
        <f>_xll.EQNXTDZ($A$1,$B96,BD$5,$B$1)</f>
        <v>-6.0469999999999997</v>
      </c>
      <c r="BE96" s="55">
        <f>_xll.EQNXTDZ($A$1,$B96,BE$5,$B$1)</f>
        <v>0</v>
      </c>
      <c r="BF96" s="55">
        <f>_xll.EQNXTDZ($A$1,$B96,BF$5,$B$1)</f>
        <v>-21.018999999999998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285.67599999999999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382.60899999999998</v>
      </c>
      <c r="AQ97" s="55">
        <f>_xll.EQNXTDZ($A$1,$B97,AQ$5,$B$1)</f>
        <v>0</v>
      </c>
      <c r="AR97" s="55">
        <f>_xll.EQNXTDZ($A$1,$B97,AR$5,$B$1)</f>
        <v>436.23200000000003</v>
      </c>
      <c r="AS97" s="55">
        <f>_xll.EQNXTDZ($A$1,$B97,AS$5,$B$1)</f>
        <v>0</v>
      </c>
      <c r="AT97" s="55">
        <f>_xll.EQNXTDZ($A$1,$B97,AT$5,$B$1)</f>
        <v>506.63400000000001</v>
      </c>
      <c r="AU97" s="55">
        <f>_xll.EQNXTDZ($A$1,$B97,AU$5,$B$1)</f>
        <v>0</v>
      </c>
      <c r="AV97" s="55">
        <f>_xll.EQNXTDZ($A$1,$B97,AV$5,$B$1)</f>
        <v>599.39200000000005</v>
      </c>
      <c r="AW97" s="55">
        <f>_xll.EQNXTDZ($A$1,$B97,AW$5,$B$1)</f>
        <v>0</v>
      </c>
      <c r="AX97" s="55">
        <f>_xll.EQNXTDZ($A$1,$B97,AX$5,$B$1)</f>
        <v>699.94100000000003</v>
      </c>
      <c r="AY97" s="55">
        <f>_xll.EQNXTDZ($A$1,$B97,AY$5,$B$1)</f>
        <v>0</v>
      </c>
      <c r="AZ97" s="55">
        <f>_xll.EQNXTDZ($A$1,$B97,AZ$5,$B$1)</f>
        <v>623.53099999999995</v>
      </c>
      <c r="BA97" s="55">
        <f>_xll.EQNXTDZ($A$1,$B97,BA$5,$B$1)</f>
        <v>0</v>
      </c>
      <c r="BB97" s="55">
        <f>_xll.EQNXTDZ($A$1,$B97,BB$5,$B$1)</f>
        <v>759.404</v>
      </c>
      <c r="BC97" s="55">
        <f>_xll.EQNXTDZ($A$1,$B97,BC$5,$B$1)</f>
        <v>0</v>
      </c>
      <c r="BD97" s="55">
        <f>_xll.EQNXTDZ($A$1,$B97,BD$5,$B$1)</f>
        <v>892.98699999999997</v>
      </c>
      <c r="BE97" s="55">
        <f>_xll.EQNXTDZ($A$1,$B97,BE$5,$B$1)</f>
        <v>0</v>
      </c>
      <c r="BF97" s="55">
        <f>_xll.EQNXTDZ($A$1,$B97,BF$5,$B$1)</f>
        <v>1081.6110000000001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226156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Anand Rathi Wealth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1.6416811</v>
      </c>
      <c r="L6" s="100">
        <f>_xll.EQNXTDZ($A$1,$B6,L$1,$B$1)</f>
        <v>2.0119999000000002</v>
      </c>
      <c r="M6" s="100">
        <f>_xll.EQNXTDZ($A$1,$B6,M$1,$B$1)</f>
        <v>2.012</v>
      </c>
      <c r="N6" s="100">
        <f>_xll.EQNXTDZ($A$1,$B6,N$1,$B$1)</f>
        <v>0.94233259999999996</v>
      </c>
      <c r="O6" s="100">
        <f>_xll.EQNXTDZ($A$1,$B6,O$1,$B$1)</f>
        <v>0.63295319999999999</v>
      </c>
      <c r="P6" s="100">
        <f>_xll.EQNXTDZ($A$1,$B6,P$1,$B$1)</f>
        <v>0.503</v>
      </c>
      <c r="Q6" s="100">
        <f>_xll.EQNXTDZ($A$1,$B6,Q$1,$B$1)</f>
        <v>0</v>
      </c>
      <c r="R6" s="100">
        <f>_xll.EQNXTDZ($A$1,$B6,R$1,$B$1)</f>
        <v>0.47499999999999998</v>
      </c>
      <c r="S6" s="100">
        <f>_xll.EQNXTDZ($A$1,$B6,S$1,$B$1)</f>
        <v>41.014000000000003</v>
      </c>
      <c r="T6" s="100">
        <f>_xll.EQNXTDZ($A$1,$B6,T$1,$B$1)</f>
        <v>221.03200000000001</v>
      </c>
      <c r="U6" s="100">
        <f>_xll.EQNXTDZ($A$1,$B6,U$1,$B$1)</f>
        <v>276.58699999999999</v>
      </c>
      <c r="V6" s="100">
        <f>_xll.EQNXTDZ($A$1,$B6,V$1,$B$1)</f>
        <v>331.827</v>
      </c>
      <c r="W6" s="100">
        <f>_xll.EQNXTDZ($A$1,$B6,W$1,$B$1)</f>
        <v>265.33019999999999</v>
      </c>
      <c r="X6" s="100">
        <f>_xll.EQNXTDZ($A$1,$B6,X$1,$B$1)</f>
        <v>417.48509999999999</v>
      </c>
      <c r="Y6" s="100">
        <f>_xll.EQNXTDZ($A$1,$B6,Y$1,$B$1)</f>
        <v>548.63160000000005</v>
      </c>
      <c r="Z6" s="100">
        <f>_xll.EQNXTDZ($A$1,$B6,Z$1,$B$1)</f>
        <v>724.32249999999999</v>
      </c>
      <c r="AA6" s="100">
        <f>_xll.EQNXTDZ($A$1,$B6,AA$1,$B$1)</f>
        <v>939.09460000000001</v>
      </c>
      <c r="AB6" s="100">
        <f>_xll.EQNXTDZ($A$1,$B6,AB$1,$B$1)</f>
        <v>1148.825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1.6416811</v>
      </c>
      <c r="L10" s="100">
        <f>_xll.EQNXTDZ($A$1,$B10,L$1,$B$1)</f>
        <v>2.0119999000000002</v>
      </c>
      <c r="M10" s="100">
        <f>_xll.EQNXTDZ($A$1,$B10,M$1,$B$1)</f>
        <v>2.012</v>
      </c>
      <c r="N10" s="100">
        <f>_xll.EQNXTDZ($A$1,$B10,N$1,$B$1)</f>
        <v>0.94233259999999996</v>
      </c>
      <c r="O10" s="100">
        <f>_xll.EQNXTDZ($A$1,$B10,O$1,$B$1)</f>
        <v>0.63295319999999999</v>
      </c>
      <c r="P10" s="100">
        <f>_xll.EQNXTDZ($A$1,$B10,P$1,$B$1)</f>
        <v>0.503</v>
      </c>
      <c r="Q10" s="100">
        <f>_xll.EQNXTDZ($A$1,$B10,Q$1,$B$1)</f>
        <v>0</v>
      </c>
      <c r="R10" s="100">
        <f>_xll.EQNXTDZ($A$1,$B10,R$1,$B$1)</f>
        <v>0.47499999999999998</v>
      </c>
      <c r="S10" s="100">
        <f>_xll.EQNXTDZ($A$1,$B10,S$1,$B$1)</f>
        <v>41.014000000000003</v>
      </c>
      <c r="T10" s="100">
        <f>_xll.EQNXTDZ($A$1,$B10,T$1,$B$1)</f>
        <v>221.03200000000001</v>
      </c>
      <c r="U10" s="100">
        <f>_xll.EQNXTDZ($A$1,$B10,U$1,$B$1)</f>
        <v>276.58699999999999</v>
      </c>
      <c r="V10" s="100">
        <f>_xll.EQNXTDZ($A$1,$B10,V$1,$B$1)</f>
        <v>331.827</v>
      </c>
      <c r="W10" s="100">
        <f>_xll.EQNXTDZ($A$1,$B10,W$1,$B$1)</f>
        <v>265.33019999999999</v>
      </c>
      <c r="X10" s="100">
        <f>_xll.EQNXTDZ($A$1,$B10,X$1,$B$1)</f>
        <v>417.48509999999999</v>
      </c>
      <c r="Y10" s="100">
        <f>_xll.EQNXTDZ($A$1,$B10,Y$1,$B$1)</f>
        <v>548.63160000000005</v>
      </c>
      <c r="Z10" s="100">
        <f>_xll.EQNXTDZ($A$1,$B10,Z$1,$B$1)</f>
        <v>724.32249999999999</v>
      </c>
      <c r="AA10" s="100">
        <f>_xll.EQNXTDZ($A$1,$B10,AA$1,$B$1)</f>
        <v>939.09460000000001</v>
      </c>
      <c r="AB10" s="100">
        <f>_xll.EQNXTDZ($A$1,$B10,AB$1,$B$1)</f>
        <v>1148.825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0.16600000000000001</v>
      </c>
      <c r="T13" s="100">
        <f>_xll.EQNXTDZ($A$1,$B13,T$1,$B$1)</f>
        <v>0.46100000000000002</v>
      </c>
      <c r="U13" s="100">
        <f>_xll.EQNXTDZ($A$1,$B13,U$1,$B$1)</f>
        <v>0.66100000000000003</v>
      </c>
      <c r="V13" s="100">
        <f>_xll.EQNXTDZ($A$1,$B13,V$1,$B$1)</f>
        <v>0.79100000000000004</v>
      </c>
      <c r="W13" s="100">
        <f>_xll.EQNXTDZ($A$1,$B13,W$1,$B$1)</f>
        <v>0.65410000000000001</v>
      </c>
      <c r="X13" s="100">
        <f>_xll.EQNXTDZ($A$1,$B13,X$1,$B$1)</f>
        <v>0.8276</v>
      </c>
      <c r="Y13" s="100">
        <f>_xll.EQNXTDZ($A$1,$B13,Y$1,$B$1)</f>
        <v>1.1726000000000001</v>
      </c>
      <c r="Z13" s="100">
        <f>_xll.EQNXTDZ($A$1,$B13,Z$1,$B$1)</f>
        <v>1.4404999999999999</v>
      </c>
      <c r="AA13" s="100">
        <f>_xll.EQNXTDZ($A$1,$B13,AA$1,$B$1)</f>
        <v>2.0623</v>
      </c>
      <c r="AB13" s="100">
        <f>_xll.EQNXTDZ($A$1,$B13,AB$1,$B$1)</f>
        <v>2.1665000000000001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0.97256810000000005</v>
      </c>
      <c r="L14" s="100">
        <f>_xll.EQNXTDZ($A$1,$B14,L$1,$B$1)</f>
        <v>1.1739754</v>
      </c>
      <c r="M14" s="100">
        <f>_xll.EQNXTDZ($A$1,$B14,M$1,$B$1)</f>
        <v>0.70853299999999997</v>
      </c>
      <c r="N14" s="100">
        <f>_xll.EQNXTDZ($A$1,$B14,N$1,$B$1)</f>
        <v>0.55831039999999998</v>
      </c>
      <c r="O14" s="100">
        <f>_xll.EQNXTDZ($A$1,$B14,O$1,$B$1)</f>
        <v>0.27886260000000002</v>
      </c>
      <c r="P14" s="100">
        <f>_xll.EQNXTDZ($A$1,$B14,P$1,$B$1)</f>
        <v>0.45279819999999998</v>
      </c>
      <c r="Q14" s="100">
        <f>_xll.EQNXTDZ($A$1,$B14,Q$1,$B$1)</f>
        <v>8.64486E-2</v>
      </c>
      <c r="R14" s="100">
        <f>_xll.EQNXTDZ($A$1,$B14,R$1,$B$1)</f>
        <v>9.6000000000000002E-2</v>
      </c>
      <c r="S14" s="100">
        <f>_xll.EQNXTDZ($A$1,$B14,S$1,$B$1)</f>
        <v>35.055</v>
      </c>
      <c r="T14" s="100">
        <f>_xll.EQNXTDZ($A$1,$B14,T$1,$B$1)</f>
        <v>104.229</v>
      </c>
      <c r="U14" s="100">
        <f>_xll.EQNXTDZ($A$1,$B14,U$1,$B$1)</f>
        <v>132.173</v>
      </c>
      <c r="V14" s="100">
        <f>_xll.EQNXTDZ($A$1,$B14,V$1,$B$1)</f>
        <v>166.57300000000001</v>
      </c>
      <c r="W14" s="100">
        <f>_xll.EQNXTDZ($A$1,$B14,W$1,$B$1)</f>
        <v>150.75479999999999</v>
      </c>
      <c r="X14" s="100">
        <f>_xll.EQNXTDZ($A$1,$B14,X$1,$B$1)</f>
        <v>192.0436</v>
      </c>
      <c r="Y14" s="100">
        <f>_xll.EQNXTDZ($A$1,$B14,Y$1,$B$1)</f>
        <v>241.8245</v>
      </c>
      <c r="Z14" s="100">
        <f>_xll.EQNXTDZ($A$1,$B14,Z$1,$B$1)</f>
        <v>322.2192</v>
      </c>
      <c r="AA14" s="100">
        <f>_xll.EQNXTDZ($A$1,$B14,AA$1,$B$1)</f>
        <v>419.87979999999999</v>
      </c>
      <c r="AB14" s="100">
        <f>_xll.EQNXTDZ($A$1,$B14,AB$1,$B$1)</f>
        <v>529.88869999999997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0.26317099999999999</v>
      </c>
      <c r="L15" s="100">
        <f>_xll.EQNXTDZ($A$1,$B15,L$1,$B$1)</f>
        <v>0.62403039999999999</v>
      </c>
      <c r="M15" s="100">
        <f>_xll.EQNXTDZ($A$1,$B15,M$1,$B$1)</f>
        <v>0.90292150000000004</v>
      </c>
      <c r="N15" s="100">
        <f>_xll.EQNXTDZ($A$1,$B15,N$1,$B$1)</f>
        <v>0.65085559999999998</v>
      </c>
      <c r="O15" s="100">
        <f>_xll.EQNXTDZ($A$1,$B15,O$1,$B$1)</f>
        <v>0.34731200000000001</v>
      </c>
      <c r="P15" s="100">
        <f>_xll.EQNXTDZ($A$1,$B15,P$1,$B$1)</f>
        <v>0.24</v>
      </c>
      <c r="Q15" s="100">
        <f>_xll.EQNXTDZ($A$1,$B15,Q$1,$B$1)</f>
        <v>0</v>
      </c>
      <c r="R15" s="100">
        <f>_xll.EQNXTDZ($A$1,$B15,R$1,$B$1)</f>
        <v>0.42</v>
      </c>
      <c r="S15" s="100">
        <f>_xll.EQNXTDZ($A$1,$B15,S$1,$B$1)</f>
        <v>1.8480000000000001</v>
      </c>
      <c r="T15" s="100">
        <f>_xll.EQNXTDZ($A$1,$B15,T$1,$B$1)</f>
        <v>18.443000000000001</v>
      </c>
      <c r="U15" s="100">
        <f>_xll.EQNXTDZ($A$1,$B15,U$1,$B$1)</f>
        <v>12.866</v>
      </c>
      <c r="V15" s="100">
        <f>_xll.EQNXTDZ($A$1,$B15,V$1,$B$1)</f>
        <v>20.52</v>
      </c>
      <c r="W15" s="100">
        <f>_xll.EQNXTDZ($A$1,$B15,W$1,$B$1)</f>
        <v>14.9039</v>
      </c>
      <c r="X15" s="100">
        <f>_xll.EQNXTDZ($A$1,$B15,X$1,$B$1)</f>
        <v>11.632099999999999</v>
      </c>
      <c r="Y15" s="100">
        <f>_xll.EQNXTDZ($A$1,$B15,Y$1,$B$1)</f>
        <v>10.312900000000001</v>
      </c>
      <c r="Z15" s="100">
        <f>_xll.EQNXTDZ($A$1,$B15,Z$1,$B$1)</f>
        <v>15.223000000000001</v>
      </c>
      <c r="AA15" s="100">
        <f>_xll.EQNXTDZ($A$1,$B15,AA$1,$B$1)</f>
        <v>16.757400000000001</v>
      </c>
      <c r="AB15" s="100">
        <f>_xll.EQNXTDZ($A$1,$B15,AB$1,$B$1)</f>
        <v>20.993600000000001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4.4350500000000001E-2</v>
      </c>
      <c r="L17" s="100">
        <f>_xll.EQNXTDZ($A$1,$B17,L$1,$B$1)</f>
        <v>3.4292200000000002E-2</v>
      </c>
      <c r="M17" s="100">
        <f>_xll.EQNXTDZ($A$1,$B17,M$1,$B$1)</f>
        <v>2.3367300000000001E-2</v>
      </c>
      <c r="N17" s="100">
        <f>_xll.EQNXTDZ($A$1,$B17,N$1,$B$1)</f>
        <v>9.5315E-3</v>
      </c>
      <c r="O17" s="100">
        <f>_xll.EQNXTDZ($A$1,$B17,O$1,$B$1)</f>
        <v>3.1811000000000001E-3</v>
      </c>
      <c r="P17" s="100">
        <f>_xll.EQNXTDZ($A$1,$B17,P$1,$B$1)</f>
        <v>3.2504000000000001E-3</v>
      </c>
      <c r="Q17" s="100">
        <f>_xll.EQNXTDZ($A$1,$B17,Q$1,$B$1)</f>
        <v>1.9319999999999999E-3</v>
      </c>
      <c r="R17" s="100">
        <f>_xll.EQNXTDZ($A$1,$B17,R$1,$B$1)</f>
        <v>6.0000000000000001E-3</v>
      </c>
      <c r="S17" s="100">
        <f>_xll.EQNXTDZ($A$1,$B17,S$1,$B$1)</f>
        <v>2.427</v>
      </c>
      <c r="T17" s="100">
        <f>_xll.EQNXTDZ($A$1,$B17,T$1,$B$1)</f>
        <v>7.6740000000000004</v>
      </c>
      <c r="U17" s="100">
        <f>_xll.EQNXTDZ($A$1,$B17,U$1,$B$1)</f>
        <v>15.407999999999999</v>
      </c>
      <c r="V17" s="100">
        <f>_xll.EQNXTDZ($A$1,$B17,V$1,$B$1)</f>
        <v>16.606999999999999</v>
      </c>
      <c r="W17" s="100">
        <f>_xll.EQNXTDZ($A$1,$B17,W$1,$B$1)</f>
        <v>17.751999999999999</v>
      </c>
      <c r="X17" s="100">
        <f>_xll.EQNXTDZ($A$1,$B17,X$1,$B$1)</f>
        <v>20.264299999999999</v>
      </c>
      <c r="Y17" s="100">
        <f>_xll.EQNXTDZ($A$1,$B17,Y$1,$B$1)</f>
        <v>25.434999999999999</v>
      </c>
      <c r="Z17" s="100">
        <f>_xll.EQNXTDZ($A$1,$B17,Z$1,$B$1)</f>
        <v>35.8812</v>
      </c>
      <c r="AA17" s="100">
        <f>_xll.EQNXTDZ($A$1,$B17,AA$1,$B$1)</f>
        <v>41.407800000000002</v>
      </c>
      <c r="AB17" s="100">
        <f>_xll.EQNXTDZ($A$1,$B17,AB$1,$B$1)</f>
        <v>48.085099999999997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1.742</v>
      </c>
      <c r="T18" s="100">
        <f>_xll.EQNXTDZ($A$1,$B18,T$1,$B$1)</f>
        <v>7.5439999999999996</v>
      </c>
      <c r="U18" s="100">
        <f>_xll.EQNXTDZ($A$1,$B18,U$1,$B$1)</f>
        <v>16.126999999999999</v>
      </c>
      <c r="V18" s="100">
        <f>_xll.EQNXTDZ($A$1,$B18,V$1,$B$1)</f>
        <v>16.738</v>
      </c>
      <c r="W18" s="100">
        <f>_xll.EQNXTDZ($A$1,$B18,W$1,$B$1)</f>
        <v>5.2446999999999999</v>
      </c>
      <c r="X18" s="100">
        <f>_xll.EQNXTDZ($A$1,$B18,X$1,$B$1)</f>
        <v>9.8567999999999998</v>
      </c>
      <c r="Y18" s="100">
        <f>_xll.EQNXTDZ($A$1,$B18,Y$1,$B$1)</f>
        <v>22.018599999999999</v>
      </c>
      <c r="Z18" s="100">
        <f>_xll.EQNXTDZ($A$1,$B18,Z$1,$B$1)</f>
        <v>33.9148</v>
      </c>
      <c r="AA18" s="100">
        <f>_xll.EQNXTDZ($A$1,$B18,AA$1,$B$1)</f>
        <v>42.7455</v>
      </c>
      <c r="AB18" s="100">
        <f>_xll.EQNXTDZ($A$1,$B18,AB$1,$B$1)</f>
        <v>49.100299999999997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4.6269600000000001E-2</v>
      </c>
      <c r="L19" s="100">
        <f>_xll.EQNXTDZ($A$1,$B19,L$1,$B$1)</f>
        <v>0.17255090000000001</v>
      </c>
      <c r="M19" s="100">
        <f>_xll.EQNXTDZ($A$1,$B19,M$1,$B$1)</f>
        <v>2.1388000000000002E-3</v>
      </c>
      <c r="N19" s="100">
        <f>_xll.EQNXTDZ($A$1,$B19,N$1,$B$1)</f>
        <v>4.3000000000000002E-5</v>
      </c>
      <c r="O19" s="100">
        <f>_xll.EQNXTDZ($A$1,$B19,O$1,$B$1)</f>
        <v>1.4999999999999999E-4</v>
      </c>
      <c r="P19" s="100">
        <f>_xll.EQNXTDZ($A$1,$B19,P$1,$B$1)</f>
        <v>2.9080000000000002E-4</v>
      </c>
      <c r="Q19" s="100">
        <f>_xll.EQNXTDZ($A$1,$B19,Q$1,$B$1)</f>
        <v>5.0000000000000001E-4</v>
      </c>
      <c r="R19" s="100">
        <f>_xll.EQNXTDZ($A$1,$B19,R$1,$B$1)</f>
        <v>3.0000000000000001E-3</v>
      </c>
      <c r="S19" s="100">
        <f>_xll.EQNXTDZ($A$1,$B19,S$1,$B$1)</f>
        <v>0.69899999999999995</v>
      </c>
      <c r="T19" s="100">
        <f>_xll.EQNXTDZ($A$1,$B19,T$1,$B$1)</f>
        <v>4.1550000000000002</v>
      </c>
      <c r="U19" s="100">
        <f>_xll.EQNXTDZ($A$1,$B19,U$1,$B$1)</f>
        <v>1.474</v>
      </c>
      <c r="V19" s="100">
        <f>_xll.EQNXTDZ($A$1,$B19,V$1,$B$1)</f>
        <v>3.88</v>
      </c>
      <c r="W19" s="100">
        <f>_xll.EQNXTDZ($A$1,$B19,W$1,$B$1)</f>
        <v>6.4375</v>
      </c>
      <c r="X19" s="100">
        <f>_xll.EQNXTDZ($A$1,$B19,X$1,$B$1)</f>
        <v>5.5750000000000002</v>
      </c>
      <c r="Y19" s="100">
        <f>_xll.EQNXTDZ($A$1,$B19,Y$1,$B$1)</f>
        <v>9.2124000000000006</v>
      </c>
      <c r="Z19" s="100">
        <f>_xll.EQNXTDZ($A$1,$B19,Z$1,$B$1)</f>
        <v>11.853400000000001</v>
      </c>
      <c r="AA19" s="100">
        <f>_xll.EQNXTDZ($A$1,$B19,AA$1,$B$1)</f>
        <v>15.963100000000001</v>
      </c>
      <c r="AB19" s="100">
        <f>_xll.EQNXTDZ($A$1,$B19,AB$1,$B$1)</f>
        <v>17.102699999999999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1.3263592</v>
      </c>
      <c r="L21" s="100">
        <f>_xll.EQNXTDZ($A$1,$B21,L$1,$B$1)</f>
        <v>2.0048488999999998</v>
      </c>
      <c r="M21" s="100">
        <f>_xll.EQNXTDZ($A$1,$B21,M$1,$B$1)</f>
        <v>1.6369606000000001</v>
      </c>
      <c r="N21" s="100">
        <f>_xll.EQNXTDZ($A$1,$B21,N$1,$B$1)</f>
        <v>1.2187405</v>
      </c>
      <c r="O21" s="100">
        <f>_xll.EQNXTDZ($A$1,$B21,O$1,$B$1)</f>
        <v>0.62950569999999995</v>
      </c>
      <c r="P21" s="100">
        <f>_xll.EQNXTDZ($A$1,$B21,P$1,$B$1)</f>
        <v>0.69633940000000005</v>
      </c>
      <c r="Q21" s="100">
        <f>_xll.EQNXTDZ($A$1,$B21,Q$1,$B$1)</f>
        <v>8.8880600000000004E-2</v>
      </c>
      <c r="R21" s="100">
        <f>_xll.EQNXTDZ($A$1,$B21,R$1,$B$1)</f>
        <v>0.52500000000000002</v>
      </c>
      <c r="S21" s="100">
        <f>_xll.EQNXTDZ($A$1,$B21,S$1,$B$1)</f>
        <v>41.936999999999998</v>
      </c>
      <c r="T21" s="100">
        <f>_xll.EQNXTDZ($A$1,$B21,T$1,$B$1)</f>
        <v>142.506</v>
      </c>
      <c r="U21" s="100">
        <f>_xll.EQNXTDZ($A$1,$B21,U$1,$B$1)</f>
        <v>178.709</v>
      </c>
      <c r="V21" s="100">
        <f>_xll.EQNXTDZ($A$1,$B21,V$1,$B$1)</f>
        <v>225.10900000000001</v>
      </c>
      <c r="W21" s="100">
        <f>_xll.EQNXTDZ($A$1,$B21,W$1,$B$1)</f>
        <v>195.74700000000001</v>
      </c>
      <c r="X21" s="100">
        <f>_xll.EQNXTDZ($A$1,$B21,X$1,$B$1)</f>
        <v>240.1994</v>
      </c>
      <c r="Y21" s="100">
        <f>_xll.EQNXTDZ($A$1,$B21,Y$1,$B$1)</f>
        <v>309.976</v>
      </c>
      <c r="Z21" s="100">
        <f>_xll.EQNXTDZ($A$1,$B21,Z$1,$B$1)</f>
        <v>420.53210000000001</v>
      </c>
      <c r="AA21" s="100">
        <f>_xll.EQNXTDZ($A$1,$B21,AA$1,$B$1)</f>
        <v>538.81590000000006</v>
      </c>
      <c r="AB21" s="100">
        <f>_xll.EQNXTDZ($A$1,$B21,AB$1,$B$1)</f>
        <v>667.33690000000001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0.31532189999999999</v>
      </c>
      <c r="L22" s="100">
        <f>_xll.EQNXTDZ($A$1,$B22,L$1,$B$1)</f>
        <v>7.1510000000000002E-3</v>
      </c>
      <c r="M22" s="100">
        <f>_xll.EQNXTDZ($A$1,$B22,M$1,$B$1)</f>
        <v>0.37503940000000002</v>
      </c>
      <c r="N22" s="100">
        <f>_xll.EQNXTDZ($A$1,$B22,N$1,$B$1)</f>
        <v>-0.27640789999999998</v>
      </c>
      <c r="O22" s="100">
        <f>_xll.EQNXTDZ($A$1,$B22,O$1,$B$1)</f>
        <v>3.4475E-3</v>
      </c>
      <c r="P22" s="100">
        <f>_xll.EQNXTDZ($A$1,$B22,P$1,$B$1)</f>
        <v>-0.19333939999999999</v>
      </c>
      <c r="Q22" s="100">
        <f>_xll.EQNXTDZ($A$1,$B22,Q$1,$B$1)</f>
        <v>-8.8880600000000004E-2</v>
      </c>
      <c r="R22" s="100">
        <f>_xll.EQNXTDZ($A$1,$B22,R$1,$B$1)</f>
        <v>-0.05</v>
      </c>
      <c r="S22" s="100">
        <f>_xll.EQNXTDZ($A$1,$B22,S$1,$B$1)</f>
        <v>-0.92300000000000204</v>
      </c>
      <c r="T22" s="100">
        <f>_xll.EQNXTDZ($A$1,$B22,T$1,$B$1)</f>
        <v>78.525999999999996</v>
      </c>
      <c r="U22" s="100">
        <f>_xll.EQNXTDZ($A$1,$B22,U$1,$B$1)</f>
        <v>97.878</v>
      </c>
      <c r="V22" s="100">
        <f>_xll.EQNXTDZ($A$1,$B22,V$1,$B$1)</f>
        <v>106.718</v>
      </c>
      <c r="W22" s="100">
        <f>_xll.EQNXTDZ($A$1,$B22,W$1,$B$1)</f>
        <v>69.583200000000005</v>
      </c>
      <c r="X22" s="100">
        <f>_xll.EQNXTDZ($A$1,$B22,X$1,$B$1)</f>
        <v>177.28569999999999</v>
      </c>
      <c r="Y22" s="100">
        <f>_xll.EQNXTDZ($A$1,$B22,Y$1,$B$1)</f>
        <v>238.65559999999999</v>
      </c>
      <c r="Z22" s="100">
        <f>_xll.EQNXTDZ($A$1,$B22,Z$1,$B$1)</f>
        <v>303.79039999999998</v>
      </c>
      <c r="AA22" s="100">
        <f>_xll.EQNXTDZ($A$1,$B22,AA$1,$B$1)</f>
        <v>400.27870000000001</v>
      </c>
      <c r="AB22" s="100">
        <f>_xll.EQNXTDZ($A$1,$B22,AB$1,$B$1)</f>
        <v>481.48809999999997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0.21435770000000001</v>
      </c>
      <c r="L23" s="100">
        <f>_xll.EQNXTDZ($A$1,$B23,L$1,$B$1)</f>
        <v>0.3460106</v>
      </c>
      <c r="M23" s="100">
        <f>_xll.EQNXTDZ($A$1,$B23,M$1,$B$1)</f>
        <v>0.3973158</v>
      </c>
      <c r="N23" s="100">
        <f>_xll.EQNXTDZ($A$1,$B23,N$1,$B$1)</f>
        <v>0.43659229999999999</v>
      </c>
      <c r="O23" s="100">
        <f>_xll.EQNXTDZ($A$1,$B23,O$1,$B$1)</f>
        <v>0.17733280000000001</v>
      </c>
      <c r="P23" s="100">
        <f>_xll.EQNXTDZ($A$1,$B23,P$1,$B$1)</f>
        <v>0.49412010000000001</v>
      </c>
      <c r="Q23" s="100">
        <f>_xll.EQNXTDZ($A$1,$B23,Q$1,$B$1)</f>
        <v>0.17809410000000001</v>
      </c>
      <c r="R23" s="100">
        <f>_xll.EQNXTDZ($A$1,$B23,R$1,$B$1)</f>
        <v>0.246</v>
      </c>
      <c r="S23" s="100">
        <f>_xll.EQNXTDZ($A$1,$B23,S$1,$B$1)</f>
        <v>1.5329999999999999</v>
      </c>
      <c r="T23" s="100">
        <f>_xll.EQNXTDZ($A$1,$B23,T$1,$B$1)</f>
        <v>2.6880000000000002</v>
      </c>
      <c r="U23" s="100">
        <f>_xll.EQNXTDZ($A$1,$B23,U$1,$B$1)</f>
        <v>7.6</v>
      </c>
      <c r="V23" s="100">
        <f>_xll.EQNXTDZ($A$1,$B23,V$1,$B$1)</f>
        <v>4.5869999999999997</v>
      </c>
      <c r="W23" s="100">
        <f>_xll.EQNXTDZ($A$1,$B23,W$1,$B$1)</f>
        <v>13.9183</v>
      </c>
      <c r="X23" s="100">
        <f>_xll.EQNXTDZ($A$1,$B23,X$1,$B$1)</f>
        <v>7.734</v>
      </c>
      <c r="Y23" s="100">
        <f>_xll.EQNXTDZ($A$1,$B23,Y$1,$B$1)</f>
        <v>10.2774</v>
      </c>
      <c r="Z23" s="100">
        <f>_xll.EQNXTDZ($A$1,$B23,Z$1,$B$1)</f>
        <v>27.643899999999999</v>
      </c>
      <c r="AA23" s="100">
        <f>_xll.EQNXTDZ($A$1,$B23,AA$1,$B$1)</f>
        <v>41.15</v>
      </c>
      <c r="AB23" s="100">
        <f>_xll.EQNXTDZ($A$1,$B23,AB$1,$B$1)</f>
        <v>104.2897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0.52967960000000003</v>
      </c>
      <c r="L24" s="100">
        <f>_xll.EQNXTDZ($A$1,$B24,L$1,$B$1)</f>
        <v>0.35316160000000002</v>
      </c>
      <c r="M24" s="100">
        <f>_xll.EQNXTDZ($A$1,$B24,M$1,$B$1)</f>
        <v>0.77235520000000002</v>
      </c>
      <c r="N24" s="100">
        <f>_xll.EQNXTDZ($A$1,$B24,N$1,$B$1)</f>
        <v>0.1601844</v>
      </c>
      <c r="O24" s="100">
        <f>_xll.EQNXTDZ($A$1,$B24,O$1,$B$1)</f>
        <v>0.1807803</v>
      </c>
      <c r="P24" s="100">
        <f>_xll.EQNXTDZ($A$1,$B24,P$1,$B$1)</f>
        <v>0.30078070000000001</v>
      </c>
      <c r="Q24" s="100">
        <f>_xll.EQNXTDZ($A$1,$B24,Q$1,$B$1)</f>
        <v>8.9213500000000001E-2</v>
      </c>
      <c r="R24" s="100">
        <f>_xll.EQNXTDZ($A$1,$B24,R$1,$B$1)</f>
        <v>0.19600000000000001</v>
      </c>
      <c r="S24" s="100">
        <f>_xll.EQNXTDZ($A$1,$B24,S$1,$B$1)</f>
        <v>0.61</v>
      </c>
      <c r="T24" s="100">
        <f>_xll.EQNXTDZ($A$1,$B24,T$1,$B$1)</f>
        <v>81.213999999999999</v>
      </c>
      <c r="U24" s="100">
        <f>_xll.EQNXTDZ($A$1,$B24,U$1,$B$1)</f>
        <v>105.47799999999999</v>
      </c>
      <c r="V24" s="100">
        <f>_xll.EQNXTDZ($A$1,$B24,V$1,$B$1)</f>
        <v>111.30500000000001</v>
      </c>
      <c r="W24" s="100">
        <f>_xll.EQNXTDZ($A$1,$B24,W$1,$B$1)</f>
        <v>83.501499999999993</v>
      </c>
      <c r="X24" s="100">
        <f>_xll.EQNXTDZ($A$1,$B24,X$1,$B$1)</f>
        <v>185.0197</v>
      </c>
      <c r="Y24" s="100">
        <f>_xll.EQNXTDZ($A$1,$B24,Y$1,$B$1)</f>
        <v>248.93299999999999</v>
      </c>
      <c r="Z24" s="100">
        <f>_xll.EQNXTDZ($A$1,$B24,Z$1,$B$1)</f>
        <v>331.43430000000001</v>
      </c>
      <c r="AA24" s="100">
        <f>_xll.EQNXTDZ($A$1,$B24,AA$1,$B$1)</f>
        <v>441.42869999999999</v>
      </c>
      <c r="AB24" s="100">
        <f>_xll.EQNXTDZ($A$1,$B24,AB$1,$B$1)</f>
        <v>585.77779999999996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3.5503000000000002E-3</v>
      </c>
      <c r="L25" s="100">
        <f>_xll.EQNXTDZ($A$1,$B25,L$1,$B$1)</f>
        <v>3.9439999999999999E-4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2.0000000000000001E-4</v>
      </c>
      <c r="Q25" s="100">
        <f>_xll.EQNXTDZ($A$1,$B25,Q$1,$B$1)</f>
        <v>0</v>
      </c>
      <c r="R25" s="100">
        <f>_xll.EQNXTDZ($A$1,$B25,R$1,$B$1)</f>
        <v>3.0000000000000001E-3</v>
      </c>
      <c r="S25" s="100">
        <f>_xll.EQNXTDZ($A$1,$B25,S$1,$B$1)</f>
        <v>0.11799999999999999</v>
      </c>
      <c r="T25" s="100">
        <f>_xll.EQNXTDZ($A$1,$B25,T$1,$B$1)</f>
        <v>8.7319999999999993</v>
      </c>
      <c r="U25" s="100">
        <f>_xll.EQNXTDZ($A$1,$B25,U$1,$B$1)</f>
        <v>6.11</v>
      </c>
      <c r="V25" s="100">
        <f>_xll.EQNXTDZ($A$1,$B25,V$1,$B$1)</f>
        <v>3.2959999999999998</v>
      </c>
      <c r="W25" s="100">
        <f>_xll.EQNXTDZ($A$1,$B25,W$1,$B$1)</f>
        <v>2.8898000000000001</v>
      </c>
      <c r="X25" s="100">
        <f>_xll.EQNXTDZ($A$1,$B25,X$1,$B$1)</f>
        <v>2.0186000000000002</v>
      </c>
      <c r="Y25" s="100">
        <f>_xll.EQNXTDZ($A$1,$B25,Y$1,$B$1)</f>
        <v>3.9342000000000001</v>
      </c>
      <c r="Z25" s="100">
        <f>_xll.EQNXTDZ($A$1,$B25,Z$1,$B$1)</f>
        <v>6.4669999999999996</v>
      </c>
      <c r="AA25" s="100">
        <f>_xll.EQNXTDZ($A$1,$B25,AA$1,$B$1)</f>
        <v>11.542299999999999</v>
      </c>
      <c r="AB25" s="100">
        <f>_xll.EQNXTDZ($A$1,$B25,AB$1,$B$1)</f>
        <v>15.7951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0.52612930000000002</v>
      </c>
      <c r="L26" s="100">
        <f>_xll.EQNXTDZ($A$1,$B26,L$1,$B$1)</f>
        <v>0.3527672</v>
      </c>
      <c r="M26" s="100">
        <f>_xll.EQNXTDZ($A$1,$B26,M$1,$B$1)</f>
        <v>0.77235520000000002</v>
      </c>
      <c r="N26" s="100">
        <f>_xll.EQNXTDZ($A$1,$B26,N$1,$B$1)</f>
        <v>0.1601844</v>
      </c>
      <c r="O26" s="100">
        <f>_xll.EQNXTDZ($A$1,$B26,O$1,$B$1)</f>
        <v>0.1807803</v>
      </c>
      <c r="P26" s="100">
        <f>_xll.EQNXTDZ($A$1,$B26,P$1,$B$1)</f>
        <v>0.30058069999999998</v>
      </c>
      <c r="Q26" s="100">
        <f>_xll.EQNXTDZ($A$1,$B26,Q$1,$B$1)</f>
        <v>8.9213500000000001E-2</v>
      </c>
      <c r="R26" s="100">
        <f>_xll.EQNXTDZ($A$1,$B26,R$1,$B$1)</f>
        <v>0.193</v>
      </c>
      <c r="S26" s="100">
        <f>_xll.EQNXTDZ($A$1,$B26,S$1,$B$1)</f>
        <v>0.49199999999999999</v>
      </c>
      <c r="T26" s="100">
        <f>_xll.EQNXTDZ($A$1,$B26,T$1,$B$1)</f>
        <v>72.481999999999999</v>
      </c>
      <c r="U26" s="100">
        <f>_xll.EQNXTDZ($A$1,$B26,U$1,$B$1)</f>
        <v>99.367999999999995</v>
      </c>
      <c r="V26" s="100">
        <f>_xll.EQNXTDZ($A$1,$B26,V$1,$B$1)</f>
        <v>108.009</v>
      </c>
      <c r="W26" s="100">
        <f>_xll.EQNXTDZ($A$1,$B26,W$1,$B$1)</f>
        <v>80.611699999999999</v>
      </c>
      <c r="X26" s="100">
        <f>_xll.EQNXTDZ($A$1,$B26,X$1,$B$1)</f>
        <v>183.00110000000001</v>
      </c>
      <c r="Y26" s="100">
        <f>_xll.EQNXTDZ($A$1,$B26,Y$1,$B$1)</f>
        <v>244.99879999999999</v>
      </c>
      <c r="Z26" s="100">
        <f>_xll.EQNXTDZ($A$1,$B26,Z$1,$B$1)</f>
        <v>324.96730000000002</v>
      </c>
      <c r="AA26" s="100">
        <f>_xll.EQNXTDZ($A$1,$B26,AA$1,$B$1)</f>
        <v>429.88639999999998</v>
      </c>
      <c r="AB26" s="100">
        <f>_xll.EQNXTDZ($A$1,$B26,AB$1,$B$1)</f>
        <v>569.98270000000002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7.2963999999999998E-3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1.034</v>
      </c>
      <c r="T27" s="100">
        <f>_xll.EQNXTDZ($A$1,$B27,T$1,$B$1)</f>
        <v>5.18</v>
      </c>
      <c r="U27" s="100">
        <f>_xll.EQNXTDZ($A$1,$B27,U$1,$B$1)</f>
        <v>16.268999999999998</v>
      </c>
      <c r="V27" s="100">
        <f>_xll.EQNXTDZ($A$1,$B27,V$1,$B$1)</f>
        <v>21.047999999999998</v>
      </c>
      <c r="W27" s="100">
        <f>_xll.EQNXTDZ($A$1,$B27,W$1,$B$1)</f>
        <v>17.728999999999999</v>
      </c>
      <c r="X27" s="100">
        <f>_xll.EQNXTDZ($A$1,$B27,X$1,$B$1)</f>
        <v>15.650700000000001</v>
      </c>
      <c r="Y27" s="100">
        <f>_xll.EQNXTDZ($A$1,$B27,Y$1,$B$1)</f>
        <v>16.612200000000001</v>
      </c>
      <c r="Z27" s="100">
        <f>_xll.EQNXTDZ($A$1,$B27,Z$1,$B$1)</f>
        <v>19.357500000000002</v>
      </c>
      <c r="AA27" s="100">
        <f>_xll.EQNXTDZ($A$1,$B27,AA$1,$B$1)</f>
        <v>25.450399999999998</v>
      </c>
      <c r="AB27" s="100">
        <f>_xll.EQNXTDZ($A$1,$B27,AB$1,$B$1)</f>
        <v>34.139299999999999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0.16028229999999999</v>
      </c>
      <c r="L30" s="100">
        <f>_xll.EQNXTDZ($A$1,$B30,L$1,$B$1)</f>
        <v>0.16299369999999999</v>
      </c>
      <c r="M30" s="100">
        <f>_xll.EQNXTDZ($A$1,$B30,M$1,$B$1)</f>
        <v>0.25146370000000001</v>
      </c>
      <c r="N30" s="100">
        <f>_xll.EQNXTDZ($A$1,$B30,N$1,$B$1)</f>
        <v>5.3042699999999998E-2</v>
      </c>
      <c r="O30" s="100">
        <f>_xll.EQNXTDZ($A$1,$B30,O$1,$B$1)</f>
        <v>3.8181E-2</v>
      </c>
      <c r="P30" s="100">
        <f>_xll.EQNXTDZ($A$1,$B30,P$1,$B$1)</f>
        <v>1.40234E-2</v>
      </c>
      <c r="Q30" s="100">
        <f>_xll.EQNXTDZ($A$1,$B30,Q$1,$B$1)</f>
        <v>0.1166055</v>
      </c>
      <c r="R30" s="100">
        <f>_xll.EQNXTDZ($A$1,$B30,R$1,$B$1)</f>
        <v>3.5999999999999997E-2</v>
      </c>
      <c r="S30" s="100">
        <f>_xll.EQNXTDZ($A$1,$B30,S$1,$B$1)</f>
        <v>-0.38200000000000001</v>
      </c>
      <c r="T30" s="100">
        <f>_xll.EQNXTDZ($A$1,$B30,T$1,$B$1)</f>
        <v>21.22</v>
      </c>
      <c r="U30" s="100">
        <f>_xll.EQNXTDZ($A$1,$B30,U$1,$B$1)</f>
        <v>24.666</v>
      </c>
      <c r="V30" s="100">
        <f>_xll.EQNXTDZ($A$1,$B30,V$1,$B$1)</f>
        <v>25.347000000000001</v>
      </c>
      <c r="W30" s="100">
        <f>_xll.EQNXTDZ($A$1,$B30,W$1,$B$1)</f>
        <v>18.258299999999998</v>
      </c>
      <c r="X30" s="100">
        <f>_xll.EQNXTDZ($A$1,$B30,X$1,$B$1)</f>
        <v>40.789700000000003</v>
      </c>
      <c r="Y30" s="100">
        <f>_xll.EQNXTDZ($A$1,$B30,Y$1,$B$1)</f>
        <v>59.785499999999999</v>
      </c>
      <c r="Z30" s="100">
        <f>_xll.EQNXTDZ($A$1,$B30,Z$1,$B$1)</f>
        <v>79.787499999999994</v>
      </c>
      <c r="AA30" s="100">
        <f>_xll.EQNXTDZ($A$1,$B30,AA$1,$B$1)</f>
        <v>103.92610000000001</v>
      </c>
      <c r="AB30" s="100">
        <f>_xll.EQNXTDZ($A$1,$B30,AB$1,$B$1)</f>
        <v>138.678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8.7999999999999995E-2</v>
      </c>
      <c r="T32" s="100">
        <f>_xll.EQNXTDZ($A$1,$B32,T$1,$B$1)</f>
        <v>0.17100000000000001</v>
      </c>
      <c r="U32" s="100">
        <f>_xll.EQNXTDZ($A$1,$B32,U$1,$B$1)</f>
        <v>0.77300000000000002</v>
      </c>
      <c r="V32" s="100">
        <f>_xll.EQNXTDZ($A$1,$B32,V$1,$B$1)</f>
        <v>-0.23100000000000001</v>
      </c>
      <c r="W32" s="100">
        <f>_xll.EQNXTDZ($A$1,$B32,W$1,$B$1)</f>
        <v>-1.06E-2</v>
      </c>
      <c r="X32" s="100">
        <f>_xll.EQNXTDZ($A$1,$B32,X$1,$B$1)</f>
        <v>-7.2300000000000003E-2</v>
      </c>
      <c r="Y32" s="100">
        <f>_xll.EQNXTDZ($A$1,$B32,Y$1,$B$1)</f>
        <v>-0.19470000000000001</v>
      </c>
      <c r="Z32" s="100">
        <f>_xll.EQNXTDZ($A$1,$B32,Z$1,$B$1)</f>
        <v>-0.84789999999999999</v>
      </c>
      <c r="AA32" s="100">
        <f>_xll.EQNXTDZ($A$1,$B32,AA$1,$B$1)</f>
        <v>-0.96379999999999999</v>
      </c>
      <c r="AB32" s="100">
        <f>_xll.EQNXTDZ($A$1,$B32,AB$1,$B$1)</f>
        <v>-1.5289999999999999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-7.4899999999999994E-2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0.3585506</v>
      </c>
      <c r="L35" s="100">
        <f>_xll.EQNXTDZ($A$1,$B35,L$1,$B$1)</f>
        <v>0.18977350000000001</v>
      </c>
      <c r="M35" s="100">
        <f>_xll.EQNXTDZ($A$1,$B35,M$1,$B$1)</f>
        <v>0.52089149999999995</v>
      </c>
      <c r="N35" s="100">
        <f>_xll.EQNXTDZ($A$1,$B35,N$1,$B$1)</f>
        <v>0.10714170000000001</v>
      </c>
      <c r="O35" s="100">
        <f>_xll.EQNXTDZ($A$1,$B35,O$1,$B$1)</f>
        <v>0.14259930000000001</v>
      </c>
      <c r="P35" s="100">
        <f>_xll.EQNXTDZ($A$1,$B35,P$1,$B$1)</f>
        <v>0.28655730000000001</v>
      </c>
      <c r="Q35" s="100">
        <f>_xll.EQNXTDZ($A$1,$B35,Q$1,$B$1)</f>
        <v>-2.7392E-2</v>
      </c>
      <c r="R35" s="100">
        <f>_xll.EQNXTDZ($A$1,$B35,R$1,$B$1)</f>
        <v>0.157</v>
      </c>
      <c r="S35" s="100">
        <f>_xll.EQNXTDZ($A$1,$B35,S$1,$B$1)</f>
        <v>-7.1999999999999995E-2</v>
      </c>
      <c r="T35" s="100">
        <f>_xll.EQNXTDZ($A$1,$B35,T$1,$B$1)</f>
        <v>46.253</v>
      </c>
      <c r="U35" s="100">
        <f>_xll.EQNXTDZ($A$1,$B35,U$1,$B$1)</f>
        <v>59.206000000000003</v>
      </c>
      <c r="V35" s="100">
        <f>_xll.EQNXTDZ($A$1,$B35,V$1,$B$1)</f>
        <v>61.383000000000003</v>
      </c>
      <c r="W35" s="100">
        <f>_xll.EQNXTDZ($A$1,$B35,W$1,$B$1)</f>
        <v>44.538899999999998</v>
      </c>
      <c r="X35" s="100">
        <f>_xll.EQNXTDZ($A$1,$B35,X$1,$B$1)</f>
        <v>126.72629999999999</v>
      </c>
      <c r="Y35" s="100">
        <f>_xll.EQNXTDZ($A$1,$B35,Y$1,$B$1)</f>
        <v>168.40639999999999</v>
      </c>
      <c r="Z35" s="100">
        <f>_xll.EQNXTDZ($A$1,$B35,Z$1,$B$1)</f>
        <v>224.9744</v>
      </c>
      <c r="AA35" s="100">
        <f>_xll.EQNXTDZ($A$1,$B35,AA$1,$B$1)</f>
        <v>299.82530000000003</v>
      </c>
      <c r="AB35" s="100">
        <f>_xll.EQNXTDZ($A$1,$B35,AB$1,$B$1)</f>
        <v>395.91149999999999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0.2379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0.2792</v>
      </c>
      <c r="AB36" s="100">
        <f>_xll.EQNXTDZ($A$1,$B36,AB$1,$B$1)</f>
        <v>0.27510000000000001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0.19470199999999999</v>
      </c>
      <c r="L41" s="55">
        <f>_xll.EQNXTDZ($A$1,$B41,L$1,$B$1)</f>
        <v>0.19470199999999999</v>
      </c>
      <c r="M41" s="55">
        <f>_xll.EQNXTDZ($A$1,$B41,M$1,$B$1)</f>
        <v>0.19470199999999999</v>
      </c>
      <c r="N41" s="55">
        <f>_xll.EQNXTDZ($A$1,$B41,N$1,$B$1)</f>
        <v>0.19470199999999999</v>
      </c>
      <c r="O41" s="55">
        <f>_xll.EQNXTDZ($A$1,$B41,O$1,$B$1)</f>
        <v>0.19470199999999999</v>
      </c>
      <c r="P41" s="55">
        <f>_xll.EQNXTDZ($A$1,$B41,P$1,$B$1)</f>
        <v>0.19470199999999999</v>
      </c>
      <c r="Q41" s="55">
        <f>_xll.EQNXTDZ($A$1,$B41,Q$1,$B$1)</f>
        <v>0.19470199999999999</v>
      </c>
      <c r="R41" s="55">
        <f>_xll.EQNXTDZ($A$1,$B41,R$1,$B$1)</f>
        <v>0.19500000000000001</v>
      </c>
      <c r="S41" s="55">
        <f>_xll.EQNXTDZ($A$1,$B41,S$1,$B$1)</f>
        <v>13.05</v>
      </c>
      <c r="T41" s="55">
        <f>_xll.EQNXTDZ($A$1,$B41,T$1,$B$1)</f>
        <v>13.443</v>
      </c>
      <c r="U41" s="55">
        <f>_xll.EQNXTDZ($A$1,$B41,U$1,$B$1)</f>
        <v>13.454000000000001</v>
      </c>
      <c r="V41" s="55">
        <f>_xll.EQNXTDZ($A$1,$B41,V$1,$B$1)</f>
        <v>13.513999999999999</v>
      </c>
      <c r="W41" s="55">
        <f>_xll.EQNXTDZ($A$1,$B41,W$1,$B$1)</f>
        <v>13.7568</v>
      </c>
      <c r="X41" s="55">
        <f>_xll.EQNXTDZ($A$1,$B41,X$1,$B$1)</f>
        <v>20.8081</v>
      </c>
      <c r="Y41" s="55">
        <f>_xll.EQNXTDZ($A$1,$B41,Y$1,$B$1)</f>
        <v>20.844100000000001</v>
      </c>
      <c r="Z41" s="55">
        <f>_xll.EQNXTDZ($A$1,$B41,Z$1,$B$1)</f>
        <v>20.914100000000001</v>
      </c>
      <c r="AA41" s="55">
        <f>_xll.EQNXTDZ($A$1,$B41,AA$1,$B$1)</f>
        <v>41.510300000000001</v>
      </c>
      <c r="AB41" s="55">
        <f>_xll.EQNXTDZ($A$1,$B41,AB$1,$B$1)</f>
        <v>41.510300000000001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4.0000000000000001E-3</v>
      </c>
      <c r="T42" s="55">
        <f>_xll.EQNXTDZ($A$1,$B42,T$1,$B$1)</f>
        <v>7.0000000000000001E-3</v>
      </c>
      <c r="U42" s="55">
        <f>_xll.EQNXTDZ($A$1,$B42,U$1,$B$1)</f>
        <v>2.5000000000000001E-2</v>
      </c>
      <c r="V42" s="55">
        <f>_xll.EQNXTDZ($A$1,$B42,V$1,$B$1)</f>
        <v>3.4000000000000002E-2</v>
      </c>
      <c r="W42" s="55">
        <f>_xll.EQNXTDZ($A$1,$B42,W$1,$B$1)</f>
        <v>4.3925000000000001</v>
      </c>
      <c r="X42" s="55">
        <f>_xll.EQNXTDZ($A$1,$B42,X$1,$B$1)</f>
        <v>5.1821000000000002</v>
      </c>
      <c r="Y42" s="55">
        <f>_xll.EQNXTDZ($A$1,$B42,Y$1,$B$1)</f>
        <v>5.1357999999999997</v>
      </c>
      <c r="Z42" s="55">
        <f>_xll.EQNXTDZ($A$1,$B42,Z$1,$B$1)</f>
        <v>2.1581000000000001</v>
      </c>
      <c r="AA42" s="55">
        <f>_xll.EQNXTDZ($A$1,$B42,AA$1,$B$1)</f>
        <v>0</v>
      </c>
      <c r="AB42" s="55">
        <f>_xll.EQNXTDZ($A$1,$B42,AB$1,$B$1)</f>
        <v>39.337899999999998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4.9032236999999999</v>
      </c>
      <c r="L43" s="55">
        <f>_xll.EQNXTDZ($A$1,$B43,L$1,$B$1)</f>
        <v>5.0923401999999998</v>
      </c>
      <c r="M43" s="55">
        <f>_xll.EQNXTDZ($A$1,$B43,M$1,$B$1)</f>
        <v>5.6132317</v>
      </c>
      <c r="N43" s="55">
        <f>_xll.EQNXTDZ($A$1,$B43,N$1,$B$1)</f>
        <v>5.7203733000000003</v>
      </c>
      <c r="O43" s="55">
        <f>_xll.EQNXTDZ($A$1,$B43,O$1,$B$1)</f>
        <v>5.8629726</v>
      </c>
      <c r="P43" s="55">
        <f>_xll.EQNXTDZ($A$1,$B43,P$1,$B$1)</f>
        <v>6.1495299000000001</v>
      </c>
      <c r="Q43" s="55">
        <f>_xll.EQNXTDZ($A$1,$B43,Q$1,$B$1)</f>
        <v>6.1221379999999996</v>
      </c>
      <c r="R43" s="55">
        <f>_xll.EQNXTDZ($A$1,$B43,R$1,$B$1)</f>
        <v>6.2409999999999997</v>
      </c>
      <c r="S43" s="55">
        <f>_xll.EQNXTDZ($A$1,$B43,S$1,$B$1)</f>
        <v>-4.1000000000000002E-2</v>
      </c>
      <c r="T43" s="55">
        <f>_xll.EQNXTDZ($A$1,$B43,T$1,$B$1)</f>
        <v>64.915000000000006</v>
      </c>
      <c r="U43" s="55">
        <f>_xll.EQNXTDZ($A$1,$B43,U$1,$B$1)</f>
        <v>110.45699999999999</v>
      </c>
      <c r="V43" s="55">
        <f>_xll.EQNXTDZ($A$1,$B43,V$1,$B$1)</f>
        <v>171.97499999999999</v>
      </c>
      <c r="W43" s="55">
        <f>_xll.EQNXTDZ($A$1,$B43,W$1,$B$1)</f>
        <v>223.42509999999999</v>
      </c>
      <c r="X43" s="55">
        <f>_xll.EQNXTDZ($A$1,$B43,X$1,$B$1)</f>
        <v>317.67660000000001</v>
      </c>
      <c r="Y43" s="55">
        <f>_xll.EQNXTDZ($A$1,$B43,Y$1,$B$1)</f>
        <v>442.25209999999998</v>
      </c>
      <c r="Z43" s="55">
        <f>_xll.EQNXTDZ($A$1,$B43,Z$1,$B$1)</f>
        <v>625.78189999999995</v>
      </c>
      <c r="AA43" s="55">
        <f>_xll.EQNXTDZ($A$1,$B43,AA$1,$B$1)</f>
        <v>632.46479999999997</v>
      </c>
      <c r="AB43" s="55">
        <f>_xll.EQNXTDZ($A$1,$B43,AB$1,$B$1)</f>
        <v>917.30600000000004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5.0979257000000002</v>
      </c>
      <c r="L44" s="55">
        <f>_xll.EQNXTDZ($A$1,$B44,L$1,$B$1)</f>
        <v>5.2870422000000001</v>
      </c>
      <c r="M44" s="55">
        <f>_xll.EQNXTDZ($A$1,$B44,M$1,$B$1)</f>
        <v>5.8079337000000004</v>
      </c>
      <c r="N44" s="55">
        <f>_xll.EQNXTDZ($A$1,$B44,N$1,$B$1)</f>
        <v>5.9150752999999998</v>
      </c>
      <c r="O44" s="55">
        <f>_xll.EQNXTDZ($A$1,$B44,O$1,$B$1)</f>
        <v>6.0576746000000004</v>
      </c>
      <c r="P44" s="55">
        <f>_xll.EQNXTDZ($A$1,$B44,P$1,$B$1)</f>
        <v>6.3442318999999996</v>
      </c>
      <c r="Q44" s="55">
        <f>_xll.EQNXTDZ($A$1,$B44,Q$1,$B$1)</f>
        <v>6.31684</v>
      </c>
      <c r="R44" s="55">
        <f>_xll.EQNXTDZ($A$1,$B44,R$1,$B$1)</f>
        <v>6.4359999999999999</v>
      </c>
      <c r="S44" s="55">
        <f>_xll.EQNXTDZ($A$1,$B44,S$1,$B$1)</f>
        <v>13.013</v>
      </c>
      <c r="T44" s="55">
        <f>_xll.EQNXTDZ($A$1,$B44,T$1,$B$1)</f>
        <v>78.364999999999995</v>
      </c>
      <c r="U44" s="55">
        <f>_xll.EQNXTDZ($A$1,$B44,U$1,$B$1)</f>
        <v>123.93600000000001</v>
      </c>
      <c r="V44" s="55">
        <f>_xll.EQNXTDZ($A$1,$B44,V$1,$B$1)</f>
        <v>185.523</v>
      </c>
      <c r="W44" s="55">
        <f>_xll.EQNXTDZ($A$1,$B44,W$1,$B$1)</f>
        <v>241.5744</v>
      </c>
      <c r="X44" s="55">
        <f>_xll.EQNXTDZ($A$1,$B44,X$1,$B$1)</f>
        <v>343.66680000000002</v>
      </c>
      <c r="Y44" s="55">
        <f>_xll.EQNXTDZ($A$1,$B44,Y$1,$B$1)</f>
        <v>468.23200000000003</v>
      </c>
      <c r="Z44" s="55">
        <f>_xll.EQNXTDZ($A$1,$B44,Z$1,$B$1)</f>
        <v>648.85410000000002</v>
      </c>
      <c r="AA44" s="55">
        <f>_xll.EQNXTDZ($A$1,$B44,AA$1,$B$1)</f>
        <v>673.9751</v>
      </c>
      <c r="AB44" s="55">
        <f>_xll.EQNXTDZ($A$1,$B44,AB$1,$B$1)</f>
        <v>998.15419999999995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0.38500000000000001</v>
      </c>
      <c r="T45" s="55">
        <f>_xll.EQNXTDZ($A$1,$B45,T$1,$B$1)</f>
        <v>-0.20200000000000001</v>
      </c>
      <c r="U45" s="55">
        <f>_xll.EQNXTDZ($A$1,$B45,U$1,$B$1)</f>
        <v>12.538</v>
      </c>
      <c r="V45" s="55">
        <f>_xll.EQNXTDZ($A$1,$B45,V$1,$B$1)</f>
        <v>11.585000000000001</v>
      </c>
      <c r="W45" s="55">
        <f>_xll.EQNXTDZ($A$1,$B45,W$1,$B$1)</f>
        <v>11.600300000000001</v>
      </c>
      <c r="X45" s="55">
        <f>_xll.EQNXTDZ($A$1,$B45,X$1,$B$1)</f>
        <v>11.6693</v>
      </c>
      <c r="Y45" s="55">
        <f>_xll.EQNXTDZ($A$1,$B45,Y$1,$B$1)</f>
        <v>11.861499999999999</v>
      </c>
      <c r="Z45" s="55">
        <f>_xll.EQNXTDZ($A$1,$B45,Z$1,$B$1)</f>
        <v>12.7003</v>
      </c>
      <c r="AA45" s="55">
        <f>_xll.EQNXTDZ($A$1,$B45,AA$1,$B$1)</f>
        <v>13.6561</v>
      </c>
      <c r="AB45" s="55">
        <f>_xll.EQNXTDZ($A$1,$B45,AB$1,$B$1)</f>
        <v>13.701000000000001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0.13500000000000001</v>
      </c>
      <c r="T47" s="55">
        <f>_xll.EQNXTDZ($A$1,$B47,T$1,$B$1)</f>
        <v>0.497</v>
      </c>
      <c r="U47" s="55">
        <f>_xll.EQNXTDZ($A$1,$B47,U$1,$B$1)</f>
        <v>0.36799999999999999</v>
      </c>
      <c r="V47" s="55">
        <f>_xll.EQNXTDZ($A$1,$B47,V$1,$B$1)</f>
        <v>33.36</v>
      </c>
      <c r="W47" s="55">
        <f>_xll.EQNXTDZ($A$1,$B47,W$1,$B$1)</f>
        <v>24.963699999999999</v>
      </c>
      <c r="X47" s="55">
        <f>_xll.EQNXTDZ($A$1,$B47,X$1,$B$1)</f>
        <v>16.606999999999999</v>
      </c>
      <c r="Y47" s="55">
        <f>_xll.EQNXTDZ($A$1,$B47,Y$1,$B$1)</f>
        <v>8.4853000000000005</v>
      </c>
      <c r="Z47" s="55">
        <f>_xll.EQNXTDZ($A$1,$B47,Z$1,$B$1)</f>
        <v>0.12740000000000001</v>
      </c>
      <c r="AA47" s="55">
        <f>_xll.EQNXTDZ($A$1,$B47,AA$1,$B$1)</f>
        <v>18.037299999999998</v>
      </c>
      <c r="AB47" s="55">
        <f>_xll.EQNXTDZ($A$1,$B47,AB$1,$B$1)</f>
        <v>13.0786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-0.1157439</v>
      </c>
      <c r="L49" s="55">
        <f>_xll.EQNXTDZ($A$1,$B49,L$1,$B$1)</f>
        <v>-0.1157439</v>
      </c>
      <c r="M49" s="55">
        <f>_xll.EQNXTDZ($A$1,$B49,M$1,$B$1)</f>
        <v>-0.1052217</v>
      </c>
      <c r="N49" s="55">
        <f>_xll.EQNXTDZ($A$1,$B49,N$1,$B$1)</f>
        <v>-0.1052217</v>
      </c>
      <c r="O49" s="55">
        <f>_xll.EQNXTDZ($A$1,$B49,O$1,$B$1)</f>
        <v>-0.1052217</v>
      </c>
      <c r="P49" s="55">
        <f>_xll.EQNXTDZ($A$1,$B49,P$1,$B$1)</f>
        <v>-9.8774299999999995E-2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-0.39200000000000002</v>
      </c>
      <c r="T49" s="55">
        <f>_xll.EQNXTDZ($A$1,$B49,T$1,$B$1)</f>
        <v>7.6230000000000002</v>
      </c>
      <c r="U49" s="55">
        <f>_xll.EQNXTDZ($A$1,$B49,U$1,$B$1)</f>
        <v>-4.6479999999999997</v>
      </c>
      <c r="V49" s="55">
        <f>_xll.EQNXTDZ($A$1,$B49,V$1,$B$1)</f>
        <v>-5.1150000000000002</v>
      </c>
      <c r="W49" s="55">
        <f>_xll.EQNXTDZ($A$1,$B49,W$1,$B$1)</f>
        <v>-4.1520000000000001</v>
      </c>
      <c r="X49" s="55">
        <f>_xll.EQNXTDZ($A$1,$B49,X$1,$B$1)</f>
        <v>-3.8069999999999999</v>
      </c>
      <c r="Y49" s="55">
        <f>_xll.EQNXTDZ($A$1,$B49,Y$1,$B$1)</f>
        <v>-0.47560000000000002</v>
      </c>
      <c r="Z49" s="55">
        <f>_xll.EQNXTDZ($A$1,$B49,Z$1,$B$1)</f>
        <v>3.1036000000000001</v>
      </c>
      <c r="AA49" s="55">
        <f>_xll.EQNXTDZ($A$1,$B49,AA$1,$B$1)</f>
        <v>5.9592999999999998</v>
      </c>
      <c r="AB49" s="55">
        <f>_xll.EQNXTDZ($A$1,$B49,AB$1,$B$1)</f>
        <v>21.018999999999998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22.692</v>
      </c>
      <c r="V50" s="55">
        <f>_xll.EQNXTDZ($A$1,$B50,V$1,$B$1)</f>
        <v>16.506</v>
      </c>
      <c r="W50" s="55">
        <f>_xll.EQNXTDZ($A$1,$B50,W$1,$B$1)</f>
        <v>6.3737000000000004</v>
      </c>
      <c r="X50" s="55">
        <f>_xll.EQNXTDZ($A$1,$B50,X$1,$B$1)</f>
        <v>8.5399999999999991</v>
      </c>
      <c r="Y50" s="55">
        <f>_xll.EQNXTDZ($A$1,$B50,Y$1,$B$1)</f>
        <v>14.168200000000001</v>
      </c>
      <c r="Z50" s="55">
        <f>_xll.EQNXTDZ($A$1,$B50,Z$1,$B$1)</f>
        <v>34.686199999999999</v>
      </c>
      <c r="AA50" s="55">
        <f>_xll.EQNXTDZ($A$1,$B50,AA$1,$B$1)</f>
        <v>45.459699999999998</v>
      </c>
      <c r="AB50" s="55">
        <f>_xll.EQNXTDZ($A$1,$B50,AB$1,$B$1)</f>
        <v>52.640700000000002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0.33800000000000002</v>
      </c>
      <c r="T52" s="55">
        <f>_xll.EQNXTDZ($A$1,$B52,T$1,$B$1)</f>
        <v>8.8999999999999996E-2</v>
      </c>
      <c r="U52" s="55">
        <f>_xll.EQNXTDZ($A$1,$B52,U$1,$B$1)</f>
        <v>50.841999999999999</v>
      </c>
      <c r="V52" s="55">
        <f>_xll.EQNXTDZ($A$1,$B52,V$1,$B$1)</f>
        <v>62.378</v>
      </c>
      <c r="W52" s="55">
        <f>_xll.EQNXTDZ($A$1,$B52,W$1,$B$1)</f>
        <v>1.1640999999999999</v>
      </c>
      <c r="X52" s="55">
        <f>_xll.EQNXTDZ($A$1,$B52,X$1,$B$1)</f>
        <v>2.1255000000000002</v>
      </c>
      <c r="Y52" s="55">
        <f>_xll.EQNXTDZ($A$1,$B52,Y$1,$B$1)</f>
        <v>3.8855</v>
      </c>
      <c r="Z52" s="55">
        <f>_xll.EQNXTDZ($A$1,$B52,Z$1,$B$1)</f>
        <v>3.5733999999999999</v>
      </c>
      <c r="AA52" s="55">
        <f>_xll.EQNXTDZ($A$1,$B52,AA$1,$B$1)</f>
        <v>8.2765000000000004</v>
      </c>
      <c r="AB52" s="55">
        <f>_xll.EQNXTDZ($A$1,$B52,AB$1,$B$1)</f>
        <v>4.0355999999999996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-0.1157439</v>
      </c>
      <c r="L53" s="55">
        <f>_xll.EQNXTDZ($A$1,$B53,L$1,$B$1)</f>
        <v>-0.1157439</v>
      </c>
      <c r="M53" s="55">
        <f>_xll.EQNXTDZ($A$1,$B53,M$1,$B$1)</f>
        <v>-0.1052217</v>
      </c>
      <c r="N53" s="55">
        <f>_xll.EQNXTDZ($A$1,$B53,N$1,$B$1)</f>
        <v>-0.1052217</v>
      </c>
      <c r="O53" s="55">
        <f>_xll.EQNXTDZ($A$1,$B53,O$1,$B$1)</f>
        <v>-0.1052217</v>
      </c>
      <c r="P53" s="55">
        <f>_xll.EQNXTDZ($A$1,$B53,P$1,$B$1)</f>
        <v>-9.8774299999999995E-2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8.1000000000000003E-2</v>
      </c>
      <c r="T53" s="55">
        <f>_xll.EQNXTDZ($A$1,$B53,T$1,$B$1)</f>
        <v>8.2089999999999996</v>
      </c>
      <c r="U53" s="55">
        <f>_xll.EQNXTDZ($A$1,$B53,U$1,$B$1)</f>
        <v>69.254000000000005</v>
      </c>
      <c r="V53" s="55">
        <f>_xll.EQNXTDZ($A$1,$B53,V$1,$B$1)</f>
        <v>107.129</v>
      </c>
      <c r="W53" s="55">
        <f>_xll.EQNXTDZ($A$1,$B53,W$1,$B$1)</f>
        <v>28.349499999999999</v>
      </c>
      <c r="X53" s="55">
        <f>_xll.EQNXTDZ($A$1,$B53,X$1,$B$1)</f>
        <v>23.465499999999999</v>
      </c>
      <c r="Y53" s="55">
        <f>_xll.EQNXTDZ($A$1,$B53,Y$1,$B$1)</f>
        <v>26.063400000000001</v>
      </c>
      <c r="Z53" s="55">
        <f>_xll.EQNXTDZ($A$1,$B53,Z$1,$B$1)</f>
        <v>41.490600000000001</v>
      </c>
      <c r="AA53" s="55">
        <f>_xll.EQNXTDZ($A$1,$B53,AA$1,$B$1)</f>
        <v>77.732799999999997</v>
      </c>
      <c r="AB53" s="55">
        <f>_xll.EQNXTDZ($A$1,$B53,AB$1,$B$1)</f>
        <v>90.773899999999998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0.34024490000000002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4.0659999999999998</v>
      </c>
      <c r="T54" s="55">
        <f>_xll.EQNXTDZ($A$1,$B54,T$1,$B$1)</f>
        <v>5.3840000000000003</v>
      </c>
      <c r="U54" s="55">
        <f>_xll.EQNXTDZ($A$1,$B54,U$1,$B$1)</f>
        <v>0.16200000000000001</v>
      </c>
      <c r="V54" s="55">
        <f>_xll.EQNXTDZ($A$1,$B54,V$1,$B$1)</f>
        <v>1.66</v>
      </c>
      <c r="W54" s="55">
        <f>_xll.EQNXTDZ($A$1,$B54,W$1,$B$1)</f>
        <v>0.20230000000000001</v>
      </c>
      <c r="X54" s="55">
        <f>_xll.EQNXTDZ($A$1,$B54,X$1,$B$1)</f>
        <v>0</v>
      </c>
      <c r="Y54" s="55">
        <f>_xll.EQNXTDZ($A$1,$B54,Y$1,$B$1)</f>
        <v>0.31490000000000001</v>
      </c>
      <c r="Z54" s="55">
        <f>_xll.EQNXTDZ($A$1,$B54,Z$1,$B$1)</f>
        <v>2.06E-2</v>
      </c>
      <c r="AA54" s="55">
        <f>_xll.EQNXTDZ($A$1,$B54,AA$1,$B$1)</f>
        <v>6.7000000000000004E-2</v>
      </c>
      <c r="AB54" s="55">
        <f>_xll.EQNXTDZ($A$1,$B54,AB$1,$B$1)</f>
        <v>0.14000000000000001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2.0063500000000001E-2</v>
      </c>
      <c r="L55" s="55">
        <f>_xll.EQNXTDZ($A$1,$B55,L$1,$B$1)</f>
        <v>2.84692E-2</v>
      </c>
      <c r="M55" s="55">
        <f>_xll.EQNXTDZ($A$1,$B55,M$1,$B$1)</f>
        <v>1.4224000000000001E-2</v>
      </c>
      <c r="N55" s="55">
        <f>_xll.EQNXTDZ($A$1,$B55,N$1,$B$1)</f>
        <v>1.0763699999999999E-2</v>
      </c>
      <c r="O55" s="55">
        <f>_xll.EQNXTDZ($A$1,$B55,O$1,$B$1)</f>
        <v>1.2940999999999999E-2</v>
      </c>
      <c r="P55" s="55">
        <f>_xll.EQNXTDZ($A$1,$B55,P$1,$B$1)</f>
        <v>5.7894000000000001E-3</v>
      </c>
      <c r="Q55" s="55">
        <f>_xll.EQNXTDZ($A$1,$B55,Q$1,$B$1)</f>
        <v>1.3024E-3</v>
      </c>
      <c r="R55" s="55">
        <f>_xll.EQNXTDZ($A$1,$B55,R$1,$B$1)</f>
        <v>1.4E-2</v>
      </c>
      <c r="S55" s="55">
        <f>_xll.EQNXTDZ($A$1,$B55,S$1,$B$1)</f>
        <v>4.74</v>
      </c>
      <c r="T55" s="55">
        <f>_xll.EQNXTDZ($A$1,$B55,T$1,$B$1)</f>
        <v>45.719000000000001</v>
      </c>
      <c r="U55" s="55">
        <f>_xll.EQNXTDZ($A$1,$B55,U$1,$B$1)</f>
        <v>36.892000000000003</v>
      </c>
      <c r="V55" s="55">
        <f>_xll.EQNXTDZ($A$1,$B55,V$1,$B$1)</f>
        <v>118.557</v>
      </c>
      <c r="W55" s="55">
        <f>_xll.EQNXTDZ($A$1,$B55,W$1,$B$1)</f>
        <v>34.101599999999998</v>
      </c>
      <c r="X55" s="55">
        <f>_xll.EQNXTDZ($A$1,$B55,X$1,$B$1)</f>
        <v>43.929900000000004</v>
      </c>
      <c r="Y55" s="55">
        <f>_xll.EQNXTDZ($A$1,$B55,Y$1,$B$1)</f>
        <v>36.8934</v>
      </c>
      <c r="Z55" s="55">
        <f>_xll.EQNXTDZ($A$1,$B55,Z$1,$B$1)</f>
        <v>67.531599999999997</v>
      </c>
      <c r="AA55" s="55">
        <f>_xll.EQNXTDZ($A$1,$B55,AA$1,$B$1)</f>
        <v>39.668500000000002</v>
      </c>
      <c r="AB55" s="55">
        <f>_xll.EQNXTDZ($A$1,$B55,AB$1,$B$1)</f>
        <v>58.8142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25.116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7.6205999999999999E-3</v>
      </c>
      <c r="N57" s="55">
        <f>_xll.EQNXTDZ($A$1,$B57,N$1,$B$1)</f>
        <v>4.5792000000000003E-3</v>
      </c>
      <c r="O57" s="55">
        <f>_xll.EQNXTDZ($A$1,$B57,O$1,$B$1)</f>
        <v>1.0551899999999999E-2</v>
      </c>
      <c r="P57" s="55">
        <f>_xll.EQNXTDZ($A$1,$B57,P$1,$B$1)</f>
        <v>6.2110000000000004E-3</v>
      </c>
      <c r="Q57" s="55">
        <f>_xll.EQNXTDZ($A$1,$B57,Q$1,$B$1)</f>
        <v>6.3800999999999997E-3</v>
      </c>
      <c r="R57" s="55">
        <f>_xll.EQNXTDZ($A$1,$B57,R$1,$B$1)</f>
        <v>0.47499999999999998</v>
      </c>
      <c r="S57" s="55">
        <f>_xll.EQNXTDZ($A$1,$B57,S$1,$B$1)</f>
        <v>7.55</v>
      </c>
      <c r="T57" s="55">
        <f>_xll.EQNXTDZ($A$1,$B57,T$1,$B$1)</f>
        <v>25.515999999999998</v>
      </c>
      <c r="U57" s="55">
        <f>_xll.EQNXTDZ($A$1,$B57,U$1,$B$1)</f>
        <v>33.142000000000003</v>
      </c>
      <c r="V57" s="55">
        <f>_xll.EQNXTDZ($A$1,$B57,V$1,$B$1)</f>
        <v>39.710999999999999</v>
      </c>
      <c r="W57" s="55">
        <f>_xll.EQNXTDZ($A$1,$B57,W$1,$B$1)</f>
        <v>19.767900000000001</v>
      </c>
      <c r="X57" s="55">
        <f>_xll.EQNXTDZ($A$1,$B57,X$1,$B$1)</f>
        <v>53.621400000000001</v>
      </c>
      <c r="Y57" s="55">
        <f>_xll.EQNXTDZ($A$1,$B57,Y$1,$B$1)</f>
        <v>80.277900000000002</v>
      </c>
      <c r="Z57" s="55">
        <f>_xll.EQNXTDZ($A$1,$B57,Z$1,$B$1)</f>
        <v>109.13800000000001</v>
      </c>
      <c r="AA57" s="55">
        <f>_xll.EQNXTDZ($A$1,$B57,AA$1,$B$1)</f>
        <v>156.25550000000001</v>
      </c>
      <c r="AB57" s="55">
        <f>_xll.EQNXTDZ($A$1,$B57,AB$1,$B$1)</f>
        <v>167.1841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2.0063500000000001E-2</v>
      </c>
      <c r="L59" s="55">
        <f>_xll.EQNXTDZ($A$1,$B59,L$1,$B$1)</f>
        <v>2.84692E-2</v>
      </c>
      <c r="M59" s="55">
        <f>_xll.EQNXTDZ($A$1,$B59,M$1,$B$1)</f>
        <v>0.36208950000000001</v>
      </c>
      <c r="N59" s="55">
        <f>_xll.EQNXTDZ($A$1,$B59,N$1,$B$1)</f>
        <v>1.53429E-2</v>
      </c>
      <c r="O59" s="55">
        <f>_xll.EQNXTDZ($A$1,$B59,O$1,$B$1)</f>
        <v>2.3492900000000001E-2</v>
      </c>
      <c r="P59" s="55">
        <f>_xll.EQNXTDZ($A$1,$B59,P$1,$B$1)</f>
        <v>1.20004E-2</v>
      </c>
      <c r="Q59" s="55">
        <f>_xll.EQNXTDZ($A$1,$B59,Q$1,$B$1)</f>
        <v>7.6825000000000001E-3</v>
      </c>
      <c r="R59" s="55">
        <f>_xll.EQNXTDZ($A$1,$B59,R$1,$B$1)</f>
        <v>0.48899999999999999</v>
      </c>
      <c r="S59" s="55">
        <f>_xll.EQNXTDZ($A$1,$B59,S$1,$B$1)</f>
        <v>41.472000000000001</v>
      </c>
      <c r="T59" s="55">
        <f>_xll.EQNXTDZ($A$1,$B59,T$1,$B$1)</f>
        <v>76.619</v>
      </c>
      <c r="U59" s="55">
        <f>_xll.EQNXTDZ($A$1,$B59,U$1,$B$1)</f>
        <v>70.195999999999998</v>
      </c>
      <c r="V59" s="55">
        <f>_xll.EQNXTDZ($A$1,$B59,V$1,$B$1)</f>
        <v>159.928</v>
      </c>
      <c r="W59" s="55">
        <f>_xll.EQNXTDZ($A$1,$B59,W$1,$B$1)</f>
        <v>54.071800000000003</v>
      </c>
      <c r="X59" s="55">
        <f>_xll.EQNXTDZ($A$1,$B59,X$1,$B$1)</f>
        <v>97.551299999999998</v>
      </c>
      <c r="Y59" s="55">
        <f>_xll.EQNXTDZ($A$1,$B59,Y$1,$B$1)</f>
        <v>117.4862</v>
      </c>
      <c r="Z59" s="55">
        <f>_xll.EQNXTDZ($A$1,$B59,Z$1,$B$1)</f>
        <v>176.6902</v>
      </c>
      <c r="AA59" s="55">
        <f>_xll.EQNXTDZ($A$1,$B59,AA$1,$B$1)</f>
        <v>195.99100000000001</v>
      </c>
      <c r="AB59" s="55">
        <f>_xll.EQNXTDZ($A$1,$B59,AB$1,$B$1)</f>
        <v>226.13829999999999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5.0022453000000002</v>
      </c>
      <c r="L60" s="55">
        <f>_xll.EQNXTDZ($A$1,$B60,L$1,$B$1)</f>
        <v>5.1997675000000001</v>
      </c>
      <c r="M60" s="55">
        <f>_xll.EQNXTDZ($A$1,$B60,M$1,$B$1)</f>
        <v>6.0648014999999997</v>
      </c>
      <c r="N60" s="55">
        <f>_xll.EQNXTDZ($A$1,$B60,N$1,$B$1)</f>
        <v>5.8251964999999997</v>
      </c>
      <c r="O60" s="55">
        <f>_xll.EQNXTDZ($A$1,$B60,O$1,$B$1)</f>
        <v>5.9759457999999999</v>
      </c>
      <c r="P60" s="55">
        <f>_xll.EQNXTDZ($A$1,$B60,P$1,$B$1)</f>
        <v>6.2574579999999997</v>
      </c>
      <c r="Q60" s="55">
        <f>_xll.EQNXTDZ($A$1,$B60,Q$1,$B$1)</f>
        <v>6.3245224999999996</v>
      </c>
      <c r="R60" s="55">
        <f>_xll.EQNXTDZ($A$1,$B60,R$1,$B$1)</f>
        <v>6.9249999999999998</v>
      </c>
      <c r="S60" s="55">
        <f>_xll.EQNXTDZ($A$1,$B60,S$1,$B$1)</f>
        <v>54.951000000000001</v>
      </c>
      <c r="T60" s="55">
        <f>_xll.EQNXTDZ($A$1,$B60,T$1,$B$1)</f>
        <v>162.99100000000001</v>
      </c>
      <c r="U60" s="55">
        <f>_xll.EQNXTDZ($A$1,$B60,U$1,$B$1)</f>
        <v>275.92399999999998</v>
      </c>
      <c r="V60" s="55">
        <f>_xll.EQNXTDZ($A$1,$B60,V$1,$B$1)</f>
        <v>464.16500000000002</v>
      </c>
      <c r="W60" s="55">
        <f>_xll.EQNXTDZ($A$1,$B60,W$1,$B$1)</f>
        <v>335.596</v>
      </c>
      <c r="X60" s="55">
        <f>_xll.EQNXTDZ($A$1,$B60,X$1,$B$1)</f>
        <v>476.35289999999998</v>
      </c>
      <c r="Y60" s="55">
        <f>_xll.EQNXTDZ($A$1,$B60,Y$1,$B$1)</f>
        <v>623.6431</v>
      </c>
      <c r="Z60" s="55">
        <f>_xll.EQNXTDZ($A$1,$B60,Z$1,$B$1)</f>
        <v>879.73519999999996</v>
      </c>
      <c r="AA60" s="55">
        <f>_xll.EQNXTDZ($A$1,$B60,AA$1,$B$1)</f>
        <v>961.35500000000002</v>
      </c>
      <c r="AB60" s="55">
        <f>_xll.EQNXTDZ($A$1,$B60,AB$1,$B$1)</f>
        <v>1328.7674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12.35</v>
      </c>
      <c r="T62" s="55">
        <f>_xll.EQNXTDZ($A$1,$B62,T$1,$B$1)</f>
        <v>24.768999999999998</v>
      </c>
      <c r="U62" s="55">
        <f>_xll.EQNXTDZ($A$1,$B62,U$1,$B$1)</f>
        <v>75.209000000000003</v>
      </c>
      <c r="V62" s="55">
        <f>_xll.EQNXTDZ($A$1,$B62,V$1,$B$1)</f>
        <v>120.91800000000001</v>
      </c>
      <c r="W62" s="55">
        <f>_xll.EQNXTDZ($A$1,$B62,W$1,$B$1)</f>
        <v>103.384</v>
      </c>
      <c r="X62" s="55">
        <f>_xll.EQNXTDZ($A$1,$B62,X$1,$B$1)</f>
        <v>179.07069999999999</v>
      </c>
      <c r="Y62" s="55">
        <f>_xll.EQNXTDZ($A$1,$B62,Y$1,$B$1)</f>
        <v>207.3604</v>
      </c>
      <c r="Z62" s="55">
        <f>_xll.EQNXTDZ($A$1,$B62,Z$1,$B$1)</f>
        <v>228.7842</v>
      </c>
      <c r="AA62" s="55">
        <f>_xll.EQNXTDZ($A$1,$B62,AA$1,$B$1)</f>
        <v>288.85759999999999</v>
      </c>
      <c r="AB62" s="55">
        <f>_xll.EQNXTDZ($A$1,$B62,AB$1,$B$1)</f>
        <v>324.04259999999999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1.036</v>
      </c>
      <c r="T63" s="55">
        <f>_xll.EQNXTDZ($A$1,$B63,T$1,$B$1)</f>
        <v>6.2149999999999999</v>
      </c>
      <c r="U63" s="55">
        <f>_xll.EQNXTDZ($A$1,$B63,U$1,$B$1)</f>
        <v>25.652000000000001</v>
      </c>
      <c r="V63" s="55">
        <f>_xll.EQNXTDZ($A$1,$B63,V$1,$B$1)</f>
        <v>46.683</v>
      </c>
      <c r="W63" s="55">
        <f>_xll.EQNXTDZ($A$1,$B63,W$1,$B$1)</f>
        <v>48.221400000000003</v>
      </c>
      <c r="X63" s="55">
        <f>_xll.EQNXTDZ($A$1,$B63,X$1,$B$1)</f>
        <v>55.1158</v>
      </c>
      <c r="Y63" s="55">
        <f>_xll.EQNXTDZ($A$1,$B63,Y$1,$B$1)</f>
        <v>71.275999999999996</v>
      </c>
      <c r="Z63" s="55">
        <f>_xll.EQNXTDZ($A$1,$B63,Z$1,$B$1)</f>
        <v>76.434799999999996</v>
      </c>
      <c r="AA63" s="55">
        <f>_xll.EQNXTDZ($A$1,$B63,AA$1,$B$1)</f>
        <v>100.9179</v>
      </c>
      <c r="AB63" s="55">
        <f>_xll.EQNXTDZ($A$1,$B63,AB$1,$B$1)</f>
        <v>133.00059999999999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11.314</v>
      </c>
      <c r="T65" s="55">
        <f>_xll.EQNXTDZ($A$1,$B65,T$1,$B$1)</f>
        <v>18.553999999999998</v>
      </c>
      <c r="U65" s="55">
        <f>_xll.EQNXTDZ($A$1,$B65,U$1,$B$1)</f>
        <v>49.557000000000002</v>
      </c>
      <c r="V65" s="55">
        <f>_xll.EQNXTDZ($A$1,$B65,V$1,$B$1)</f>
        <v>74.234999999999999</v>
      </c>
      <c r="W65" s="55">
        <f>_xll.EQNXTDZ($A$1,$B65,W$1,$B$1)</f>
        <v>55.162599999999998</v>
      </c>
      <c r="X65" s="55">
        <f>_xll.EQNXTDZ($A$1,$B65,X$1,$B$1)</f>
        <v>123.95489999999999</v>
      </c>
      <c r="Y65" s="55">
        <f>_xll.EQNXTDZ($A$1,$B65,Y$1,$B$1)</f>
        <v>136.08439999999999</v>
      </c>
      <c r="Z65" s="55">
        <f>_xll.EQNXTDZ($A$1,$B65,Z$1,$B$1)</f>
        <v>152.3494</v>
      </c>
      <c r="AA65" s="55">
        <f>_xll.EQNXTDZ($A$1,$B65,AA$1,$B$1)</f>
        <v>187.93969999999999</v>
      </c>
      <c r="AB65" s="55">
        <f>_xll.EQNXTDZ($A$1,$B65,AB$1,$B$1)</f>
        <v>191.042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65.385999999999996</v>
      </c>
      <c r="W67" s="55">
        <f>_xll.EQNXTDZ($A$1,$B67,W$1,$B$1)</f>
        <v>69.039199999999994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0.81630000000000003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20.283000000000001</v>
      </c>
      <c r="T68" s="55">
        <f>_xll.EQNXTDZ($A$1,$B68,T$1,$B$1)</f>
        <v>23.46</v>
      </c>
      <c r="U68" s="55">
        <f>_xll.EQNXTDZ($A$1,$B68,U$1,$B$1)</f>
        <v>31.663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4.1691596999999998</v>
      </c>
      <c r="L71" s="55">
        <f>_xll.EQNXTDZ($A$1,$B71,L$1,$B$1)</f>
        <v>0.28143810000000002</v>
      </c>
      <c r="M71" s="55">
        <f>_xll.EQNXTDZ($A$1,$B71,M$1,$B$1)</f>
        <v>4.2814380999999999</v>
      </c>
      <c r="N71" s="55">
        <f>_xll.EQNXTDZ($A$1,$B71,N$1,$B$1)</f>
        <v>5.5230781000000002</v>
      </c>
      <c r="O71" s="55">
        <f>_xll.EQNXTDZ($A$1,$B71,O$1,$B$1)</f>
        <v>5.5230781000000002</v>
      </c>
      <c r="P71" s="55">
        <f>_xll.EQNXTDZ($A$1,$B71,P$1,$B$1)</f>
        <v>5.2416400000000003</v>
      </c>
      <c r="Q71" s="55">
        <f>_xll.EQNXTDZ($A$1,$B71,Q$1,$B$1)</f>
        <v>4.2416400000000003</v>
      </c>
      <c r="R71" s="55">
        <f>_xll.EQNXTDZ($A$1,$B71,R$1,$B$1)</f>
        <v>4.242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101.318</v>
      </c>
      <c r="W71" s="55">
        <f>_xll.EQNXTDZ($A$1,$B71,W$1,$B$1)</f>
        <v>101.81480000000001</v>
      </c>
      <c r="X71" s="55">
        <f>_xll.EQNXTDZ($A$1,$B71,X$1,$B$1)</f>
        <v>103.5</v>
      </c>
      <c r="Y71" s="55">
        <f>_xll.EQNXTDZ($A$1,$B71,Y$1,$B$1)</f>
        <v>105.5025</v>
      </c>
      <c r="Z71" s="55">
        <f>_xll.EQNXTDZ($A$1,$B71,Z$1,$B$1)</f>
        <v>111.15219999999999</v>
      </c>
      <c r="AA71" s="55">
        <f>_xll.EQNXTDZ($A$1,$B71,AA$1,$B$1)</f>
        <v>242.5446</v>
      </c>
      <c r="AB71" s="55">
        <f>_xll.EQNXTDZ($A$1,$B71,AB$1,$B$1)</f>
        <v>263.65809999999999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0.2084046</v>
      </c>
      <c r="N72" s="55">
        <f>_xll.EQNXTDZ($A$1,$B72,N$1,$B$1)</f>
        <v>0.14945610000000001</v>
      </c>
      <c r="O72" s="55">
        <f>_xll.EQNXTDZ($A$1,$B72,O$1,$B$1)</f>
        <v>0.18239369999999999</v>
      </c>
      <c r="P72" s="55">
        <f>_xll.EQNXTDZ($A$1,$B72,P$1,$B$1)</f>
        <v>9.1785500000000006E-2</v>
      </c>
      <c r="Q72" s="55">
        <f>_xll.EQNXTDZ($A$1,$B72,Q$1,$B$1)</f>
        <v>3.2733900000000003E-2</v>
      </c>
      <c r="R72" s="55">
        <f>_xll.EQNXTDZ($A$1,$B72,R$1,$B$1)</f>
        <v>4.4999999999999998E-2</v>
      </c>
      <c r="S72" s="55">
        <f>_xll.EQNXTDZ($A$1,$B72,S$1,$B$1)</f>
        <v>3.3620000000000001</v>
      </c>
      <c r="T72" s="55">
        <f>_xll.EQNXTDZ($A$1,$B72,T$1,$B$1)</f>
        <v>11.827999999999999</v>
      </c>
      <c r="U72" s="55">
        <f>_xll.EQNXTDZ($A$1,$B72,U$1,$B$1)</f>
        <v>81.819000000000003</v>
      </c>
      <c r="V72" s="55">
        <f>_xll.EQNXTDZ($A$1,$B72,V$1,$B$1)</f>
        <v>70.626000000000005</v>
      </c>
      <c r="W72" s="55">
        <f>_xll.EQNXTDZ($A$1,$B72,W$1,$B$1)</f>
        <v>13.3695</v>
      </c>
      <c r="X72" s="55">
        <f>_xll.EQNXTDZ($A$1,$B72,X$1,$B$1)</f>
        <v>45.723399999999998</v>
      </c>
      <c r="Y72" s="55">
        <f>_xll.EQNXTDZ($A$1,$B72,Y$1,$B$1)</f>
        <v>32.994999999999997</v>
      </c>
      <c r="Z72" s="55">
        <f>_xll.EQNXTDZ($A$1,$B72,Z$1,$B$1)</f>
        <v>5.1835000000000004</v>
      </c>
      <c r="AA72" s="55">
        <f>_xll.EQNXTDZ($A$1,$B72,AA$1,$B$1)</f>
        <v>6.1904000000000003</v>
      </c>
      <c r="AB72" s="55">
        <f>_xll.EQNXTDZ($A$1,$B72,AB$1,$B$1)</f>
        <v>8.0399999999999991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0.25</v>
      </c>
      <c r="U73" s="55">
        <f>_xll.EQNXTDZ($A$1,$B73,U$1,$B$1)</f>
        <v>0.5</v>
      </c>
      <c r="V73" s="55">
        <f>_xll.EQNXTDZ($A$1,$B73,V$1,$B$1)</f>
        <v>1.99</v>
      </c>
      <c r="W73" s="55">
        <f>_xll.EQNXTDZ($A$1,$B73,W$1,$B$1)</f>
        <v>2.02</v>
      </c>
      <c r="X73" s="55">
        <f>_xll.EQNXTDZ($A$1,$B73,X$1,$B$1)</f>
        <v>1.99</v>
      </c>
      <c r="Y73" s="55">
        <f>_xll.EQNXTDZ($A$1,$B73,Y$1,$B$1)</f>
        <v>2</v>
      </c>
      <c r="Z73" s="55">
        <f>_xll.EQNXTDZ($A$1,$B73,Z$1,$B$1)</f>
        <v>0</v>
      </c>
      <c r="AA73" s="55">
        <f>_xll.EQNXTDZ($A$1,$B73,AA$1,$B$1)</f>
        <v>0.5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4.1691596999999998</v>
      </c>
      <c r="L74" s="55">
        <f>_xll.EQNXTDZ($A$1,$B74,L$1,$B$1)</f>
        <v>0.28143810000000002</v>
      </c>
      <c r="M74" s="55">
        <f>_xll.EQNXTDZ($A$1,$B74,M$1,$B$1)</f>
        <v>4.4898426999999996</v>
      </c>
      <c r="N74" s="55">
        <f>_xll.EQNXTDZ($A$1,$B74,N$1,$B$1)</f>
        <v>5.6725342000000003</v>
      </c>
      <c r="O74" s="55">
        <f>_xll.EQNXTDZ($A$1,$B74,O$1,$B$1)</f>
        <v>5.7054717999999998</v>
      </c>
      <c r="P74" s="55">
        <f>_xll.EQNXTDZ($A$1,$B74,P$1,$B$1)</f>
        <v>5.3334254999999997</v>
      </c>
      <c r="Q74" s="55">
        <f>_xll.EQNXTDZ($A$1,$B74,Q$1,$B$1)</f>
        <v>4.2743738999999996</v>
      </c>
      <c r="R74" s="55">
        <f>_xll.EQNXTDZ($A$1,$B74,R$1,$B$1)</f>
        <v>4.2869999999999999</v>
      </c>
      <c r="S74" s="55">
        <f>_xll.EQNXTDZ($A$1,$B74,S$1,$B$1)</f>
        <v>34.959000000000003</v>
      </c>
      <c r="T74" s="55">
        <f>_xll.EQNXTDZ($A$1,$B74,T$1,$B$1)</f>
        <v>54.091999999999999</v>
      </c>
      <c r="U74" s="55">
        <f>_xll.EQNXTDZ($A$1,$B74,U$1,$B$1)</f>
        <v>163.53899999999999</v>
      </c>
      <c r="V74" s="55">
        <f>_xll.EQNXTDZ($A$1,$B74,V$1,$B$1)</f>
        <v>313.55500000000001</v>
      </c>
      <c r="W74" s="55">
        <f>_xll.EQNXTDZ($A$1,$B74,W$1,$B$1)</f>
        <v>241.40610000000001</v>
      </c>
      <c r="X74" s="55">
        <f>_xll.EQNXTDZ($A$1,$B74,X$1,$B$1)</f>
        <v>275.16829999999999</v>
      </c>
      <c r="Y74" s="55">
        <f>_xll.EQNXTDZ($A$1,$B74,Y$1,$B$1)</f>
        <v>276.58190000000002</v>
      </c>
      <c r="Z74" s="55">
        <f>_xll.EQNXTDZ($A$1,$B74,Z$1,$B$1)</f>
        <v>269.50139999999999</v>
      </c>
      <c r="AA74" s="55">
        <f>_xll.EQNXTDZ($A$1,$B74,AA$1,$B$1)</f>
        <v>437.17469999999997</v>
      </c>
      <c r="AB74" s="55">
        <f>_xll.EQNXTDZ($A$1,$B74,AB$1,$B$1)</f>
        <v>462.74009999999998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50.082000000000001</v>
      </c>
      <c r="U75" s="55">
        <f>_xll.EQNXTDZ($A$1,$B75,U$1,$B$1)</f>
        <v>75.084999999999994</v>
      </c>
      <c r="V75" s="55">
        <f>_xll.EQNXTDZ($A$1,$B75,V$1,$B$1)</f>
        <v>1.8320000000000001</v>
      </c>
      <c r="W75" s="55">
        <f>_xll.EQNXTDZ($A$1,$B75,W$1,$B$1)</f>
        <v>2.6783999999999999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1.1425000000000001</v>
      </c>
      <c r="AA75" s="55">
        <f>_xll.EQNXTDZ($A$1,$B75,AA$1,$B$1)</f>
        <v>1.2210000000000001</v>
      </c>
      <c r="AB75" s="55">
        <f>_xll.EQNXTDZ($A$1,$B75,AB$1,$B$1)</f>
        <v>1.1984999999999999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0.43411080000000002</v>
      </c>
      <c r="L77" s="55">
        <f>_xll.EQNXTDZ($A$1,$B77,L$1,$B$1)</f>
        <v>0.89258599999999999</v>
      </c>
      <c r="M77" s="55">
        <f>_xll.EQNXTDZ($A$1,$B77,M$1,$B$1)</f>
        <v>1.4993523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0.50865369999999999</v>
      </c>
      <c r="Q77" s="55">
        <f>_xll.EQNXTDZ($A$1,$B77,Q$1,$B$1)</f>
        <v>0.50865369999999999</v>
      </c>
      <c r="R77" s="55">
        <f>_xll.EQNXTDZ($A$1,$B77,R$1,$B$1)</f>
        <v>0.49</v>
      </c>
      <c r="S77" s="55">
        <f>_xll.EQNXTDZ($A$1,$B77,S$1,$B$1)</f>
        <v>7.46</v>
      </c>
      <c r="T77" s="55">
        <f>_xll.EQNXTDZ($A$1,$B77,T$1,$B$1)</f>
        <v>12.273999999999999</v>
      </c>
      <c r="U77" s="55">
        <f>_xll.EQNXTDZ($A$1,$B77,U$1,$B$1)</f>
        <v>11.013999999999999</v>
      </c>
      <c r="V77" s="55">
        <f>_xll.EQNXTDZ($A$1,$B77,V$1,$B$1)</f>
        <v>9.1140000000000008</v>
      </c>
      <c r="W77" s="55">
        <f>_xll.EQNXTDZ($A$1,$B77,W$1,$B$1)</f>
        <v>10.865399999999999</v>
      </c>
      <c r="X77" s="55">
        <f>_xll.EQNXTDZ($A$1,$B77,X$1,$B$1)</f>
        <v>14.898899999999999</v>
      </c>
      <c r="Y77" s="55">
        <f>_xll.EQNXTDZ($A$1,$B77,Y$1,$B$1)</f>
        <v>17.128</v>
      </c>
      <c r="Z77" s="55">
        <f>_xll.EQNXTDZ($A$1,$B77,Z$1,$B$1)</f>
        <v>28.2483</v>
      </c>
      <c r="AA77" s="55">
        <f>_xll.EQNXTDZ($A$1,$B77,AA$1,$B$1)</f>
        <v>35.446800000000003</v>
      </c>
      <c r="AB77" s="55">
        <f>_xll.EQNXTDZ($A$1,$B77,AB$1,$B$1)</f>
        <v>42.758000000000003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3.1662999999999997E-2</v>
      </c>
      <c r="L78" s="55">
        <f>_xll.EQNXTDZ($A$1,$B78,L$1,$B$1)</f>
        <v>3.5004993999999998</v>
      </c>
      <c r="M78" s="55">
        <f>_xll.EQNXTDZ($A$1,$B78,M$1,$B$1)</f>
        <v>7.5606499999999993E-2</v>
      </c>
      <c r="N78" s="55">
        <f>_xll.EQNXTDZ($A$1,$B78,N$1,$B$1)</f>
        <v>9.5451800000000003E-2</v>
      </c>
      <c r="O78" s="55">
        <f>_xll.EQNXTDZ($A$1,$B78,O$1,$B$1)</f>
        <v>0.1291727</v>
      </c>
      <c r="P78" s="55">
        <f>_xll.EQNXTDZ($A$1,$B78,P$1,$B$1)</f>
        <v>0.2180993</v>
      </c>
      <c r="Q78" s="55">
        <f>_xll.EQNXTDZ($A$1,$B78,Q$1,$B$1)</f>
        <v>2.9447600000000001E-2</v>
      </c>
      <c r="R78" s="55">
        <f>_xll.EQNXTDZ($A$1,$B78,R$1,$B$1)</f>
        <v>0.54400000000000004</v>
      </c>
      <c r="S78" s="55">
        <f>_xll.EQNXTDZ($A$1,$B78,S$1,$B$1)</f>
        <v>2.6890000000000001</v>
      </c>
      <c r="T78" s="55">
        <f>_xll.EQNXTDZ($A$1,$B78,T$1,$B$1)</f>
        <v>0.60699999999999998</v>
      </c>
      <c r="U78" s="55">
        <f>_xll.EQNXTDZ($A$1,$B78,U$1,$B$1)</f>
        <v>11.452999999999999</v>
      </c>
      <c r="V78" s="55">
        <f>_xll.EQNXTDZ($A$1,$B78,V$1,$B$1)</f>
        <v>28.297000000000001</v>
      </c>
      <c r="W78" s="55">
        <f>_xll.EQNXTDZ($A$1,$B78,W$1,$B$1)</f>
        <v>65.364800000000002</v>
      </c>
      <c r="X78" s="55">
        <f>_xll.EQNXTDZ($A$1,$B78,X$1,$B$1)</f>
        <v>87.108999999999995</v>
      </c>
      <c r="Y78" s="55">
        <f>_xll.EQNXTDZ($A$1,$B78,Y$1,$B$1)</f>
        <v>64.761700000000005</v>
      </c>
      <c r="Z78" s="55">
        <f>_xll.EQNXTDZ($A$1,$B78,Z$1,$B$1)</f>
        <v>33.113399999999999</v>
      </c>
      <c r="AA78" s="55">
        <f>_xll.EQNXTDZ($A$1,$B78,AA$1,$B$1)</f>
        <v>44.065100000000001</v>
      </c>
      <c r="AB78" s="55">
        <f>_xll.EQNXTDZ($A$1,$B78,AB$1,$B$1)</f>
        <v>240.9376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5.7210499999999997E-2</v>
      </c>
      <c r="O79" s="55">
        <f>_xll.EQNXTDZ($A$1,$B79,O$1,$B$1)</f>
        <v>0.13462640000000001</v>
      </c>
      <c r="P79" s="55">
        <f>_xll.EQNXTDZ($A$1,$B79,P$1,$B$1)</f>
        <v>0.14673919999999999</v>
      </c>
      <c r="Q79" s="55">
        <f>_xll.EQNXTDZ($A$1,$B79,Q$1,$B$1)</f>
        <v>5.4548199999999998E-2</v>
      </c>
      <c r="R79" s="55">
        <f>_xll.EQNXTDZ($A$1,$B79,R$1,$B$1)</f>
        <v>4.7E-2</v>
      </c>
      <c r="S79" s="55">
        <f>_xll.EQNXTDZ($A$1,$B79,S$1,$B$1)</f>
        <v>9.2390000000000008</v>
      </c>
      <c r="T79" s="55">
        <f>_xll.EQNXTDZ($A$1,$B79,T$1,$B$1)</f>
        <v>23.084</v>
      </c>
      <c r="U79" s="55">
        <f>_xll.EQNXTDZ($A$1,$B79,U$1,$B$1)</f>
        <v>10.507</v>
      </c>
      <c r="V79" s="55">
        <f>_xll.EQNXTDZ($A$1,$B79,V$1,$B$1)</f>
        <v>29.254000000000001</v>
      </c>
      <c r="W79" s="55">
        <f>_xll.EQNXTDZ($A$1,$B79,W$1,$B$1)</f>
        <v>9.6588999999999992</v>
      </c>
      <c r="X79" s="55">
        <f>_xll.EQNXTDZ($A$1,$B79,X$1,$B$1)</f>
        <v>12.837999999999999</v>
      </c>
      <c r="Y79" s="55">
        <f>_xll.EQNXTDZ($A$1,$B79,Y$1,$B$1)</f>
        <v>133.98150000000001</v>
      </c>
      <c r="Z79" s="55">
        <f>_xll.EQNXTDZ($A$1,$B79,Z$1,$B$1)</f>
        <v>158.2191</v>
      </c>
      <c r="AA79" s="55">
        <f>_xll.EQNXTDZ($A$1,$B79,AA$1,$B$1)</f>
        <v>106.53489999999999</v>
      </c>
      <c r="AB79" s="55">
        <f>_xll.EQNXTDZ($A$1,$B79,AB$1,$B$1)</f>
        <v>219.6138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0.36731180000000002</v>
      </c>
      <c r="L80" s="55">
        <f>_xll.EQNXTDZ($A$1,$B80,L$1,$B$1)</f>
        <v>0.52524400000000004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6.6749000000000001E-3</v>
      </c>
      <c r="P80" s="55">
        <f>_xll.EQNXTDZ($A$1,$B80,P$1,$B$1)</f>
        <v>5.0540300000000003E-2</v>
      </c>
      <c r="Q80" s="55">
        <f>_xll.EQNXTDZ($A$1,$B80,Q$1,$B$1)</f>
        <v>1.4574990999999999</v>
      </c>
      <c r="R80" s="55">
        <f>_xll.EQNXTDZ($A$1,$B80,R$1,$B$1)</f>
        <v>1.5569999999999999</v>
      </c>
      <c r="S80" s="55">
        <f>_xll.EQNXTDZ($A$1,$B80,S$1,$B$1)</f>
        <v>0.60399999999999998</v>
      </c>
      <c r="T80" s="55">
        <f>_xll.EQNXTDZ($A$1,$B80,T$1,$B$1)</f>
        <v>22.852</v>
      </c>
      <c r="U80" s="55">
        <f>_xll.EQNXTDZ($A$1,$B80,U$1,$B$1)</f>
        <v>4.3259999999999996</v>
      </c>
      <c r="V80" s="55">
        <f>_xll.EQNXTDZ($A$1,$B80,V$1,$B$1)</f>
        <v>82.113</v>
      </c>
      <c r="W80" s="55">
        <f>_xll.EQNXTDZ($A$1,$B80,W$1,$B$1)</f>
        <v>5.6223999999999998</v>
      </c>
      <c r="X80" s="55">
        <f>_xll.EQNXTDZ($A$1,$B80,X$1,$B$1)</f>
        <v>86.338700000000003</v>
      </c>
      <c r="Y80" s="55">
        <f>_xll.EQNXTDZ($A$1,$B80,Y$1,$B$1)</f>
        <v>131.19</v>
      </c>
      <c r="Z80" s="55">
        <f>_xll.EQNXTDZ($A$1,$B80,Z$1,$B$1)</f>
        <v>389.51049999999998</v>
      </c>
      <c r="AA80" s="55">
        <f>_xll.EQNXTDZ($A$1,$B80,AA$1,$B$1)</f>
        <v>336.91250000000002</v>
      </c>
      <c r="AB80" s="55">
        <f>_xll.EQNXTDZ($A$1,$B80,AB$1,$B$1)</f>
        <v>361.51940000000002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0.83308559999999998</v>
      </c>
      <c r="L82" s="55">
        <f>_xll.EQNXTDZ($A$1,$B82,L$1,$B$1)</f>
        <v>4.9183294000000002</v>
      </c>
      <c r="M82" s="55">
        <f>_xll.EQNXTDZ($A$1,$B82,M$1,$B$1)</f>
        <v>1.5749588000000001</v>
      </c>
      <c r="N82" s="55">
        <f>_xll.EQNXTDZ($A$1,$B82,N$1,$B$1)</f>
        <v>0.1526623</v>
      </c>
      <c r="O82" s="55">
        <f>_xll.EQNXTDZ($A$1,$B82,O$1,$B$1)</f>
        <v>0.27047399999999999</v>
      </c>
      <c r="P82" s="55">
        <f>_xll.EQNXTDZ($A$1,$B82,P$1,$B$1)</f>
        <v>0.92403250000000003</v>
      </c>
      <c r="Q82" s="55">
        <f>_xll.EQNXTDZ($A$1,$B82,Q$1,$B$1)</f>
        <v>2.0501486</v>
      </c>
      <c r="R82" s="55">
        <f>_xll.EQNXTDZ($A$1,$B82,R$1,$B$1)</f>
        <v>2.6379999999999999</v>
      </c>
      <c r="S82" s="55">
        <f>_xll.EQNXTDZ($A$1,$B82,S$1,$B$1)</f>
        <v>19.992000000000001</v>
      </c>
      <c r="T82" s="55">
        <f>_xll.EQNXTDZ($A$1,$B82,T$1,$B$1)</f>
        <v>108.899</v>
      </c>
      <c r="U82" s="55">
        <f>_xll.EQNXTDZ($A$1,$B82,U$1,$B$1)</f>
        <v>112.38500000000001</v>
      </c>
      <c r="V82" s="55">
        <f>_xll.EQNXTDZ($A$1,$B82,V$1,$B$1)</f>
        <v>150.61000000000001</v>
      </c>
      <c r="W82" s="55">
        <f>_xll.EQNXTDZ($A$1,$B82,W$1,$B$1)</f>
        <v>94.189899999999994</v>
      </c>
      <c r="X82" s="55">
        <f>_xll.EQNXTDZ($A$1,$B82,X$1,$B$1)</f>
        <v>201.18459999999999</v>
      </c>
      <c r="Y82" s="55">
        <f>_xll.EQNXTDZ($A$1,$B82,Y$1,$B$1)</f>
        <v>347.06119999999999</v>
      </c>
      <c r="Z82" s="55">
        <f>_xll.EQNXTDZ($A$1,$B82,Z$1,$B$1)</f>
        <v>610.23379999999997</v>
      </c>
      <c r="AA82" s="55">
        <f>_xll.EQNXTDZ($A$1,$B82,AA$1,$B$1)</f>
        <v>524.18029999999999</v>
      </c>
      <c r="AB82" s="55">
        <f>_xll.EQNXTDZ($A$1,$B82,AB$1,$B$1)</f>
        <v>866.02729999999997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5.0022453000000002</v>
      </c>
      <c r="L84" s="55">
        <f>_xll.EQNXTDZ($A$1,$B84,L$1,$B$1)</f>
        <v>5.1997675000000001</v>
      </c>
      <c r="M84" s="55">
        <f>_xll.EQNXTDZ($A$1,$B84,M$1,$B$1)</f>
        <v>6.0648014999999997</v>
      </c>
      <c r="N84" s="55">
        <f>_xll.EQNXTDZ($A$1,$B84,N$1,$B$1)</f>
        <v>5.8251964999999997</v>
      </c>
      <c r="O84" s="55">
        <f>_xll.EQNXTDZ($A$1,$B84,O$1,$B$1)</f>
        <v>5.9759457999999999</v>
      </c>
      <c r="P84" s="55">
        <f>_xll.EQNXTDZ($A$1,$B84,P$1,$B$1)</f>
        <v>6.2574579999999997</v>
      </c>
      <c r="Q84" s="55">
        <f>_xll.EQNXTDZ($A$1,$B84,Q$1,$B$1)</f>
        <v>6.3245224999999996</v>
      </c>
      <c r="R84" s="55">
        <f>_xll.EQNXTDZ($A$1,$B84,R$1,$B$1)</f>
        <v>6.9249999999999998</v>
      </c>
      <c r="S84" s="55">
        <f>_xll.EQNXTDZ($A$1,$B84,S$1,$B$1)</f>
        <v>54.951000000000001</v>
      </c>
      <c r="T84" s="55">
        <f>_xll.EQNXTDZ($A$1,$B84,T$1,$B$1)</f>
        <v>162.99100000000001</v>
      </c>
      <c r="U84" s="55">
        <f>_xll.EQNXTDZ($A$1,$B84,U$1,$B$1)</f>
        <v>275.92399999999998</v>
      </c>
      <c r="V84" s="55">
        <f>_xll.EQNXTDZ($A$1,$B84,V$1,$B$1)</f>
        <v>464.16500000000002</v>
      </c>
      <c r="W84" s="55">
        <f>_xll.EQNXTDZ($A$1,$B84,W$1,$B$1)</f>
        <v>335.596</v>
      </c>
      <c r="X84" s="55">
        <f>_xll.EQNXTDZ($A$1,$B84,X$1,$B$1)</f>
        <v>476.35289999999998</v>
      </c>
      <c r="Y84" s="55">
        <f>_xll.EQNXTDZ($A$1,$B84,Y$1,$B$1)</f>
        <v>623.6431</v>
      </c>
      <c r="Z84" s="55">
        <f>_xll.EQNXTDZ($A$1,$B84,Z$1,$B$1)</f>
        <v>879.73519999999996</v>
      </c>
      <c r="AA84" s="55">
        <f>_xll.EQNXTDZ($A$1,$B84,AA$1,$B$1)</f>
        <v>961.35500000000002</v>
      </c>
      <c r="AB84" s="55">
        <f>_xll.EQNXTDZ($A$1,$B84,AB$1,$B$1)</f>
        <v>1328.7674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0.41699999999999998</v>
      </c>
      <c r="T85" s="55">
        <f>_xll.EQNXTDZ($A$1,$B85,T$1,$B$1)</f>
        <v>1.56</v>
      </c>
      <c r="U85" s="55">
        <f>_xll.EQNXTDZ($A$1,$B85,U$1,$B$1)</f>
        <v>1.5609999999999999</v>
      </c>
      <c r="V85" s="55">
        <f>_xll.EQNXTDZ($A$1,$B85,V$1,$B$1)</f>
        <v>1.5609999999999999</v>
      </c>
      <c r="W85" s="55">
        <f>_xll.EQNXTDZ($A$1,$B85,W$1,$B$1)</f>
        <v>2.0226000000000002</v>
      </c>
      <c r="X85" s="55">
        <f>_xll.EQNXTDZ($A$1,$B85,X$1,$B$1)</f>
        <v>0.46239999999999998</v>
      </c>
      <c r="Y85" s="55">
        <f>_xll.EQNXTDZ($A$1,$B85,Y$1,$B$1)</f>
        <v>0.46239999999999998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6.7009999999999996</v>
      </c>
      <c r="T86" s="55">
        <f>_xll.EQNXTDZ($A$1,$B86,T$1,$B$1)</f>
        <v>5.8109999999999999</v>
      </c>
      <c r="U86" s="55">
        <f>_xll.EQNXTDZ($A$1,$B86,U$1,$B$1)</f>
        <v>5.4509999999999996</v>
      </c>
      <c r="V86" s="55">
        <f>_xll.EQNXTDZ($A$1,$B86,V$1,$B$1)</f>
        <v>2.9289999999999998</v>
      </c>
      <c r="W86" s="55">
        <f>_xll.EQNXTDZ($A$1,$B86,W$1,$B$1)</f>
        <v>2.9011</v>
      </c>
      <c r="X86" s="55">
        <f>_xll.EQNXTDZ($A$1,$B86,X$1,$B$1)</f>
        <v>2.9011</v>
      </c>
      <c r="Y86" s="55">
        <f>_xll.EQNXTDZ($A$1,$B86,Y$1,$B$1)</f>
        <v>2.9011</v>
      </c>
      <c r="Z86" s="55">
        <f>_xll.EQNXTDZ($A$1,$B86,Z$1,$B$1)</f>
        <v>2.9011</v>
      </c>
      <c r="AA86" s="55">
        <f>_xll.EQNXTDZ($A$1,$B86,AA$1,$B$1)</f>
        <v>2.4864999999999999</v>
      </c>
      <c r="AB86" s="55">
        <f>_xll.EQNXTDZ($A$1,$B86,AB$1,$B$1)</f>
        <v>2.4864999999999999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5.7000000000000002E-2</v>
      </c>
      <c r="T88" s="55">
        <f>_xll.EQNXTDZ($A$1,$B88,T$1,$B$1)</f>
        <v>0.188</v>
      </c>
      <c r="U88" s="55">
        <f>_xll.EQNXTDZ($A$1,$B88,U$1,$B$1)</f>
        <v>0.22800000000000001</v>
      </c>
      <c r="V88" s="55">
        <f>_xll.EQNXTDZ($A$1,$B88,V$1,$B$1)</f>
        <v>8.3699999999999992</v>
      </c>
      <c r="W88" s="55">
        <f>_xll.EQNXTDZ($A$1,$B88,W$1,$B$1)</f>
        <v>8.3962000000000003</v>
      </c>
      <c r="X88" s="55">
        <f>_xll.EQNXTDZ($A$1,$B88,X$1,$B$1)</f>
        <v>8.3444000000000003</v>
      </c>
      <c r="Y88" s="55">
        <f>_xll.EQNXTDZ($A$1,$B88,Y$1,$B$1)</f>
        <v>8.3313000000000006</v>
      </c>
      <c r="Z88" s="55">
        <f>_xll.EQNXTDZ($A$1,$B88,Z$1,$B$1)</f>
        <v>8.3580000000000005</v>
      </c>
      <c r="AA88" s="55">
        <f>_xll.EQNXTDZ($A$1,$B88,AA$1,$B$1)</f>
        <v>3.8083999999999998</v>
      </c>
      <c r="AB88" s="55">
        <f>_xll.EQNXTDZ($A$1,$B88,AB$1,$B$1)</f>
        <v>3.9411999999999998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6.7009999999999996</v>
      </c>
      <c r="T91" s="55">
        <f>_xll.EQNXTDZ($A$1,$B91,T$1,$B$1)</f>
        <v>8.9700000000000006</v>
      </c>
      <c r="U91" s="55">
        <f>_xll.EQNXTDZ($A$1,$B91,U$1,$B$1)</f>
        <v>11.464</v>
      </c>
      <c r="V91" s="55">
        <f>_xll.EQNXTDZ($A$1,$B91,V$1,$B$1)</f>
        <v>11.464</v>
      </c>
      <c r="W91" s="55">
        <f>_xll.EQNXTDZ($A$1,$B91,W$1,$B$1)</f>
        <v>11.4642</v>
      </c>
      <c r="X91" s="55">
        <f>_xll.EQNXTDZ($A$1,$B91,X$1,$B$1)</f>
        <v>2.9011</v>
      </c>
      <c r="Y91" s="55">
        <f>_xll.EQNXTDZ($A$1,$B91,Y$1,$B$1)</f>
        <v>2.9011</v>
      </c>
      <c r="Z91" s="55">
        <f>_xll.EQNXTDZ($A$1,$B91,Z$1,$B$1)</f>
        <v>2.9011</v>
      </c>
      <c r="AA91" s="55">
        <f>_xll.EQNXTDZ($A$1,$B91,AA$1,$B$1)</f>
        <v>2.4864999999999999</v>
      </c>
      <c r="AB91" s="55">
        <f>_xll.EQNXTDZ($A$1,$B91,AB$1,$B$1)</f>
        <v>2.4864999999999999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3.1589999999999998</v>
      </c>
      <c r="U92" s="55">
        <f>_xll.EQNXTDZ($A$1,$B92,U$1,$B$1)</f>
        <v>6.0129999999999999</v>
      </c>
      <c r="V92" s="55">
        <f>_xll.EQNXTDZ($A$1,$B92,V$1,$B$1)</f>
        <v>8.5350000000000001</v>
      </c>
      <c r="W92" s="55">
        <f>_xll.EQNXTDZ($A$1,$B92,W$1,$B$1)</f>
        <v>8.5631000000000004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0.41699999999999998</v>
      </c>
      <c r="T93" s="55">
        <f>_xll.EQNXTDZ($A$1,$B93,T$1,$B$1)</f>
        <v>1.56</v>
      </c>
      <c r="U93" s="55">
        <f>_xll.EQNXTDZ($A$1,$B93,U$1,$B$1)</f>
        <v>1.5609999999999999</v>
      </c>
      <c r="V93" s="55">
        <f>_xll.EQNXTDZ($A$1,$B93,V$1,$B$1)</f>
        <v>1.5609999999999999</v>
      </c>
      <c r="W93" s="55">
        <f>_xll.EQNXTDZ($A$1,$B93,W$1,$B$1)</f>
        <v>2.0226000000000002</v>
      </c>
      <c r="X93" s="55">
        <f>_xll.EQNXTDZ($A$1,$B93,X$1,$B$1)</f>
        <v>0.46239999999999998</v>
      </c>
      <c r="Y93" s="55">
        <f>_xll.EQNXTDZ($A$1,$B93,Y$1,$B$1)</f>
        <v>0.46239999999999998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0.19470199999999999</v>
      </c>
      <c r="L104" s="55">
        <f>_xll.EQNXTDZ($A$1,$B104,L$1,$B$1)</f>
        <v>0.19470199999999999</v>
      </c>
      <c r="M104" s="55">
        <f>_xll.EQNXTDZ($A$1,$B104,M$1,$B$1)</f>
        <v>0.19470199999999999</v>
      </c>
      <c r="N104" s="55">
        <f>_xll.EQNXTDZ($A$1,$B104,N$1,$B$1)</f>
        <v>0.19470199999999999</v>
      </c>
      <c r="O104" s="55">
        <f>_xll.EQNXTDZ($A$1,$B104,O$1,$B$1)</f>
        <v>0.19470199999999999</v>
      </c>
      <c r="P104" s="55">
        <f>_xll.EQNXTDZ($A$1,$B104,P$1,$B$1)</f>
        <v>0.19470199999999999</v>
      </c>
      <c r="Q104" s="55">
        <f>_xll.EQNXTDZ($A$1,$B104,Q$1,$B$1)</f>
        <v>0.19470199999999999</v>
      </c>
      <c r="R104" s="55">
        <f>_xll.EQNXTDZ($A$1,$B104,R$1,$B$1)</f>
        <v>0.19500000000000001</v>
      </c>
      <c r="S104" s="55">
        <f>_xll.EQNXTDZ($A$1,$B104,S$1,$B$1)</f>
        <v>13.05</v>
      </c>
      <c r="T104" s="55">
        <f>_xll.EQNXTDZ($A$1,$B104,T$1,$B$1)</f>
        <v>13.443</v>
      </c>
      <c r="U104" s="55">
        <f>_xll.EQNXTDZ($A$1,$B104,U$1,$B$1)</f>
        <v>13.454000000000001</v>
      </c>
      <c r="V104" s="55">
        <f>_xll.EQNXTDZ($A$1,$B104,V$1,$B$1)</f>
        <v>13.513999999999999</v>
      </c>
      <c r="W104" s="55">
        <f>_xll.EQNXTDZ($A$1,$B104,W$1,$B$1)</f>
        <v>13.7568</v>
      </c>
      <c r="X104" s="55">
        <f>_xll.EQNXTDZ($A$1,$B104,X$1,$B$1)</f>
        <v>20.8081</v>
      </c>
      <c r="Y104" s="55">
        <f>_xll.EQNXTDZ($A$1,$B104,Y$1,$B$1)</f>
        <v>20.844100000000001</v>
      </c>
      <c r="Z104" s="55">
        <f>_xll.EQNXTDZ($A$1,$B104,Z$1,$B$1)</f>
        <v>20.914100000000001</v>
      </c>
      <c r="AA104" s="55">
        <f>_xll.EQNXTDZ($A$1,$B104,AA$1,$B$1)</f>
        <v>41.510300000000001</v>
      </c>
      <c r="AB104" s="55">
        <f>_xll.EQNXTDZ($A$1,$B104,AB$1,$B$1)</f>
        <v>41.510300000000001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151.48750000000001</v>
      </c>
      <c r="Y106" s="55">
        <f>_xll.EQNXTDZ($A$1,$B106,Y$1,$B$1)</f>
        <v>201.85</v>
      </c>
      <c r="Z106" s="55">
        <f>_xll.EQNXTDZ($A$1,$B106,Z$1,$B$1)</f>
        <v>922.86249999999995</v>
      </c>
      <c r="AA106" s="55">
        <f>_xll.EQNXTDZ($A$1,$B106,AA$1,$B$1)</f>
        <v>956.375</v>
      </c>
      <c r="AB106" s="55">
        <f>_xll.EQNXTDZ($A$1,$B106,AB$1,$B$1)</f>
        <v>1517.925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163.4</v>
      </c>
      <c r="Y107" s="55">
        <f>_xll.EQNXTDZ($A$1,$B107,Y$1,$B$1)</f>
        <v>215.3125</v>
      </c>
      <c r="Z107" s="55">
        <f>_xll.EQNXTDZ($A$1,$B107,Z$1,$B$1)</f>
        <v>1049.95</v>
      </c>
      <c r="AA107" s="55">
        <f>_xll.EQNXTDZ($A$1,$B107,AA$1,$B$1)</f>
        <v>1160.1375</v>
      </c>
      <c r="AB107" s="55">
        <f>_xll.EQNXTDZ($A$1,$B107,AB$1,$B$1)</f>
        <v>1661.925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135.46250000000001</v>
      </c>
      <c r="Y108" s="55">
        <f>_xll.EQNXTDZ($A$1,$B108,Y$1,$B$1)</f>
        <v>151.25</v>
      </c>
      <c r="Z108" s="55">
        <f>_xll.EQNXTDZ($A$1,$B108,Z$1,$B$1)</f>
        <v>201.125</v>
      </c>
      <c r="AA108" s="55">
        <f>_xll.EQNXTDZ($A$1,$B108,AA$1,$B$1)</f>
        <v>793.02499999999998</v>
      </c>
      <c r="AB108" s="55">
        <f>_xll.EQNXTDZ($A$1,$B108,AB$1,$B$1)</f>
        <v>812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2521.733639</v>
      </c>
      <c r="Y109" s="55">
        <f>_xll.EQNXTDZ($A$1,$B109,Y$1,$B$1)</f>
        <v>3365.905268</v>
      </c>
      <c r="Z109" s="55">
        <f>_xll.EQNXTDZ($A$1,$B109,Z$1,$B$1)</f>
        <v>15440.670889000001</v>
      </c>
      <c r="AA109" s="55">
        <f>_xll.EQNXTDZ($A$1,$B109,AA$1,$B$1)</f>
        <v>15879.765265</v>
      </c>
      <c r="AB109" s="55">
        <f>_xll.EQNXTDZ($A$1,$B109,AB$1,$B$1)</f>
        <v>25203.808851000002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0.83333333333333304</v>
      </c>
      <c r="X110" s="55">
        <f>_xll.EQNXTDZ($A$1,$B110,X$1,$B$1)</f>
        <v>2.75</v>
      </c>
      <c r="Y110" s="55">
        <f>_xll.EQNXTDZ($A$1,$B110,Y$1,$B$1)</f>
        <v>3</v>
      </c>
      <c r="Z110" s="55">
        <f>_xll.EQNXTDZ($A$1,$B110,Z$1,$B$1)</f>
        <v>3.5</v>
      </c>
      <c r="AA110" s="55">
        <f>_xll.EQNXTDZ($A$1,$B110,AA$1,$B$1)</f>
        <v>7</v>
      </c>
      <c r="AB110" s="55">
        <f>_xll.EQNXTDZ($A$1,$B110,AB$1,$B$1)</f>
        <v>6.5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79.459999999999994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77.48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48.82</v>
      </c>
      <c r="Y112" s="56">
        <f>_xll.EQNXTDZ($A$1,$B112,Y$5)</f>
        <v>48.74</v>
      </c>
      <c r="Z112" s="56">
        <f>_xll.EQNXTDZ($A$1,$B112,Z$5)</f>
        <v>48.03</v>
      </c>
      <c r="AA112" s="56">
        <f>_xll.EQNXTDZ($A$1,$B112,AA$5)</f>
        <v>47.29</v>
      </c>
      <c r="AB112" s="56">
        <f>_xll.EQNXTDZ($A$1,$B112,AB$5)</f>
        <v>43.11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0.01</v>
      </c>
      <c r="AA113" s="56">
        <f>_xll.EQNXTDZ($A$1,$B113,AA$5)</f>
        <v>4.32</v>
      </c>
      <c r="AB113" s="56">
        <f>_xll.EQNXTDZ($A$1,$B113,AB$5)</f>
        <v>11.42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226156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150</v>
      </c>
      <c r="DN6" cm="1">
        <f t="array" ref="DN6">_xll.EQNXTDZ($A$1,$B6,DN$1)</f>
        <v>148.75</v>
      </c>
      <c r="DO6" cm="1">
        <f t="array" ref="DO6">_xll.EQNXTDZ($A$1,$B6,DO$1)</f>
        <v>147.25</v>
      </c>
      <c r="DP6" cm="1">
        <f t="array" ref="DP6">_xll.EQNXTDZ($A$1,$B6,DP$1)</f>
        <v>138.52500000000001</v>
      </c>
      <c r="DQ6" cm="1">
        <f t="array" ref="DQ6">_xll.EQNXTDZ($A$1,$B6,DQ$1)</f>
        <v>154.25</v>
      </c>
      <c r="DR6" cm="1">
        <f t="array" ref="DR6">_xll.EQNXTDZ($A$1,$B6,DR$1)</f>
        <v>162.5</v>
      </c>
      <c r="DS6" cm="1">
        <f t="array" ref="DS6">_xll.EQNXTDZ($A$1,$B6,DS$1)</f>
        <v>165.92500000000001</v>
      </c>
      <c r="DT6" cm="1">
        <f t="array" ref="DT6">_xll.EQNXTDZ($A$1,$B6,DT$1)</f>
        <v>162.5</v>
      </c>
      <c r="DU6" cm="1">
        <f t="array" ref="DU6">_xll.EQNXTDZ($A$1,$B6,DU$1)</f>
        <v>161.25</v>
      </c>
      <c r="DV6" cm="1">
        <f t="array" ref="DV6">_xll.EQNXTDZ($A$1,$B6,DV$1)</f>
        <v>164</v>
      </c>
      <c r="DW6" cm="1">
        <f t="array" ref="DW6">_xll.EQNXTDZ($A$1,$B6,DW$1)</f>
        <v>165.63749999999999</v>
      </c>
      <c r="DX6" cm="1">
        <f t="array" ref="DX6">_xll.EQNXTDZ($A$1,$B6,DX$1)</f>
        <v>182.4375</v>
      </c>
      <c r="DY6" cm="1">
        <f t="array" ref="DY6">_xll.EQNXTDZ($A$1,$B6,DY$1)</f>
        <v>176.52500000000001</v>
      </c>
      <c r="DZ6" cm="1">
        <f t="array" ref="DZ6">_xll.EQNXTDZ($A$1,$B6,DZ$1)</f>
        <v>176.6875</v>
      </c>
      <c r="EA6" cm="1">
        <f t="array" ref="EA6">_xll.EQNXTDZ($A$1,$B6,EA$1)</f>
        <v>209.25</v>
      </c>
      <c r="EB6" cm="1">
        <f t="array" ref="EB6">_xll.EQNXTDZ($A$1,$B6,EB$1)</f>
        <v>189</v>
      </c>
      <c r="EC6" cm="1">
        <f t="array" ref="EC6">_xll.EQNXTDZ($A$1,$B6,EC$1)</f>
        <v>203.5</v>
      </c>
      <c r="ED6" cm="1">
        <f t="array" ref="ED6">_xll.EQNXTDZ($A$1,$B6,ED$1)</f>
        <v>215.875</v>
      </c>
      <c r="EE6" cm="1">
        <f t="array" ref="EE6">_xll.EQNXTDZ($A$1,$B6,EE$1)</f>
        <v>215</v>
      </c>
      <c r="EF6" cm="1">
        <f t="array" ref="EF6">_xll.EQNXTDZ($A$1,$B6,EF$1)</f>
        <v>218.75</v>
      </c>
      <c r="EG6" cm="1">
        <f t="array" ref="EG6">_xll.EQNXTDZ($A$1,$B6,EG$1)</f>
        <v>292.25</v>
      </c>
      <c r="EH6" cm="1">
        <f t="array" ref="EH6">_xll.EQNXTDZ($A$1,$B6,EH$1)</f>
        <v>351.32499999999999</v>
      </c>
      <c r="EI6" cm="1">
        <f t="array" ref="EI6">_xll.EQNXTDZ($A$1,$B6,EI$1)</f>
        <v>422.32499999999999</v>
      </c>
      <c r="EJ6" cm="1">
        <f t="array" ref="EJ6">_xll.EQNXTDZ($A$1,$B6,EJ$1)</f>
        <v>477.27499999999998</v>
      </c>
      <c r="EK6" cm="1">
        <f t="array" ref="EK6">_xll.EQNXTDZ($A$1,$B6,EK$1)</f>
        <v>675</v>
      </c>
      <c r="EL6" cm="1">
        <f t="array" ref="EL6">_xll.EQNXTDZ($A$1,$B6,EL$1)</f>
        <v>653.5</v>
      </c>
      <c r="EM6" cm="1">
        <f t="array" ref="EM6">_xll.EQNXTDZ($A$1,$B6,EM$1)</f>
        <v>772</v>
      </c>
      <c r="EN6" cm="1">
        <f t="array" ref="EN6">_xll.EQNXTDZ($A$1,$B6,EN$1)</f>
        <v>924.75</v>
      </c>
      <c r="EO6" cm="1">
        <f t="array" ref="EO6">_xll.EQNXTDZ($A$1,$B6,EO$1)</f>
        <v>937.25</v>
      </c>
      <c r="EP6" cm="1">
        <f t="array" ref="EP6">_xll.EQNXTDZ($A$1,$B6,EP$1)</f>
        <v>1007.225</v>
      </c>
      <c r="EQ6" cm="1">
        <f t="array" ref="EQ6">_xll.EQNXTDZ($A$1,$B6,EQ$1)</f>
        <v>1072.5</v>
      </c>
      <c r="ER6" cm="1">
        <f t="array" ref="ER6">_xll.EQNXTDZ($A$1,$B6,ER$1)</f>
        <v>979.4</v>
      </c>
      <c r="ES6" cm="1">
        <f t="array" ref="ES6">_xll.EQNXTDZ($A$1,$B6,ES$1)</f>
        <v>932</v>
      </c>
      <c r="ET6" cm="1">
        <f t="array" ref="ET6">_xll.EQNXTDZ($A$1,$B6,ET$1)</f>
        <v>953.75</v>
      </c>
      <c r="EU6" cm="1">
        <f t="array" ref="EU6">_xll.EQNXTDZ($A$1,$B6,EU$1)</f>
        <v>981.33749999999998</v>
      </c>
      <c r="EV6" cm="1">
        <f t="array" ref="EV6">_xll.EQNXTDZ($A$1,$B6,EV$1)</f>
        <v>1041.8</v>
      </c>
      <c r="EW6" cm="1">
        <f t="array" ref="EW6">_xll.EQNXTDZ($A$1,$B6,EW$1)</f>
        <v>1038.9875</v>
      </c>
      <c r="EX6" cm="1">
        <f t="array" ref="EX6">_xll.EQNXTDZ($A$1,$B6,EX$1)</f>
        <v>992.5</v>
      </c>
      <c r="EY6" cm="1">
        <f t="array" ref="EY6">_xll.EQNXTDZ($A$1,$B6,EY$1)</f>
        <v>915.7</v>
      </c>
      <c r="EZ6" cm="1">
        <f t="array" ref="EZ6">_xll.EQNXTDZ($A$1,$B6,EZ$1)</f>
        <v>1005</v>
      </c>
      <c r="FA6" cm="1">
        <f t="array" ref="FA6">_xll.EQNXTDZ($A$1,$B6,FA$1)</f>
        <v>947.5</v>
      </c>
      <c r="FB6" cm="1">
        <f t="array" ref="FB6">_xll.EQNXTDZ($A$1,$B6,FB$1)</f>
        <v>846.1</v>
      </c>
      <c r="FC6" cm="1">
        <f t="array" ref="FC6">_xll.EQNXTDZ($A$1,$B6,FC$1)</f>
        <v>947.65</v>
      </c>
      <c r="FD6" cm="1">
        <f t="array" ref="FD6">_xll.EQNXTDZ($A$1,$B6,FD$1)</f>
        <v>1085</v>
      </c>
      <c r="FE6" cm="1">
        <f t="array" ref="FE6">_xll.EQNXTDZ($A$1,$B6,FE$1)</f>
        <v>1322.5</v>
      </c>
      <c r="FF6" cm="1">
        <f t="array" ref="FF6">_xll.EQNXTDZ($A$1,$B6,FF$1)</f>
        <v>1403.5</v>
      </c>
      <c r="FG6" cm="1">
        <f t="array" ref="FG6">_xll.EQNXTDZ($A$1,$B6,FG$1)</f>
        <v>1414.5</v>
      </c>
      <c r="FH6" cm="1">
        <f t="array" ref="FH6">_xll.EQNXTDZ($A$1,$B6,FH$1)</f>
        <v>1555.65</v>
      </c>
      <c r="FI6" cm="1">
        <f t="array" ref="FI6">_xll.EQNXTDZ($A$1,$B6,FI$1)</f>
        <v>1461.6</v>
      </c>
      <c r="FJ6" cm="1">
        <f t="array" ref="FJ6">_xll.EQNXTDZ($A$1,$B6,FJ$1)</f>
        <v>1551.5</v>
      </c>
      <c r="FK6" cm="1">
        <f t="array" ref="FK6">_xll.EQNXTDZ($A$1,$B6,FK$1)</f>
        <v>1437.5</v>
      </c>
      <c r="FL6" cm="1">
        <f t="array" ref="FL6">_xll.EQNXTDZ($A$1,$B6,FL$1)</f>
        <v>1501.35</v>
      </c>
      <c r="FM6" cm="1">
        <f t="array" ref="FM6">_xll.EQNXTDZ($A$1,$B6,FM$1)</f>
        <v>1527.5</v>
      </c>
      <c r="FN6" cm="1">
        <f t="array" ref="FN6">_xll.EQNXTDZ($A$1,$B6,FN$1)</f>
        <v>1810</v>
      </c>
      <c r="FO6" cm="1">
        <f t="array" ref="FO6">_xll.EQNXTDZ($A$1,$B6,FO$1)</f>
        <v>1748.95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153.75</v>
      </c>
      <c r="DN7" s="116" cm="1">
        <f t="array" ref="DN7">_xll.EQNXTDZ($A$1,$B7,DN$1)</f>
        <v>163.5</v>
      </c>
      <c r="DO7" s="116" cm="1">
        <f t="array" ref="DO7">_xll.EQNXTDZ($A$1,$B7,DO$1)</f>
        <v>153.44999999999999</v>
      </c>
      <c r="DP7" s="116" cm="1">
        <f t="array" ref="DP7">_xll.EQNXTDZ($A$1,$B7,DP$1)</f>
        <v>155.75</v>
      </c>
      <c r="DQ7" s="116" cm="1">
        <f t="array" ref="DQ7">_xll.EQNXTDZ($A$1,$B7,DQ$1)</f>
        <v>180.33750000000001</v>
      </c>
      <c r="DR7" s="116" cm="1">
        <f t="array" ref="DR7">_xll.EQNXTDZ($A$1,$B7,DR$1)</f>
        <v>167.42500000000001</v>
      </c>
      <c r="DS7" s="116" cm="1">
        <f t="array" ref="DS7">_xll.EQNXTDZ($A$1,$B7,DS$1)</f>
        <v>172.41249999999999</v>
      </c>
      <c r="DT7" s="116" cm="1">
        <f t="array" ref="DT7">_xll.EQNXTDZ($A$1,$B7,DT$1)</f>
        <v>170.98750000000001</v>
      </c>
      <c r="DU7" s="116" cm="1">
        <f t="array" ref="DU7">_xll.EQNXTDZ($A$1,$B7,DU$1)</f>
        <v>173.46250000000001</v>
      </c>
      <c r="DV7" s="116" cm="1">
        <f t="array" ref="DV7">_xll.EQNXTDZ($A$1,$B7,DV$1)</f>
        <v>168.75</v>
      </c>
      <c r="DW7" s="116" cm="1">
        <f t="array" ref="DW7">_xll.EQNXTDZ($A$1,$B7,DW$1)</f>
        <v>184.85</v>
      </c>
      <c r="DX7" s="116" cm="1">
        <f t="array" ref="DX7">_xll.EQNXTDZ($A$1,$B7,DX$1)</f>
        <v>182.4375</v>
      </c>
      <c r="DY7" s="116" cm="1">
        <f t="array" ref="DY7">_xll.EQNXTDZ($A$1,$B7,DY$1)</f>
        <v>179</v>
      </c>
      <c r="DZ7" s="116" cm="1">
        <f t="array" ref="DZ7">_xll.EQNXTDZ($A$1,$B7,DZ$1)</f>
        <v>213.5625</v>
      </c>
      <c r="EA7" s="116" cm="1">
        <f t="array" ref="EA7">_xll.EQNXTDZ($A$1,$B7,EA$1)</f>
        <v>215.625</v>
      </c>
      <c r="EB7" s="116" cm="1">
        <f t="array" ref="EB7">_xll.EQNXTDZ($A$1,$B7,EB$1)</f>
        <v>206.97499999999999</v>
      </c>
      <c r="EC7" s="116" cm="1">
        <f t="array" ref="EC7">_xll.EQNXTDZ($A$1,$B7,EC$1)</f>
        <v>221.13749999999999</v>
      </c>
      <c r="ED7" s="116" cm="1">
        <f t="array" ref="ED7">_xll.EQNXTDZ($A$1,$B7,ED$1)</f>
        <v>225.23750000000001</v>
      </c>
      <c r="EE7" s="116" cm="1">
        <f t="array" ref="EE7">_xll.EQNXTDZ($A$1,$B7,EE$1)</f>
        <v>222.125</v>
      </c>
      <c r="EF7" s="116" cm="1">
        <f t="array" ref="EF7">_xll.EQNXTDZ($A$1,$B7,EF$1)</f>
        <v>294.98750000000001</v>
      </c>
      <c r="EG7" s="116" cm="1">
        <f t="array" ref="EG7">_xll.EQNXTDZ($A$1,$B7,EG$1)</f>
        <v>383.02499999999998</v>
      </c>
      <c r="EH7" s="116" cm="1">
        <f t="array" ref="EH7">_xll.EQNXTDZ($A$1,$B7,EH$1)</f>
        <v>432.48750000000001</v>
      </c>
      <c r="EI7" s="116" cm="1">
        <f t="array" ref="EI7">_xll.EQNXTDZ($A$1,$B7,EI$1)</f>
        <v>493</v>
      </c>
      <c r="EJ7" s="116" cm="1">
        <f t="array" ref="EJ7">_xll.EQNXTDZ($A$1,$B7,EJ$1)</f>
        <v>661.17499999999995</v>
      </c>
      <c r="EK7" s="116" cm="1">
        <f t="array" ref="EK7">_xll.EQNXTDZ($A$1,$B7,EK$1)</f>
        <v>678</v>
      </c>
      <c r="EL7" s="116" cm="1">
        <f t="array" ref="EL7">_xll.EQNXTDZ($A$1,$B7,EL$1)</f>
        <v>775</v>
      </c>
      <c r="EM7" s="116" cm="1">
        <f t="array" ref="EM7">_xll.EQNXTDZ($A$1,$B7,EM$1)</f>
        <v>936.25</v>
      </c>
      <c r="EN7" s="116" cm="1">
        <f t="array" ref="EN7">_xll.EQNXTDZ($A$1,$B7,EN$1)</f>
        <v>1012.5</v>
      </c>
      <c r="EO7" s="116" cm="1">
        <f t="array" ref="EO7">_xll.EQNXTDZ($A$1,$B7,EO$1)</f>
        <v>1062</v>
      </c>
      <c r="EP7" s="116" cm="1">
        <f t="array" ref="EP7">_xll.EQNXTDZ($A$1,$B7,EP$1)</f>
        <v>1074.9875</v>
      </c>
      <c r="EQ7" s="116" cm="1">
        <f t="array" ref="EQ7">_xll.EQNXTDZ($A$1,$B7,EQ$1)</f>
        <v>1074.9875</v>
      </c>
      <c r="ER7" s="116" cm="1">
        <f t="array" ref="ER7">_xll.EQNXTDZ($A$1,$B7,ER$1)</f>
        <v>1073.55</v>
      </c>
      <c r="ES7" s="116" cm="1">
        <f t="array" ref="ES7">_xll.EQNXTDZ($A$1,$B7,ES$1)</f>
        <v>974.5</v>
      </c>
      <c r="ET7" s="116" cm="1">
        <f t="array" ref="ET7">_xll.EQNXTDZ($A$1,$B7,ET$1)</f>
        <v>1012.3875</v>
      </c>
      <c r="EU7" s="116" cm="1">
        <f t="array" ref="EU7">_xll.EQNXTDZ($A$1,$B7,EU$1)</f>
        <v>1095.5</v>
      </c>
      <c r="EV7" s="116" cm="1">
        <f t="array" ref="EV7">_xll.EQNXTDZ($A$1,$B7,EV$1)</f>
        <v>1050</v>
      </c>
      <c r="EW7" s="116" cm="1">
        <f t="array" ref="EW7">_xll.EQNXTDZ($A$1,$B7,EW$1)</f>
        <v>1161.5</v>
      </c>
      <c r="EX7" s="116" cm="1">
        <f t="array" ref="EX7">_xll.EQNXTDZ($A$1,$B7,EX$1)</f>
        <v>1062.5</v>
      </c>
      <c r="EY7" s="116" cm="1">
        <f t="array" ref="EY7">_xll.EQNXTDZ($A$1,$B7,EY$1)</f>
        <v>1042.6624999999999</v>
      </c>
      <c r="EZ7" s="116" cm="1">
        <f t="array" ref="EZ7">_xll.EQNXTDZ($A$1,$B7,EZ$1)</f>
        <v>1062.7249999999999</v>
      </c>
      <c r="FA7" s="116" cm="1">
        <f t="array" ref="FA7">_xll.EQNXTDZ($A$1,$B7,FA$1)</f>
        <v>951.42499999999995</v>
      </c>
      <c r="FB7" s="116" cm="1">
        <f t="array" ref="FB7">_xll.EQNXTDZ($A$1,$B7,FB$1)</f>
        <v>986.95</v>
      </c>
      <c r="FC7" s="116" cm="1">
        <f t="array" ref="FC7">_xll.EQNXTDZ($A$1,$B7,FC$1)</f>
        <v>1092.5</v>
      </c>
      <c r="FD7" s="116" cm="1">
        <f t="array" ref="FD7">_xll.EQNXTDZ($A$1,$B7,FD$1)</f>
        <v>1365</v>
      </c>
      <c r="FE7" s="116" cm="1">
        <f t="array" ref="FE7">_xll.EQNXTDZ($A$1,$B7,FE$1)</f>
        <v>1424.55</v>
      </c>
      <c r="FF7" s="116" cm="1">
        <f t="array" ref="FF7">_xll.EQNXTDZ($A$1,$B7,FF$1)</f>
        <v>1545.2</v>
      </c>
      <c r="FG7" s="116" cm="1">
        <f t="array" ref="FG7">_xll.EQNXTDZ($A$1,$B7,FG$1)</f>
        <v>1660.7</v>
      </c>
      <c r="FH7" s="116" cm="1">
        <f t="array" ref="FH7">_xll.EQNXTDZ($A$1,$B7,FH$1)</f>
        <v>1584</v>
      </c>
      <c r="FI7" s="116" cm="1">
        <f t="array" ref="FI7">_xll.EQNXTDZ($A$1,$B7,FI$1)</f>
        <v>1568.5</v>
      </c>
      <c r="FJ7" s="116" cm="1">
        <f t="array" ref="FJ7">_xll.EQNXTDZ($A$1,$B7,FJ$1)</f>
        <v>1602.75</v>
      </c>
      <c r="FK7" s="116" cm="1">
        <f t="array" ref="FK7">_xll.EQNXTDZ($A$1,$B7,FK$1)</f>
        <v>1548.5</v>
      </c>
      <c r="FL7" s="116" cm="1">
        <f t="array" ref="FL7">_xll.EQNXTDZ($A$1,$B7,FL$1)</f>
        <v>1620.5</v>
      </c>
      <c r="FM7" s="116" cm="1">
        <f t="array" ref="FM7">_xll.EQNXTDZ($A$1,$B7,FM$1)</f>
        <v>1867.5</v>
      </c>
      <c r="FN7" s="116" cm="1">
        <f t="array" ref="FN7">_xll.EQNXTDZ($A$1,$B7,FN$1)</f>
        <v>1849.5</v>
      </c>
      <c r="FO7" s="116" cm="1">
        <f t="array" ref="FO7">_xll.EQNXTDZ($A$1,$B7,FO$1)</f>
        <v>1821.3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153.75</v>
      </c>
      <c r="JB7" s="116">
        <f>+MAX(DN7:DP7)</f>
        <v>163.5</v>
      </c>
      <c r="JC7" s="116">
        <f>+MAX(DQ7:DS7)</f>
        <v>180.33750000000001</v>
      </c>
      <c r="JD7" s="116">
        <f>+MAX(DT7:DV7)</f>
        <v>173.46250000000001</v>
      </c>
      <c r="JE7" s="116">
        <f>+MAX(DW7:DY7)</f>
        <v>184.85</v>
      </c>
      <c r="JF7" s="116">
        <f>+MAX(DZ7:EB7)</f>
        <v>215.625</v>
      </c>
      <c r="JG7" s="116">
        <f>+MAX(EC7:EE7)</f>
        <v>225.23750000000001</v>
      </c>
      <c r="JH7" s="116">
        <f>+MAX(EF7:EH7)</f>
        <v>432.48750000000001</v>
      </c>
      <c r="JI7" s="116">
        <f>+MAX(EI7:EK7)</f>
        <v>678</v>
      </c>
      <c r="JJ7" s="116">
        <f>+MAX(EL7:EN7)</f>
        <v>1012.5</v>
      </c>
      <c r="JK7" s="116">
        <f>MAX(EO7:EQ7)</f>
        <v>1074.9875</v>
      </c>
      <c r="JL7" s="116">
        <f>MAX(ER7:ET7)</f>
        <v>1073.55</v>
      </c>
      <c r="JM7" s="116">
        <f>MAX(EU7:EW7)</f>
        <v>1161.5</v>
      </c>
      <c r="JN7" s="116">
        <f>MAX(EX7:EZ7)</f>
        <v>1062.7249999999999</v>
      </c>
      <c r="JO7" s="116">
        <f>MAX(FA7:FC7)</f>
        <v>1092.5</v>
      </c>
      <c r="JP7" s="116">
        <f>MAX(FD7:FF7)</f>
        <v>1545.2</v>
      </c>
      <c r="JQ7" s="116">
        <f>MAX(FG7:FI7)</f>
        <v>1660.7</v>
      </c>
      <c r="JR7" s="116">
        <f>MAX(FJ7:FL7)</f>
        <v>1620.5</v>
      </c>
      <c r="JS7" s="116">
        <f>MAX(FM7:FO7)</f>
        <v>1867.5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135.65</v>
      </c>
      <c r="DN8" s="116" cm="1">
        <f t="array" ref="DN8">_xll.EQNXTDZ($A$1,$B8,DN$1)</f>
        <v>142.75</v>
      </c>
      <c r="DO8" s="116" cm="1">
        <f t="array" ref="DO8">_xll.EQNXTDZ($A$1,$B8,DO$1)</f>
        <v>135.51249999999999</v>
      </c>
      <c r="DP8" s="116" cm="1">
        <f t="array" ref="DP8">_xll.EQNXTDZ($A$1,$B8,DP$1)</f>
        <v>138</v>
      </c>
      <c r="DQ8" s="116" cm="1">
        <f t="array" ref="DQ8">_xll.EQNXTDZ($A$1,$B8,DQ$1)</f>
        <v>151.30000000000001</v>
      </c>
      <c r="DR8" s="116" cm="1">
        <f t="array" ref="DR8">_xll.EQNXTDZ($A$1,$B8,DR$1)</f>
        <v>151.8125</v>
      </c>
      <c r="DS8" s="116" cm="1">
        <f t="array" ref="DS8">_xll.EQNXTDZ($A$1,$B8,DS$1)</f>
        <v>153</v>
      </c>
      <c r="DT8" s="116" cm="1">
        <f t="array" ref="DT8">_xll.EQNXTDZ($A$1,$B8,DT$1)</f>
        <v>156.77500000000001</v>
      </c>
      <c r="DU8" s="116" cm="1">
        <f t="array" ref="DU8">_xll.EQNXTDZ($A$1,$B8,DU$1)</f>
        <v>159.875</v>
      </c>
      <c r="DV8" s="116" cm="1">
        <f t="array" ref="DV8">_xll.EQNXTDZ($A$1,$B8,DV$1)</f>
        <v>161</v>
      </c>
      <c r="DW8" s="116" cm="1">
        <f t="array" ref="DW8">_xll.EQNXTDZ($A$1,$B8,DW$1)</f>
        <v>163.5</v>
      </c>
      <c r="DX8" s="116" cm="1">
        <f t="array" ref="DX8">_xll.EQNXTDZ($A$1,$B8,DX$1)</f>
        <v>174.4375</v>
      </c>
      <c r="DY8" s="116" cm="1">
        <f t="array" ref="DY8">_xll.EQNXTDZ($A$1,$B8,DY$1)</f>
        <v>163.9375</v>
      </c>
      <c r="DZ8" s="116" cm="1">
        <f t="array" ref="DZ8">_xll.EQNXTDZ($A$1,$B8,DZ$1)</f>
        <v>175.21250000000001</v>
      </c>
      <c r="EA8" s="116" cm="1">
        <f t="array" ref="EA8">_xll.EQNXTDZ($A$1,$B8,EA$1)</f>
        <v>183.88749999999999</v>
      </c>
      <c r="EB8" s="116" cm="1">
        <f t="array" ref="EB8">_xll.EQNXTDZ($A$1,$B8,EB$1)</f>
        <v>185.5</v>
      </c>
      <c r="EC8" s="116" cm="1">
        <f t="array" ref="EC8">_xll.EQNXTDZ($A$1,$B8,EC$1)</f>
        <v>198.8</v>
      </c>
      <c r="ED8" s="116" cm="1">
        <f t="array" ref="ED8">_xll.EQNXTDZ($A$1,$B8,ED$1)</f>
        <v>208.9375</v>
      </c>
      <c r="EE8" s="116" cm="1">
        <f t="array" ref="EE8">_xll.EQNXTDZ($A$1,$B8,EE$1)</f>
        <v>211.27500000000001</v>
      </c>
      <c r="EF8" s="116" cm="1">
        <f t="array" ref="EF8">_xll.EQNXTDZ($A$1,$B8,EF$1)</f>
        <v>216</v>
      </c>
      <c r="EG8" s="116" cm="1">
        <f t="array" ref="EG8">_xll.EQNXTDZ($A$1,$B8,EG$1)</f>
        <v>292.23750000000001</v>
      </c>
      <c r="EH8" s="116" cm="1">
        <f t="array" ref="EH8">_xll.EQNXTDZ($A$1,$B8,EH$1)</f>
        <v>337.75</v>
      </c>
      <c r="EI8" s="116" cm="1">
        <f t="array" ref="EI8">_xll.EQNXTDZ($A$1,$B8,EI$1)</f>
        <v>413</v>
      </c>
      <c r="EJ8" s="116" cm="1">
        <f t="array" ref="EJ8">_xll.EQNXTDZ($A$1,$B8,EJ$1)</f>
        <v>477.27499999999998</v>
      </c>
      <c r="EK8" s="116" cm="1">
        <f t="array" ref="EK8">_xll.EQNXTDZ($A$1,$B8,EK$1)</f>
        <v>597.5</v>
      </c>
      <c r="EL8" s="116" cm="1">
        <f t="array" ref="EL8">_xll.EQNXTDZ($A$1,$B8,EL$1)</f>
        <v>627.51250000000005</v>
      </c>
      <c r="EM8" s="116" cm="1">
        <f t="array" ref="EM8">_xll.EQNXTDZ($A$1,$B8,EM$1)</f>
        <v>767.5</v>
      </c>
      <c r="EN8" s="116" cm="1">
        <f t="array" ref="EN8">_xll.EQNXTDZ($A$1,$B8,EN$1)</f>
        <v>860</v>
      </c>
      <c r="EO8" s="116" cm="1">
        <f t="array" ref="EO8">_xll.EQNXTDZ($A$1,$B8,EO$1)</f>
        <v>856</v>
      </c>
      <c r="EP8" s="116" cm="1">
        <f t="array" ref="EP8">_xll.EQNXTDZ($A$1,$B8,EP$1)</f>
        <v>962.5</v>
      </c>
      <c r="EQ8" s="116" cm="1">
        <f t="array" ref="EQ8">_xll.EQNXTDZ($A$1,$B8,EQ$1)</f>
        <v>885.32500000000005</v>
      </c>
      <c r="ER8" s="116" cm="1">
        <f t="array" ref="ER8">_xll.EQNXTDZ($A$1,$B8,ER$1)</f>
        <v>855.07500000000005</v>
      </c>
      <c r="ES8" s="116" cm="1">
        <f t="array" ref="ES8">_xll.EQNXTDZ($A$1,$B8,ES$1)</f>
        <v>866.58749999999998</v>
      </c>
      <c r="ET8" s="116" cm="1">
        <f t="array" ref="ET8">_xll.EQNXTDZ($A$1,$B8,ET$1)</f>
        <v>938.55</v>
      </c>
      <c r="EU8" s="116" cm="1">
        <f t="array" ref="EU8">_xll.EQNXTDZ($A$1,$B8,EU$1)</f>
        <v>951.5</v>
      </c>
      <c r="EV8" s="116" cm="1">
        <f t="array" ref="EV8">_xll.EQNXTDZ($A$1,$B8,EV$1)</f>
        <v>940.6875</v>
      </c>
      <c r="EW8" s="116" cm="1">
        <f t="array" ref="EW8">_xll.EQNXTDZ($A$1,$B8,EW$1)</f>
        <v>965.78750000000002</v>
      </c>
      <c r="EX8" s="116" cm="1">
        <f t="array" ref="EX8">_xll.EQNXTDZ($A$1,$B8,EX$1)</f>
        <v>845.32500000000005</v>
      </c>
      <c r="EY8" s="116" cm="1">
        <f t="array" ref="EY8">_xll.EQNXTDZ($A$1,$B8,EY$1)</f>
        <v>878.16250000000002</v>
      </c>
      <c r="EZ8" s="116" cm="1">
        <f t="array" ref="EZ8">_xll.EQNXTDZ($A$1,$B8,EZ$1)</f>
        <v>797</v>
      </c>
      <c r="FA8" s="116" cm="1">
        <f t="array" ref="FA8">_xll.EQNXTDZ($A$1,$B8,FA$1)</f>
        <v>800</v>
      </c>
      <c r="FB8" s="116" cm="1">
        <f t="array" ref="FB8">_xll.EQNXTDZ($A$1,$B8,FB$1)</f>
        <v>820.5</v>
      </c>
      <c r="FC8" s="116" cm="1">
        <f t="array" ref="FC8">_xll.EQNXTDZ($A$1,$B8,FC$1)</f>
        <v>947.65</v>
      </c>
      <c r="FD8" s="116" cm="1">
        <f t="array" ref="FD8">_xll.EQNXTDZ($A$1,$B8,FD$1)</f>
        <v>1017.05</v>
      </c>
      <c r="FE8" s="116" cm="1">
        <f t="array" ref="FE8">_xll.EQNXTDZ($A$1,$B8,FE$1)</f>
        <v>1270</v>
      </c>
      <c r="FF8" s="116" cm="1">
        <f t="array" ref="FF8">_xll.EQNXTDZ($A$1,$B8,FF$1)</f>
        <v>1380</v>
      </c>
      <c r="FG8" s="116" cm="1">
        <f t="array" ref="FG8">_xll.EQNXTDZ($A$1,$B8,FG$1)</f>
        <v>1387.55</v>
      </c>
      <c r="FH8" s="116" cm="1">
        <f t="array" ref="FH8">_xll.EQNXTDZ($A$1,$B8,FH$1)</f>
        <v>1385.75</v>
      </c>
      <c r="FI8" s="116" cm="1">
        <f t="array" ref="FI8">_xll.EQNXTDZ($A$1,$B8,FI$1)</f>
        <v>1396.5</v>
      </c>
      <c r="FJ8" s="116" cm="1">
        <f t="array" ref="FJ8">_xll.EQNXTDZ($A$1,$B8,FJ$1)</f>
        <v>1353.85</v>
      </c>
      <c r="FK8" s="116" cm="1">
        <f t="array" ref="FK8">_xll.EQNXTDZ($A$1,$B8,FK$1)</f>
        <v>1413.5</v>
      </c>
      <c r="FL8" s="116" cm="1">
        <f t="array" ref="FL8">_xll.EQNXTDZ($A$1,$B8,FL$1)</f>
        <v>1451.5</v>
      </c>
      <c r="FM8" s="116" cm="1">
        <f t="array" ref="FM8">_xll.EQNXTDZ($A$1,$B8,FM$1)</f>
        <v>1525</v>
      </c>
      <c r="FN8" s="116" cm="1">
        <f t="array" ref="FN8">_xll.EQNXTDZ($A$1,$B8,FN$1)</f>
        <v>1715.35</v>
      </c>
      <c r="FO8" s="116" cm="1">
        <f t="array" ref="FO8">_xll.EQNXTDZ($A$1,$B8,FO$1)</f>
        <v>1710.6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135.51249999999999</v>
      </c>
      <c r="JC8" s="116">
        <f>+MIN(DQ8:DS8)</f>
        <v>151.30000000000001</v>
      </c>
      <c r="JD8" s="116">
        <f>+MIN(DT8:DV8)</f>
        <v>156.77500000000001</v>
      </c>
      <c r="JE8" s="116">
        <f>+MIN(DW8:DY8)</f>
        <v>163.5</v>
      </c>
      <c r="JF8" s="116">
        <f>+MIN(DZ8:EB8)</f>
        <v>175.21250000000001</v>
      </c>
      <c r="JG8" s="116">
        <f>+MIN(EC8:EE8)</f>
        <v>198.8</v>
      </c>
      <c r="JH8" s="116">
        <f>+MIN(EF8:EH8)</f>
        <v>216</v>
      </c>
      <c r="JI8" s="116">
        <f>+MIN(EI8:EK8)</f>
        <v>413</v>
      </c>
      <c r="JJ8" s="116">
        <f>+MIN(EL8:EN8)</f>
        <v>627.51250000000005</v>
      </c>
      <c r="JK8" s="116">
        <f>MIN(EO8:EQ8)</f>
        <v>856</v>
      </c>
      <c r="JL8" s="116">
        <f>MIN(ER8:ET8)</f>
        <v>855.07500000000005</v>
      </c>
      <c r="JM8" s="116">
        <f>MIN(EU8:EW8)</f>
        <v>940.6875</v>
      </c>
      <c r="JN8" s="116">
        <f>MIN(EX8:EZ8)</f>
        <v>797</v>
      </c>
      <c r="JO8" s="116">
        <f>MIN(FA8:FC8)</f>
        <v>800</v>
      </c>
      <c r="JP8" s="116">
        <f>MIN(FD8:FF8)</f>
        <v>1017.05</v>
      </c>
      <c r="JQ8" s="116">
        <f>MIN(FG8:FI8)</f>
        <v>1385.75</v>
      </c>
      <c r="JR8" s="116">
        <f>MIN(FJ8:FL8)</f>
        <v>1353.85</v>
      </c>
      <c r="JS8" s="116">
        <f>MIN(FM8:FO8)</f>
        <v>1525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147.125</v>
      </c>
      <c r="DN9" s="116" cm="1">
        <f t="array" ref="DN9">_xll.EQNXTDZ($A$1,$B9,DN$1)</f>
        <v>146.125</v>
      </c>
      <c r="DO9" s="116" cm="1">
        <f t="array" ref="DO9">_xll.EQNXTDZ($A$1,$B9,DO$1)</f>
        <v>139.75</v>
      </c>
      <c r="DP9" s="116" cm="1">
        <f t="array" ref="DP9">_xll.EQNXTDZ($A$1,$B9,DP$1)</f>
        <v>151.57499999999999</v>
      </c>
      <c r="DQ9" s="116" cm="1">
        <f t="array" ref="DQ9">_xll.EQNXTDZ($A$1,$B9,DQ$1)</f>
        <v>162.15</v>
      </c>
      <c r="DR9" s="116" cm="1">
        <f t="array" ref="DR9">_xll.EQNXTDZ($A$1,$B9,DR$1)</f>
        <v>165.3</v>
      </c>
      <c r="DS9" s="116" cm="1">
        <f t="array" ref="DS9">_xll.EQNXTDZ($A$1,$B9,DS$1)</f>
        <v>164.17500000000001</v>
      </c>
      <c r="DT9" s="116" cm="1">
        <f t="array" ref="DT9">_xll.EQNXTDZ($A$1,$B9,DT$1)</f>
        <v>160.26249999999999</v>
      </c>
      <c r="DU9" s="116" cm="1">
        <f t="array" ref="DU9">_xll.EQNXTDZ($A$1,$B9,DU$1)</f>
        <v>164.125</v>
      </c>
      <c r="DV9" s="116" cm="1">
        <f t="array" ref="DV9">_xll.EQNXTDZ($A$1,$B9,DV$1)</f>
        <v>164</v>
      </c>
      <c r="DW9" s="116" cm="1">
        <f t="array" ref="DW9">_xll.EQNXTDZ($A$1,$B9,DW$1)</f>
        <v>180.66249999999999</v>
      </c>
      <c r="DX9" s="116" cm="1">
        <f t="array" ref="DX9">_xll.EQNXTDZ($A$1,$B9,DX$1)</f>
        <v>176.48750000000001</v>
      </c>
      <c r="DY9" s="116" cm="1">
        <f t="array" ref="DY9">_xll.EQNXTDZ($A$1,$B9,DY$1)</f>
        <v>175.38749999999999</v>
      </c>
      <c r="DZ9" s="116" cm="1">
        <f t="array" ref="DZ9">_xll.EQNXTDZ($A$1,$B9,DZ$1)</f>
        <v>208.125</v>
      </c>
      <c r="EA9" s="116" cm="1">
        <f t="array" ref="EA9">_xll.EQNXTDZ($A$1,$B9,EA$1)</f>
        <v>188.02500000000001</v>
      </c>
      <c r="EB9" s="116" cm="1">
        <f t="array" ref="EB9">_xll.EQNXTDZ($A$1,$B9,EB$1)</f>
        <v>201.92500000000001</v>
      </c>
      <c r="EC9" s="116" cm="1">
        <f t="array" ref="EC9">_xll.EQNXTDZ($A$1,$B9,EC$1)</f>
        <v>215.88749999999999</v>
      </c>
      <c r="ED9" s="116" cm="1">
        <f t="array" ref="ED9">_xll.EQNXTDZ($A$1,$B9,ED$1)</f>
        <v>215.03749999999999</v>
      </c>
      <c r="EE9" s="116" cm="1">
        <f t="array" ref="EE9">_xll.EQNXTDZ($A$1,$B9,EE$1)</f>
        <v>216.48750000000001</v>
      </c>
      <c r="EF9" s="116" cm="1">
        <f t="array" ref="EF9">_xll.EQNXTDZ($A$1,$B9,EF$1)</f>
        <v>290.85000000000002</v>
      </c>
      <c r="EG9" s="116" cm="1">
        <f t="array" ref="EG9">_xll.EQNXTDZ($A$1,$B9,EG$1)</f>
        <v>356.625</v>
      </c>
      <c r="EH9" s="116" cm="1">
        <f t="array" ref="EH9">_xll.EQNXTDZ($A$1,$B9,EH$1)</f>
        <v>420.2</v>
      </c>
      <c r="EI9" s="116" cm="1">
        <f t="array" ref="EI9">_xll.EQNXTDZ($A$1,$B9,EI$1)</f>
        <v>477.27499999999998</v>
      </c>
      <c r="EJ9" s="116" cm="1">
        <f t="array" ref="EJ9">_xll.EQNXTDZ($A$1,$B9,EJ$1)</f>
        <v>648.875</v>
      </c>
      <c r="EK9" s="116" cm="1">
        <f t="array" ref="EK9">_xll.EQNXTDZ($A$1,$B9,EK$1)</f>
        <v>648.42499999999995</v>
      </c>
      <c r="EL9" s="116" cm="1">
        <f t="array" ref="EL9">_xll.EQNXTDZ($A$1,$B9,EL$1)</f>
        <v>764.5625</v>
      </c>
      <c r="EM9" s="116" cm="1">
        <f t="array" ref="EM9">_xll.EQNXTDZ($A$1,$B9,EM$1)</f>
        <v>914.2</v>
      </c>
      <c r="EN9" s="116" cm="1">
        <f t="array" ref="EN9">_xll.EQNXTDZ($A$1,$B9,EN$1)</f>
        <v>923.58749999999998</v>
      </c>
      <c r="EO9" s="116" cm="1">
        <f t="array" ref="EO9">_xll.EQNXTDZ($A$1,$B9,EO$1)</f>
        <v>999.5625</v>
      </c>
      <c r="EP9" s="116" cm="1">
        <f t="array" ref="EP9">_xll.EQNXTDZ($A$1,$B9,EP$1)</f>
        <v>1048.8499999999999</v>
      </c>
      <c r="EQ9" s="116" cm="1">
        <f t="array" ref="EQ9">_xll.EQNXTDZ($A$1,$B9,EQ$1)</f>
        <v>976.96249999999998</v>
      </c>
      <c r="ER9" s="116" cm="1">
        <f t="array" ref="ER9">_xll.EQNXTDZ($A$1,$B9,ER$1)</f>
        <v>944.58749999999998</v>
      </c>
      <c r="ES9" s="116" cm="1">
        <f t="array" ref="ES9">_xll.EQNXTDZ($A$1,$B9,ES$1)</f>
        <v>953.45</v>
      </c>
      <c r="ET9" s="116" cm="1">
        <f t="array" ref="ET9">_xll.EQNXTDZ($A$1,$B9,ET$1)</f>
        <v>981.33749999999998</v>
      </c>
      <c r="EU9" s="116" cm="1">
        <f t="array" ref="EU9">_xll.EQNXTDZ($A$1,$B9,EU$1)</f>
        <v>1031.4875</v>
      </c>
      <c r="EV9" s="116" cm="1">
        <f t="array" ref="EV9">_xll.EQNXTDZ($A$1,$B9,EV$1)</f>
        <v>1039.0125</v>
      </c>
      <c r="EW9" s="116" cm="1">
        <f t="array" ref="EW9">_xll.EQNXTDZ($A$1,$B9,EW$1)</f>
        <v>986.01250000000005</v>
      </c>
      <c r="EX9" s="116" cm="1">
        <f t="array" ref="EX9">_xll.EQNXTDZ($A$1,$B9,EX$1)</f>
        <v>915.55</v>
      </c>
      <c r="EY9" s="116" cm="1">
        <f t="array" ref="EY9">_xll.EQNXTDZ($A$1,$B9,EY$1)</f>
        <v>1000.2625</v>
      </c>
      <c r="EZ9" s="116" cm="1">
        <f t="array" ref="EZ9">_xll.EQNXTDZ($A$1,$B9,EZ$1)</f>
        <v>956.1</v>
      </c>
      <c r="FA9" s="116" cm="1">
        <f t="array" ref="FA9">_xll.EQNXTDZ($A$1,$B9,FA$1)</f>
        <v>850.9</v>
      </c>
      <c r="FB9" s="116" cm="1">
        <f t="array" ref="FB9">_xll.EQNXTDZ($A$1,$B9,FB$1)</f>
        <v>938.25</v>
      </c>
      <c r="FC9" s="116" cm="1">
        <f t="array" ref="FC9">_xll.EQNXTDZ($A$1,$B9,FC$1)</f>
        <v>1079.8499999999999</v>
      </c>
      <c r="FD9" s="116" cm="1">
        <f t="array" ref="FD9">_xll.EQNXTDZ($A$1,$B9,FD$1)</f>
        <v>1322.8</v>
      </c>
      <c r="FE9" s="116" cm="1">
        <f t="array" ref="FE9">_xll.EQNXTDZ($A$1,$B9,FE$1)</f>
        <v>1396.95</v>
      </c>
      <c r="FF9" s="116" cm="1">
        <f t="array" ref="FF9">_xll.EQNXTDZ($A$1,$B9,FF$1)</f>
        <v>1413.4</v>
      </c>
      <c r="FG9" s="116" cm="1">
        <f t="array" ref="FG9">_xll.EQNXTDZ($A$1,$B9,FG$1)</f>
        <v>1544.2</v>
      </c>
      <c r="FH9" s="116" cm="1">
        <f t="array" ref="FH9">_xll.EQNXTDZ($A$1,$B9,FH$1)</f>
        <v>1444.45</v>
      </c>
      <c r="FI9" s="116" cm="1">
        <f t="array" ref="FI9">_xll.EQNXTDZ($A$1,$B9,FI$1)</f>
        <v>1556.2</v>
      </c>
      <c r="FJ9" s="116" cm="1">
        <f t="array" ref="FJ9">_xll.EQNXTDZ($A$1,$B9,FJ$1)</f>
        <v>1442.7</v>
      </c>
      <c r="FK9" s="116" cm="1">
        <f t="array" ref="FK9">_xll.EQNXTDZ($A$1,$B9,FK$1)</f>
        <v>1537.95</v>
      </c>
      <c r="FL9" s="116" cm="1">
        <f t="array" ref="FL9">_xll.EQNXTDZ($A$1,$B9,FL$1)</f>
        <v>1517.7</v>
      </c>
      <c r="FM9" s="116" cm="1">
        <f t="array" ref="FM9">_xll.EQNXTDZ($A$1,$B9,FM$1)</f>
        <v>1800.8</v>
      </c>
      <c r="FN9" s="116" cm="1">
        <f t="array" ref="FN9">_xll.EQNXTDZ($A$1,$B9,FN$1)</f>
        <v>1725.35</v>
      </c>
      <c r="FO9" s="116" cm="1">
        <f t="array" ref="FO9">_xll.EQNXTDZ($A$1,$B9,FO$1)</f>
        <v>1765.3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147.125</v>
      </c>
      <c r="JB9" s="116">
        <f>+DP9</f>
        <v>151.57499999999999</v>
      </c>
      <c r="JC9" s="116">
        <f>+DS9</f>
        <v>164.17500000000001</v>
      </c>
      <c r="JD9" s="116">
        <f>+DV9</f>
        <v>164</v>
      </c>
      <c r="JE9" s="116">
        <f>+DY9</f>
        <v>175.38749999999999</v>
      </c>
      <c r="JF9" s="116">
        <f>+EB9</f>
        <v>201.92500000000001</v>
      </c>
      <c r="JG9" s="116">
        <f>+EE9</f>
        <v>216.48750000000001</v>
      </c>
      <c r="JH9" s="116">
        <f>+EH9</f>
        <v>420.2</v>
      </c>
      <c r="JI9" s="116">
        <f>+EK9</f>
        <v>648.42499999999995</v>
      </c>
      <c r="JJ9" s="116">
        <f>+EN9</f>
        <v>923.58749999999998</v>
      </c>
      <c r="JK9" s="116">
        <f>EQ9</f>
        <v>976.96249999999998</v>
      </c>
      <c r="JL9" s="116">
        <f>ET9</f>
        <v>981.33749999999998</v>
      </c>
      <c r="JM9" s="116">
        <f>EW9</f>
        <v>986.01250000000005</v>
      </c>
      <c r="JN9" s="116">
        <f>EZ9</f>
        <v>956.1</v>
      </c>
      <c r="JO9" s="116">
        <f>FC9</f>
        <v>1079.8499999999999</v>
      </c>
      <c r="JP9" s="116">
        <f>FF9</f>
        <v>1413.4</v>
      </c>
      <c r="JQ9" s="116">
        <f>FI9</f>
        <v>1556.2</v>
      </c>
      <c r="JR9" s="116">
        <f>FL9</f>
        <v>1517.7</v>
      </c>
      <c r="JS9" s="116">
        <f>FO9</f>
        <v>1765.3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150.51249999999999</v>
      </c>
      <c r="DN13" cm="1">
        <f t="array" ref="DN13">_xll.EQNXTDZ($A$1,$B13,DN$1)</f>
        <v>147.27500000000001</v>
      </c>
      <c r="DO13" cm="1">
        <f t="array" ref="DO13">_xll.EQNXTDZ($A$1,$B13,DO$1)</f>
        <v>147.5</v>
      </c>
      <c r="DP13" cm="1">
        <f t="array" ref="DP13">_xll.EQNXTDZ($A$1,$B13,DP$1)</f>
        <v>139.66249999999999</v>
      </c>
      <c r="DQ13" cm="1">
        <f t="array" ref="DQ13">_xll.EQNXTDZ($A$1,$B13,DQ$1)</f>
        <v>152.80000000000001</v>
      </c>
      <c r="DR13" cm="1">
        <f t="array" ref="DR13">_xll.EQNXTDZ($A$1,$B13,DR$1)</f>
        <v>162.26249999999999</v>
      </c>
      <c r="DS13" cm="1">
        <f t="array" ref="DS13">_xll.EQNXTDZ($A$1,$B13,DS$1)</f>
        <v>165.38749999999999</v>
      </c>
      <c r="DT13" cm="1">
        <f t="array" ref="DT13">_xll.EQNXTDZ($A$1,$B13,DT$1)</f>
        <v>166.25</v>
      </c>
      <c r="DU13" cm="1">
        <f t="array" ref="DU13">_xll.EQNXTDZ($A$1,$B13,DU$1)</f>
        <v>161.26249999999999</v>
      </c>
      <c r="DV13" cm="1">
        <f t="array" ref="DV13">_xll.EQNXTDZ($A$1,$B13,DV$1)</f>
        <v>163.98750000000001</v>
      </c>
      <c r="DW13" cm="1">
        <f t="array" ref="DW13">_xll.EQNXTDZ($A$1,$B13,DW$1)</f>
        <v>165.53749999999999</v>
      </c>
      <c r="DX13" cm="1">
        <f t="array" ref="DX13">_xll.EQNXTDZ($A$1,$B13,DX$1)</f>
        <v>181.96250000000001</v>
      </c>
      <c r="DY13" cm="1">
        <f t="array" ref="DY13">_xll.EQNXTDZ($A$1,$B13,DY$1)</f>
        <v>177.25</v>
      </c>
      <c r="DZ13" cm="1">
        <f t="array" ref="DZ13">_xll.EQNXTDZ($A$1,$B13,DZ$1)</f>
        <v>176</v>
      </c>
      <c r="EA13" cm="1">
        <f t="array" ref="EA13">_xll.EQNXTDZ($A$1,$B13,EA$1)</f>
        <v>214.96250000000001</v>
      </c>
      <c r="EB13" cm="1">
        <f t="array" ref="EB13">_xll.EQNXTDZ($A$1,$B13,EB$1)</f>
        <v>187.92500000000001</v>
      </c>
      <c r="EC13" cm="1">
        <f t="array" ref="EC13">_xll.EQNXTDZ($A$1,$B13,EC$1)</f>
        <v>203.36250000000001</v>
      </c>
      <c r="ED13" cm="1">
        <f t="array" ref="ED13">_xll.EQNXTDZ($A$1,$B13,ED$1)</f>
        <v>211.57499999999999</v>
      </c>
      <c r="EE13" cm="1">
        <f t="array" ref="EE13">_xll.EQNXTDZ($A$1,$B13,EE$1)</f>
        <v>216.25</v>
      </c>
      <c r="EF13" cm="1">
        <f t="array" ref="EF13">_xll.EQNXTDZ($A$1,$B13,EF$1)</f>
        <v>212.78749999999999</v>
      </c>
      <c r="EG13" cm="1">
        <f t="array" ref="EG13">_xll.EQNXTDZ($A$1,$B13,EG$1)</f>
        <v>297.98750000000001</v>
      </c>
      <c r="EH13" cm="1">
        <f t="array" ref="EH13">_xll.EQNXTDZ($A$1,$B13,EH$1)</f>
        <v>352.41250000000002</v>
      </c>
      <c r="EI13" cm="1">
        <f t="array" ref="EI13">_xll.EQNXTDZ($A$1,$B13,EI$1)</f>
        <v>419.9</v>
      </c>
      <c r="EJ13" cm="1">
        <f t="array" ref="EJ13">_xll.EQNXTDZ($A$1,$B13,EJ$1)</f>
        <v>480.73750000000001</v>
      </c>
      <c r="EK13" cm="1">
        <f t="array" ref="EK13">_xll.EQNXTDZ($A$1,$B13,EK$1)</f>
        <v>666.22500000000002</v>
      </c>
      <c r="EL13" cm="1">
        <f t="array" ref="EL13">_xll.EQNXTDZ($A$1,$B13,EL$1)</f>
        <v>650.51250000000005</v>
      </c>
      <c r="EM13" cm="1">
        <f t="array" ref="EM13">_xll.EQNXTDZ($A$1,$B13,EM$1)</f>
        <v>763.88750000000005</v>
      </c>
      <c r="EN13" cm="1">
        <f t="array" ref="EN13">_xll.EQNXTDZ($A$1,$B13,EN$1)</f>
        <v>931.08749999999998</v>
      </c>
      <c r="EO13" cm="1">
        <f t="array" ref="EO13">_xll.EQNXTDZ($A$1,$B13,EO$1)</f>
        <v>940.97500000000002</v>
      </c>
      <c r="EP13" cm="1">
        <f t="array" ref="EP13">_xll.EQNXTDZ($A$1,$B13,EP$1)</f>
        <v>1003.8375</v>
      </c>
      <c r="EQ13" cm="1">
        <f t="array" ref="EQ13">_xll.EQNXTDZ($A$1,$B13,EQ$1)</f>
        <v>1074.7249999999999</v>
      </c>
      <c r="ER13" cm="1">
        <f t="array" ref="ER13">_xll.EQNXTDZ($A$1,$B13,ER$1)</f>
        <v>960.08749999999998</v>
      </c>
      <c r="ES13" cm="1">
        <f t="array" ref="ES13">_xll.EQNXTDZ($A$1,$B13,ES$1)</f>
        <v>937.5</v>
      </c>
      <c r="ET13" cm="1">
        <f t="array" ref="ET13">_xll.EQNXTDZ($A$1,$B13,ET$1)</f>
        <v>957.21249999999998</v>
      </c>
      <c r="EU13" cm="1">
        <f t="array" ref="EU13">_xll.EQNXTDZ($A$1,$B13,EU$1)</f>
        <v>979.1</v>
      </c>
      <c r="EV13" cm="1">
        <f t="array" ref="EV13">_xll.EQNXTDZ($A$1,$B13,EV$1)</f>
        <v>1010.8375</v>
      </c>
      <c r="EW13" cm="1">
        <f t="array" ref="EW13">_xll.EQNXTDZ($A$1,$B13,EW$1)</f>
        <v>1033.825</v>
      </c>
      <c r="EX13" cm="1">
        <f t="array" ref="EX13">_xll.EQNXTDZ($A$1,$B13,EX$1)</f>
        <v>982.51250000000005</v>
      </c>
      <c r="EY13" cm="1">
        <f t="array" ref="EY13">_xll.EQNXTDZ($A$1,$B13,EY$1)</f>
        <v>901.25</v>
      </c>
      <c r="EZ13" cm="1">
        <f t="array" ref="EZ13">_xll.EQNXTDZ($A$1,$B13,EZ$1)</f>
        <v>1012.725</v>
      </c>
      <c r="FA13" cm="1">
        <f t="array" ref="FA13">_xll.EQNXTDZ($A$1,$B13,FA$1)</f>
        <v>943.95</v>
      </c>
      <c r="FB13" cm="1">
        <f t="array" ref="FB13">_xll.EQNXTDZ($A$1,$B13,FB$1)</f>
        <v>850</v>
      </c>
      <c r="FC13" cm="1">
        <f t="array" ref="FC13">_xll.EQNXTDZ($A$1,$B13,FC$1)</f>
        <v>930.02499999999998</v>
      </c>
      <c r="FD13" cm="1">
        <f t="array" ref="FD13">_xll.EQNXTDZ($A$1,$B13,FD$1)</f>
        <v>1032.5999999999999</v>
      </c>
      <c r="FE13" cm="1">
        <f t="array" ref="FE13">_xll.EQNXTDZ($A$1,$B13,FE$1)</f>
        <v>1300.325</v>
      </c>
      <c r="FF13" cm="1">
        <f t="array" ref="FF13">_xll.EQNXTDZ($A$1,$B13,FF$1)</f>
        <v>1399.45</v>
      </c>
      <c r="FG13" cm="1">
        <f t="array" ref="FG13">_xll.EQNXTDZ($A$1,$B13,FG$1)</f>
        <v>1400.0250000000001</v>
      </c>
      <c r="FH13" cm="1">
        <f t="array" ref="FH13">_xll.EQNXTDZ($A$1,$B13,FH$1)</f>
        <v>1563.075</v>
      </c>
      <c r="FI13" cm="1">
        <f t="array" ref="FI13">_xll.EQNXTDZ($A$1,$B13,FI$1)</f>
        <v>1452.5</v>
      </c>
      <c r="FJ13" cm="1">
        <f t="array" ref="FJ13">_xll.EQNXTDZ($A$1,$B13,FJ$1)</f>
        <v>1545.325</v>
      </c>
      <c r="FK13" cm="1">
        <f t="array" ref="FK13">_xll.EQNXTDZ($A$1,$B13,FK$1)</f>
        <v>1433.7</v>
      </c>
      <c r="FL13" cm="1">
        <f t="array" ref="FL13">_xll.EQNXTDZ($A$1,$B13,FL$1)</f>
        <v>1529.825</v>
      </c>
      <c r="FM13" cm="1">
        <f t="array" ref="FM13">_xll.EQNXTDZ($A$1,$B13,FM$1)</f>
        <v>1490.25</v>
      </c>
      <c r="FN13" cm="1">
        <f t="array" ref="FN13">_xll.EQNXTDZ($A$1,$B13,FN$1)</f>
        <v>1801.9749999999999</v>
      </c>
      <c r="FO13" cm="1">
        <f t="array" ref="FO13">_xll.EQNXTDZ($A$1,$B13,FO$1)</f>
        <v>1759.1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153.73750000000001</v>
      </c>
      <c r="DN14" s="116" cm="1">
        <f t="array" ref="DN14">_xll.EQNXTDZ($A$1,$B14,DN$1)</f>
        <v>163.4</v>
      </c>
      <c r="DO14" s="116" cm="1">
        <f t="array" ref="DO14">_xll.EQNXTDZ($A$1,$B14,DO$1)</f>
        <v>153.36250000000001</v>
      </c>
      <c r="DP14" s="116" cm="1">
        <f t="array" ref="DP14">_xll.EQNXTDZ($A$1,$B14,DP$1)</f>
        <v>155.5</v>
      </c>
      <c r="DQ14" s="116" cm="1">
        <f t="array" ref="DQ14">_xll.EQNXTDZ($A$1,$B14,DQ$1)</f>
        <v>178</v>
      </c>
      <c r="DR14" s="116" cm="1">
        <f t="array" ref="DR14">_xll.EQNXTDZ($A$1,$B14,DR$1)</f>
        <v>167.48750000000001</v>
      </c>
      <c r="DS14" s="116" cm="1">
        <f t="array" ref="DS14">_xll.EQNXTDZ($A$1,$B14,DS$1)</f>
        <v>171.5</v>
      </c>
      <c r="DT14" s="116" cm="1">
        <f t="array" ref="DT14">_xll.EQNXTDZ($A$1,$B14,DT$1)</f>
        <v>170.61250000000001</v>
      </c>
      <c r="DU14" s="116" cm="1">
        <f t="array" ref="DU14">_xll.EQNXTDZ($A$1,$B14,DU$1)</f>
        <v>173.32499999999999</v>
      </c>
      <c r="DV14" s="116" cm="1">
        <f t="array" ref="DV14">_xll.EQNXTDZ($A$1,$B14,DV$1)</f>
        <v>168.5</v>
      </c>
      <c r="DW14" s="116" cm="1">
        <f t="array" ref="DW14">_xll.EQNXTDZ($A$1,$B14,DW$1)</f>
        <v>184.26249999999999</v>
      </c>
      <c r="DX14" s="116" cm="1">
        <f t="array" ref="DX14">_xll.EQNXTDZ($A$1,$B14,DX$1)</f>
        <v>182.36250000000001</v>
      </c>
      <c r="DY14" s="116" cm="1">
        <f t="array" ref="DY14">_xll.EQNXTDZ($A$1,$B14,DY$1)</f>
        <v>179.73750000000001</v>
      </c>
      <c r="DZ14" s="116" cm="1">
        <f t="array" ref="DZ14">_xll.EQNXTDZ($A$1,$B14,DZ$1)</f>
        <v>213.5</v>
      </c>
      <c r="EA14" s="116" cm="1">
        <f t="array" ref="EA14">_xll.EQNXTDZ($A$1,$B14,EA$1)</f>
        <v>215.3125</v>
      </c>
      <c r="EB14" s="116" cm="1">
        <f t="array" ref="EB14">_xll.EQNXTDZ($A$1,$B14,EB$1)</f>
        <v>207.16249999999999</v>
      </c>
      <c r="EC14" s="116" cm="1">
        <f t="array" ref="EC14">_xll.EQNXTDZ($A$1,$B14,EC$1)</f>
        <v>221</v>
      </c>
      <c r="ED14" s="116" cm="1">
        <f t="array" ref="ED14">_xll.EQNXTDZ($A$1,$B14,ED$1)</f>
        <v>224.98750000000001</v>
      </c>
      <c r="EE14" s="116" cm="1">
        <f t="array" ref="EE14">_xll.EQNXTDZ($A$1,$B14,EE$1)</f>
        <v>222</v>
      </c>
      <c r="EF14" s="116" cm="1">
        <f t="array" ref="EF14">_xll.EQNXTDZ($A$1,$B14,EF$1)</f>
        <v>296.48750000000001</v>
      </c>
      <c r="EG14" s="116" cm="1">
        <f t="array" ref="EG14">_xll.EQNXTDZ($A$1,$B14,EG$1)</f>
        <v>383.2</v>
      </c>
      <c r="EH14" s="116" cm="1">
        <f t="array" ref="EH14">_xll.EQNXTDZ($A$1,$B14,EH$1)</f>
        <v>432.125</v>
      </c>
      <c r="EI14" s="116" cm="1">
        <f t="array" ref="EI14">_xll.EQNXTDZ($A$1,$B14,EI$1)</f>
        <v>492.98750000000001</v>
      </c>
      <c r="EJ14" s="116" cm="1">
        <f t="array" ref="EJ14">_xll.EQNXTDZ($A$1,$B14,EJ$1)</f>
        <v>662.5</v>
      </c>
      <c r="EK14" s="116" cm="1">
        <f t="array" ref="EK14">_xll.EQNXTDZ($A$1,$B14,EK$1)</f>
        <v>679.1875</v>
      </c>
      <c r="EL14" s="116" cm="1">
        <f t="array" ref="EL14">_xll.EQNXTDZ($A$1,$B14,EL$1)</f>
        <v>775</v>
      </c>
      <c r="EM14" s="116" cm="1">
        <f t="array" ref="EM14">_xll.EQNXTDZ($A$1,$B14,EM$1)</f>
        <v>943.05</v>
      </c>
      <c r="EN14" s="116" cm="1">
        <f t="array" ref="EN14">_xll.EQNXTDZ($A$1,$B14,EN$1)</f>
        <v>1049.95</v>
      </c>
      <c r="EO14" s="116" cm="1">
        <f t="array" ref="EO14">_xll.EQNXTDZ($A$1,$B14,EO$1)</f>
        <v>1061.5</v>
      </c>
      <c r="EP14" s="116" cm="1">
        <f t="array" ref="EP14">_xll.EQNXTDZ($A$1,$B14,EP$1)</f>
        <v>1066.2</v>
      </c>
      <c r="EQ14" s="116" cm="1">
        <f t="array" ref="EQ14">_xll.EQNXTDZ($A$1,$B14,EQ$1)</f>
        <v>1074.7249999999999</v>
      </c>
      <c r="ER14" s="116" cm="1">
        <f t="array" ref="ER14">_xll.EQNXTDZ($A$1,$B14,ER$1)</f>
        <v>1071.4625000000001</v>
      </c>
      <c r="ES14" s="116" cm="1">
        <f t="array" ref="ES14">_xll.EQNXTDZ($A$1,$B14,ES$1)</f>
        <v>974.08749999999998</v>
      </c>
      <c r="ET14" s="116" cm="1">
        <f t="array" ref="ET14">_xll.EQNXTDZ($A$1,$B14,ET$1)</f>
        <v>1013.1</v>
      </c>
      <c r="EU14" s="116" cm="1">
        <f t="array" ref="EU14">_xll.EQNXTDZ($A$1,$B14,EU$1)</f>
        <v>1094.75</v>
      </c>
      <c r="EV14" s="116" cm="1">
        <f t="array" ref="EV14">_xll.EQNXTDZ($A$1,$B14,EV$1)</f>
        <v>1050.8375000000001</v>
      </c>
      <c r="EW14" s="116" cm="1">
        <f t="array" ref="EW14">_xll.EQNXTDZ($A$1,$B14,EW$1)</f>
        <v>1160.1375</v>
      </c>
      <c r="EX14" s="116" cm="1">
        <f t="array" ref="EX14">_xll.EQNXTDZ($A$1,$B14,EX$1)</f>
        <v>1062.4875</v>
      </c>
      <c r="EY14" s="116" cm="1">
        <f t="array" ref="EY14">_xll.EQNXTDZ($A$1,$B14,EY$1)</f>
        <v>1034.95</v>
      </c>
      <c r="EZ14" s="116" cm="1">
        <f t="array" ref="EZ14">_xll.EQNXTDZ($A$1,$B14,EZ$1)</f>
        <v>1062.7375</v>
      </c>
      <c r="FA14" s="116" cm="1">
        <f t="array" ref="FA14">_xll.EQNXTDZ($A$1,$B14,FA$1)</f>
        <v>951</v>
      </c>
      <c r="FB14" s="116" cm="1">
        <f t="array" ref="FB14">_xll.EQNXTDZ($A$1,$B14,FB$1)</f>
        <v>985</v>
      </c>
      <c r="FC14" s="116" cm="1">
        <f t="array" ref="FC14">_xll.EQNXTDZ($A$1,$B14,FC$1)</f>
        <v>1094.5999999999999</v>
      </c>
      <c r="FD14" s="116" cm="1">
        <f t="array" ref="FD14">_xll.EQNXTDZ($A$1,$B14,FD$1)</f>
        <v>1364.425</v>
      </c>
      <c r="FE14" s="116" cm="1">
        <f t="array" ref="FE14">_xll.EQNXTDZ($A$1,$B14,FE$1)</f>
        <v>1499.9</v>
      </c>
      <c r="FF14" s="116" cm="1">
        <f t="array" ref="FF14">_xll.EQNXTDZ($A$1,$B14,FF$1)</f>
        <v>1547.5</v>
      </c>
      <c r="FG14" s="116" cm="1">
        <f t="array" ref="FG14">_xll.EQNXTDZ($A$1,$B14,FG$1)</f>
        <v>1661.925</v>
      </c>
      <c r="FH14" s="116" cm="1">
        <f t="array" ref="FH14">_xll.EQNXTDZ($A$1,$B14,FH$1)</f>
        <v>1582.5</v>
      </c>
      <c r="FI14" s="116" cm="1">
        <f t="array" ref="FI14">_xll.EQNXTDZ($A$1,$B14,FI$1)</f>
        <v>1568.8</v>
      </c>
      <c r="FJ14" s="116" cm="1">
        <f t="array" ref="FJ14">_xll.EQNXTDZ($A$1,$B14,FJ$1)</f>
        <v>1602</v>
      </c>
      <c r="FK14" s="116" cm="1">
        <f t="array" ref="FK14">_xll.EQNXTDZ($A$1,$B14,FK$1)</f>
        <v>1547.95</v>
      </c>
      <c r="FL14" s="116" cm="1">
        <f t="array" ref="FL14">_xll.EQNXTDZ($A$1,$B14,FL$1)</f>
        <v>1620.85</v>
      </c>
      <c r="FM14" s="116" cm="1">
        <f t="array" ref="FM14">_xll.EQNXTDZ($A$1,$B14,FM$1)</f>
        <v>1866.95</v>
      </c>
      <c r="FN14" s="116" cm="1">
        <f t="array" ref="FN14">_xll.EQNXTDZ($A$1,$B14,FN$1)</f>
        <v>1991.7</v>
      </c>
      <c r="FO14" s="116" cm="1">
        <f t="array" ref="FO14">_xll.EQNXTDZ($A$1,$B14,FO$1)</f>
        <v>1820.4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153.73750000000001</v>
      </c>
      <c r="JB14" s="116">
        <f>+MAX(DN14:DP14)</f>
        <v>163.4</v>
      </c>
      <c r="JC14" s="116">
        <f>+MAX(DQ14:DS14)</f>
        <v>178</v>
      </c>
      <c r="JD14" s="116">
        <f>+MAX(DT14:DV14)</f>
        <v>173.32499999999999</v>
      </c>
      <c r="JE14" s="116">
        <f>+MAX(DW14:DY14)</f>
        <v>184.26249999999999</v>
      </c>
      <c r="JF14" s="116">
        <f>+MAX(DZ14:EB14)</f>
        <v>215.3125</v>
      </c>
      <c r="JG14" s="116">
        <f>+MAX(EC14:EE14)</f>
        <v>224.98750000000001</v>
      </c>
      <c r="JH14" s="116">
        <f>+MAX(EF14:EH14)</f>
        <v>432.125</v>
      </c>
      <c r="JI14" s="116">
        <f>+MAX(EI14:EK14)</f>
        <v>679.1875</v>
      </c>
      <c r="JJ14" s="116">
        <f>+MAX(EL14:EN14)</f>
        <v>1049.95</v>
      </c>
      <c r="JK14" s="116">
        <f>MAX(EO14:EQ14)</f>
        <v>1074.7249999999999</v>
      </c>
      <c r="JL14" s="116">
        <f>MAX(ER14:ET14)</f>
        <v>1071.4625000000001</v>
      </c>
      <c r="JM14" s="116">
        <f>MAX(EU14:EW14)</f>
        <v>1160.1375</v>
      </c>
      <c r="JN14" s="116">
        <f>MAX(EX14:EZ14)</f>
        <v>1062.7375</v>
      </c>
      <c r="JO14" s="116">
        <f>MAX(FA14:FC14)</f>
        <v>1094.5999999999999</v>
      </c>
      <c r="JP14" s="116">
        <f>MAX(FD14:FF14)</f>
        <v>1547.5</v>
      </c>
      <c r="JQ14" s="116">
        <f>MAX(FG14:FI14)</f>
        <v>1661.925</v>
      </c>
      <c r="JR14" s="116">
        <f>MAX(FJ14:FL14)</f>
        <v>1620.85</v>
      </c>
      <c r="JS14" s="116">
        <f>MAX(FM14:FO14)</f>
        <v>1991.7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135.80000000000001</v>
      </c>
      <c r="DN15" s="116" cm="1">
        <f t="array" ref="DN15">_xll.EQNXTDZ($A$1,$B15,DN$1)</f>
        <v>142.63749999999999</v>
      </c>
      <c r="DO15" s="116" cm="1">
        <f t="array" ref="DO15">_xll.EQNXTDZ($A$1,$B15,DO$1)</f>
        <v>135.46250000000001</v>
      </c>
      <c r="DP15" s="116" cm="1">
        <f t="array" ref="DP15">_xll.EQNXTDZ($A$1,$B15,DP$1)</f>
        <v>137.6875</v>
      </c>
      <c r="DQ15" s="116" cm="1">
        <f t="array" ref="DQ15">_xll.EQNXTDZ($A$1,$B15,DQ$1)</f>
        <v>151.25</v>
      </c>
      <c r="DR15" s="116" cm="1">
        <f t="array" ref="DR15">_xll.EQNXTDZ($A$1,$B15,DR$1)</f>
        <v>151.875</v>
      </c>
      <c r="DS15" s="116" cm="1">
        <f t="array" ref="DS15">_xll.EQNXTDZ($A$1,$B15,DS$1)</f>
        <v>153.0625</v>
      </c>
      <c r="DT15" s="116" cm="1">
        <f t="array" ref="DT15">_xll.EQNXTDZ($A$1,$B15,DT$1)</f>
        <v>156.75</v>
      </c>
      <c r="DU15" s="116" cm="1">
        <f t="array" ref="DU15">_xll.EQNXTDZ($A$1,$B15,DU$1)</f>
        <v>159.9375</v>
      </c>
      <c r="DV15" s="116" cm="1">
        <f t="array" ref="DV15">_xll.EQNXTDZ($A$1,$B15,DV$1)</f>
        <v>160.76249999999999</v>
      </c>
      <c r="DW15" s="116" cm="1">
        <f t="array" ref="DW15">_xll.EQNXTDZ($A$1,$B15,DW$1)</f>
        <v>163.5</v>
      </c>
      <c r="DX15" s="116" cm="1">
        <f t="array" ref="DX15">_xll.EQNXTDZ($A$1,$B15,DX$1)</f>
        <v>174.1</v>
      </c>
      <c r="DY15" s="116" cm="1">
        <f t="array" ref="DY15">_xll.EQNXTDZ($A$1,$B15,DY$1)</f>
        <v>163.9</v>
      </c>
      <c r="DZ15" s="116" cm="1">
        <f t="array" ref="DZ15">_xll.EQNXTDZ($A$1,$B15,DZ$1)</f>
        <v>172.3</v>
      </c>
      <c r="EA15" s="116" cm="1">
        <f t="array" ref="EA15">_xll.EQNXTDZ($A$1,$B15,EA$1)</f>
        <v>184.25</v>
      </c>
      <c r="EB15" s="116" cm="1">
        <f t="array" ref="EB15">_xll.EQNXTDZ($A$1,$B15,EB$1)</f>
        <v>185.625</v>
      </c>
      <c r="EC15" s="116" cm="1">
        <f t="array" ref="EC15">_xll.EQNXTDZ($A$1,$B15,EC$1)</f>
        <v>201.125</v>
      </c>
      <c r="ED15" s="116" cm="1">
        <f t="array" ref="ED15">_xll.EQNXTDZ($A$1,$B15,ED$1)</f>
        <v>209</v>
      </c>
      <c r="EE15" s="116" cm="1">
        <f t="array" ref="EE15">_xll.EQNXTDZ($A$1,$B15,EE$1)</f>
        <v>212.01249999999999</v>
      </c>
      <c r="EF15" s="116" cm="1">
        <f t="array" ref="EF15">_xll.EQNXTDZ($A$1,$B15,EF$1)</f>
        <v>212.78749999999999</v>
      </c>
      <c r="EG15" s="116" cm="1">
        <f t="array" ref="EG15">_xll.EQNXTDZ($A$1,$B15,EG$1)</f>
        <v>291.9375</v>
      </c>
      <c r="EH15" s="116" cm="1">
        <f t="array" ref="EH15">_xll.EQNXTDZ($A$1,$B15,EH$1)</f>
        <v>337.61250000000001</v>
      </c>
      <c r="EI15" s="116" cm="1">
        <f t="array" ref="EI15">_xll.EQNXTDZ($A$1,$B15,EI$1)</f>
        <v>412.95</v>
      </c>
      <c r="EJ15" s="116" cm="1">
        <f t="array" ref="EJ15">_xll.EQNXTDZ($A$1,$B15,EJ$1)</f>
        <v>476.32499999999999</v>
      </c>
      <c r="EK15" s="116" cm="1">
        <f t="array" ref="EK15">_xll.EQNXTDZ($A$1,$B15,EK$1)</f>
        <v>594.77499999999998</v>
      </c>
      <c r="EL15" s="116" cm="1">
        <f t="array" ref="EL15">_xll.EQNXTDZ($A$1,$B15,EL$1)</f>
        <v>628.75</v>
      </c>
      <c r="EM15" s="116" cm="1">
        <f t="array" ref="EM15">_xll.EQNXTDZ($A$1,$B15,EM$1)</f>
        <v>763.88750000000005</v>
      </c>
      <c r="EN15" s="116" cm="1">
        <f t="array" ref="EN15">_xll.EQNXTDZ($A$1,$B15,EN$1)</f>
        <v>859.26250000000005</v>
      </c>
      <c r="EO15" s="116" cm="1">
        <f t="array" ref="EO15">_xll.EQNXTDZ($A$1,$B15,EO$1)</f>
        <v>857.5</v>
      </c>
      <c r="EP15" s="116" cm="1">
        <f t="array" ref="EP15">_xll.EQNXTDZ($A$1,$B15,EP$1)</f>
        <v>962.58749999999998</v>
      </c>
      <c r="EQ15" s="116" cm="1">
        <f t="array" ref="EQ15">_xll.EQNXTDZ($A$1,$B15,EQ$1)</f>
        <v>886.625</v>
      </c>
      <c r="ER15" s="116" cm="1">
        <f t="array" ref="ER15">_xll.EQNXTDZ($A$1,$B15,ER$1)</f>
        <v>880.67499999999995</v>
      </c>
      <c r="ES15" s="116" cm="1">
        <f t="array" ref="ES15">_xll.EQNXTDZ($A$1,$B15,ES$1)</f>
        <v>866.7</v>
      </c>
      <c r="ET15" s="116" cm="1">
        <f t="array" ref="ET15">_xll.EQNXTDZ($A$1,$B15,ET$1)</f>
        <v>927</v>
      </c>
      <c r="EU15" s="116" cm="1">
        <f t="array" ref="EU15">_xll.EQNXTDZ($A$1,$B15,EU$1)</f>
        <v>952.52499999999998</v>
      </c>
      <c r="EV15" s="116" cm="1">
        <f t="array" ref="EV15">_xll.EQNXTDZ($A$1,$B15,EV$1)</f>
        <v>940.83749999999998</v>
      </c>
      <c r="EW15" s="116" cm="1">
        <f t="array" ref="EW15">_xll.EQNXTDZ($A$1,$B15,EW$1)</f>
        <v>965.45</v>
      </c>
      <c r="EX15" s="116" cm="1">
        <f t="array" ref="EX15">_xll.EQNXTDZ($A$1,$B15,EX$1)</f>
        <v>845.53750000000002</v>
      </c>
      <c r="EY15" s="116" cm="1">
        <f t="array" ref="EY15">_xll.EQNXTDZ($A$1,$B15,EY$1)</f>
        <v>876.5</v>
      </c>
      <c r="EZ15" s="116" cm="1">
        <f t="array" ref="EZ15">_xll.EQNXTDZ($A$1,$B15,EZ$1)</f>
        <v>793.02499999999998</v>
      </c>
      <c r="FA15" s="116" cm="1">
        <f t="array" ref="FA15">_xll.EQNXTDZ($A$1,$B15,FA$1)</f>
        <v>812</v>
      </c>
      <c r="FB15" s="116" cm="1">
        <f t="array" ref="FB15">_xll.EQNXTDZ($A$1,$B15,FB$1)</f>
        <v>818.375</v>
      </c>
      <c r="FC15" s="116" cm="1">
        <f t="array" ref="FC15">_xll.EQNXTDZ($A$1,$B15,FC$1)</f>
        <v>930.02499999999998</v>
      </c>
      <c r="FD15" s="116" cm="1">
        <f t="array" ref="FD15">_xll.EQNXTDZ($A$1,$B15,FD$1)</f>
        <v>1017.025</v>
      </c>
      <c r="FE15" s="116" cm="1">
        <f t="array" ref="FE15">_xll.EQNXTDZ($A$1,$B15,FE$1)</f>
        <v>1269.5</v>
      </c>
      <c r="FF15" s="116" cm="1">
        <f t="array" ref="FF15">_xll.EQNXTDZ($A$1,$B15,FF$1)</f>
        <v>1362.5</v>
      </c>
      <c r="FG15" s="116" cm="1">
        <f t="array" ref="FG15">_xll.EQNXTDZ($A$1,$B15,FG$1)</f>
        <v>1389.3</v>
      </c>
      <c r="FH15" s="116" cm="1">
        <f t="array" ref="FH15">_xll.EQNXTDZ($A$1,$B15,FH$1)</f>
        <v>1387.5</v>
      </c>
      <c r="FI15" s="116" cm="1">
        <f t="array" ref="FI15">_xll.EQNXTDZ($A$1,$B15,FI$1)</f>
        <v>1398.5</v>
      </c>
      <c r="FJ15" s="116" cm="1">
        <f t="array" ref="FJ15">_xll.EQNXTDZ($A$1,$B15,FJ$1)</f>
        <v>1354</v>
      </c>
      <c r="FK15" s="116" cm="1">
        <f t="array" ref="FK15">_xll.EQNXTDZ($A$1,$B15,FK$1)</f>
        <v>1415.15</v>
      </c>
      <c r="FL15" s="116" cm="1">
        <f t="array" ref="FL15">_xll.EQNXTDZ($A$1,$B15,FL$1)</f>
        <v>1449.575</v>
      </c>
      <c r="FM15" s="116" cm="1">
        <f t="array" ref="FM15">_xll.EQNXTDZ($A$1,$B15,FM$1)</f>
        <v>1490.25</v>
      </c>
      <c r="FN15" s="116" cm="1">
        <f t="array" ref="FN15">_xll.EQNXTDZ($A$1,$B15,FN$1)</f>
        <v>1716</v>
      </c>
      <c r="FO15" s="116" cm="1">
        <f t="array" ref="FO15">_xll.EQNXTDZ($A$1,$B15,FO$1)</f>
        <v>1710.05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135.46250000000001</v>
      </c>
      <c r="JC15" s="116">
        <f>+MIN(DQ15:DS15)</f>
        <v>151.25</v>
      </c>
      <c r="JD15" s="116">
        <f>+MIN(DT15:DV15)</f>
        <v>156.75</v>
      </c>
      <c r="JE15" s="116">
        <f>+MIN(DW15:DY15)</f>
        <v>163.5</v>
      </c>
      <c r="JF15" s="116">
        <f>+MIN(DZ15:EB15)</f>
        <v>172.3</v>
      </c>
      <c r="JG15" s="116">
        <f>+MIN(EC15:EE15)</f>
        <v>201.125</v>
      </c>
      <c r="JH15" s="116">
        <f>+MIN(EF15:EH15)</f>
        <v>212.78749999999999</v>
      </c>
      <c r="JI15" s="116">
        <f>+MIN(EI15:EK15)</f>
        <v>412.95</v>
      </c>
      <c r="JJ15" s="116">
        <f>+MIN(EL15:EN15)</f>
        <v>628.75</v>
      </c>
      <c r="JK15" s="116">
        <f>MIN(EO15:EQ15)</f>
        <v>857.5</v>
      </c>
      <c r="JL15" s="116">
        <f>MIN(ER15:ET15)</f>
        <v>866.7</v>
      </c>
      <c r="JM15" s="116">
        <f>MIN(EU15:EW15)</f>
        <v>940.83749999999998</v>
      </c>
      <c r="JN15" s="116">
        <f>MIN(EX15:EZ15)</f>
        <v>793.02499999999998</v>
      </c>
      <c r="JO15" s="116">
        <f>MIN(FA15:FC15)</f>
        <v>812</v>
      </c>
      <c r="JP15" s="116">
        <f>MIN(FD15:FF15)</f>
        <v>1017.025</v>
      </c>
      <c r="JQ15" s="116">
        <f>MIN(FG15:FI15)</f>
        <v>1387.5</v>
      </c>
      <c r="JR15" s="116">
        <f>MIN(FJ15:FL15)</f>
        <v>1354</v>
      </c>
      <c r="JS15" s="116">
        <f>MIN(FM15:FO15)</f>
        <v>1490.25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147.19999999999999</v>
      </c>
      <c r="DN16" s="116" cm="1">
        <f t="array" ref="DN16">_xll.EQNXTDZ($A$1,$B16,DN$1)</f>
        <v>146.125</v>
      </c>
      <c r="DO16" s="116" cm="1">
        <f t="array" ref="DO16">_xll.EQNXTDZ($A$1,$B16,DO$1)</f>
        <v>139.66249999999999</v>
      </c>
      <c r="DP16" s="116" cm="1">
        <f t="array" ref="DP16">_xll.EQNXTDZ($A$1,$B16,DP$1)</f>
        <v>151.48750000000001</v>
      </c>
      <c r="DQ16" s="116" cm="1">
        <f t="array" ref="DQ16">_xll.EQNXTDZ($A$1,$B16,DQ$1)</f>
        <v>161.625</v>
      </c>
      <c r="DR16" s="116" cm="1">
        <f t="array" ref="DR16">_xll.EQNXTDZ($A$1,$B16,DR$1)</f>
        <v>165.16249999999999</v>
      </c>
      <c r="DS16" s="116" cm="1">
        <f t="array" ref="DS16">_xll.EQNXTDZ($A$1,$B16,DS$1)</f>
        <v>164.1875</v>
      </c>
      <c r="DT16" s="116" cm="1">
        <f t="array" ref="DT16">_xll.EQNXTDZ($A$1,$B16,DT$1)</f>
        <v>159.97499999999999</v>
      </c>
      <c r="DU16" s="116" cm="1">
        <f t="array" ref="DU16">_xll.EQNXTDZ($A$1,$B16,DU$1)</f>
        <v>164.55</v>
      </c>
      <c r="DV16" s="116" cm="1">
        <f t="array" ref="DV16">_xll.EQNXTDZ($A$1,$B16,DV$1)</f>
        <v>165.01249999999999</v>
      </c>
      <c r="DW16" s="116" cm="1">
        <f t="array" ref="DW16">_xll.EQNXTDZ($A$1,$B16,DW$1)</f>
        <v>180.55</v>
      </c>
      <c r="DX16" s="116" cm="1">
        <f t="array" ref="DX16">_xll.EQNXTDZ($A$1,$B16,DX$1)</f>
        <v>176.6</v>
      </c>
      <c r="DY16" s="116" cm="1">
        <f t="array" ref="DY16">_xll.EQNXTDZ($A$1,$B16,DY$1)</f>
        <v>175.36250000000001</v>
      </c>
      <c r="DZ16" s="116" cm="1">
        <f t="array" ref="DZ16">_xll.EQNXTDZ($A$1,$B16,DZ$1)</f>
        <v>208.15</v>
      </c>
      <c r="EA16" s="116" cm="1">
        <f t="array" ref="EA16">_xll.EQNXTDZ($A$1,$B16,EA$1)</f>
        <v>187.625</v>
      </c>
      <c r="EB16" s="116" cm="1">
        <f t="array" ref="EB16">_xll.EQNXTDZ($A$1,$B16,EB$1)</f>
        <v>201.85</v>
      </c>
      <c r="EC16" s="116" cm="1">
        <f t="array" ref="EC16">_xll.EQNXTDZ($A$1,$B16,EC$1)</f>
        <v>215.76249999999999</v>
      </c>
      <c r="ED16" s="116" cm="1">
        <f t="array" ref="ED16">_xll.EQNXTDZ($A$1,$B16,ED$1)</f>
        <v>214.95</v>
      </c>
      <c r="EE16" s="116" cm="1">
        <f t="array" ref="EE16">_xll.EQNXTDZ($A$1,$B16,EE$1)</f>
        <v>217.03749999999999</v>
      </c>
      <c r="EF16" s="116" cm="1">
        <f t="array" ref="EF16">_xll.EQNXTDZ($A$1,$B16,EF$1)</f>
        <v>291.08749999999998</v>
      </c>
      <c r="EG16" s="116" cm="1">
        <f t="array" ref="EG16">_xll.EQNXTDZ($A$1,$B16,EG$1)</f>
        <v>353.82499999999999</v>
      </c>
      <c r="EH16" s="116" cm="1">
        <f t="array" ref="EH16">_xll.EQNXTDZ($A$1,$B16,EH$1)</f>
        <v>420.16250000000002</v>
      </c>
      <c r="EI16" s="116" cm="1">
        <f t="array" ref="EI16">_xll.EQNXTDZ($A$1,$B16,EI$1)</f>
        <v>477.75</v>
      </c>
      <c r="EJ16" s="116" cm="1">
        <f t="array" ref="EJ16">_xll.EQNXTDZ($A$1,$B16,EJ$1)</f>
        <v>647.45000000000005</v>
      </c>
      <c r="EK16" s="116" cm="1">
        <f t="array" ref="EK16">_xll.EQNXTDZ($A$1,$B16,EK$1)</f>
        <v>647.52499999999998</v>
      </c>
      <c r="EL16" s="116" cm="1">
        <f t="array" ref="EL16">_xll.EQNXTDZ($A$1,$B16,EL$1)</f>
        <v>763.5625</v>
      </c>
      <c r="EM16" s="116" cm="1">
        <f t="array" ref="EM16">_xll.EQNXTDZ($A$1,$B16,EM$1)</f>
        <v>912.82500000000005</v>
      </c>
      <c r="EN16" s="116" cm="1">
        <f t="array" ref="EN16">_xll.EQNXTDZ($A$1,$B16,EN$1)</f>
        <v>922.86249999999995</v>
      </c>
      <c r="EO16" s="116" cm="1">
        <f t="array" ref="EO16">_xll.EQNXTDZ($A$1,$B16,EO$1)</f>
        <v>999.02499999999998</v>
      </c>
      <c r="EP16" s="116" cm="1">
        <f t="array" ref="EP16">_xll.EQNXTDZ($A$1,$B16,EP$1)</f>
        <v>1048.7375</v>
      </c>
      <c r="EQ16" s="116" cm="1">
        <f t="array" ref="EQ16">_xll.EQNXTDZ($A$1,$B16,EQ$1)</f>
        <v>979.48749999999995</v>
      </c>
      <c r="ER16" s="116" cm="1">
        <f t="array" ref="ER16">_xll.EQNXTDZ($A$1,$B16,ER$1)</f>
        <v>943.71249999999998</v>
      </c>
      <c r="ES16" s="116" cm="1">
        <f t="array" ref="ES16">_xll.EQNXTDZ($A$1,$B16,ES$1)</f>
        <v>953.27499999999998</v>
      </c>
      <c r="ET16" s="116" cm="1">
        <f t="array" ref="ET16">_xll.EQNXTDZ($A$1,$B16,ET$1)</f>
        <v>979.16250000000002</v>
      </c>
      <c r="EU16" s="116" cm="1">
        <f t="array" ref="EU16">_xll.EQNXTDZ($A$1,$B16,EU$1)</f>
        <v>1031.4625000000001</v>
      </c>
      <c r="EV16" s="116" cm="1">
        <f t="array" ref="EV16">_xll.EQNXTDZ($A$1,$B16,EV$1)</f>
        <v>1040.9375</v>
      </c>
      <c r="EW16" s="116" cm="1">
        <f t="array" ref="EW16">_xll.EQNXTDZ($A$1,$B16,EW$1)</f>
        <v>985.83749999999998</v>
      </c>
      <c r="EX16" s="116" cm="1">
        <f t="array" ref="EX16">_xll.EQNXTDZ($A$1,$B16,EX$1)</f>
        <v>915.76250000000005</v>
      </c>
      <c r="EY16" s="116" cm="1">
        <f t="array" ref="EY16">_xll.EQNXTDZ($A$1,$B16,EY$1)</f>
        <v>1000.2875</v>
      </c>
      <c r="EZ16" s="116" cm="1">
        <f t="array" ref="EZ16">_xll.EQNXTDZ($A$1,$B16,EZ$1)</f>
        <v>956.375</v>
      </c>
      <c r="FA16" s="116" cm="1">
        <f t="array" ref="FA16">_xll.EQNXTDZ($A$1,$B16,FA$1)</f>
        <v>852.55</v>
      </c>
      <c r="FB16" s="116" cm="1">
        <f t="array" ref="FB16">_xll.EQNXTDZ($A$1,$B16,FB$1)</f>
        <v>937.125</v>
      </c>
      <c r="FC16" s="116" cm="1">
        <f t="array" ref="FC16">_xll.EQNXTDZ($A$1,$B16,FC$1)</f>
        <v>1080.55</v>
      </c>
      <c r="FD16" s="116" cm="1">
        <f t="array" ref="FD16">_xll.EQNXTDZ($A$1,$B16,FD$1)</f>
        <v>1323.1</v>
      </c>
      <c r="FE16" s="116" cm="1">
        <f t="array" ref="FE16">_xll.EQNXTDZ($A$1,$B16,FE$1)</f>
        <v>1398.875</v>
      </c>
      <c r="FF16" s="116" cm="1">
        <f t="array" ref="FF16">_xll.EQNXTDZ($A$1,$B16,FF$1)</f>
        <v>1412.4</v>
      </c>
      <c r="FG16" s="116" cm="1">
        <f t="array" ref="FG16">_xll.EQNXTDZ($A$1,$B16,FG$1)</f>
        <v>1543.95</v>
      </c>
      <c r="FH16" s="116" cm="1">
        <f t="array" ref="FH16">_xll.EQNXTDZ($A$1,$B16,FH$1)</f>
        <v>1444.95</v>
      </c>
      <c r="FI16" s="116" cm="1">
        <f t="array" ref="FI16">_xll.EQNXTDZ($A$1,$B16,FI$1)</f>
        <v>1556.35</v>
      </c>
      <c r="FJ16" s="116" cm="1">
        <f t="array" ref="FJ16">_xll.EQNXTDZ($A$1,$B16,FJ$1)</f>
        <v>1441.325</v>
      </c>
      <c r="FK16" s="116" cm="1">
        <f t="array" ref="FK16">_xll.EQNXTDZ($A$1,$B16,FK$1)</f>
        <v>1537.75</v>
      </c>
      <c r="FL16" s="116" cm="1">
        <f t="array" ref="FL16">_xll.EQNXTDZ($A$1,$B16,FL$1)</f>
        <v>1517.925</v>
      </c>
      <c r="FM16" s="116" cm="1">
        <f t="array" ref="FM16">_xll.EQNXTDZ($A$1,$B16,FM$1)</f>
        <v>1798.825</v>
      </c>
      <c r="FN16" s="116" cm="1">
        <f t="array" ref="FN16">_xll.EQNXTDZ($A$1,$B16,FN$1)</f>
        <v>1725.2249999999999</v>
      </c>
      <c r="FO16" s="116" cm="1">
        <f t="array" ref="FO16">_xll.EQNXTDZ($A$1,$B16,FO$1)</f>
        <v>1764.35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147.19999999999999</v>
      </c>
      <c r="JB16" s="116">
        <f>+DP16</f>
        <v>151.48750000000001</v>
      </c>
      <c r="JC16" s="116">
        <f>+DS16</f>
        <v>164.1875</v>
      </c>
      <c r="JD16" s="116">
        <f>+DV16</f>
        <v>165.01249999999999</v>
      </c>
      <c r="JE16" s="116">
        <f>+DY16</f>
        <v>175.36250000000001</v>
      </c>
      <c r="JF16" s="116">
        <f>+EB16</f>
        <v>201.85</v>
      </c>
      <c r="JG16" s="116">
        <f>+EE16</f>
        <v>217.03749999999999</v>
      </c>
      <c r="JH16" s="116">
        <f>+EH16</f>
        <v>420.16250000000002</v>
      </c>
      <c r="JI16" s="116">
        <f>+EK16</f>
        <v>647.52499999999998</v>
      </c>
      <c r="JJ16" s="116">
        <f>+EN16</f>
        <v>922.86249999999995</v>
      </c>
      <c r="JK16" s="116">
        <f>EQ16</f>
        <v>979.48749999999995</v>
      </c>
      <c r="JL16" s="116">
        <f>ET16</f>
        <v>979.16250000000002</v>
      </c>
      <c r="JM16" s="116">
        <f>EW16</f>
        <v>985.83749999999998</v>
      </c>
      <c r="JN16" s="116">
        <f>EZ16</f>
        <v>956.375</v>
      </c>
      <c r="JO16" s="116">
        <f>FC16</f>
        <v>1080.55</v>
      </c>
      <c r="JP16" s="116">
        <f>FF16</f>
        <v>1412.4</v>
      </c>
      <c r="JQ16" s="116">
        <f>FI16</f>
        <v>1556.35</v>
      </c>
      <c r="JR16" s="116">
        <f>FL16</f>
        <v>1517.925</v>
      </c>
      <c r="JS16" s="116">
        <f>FO16</f>
        <v>1764.35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153.73750000000001</v>
      </c>
      <c r="JB19" s="116">
        <f t="shared" si="1"/>
        <v>163.4</v>
      </c>
      <c r="JC19" s="116">
        <f t="shared" si="1"/>
        <v>178</v>
      </c>
      <c r="JD19" s="116">
        <f t="shared" si="1"/>
        <v>173.32499999999999</v>
      </c>
      <c r="JE19" s="116">
        <f t="shared" si="1"/>
        <v>184.26249999999999</v>
      </c>
      <c r="JF19" s="116">
        <f t="shared" si="1"/>
        <v>215.3125</v>
      </c>
      <c r="JG19" s="116">
        <f t="shared" si="1"/>
        <v>224.98750000000001</v>
      </c>
      <c r="JH19" s="116">
        <f t="shared" si="1"/>
        <v>432.125</v>
      </c>
      <c r="JI19" s="116">
        <f t="shared" si="1"/>
        <v>679.1875</v>
      </c>
      <c r="JJ19" s="116">
        <f t="shared" ref="JJ19:JJ21" si="2">+IF(JJ14=0,JJ7,JJ14)</f>
        <v>1049.95</v>
      </c>
      <c r="JK19" s="116">
        <f t="shared" ref="JK19" si="3">+IF(JK14=0,JK7,JK14)</f>
        <v>1074.7249999999999</v>
      </c>
      <c r="JL19" s="116">
        <f t="shared" ref="JL19:JM19" si="4">+IF(JL14=0,JL7,JL14)</f>
        <v>1071.4625000000001</v>
      </c>
      <c r="JM19" s="116">
        <f t="shared" si="4"/>
        <v>1160.1375</v>
      </c>
      <c r="JN19" s="116">
        <f t="shared" ref="JN19:JO19" si="5">+IF(JN14=0,JN7,JN14)</f>
        <v>1062.7375</v>
      </c>
      <c r="JO19" s="116">
        <f t="shared" si="5"/>
        <v>1094.5999999999999</v>
      </c>
      <c r="JP19" s="116">
        <f t="shared" ref="JP19" si="6">+IF(JP14=0,JP7,JP14)</f>
        <v>1547.5</v>
      </c>
      <c r="JQ19" s="116">
        <f t="shared" ref="JQ19:KH19" si="7">+IF(JQ14=0,JQ7,JQ14)</f>
        <v>1661.925</v>
      </c>
      <c r="JR19" s="116">
        <f t="shared" si="7"/>
        <v>1620.85</v>
      </c>
      <c r="JS19" s="116">
        <f t="shared" si="7"/>
        <v>1991.7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135.46250000000001</v>
      </c>
      <c r="JC20" s="116">
        <f t="shared" si="1"/>
        <v>151.25</v>
      </c>
      <c r="JD20" s="116">
        <f t="shared" si="1"/>
        <v>156.75</v>
      </c>
      <c r="JE20" s="116">
        <f t="shared" si="1"/>
        <v>163.5</v>
      </c>
      <c r="JF20" s="116">
        <f t="shared" si="1"/>
        <v>172.3</v>
      </c>
      <c r="JG20" s="116">
        <f t="shared" si="1"/>
        <v>201.125</v>
      </c>
      <c r="JH20" s="116">
        <f t="shared" si="1"/>
        <v>212.78749999999999</v>
      </c>
      <c r="JI20" s="116">
        <f t="shared" si="1"/>
        <v>412.95</v>
      </c>
      <c r="JJ20" s="116">
        <f t="shared" si="2"/>
        <v>628.75</v>
      </c>
      <c r="JK20" s="116">
        <f t="shared" ref="JK20" si="9">+IF(JK15=0,JK8,JK15)</f>
        <v>857.5</v>
      </c>
      <c r="JL20" s="116">
        <f t="shared" ref="JL20:JM20" si="10">+IF(JL15=0,JL8,JL15)</f>
        <v>866.7</v>
      </c>
      <c r="JM20" s="116">
        <f t="shared" si="10"/>
        <v>940.83749999999998</v>
      </c>
      <c r="JN20" s="116">
        <f t="shared" ref="JN20:JO20" si="11">+IF(JN15=0,JN8,JN15)</f>
        <v>793.02499999999998</v>
      </c>
      <c r="JO20" s="116">
        <f t="shared" si="11"/>
        <v>812</v>
      </c>
      <c r="JP20" s="116">
        <f t="shared" ref="JP20" si="12">+IF(JP15=0,JP8,JP15)</f>
        <v>1017.025</v>
      </c>
      <c r="JQ20" s="116">
        <f t="shared" ref="JQ20:KH20" si="13">+IF(JQ15=0,JQ8,JQ15)</f>
        <v>1387.5</v>
      </c>
      <c r="JR20" s="116">
        <f t="shared" si="13"/>
        <v>1354</v>
      </c>
      <c r="JS20" s="116">
        <f t="shared" si="13"/>
        <v>1490.25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147.19999999999999</v>
      </c>
      <c r="JB21" s="116">
        <f t="shared" si="1"/>
        <v>151.48750000000001</v>
      </c>
      <c r="JC21" s="116">
        <f t="shared" si="1"/>
        <v>164.1875</v>
      </c>
      <c r="JD21" s="116">
        <f t="shared" si="1"/>
        <v>165.01249999999999</v>
      </c>
      <c r="JE21" s="116">
        <f t="shared" si="1"/>
        <v>175.36250000000001</v>
      </c>
      <c r="JF21" s="116">
        <f t="shared" si="1"/>
        <v>201.85</v>
      </c>
      <c r="JG21" s="116">
        <f t="shared" si="1"/>
        <v>217.03749999999999</v>
      </c>
      <c r="JH21" s="116">
        <f t="shared" si="1"/>
        <v>420.16250000000002</v>
      </c>
      <c r="JI21" s="116">
        <f t="shared" si="1"/>
        <v>647.52499999999998</v>
      </c>
      <c r="JJ21" s="116">
        <f t="shared" si="2"/>
        <v>922.86249999999995</v>
      </c>
      <c r="JK21" s="116">
        <f t="shared" ref="JK21" si="14">+IF(JK16=0,JK9,JK16)</f>
        <v>979.48749999999995</v>
      </c>
      <c r="JL21" s="116">
        <f t="shared" ref="JL21:JM21" si="15">+IF(JL16=0,JL9,JL16)</f>
        <v>979.16250000000002</v>
      </c>
      <c r="JM21" s="116">
        <f t="shared" si="15"/>
        <v>985.83749999999998</v>
      </c>
      <c r="JN21" s="116">
        <f t="shared" ref="JN21:JO21" si="16">+IF(JN16=0,JN9,JN16)</f>
        <v>956.375</v>
      </c>
      <c r="JO21" s="116">
        <f t="shared" si="16"/>
        <v>1080.55</v>
      </c>
      <c r="JP21" s="116">
        <f t="shared" ref="JP21" si="17">+IF(JP16=0,JP9,JP16)</f>
        <v>1412.4</v>
      </c>
      <c r="JQ21" s="116">
        <f t="shared" ref="JQ21:KH21" si="18">+IF(JQ16=0,JQ9,JQ16)</f>
        <v>1556.35</v>
      </c>
      <c r="JR21" s="116">
        <f t="shared" si="18"/>
        <v>1517.925</v>
      </c>
      <c r="JS21" s="116">
        <f t="shared" si="18"/>
        <v>1764.35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226156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194702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194702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26908600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41616227</v>
      </c>
      <c r="AP6" cm="1">
        <f t="array" ref="AP6">_xll.EQNXTDZ($A$1,$B6,AP$1)</f>
        <v>41616227</v>
      </c>
      <c r="AQ6" cm="1">
        <f t="array" ref="AQ6">_xll.EQNXTDZ($A$1,$B6,AQ$1)</f>
        <v>41616227</v>
      </c>
      <c r="AR6" cm="1">
        <f t="array" ref="AR6">_xll.EQNXTDZ($A$1,$B6,AR$1)</f>
        <v>41688247</v>
      </c>
      <c r="AS6" cm="1">
        <f t="array" ref="AS6">_xll.EQNXTDZ($A$1,$B6,AS$1)</f>
        <v>41688247</v>
      </c>
      <c r="AT6" cm="1">
        <f t="array" ref="AT6">_xll.EQNXTDZ($A$1,$B6,AT$1)</f>
        <v>41688247</v>
      </c>
      <c r="AU6" cm="1">
        <f t="array" ref="AU6">_xll.EQNXTDZ($A$1,$B6,AU$1)</f>
        <v>41688247</v>
      </c>
      <c r="AV6" cm="1">
        <f t="array" ref="AV6">_xll.EQNXTDZ($A$1,$B6,AV$1)</f>
        <v>41740267</v>
      </c>
      <c r="AW6" cm="1">
        <f t="array" ref="AW6">_xll.EQNXTDZ($A$1,$B6,AW$1)</f>
        <v>41740267</v>
      </c>
      <c r="AX6" cm="1">
        <f t="array" ref="AX6">_xll.EQNXTDZ($A$1,$B6,AX$1)</f>
        <v>41828297</v>
      </c>
      <c r="AY6" cm="1">
        <f t="array" ref="AY6">_xll.EQNXTDZ($A$1,$B6,AY$1)</f>
        <v>41458297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1.94702E-2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1.94702E-2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2.6908599999999998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4.1616226999999997</v>
      </c>
      <c r="AP7" s="100">
        <f t="shared" si="1"/>
        <v>4.1616226999999997</v>
      </c>
      <c r="AQ7" s="100">
        <f t="shared" si="1"/>
        <v>4.1616226999999997</v>
      </c>
      <c r="AR7" s="100">
        <f t="shared" si="1"/>
        <v>4.1688247</v>
      </c>
      <c r="AS7" s="100">
        <f t="shared" si="1"/>
        <v>4.1688247</v>
      </c>
      <c r="AT7" s="100">
        <f t="shared" ref="AT7:AX7" si="2">+AT6/10^7</f>
        <v>4.1688247</v>
      </c>
      <c r="AU7" s="100">
        <f t="shared" si="2"/>
        <v>4.1688247</v>
      </c>
      <c r="AV7" s="100">
        <f t="shared" si="2"/>
        <v>4.1740266999999998</v>
      </c>
      <c r="AW7" s="100">
        <f t="shared" si="2"/>
        <v>4.1740266999999998</v>
      </c>
      <c r="AX7" s="100">
        <f t="shared" si="2"/>
        <v>4.1828297000000001</v>
      </c>
      <c r="AY7" s="100">
        <f t="shared" ref="AY7" si="3">+AY6/10^7</f>
        <v>4.1458297000000002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226156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44544</v>
      </c>
      <c r="B4" s="116">
        <v>153.73750000000001</v>
      </c>
      <c r="C4" s="116">
        <v>145.875</v>
      </c>
      <c r="D4" s="116">
        <v>141.52500000000001</v>
      </c>
      <c r="E4" s="116">
        <v>150.51249999999999</v>
      </c>
      <c r="F4" s="116">
        <v>583.5</v>
      </c>
      <c r="G4">
        <v>886844</v>
      </c>
      <c r="H4" s="116"/>
      <c r="I4" s="116"/>
      <c r="L4" s="170">
        <v>44544</v>
      </c>
      <c r="M4" s="116">
        <v>145.88749999999999</v>
      </c>
      <c r="N4" s="116">
        <v>153.75</v>
      </c>
      <c r="O4" s="116">
        <v>141.38749999999999</v>
      </c>
      <c r="P4" s="116">
        <v>150</v>
      </c>
      <c r="Q4" s="116">
        <v>583.54999999999995</v>
      </c>
      <c r="R4">
        <v>13930950</v>
      </c>
    </row>
    <row r="5" spans="1:18" x14ac:dyDescent="0.25">
      <c r="A5" s="170">
        <v>44545</v>
      </c>
      <c r="B5" s="116">
        <v>149.69999999999999</v>
      </c>
      <c r="C5" s="116">
        <v>146.32499999999999</v>
      </c>
      <c r="D5" s="116">
        <v>144.41249999999999</v>
      </c>
      <c r="E5" s="116">
        <v>146.11250000000001</v>
      </c>
      <c r="F5" s="116">
        <v>585.29999999999995</v>
      </c>
      <c r="G5">
        <v>109898</v>
      </c>
      <c r="H5" s="116"/>
      <c r="I5" s="116"/>
      <c r="L5" s="170">
        <v>44545</v>
      </c>
      <c r="M5" s="116">
        <v>146.23750000000001</v>
      </c>
      <c r="N5" s="116">
        <v>149.69999999999999</v>
      </c>
      <c r="O5" s="116">
        <v>144.5</v>
      </c>
      <c r="P5" s="116">
        <v>146.25</v>
      </c>
      <c r="Q5" s="116">
        <v>584.95000000000005</v>
      </c>
      <c r="R5">
        <v>1337812</v>
      </c>
    </row>
    <row r="6" spans="1:18" x14ac:dyDescent="0.25">
      <c r="A6" s="170">
        <v>44546</v>
      </c>
      <c r="B6" s="116">
        <v>148.61250000000001</v>
      </c>
      <c r="C6" s="116">
        <v>142.82499999999999</v>
      </c>
      <c r="D6" s="116">
        <v>141.58750000000001</v>
      </c>
      <c r="E6" s="116">
        <v>145.875</v>
      </c>
      <c r="F6" s="116">
        <v>571.29999999999995</v>
      </c>
      <c r="G6">
        <v>71049</v>
      </c>
      <c r="H6" s="116"/>
      <c r="I6" s="116"/>
      <c r="L6" s="170">
        <v>44546</v>
      </c>
      <c r="M6" s="116">
        <v>142.72499999999999</v>
      </c>
      <c r="N6" s="116">
        <v>148.625</v>
      </c>
      <c r="O6" s="116">
        <v>141.52500000000001</v>
      </c>
      <c r="P6" s="116">
        <v>146.5</v>
      </c>
      <c r="Q6" s="116">
        <v>570.9</v>
      </c>
      <c r="R6">
        <v>664868</v>
      </c>
    </row>
    <row r="7" spans="1:18" x14ac:dyDescent="0.25">
      <c r="A7" s="170">
        <v>44547</v>
      </c>
      <c r="B7" s="116">
        <v>144.51249999999999</v>
      </c>
      <c r="C7" s="116">
        <v>141.91249999999999</v>
      </c>
      <c r="D7" s="116">
        <v>141.02500000000001</v>
      </c>
      <c r="E7" s="116">
        <v>142.25</v>
      </c>
      <c r="F7" s="116">
        <v>567.65</v>
      </c>
      <c r="G7">
        <v>51554</v>
      </c>
      <c r="H7" s="116"/>
      <c r="I7" s="116"/>
      <c r="L7" s="170">
        <v>44547</v>
      </c>
      <c r="M7" s="116">
        <v>142.1875</v>
      </c>
      <c r="N7" s="116">
        <v>144.73750000000001</v>
      </c>
      <c r="O7" s="116">
        <v>141.23750000000001</v>
      </c>
      <c r="P7" s="116">
        <v>142.69999999999999</v>
      </c>
      <c r="Q7" s="116">
        <v>568.75</v>
      </c>
      <c r="R7">
        <v>664213</v>
      </c>
    </row>
    <row r="8" spans="1:18" x14ac:dyDescent="0.25">
      <c r="A8" s="170">
        <v>44550</v>
      </c>
      <c r="B8" s="116">
        <v>141</v>
      </c>
      <c r="C8" s="116">
        <v>137.92500000000001</v>
      </c>
      <c r="D8" s="116">
        <v>135.80000000000001</v>
      </c>
      <c r="E8" s="116">
        <v>141</v>
      </c>
      <c r="F8" s="116">
        <v>551.70000000000005</v>
      </c>
      <c r="G8">
        <v>36054</v>
      </c>
      <c r="H8" s="116"/>
      <c r="I8" s="116"/>
      <c r="L8" s="170">
        <v>44550</v>
      </c>
      <c r="M8" s="116">
        <v>137.88749999999999</v>
      </c>
      <c r="N8" s="116">
        <v>140.16249999999999</v>
      </c>
      <c r="O8" s="116">
        <v>135.65</v>
      </c>
      <c r="P8" s="116">
        <v>138.75</v>
      </c>
      <c r="Q8" s="116">
        <v>551.54999999999995</v>
      </c>
      <c r="R8">
        <v>790254</v>
      </c>
    </row>
    <row r="9" spans="1:18" x14ac:dyDescent="0.25">
      <c r="A9" s="170">
        <v>44551</v>
      </c>
      <c r="B9" s="116">
        <v>144.22499999999999</v>
      </c>
      <c r="C9" s="116">
        <v>143.63749999999999</v>
      </c>
      <c r="D9" s="116">
        <v>137.52500000000001</v>
      </c>
      <c r="E9" s="116">
        <v>137.52500000000001</v>
      </c>
      <c r="F9" s="116">
        <v>574.54999999999995</v>
      </c>
      <c r="G9">
        <v>44939</v>
      </c>
      <c r="H9" s="116"/>
      <c r="I9" s="116"/>
      <c r="L9" s="170">
        <v>44551</v>
      </c>
      <c r="M9" s="116">
        <v>143.66249999999999</v>
      </c>
      <c r="N9" s="116">
        <v>144.6</v>
      </c>
      <c r="O9" s="116">
        <v>138</v>
      </c>
      <c r="P9" s="116">
        <v>138</v>
      </c>
      <c r="Q9" s="116">
        <v>574.65</v>
      </c>
      <c r="R9">
        <v>571786</v>
      </c>
    </row>
    <row r="10" spans="1:18" x14ac:dyDescent="0.25">
      <c r="A10" s="170">
        <v>44552</v>
      </c>
      <c r="B10" s="116">
        <v>147.01249999999999</v>
      </c>
      <c r="C10" s="116">
        <v>144.88749999999999</v>
      </c>
      <c r="D10" s="116">
        <v>142.53749999999999</v>
      </c>
      <c r="E10" s="116">
        <v>143.63749999999999</v>
      </c>
      <c r="F10" s="116">
        <v>579.54999999999995</v>
      </c>
      <c r="G10">
        <v>19369</v>
      </c>
      <c r="H10" s="116"/>
      <c r="I10" s="116"/>
      <c r="L10" s="170">
        <v>44552</v>
      </c>
      <c r="M10" s="116">
        <v>145.125</v>
      </c>
      <c r="N10" s="116">
        <v>147.23750000000001</v>
      </c>
      <c r="O10" s="116">
        <v>142.5</v>
      </c>
      <c r="P10" s="116">
        <v>142.5</v>
      </c>
      <c r="Q10" s="116">
        <v>580.5</v>
      </c>
      <c r="R10">
        <v>302623</v>
      </c>
    </row>
    <row r="11" spans="1:18" x14ac:dyDescent="0.25">
      <c r="A11" s="170">
        <v>44553</v>
      </c>
      <c r="B11" s="116">
        <v>146.58750000000001</v>
      </c>
      <c r="C11" s="116">
        <v>144</v>
      </c>
      <c r="D11" s="116">
        <v>143.05000000000001</v>
      </c>
      <c r="E11" s="116">
        <v>146.58750000000001</v>
      </c>
      <c r="F11" s="116">
        <v>576</v>
      </c>
      <c r="G11">
        <v>27499</v>
      </c>
      <c r="H11" s="116"/>
      <c r="I11" s="116"/>
      <c r="L11" s="170">
        <v>44553</v>
      </c>
      <c r="M11" s="116">
        <v>144.02500000000001</v>
      </c>
      <c r="N11" s="116">
        <v>146.75</v>
      </c>
      <c r="O11" s="116">
        <v>142.51249999999999</v>
      </c>
      <c r="P11" s="116">
        <v>145.125</v>
      </c>
      <c r="Q11" s="116">
        <v>576.1</v>
      </c>
      <c r="R11">
        <v>205315</v>
      </c>
    </row>
    <row r="12" spans="1:18" x14ac:dyDescent="0.25">
      <c r="A12" s="170">
        <v>44554</v>
      </c>
      <c r="B12" s="116">
        <v>145</v>
      </c>
      <c r="C12" s="116">
        <v>142.77500000000001</v>
      </c>
      <c r="D12" s="116">
        <v>141.38749999999999</v>
      </c>
      <c r="E12" s="116">
        <v>145</v>
      </c>
      <c r="F12" s="116">
        <v>571.1</v>
      </c>
      <c r="G12">
        <v>27072</v>
      </c>
      <c r="H12" s="116"/>
      <c r="I12" s="116"/>
      <c r="L12" s="170">
        <v>44554</v>
      </c>
      <c r="M12" s="116">
        <v>142.85</v>
      </c>
      <c r="N12" s="116">
        <v>144.32499999999999</v>
      </c>
      <c r="O12" s="116">
        <v>141.4</v>
      </c>
      <c r="P12" s="116">
        <v>143.52500000000001</v>
      </c>
      <c r="Q12" s="116">
        <v>571.4</v>
      </c>
      <c r="R12">
        <v>148467</v>
      </c>
    </row>
    <row r="13" spans="1:18" x14ac:dyDescent="0.25">
      <c r="A13" s="170">
        <v>44557</v>
      </c>
      <c r="B13" s="116">
        <v>143.17500000000001</v>
      </c>
      <c r="C13" s="116">
        <v>142.46250000000001</v>
      </c>
      <c r="D13" s="116">
        <v>138.88749999999999</v>
      </c>
      <c r="E13" s="116">
        <v>138.88749999999999</v>
      </c>
      <c r="F13" s="116">
        <v>569.85</v>
      </c>
      <c r="G13">
        <v>14278</v>
      </c>
      <c r="H13" s="116"/>
      <c r="I13" s="116"/>
      <c r="L13" s="170">
        <v>44557</v>
      </c>
      <c r="M13" s="116">
        <v>142.86250000000001</v>
      </c>
      <c r="N13" s="116">
        <v>143.23750000000001</v>
      </c>
      <c r="O13" s="116">
        <v>140.77500000000001</v>
      </c>
      <c r="P13" s="116">
        <v>140.77500000000001</v>
      </c>
      <c r="Q13" s="116">
        <v>571.45000000000005</v>
      </c>
      <c r="R13">
        <v>218861</v>
      </c>
    </row>
    <row r="14" spans="1:18" x14ac:dyDescent="0.25">
      <c r="A14" s="170">
        <v>44558</v>
      </c>
      <c r="B14" s="116">
        <v>144.4</v>
      </c>
      <c r="C14" s="116">
        <v>142.91249999999999</v>
      </c>
      <c r="D14" s="116">
        <v>142.11250000000001</v>
      </c>
      <c r="E14" s="116">
        <v>142.63749999999999</v>
      </c>
      <c r="F14" s="116">
        <v>571.65</v>
      </c>
      <c r="G14">
        <v>16855</v>
      </c>
      <c r="H14" s="116"/>
      <c r="I14" s="116"/>
      <c r="L14" s="170">
        <v>44558</v>
      </c>
      <c r="M14" s="116">
        <v>143.01249999999999</v>
      </c>
      <c r="N14" s="116">
        <v>144.5</v>
      </c>
      <c r="O14" s="116">
        <v>141.75</v>
      </c>
      <c r="P14" s="116">
        <v>143</v>
      </c>
      <c r="Q14" s="116">
        <v>572.04999999999995</v>
      </c>
      <c r="R14">
        <v>235878</v>
      </c>
    </row>
    <row r="15" spans="1:18" x14ac:dyDescent="0.25">
      <c r="A15" s="170">
        <v>44559</v>
      </c>
      <c r="B15" s="116">
        <v>150.92500000000001</v>
      </c>
      <c r="C15" s="116">
        <v>145.6</v>
      </c>
      <c r="D15" s="116">
        <v>140.17500000000001</v>
      </c>
      <c r="E15" s="116">
        <v>140.17500000000001</v>
      </c>
      <c r="F15" s="116">
        <v>582.4</v>
      </c>
      <c r="G15">
        <v>36714</v>
      </c>
      <c r="H15" s="116"/>
      <c r="I15" s="116"/>
      <c r="L15" s="170">
        <v>44559</v>
      </c>
      <c r="M15" s="116">
        <v>145.78749999999999</v>
      </c>
      <c r="N15" s="116">
        <v>150.51249999999999</v>
      </c>
      <c r="O15" s="116">
        <v>142.05000000000001</v>
      </c>
      <c r="P15" s="116">
        <v>142.52500000000001</v>
      </c>
      <c r="Q15" s="116">
        <v>583.15</v>
      </c>
      <c r="R15">
        <v>373429</v>
      </c>
    </row>
    <row r="16" spans="1:18" x14ac:dyDescent="0.25">
      <c r="A16" s="170">
        <v>44560</v>
      </c>
      <c r="B16" s="116">
        <v>151.11250000000001</v>
      </c>
      <c r="C16" s="116">
        <v>146.52500000000001</v>
      </c>
      <c r="D16" s="116">
        <v>144.97499999999999</v>
      </c>
      <c r="E16" s="116">
        <v>145.08750000000001</v>
      </c>
      <c r="F16" s="116">
        <v>586.1</v>
      </c>
      <c r="G16">
        <v>181389</v>
      </c>
      <c r="H16" s="116"/>
      <c r="I16" s="116"/>
      <c r="L16" s="170">
        <v>44560</v>
      </c>
      <c r="M16" s="116">
        <v>146.4375</v>
      </c>
      <c r="N16" s="116">
        <v>151.25</v>
      </c>
      <c r="O16" s="116">
        <v>145.03749999999999</v>
      </c>
      <c r="P16" s="116">
        <v>145.03749999999999</v>
      </c>
      <c r="Q16" s="116">
        <v>585.75</v>
      </c>
      <c r="R16">
        <v>637277</v>
      </c>
    </row>
    <row r="17" spans="1:18" x14ac:dyDescent="0.25">
      <c r="A17" s="170">
        <v>44561</v>
      </c>
      <c r="B17" s="116">
        <v>151.26249999999999</v>
      </c>
      <c r="C17" s="116">
        <v>147.19999999999999</v>
      </c>
      <c r="D17" s="116">
        <v>146.11250000000001</v>
      </c>
      <c r="E17" s="116">
        <v>148.25</v>
      </c>
      <c r="F17" s="116">
        <v>588.79999999999995</v>
      </c>
      <c r="G17">
        <v>42346</v>
      </c>
      <c r="H17" s="116"/>
      <c r="I17" s="116"/>
      <c r="L17" s="170">
        <v>44561</v>
      </c>
      <c r="M17" s="116">
        <v>147.125</v>
      </c>
      <c r="N17" s="116">
        <v>151.5</v>
      </c>
      <c r="O17" s="116">
        <v>146.25</v>
      </c>
      <c r="P17" s="116">
        <v>146.98750000000001</v>
      </c>
      <c r="Q17" s="116">
        <v>588.5</v>
      </c>
      <c r="R17">
        <v>383891</v>
      </c>
    </row>
    <row r="18" spans="1:18" x14ac:dyDescent="0.25">
      <c r="A18" s="170">
        <v>44564</v>
      </c>
      <c r="B18" s="116">
        <v>160.55000000000001</v>
      </c>
      <c r="C18" s="116">
        <v>158.41249999999999</v>
      </c>
      <c r="D18" s="116">
        <v>147.27500000000001</v>
      </c>
      <c r="E18" s="116">
        <v>147.27500000000001</v>
      </c>
      <c r="F18" s="116">
        <v>633.65</v>
      </c>
      <c r="G18">
        <v>83699</v>
      </c>
      <c r="H18" s="116"/>
      <c r="I18" s="116"/>
      <c r="L18" s="170">
        <v>44564</v>
      </c>
      <c r="M18" s="116">
        <v>158.1875</v>
      </c>
      <c r="N18" s="116">
        <v>160.625</v>
      </c>
      <c r="O18" s="116">
        <v>148.01249999999999</v>
      </c>
      <c r="P18" s="116">
        <v>148.75</v>
      </c>
      <c r="Q18" s="116">
        <v>632.75</v>
      </c>
      <c r="R18">
        <v>1123074</v>
      </c>
    </row>
    <row r="19" spans="1:18" x14ac:dyDescent="0.25">
      <c r="A19" s="170">
        <v>44565</v>
      </c>
      <c r="B19" s="116">
        <v>163.4</v>
      </c>
      <c r="C19" s="116">
        <v>160.41249999999999</v>
      </c>
      <c r="D19" s="116">
        <v>154.53749999999999</v>
      </c>
      <c r="E19" s="116">
        <v>155.55000000000001</v>
      </c>
      <c r="F19" s="116">
        <v>641.65</v>
      </c>
      <c r="G19">
        <v>119185</v>
      </c>
      <c r="H19" s="116"/>
      <c r="I19" s="116"/>
      <c r="L19" s="170">
        <v>44565</v>
      </c>
      <c r="M19" s="116">
        <v>159.94999999999999</v>
      </c>
      <c r="N19" s="116">
        <v>163.5</v>
      </c>
      <c r="O19" s="116">
        <v>154.58750000000001</v>
      </c>
      <c r="P19" s="116">
        <v>157.42500000000001</v>
      </c>
      <c r="Q19" s="116">
        <v>639.79999999999995</v>
      </c>
      <c r="R19">
        <v>943975</v>
      </c>
    </row>
    <row r="20" spans="1:18" x14ac:dyDescent="0.25">
      <c r="A20" s="170">
        <v>44566</v>
      </c>
      <c r="B20" s="116">
        <v>162</v>
      </c>
      <c r="C20" s="116">
        <v>159.33750000000001</v>
      </c>
      <c r="D20" s="116">
        <v>157.25</v>
      </c>
      <c r="E20" s="116">
        <v>157.75</v>
      </c>
      <c r="F20" s="116">
        <v>637.35</v>
      </c>
      <c r="G20">
        <v>50278</v>
      </c>
      <c r="H20" s="116"/>
      <c r="I20" s="116"/>
      <c r="L20" s="170">
        <v>44566</v>
      </c>
      <c r="M20" s="116">
        <v>159.27500000000001</v>
      </c>
      <c r="N20" s="116">
        <v>162.125</v>
      </c>
      <c r="O20" s="116">
        <v>157.85</v>
      </c>
      <c r="P20" s="116">
        <v>158.97499999999999</v>
      </c>
      <c r="Q20" s="116">
        <v>637.1</v>
      </c>
      <c r="R20">
        <v>345322</v>
      </c>
    </row>
    <row r="21" spans="1:18" x14ac:dyDescent="0.25">
      <c r="A21" s="170">
        <v>44567</v>
      </c>
      <c r="B21" s="116">
        <v>160.4</v>
      </c>
      <c r="C21" s="116">
        <v>158.97499999999999</v>
      </c>
      <c r="D21" s="116">
        <v>156.1</v>
      </c>
      <c r="E21" s="116">
        <v>157.78749999999999</v>
      </c>
      <c r="F21" s="116">
        <v>635.9</v>
      </c>
      <c r="G21">
        <v>29459</v>
      </c>
      <c r="H21" s="116"/>
      <c r="I21" s="116"/>
      <c r="L21" s="170">
        <v>44567</v>
      </c>
      <c r="M21" s="116">
        <v>158.67500000000001</v>
      </c>
      <c r="N21" s="116">
        <v>160.5</v>
      </c>
      <c r="O21" s="116">
        <v>156</v>
      </c>
      <c r="P21" s="116">
        <v>158.72499999999999</v>
      </c>
      <c r="Q21" s="116">
        <v>634.70000000000005</v>
      </c>
      <c r="R21">
        <v>300674</v>
      </c>
    </row>
    <row r="22" spans="1:18" x14ac:dyDescent="0.25">
      <c r="A22" s="170">
        <v>44568</v>
      </c>
      <c r="B22" s="116">
        <v>162.25</v>
      </c>
      <c r="C22" s="116">
        <v>154.67500000000001</v>
      </c>
      <c r="D22" s="116">
        <v>152.01249999999999</v>
      </c>
      <c r="E22" s="116">
        <v>161.5</v>
      </c>
      <c r="F22" s="116">
        <v>618.70000000000005</v>
      </c>
      <c r="G22">
        <v>116812</v>
      </c>
      <c r="H22" s="116"/>
      <c r="I22" s="116"/>
      <c r="L22" s="170">
        <v>44568</v>
      </c>
      <c r="M22" s="116">
        <v>154.86250000000001</v>
      </c>
      <c r="N22" s="116">
        <v>162.25</v>
      </c>
      <c r="O22" s="116">
        <v>152</v>
      </c>
      <c r="P22" s="116">
        <v>161.5</v>
      </c>
      <c r="Q22" s="116">
        <v>619.45000000000005</v>
      </c>
      <c r="R22">
        <v>949045</v>
      </c>
    </row>
    <row r="23" spans="1:18" x14ac:dyDescent="0.25">
      <c r="A23" s="170">
        <v>44571</v>
      </c>
      <c r="B23" s="116">
        <v>161.25</v>
      </c>
      <c r="C23" s="116">
        <v>157.76249999999999</v>
      </c>
      <c r="D23" s="116">
        <v>149.32499999999999</v>
      </c>
      <c r="E23" s="116">
        <v>154.5</v>
      </c>
      <c r="F23" s="116">
        <v>631.04999999999995</v>
      </c>
      <c r="G23">
        <v>55630</v>
      </c>
      <c r="H23" s="116"/>
      <c r="I23" s="116"/>
      <c r="L23" s="170">
        <v>44571</v>
      </c>
      <c r="M23" s="116">
        <v>157.32499999999999</v>
      </c>
      <c r="N23" s="116">
        <v>161.1</v>
      </c>
      <c r="O23" s="116">
        <v>149.26249999999999</v>
      </c>
      <c r="P23" s="116">
        <v>152.52500000000001</v>
      </c>
      <c r="Q23" s="116">
        <v>629.29999999999995</v>
      </c>
      <c r="R23">
        <v>1185655</v>
      </c>
    </row>
    <row r="24" spans="1:18" x14ac:dyDescent="0.25">
      <c r="A24" s="170">
        <v>44572</v>
      </c>
      <c r="B24" s="116">
        <v>160.25</v>
      </c>
      <c r="C24" s="116">
        <v>158.1875</v>
      </c>
      <c r="D24" s="116">
        <v>154.57499999999999</v>
      </c>
      <c r="E24" s="116">
        <v>158</v>
      </c>
      <c r="F24" s="116">
        <v>632.75</v>
      </c>
      <c r="G24">
        <v>66692</v>
      </c>
      <c r="H24" s="116"/>
      <c r="I24" s="116"/>
      <c r="L24" s="170">
        <v>44572</v>
      </c>
      <c r="M24" s="116">
        <v>156.5</v>
      </c>
      <c r="N24" s="116">
        <v>160.1875</v>
      </c>
      <c r="O24" s="116">
        <v>154.75</v>
      </c>
      <c r="P24" s="116">
        <v>157.42500000000001</v>
      </c>
      <c r="Q24" s="116">
        <v>626</v>
      </c>
      <c r="R24">
        <v>378459</v>
      </c>
    </row>
    <row r="25" spans="1:18" x14ac:dyDescent="0.25">
      <c r="A25" s="170">
        <v>44573</v>
      </c>
      <c r="B25" s="116">
        <v>159.25</v>
      </c>
      <c r="C25" s="116">
        <v>154.52500000000001</v>
      </c>
      <c r="D25" s="116">
        <v>152.78749999999999</v>
      </c>
      <c r="E25" s="116">
        <v>159.25</v>
      </c>
      <c r="F25" s="116">
        <v>618.1</v>
      </c>
      <c r="G25">
        <v>25963</v>
      </c>
      <c r="H25" s="116"/>
      <c r="I25" s="116"/>
      <c r="L25" s="170">
        <v>44573</v>
      </c>
      <c r="M25" s="116">
        <v>154.61250000000001</v>
      </c>
      <c r="N25" s="116">
        <v>158.72499999999999</v>
      </c>
      <c r="O25" s="116">
        <v>152.52500000000001</v>
      </c>
      <c r="P25" s="116">
        <v>157.67500000000001</v>
      </c>
      <c r="Q25" s="116">
        <v>618.45000000000005</v>
      </c>
      <c r="R25">
        <v>161687</v>
      </c>
    </row>
    <row r="26" spans="1:18" x14ac:dyDescent="0.25">
      <c r="A26" s="170">
        <v>44574</v>
      </c>
      <c r="B26" s="116">
        <v>157.375</v>
      </c>
      <c r="C26" s="116">
        <v>154.78749999999999</v>
      </c>
      <c r="D26" s="116">
        <v>153.5</v>
      </c>
      <c r="E26" s="116">
        <v>157.375</v>
      </c>
      <c r="F26" s="116">
        <v>619.15</v>
      </c>
      <c r="G26">
        <v>15086</v>
      </c>
      <c r="H26" s="116"/>
      <c r="I26" s="116"/>
      <c r="L26" s="170">
        <v>44574</v>
      </c>
      <c r="M26" s="116">
        <v>154.97499999999999</v>
      </c>
      <c r="N26" s="116">
        <v>156.97499999999999</v>
      </c>
      <c r="O26" s="116">
        <v>153.44999999999999</v>
      </c>
      <c r="P26" s="116">
        <v>155.86250000000001</v>
      </c>
      <c r="Q26" s="116">
        <v>619.9</v>
      </c>
      <c r="R26">
        <v>353212</v>
      </c>
    </row>
    <row r="27" spans="1:18" x14ac:dyDescent="0.25">
      <c r="A27" s="170">
        <v>44575</v>
      </c>
      <c r="B27" s="116">
        <v>157.25</v>
      </c>
      <c r="C27" s="116">
        <v>155.38749999999999</v>
      </c>
      <c r="D27" s="116">
        <v>154.11250000000001</v>
      </c>
      <c r="E27" s="116">
        <v>156</v>
      </c>
      <c r="F27" s="116">
        <v>621.54999999999995</v>
      </c>
      <c r="G27">
        <v>9335</v>
      </c>
      <c r="H27" s="116"/>
      <c r="I27" s="116"/>
      <c r="L27" s="170">
        <v>44575</v>
      </c>
      <c r="M27" s="116">
        <v>155.73750000000001</v>
      </c>
      <c r="N27" s="116">
        <v>157.25</v>
      </c>
      <c r="O27" s="116">
        <v>154.13749999999999</v>
      </c>
      <c r="P27" s="116">
        <v>155.97499999999999</v>
      </c>
      <c r="Q27" s="116">
        <v>622.95000000000005</v>
      </c>
      <c r="R27">
        <v>166453</v>
      </c>
    </row>
    <row r="28" spans="1:18" x14ac:dyDescent="0.25">
      <c r="A28" s="170">
        <v>44578</v>
      </c>
      <c r="B28" s="116">
        <v>159.41249999999999</v>
      </c>
      <c r="C28" s="116">
        <v>154.5625</v>
      </c>
      <c r="D28" s="116">
        <v>153.77500000000001</v>
      </c>
      <c r="E28" s="116">
        <v>156.75</v>
      </c>
      <c r="F28" s="116">
        <v>618.25</v>
      </c>
      <c r="G28">
        <v>31279</v>
      </c>
      <c r="H28" s="116"/>
      <c r="I28" s="116"/>
      <c r="L28" s="170">
        <v>44578</v>
      </c>
      <c r="M28" s="116">
        <v>154.75</v>
      </c>
      <c r="N28" s="116">
        <v>159.51249999999999</v>
      </c>
      <c r="O28" s="116">
        <v>154.02500000000001</v>
      </c>
      <c r="P28" s="116">
        <v>157.125</v>
      </c>
      <c r="Q28" s="116">
        <v>619</v>
      </c>
      <c r="R28">
        <v>269120</v>
      </c>
    </row>
    <row r="29" spans="1:18" x14ac:dyDescent="0.25">
      <c r="A29" s="170">
        <v>44579</v>
      </c>
      <c r="B29" s="116">
        <v>158</v>
      </c>
      <c r="C29" s="116">
        <v>153.61250000000001</v>
      </c>
      <c r="D29" s="116">
        <v>152.625</v>
      </c>
      <c r="E29" s="116">
        <v>158</v>
      </c>
      <c r="F29" s="116">
        <v>614.45000000000005</v>
      </c>
      <c r="G29">
        <v>28046</v>
      </c>
      <c r="H29" s="116"/>
      <c r="I29" s="116"/>
      <c r="L29" s="170">
        <v>44579</v>
      </c>
      <c r="M29" s="116">
        <v>153.375</v>
      </c>
      <c r="N29" s="116">
        <v>157.51249999999999</v>
      </c>
      <c r="O29" s="116">
        <v>152.5</v>
      </c>
      <c r="P29" s="116">
        <v>156.5</v>
      </c>
      <c r="Q29" s="116">
        <v>613.5</v>
      </c>
      <c r="R29">
        <v>154614</v>
      </c>
    </row>
    <row r="30" spans="1:18" x14ac:dyDescent="0.25">
      <c r="A30" s="170">
        <v>44580</v>
      </c>
      <c r="B30" s="116">
        <v>154.94999999999999</v>
      </c>
      <c r="C30" s="116">
        <v>152.41249999999999</v>
      </c>
      <c r="D30" s="116">
        <v>150</v>
      </c>
      <c r="E30" s="116">
        <v>151</v>
      </c>
      <c r="F30" s="116">
        <v>609.65</v>
      </c>
      <c r="G30">
        <v>15794</v>
      </c>
      <c r="H30" s="116"/>
      <c r="I30" s="116"/>
      <c r="L30" s="170">
        <v>44580</v>
      </c>
      <c r="M30" s="116">
        <v>152.71250000000001</v>
      </c>
      <c r="N30" s="116">
        <v>155.25</v>
      </c>
      <c r="O30" s="116">
        <v>149.92500000000001</v>
      </c>
      <c r="P30" s="116">
        <v>153.25</v>
      </c>
      <c r="Q30" s="116">
        <v>610.85</v>
      </c>
      <c r="R30">
        <v>145045</v>
      </c>
    </row>
    <row r="31" spans="1:18" x14ac:dyDescent="0.25">
      <c r="A31" s="170">
        <v>44581</v>
      </c>
      <c r="B31" s="116">
        <v>156.58750000000001</v>
      </c>
      <c r="C31" s="116">
        <v>150.92500000000001</v>
      </c>
      <c r="D31" s="116">
        <v>150.55000000000001</v>
      </c>
      <c r="E31" s="116">
        <v>153.73750000000001</v>
      </c>
      <c r="F31" s="116">
        <v>603.70000000000005</v>
      </c>
      <c r="G31">
        <v>36680</v>
      </c>
      <c r="H31" s="116"/>
      <c r="I31" s="116"/>
      <c r="L31" s="170">
        <v>44581</v>
      </c>
      <c r="M31" s="116">
        <v>151.26249999999999</v>
      </c>
      <c r="N31" s="116">
        <v>156.6</v>
      </c>
      <c r="O31" s="116">
        <v>150.6875</v>
      </c>
      <c r="P31" s="116">
        <v>151.27500000000001</v>
      </c>
      <c r="Q31" s="116">
        <v>605.04999999999995</v>
      </c>
      <c r="R31">
        <v>309974</v>
      </c>
    </row>
    <row r="32" spans="1:18" x14ac:dyDescent="0.25">
      <c r="A32" s="170">
        <v>44582</v>
      </c>
      <c r="B32" s="116">
        <v>155.15</v>
      </c>
      <c r="C32" s="116">
        <v>150.91249999999999</v>
      </c>
      <c r="D32" s="116">
        <v>148.94999999999999</v>
      </c>
      <c r="E32" s="116">
        <v>151.01249999999999</v>
      </c>
      <c r="F32" s="116">
        <v>603.65</v>
      </c>
      <c r="G32">
        <v>25657</v>
      </c>
      <c r="H32" s="116"/>
      <c r="I32" s="116"/>
      <c r="L32" s="170">
        <v>44582</v>
      </c>
      <c r="M32" s="116">
        <v>150.77500000000001</v>
      </c>
      <c r="N32" s="116">
        <v>155.22499999999999</v>
      </c>
      <c r="O32" s="116">
        <v>148.98750000000001</v>
      </c>
      <c r="P32" s="116">
        <v>149</v>
      </c>
      <c r="Q32" s="116">
        <v>603.1</v>
      </c>
      <c r="R32">
        <v>212651</v>
      </c>
    </row>
    <row r="33" spans="1:18" x14ac:dyDescent="0.25">
      <c r="A33" s="170">
        <v>44585</v>
      </c>
      <c r="B33" s="116">
        <v>151.94999999999999</v>
      </c>
      <c r="C33" s="116">
        <v>144.92500000000001</v>
      </c>
      <c r="D33" s="116">
        <v>142.63749999999999</v>
      </c>
      <c r="E33" s="116">
        <v>150.91249999999999</v>
      </c>
      <c r="F33" s="116">
        <v>579.70000000000005</v>
      </c>
      <c r="G33">
        <v>28813</v>
      </c>
      <c r="H33" s="116"/>
      <c r="I33" s="116"/>
      <c r="L33" s="170">
        <v>44585</v>
      </c>
      <c r="M33" s="116">
        <v>145.01249999999999</v>
      </c>
      <c r="N33" s="116">
        <v>152.07499999999999</v>
      </c>
      <c r="O33" s="116">
        <v>142.75</v>
      </c>
      <c r="P33" s="116">
        <v>151.22499999999999</v>
      </c>
      <c r="Q33" s="116">
        <v>580.04999999999995</v>
      </c>
      <c r="R33">
        <v>317612</v>
      </c>
    </row>
    <row r="34" spans="1:18" x14ac:dyDescent="0.25">
      <c r="A34" s="170">
        <v>44586</v>
      </c>
      <c r="B34" s="116">
        <v>150.05000000000001</v>
      </c>
      <c r="C34" s="116">
        <v>148.0625</v>
      </c>
      <c r="D34" s="116">
        <v>143.72499999999999</v>
      </c>
      <c r="E34" s="116">
        <v>144.16249999999999</v>
      </c>
      <c r="F34" s="116">
        <v>592.25</v>
      </c>
      <c r="G34">
        <v>22817</v>
      </c>
      <c r="H34" s="116"/>
      <c r="I34" s="116"/>
      <c r="L34" s="170">
        <v>44586</v>
      </c>
      <c r="M34" s="116">
        <v>148.11250000000001</v>
      </c>
      <c r="N34" s="116">
        <v>150.19999999999999</v>
      </c>
      <c r="O34" s="116">
        <v>143.5625</v>
      </c>
      <c r="P34" s="116">
        <v>145</v>
      </c>
      <c r="Q34" s="116">
        <v>592.45000000000005</v>
      </c>
      <c r="R34">
        <v>150277</v>
      </c>
    </row>
    <row r="35" spans="1:18" x14ac:dyDescent="0.25">
      <c r="A35" s="170">
        <v>44588</v>
      </c>
      <c r="B35" s="116">
        <v>149.6875</v>
      </c>
      <c r="C35" s="116">
        <v>148.47499999999999</v>
      </c>
      <c r="D35" s="116">
        <v>145.92500000000001</v>
      </c>
      <c r="E35" s="116">
        <v>146.26249999999999</v>
      </c>
      <c r="F35" s="116">
        <v>593.9</v>
      </c>
      <c r="G35">
        <v>9474</v>
      </c>
      <c r="H35" s="116"/>
      <c r="I35" s="116"/>
      <c r="L35" s="170">
        <v>44588</v>
      </c>
      <c r="M35" s="116">
        <v>148.42500000000001</v>
      </c>
      <c r="N35" s="116">
        <v>149.75</v>
      </c>
      <c r="O35" s="116">
        <v>145.69999999999999</v>
      </c>
      <c r="P35" s="116">
        <v>147.5</v>
      </c>
      <c r="Q35" s="116">
        <v>593.70000000000005</v>
      </c>
      <c r="R35">
        <v>49623</v>
      </c>
    </row>
    <row r="36" spans="1:18" x14ac:dyDescent="0.25">
      <c r="A36" s="170">
        <v>44589</v>
      </c>
      <c r="B36" s="116">
        <v>152.67500000000001</v>
      </c>
      <c r="C36" s="116">
        <v>148.17500000000001</v>
      </c>
      <c r="D36" s="116">
        <v>146.05000000000001</v>
      </c>
      <c r="E36" s="116">
        <v>146.05000000000001</v>
      </c>
      <c r="F36" s="116">
        <v>592.70000000000005</v>
      </c>
      <c r="G36">
        <v>17382</v>
      </c>
      <c r="H36" s="116"/>
      <c r="I36" s="116"/>
      <c r="L36" s="170">
        <v>44589</v>
      </c>
      <c r="M36" s="116">
        <v>148.55000000000001</v>
      </c>
      <c r="N36" s="116">
        <v>152.73750000000001</v>
      </c>
      <c r="O36" s="116">
        <v>147.5</v>
      </c>
      <c r="P36" s="116">
        <v>149.22499999999999</v>
      </c>
      <c r="Q36" s="116">
        <v>594.20000000000005</v>
      </c>
      <c r="R36">
        <v>98971</v>
      </c>
    </row>
    <row r="37" spans="1:18" x14ac:dyDescent="0.25">
      <c r="A37" s="170">
        <v>44592</v>
      </c>
      <c r="B37" s="116">
        <v>151.02500000000001</v>
      </c>
      <c r="C37" s="116">
        <v>146.125</v>
      </c>
      <c r="D37" s="116">
        <v>145.375</v>
      </c>
      <c r="E37" s="116">
        <v>149.375</v>
      </c>
      <c r="F37" s="116">
        <v>584.5</v>
      </c>
      <c r="G37">
        <v>15239</v>
      </c>
      <c r="H37" s="116"/>
      <c r="I37" s="116"/>
      <c r="L37" s="170">
        <v>44592</v>
      </c>
      <c r="M37" s="116">
        <v>146.125</v>
      </c>
      <c r="N37" s="116">
        <v>151</v>
      </c>
      <c r="O37" s="116">
        <v>145.25</v>
      </c>
      <c r="P37" s="116">
        <v>149.91249999999999</v>
      </c>
      <c r="Q37" s="116">
        <v>584.5</v>
      </c>
      <c r="R37">
        <v>200431</v>
      </c>
    </row>
    <row r="38" spans="1:18" x14ac:dyDescent="0.25">
      <c r="A38" s="170">
        <v>44593</v>
      </c>
      <c r="B38" s="116">
        <v>149.15</v>
      </c>
      <c r="C38" s="116">
        <v>147.16249999999999</v>
      </c>
      <c r="D38" s="116">
        <v>145.02500000000001</v>
      </c>
      <c r="E38" s="116">
        <v>147.5</v>
      </c>
      <c r="F38" s="116">
        <v>588.65</v>
      </c>
      <c r="G38">
        <v>15634</v>
      </c>
      <c r="H38" s="116"/>
      <c r="I38" s="116"/>
      <c r="L38" s="170">
        <v>44593</v>
      </c>
      <c r="M38" s="116">
        <v>147.27500000000001</v>
      </c>
      <c r="N38" s="116">
        <v>149.5</v>
      </c>
      <c r="O38" s="116">
        <v>145</v>
      </c>
      <c r="P38" s="116">
        <v>147.25</v>
      </c>
      <c r="Q38" s="116">
        <v>589.1</v>
      </c>
      <c r="R38">
        <v>140359</v>
      </c>
    </row>
    <row r="39" spans="1:18" x14ac:dyDescent="0.25">
      <c r="A39" s="170">
        <v>44594</v>
      </c>
      <c r="B39" s="116">
        <v>150.15</v>
      </c>
      <c r="C39" s="116">
        <v>148.32499999999999</v>
      </c>
      <c r="D39" s="116">
        <v>147.42500000000001</v>
      </c>
      <c r="E39" s="116">
        <v>148.30000000000001</v>
      </c>
      <c r="F39" s="116">
        <v>593.29999999999995</v>
      </c>
      <c r="G39">
        <v>7752</v>
      </c>
      <c r="H39" s="116"/>
      <c r="I39" s="116"/>
      <c r="L39" s="170">
        <v>44594</v>
      </c>
      <c r="M39" s="116">
        <v>148.36250000000001</v>
      </c>
      <c r="N39" s="116">
        <v>150.25</v>
      </c>
      <c r="O39" s="116">
        <v>147.27500000000001</v>
      </c>
      <c r="P39" s="116">
        <v>147.77500000000001</v>
      </c>
      <c r="Q39" s="116">
        <v>593.45000000000005</v>
      </c>
      <c r="R39">
        <v>67753</v>
      </c>
    </row>
    <row r="40" spans="1:18" x14ac:dyDescent="0.25">
      <c r="A40" s="170">
        <v>44595</v>
      </c>
      <c r="B40" s="116">
        <v>148.75</v>
      </c>
      <c r="C40" s="116">
        <v>146.80000000000001</v>
      </c>
      <c r="D40" s="116">
        <v>146.55000000000001</v>
      </c>
      <c r="E40" s="116">
        <v>147.71250000000001</v>
      </c>
      <c r="F40" s="116">
        <v>587.20000000000005</v>
      </c>
      <c r="G40">
        <v>3507</v>
      </c>
      <c r="H40" s="116"/>
      <c r="I40" s="116"/>
      <c r="L40" s="170">
        <v>44595</v>
      </c>
      <c r="M40" s="116">
        <v>146.75</v>
      </c>
      <c r="N40" s="116">
        <v>148.98750000000001</v>
      </c>
      <c r="O40" s="116">
        <v>146.58750000000001</v>
      </c>
      <c r="P40" s="116">
        <v>147.3125</v>
      </c>
      <c r="Q40" s="116">
        <v>587</v>
      </c>
      <c r="R40">
        <v>40506</v>
      </c>
    </row>
    <row r="41" spans="1:18" x14ac:dyDescent="0.25">
      <c r="A41" s="170">
        <v>44596</v>
      </c>
      <c r="B41" s="116">
        <v>147.63749999999999</v>
      </c>
      <c r="C41" s="116">
        <v>146.73750000000001</v>
      </c>
      <c r="D41" s="116">
        <v>143.625</v>
      </c>
      <c r="E41" s="116">
        <v>147.3125</v>
      </c>
      <c r="F41" s="116">
        <v>586.95000000000005</v>
      </c>
      <c r="G41">
        <v>8719</v>
      </c>
      <c r="H41" s="116"/>
      <c r="I41" s="116"/>
      <c r="L41" s="170">
        <v>44596</v>
      </c>
      <c r="M41" s="116">
        <v>146.875</v>
      </c>
      <c r="N41" s="116">
        <v>147.51249999999999</v>
      </c>
      <c r="O41" s="116">
        <v>143.5</v>
      </c>
      <c r="P41" s="116">
        <v>147</v>
      </c>
      <c r="Q41" s="116">
        <v>587.5</v>
      </c>
      <c r="R41">
        <v>66736</v>
      </c>
    </row>
    <row r="42" spans="1:18" x14ac:dyDescent="0.25">
      <c r="A42" s="170">
        <v>44599</v>
      </c>
      <c r="B42" s="116">
        <v>147.25</v>
      </c>
      <c r="C42" s="116">
        <v>146.1</v>
      </c>
      <c r="D42" s="116">
        <v>145.26249999999999</v>
      </c>
      <c r="E42" s="116">
        <v>146.47499999999999</v>
      </c>
      <c r="F42" s="116">
        <v>584.4</v>
      </c>
      <c r="G42">
        <v>10460</v>
      </c>
      <c r="H42" s="116"/>
      <c r="I42" s="116"/>
      <c r="L42" s="170">
        <v>44599</v>
      </c>
      <c r="M42" s="116">
        <v>145.85</v>
      </c>
      <c r="N42" s="116">
        <v>147.41249999999999</v>
      </c>
      <c r="O42" s="116">
        <v>145</v>
      </c>
      <c r="P42" s="116">
        <v>146.75</v>
      </c>
      <c r="Q42" s="116">
        <v>583.4</v>
      </c>
      <c r="R42">
        <v>37641</v>
      </c>
    </row>
    <row r="43" spans="1:18" x14ac:dyDescent="0.25">
      <c r="A43" s="170">
        <v>44600</v>
      </c>
      <c r="B43" s="116">
        <v>147.25</v>
      </c>
      <c r="C43" s="116">
        <v>145.41249999999999</v>
      </c>
      <c r="D43" s="116">
        <v>142.63749999999999</v>
      </c>
      <c r="E43" s="116">
        <v>147.05000000000001</v>
      </c>
      <c r="F43" s="116">
        <v>581.65</v>
      </c>
      <c r="G43">
        <v>17946</v>
      </c>
      <c r="H43" s="116"/>
      <c r="I43" s="116"/>
      <c r="L43" s="170">
        <v>44600</v>
      </c>
      <c r="M43" s="116">
        <v>145.78749999999999</v>
      </c>
      <c r="N43" s="116">
        <v>147.5</v>
      </c>
      <c r="O43" s="116">
        <v>142.53749999999999</v>
      </c>
      <c r="P43" s="116">
        <v>145.75</v>
      </c>
      <c r="Q43" s="116">
        <v>583.15</v>
      </c>
      <c r="R43">
        <v>102788</v>
      </c>
    </row>
    <row r="44" spans="1:18" x14ac:dyDescent="0.25">
      <c r="A44" s="170">
        <v>44601</v>
      </c>
      <c r="B44" s="116">
        <v>147.5</v>
      </c>
      <c r="C44" s="116">
        <v>145.1</v>
      </c>
      <c r="D44" s="116">
        <v>142.5</v>
      </c>
      <c r="E44" s="116">
        <v>147.33750000000001</v>
      </c>
      <c r="F44" s="116">
        <v>580.4</v>
      </c>
      <c r="G44">
        <v>24883</v>
      </c>
      <c r="H44" s="116"/>
      <c r="I44" s="116"/>
      <c r="L44" s="170">
        <v>44601</v>
      </c>
      <c r="M44" s="116">
        <v>145.46250000000001</v>
      </c>
      <c r="N44" s="116">
        <v>147.75</v>
      </c>
      <c r="O44" s="116">
        <v>142.5</v>
      </c>
      <c r="P44" s="116">
        <v>146.5</v>
      </c>
      <c r="Q44" s="116">
        <v>581.85</v>
      </c>
      <c r="R44">
        <v>134125</v>
      </c>
    </row>
    <row r="45" spans="1:18" x14ac:dyDescent="0.25">
      <c r="A45" s="170">
        <v>44602</v>
      </c>
      <c r="B45" s="116">
        <v>151.9</v>
      </c>
      <c r="C45" s="116">
        <v>151.25</v>
      </c>
      <c r="D45" s="116">
        <v>145.5</v>
      </c>
      <c r="E45" s="116">
        <v>146.32499999999999</v>
      </c>
      <c r="F45" s="116">
        <v>605</v>
      </c>
      <c r="G45">
        <v>13590</v>
      </c>
      <c r="H45" s="116"/>
      <c r="I45" s="116"/>
      <c r="L45" s="170">
        <v>44602</v>
      </c>
      <c r="M45" s="116">
        <v>151.42500000000001</v>
      </c>
      <c r="N45" s="116">
        <v>151.9375</v>
      </c>
      <c r="O45" s="116">
        <v>145.53749999999999</v>
      </c>
      <c r="P45" s="116">
        <v>145.75</v>
      </c>
      <c r="Q45" s="116">
        <v>605.70000000000005</v>
      </c>
      <c r="R45">
        <v>193406</v>
      </c>
    </row>
    <row r="46" spans="1:18" x14ac:dyDescent="0.25">
      <c r="A46" s="170">
        <v>44603</v>
      </c>
      <c r="B46" s="116">
        <v>153.36250000000001</v>
      </c>
      <c r="C46" s="116">
        <v>147.83750000000001</v>
      </c>
      <c r="D46" s="116">
        <v>147</v>
      </c>
      <c r="E46" s="116">
        <v>152.36250000000001</v>
      </c>
      <c r="F46" s="116">
        <v>591.35</v>
      </c>
      <c r="G46">
        <v>16854</v>
      </c>
      <c r="H46" s="116"/>
      <c r="I46" s="116"/>
      <c r="L46" s="170">
        <v>44603</v>
      </c>
      <c r="M46" s="116">
        <v>147.94999999999999</v>
      </c>
      <c r="N46" s="116">
        <v>153.44999999999999</v>
      </c>
      <c r="O46" s="116">
        <v>137.5</v>
      </c>
      <c r="P46" s="116">
        <v>153.23750000000001</v>
      </c>
      <c r="Q46" s="116">
        <v>591.79999999999995</v>
      </c>
      <c r="R46">
        <v>186326</v>
      </c>
    </row>
    <row r="47" spans="1:18" x14ac:dyDescent="0.25">
      <c r="A47" s="170">
        <v>44606</v>
      </c>
      <c r="B47" s="116">
        <v>145.86250000000001</v>
      </c>
      <c r="C47" s="116">
        <v>141.97499999999999</v>
      </c>
      <c r="D47" s="116">
        <v>138.73750000000001</v>
      </c>
      <c r="E47" s="116">
        <v>145</v>
      </c>
      <c r="F47" s="116">
        <v>567.9</v>
      </c>
      <c r="G47">
        <v>31284</v>
      </c>
      <c r="H47" s="116"/>
      <c r="I47" s="116"/>
      <c r="L47" s="170">
        <v>44606</v>
      </c>
      <c r="M47" s="116">
        <v>142.17500000000001</v>
      </c>
      <c r="N47" s="116">
        <v>146.48750000000001</v>
      </c>
      <c r="O47" s="116">
        <v>138.625</v>
      </c>
      <c r="P47" s="116">
        <v>143.85</v>
      </c>
      <c r="Q47" s="116">
        <v>568.70000000000005</v>
      </c>
      <c r="R47">
        <v>231591</v>
      </c>
    </row>
    <row r="48" spans="1:18" x14ac:dyDescent="0.25">
      <c r="A48" s="170">
        <v>44607</v>
      </c>
      <c r="B48" s="116">
        <v>147.94999999999999</v>
      </c>
      <c r="C48" s="116">
        <v>146.3125</v>
      </c>
      <c r="D48" s="116">
        <v>139.3125</v>
      </c>
      <c r="E48" s="116">
        <v>142.15</v>
      </c>
      <c r="F48" s="116">
        <v>585.25</v>
      </c>
      <c r="G48">
        <v>27572</v>
      </c>
      <c r="H48" s="116"/>
      <c r="I48" s="116"/>
      <c r="L48" s="170">
        <v>44607</v>
      </c>
      <c r="M48" s="116">
        <v>146.53749999999999</v>
      </c>
      <c r="N48" s="116">
        <v>148.1</v>
      </c>
      <c r="O48" s="116">
        <v>139.3125</v>
      </c>
      <c r="P48" s="116">
        <v>141.5</v>
      </c>
      <c r="Q48" s="116">
        <v>586.15</v>
      </c>
      <c r="R48">
        <v>294912</v>
      </c>
    </row>
    <row r="49" spans="1:18" x14ac:dyDescent="0.25">
      <c r="A49" s="170">
        <v>44608</v>
      </c>
      <c r="B49" s="116">
        <v>147.67500000000001</v>
      </c>
      <c r="C49" s="116">
        <v>143.01249999999999</v>
      </c>
      <c r="D49" s="116">
        <v>142.44999999999999</v>
      </c>
      <c r="E49" s="116">
        <v>146.36250000000001</v>
      </c>
      <c r="F49" s="116">
        <v>572.04999999999995</v>
      </c>
      <c r="G49">
        <v>12436</v>
      </c>
      <c r="H49" s="116"/>
      <c r="I49" s="116"/>
      <c r="L49" s="170">
        <v>44608</v>
      </c>
      <c r="M49" s="116">
        <v>142.9375</v>
      </c>
      <c r="N49" s="116">
        <v>147.875</v>
      </c>
      <c r="O49" s="116">
        <v>142.52500000000001</v>
      </c>
      <c r="P49" s="116">
        <v>146.25</v>
      </c>
      <c r="Q49" s="116">
        <v>571.75</v>
      </c>
      <c r="R49">
        <v>63886</v>
      </c>
    </row>
    <row r="50" spans="1:18" x14ac:dyDescent="0.25">
      <c r="A50" s="170">
        <v>44609</v>
      </c>
      <c r="B50" s="116">
        <v>144.625</v>
      </c>
      <c r="C50" s="116">
        <v>143</v>
      </c>
      <c r="D50" s="116">
        <v>140.625</v>
      </c>
      <c r="E50" s="116">
        <v>144.0625</v>
      </c>
      <c r="F50" s="116">
        <v>572</v>
      </c>
      <c r="G50">
        <v>13992</v>
      </c>
      <c r="H50" s="116"/>
      <c r="I50" s="116"/>
      <c r="L50" s="170">
        <v>44609</v>
      </c>
      <c r="M50" s="116">
        <v>143.21250000000001</v>
      </c>
      <c r="N50" s="116">
        <v>144.5</v>
      </c>
      <c r="O50" s="116">
        <v>140.5</v>
      </c>
      <c r="P50" s="116">
        <v>143.25</v>
      </c>
      <c r="Q50" s="116">
        <v>572.85</v>
      </c>
      <c r="R50">
        <v>134045</v>
      </c>
    </row>
    <row r="51" spans="1:18" x14ac:dyDescent="0.25">
      <c r="A51" s="170">
        <v>44610</v>
      </c>
      <c r="B51" s="116">
        <v>143.21250000000001</v>
      </c>
      <c r="C51" s="116">
        <v>141.46250000000001</v>
      </c>
      <c r="D51" s="116">
        <v>140.11250000000001</v>
      </c>
      <c r="E51" s="116">
        <v>142.91249999999999</v>
      </c>
      <c r="F51" s="116">
        <v>565.85</v>
      </c>
      <c r="G51">
        <v>11951</v>
      </c>
      <c r="H51" s="116"/>
      <c r="I51" s="116"/>
      <c r="L51" s="170">
        <v>44610</v>
      </c>
      <c r="M51" s="116">
        <v>141.55000000000001</v>
      </c>
      <c r="N51" s="116">
        <v>143.32499999999999</v>
      </c>
      <c r="O51" s="116">
        <v>140.05000000000001</v>
      </c>
      <c r="P51" s="116">
        <v>141.77500000000001</v>
      </c>
      <c r="Q51" s="116">
        <v>566.20000000000005</v>
      </c>
      <c r="R51">
        <v>110431</v>
      </c>
    </row>
    <row r="52" spans="1:18" x14ac:dyDescent="0.25">
      <c r="A52" s="170">
        <v>44613</v>
      </c>
      <c r="B52" s="116">
        <v>142.05000000000001</v>
      </c>
      <c r="C52" s="116">
        <v>140.6875</v>
      </c>
      <c r="D52" s="116">
        <v>139.15</v>
      </c>
      <c r="E52" s="116">
        <v>140.5</v>
      </c>
      <c r="F52" s="116">
        <v>562.75</v>
      </c>
      <c r="G52">
        <v>5798</v>
      </c>
      <c r="H52" s="116"/>
      <c r="I52" s="116"/>
      <c r="L52" s="170">
        <v>44613</v>
      </c>
      <c r="M52" s="116">
        <v>140.80000000000001</v>
      </c>
      <c r="N52" s="116">
        <v>142.03749999999999</v>
      </c>
      <c r="O52" s="116">
        <v>139</v>
      </c>
      <c r="P52" s="116">
        <v>139.94999999999999</v>
      </c>
      <c r="Q52" s="116">
        <v>563.20000000000005</v>
      </c>
      <c r="R52">
        <v>81389</v>
      </c>
    </row>
    <row r="53" spans="1:18" x14ac:dyDescent="0.25">
      <c r="A53" s="170">
        <v>44614</v>
      </c>
      <c r="B53" s="116">
        <v>141.25</v>
      </c>
      <c r="C53" s="116">
        <v>140.0625</v>
      </c>
      <c r="D53" s="116">
        <v>136.67500000000001</v>
      </c>
      <c r="E53" s="116">
        <v>137.5</v>
      </c>
      <c r="F53" s="116">
        <v>560.25</v>
      </c>
      <c r="G53">
        <v>8467</v>
      </c>
      <c r="H53" s="116"/>
      <c r="I53" s="116"/>
      <c r="L53" s="170">
        <v>44614</v>
      </c>
      <c r="M53" s="116">
        <v>140.11250000000001</v>
      </c>
      <c r="N53" s="116">
        <v>141</v>
      </c>
      <c r="O53" s="116">
        <v>136.52500000000001</v>
      </c>
      <c r="P53" s="116">
        <v>137.52500000000001</v>
      </c>
      <c r="Q53" s="116">
        <v>560.45000000000005</v>
      </c>
      <c r="R53">
        <v>141915</v>
      </c>
    </row>
    <row r="54" spans="1:18" x14ac:dyDescent="0.25">
      <c r="A54" s="170">
        <v>44615</v>
      </c>
      <c r="B54" s="116">
        <v>141.65</v>
      </c>
      <c r="C54" s="116">
        <v>140.32499999999999</v>
      </c>
      <c r="D54" s="116">
        <v>139.375</v>
      </c>
      <c r="E54" s="116">
        <v>141.25</v>
      </c>
      <c r="F54" s="116">
        <v>561.29999999999995</v>
      </c>
      <c r="G54">
        <v>3829</v>
      </c>
      <c r="H54" s="116"/>
      <c r="I54" s="116"/>
      <c r="L54" s="170">
        <v>44615</v>
      </c>
      <c r="M54" s="116">
        <v>140.22499999999999</v>
      </c>
      <c r="N54" s="116">
        <v>143.1</v>
      </c>
      <c r="O54" s="116">
        <v>139.1</v>
      </c>
      <c r="P54" s="116">
        <v>139.27500000000001</v>
      </c>
      <c r="Q54" s="116">
        <v>560.9</v>
      </c>
      <c r="R54">
        <v>21214</v>
      </c>
    </row>
    <row r="55" spans="1:18" x14ac:dyDescent="0.25">
      <c r="A55" s="170">
        <v>44616</v>
      </c>
      <c r="B55" s="116">
        <v>138.98750000000001</v>
      </c>
      <c r="C55" s="116">
        <v>137.63749999999999</v>
      </c>
      <c r="D55" s="116">
        <v>135.46250000000001</v>
      </c>
      <c r="E55" s="116">
        <v>137.75</v>
      </c>
      <c r="F55" s="116">
        <v>550.54999999999995</v>
      </c>
      <c r="G55">
        <v>28064</v>
      </c>
      <c r="H55" s="116"/>
      <c r="I55" s="116"/>
      <c r="L55" s="170">
        <v>44616</v>
      </c>
      <c r="M55" s="116">
        <v>137.85</v>
      </c>
      <c r="N55" s="116">
        <v>139.16249999999999</v>
      </c>
      <c r="O55" s="116">
        <v>135.51249999999999</v>
      </c>
      <c r="P55" s="116">
        <v>137.71250000000001</v>
      </c>
      <c r="Q55" s="116">
        <v>551.4</v>
      </c>
      <c r="R55">
        <v>159114</v>
      </c>
    </row>
    <row r="56" spans="1:18" x14ac:dyDescent="0.25">
      <c r="A56" s="170">
        <v>44617</v>
      </c>
      <c r="B56" s="116">
        <v>141.25</v>
      </c>
      <c r="C56" s="116">
        <v>140.08750000000001</v>
      </c>
      <c r="D56" s="116">
        <v>138.75</v>
      </c>
      <c r="E56" s="116">
        <v>138.75</v>
      </c>
      <c r="F56" s="116">
        <v>560.35</v>
      </c>
      <c r="G56">
        <v>6488</v>
      </c>
      <c r="H56" s="116"/>
      <c r="I56" s="116"/>
      <c r="L56" s="170">
        <v>44617</v>
      </c>
      <c r="M56" s="116">
        <v>139.94999999999999</v>
      </c>
      <c r="N56" s="116">
        <v>141.22499999999999</v>
      </c>
      <c r="O56" s="116">
        <v>138.75</v>
      </c>
      <c r="P56" s="116">
        <v>138.75</v>
      </c>
      <c r="Q56" s="116">
        <v>559.79999999999995</v>
      </c>
      <c r="R56">
        <v>128129</v>
      </c>
    </row>
    <row r="57" spans="1:18" x14ac:dyDescent="0.25">
      <c r="A57" s="170">
        <v>44620</v>
      </c>
      <c r="B57" s="116">
        <v>140.32499999999999</v>
      </c>
      <c r="C57" s="116">
        <v>139.66249999999999</v>
      </c>
      <c r="D57" s="116">
        <v>137.75</v>
      </c>
      <c r="E57" s="116">
        <v>137.75</v>
      </c>
      <c r="F57" s="116">
        <v>558.65</v>
      </c>
      <c r="G57">
        <v>3573</v>
      </c>
      <c r="H57" s="116"/>
      <c r="I57" s="116"/>
      <c r="L57" s="170">
        <v>44620</v>
      </c>
      <c r="M57" s="116">
        <v>139.75</v>
      </c>
      <c r="N57" s="116">
        <v>140.36250000000001</v>
      </c>
      <c r="O57" s="116">
        <v>138.51249999999999</v>
      </c>
      <c r="P57" s="116">
        <v>139.94999999999999</v>
      </c>
      <c r="Q57" s="116">
        <v>559</v>
      </c>
      <c r="R57">
        <v>27790</v>
      </c>
    </row>
    <row r="58" spans="1:18" x14ac:dyDescent="0.25">
      <c r="A58" s="170">
        <v>44622</v>
      </c>
      <c r="B58" s="116">
        <v>141.375</v>
      </c>
      <c r="C58" s="116">
        <v>138.9</v>
      </c>
      <c r="D58" s="116">
        <v>138.05000000000001</v>
      </c>
      <c r="E58" s="116">
        <v>139.66249999999999</v>
      </c>
      <c r="F58" s="116">
        <v>555.6</v>
      </c>
      <c r="G58">
        <v>3176</v>
      </c>
      <c r="H58" s="116"/>
      <c r="I58" s="116"/>
      <c r="L58" s="170">
        <v>44622</v>
      </c>
      <c r="M58" s="116">
        <v>138.92500000000001</v>
      </c>
      <c r="N58" s="116">
        <v>141.25</v>
      </c>
      <c r="O58" s="116">
        <v>138.02500000000001</v>
      </c>
      <c r="P58" s="116">
        <v>138.52500000000001</v>
      </c>
      <c r="Q58" s="116">
        <v>555.70000000000005</v>
      </c>
      <c r="R58">
        <v>39794</v>
      </c>
    </row>
    <row r="59" spans="1:18" x14ac:dyDescent="0.25">
      <c r="A59" s="170">
        <v>44623</v>
      </c>
      <c r="B59" s="116">
        <v>141.625</v>
      </c>
      <c r="C59" s="116">
        <v>140.36250000000001</v>
      </c>
      <c r="D59" s="116">
        <v>139.11250000000001</v>
      </c>
      <c r="E59" s="116">
        <v>139.6</v>
      </c>
      <c r="F59" s="116">
        <v>561.45000000000005</v>
      </c>
      <c r="G59">
        <v>4439</v>
      </c>
      <c r="H59" s="116"/>
      <c r="I59" s="116"/>
      <c r="L59" s="170">
        <v>44623</v>
      </c>
      <c r="M59" s="116">
        <v>140.57499999999999</v>
      </c>
      <c r="N59" s="116">
        <v>141.72499999999999</v>
      </c>
      <c r="O59" s="116">
        <v>138.75</v>
      </c>
      <c r="P59" s="116">
        <v>138.75</v>
      </c>
      <c r="Q59" s="116">
        <v>562.29999999999995</v>
      </c>
      <c r="R59">
        <v>37897</v>
      </c>
    </row>
    <row r="60" spans="1:18" x14ac:dyDescent="0.25">
      <c r="A60" s="170">
        <v>44624</v>
      </c>
      <c r="B60" s="116">
        <v>140.05000000000001</v>
      </c>
      <c r="C60" s="116">
        <v>139.26249999999999</v>
      </c>
      <c r="D60" s="116">
        <v>137.75</v>
      </c>
      <c r="E60" s="116">
        <v>137.75</v>
      </c>
      <c r="F60" s="116">
        <v>557.04999999999995</v>
      </c>
      <c r="G60">
        <v>2432</v>
      </c>
      <c r="H60" s="116"/>
      <c r="I60" s="116"/>
      <c r="L60" s="170">
        <v>44624</v>
      </c>
      <c r="M60" s="116">
        <v>139.22499999999999</v>
      </c>
      <c r="N60" s="116">
        <v>141.16249999999999</v>
      </c>
      <c r="O60" s="116">
        <v>138.5</v>
      </c>
      <c r="P60" s="116">
        <v>138.5</v>
      </c>
      <c r="Q60" s="116">
        <v>556.9</v>
      </c>
      <c r="R60">
        <v>30004</v>
      </c>
    </row>
    <row r="61" spans="1:18" x14ac:dyDescent="0.25">
      <c r="A61" s="170">
        <v>44627</v>
      </c>
      <c r="B61" s="116">
        <v>140.25</v>
      </c>
      <c r="C61" s="116">
        <v>139.80000000000001</v>
      </c>
      <c r="D61" s="116">
        <v>137.6875</v>
      </c>
      <c r="E61" s="116">
        <v>137.6875</v>
      </c>
      <c r="F61" s="116">
        <v>559.20000000000005</v>
      </c>
      <c r="G61">
        <v>8946</v>
      </c>
      <c r="H61" s="116"/>
      <c r="I61" s="116"/>
      <c r="L61" s="170">
        <v>44627</v>
      </c>
      <c r="M61" s="116">
        <v>139.78749999999999</v>
      </c>
      <c r="N61" s="116">
        <v>140.30000000000001</v>
      </c>
      <c r="O61" s="116">
        <v>138</v>
      </c>
      <c r="P61" s="116">
        <v>138.75</v>
      </c>
      <c r="Q61" s="116">
        <v>559.15</v>
      </c>
      <c r="R61">
        <v>35960</v>
      </c>
    </row>
    <row r="62" spans="1:18" x14ac:dyDescent="0.25">
      <c r="A62" s="170">
        <v>44628</v>
      </c>
      <c r="B62" s="116">
        <v>149.52500000000001</v>
      </c>
      <c r="C62" s="116">
        <v>146.03749999999999</v>
      </c>
      <c r="D62" s="116">
        <v>137.76249999999999</v>
      </c>
      <c r="E62" s="116">
        <v>137.76249999999999</v>
      </c>
      <c r="F62" s="116">
        <v>584.15</v>
      </c>
      <c r="G62">
        <v>15285</v>
      </c>
      <c r="H62" s="116"/>
      <c r="I62" s="116"/>
      <c r="L62" s="170">
        <v>44628</v>
      </c>
      <c r="M62" s="116">
        <v>145.91249999999999</v>
      </c>
      <c r="N62" s="116">
        <v>150.44999999999999</v>
      </c>
      <c r="O62" s="116">
        <v>139.02500000000001</v>
      </c>
      <c r="P62" s="116">
        <v>139.02500000000001</v>
      </c>
      <c r="Q62" s="116">
        <v>583.65</v>
      </c>
      <c r="R62">
        <v>221988</v>
      </c>
    </row>
    <row r="63" spans="1:18" x14ac:dyDescent="0.25">
      <c r="A63" s="170">
        <v>44629</v>
      </c>
      <c r="B63" s="116">
        <v>147.07499999999999</v>
      </c>
      <c r="C63" s="116">
        <v>146.28749999999999</v>
      </c>
      <c r="D63" s="116">
        <v>143.16249999999999</v>
      </c>
      <c r="E63" s="116">
        <v>145.91249999999999</v>
      </c>
      <c r="F63" s="116">
        <v>585.15</v>
      </c>
      <c r="G63">
        <v>19235</v>
      </c>
      <c r="H63" s="116"/>
      <c r="I63" s="116"/>
      <c r="L63" s="170">
        <v>44629</v>
      </c>
      <c r="M63" s="116">
        <v>146.125</v>
      </c>
      <c r="N63" s="116">
        <v>147.625</v>
      </c>
      <c r="O63" s="116">
        <v>143.1</v>
      </c>
      <c r="P63" s="116">
        <v>147.625</v>
      </c>
      <c r="Q63" s="116">
        <v>584.5</v>
      </c>
      <c r="R63">
        <v>108550</v>
      </c>
    </row>
    <row r="64" spans="1:18" x14ac:dyDescent="0.25">
      <c r="A64" s="170">
        <v>44630</v>
      </c>
      <c r="B64" s="116">
        <v>147.36250000000001</v>
      </c>
      <c r="C64" s="116">
        <v>144.41249999999999</v>
      </c>
      <c r="D64" s="116">
        <v>142.47499999999999</v>
      </c>
      <c r="E64" s="116">
        <v>146</v>
      </c>
      <c r="F64" s="116">
        <v>577.65</v>
      </c>
      <c r="G64">
        <v>24993</v>
      </c>
      <c r="H64" s="116"/>
      <c r="I64" s="116"/>
      <c r="L64" s="170">
        <v>44630</v>
      </c>
      <c r="M64" s="116">
        <v>144.52500000000001</v>
      </c>
      <c r="N64" s="116">
        <v>147.5</v>
      </c>
      <c r="O64" s="116">
        <v>142.5</v>
      </c>
      <c r="P64" s="116">
        <v>147.4375</v>
      </c>
      <c r="Q64" s="116">
        <v>578.1</v>
      </c>
      <c r="R64">
        <v>78707</v>
      </c>
    </row>
    <row r="65" spans="1:18" x14ac:dyDescent="0.25">
      <c r="A65" s="170">
        <v>44631</v>
      </c>
      <c r="B65" s="116">
        <v>145.63749999999999</v>
      </c>
      <c r="C65" s="116">
        <v>143.63749999999999</v>
      </c>
      <c r="D65" s="116">
        <v>142.6875</v>
      </c>
      <c r="E65" s="116">
        <v>145.63749999999999</v>
      </c>
      <c r="F65" s="116">
        <v>574.54999999999995</v>
      </c>
      <c r="G65">
        <v>3312</v>
      </c>
      <c r="H65" s="116"/>
      <c r="I65" s="116"/>
      <c r="L65" s="170">
        <v>44631</v>
      </c>
      <c r="M65" s="116">
        <v>143.21250000000001</v>
      </c>
      <c r="N65" s="116">
        <v>146</v>
      </c>
      <c r="O65" s="116">
        <v>142.6875</v>
      </c>
      <c r="P65" s="116">
        <v>145</v>
      </c>
      <c r="Q65" s="116">
        <v>572.85</v>
      </c>
      <c r="R65">
        <v>137947</v>
      </c>
    </row>
    <row r="66" spans="1:18" x14ac:dyDescent="0.25">
      <c r="A66" s="170">
        <v>44634</v>
      </c>
      <c r="B66" s="116">
        <v>144</v>
      </c>
      <c r="C66" s="116">
        <v>142.26249999999999</v>
      </c>
      <c r="D66" s="116">
        <v>140.41249999999999</v>
      </c>
      <c r="E66" s="116">
        <v>143.5</v>
      </c>
      <c r="F66" s="116">
        <v>569.04999999999995</v>
      </c>
      <c r="G66">
        <v>30879</v>
      </c>
      <c r="H66" s="116"/>
      <c r="I66" s="116"/>
      <c r="L66" s="170">
        <v>44634</v>
      </c>
      <c r="M66" s="116">
        <v>142.11250000000001</v>
      </c>
      <c r="N66" s="116">
        <v>144.36250000000001</v>
      </c>
      <c r="O66" s="116">
        <v>140.1875</v>
      </c>
      <c r="P66" s="116">
        <v>142.25</v>
      </c>
      <c r="Q66" s="116">
        <v>568.45000000000005</v>
      </c>
      <c r="R66">
        <v>75359</v>
      </c>
    </row>
    <row r="67" spans="1:18" x14ac:dyDescent="0.25">
      <c r="A67" s="170">
        <v>44635</v>
      </c>
      <c r="B67" s="116">
        <v>143.28749999999999</v>
      </c>
      <c r="C67" s="116">
        <v>141.13749999999999</v>
      </c>
      <c r="D67" s="116">
        <v>140.75</v>
      </c>
      <c r="E67" s="116">
        <v>143.15</v>
      </c>
      <c r="F67" s="116">
        <v>564.54999999999995</v>
      </c>
      <c r="G67">
        <v>16657</v>
      </c>
      <c r="H67" s="116"/>
      <c r="I67" s="116"/>
      <c r="L67" s="170">
        <v>44635</v>
      </c>
      <c r="M67" s="116">
        <v>141.0625</v>
      </c>
      <c r="N67" s="116">
        <v>143.35</v>
      </c>
      <c r="O67" s="116">
        <v>140.75</v>
      </c>
      <c r="P67" s="116">
        <v>142.5</v>
      </c>
      <c r="Q67" s="116">
        <v>564.25</v>
      </c>
      <c r="R67">
        <v>20416</v>
      </c>
    </row>
    <row r="68" spans="1:18" x14ac:dyDescent="0.25">
      <c r="A68" s="170">
        <v>44636</v>
      </c>
      <c r="B68" s="116">
        <v>144.1</v>
      </c>
      <c r="C68" s="116">
        <v>143.28749999999999</v>
      </c>
      <c r="D68" s="116">
        <v>142.3125</v>
      </c>
      <c r="E68" s="116">
        <v>142.94999999999999</v>
      </c>
      <c r="F68" s="116">
        <v>573.15</v>
      </c>
      <c r="G68">
        <v>4238</v>
      </c>
      <c r="H68" s="116"/>
      <c r="I68" s="116"/>
      <c r="L68" s="170">
        <v>44636</v>
      </c>
      <c r="M68" s="116">
        <v>143.46250000000001</v>
      </c>
      <c r="N68" s="116">
        <v>144.1875</v>
      </c>
      <c r="O68" s="116">
        <v>142.30000000000001</v>
      </c>
      <c r="P68" s="116">
        <v>144.1875</v>
      </c>
      <c r="Q68" s="116">
        <v>573.85</v>
      </c>
      <c r="R68">
        <v>23949</v>
      </c>
    </row>
    <row r="69" spans="1:18" x14ac:dyDescent="0.25">
      <c r="A69" s="170">
        <v>44637</v>
      </c>
      <c r="B69" s="116">
        <v>147.23750000000001</v>
      </c>
      <c r="C69" s="116">
        <v>142.5</v>
      </c>
      <c r="D69" s="116">
        <v>141.76249999999999</v>
      </c>
      <c r="E69" s="116">
        <v>147.23750000000001</v>
      </c>
      <c r="F69" s="116">
        <v>570</v>
      </c>
      <c r="G69">
        <v>9385</v>
      </c>
      <c r="H69" s="116"/>
      <c r="I69" s="116"/>
      <c r="L69" s="170">
        <v>44637</v>
      </c>
      <c r="M69" s="116">
        <v>142.51249999999999</v>
      </c>
      <c r="N69" s="116">
        <v>145.125</v>
      </c>
      <c r="O69" s="116">
        <v>141.875</v>
      </c>
      <c r="P69" s="116">
        <v>144.9375</v>
      </c>
      <c r="Q69" s="116">
        <v>570.04999999999995</v>
      </c>
      <c r="R69">
        <v>43670</v>
      </c>
    </row>
    <row r="70" spans="1:18" x14ac:dyDescent="0.25">
      <c r="A70" s="170">
        <v>44641</v>
      </c>
      <c r="B70" s="116">
        <v>144.5</v>
      </c>
      <c r="C70" s="116">
        <v>144.01249999999999</v>
      </c>
      <c r="D70" s="116">
        <v>141.71250000000001</v>
      </c>
      <c r="E70" s="116">
        <v>142.69999999999999</v>
      </c>
      <c r="F70" s="116">
        <v>576.04999999999995</v>
      </c>
      <c r="G70">
        <v>5315</v>
      </c>
      <c r="H70" s="116"/>
      <c r="I70" s="116"/>
      <c r="L70" s="170">
        <v>44641</v>
      </c>
      <c r="M70" s="116">
        <v>144.05000000000001</v>
      </c>
      <c r="N70" s="116">
        <v>144.625</v>
      </c>
      <c r="O70" s="116">
        <v>141.53749999999999</v>
      </c>
      <c r="P70" s="116">
        <v>143</v>
      </c>
      <c r="Q70" s="116">
        <v>576.20000000000005</v>
      </c>
      <c r="R70">
        <v>44046</v>
      </c>
    </row>
    <row r="71" spans="1:18" x14ac:dyDescent="0.25">
      <c r="A71" s="170">
        <v>44642</v>
      </c>
      <c r="B71" s="116">
        <v>147.13749999999999</v>
      </c>
      <c r="C71" s="116">
        <v>146.65</v>
      </c>
      <c r="D71" s="116">
        <v>144.57499999999999</v>
      </c>
      <c r="E71" s="116">
        <v>145.25</v>
      </c>
      <c r="F71" s="116">
        <v>586.6</v>
      </c>
      <c r="G71">
        <v>9992</v>
      </c>
      <c r="H71" s="116"/>
      <c r="I71" s="116"/>
      <c r="L71" s="170">
        <v>44642</v>
      </c>
      <c r="M71" s="116">
        <v>146.67500000000001</v>
      </c>
      <c r="N71" s="116">
        <v>147.3125</v>
      </c>
      <c r="O71" s="116">
        <v>144.5</v>
      </c>
      <c r="P71" s="116">
        <v>145.17500000000001</v>
      </c>
      <c r="Q71" s="116">
        <v>586.70000000000005</v>
      </c>
      <c r="R71">
        <v>74431</v>
      </c>
    </row>
    <row r="72" spans="1:18" x14ac:dyDescent="0.25">
      <c r="A72" s="170">
        <v>44643</v>
      </c>
      <c r="B72" s="116">
        <v>148.86250000000001</v>
      </c>
      <c r="C72" s="116">
        <v>147.11250000000001</v>
      </c>
      <c r="D72" s="116">
        <v>145.61250000000001</v>
      </c>
      <c r="E72" s="116">
        <v>148.16249999999999</v>
      </c>
      <c r="F72" s="116">
        <v>588.45000000000005</v>
      </c>
      <c r="G72">
        <v>9868</v>
      </c>
      <c r="H72" s="116"/>
      <c r="I72" s="116"/>
      <c r="L72" s="170">
        <v>44643</v>
      </c>
      <c r="M72" s="116">
        <v>147.08750000000001</v>
      </c>
      <c r="N72" s="116">
        <v>149.01249999999999</v>
      </c>
      <c r="O72" s="116">
        <v>145.5</v>
      </c>
      <c r="P72" s="116">
        <v>147.5</v>
      </c>
      <c r="Q72" s="116">
        <v>588.35</v>
      </c>
      <c r="R72">
        <v>77295</v>
      </c>
    </row>
    <row r="73" spans="1:18" x14ac:dyDescent="0.25">
      <c r="A73" s="170">
        <v>44644</v>
      </c>
      <c r="B73" s="116">
        <v>148.26249999999999</v>
      </c>
      <c r="C73" s="116">
        <v>147.82499999999999</v>
      </c>
      <c r="D73" s="116">
        <v>146.16249999999999</v>
      </c>
      <c r="E73" s="116">
        <v>146.96250000000001</v>
      </c>
      <c r="F73" s="116">
        <v>591.29999999999995</v>
      </c>
      <c r="G73">
        <v>5002</v>
      </c>
      <c r="H73" s="116"/>
      <c r="I73" s="116"/>
      <c r="L73" s="170">
        <v>44644</v>
      </c>
      <c r="M73" s="116">
        <v>147.88749999999999</v>
      </c>
      <c r="N73" s="116">
        <v>148.11250000000001</v>
      </c>
      <c r="O73" s="116">
        <v>146.25</v>
      </c>
      <c r="P73" s="116">
        <v>146.25</v>
      </c>
      <c r="Q73" s="116">
        <v>591.54999999999995</v>
      </c>
      <c r="R73">
        <v>29237</v>
      </c>
    </row>
    <row r="74" spans="1:18" x14ac:dyDescent="0.25">
      <c r="A74" s="170">
        <v>44645</v>
      </c>
      <c r="B74" s="116">
        <v>149.47499999999999</v>
      </c>
      <c r="C74" s="116">
        <v>148.8125</v>
      </c>
      <c r="D74" s="116">
        <v>147.67500000000001</v>
      </c>
      <c r="E74" s="116">
        <v>148.51249999999999</v>
      </c>
      <c r="F74" s="116">
        <v>595.25</v>
      </c>
      <c r="G74">
        <v>5732</v>
      </c>
      <c r="H74" s="116"/>
      <c r="I74" s="116"/>
      <c r="L74" s="170">
        <v>44645</v>
      </c>
      <c r="M74" s="116">
        <v>148.5</v>
      </c>
      <c r="N74" s="116">
        <v>149.44999999999999</v>
      </c>
      <c r="O74" s="116">
        <v>147.75</v>
      </c>
      <c r="P74" s="116">
        <v>148.25</v>
      </c>
      <c r="Q74" s="116">
        <v>594</v>
      </c>
      <c r="R74">
        <v>46448</v>
      </c>
    </row>
    <row r="75" spans="1:18" x14ac:dyDescent="0.25">
      <c r="A75" s="170">
        <v>44648</v>
      </c>
      <c r="B75" s="116">
        <v>149.1</v>
      </c>
      <c r="C75" s="116">
        <v>148.76249999999999</v>
      </c>
      <c r="D75" s="116">
        <v>147.44999999999999</v>
      </c>
      <c r="E75" s="116">
        <v>148.72499999999999</v>
      </c>
      <c r="F75" s="116">
        <v>595.04999999999995</v>
      </c>
      <c r="G75">
        <v>5256</v>
      </c>
      <c r="H75" s="116"/>
      <c r="I75" s="116"/>
      <c r="L75" s="170">
        <v>44648</v>
      </c>
      <c r="M75" s="116">
        <v>148.44999999999999</v>
      </c>
      <c r="N75" s="116">
        <v>149.1</v>
      </c>
      <c r="O75" s="116">
        <v>147.26249999999999</v>
      </c>
      <c r="P75" s="116">
        <v>148.61250000000001</v>
      </c>
      <c r="Q75" s="116">
        <v>593.79999999999995</v>
      </c>
      <c r="R75">
        <v>22276</v>
      </c>
    </row>
    <row r="76" spans="1:18" x14ac:dyDescent="0.25">
      <c r="A76" s="170">
        <v>44649</v>
      </c>
      <c r="B76" s="116">
        <v>149.75</v>
      </c>
      <c r="C76" s="116">
        <v>148.83750000000001</v>
      </c>
      <c r="D76" s="116">
        <v>147.19999999999999</v>
      </c>
      <c r="E76" s="116">
        <v>149.23750000000001</v>
      </c>
      <c r="F76" s="116">
        <v>595.35</v>
      </c>
      <c r="G76">
        <v>8379</v>
      </c>
      <c r="H76" s="116"/>
      <c r="I76" s="116"/>
      <c r="L76" s="170">
        <v>44649</v>
      </c>
      <c r="M76" s="116">
        <v>148.78749999999999</v>
      </c>
      <c r="N76" s="116">
        <v>149.75</v>
      </c>
      <c r="O76" s="116">
        <v>147.13749999999999</v>
      </c>
      <c r="P76" s="116">
        <v>148.75</v>
      </c>
      <c r="Q76" s="116">
        <v>595.15</v>
      </c>
      <c r="R76">
        <v>159873</v>
      </c>
    </row>
    <row r="77" spans="1:18" x14ac:dyDescent="0.25">
      <c r="A77" s="170">
        <v>44650</v>
      </c>
      <c r="B77" s="116">
        <v>155.5</v>
      </c>
      <c r="C77" s="116">
        <v>151.5625</v>
      </c>
      <c r="D77" s="116">
        <v>150.30000000000001</v>
      </c>
      <c r="E77" s="116">
        <v>151.15</v>
      </c>
      <c r="F77" s="116">
        <v>606.25</v>
      </c>
      <c r="G77">
        <v>24866</v>
      </c>
      <c r="H77" s="116"/>
      <c r="I77" s="116"/>
      <c r="L77" s="170">
        <v>44650</v>
      </c>
      <c r="M77" s="116">
        <v>151.625</v>
      </c>
      <c r="N77" s="116">
        <v>155.75</v>
      </c>
      <c r="O77" s="116">
        <v>150.5</v>
      </c>
      <c r="P77" s="116">
        <v>151.19999999999999</v>
      </c>
      <c r="Q77" s="116">
        <v>606.5</v>
      </c>
      <c r="R77">
        <v>231414</v>
      </c>
    </row>
    <row r="78" spans="1:18" x14ac:dyDescent="0.25">
      <c r="A78" s="170">
        <v>44651</v>
      </c>
      <c r="B78" s="116">
        <v>153.0625</v>
      </c>
      <c r="C78" s="116">
        <v>151.48750000000001</v>
      </c>
      <c r="D78" s="116">
        <v>150.6875</v>
      </c>
      <c r="E78" s="116">
        <v>152.82499999999999</v>
      </c>
      <c r="F78" s="116">
        <v>605.95000000000005</v>
      </c>
      <c r="G78">
        <v>8378</v>
      </c>
      <c r="H78" s="116"/>
      <c r="I78" s="116"/>
      <c r="L78" s="170">
        <v>44651</v>
      </c>
      <c r="M78" s="116">
        <v>151.57499999999999</v>
      </c>
      <c r="N78" s="116">
        <v>153.1</v>
      </c>
      <c r="O78" s="116">
        <v>150.75</v>
      </c>
      <c r="P78" s="116">
        <v>152.5</v>
      </c>
      <c r="Q78" s="116">
        <v>606.29999999999995</v>
      </c>
      <c r="R78">
        <v>63685</v>
      </c>
    </row>
    <row r="79" spans="1:18" x14ac:dyDescent="0.25">
      <c r="A79" s="170">
        <v>44652</v>
      </c>
      <c r="B79" s="116">
        <v>152.82499999999999</v>
      </c>
      <c r="C79" s="116">
        <v>152.19999999999999</v>
      </c>
      <c r="D79" s="116">
        <v>151.3125</v>
      </c>
      <c r="E79" s="116">
        <v>152.80000000000001</v>
      </c>
      <c r="F79" s="116">
        <v>608.79999999999995</v>
      </c>
      <c r="G79">
        <v>7041</v>
      </c>
      <c r="H79" s="116"/>
      <c r="I79" s="116"/>
      <c r="L79" s="170">
        <v>44652</v>
      </c>
      <c r="M79" s="116">
        <v>152.1</v>
      </c>
      <c r="N79" s="116">
        <v>154.25</v>
      </c>
      <c r="O79" s="116">
        <v>151.30000000000001</v>
      </c>
      <c r="P79" s="116">
        <v>154.25</v>
      </c>
      <c r="Q79" s="116">
        <v>608.4</v>
      </c>
      <c r="R79">
        <v>32767</v>
      </c>
    </row>
    <row r="80" spans="1:18" x14ac:dyDescent="0.25">
      <c r="A80" s="170">
        <v>44655</v>
      </c>
      <c r="B80" s="116">
        <v>154.36250000000001</v>
      </c>
      <c r="C80" s="116">
        <v>153.47499999999999</v>
      </c>
      <c r="D80" s="116">
        <v>151.51249999999999</v>
      </c>
      <c r="E80" s="116">
        <v>153</v>
      </c>
      <c r="F80" s="116">
        <v>613.9</v>
      </c>
      <c r="G80">
        <v>10919</v>
      </c>
      <c r="H80" s="116"/>
      <c r="I80" s="116"/>
      <c r="L80" s="170">
        <v>44655</v>
      </c>
      <c r="M80" s="116">
        <v>153.625</v>
      </c>
      <c r="N80" s="116">
        <v>154.5625</v>
      </c>
      <c r="O80" s="116">
        <v>151.5</v>
      </c>
      <c r="P80" s="116">
        <v>152.5</v>
      </c>
      <c r="Q80" s="116">
        <v>614.5</v>
      </c>
      <c r="R80">
        <v>89938</v>
      </c>
    </row>
    <row r="81" spans="1:18" x14ac:dyDescent="0.25">
      <c r="A81" s="170">
        <v>44656</v>
      </c>
      <c r="B81" s="116">
        <v>154.75</v>
      </c>
      <c r="C81" s="116">
        <v>153.42500000000001</v>
      </c>
      <c r="D81" s="116">
        <v>152.98750000000001</v>
      </c>
      <c r="E81" s="116">
        <v>154.6</v>
      </c>
      <c r="F81" s="116">
        <v>613.70000000000005</v>
      </c>
      <c r="G81">
        <v>5647</v>
      </c>
      <c r="H81" s="116"/>
      <c r="I81" s="116"/>
      <c r="L81" s="170">
        <v>44656</v>
      </c>
      <c r="M81" s="116">
        <v>153.07499999999999</v>
      </c>
      <c r="N81" s="116">
        <v>154.75</v>
      </c>
      <c r="O81" s="116">
        <v>152.8125</v>
      </c>
      <c r="P81" s="116">
        <v>153.75</v>
      </c>
      <c r="Q81" s="116">
        <v>612.29999999999995</v>
      </c>
      <c r="R81">
        <v>37100</v>
      </c>
    </row>
    <row r="82" spans="1:18" x14ac:dyDescent="0.25">
      <c r="A82" s="170">
        <v>44657</v>
      </c>
      <c r="B82" s="116">
        <v>158.88749999999999</v>
      </c>
      <c r="C82" s="116">
        <v>155.4375</v>
      </c>
      <c r="D82" s="116">
        <v>152.75</v>
      </c>
      <c r="E82" s="116">
        <v>152.75</v>
      </c>
      <c r="F82" s="116">
        <v>621.75</v>
      </c>
      <c r="G82">
        <v>9893</v>
      </c>
      <c r="H82" s="116"/>
      <c r="I82" s="116"/>
      <c r="L82" s="170">
        <v>44657</v>
      </c>
      <c r="M82" s="116">
        <v>155.3125</v>
      </c>
      <c r="N82" s="116">
        <v>159</v>
      </c>
      <c r="O82" s="116">
        <v>152.76249999999999</v>
      </c>
      <c r="P82" s="116">
        <v>153</v>
      </c>
      <c r="Q82" s="116">
        <v>621.25</v>
      </c>
      <c r="R82">
        <v>82435</v>
      </c>
    </row>
    <row r="83" spans="1:18" x14ac:dyDescent="0.25">
      <c r="A83" s="170">
        <v>44658</v>
      </c>
      <c r="B83" s="116">
        <v>156.25</v>
      </c>
      <c r="C83" s="116">
        <v>152.82499999999999</v>
      </c>
      <c r="D83" s="116">
        <v>151.25</v>
      </c>
      <c r="E83" s="116">
        <v>155.75</v>
      </c>
      <c r="F83" s="116">
        <v>611.29999999999995</v>
      </c>
      <c r="G83">
        <v>7168</v>
      </c>
      <c r="H83" s="116"/>
      <c r="I83" s="116"/>
      <c r="L83" s="170">
        <v>44658</v>
      </c>
      <c r="M83" s="116">
        <v>152.44999999999999</v>
      </c>
      <c r="N83" s="116">
        <v>156.25</v>
      </c>
      <c r="O83" s="116">
        <v>151.5</v>
      </c>
      <c r="P83" s="116">
        <v>155</v>
      </c>
      <c r="Q83" s="116">
        <v>609.79999999999995</v>
      </c>
      <c r="R83">
        <v>103797</v>
      </c>
    </row>
    <row r="84" spans="1:18" x14ac:dyDescent="0.25">
      <c r="A84" s="170">
        <v>44659</v>
      </c>
      <c r="B84" s="116">
        <v>155</v>
      </c>
      <c r="C84" s="116">
        <v>152.63749999999999</v>
      </c>
      <c r="D84" s="116">
        <v>152.19999999999999</v>
      </c>
      <c r="E84" s="116">
        <v>153</v>
      </c>
      <c r="F84" s="116">
        <v>610.54999999999995</v>
      </c>
      <c r="G84">
        <v>5920</v>
      </c>
      <c r="H84" s="116"/>
      <c r="I84" s="116"/>
      <c r="L84" s="170">
        <v>44659</v>
      </c>
      <c r="M84" s="116">
        <v>152.72499999999999</v>
      </c>
      <c r="N84" s="116">
        <v>155.44999999999999</v>
      </c>
      <c r="O84" s="116">
        <v>152.25</v>
      </c>
      <c r="P84" s="116">
        <v>152.25</v>
      </c>
      <c r="Q84" s="116">
        <v>610.9</v>
      </c>
      <c r="R84">
        <v>41255</v>
      </c>
    </row>
    <row r="85" spans="1:18" x14ac:dyDescent="0.25">
      <c r="A85" s="170">
        <v>44662</v>
      </c>
      <c r="B85" s="116">
        <v>153.36250000000001</v>
      </c>
      <c r="C85" s="116">
        <v>152.94999999999999</v>
      </c>
      <c r="D85" s="116">
        <v>151.58750000000001</v>
      </c>
      <c r="E85" s="116">
        <v>152.63749999999999</v>
      </c>
      <c r="F85" s="116">
        <v>611.79999999999995</v>
      </c>
      <c r="G85">
        <v>3815</v>
      </c>
      <c r="H85" s="116"/>
      <c r="I85" s="116"/>
      <c r="L85" s="170">
        <v>44662</v>
      </c>
      <c r="M85" s="116">
        <v>152.5</v>
      </c>
      <c r="N85" s="116">
        <v>153.17500000000001</v>
      </c>
      <c r="O85" s="116">
        <v>151.5625</v>
      </c>
      <c r="P85" s="116">
        <v>152.75</v>
      </c>
      <c r="Q85" s="116">
        <v>610</v>
      </c>
      <c r="R85">
        <v>35653</v>
      </c>
    </row>
    <row r="86" spans="1:18" x14ac:dyDescent="0.25">
      <c r="A86" s="170">
        <v>44663</v>
      </c>
      <c r="B86" s="116">
        <v>155.25</v>
      </c>
      <c r="C86" s="116">
        <v>152.92500000000001</v>
      </c>
      <c r="D86" s="116">
        <v>152.61250000000001</v>
      </c>
      <c r="E86" s="116">
        <v>154.98750000000001</v>
      </c>
      <c r="F86" s="116">
        <v>611.70000000000005</v>
      </c>
      <c r="G86">
        <v>14543</v>
      </c>
      <c r="H86" s="116"/>
      <c r="I86" s="116"/>
      <c r="L86" s="170">
        <v>44663</v>
      </c>
      <c r="M86" s="116">
        <v>153.16249999999999</v>
      </c>
      <c r="N86" s="116">
        <v>155.1</v>
      </c>
      <c r="O86" s="116">
        <v>152.5</v>
      </c>
      <c r="P86" s="116">
        <v>154.5</v>
      </c>
      <c r="Q86" s="116">
        <v>612.65</v>
      </c>
      <c r="R86">
        <v>115193</v>
      </c>
    </row>
    <row r="87" spans="1:18" x14ac:dyDescent="0.25">
      <c r="A87" s="170">
        <v>44664</v>
      </c>
      <c r="B87" s="116">
        <v>177.98750000000001</v>
      </c>
      <c r="C87" s="116">
        <v>165.91249999999999</v>
      </c>
      <c r="D87" s="116">
        <v>162.72499999999999</v>
      </c>
      <c r="E87" s="116">
        <v>162.72499999999999</v>
      </c>
      <c r="F87" s="116">
        <v>663.65</v>
      </c>
      <c r="G87">
        <v>199600</v>
      </c>
      <c r="H87" s="116"/>
      <c r="I87" s="116"/>
      <c r="L87" s="170">
        <v>44664</v>
      </c>
      <c r="M87" s="116">
        <v>166.53749999999999</v>
      </c>
      <c r="N87" s="116">
        <v>180.33750000000001</v>
      </c>
      <c r="O87" s="116">
        <v>163.75</v>
      </c>
      <c r="P87" s="116">
        <v>163.75</v>
      </c>
      <c r="Q87" s="116">
        <v>666.15</v>
      </c>
      <c r="R87">
        <v>3460421</v>
      </c>
    </row>
    <row r="88" spans="1:18" x14ac:dyDescent="0.25">
      <c r="A88" s="170">
        <v>44669</v>
      </c>
      <c r="B88" s="116">
        <v>176.75</v>
      </c>
      <c r="C88" s="116">
        <v>174.65</v>
      </c>
      <c r="D88" s="116">
        <v>162.61250000000001</v>
      </c>
      <c r="E88" s="116">
        <v>165.875</v>
      </c>
      <c r="F88" s="116">
        <v>698.6</v>
      </c>
      <c r="G88">
        <v>78034</v>
      </c>
      <c r="H88" s="116"/>
      <c r="I88" s="116"/>
      <c r="L88" s="170">
        <v>44669</v>
      </c>
      <c r="M88" s="116">
        <v>174.8</v>
      </c>
      <c r="N88" s="116">
        <v>176.75</v>
      </c>
      <c r="O88" s="116">
        <v>162.75</v>
      </c>
      <c r="P88" s="116">
        <v>165.5</v>
      </c>
      <c r="Q88" s="116">
        <v>699.2</v>
      </c>
      <c r="R88">
        <v>1174141</v>
      </c>
    </row>
    <row r="89" spans="1:18" x14ac:dyDescent="0.25">
      <c r="A89" s="170">
        <v>44670</v>
      </c>
      <c r="B89" s="116">
        <v>178</v>
      </c>
      <c r="C89" s="116">
        <v>165.07499999999999</v>
      </c>
      <c r="D89" s="116">
        <v>163.02500000000001</v>
      </c>
      <c r="E89" s="116">
        <v>178</v>
      </c>
      <c r="F89" s="116">
        <v>660.3</v>
      </c>
      <c r="G89">
        <v>39911</v>
      </c>
      <c r="H89" s="116"/>
      <c r="I89" s="116"/>
      <c r="L89" s="170">
        <v>44670</v>
      </c>
      <c r="M89" s="116">
        <v>165.17500000000001</v>
      </c>
      <c r="N89" s="116">
        <v>177.1</v>
      </c>
      <c r="O89" s="116">
        <v>163.5</v>
      </c>
      <c r="P89" s="116">
        <v>176.75</v>
      </c>
      <c r="Q89" s="116">
        <v>660.7</v>
      </c>
      <c r="R89">
        <v>314092</v>
      </c>
    </row>
    <row r="90" spans="1:18" x14ac:dyDescent="0.25">
      <c r="A90" s="170">
        <v>44671</v>
      </c>
      <c r="B90" s="116">
        <v>170.51249999999999</v>
      </c>
      <c r="C90" s="116">
        <v>164.98750000000001</v>
      </c>
      <c r="D90" s="116">
        <v>163.05000000000001</v>
      </c>
      <c r="E90" s="116">
        <v>168.48750000000001</v>
      </c>
      <c r="F90" s="116">
        <v>659.95</v>
      </c>
      <c r="G90">
        <v>14283</v>
      </c>
      <c r="H90" s="116"/>
      <c r="I90" s="116"/>
      <c r="L90" s="170">
        <v>44671</v>
      </c>
      <c r="M90" s="116">
        <v>164.57499999999999</v>
      </c>
      <c r="N90" s="116">
        <v>171.25</v>
      </c>
      <c r="O90" s="116">
        <v>163.05000000000001</v>
      </c>
      <c r="P90" s="116">
        <v>166.75</v>
      </c>
      <c r="Q90" s="116">
        <v>658.3</v>
      </c>
      <c r="R90">
        <v>145719</v>
      </c>
    </row>
    <row r="91" spans="1:18" x14ac:dyDescent="0.25">
      <c r="A91" s="170">
        <v>44672</v>
      </c>
      <c r="B91" s="116">
        <v>167.47499999999999</v>
      </c>
      <c r="C91" s="116">
        <v>162.38749999999999</v>
      </c>
      <c r="D91" s="116">
        <v>161.75</v>
      </c>
      <c r="E91" s="116">
        <v>163.75</v>
      </c>
      <c r="F91" s="116">
        <v>649.54999999999995</v>
      </c>
      <c r="G91">
        <v>17045</v>
      </c>
      <c r="H91" s="116"/>
      <c r="I91" s="116"/>
      <c r="L91" s="170">
        <v>44672</v>
      </c>
      <c r="M91" s="116">
        <v>162.35</v>
      </c>
      <c r="N91" s="116">
        <v>167.67500000000001</v>
      </c>
      <c r="O91" s="116">
        <v>161.78749999999999</v>
      </c>
      <c r="P91" s="116">
        <v>165.55</v>
      </c>
      <c r="Q91" s="116">
        <v>649.4</v>
      </c>
      <c r="R91">
        <v>97134</v>
      </c>
    </row>
    <row r="92" spans="1:18" x14ac:dyDescent="0.25">
      <c r="A92" s="170">
        <v>44673</v>
      </c>
      <c r="B92" s="116">
        <v>167.2</v>
      </c>
      <c r="C92" s="116">
        <v>163.375</v>
      </c>
      <c r="D92" s="116">
        <v>159.55000000000001</v>
      </c>
      <c r="E92" s="116">
        <v>160</v>
      </c>
      <c r="F92" s="116">
        <v>653.5</v>
      </c>
      <c r="G92">
        <v>26130</v>
      </c>
      <c r="H92" s="116"/>
      <c r="I92" s="116"/>
      <c r="L92" s="170">
        <v>44673</v>
      </c>
      <c r="M92" s="116">
        <v>163.27500000000001</v>
      </c>
      <c r="N92" s="116">
        <v>167</v>
      </c>
      <c r="O92" s="116">
        <v>161</v>
      </c>
      <c r="P92" s="116">
        <v>161.25</v>
      </c>
      <c r="Q92" s="116">
        <v>653.1</v>
      </c>
      <c r="R92">
        <v>133643</v>
      </c>
    </row>
    <row r="93" spans="1:18" x14ac:dyDescent="0.25">
      <c r="A93" s="170">
        <v>44676</v>
      </c>
      <c r="B93" s="116">
        <v>163.5625</v>
      </c>
      <c r="C93" s="116">
        <v>160.42500000000001</v>
      </c>
      <c r="D93" s="116">
        <v>159.44999999999999</v>
      </c>
      <c r="E93" s="116">
        <v>161.25</v>
      </c>
      <c r="F93" s="116">
        <v>641.70000000000005</v>
      </c>
      <c r="G93">
        <v>11192</v>
      </c>
      <c r="H93" s="116"/>
      <c r="I93" s="116"/>
      <c r="L93" s="170">
        <v>44676</v>
      </c>
      <c r="M93" s="116">
        <v>160.46250000000001</v>
      </c>
      <c r="N93" s="116">
        <v>163.66249999999999</v>
      </c>
      <c r="O93" s="116">
        <v>159.53749999999999</v>
      </c>
      <c r="P93" s="116">
        <v>163.21250000000001</v>
      </c>
      <c r="Q93" s="116">
        <v>641.85</v>
      </c>
      <c r="R93">
        <v>67225</v>
      </c>
    </row>
    <row r="94" spans="1:18" x14ac:dyDescent="0.25">
      <c r="A94" s="170">
        <v>44677</v>
      </c>
      <c r="B94" s="116">
        <v>164.08750000000001</v>
      </c>
      <c r="C94" s="116">
        <v>160.28749999999999</v>
      </c>
      <c r="D94" s="116">
        <v>158.83750000000001</v>
      </c>
      <c r="E94" s="116">
        <v>160</v>
      </c>
      <c r="F94" s="116">
        <v>641.15</v>
      </c>
      <c r="G94">
        <v>8459</v>
      </c>
      <c r="H94" s="116"/>
      <c r="I94" s="116"/>
      <c r="L94" s="170">
        <v>44677</v>
      </c>
      <c r="M94" s="116">
        <v>160.16249999999999</v>
      </c>
      <c r="N94" s="116">
        <v>164.42500000000001</v>
      </c>
      <c r="O94" s="116">
        <v>158.77500000000001</v>
      </c>
      <c r="P94" s="116">
        <v>162.25</v>
      </c>
      <c r="Q94" s="116">
        <v>640.65</v>
      </c>
      <c r="R94">
        <v>136807</v>
      </c>
    </row>
    <row r="95" spans="1:18" x14ac:dyDescent="0.25">
      <c r="A95" s="170">
        <v>44678</v>
      </c>
      <c r="B95" s="116">
        <v>168.3</v>
      </c>
      <c r="C95" s="116">
        <v>166.75</v>
      </c>
      <c r="D95" s="116">
        <v>156.125</v>
      </c>
      <c r="E95" s="116">
        <v>160.16249999999999</v>
      </c>
      <c r="F95" s="116">
        <v>667</v>
      </c>
      <c r="G95">
        <v>25390</v>
      </c>
      <c r="H95" s="116"/>
      <c r="I95" s="116"/>
      <c r="L95" s="170">
        <v>44678</v>
      </c>
      <c r="M95" s="116">
        <v>167.16249999999999</v>
      </c>
      <c r="N95" s="116">
        <v>168.75</v>
      </c>
      <c r="O95" s="116">
        <v>156.125</v>
      </c>
      <c r="P95" s="116">
        <v>159.96250000000001</v>
      </c>
      <c r="Q95" s="116">
        <v>668.65</v>
      </c>
      <c r="R95">
        <v>178633</v>
      </c>
    </row>
    <row r="96" spans="1:18" x14ac:dyDescent="0.25">
      <c r="A96" s="170">
        <v>44679</v>
      </c>
      <c r="B96" s="116">
        <v>169.25</v>
      </c>
      <c r="C96" s="116">
        <v>163.6875</v>
      </c>
      <c r="D96" s="116">
        <v>161.28749999999999</v>
      </c>
      <c r="E96" s="116">
        <v>169.25</v>
      </c>
      <c r="F96" s="116">
        <v>654.75</v>
      </c>
      <c r="G96">
        <v>4438</v>
      </c>
      <c r="H96" s="116"/>
      <c r="I96" s="116"/>
      <c r="L96" s="170">
        <v>44679</v>
      </c>
      <c r="M96" s="116">
        <v>163.5625</v>
      </c>
      <c r="N96" s="116">
        <v>168.73750000000001</v>
      </c>
      <c r="O96" s="116">
        <v>161.17500000000001</v>
      </c>
      <c r="P96" s="116">
        <v>168</v>
      </c>
      <c r="Q96" s="116">
        <v>654.25</v>
      </c>
      <c r="R96">
        <v>87992</v>
      </c>
    </row>
    <row r="97" spans="1:18" x14ac:dyDescent="0.25">
      <c r="A97" s="170">
        <v>44680</v>
      </c>
      <c r="B97" s="116">
        <v>166.38749999999999</v>
      </c>
      <c r="C97" s="116">
        <v>161.625</v>
      </c>
      <c r="D97" s="116">
        <v>160.51249999999999</v>
      </c>
      <c r="E97" s="116">
        <v>164.98750000000001</v>
      </c>
      <c r="F97" s="116">
        <v>646.5</v>
      </c>
      <c r="G97">
        <v>8402</v>
      </c>
      <c r="H97" s="116"/>
      <c r="I97" s="116"/>
      <c r="L97" s="170">
        <v>44680</v>
      </c>
      <c r="M97" s="116">
        <v>162.15</v>
      </c>
      <c r="N97" s="116">
        <v>166.51249999999999</v>
      </c>
      <c r="O97" s="116">
        <v>160.66249999999999</v>
      </c>
      <c r="P97" s="116">
        <v>162.625</v>
      </c>
      <c r="Q97" s="116">
        <v>648.6</v>
      </c>
      <c r="R97">
        <v>68410</v>
      </c>
    </row>
    <row r="98" spans="1:18" x14ac:dyDescent="0.25">
      <c r="A98" s="170">
        <v>44683</v>
      </c>
      <c r="B98" s="116">
        <v>165.13749999999999</v>
      </c>
      <c r="C98" s="116">
        <v>161.88749999999999</v>
      </c>
      <c r="D98" s="116">
        <v>159.23750000000001</v>
      </c>
      <c r="E98" s="116">
        <v>162.26249999999999</v>
      </c>
      <c r="F98" s="116">
        <v>647.54999999999995</v>
      </c>
      <c r="G98">
        <v>11745</v>
      </c>
      <c r="H98" s="116"/>
      <c r="I98" s="116"/>
      <c r="L98" s="170">
        <v>44683</v>
      </c>
      <c r="M98" s="116">
        <v>161.85</v>
      </c>
      <c r="N98" s="116">
        <v>165.5</v>
      </c>
      <c r="O98" s="116">
        <v>159.03749999999999</v>
      </c>
      <c r="P98" s="116">
        <v>162.5</v>
      </c>
      <c r="Q98" s="116">
        <v>647.4</v>
      </c>
      <c r="R98">
        <v>263643</v>
      </c>
    </row>
    <row r="99" spans="1:18" x14ac:dyDescent="0.25">
      <c r="A99" s="170">
        <v>44685</v>
      </c>
      <c r="B99" s="116">
        <v>163.875</v>
      </c>
      <c r="C99" s="116">
        <v>160.86250000000001</v>
      </c>
      <c r="D99" s="116">
        <v>160.1</v>
      </c>
      <c r="E99" s="116">
        <v>163.38749999999999</v>
      </c>
      <c r="F99" s="116">
        <v>643.45000000000005</v>
      </c>
      <c r="G99">
        <v>6411</v>
      </c>
      <c r="H99" s="116"/>
      <c r="I99" s="116"/>
      <c r="L99" s="170">
        <v>44685</v>
      </c>
      <c r="M99" s="116">
        <v>160.6875</v>
      </c>
      <c r="N99" s="116">
        <v>165</v>
      </c>
      <c r="O99" s="116">
        <v>160.26249999999999</v>
      </c>
      <c r="P99" s="116">
        <v>165</v>
      </c>
      <c r="Q99" s="116">
        <v>642.75</v>
      </c>
      <c r="R99">
        <v>45061</v>
      </c>
    </row>
    <row r="100" spans="1:18" x14ac:dyDescent="0.25">
      <c r="A100" s="170">
        <v>44686</v>
      </c>
      <c r="B100" s="116">
        <v>162.75</v>
      </c>
      <c r="C100" s="116">
        <v>158.91249999999999</v>
      </c>
      <c r="D100" s="116">
        <v>157.875</v>
      </c>
      <c r="E100" s="116">
        <v>162.32499999999999</v>
      </c>
      <c r="F100" s="116">
        <v>635.65</v>
      </c>
      <c r="G100">
        <v>8737</v>
      </c>
      <c r="H100" s="116"/>
      <c r="I100" s="116"/>
      <c r="L100" s="170">
        <v>44686</v>
      </c>
      <c r="M100" s="116">
        <v>159.27500000000001</v>
      </c>
      <c r="N100" s="116">
        <v>164.57499999999999</v>
      </c>
      <c r="O100" s="116">
        <v>157.75</v>
      </c>
      <c r="P100" s="116">
        <v>160.5</v>
      </c>
      <c r="Q100" s="116">
        <v>637.1</v>
      </c>
      <c r="R100">
        <v>48545</v>
      </c>
    </row>
    <row r="101" spans="1:18" x14ac:dyDescent="0.25">
      <c r="A101" s="170">
        <v>44687</v>
      </c>
      <c r="B101" s="116">
        <v>158.1</v>
      </c>
      <c r="C101" s="116">
        <v>157.25</v>
      </c>
      <c r="D101" s="116">
        <v>152.9375</v>
      </c>
      <c r="E101" s="116">
        <v>157.375</v>
      </c>
      <c r="F101" s="116">
        <v>629</v>
      </c>
      <c r="G101">
        <v>10035</v>
      </c>
      <c r="H101" s="116"/>
      <c r="I101" s="116"/>
      <c r="L101" s="170">
        <v>44687</v>
      </c>
      <c r="M101" s="116">
        <v>157.38749999999999</v>
      </c>
      <c r="N101" s="116">
        <v>158.75</v>
      </c>
      <c r="O101" s="116">
        <v>153.05000000000001</v>
      </c>
      <c r="P101" s="116">
        <v>157</v>
      </c>
      <c r="Q101" s="116">
        <v>629.54999999999995</v>
      </c>
      <c r="R101">
        <v>75958</v>
      </c>
    </row>
    <row r="102" spans="1:18" x14ac:dyDescent="0.25">
      <c r="A102" s="170">
        <v>44690</v>
      </c>
      <c r="B102" s="116">
        <v>158.66249999999999</v>
      </c>
      <c r="C102" s="116">
        <v>155.58750000000001</v>
      </c>
      <c r="D102" s="116">
        <v>153.57499999999999</v>
      </c>
      <c r="E102" s="116">
        <v>156.67500000000001</v>
      </c>
      <c r="F102" s="116">
        <v>622.35</v>
      </c>
      <c r="G102">
        <v>11908</v>
      </c>
      <c r="H102" s="116"/>
      <c r="I102" s="116"/>
      <c r="L102" s="170">
        <v>44690</v>
      </c>
      <c r="M102" s="116">
        <v>156.4</v>
      </c>
      <c r="N102" s="116">
        <v>158.98750000000001</v>
      </c>
      <c r="O102" s="116">
        <v>154.25</v>
      </c>
      <c r="P102" s="116">
        <v>155.27500000000001</v>
      </c>
      <c r="Q102" s="116">
        <v>625.6</v>
      </c>
      <c r="R102">
        <v>77212</v>
      </c>
    </row>
    <row r="103" spans="1:18" x14ac:dyDescent="0.25">
      <c r="A103" s="170">
        <v>44691</v>
      </c>
      <c r="B103" s="116">
        <v>158.75</v>
      </c>
      <c r="C103" s="116">
        <v>156.9</v>
      </c>
      <c r="D103" s="116">
        <v>155.9375</v>
      </c>
      <c r="E103" s="116">
        <v>156.4</v>
      </c>
      <c r="F103" s="116">
        <v>627.6</v>
      </c>
      <c r="G103">
        <v>7951</v>
      </c>
      <c r="H103" s="116"/>
      <c r="I103" s="116"/>
      <c r="L103" s="170">
        <v>44691</v>
      </c>
      <c r="M103" s="116">
        <v>157.16249999999999</v>
      </c>
      <c r="N103" s="116">
        <v>158.63749999999999</v>
      </c>
      <c r="O103" s="116">
        <v>155.875</v>
      </c>
      <c r="P103" s="116">
        <v>157</v>
      </c>
      <c r="Q103" s="116">
        <v>628.65</v>
      </c>
      <c r="R103">
        <v>48902</v>
      </c>
    </row>
    <row r="104" spans="1:18" x14ac:dyDescent="0.25">
      <c r="A104" s="170">
        <v>44692</v>
      </c>
      <c r="B104" s="116">
        <v>157.3125</v>
      </c>
      <c r="C104" s="116">
        <v>155.52500000000001</v>
      </c>
      <c r="D104" s="116">
        <v>152.25</v>
      </c>
      <c r="E104" s="116">
        <v>157.11250000000001</v>
      </c>
      <c r="F104" s="116">
        <v>622.1</v>
      </c>
      <c r="G104">
        <v>23012</v>
      </c>
      <c r="H104" s="116"/>
      <c r="I104" s="116"/>
      <c r="L104" s="170">
        <v>44692</v>
      </c>
      <c r="M104" s="116">
        <v>155.02500000000001</v>
      </c>
      <c r="N104" s="116">
        <v>157.5</v>
      </c>
      <c r="O104" s="116">
        <v>152.375</v>
      </c>
      <c r="P104" s="116">
        <v>155.77500000000001</v>
      </c>
      <c r="Q104" s="116">
        <v>620.1</v>
      </c>
      <c r="R104">
        <v>56515</v>
      </c>
    </row>
    <row r="105" spans="1:18" x14ac:dyDescent="0.25">
      <c r="A105" s="170">
        <v>44693</v>
      </c>
      <c r="B105" s="116">
        <v>155.1875</v>
      </c>
      <c r="C105" s="116">
        <v>152.9</v>
      </c>
      <c r="D105" s="116">
        <v>151.91249999999999</v>
      </c>
      <c r="E105" s="116">
        <v>155</v>
      </c>
      <c r="F105" s="116">
        <v>611.6</v>
      </c>
      <c r="G105">
        <v>5846</v>
      </c>
      <c r="H105" s="116"/>
      <c r="I105" s="116"/>
      <c r="L105" s="170">
        <v>44693</v>
      </c>
      <c r="M105" s="116">
        <v>153.03749999999999</v>
      </c>
      <c r="N105" s="116">
        <v>155.08750000000001</v>
      </c>
      <c r="O105" s="116">
        <v>152</v>
      </c>
      <c r="P105" s="116">
        <v>154.97499999999999</v>
      </c>
      <c r="Q105" s="116">
        <v>612.15</v>
      </c>
      <c r="R105">
        <v>80801</v>
      </c>
    </row>
    <row r="106" spans="1:18" x14ac:dyDescent="0.25">
      <c r="A106" s="170">
        <v>44694</v>
      </c>
      <c r="B106" s="116">
        <v>155.69999999999999</v>
      </c>
      <c r="C106" s="116">
        <v>153.625</v>
      </c>
      <c r="D106" s="116">
        <v>152.5</v>
      </c>
      <c r="E106" s="116">
        <v>155.32499999999999</v>
      </c>
      <c r="F106" s="116">
        <v>614.5</v>
      </c>
      <c r="G106">
        <v>1266</v>
      </c>
      <c r="H106" s="116"/>
      <c r="I106" s="116"/>
      <c r="L106" s="170">
        <v>44694</v>
      </c>
      <c r="M106" s="116">
        <v>153.13749999999999</v>
      </c>
      <c r="N106" s="116">
        <v>156.1875</v>
      </c>
      <c r="O106" s="116">
        <v>152.5</v>
      </c>
      <c r="P106" s="116">
        <v>156.1875</v>
      </c>
      <c r="Q106" s="116">
        <v>612.54999999999995</v>
      </c>
      <c r="R106">
        <v>25676</v>
      </c>
    </row>
    <row r="107" spans="1:18" x14ac:dyDescent="0.25">
      <c r="A107" s="170">
        <v>44697</v>
      </c>
      <c r="B107" s="116">
        <v>154.86250000000001</v>
      </c>
      <c r="C107" s="116">
        <v>153.92500000000001</v>
      </c>
      <c r="D107" s="116">
        <v>151.875</v>
      </c>
      <c r="E107" s="116">
        <v>154.73750000000001</v>
      </c>
      <c r="F107" s="116">
        <v>615.70000000000005</v>
      </c>
      <c r="G107">
        <v>4293</v>
      </c>
      <c r="H107" s="116"/>
      <c r="I107" s="116"/>
      <c r="L107" s="170">
        <v>44697</v>
      </c>
      <c r="M107" s="116">
        <v>153.8125</v>
      </c>
      <c r="N107" s="116">
        <v>155.6875</v>
      </c>
      <c r="O107" s="116">
        <v>151.8125</v>
      </c>
      <c r="P107" s="116">
        <v>155.6875</v>
      </c>
      <c r="Q107" s="116">
        <v>615.25</v>
      </c>
      <c r="R107">
        <v>28677</v>
      </c>
    </row>
    <row r="108" spans="1:18" x14ac:dyDescent="0.25">
      <c r="A108" s="170">
        <v>44698</v>
      </c>
      <c r="B108" s="116">
        <v>167</v>
      </c>
      <c r="C108" s="116">
        <v>165.07499999999999</v>
      </c>
      <c r="D108" s="116">
        <v>154.35</v>
      </c>
      <c r="E108" s="116">
        <v>154.52500000000001</v>
      </c>
      <c r="F108" s="116">
        <v>660.3</v>
      </c>
      <c r="G108">
        <v>20481</v>
      </c>
      <c r="H108" s="116"/>
      <c r="I108" s="116"/>
      <c r="L108" s="170">
        <v>44698</v>
      </c>
      <c r="M108" s="116">
        <v>164.97499999999999</v>
      </c>
      <c r="N108" s="116">
        <v>167</v>
      </c>
      <c r="O108" s="116">
        <v>154.0625</v>
      </c>
      <c r="P108" s="116">
        <v>156.1875</v>
      </c>
      <c r="Q108" s="116">
        <v>659.9</v>
      </c>
      <c r="R108">
        <v>117143</v>
      </c>
    </row>
    <row r="109" spans="1:18" x14ac:dyDescent="0.25">
      <c r="A109" s="170">
        <v>44699</v>
      </c>
      <c r="B109" s="116">
        <v>167.32499999999999</v>
      </c>
      <c r="C109" s="116">
        <v>159.6</v>
      </c>
      <c r="D109" s="116">
        <v>158.875</v>
      </c>
      <c r="E109" s="116">
        <v>165.15</v>
      </c>
      <c r="F109" s="116">
        <v>638.4</v>
      </c>
      <c r="G109">
        <v>12159</v>
      </c>
      <c r="H109" s="116"/>
      <c r="I109" s="116"/>
      <c r="L109" s="170">
        <v>44699</v>
      </c>
      <c r="M109" s="116">
        <v>159.55000000000001</v>
      </c>
      <c r="N109" s="116">
        <v>167.38749999999999</v>
      </c>
      <c r="O109" s="116">
        <v>158.8125</v>
      </c>
      <c r="P109" s="116">
        <v>166.51249999999999</v>
      </c>
      <c r="Q109" s="116">
        <v>638.20000000000005</v>
      </c>
      <c r="R109">
        <v>47962</v>
      </c>
    </row>
    <row r="110" spans="1:18" x14ac:dyDescent="0.25">
      <c r="A110" s="170">
        <v>44700</v>
      </c>
      <c r="B110" s="116">
        <v>160.48750000000001</v>
      </c>
      <c r="C110" s="116">
        <v>159.13749999999999</v>
      </c>
      <c r="D110" s="116">
        <v>153</v>
      </c>
      <c r="E110" s="116">
        <v>153</v>
      </c>
      <c r="F110" s="116">
        <v>636.54999999999995</v>
      </c>
      <c r="G110">
        <v>12181</v>
      </c>
      <c r="H110" s="116"/>
      <c r="I110" s="116"/>
      <c r="L110" s="170">
        <v>44700</v>
      </c>
      <c r="M110" s="116">
        <v>159.25</v>
      </c>
      <c r="N110" s="116">
        <v>160.71250000000001</v>
      </c>
      <c r="O110" s="116">
        <v>154.5625</v>
      </c>
      <c r="P110" s="116">
        <v>155</v>
      </c>
      <c r="Q110" s="116">
        <v>637</v>
      </c>
      <c r="R110">
        <v>34295</v>
      </c>
    </row>
    <row r="111" spans="1:18" x14ac:dyDescent="0.25">
      <c r="A111" s="170">
        <v>44701</v>
      </c>
      <c r="B111" s="116">
        <v>165.7</v>
      </c>
      <c r="C111" s="116">
        <v>163.44999999999999</v>
      </c>
      <c r="D111" s="116">
        <v>157.85</v>
      </c>
      <c r="E111" s="116">
        <v>160.01249999999999</v>
      </c>
      <c r="F111" s="116">
        <v>653.79999999999995</v>
      </c>
      <c r="G111">
        <v>5691</v>
      </c>
      <c r="H111" s="116"/>
      <c r="I111" s="116"/>
      <c r="L111" s="170">
        <v>44701</v>
      </c>
      <c r="M111" s="116">
        <v>164.1875</v>
      </c>
      <c r="N111" s="116">
        <v>166.97499999999999</v>
      </c>
      <c r="O111" s="116">
        <v>157.51249999999999</v>
      </c>
      <c r="P111" s="116">
        <v>161.11250000000001</v>
      </c>
      <c r="Q111" s="116">
        <v>656.75</v>
      </c>
      <c r="R111">
        <v>77995</v>
      </c>
    </row>
    <row r="112" spans="1:18" x14ac:dyDescent="0.25">
      <c r="A112" s="170">
        <v>44704</v>
      </c>
      <c r="B112" s="116">
        <v>164.52500000000001</v>
      </c>
      <c r="C112" s="116">
        <v>158.5625</v>
      </c>
      <c r="D112" s="116">
        <v>157.71250000000001</v>
      </c>
      <c r="E112" s="116">
        <v>160.91249999999999</v>
      </c>
      <c r="F112" s="116">
        <v>634.25</v>
      </c>
      <c r="G112">
        <v>3909</v>
      </c>
      <c r="H112" s="116"/>
      <c r="I112" s="116"/>
      <c r="L112" s="170">
        <v>44704</v>
      </c>
      <c r="M112" s="116">
        <v>158.35</v>
      </c>
      <c r="N112" s="116">
        <v>165.25</v>
      </c>
      <c r="O112" s="116">
        <v>157.5</v>
      </c>
      <c r="P112" s="116">
        <v>164.07499999999999</v>
      </c>
      <c r="Q112" s="116">
        <v>633.4</v>
      </c>
      <c r="R112">
        <v>39847</v>
      </c>
    </row>
    <row r="113" spans="1:18" x14ac:dyDescent="0.25">
      <c r="A113" s="170">
        <v>44705</v>
      </c>
      <c r="B113" s="116">
        <v>159.46250000000001</v>
      </c>
      <c r="C113" s="116">
        <v>157.15</v>
      </c>
      <c r="D113" s="116">
        <v>155.38749999999999</v>
      </c>
      <c r="E113" s="116">
        <v>158.86250000000001</v>
      </c>
      <c r="F113" s="116">
        <v>628.6</v>
      </c>
      <c r="G113">
        <v>3166</v>
      </c>
      <c r="H113" s="116"/>
      <c r="I113" s="116"/>
      <c r="L113" s="170">
        <v>44705</v>
      </c>
      <c r="M113" s="116">
        <v>156.63749999999999</v>
      </c>
      <c r="N113" s="116">
        <v>159.73750000000001</v>
      </c>
      <c r="O113" s="116">
        <v>156</v>
      </c>
      <c r="P113" s="116">
        <v>159.25</v>
      </c>
      <c r="Q113" s="116">
        <v>626.54999999999995</v>
      </c>
      <c r="R113">
        <v>15702</v>
      </c>
    </row>
    <row r="114" spans="1:18" x14ac:dyDescent="0.25">
      <c r="A114" s="170">
        <v>44706</v>
      </c>
      <c r="B114" s="116">
        <v>158.25</v>
      </c>
      <c r="C114" s="116">
        <v>156.625</v>
      </c>
      <c r="D114" s="116">
        <v>155.11250000000001</v>
      </c>
      <c r="E114" s="116">
        <v>156.92500000000001</v>
      </c>
      <c r="F114" s="116">
        <v>626.5</v>
      </c>
      <c r="G114">
        <v>3370</v>
      </c>
      <c r="H114" s="116"/>
      <c r="I114" s="116"/>
      <c r="L114" s="170">
        <v>44706</v>
      </c>
      <c r="M114" s="116">
        <v>156.51249999999999</v>
      </c>
      <c r="N114" s="116">
        <v>158.44999999999999</v>
      </c>
      <c r="O114" s="116">
        <v>155.07499999999999</v>
      </c>
      <c r="P114" s="116">
        <v>156.77500000000001</v>
      </c>
      <c r="Q114" s="116">
        <v>626.04999999999995</v>
      </c>
      <c r="R114">
        <v>27221</v>
      </c>
    </row>
    <row r="115" spans="1:18" x14ac:dyDescent="0.25">
      <c r="A115" s="170">
        <v>44707</v>
      </c>
      <c r="B115" s="116">
        <v>159.16249999999999</v>
      </c>
      <c r="C115" s="116">
        <v>156.67500000000001</v>
      </c>
      <c r="D115" s="116">
        <v>154.625</v>
      </c>
      <c r="E115" s="116">
        <v>156.08750000000001</v>
      </c>
      <c r="F115" s="116">
        <v>626.70000000000005</v>
      </c>
      <c r="G115">
        <v>5285</v>
      </c>
      <c r="H115" s="116"/>
      <c r="I115" s="116"/>
      <c r="L115" s="170">
        <v>44707</v>
      </c>
      <c r="M115" s="116">
        <v>156.58750000000001</v>
      </c>
      <c r="N115" s="116">
        <v>159.27500000000001</v>
      </c>
      <c r="O115" s="116">
        <v>154.8125</v>
      </c>
      <c r="P115" s="116">
        <v>157.94999999999999</v>
      </c>
      <c r="Q115" s="116">
        <v>626.35</v>
      </c>
      <c r="R115">
        <v>62971</v>
      </c>
    </row>
    <row r="116" spans="1:18" x14ac:dyDescent="0.25">
      <c r="A116" s="170">
        <v>44708</v>
      </c>
      <c r="B116" s="116">
        <v>163</v>
      </c>
      <c r="C116" s="116">
        <v>161.48750000000001</v>
      </c>
      <c r="D116" s="116">
        <v>156.72499999999999</v>
      </c>
      <c r="E116" s="116">
        <v>157.15</v>
      </c>
      <c r="F116" s="116">
        <v>645.95000000000005</v>
      </c>
      <c r="G116">
        <v>4648</v>
      </c>
      <c r="H116" s="116"/>
      <c r="I116" s="116"/>
      <c r="L116" s="170">
        <v>44708</v>
      </c>
      <c r="M116" s="116">
        <v>161.48750000000001</v>
      </c>
      <c r="N116" s="116">
        <v>163.63749999999999</v>
      </c>
      <c r="O116" s="116">
        <v>155.86250000000001</v>
      </c>
      <c r="P116" s="116">
        <v>156.52500000000001</v>
      </c>
      <c r="Q116" s="116">
        <v>645.95000000000005</v>
      </c>
      <c r="R116">
        <v>53492</v>
      </c>
    </row>
    <row r="117" spans="1:18" x14ac:dyDescent="0.25">
      <c r="A117" s="170">
        <v>44711</v>
      </c>
      <c r="B117" s="116">
        <v>167</v>
      </c>
      <c r="C117" s="116">
        <v>162.98750000000001</v>
      </c>
      <c r="D117" s="116">
        <v>161.9</v>
      </c>
      <c r="E117" s="116">
        <v>162.52500000000001</v>
      </c>
      <c r="F117" s="116">
        <v>651.95000000000005</v>
      </c>
      <c r="G117">
        <v>6664</v>
      </c>
      <c r="H117" s="116"/>
      <c r="I117" s="116"/>
      <c r="L117" s="170">
        <v>44711</v>
      </c>
      <c r="M117" s="116">
        <v>162.98750000000001</v>
      </c>
      <c r="N117" s="116">
        <v>167.35</v>
      </c>
      <c r="O117" s="116">
        <v>161.9</v>
      </c>
      <c r="P117" s="116">
        <v>162.25</v>
      </c>
      <c r="Q117" s="116">
        <v>651.95000000000005</v>
      </c>
      <c r="R117">
        <v>81516</v>
      </c>
    </row>
    <row r="118" spans="1:18" x14ac:dyDescent="0.25">
      <c r="A118" s="170">
        <v>44712</v>
      </c>
      <c r="B118" s="116">
        <v>167.48750000000001</v>
      </c>
      <c r="C118" s="116">
        <v>165.16249999999999</v>
      </c>
      <c r="D118" s="116">
        <v>162.19999999999999</v>
      </c>
      <c r="E118" s="116">
        <v>162.88749999999999</v>
      </c>
      <c r="F118" s="116">
        <v>660.65</v>
      </c>
      <c r="G118">
        <v>4533</v>
      </c>
      <c r="H118" s="116"/>
      <c r="I118" s="116"/>
      <c r="L118" s="170">
        <v>44712</v>
      </c>
      <c r="M118" s="116">
        <v>165.3</v>
      </c>
      <c r="N118" s="116">
        <v>167.42500000000001</v>
      </c>
      <c r="O118" s="116">
        <v>162</v>
      </c>
      <c r="P118" s="116">
        <v>162</v>
      </c>
      <c r="Q118" s="116">
        <v>661.2</v>
      </c>
      <c r="R118">
        <v>33314</v>
      </c>
    </row>
    <row r="119" spans="1:18" x14ac:dyDescent="0.25">
      <c r="A119" s="170">
        <v>44713</v>
      </c>
      <c r="B119" s="116">
        <v>167.08750000000001</v>
      </c>
      <c r="C119" s="116">
        <v>165.65</v>
      </c>
      <c r="D119" s="116">
        <v>164.46250000000001</v>
      </c>
      <c r="E119" s="116">
        <v>165.38749999999999</v>
      </c>
      <c r="F119" s="116">
        <v>662.6</v>
      </c>
      <c r="G119">
        <v>2437</v>
      </c>
      <c r="H119" s="116"/>
      <c r="I119" s="116"/>
      <c r="L119" s="170">
        <v>44713</v>
      </c>
      <c r="M119" s="116">
        <v>166.26249999999999</v>
      </c>
      <c r="N119" s="116">
        <v>167.25</v>
      </c>
      <c r="O119" s="116">
        <v>164.1875</v>
      </c>
      <c r="P119" s="116">
        <v>165.92500000000001</v>
      </c>
      <c r="Q119" s="116">
        <v>665.05</v>
      </c>
      <c r="R119">
        <v>33556</v>
      </c>
    </row>
    <row r="120" spans="1:18" x14ac:dyDescent="0.25">
      <c r="A120" s="170">
        <v>44714</v>
      </c>
      <c r="B120" s="116">
        <v>171.5</v>
      </c>
      <c r="C120" s="116">
        <v>169</v>
      </c>
      <c r="D120" s="116">
        <v>165.83750000000001</v>
      </c>
      <c r="E120" s="116">
        <v>165.83750000000001</v>
      </c>
      <c r="F120" s="116">
        <v>676</v>
      </c>
      <c r="G120">
        <v>13431</v>
      </c>
      <c r="H120" s="116"/>
      <c r="I120" s="116"/>
      <c r="L120" s="170">
        <v>44714</v>
      </c>
      <c r="M120" s="116">
        <v>169.05</v>
      </c>
      <c r="N120" s="116">
        <v>172.41249999999999</v>
      </c>
      <c r="O120" s="116">
        <v>165.22499999999999</v>
      </c>
      <c r="P120" s="116">
        <v>166.5</v>
      </c>
      <c r="Q120" s="116">
        <v>676.2</v>
      </c>
      <c r="R120">
        <v>328816</v>
      </c>
    </row>
    <row r="121" spans="1:18" x14ac:dyDescent="0.25">
      <c r="A121" s="170">
        <v>44715</v>
      </c>
      <c r="B121" s="116">
        <v>170.13749999999999</v>
      </c>
      <c r="C121" s="116">
        <v>167.42500000000001</v>
      </c>
      <c r="D121" s="116">
        <v>165.7</v>
      </c>
      <c r="E121" s="116">
        <v>168.5</v>
      </c>
      <c r="F121" s="116">
        <v>669.7</v>
      </c>
      <c r="G121">
        <v>1928</v>
      </c>
      <c r="H121" s="116"/>
      <c r="I121" s="116"/>
      <c r="L121" s="170">
        <v>44715</v>
      </c>
      <c r="M121" s="116">
        <v>167.35</v>
      </c>
      <c r="N121" s="116">
        <v>170.5</v>
      </c>
      <c r="O121" s="116">
        <v>165.38749999999999</v>
      </c>
      <c r="P121" s="116">
        <v>170.47499999999999</v>
      </c>
      <c r="Q121" s="116">
        <v>669.4</v>
      </c>
      <c r="R121">
        <v>33250</v>
      </c>
    </row>
    <row r="122" spans="1:18" x14ac:dyDescent="0.25">
      <c r="A122" s="170">
        <v>44718</v>
      </c>
      <c r="B122" s="116">
        <v>167.4375</v>
      </c>
      <c r="C122" s="116">
        <v>164.26249999999999</v>
      </c>
      <c r="D122" s="116">
        <v>162.5</v>
      </c>
      <c r="E122" s="116">
        <v>166.85</v>
      </c>
      <c r="F122" s="116">
        <v>657.05</v>
      </c>
      <c r="G122">
        <v>2356</v>
      </c>
      <c r="H122" s="116"/>
      <c r="I122" s="116"/>
      <c r="L122" s="170">
        <v>44718</v>
      </c>
      <c r="M122" s="116">
        <v>164.38749999999999</v>
      </c>
      <c r="N122" s="116">
        <v>167.47499999999999</v>
      </c>
      <c r="O122" s="116">
        <v>162.63749999999999</v>
      </c>
      <c r="P122" s="116">
        <v>167.35</v>
      </c>
      <c r="Q122" s="116">
        <v>657.55</v>
      </c>
      <c r="R122">
        <v>21061</v>
      </c>
    </row>
    <row r="123" spans="1:18" x14ac:dyDescent="0.25">
      <c r="A123" s="170">
        <v>44719</v>
      </c>
      <c r="B123" s="116">
        <v>165.73750000000001</v>
      </c>
      <c r="C123" s="116">
        <v>164.76249999999999</v>
      </c>
      <c r="D123" s="116">
        <v>163.17500000000001</v>
      </c>
      <c r="E123" s="116">
        <v>163.17500000000001</v>
      </c>
      <c r="F123" s="116">
        <v>659.05</v>
      </c>
      <c r="G123">
        <v>664</v>
      </c>
      <c r="H123" s="116"/>
      <c r="I123" s="116"/>
      <c r="L123" s="170">
        <v>44719</v>
      </c>
      <c r="M123" s="116">
        <v>165.3</v>
      </c>
      <c r="N123" s="116">
        <v>165.76249999999999</v>
      </c>
      <c r="O123" s="116">
        <v>162.67500000000001</v>
      </c>
      <c r="P123" s="116">
        <v>163.25</v>
      </c>
      <c r="Q123" s="116">
        <v>661.2</v>
      </c>
      <c r="R123">
        <v>23207</v>
      </c>
    </row>
    <row r="124" spans="1:18" x14ac:dyDescent="0.25">
      <c r="A124" s="170">
        <v>44720</v>
      </c>
      <c r="B124" s="116">
        <v>166.52500000000001</v>
      </c>
      <c r="C124" s="116">
        <v>164.9</v>
      </c>
      <c r="D124" s="116">
        <v>163.80000000000001</v>
      </c>
      <c r="E124" s="116">
        <v>166.52500000000001</v>
      </c>
      <c r="F124" s="116">
        <v>659.6</v>
      </c>
      <c r="G124">
        <v>1162</v>
      </c>
      <c r="H124" s="116"/>
      <c r="I124" s="116"/>
      <c r="L124" s="170">
        <v>44720</v>
      </c>
      <c r="M124" s="116">
        <v>164.78749999999999</v>
      </c>
      <c r="N124" s="116">
        <v>166.5</v>
      </c>
      <c r="O124" s="116">
        <v>163.75</v>
      </c>
      <c r="P124" s="116">
        <v>166.5</v>
      </c>
      <c r="Q124" s="116">
        <v>659.15</v>
      </c>
      <c r="R124">
        <v>12594</v>
      </c>
    </row>
    <row r="125" spans="1:18" x14ac:dyDescent="0.25">
      <c r="A125" s="170">
        <v>44721</v>
      </c>
      <c r="B125" s="116">
        <v>168.21250000000001</v>
      </c>
      <c r="C125" s="116">
        <v>165.1</v>
      </c>
      <c r="D125" s="116">
        <v>163.28749999999999</v>
      </c>
      <c r="E125" s="116">
        <v>163.53749999999999</v>
      </c>
      <c r="F125" s="116">
        <v>660.4</v>
      </c>
      <c r="G125">
        <v>3129</v>
      </c>
      <c r="H125" s="116"/>
      <c r="I125" s="116"/>
      <c r="L125" s="170">
        <v>44721</v>
      </c>
      <c r="M125" s="116">
        <v>165.32499999999999</v>
      </c>
      <c r="N125" s="116">
        <v>168.61250000000001</v>
      </c>
      <c r="O125" s="116">
        <v>163.42500000000001</v>
      </c>
      <c r="P125" s="116">
        <v>163.75</v>
      </c>
      <c r="Q125" s="116">
        <v>661.3</v>
      </c>
      <c r="R125">
        <v>23604</v>
      </c>
    </row>
    <row r="126" spans="1:18" x14ac:dyDescent="0.25">
      <c r="A126" s="170">
        <v>44722</v>
      </c>
      <c r="B126" s="116">
        <v>167.5</v>
      </c>
      <c r="C126" s="116">
        <v>164.375</v>
      </c>
      <c r="D126" s="116">
        <v>162.5</v>
      </c>
      <c r="E126" s="116">
        <v>167.5</v>
      </c>
      <c r="F126" s="116">
        <v>657.5</v>
      </c>
      <c r="G126">
        <v>549</v>
      </c>
      <c r="H126" s="116"/>
      <c r="I126" s="116"/>
      <c r="L126" s="170">
        <v>44722</v>
      </c>
      <c r="M126" s="116">
        <v>163.875</v>
      </c>
      <c r="N126" s="116">
        <v>165.46250000000001</v>
      </c>
      <c r="O126" s="116">
        <v>163.1</v>
      </c>
      <c r="P126" s="116">
        <v>165.22499999999999</v>
      </c>
      <c r="Q126" s="116">
        <v>655.5</v>
      </c>
      <c r="R126">
        <v>12599</v>
      </c>
    </row>
    <row r="127" spans="1:18" x14ac:dyDescent="0.25">
      <c r="A127" s="170">
        <v>44725</v>
      </c>
      <c r="B127" s="116">
        <v>162.58750000000001</v>
      </c>
      <c r="C127" s="116">
        <v>158.5625</v>
      </c>
      <c r="D127" s="116">
        <v>158.3125</v>
      </c>
      <c r="E127" s="116">
        <v>162.5</v>
      </c>
      <c r="F127" s="116">
        <v>634.25</v>
      </c>
      <c r="G127">
        <v>5720</v>
      </c>
      <c r="H127" s="116"/>
      <c r="I127" s="116"/>
      <c r="L127" s="170">
        <v>44725</v>
      </c>
      <c r="M127" s="116">
        <v>158.57499999999999</v>
      </c>
      <c r="N127" s="116">
        <v>163.16249999999999</v>
      </c>
      <c r="O127" s="116">
        <v>158.25</v>
      </c>
      <c r="P127" s="116">
        <v>162.5</v>
      </c>
      <c r="Q127" s="116">
        <v>634.29999999999995</v>
      </c>
      <c r="R127">
        <v>26462</v>
      </c>
    </row>
    <row r="128" spans="1:18" x14ac:dyDescent="0.25">
      <c r="A128" s="170">
        <v>44726</v>
      </c>
      <c r="B128" s="116">
        <v>160.5</v>
      </c>
      <c r="C128" s="116">
        <v>158.26249999999999</v>
      </c>
      <c r="D128" s="116">
        <v>157.25</v>
      </c>
      <c r="E128" s="116">
        <v>158.82499999999999</v>
      </c>
      <c r="F128" s="116">
        <v>633.04999999999995</v>
      </c>
      <c r="G128">
        <v>2650</v>
      </c>
      <c r="H128" s="116"/>
      <c r="I128" s="116"/>
      <c r="L128" s="170">
        <v>44726</v>
      </c>
      <c r="M128" s="116">
        <v>158.21250000000001</v>
      </c>
      <c r="N128" s="116">
        <v>160.75</v>
      </c>
      <c r="O128" s="116">
        <v>157.25</v>
      </c>
      <c r="P128" s="116">
        <v>157.75</v>
      </c>
      <c r="Q128" s="116">
        <v>632.85</v>
      </c>
      <c r="R128">
        <v>18951</v>
      </c>
    </row>
    <row r="129" spans="1:18" x14ac:dyDescent="0.25">
      <c r="A129" s="170">
        <v>44727</v>
      </c>
      <c r="B129" s="116">
        <v>162</v>
      </c>
      <c r="C129" s="116">
        <v>161.03749999999999</v>
      </c>
      <c r="D129" s="116">
        <v>157.98750000000001</v>
      </c>
      <c r="E129" s="116">
        <v>159.69999999999999</v>
      </c>
      <c r="F129" s="116">
        <v>644.15</v>
      </c>
      <c r="G129">
        <v>1830</v>
      </c>
      <c r="H129" s="116"/>
      <c r="I129" s="116"/>
      <c r="L129" s="170">
        <v>44727</v>
      </c>
      <c r="M129" s="116">
        <v>161.11250000000001</v>
      </c>
      <c r="N129" s="116">
        <v>162.5</v>
      </c>
      <c r="O129" s="116">
        <v>158</v>
      </c>
      <c r="P129" s="116">
        <v>159.75</v>
      </c>
      <c r="Q129" s="116">
        <v>644.45000000000005</v>
      </c>
      <c r="R129">
        <v>31076</v>
      </c>
    </row>
    <row r="130" spans="1:18" x14ac:dyDescent="0.25">
      <c r="A130" s="170">
        <v>44728</v>
      </c>
      <c r="B130" s="116">
        <v>162.15</v>
      </c>
      <c r="C130" s="116">
        <v>156.5</v>
      </c>
      <c r="D130" s="116">
        <v>156.21250000000001</v>
      </c>
      <c r="E130" s="116">
        <v>162.15</v>
      </c>
      <c r="F130" s="116">
        <v>626</v>
      </c>
      <c r="G130">
        <v>2566</v>
      </c>
      <c r="H130" s="116"/>
      <c r="I130" s="116"/>
      <c r="L130" s="170">
        <v>44728</v>
      </c>
      <c r="M130" s="116">
        <v>156.47499999999999</v>
      </c>
      <c r="N130" s="116">
        <v>164.98750000000001</v>
      </c>
      <c r="O130" s="116">
        <v>156.1875</v>
      </c>
      <c r="P130" s="116">
        <v>164.98750000000001</v>
      </c>
      <c r="Q130" s="116">
        <v>625.9</v>
      </c>
      <c r="R130">
        <v>26202</v>
      </c>
    </row>
    <row r="131" spans="1:18" x14ac:dyDescent="0.25">
      <c r="A131" s="170">
        <v>44729</v>
      </c>
      <c r="B131" s="116">
        <v>156.6875</v>
      </c>
      <c r="C131" s="116">
        <v>154.83750000000001</v>
      </c>
      <c r="D131" s="116">
        <v>154.25</v>
      </c>
      <c r="E131" s="116">
        <v>156.66249999999999</v>
      </c>
      <c r="F131" s="116">
        <v>619.35</v>
      </c>
      <c r="G131">
        <v>3042</v>
      </c>
      <c r="H131" s="116"/>
      <c r="I131" s="116"/>
      <c r="L131" s="170">
        <v>44729</v>
      </c>
      <c r="M131" s="116">
        <v>154.91249999999999</v>
      </c>
      <c r="N131" s="116">
        <v>158.15</v>
      </c>
      <c r="O131" s="116">
        <v>154.0625</v>
      </c>
      <c r="P131" s="116">
        <v>156.47499999999999</v>
      </c>
      <c r="Q131" s="116">
        <v>619.65</v>
      </c>
      <c r="R131">
        <v>28955</v>
      </c>
    </row>
    <row r="132" spans="1:18" x14ac:dyDescent="0.25">
      <c r="A132" s="170">
        <v>44732</v>
      </c>
      <c r="B132" s="116">
        <v>156.375</v>
      </c>
      <c r="C132" s="116">
        <v>154.9375</v>
      </c>
      <c r="D132" s="116">
        <v>153.0625</v>
      </c>
      <c r="E132" s="116">
        <v>155.38749999999999</v>
      </c>
      <c r="F132" s="116">
        <v>619.75</v>
      </c>
      <c r="G132">
        <v>3326</v>
      </c>
      <c r="H132" s="116"/>
      <c r="I132" s="116"/>
      <c r="L132" s="170">
        <v>44732</v>
      </c>
      <c r="M132" s="116">
        <v>154.97499999999999</v>
      </c>
      <c r="N132" s="116">
        <v>156.44999999999999</v>
      </c>
      <c r="O132" s="116">
        <v>153</v>
      </c>
      <c r="P132" s="116">
        <v>154.625</v>
      </c>
      <c r="Q132" s="116">
        <v>619.9</v>
      </c>
      <c r="R132">
        <v>46296</v>
      </c>
    </row>
    <row r="133" spans="1:18" x14ac:dyDescent="0.25">
      <c r="A133" s="170">
        <v>44733</v>
      </c>
      <c r="B133" s="116">
        <v>162.67500000000001</v>
      </c>
      <c r="C133" s="116">
        <v>161.97499999999999</v>
      </c>
      <c r="D133" s="116">
        <v>154.94999999999999</v>
      </c>
      <c r="E133" s="116">
        <v>155.63749999999999</v>
      </c>
      <c r="F133" s="116">
        <v>647.9</v>
      </c>
      <c r="G133">
        <v>4065</v>
      </c>
      <c r="H133" s="116"/>
      <c r="I133" s="116"/>
      <c r="L133" s="170">
        <v>44733</v>
      </c>
      <c r="M133" s="116">
        <v>161.875</v>
      </c>
      <c r="N133" s="116">
        <v>162.75</v>
      </c>
      <c r="O133" s="116">
        <v>154.71250000000001</v>
      </c>
      <c r="P133" s="116">
        <v>154.75</v>
      </c>
      <c r="Q133" s="116">
        <v>647.5</v>
      </c>
      <c r="R133">
        <v>84170</v>
      </c>
    </row>
    <row r="134" spans="1:18" x14ac:dyDescent="0.25">
      <c r="A134" s="170">
        <v>44734</v>
      </c>
      <c r="B134" s="116">
        <v>162.3125</v>
      </c>
      <c r="C134" s="116">
        <v>157.32499999999999</v>
      </c>
      <c r="D134" s="116">
        <v>156.75</v>
      </c>
      <c r="E134" s="116">
        <v>162.07499999999999</v>
      </c>
      <c r="F134" s="116">
        <v>629.29999999999995</v>
      </c>
      <c r="G134">
        <v>2540</v>
      </c>
      <c r="H134" s="116"/>
      <c r="I134" s="116"/>
      <c r="L134" s="170">
        <v>44734</v>
      </c>
      <c r="M134" s="116">
        <v>157.21250000000001</v>
      </c>
      <c r="N134" s="116">
        <v>164.03749999999999</v>
      </c>
      <c r="O134" s="116">
        <v>156.75</v>
      </c>
      <c r="P134" s="116">
        <v>161.875</v>
      </c>
      <c r="Q134" s="116">
        <v>628.85</v>
      </c>
      <c r="R134">
        <v>18563</v>
      </c>
    </row>
    <row r="135" spans="1:18" x14ac:dyDescent="0.25">
      <c r="A135" s="170">
        <v>44735</v>
      </c>
      <c r="B135" s="116">
        <v>160.07499999999999</v>
      </c>
      <c r="C135" s="116">
        <v>159.41249999999999</v>
      </c>
      <c r="D135" s="116">
        <v>156.77500000000001</v>
      </c>
      <c r="E135" s="116">
        <v>157.41249999999999</v>
      </c>
      <c r="F135" s="116">
        <v>637.65</v>
      </c>
      <c r="G135">
        <v>2031</v>
      </c>
      <c r="H135" s="116"/>
      <c r="I135" s="116"/>
      <c r="L135" s="170">
        <v>44735</v>
      </c>
      <c r="M135" s="116">
        <v>159.91249999999999</v>
      </c>
      <c r="N135" s="116">
        <v>160.125</v>
      </c>
      <c r="O135" s="116">
        <v>157</v>
      </c>
      <c r="P135" s="116">
        <v>159.46250000000001</v>
      </c>
      <c r="Q135" s="116">
        <v>639.65</v>
      </c>
      <c r="R135">
        <v>10766</v>
      </c>
    </row>
    <row r="136" spans="1:18" x14ac:dyDescent="0.25">
      <c r="A136" s="170">
        <v>44736</v>
      </c>
      <c r="B136" s="116">
        <v>163.5</v>
      </c>
      <c r="C136" s="116">
        <v>160.30000000000001</v>
      </c>
      <c r="D136" s="116">
        <v>159.5</v>
      </c>
      <c r="E136" s="116">
        <v>161.0625</v>
      </c>
      <c r="F136" s="116">
        <v>641.20000000000005</v>
      </c>
      <c r="G136">
        <v>1998</v>
      </c>
      <c r="H136" s="116"/>
      <c r="I136" s="116"/>
      <c r="L136" s="170">
        <v>44736</v>
      </c>
      <c r="M136" s="116">
        <v>160.30000000000001</v>
      </c>
      <c r="N136" s="116">
        <v>163.69999999999999</v>
      </c>
      <c r="O136" s="116">
        <v>159.41249999999999</v>
      </c>
      <c r="P136" s="116">
        <v>160</v>
      </c>
      <c r="Q136" s="116">
        <v>641.20000000000005</v>
      </c>
      <c r="R136">
        <v>32405</v>
      </c>
    </row>
    <row r="137" spans="1:18" x14ac:dyDescent="0.25">
      <c r="A137" s="170">
        <v>44739</v>
      </c>
      <c r="B137" s="116">
        <v>164.33750000000001</v>
      </c>
      <c r="C137" s="116">
        <v>161.82499999999999</v>
      </c>
      <c r="D137" s="116">
        <v>157.5</v>
      </c>
      <c r="E137" s="116">
        <v>157.5</v>
      </c>
      <c r="F137" s="116">
        <v>647.29999999999995</v>
      </c>
      <c r="G137">
        <v>1943</v>
      </c>
      <c r="H137" s="116"/>
      <c r="I137" s="116"/>
      <c r="L137" s="170">
        <v>44739</v>
      </c>
      <c r="M137" s="116">
        <v>162.57499999999999</v>
      </c>
      <c r="N137" s="116">
        <v>164.51249999999999</v>
      </c>
      <c r="O137" s="116">
        <v>159.875</v>
      </c>
      <c r="P137" s="116">
        <v>160.375</v>
      </c>
      <c r="Q137" s="116">
        <v>650.29999999999995</v>
      </c>
      <c r="R137">
        <v>58036</v>
      </c>
    </row>
    <row r="138" spans="1:18" x14ac:dyDescent="0.25">
      <c r="A138" s="170">
        <v>44740</v>
      </c>
      <c r="B138" s="116">
        <v>162.9375</v>
      </c>
      <c r="C138" s="116">
        <v>160.73750000000001</v>
      </c>
      <c r="D138" s="116">
        <v>160.51249999999999</v>
      </c>
      <c r="E138" s="116">
        <v>162.91249999999999</v>
      </c>
      <c r="F138" s="116">
        <v>642.95000000000005</v>
      </c>
      <c r="G138">
        <v>2402</v>
      </c>
      <c r="H138" s="116"/>
      <c r="I138" s="116"/>
      <c r="L138" s="170">
        <v>44740</v>
      </c>
      <c r="M138" s="116">
        <v>161.15</v>
      </c>
      <c r="N138" s="116">
        <v>162.6875</v>
      </c>
      <c r="O138" s="116">
        <v>160.32499999999999</v>
      </c>
      <c r="P138" s="116">
        <v>160.94999999999999</v>
      </c>
      <c r="Q138" s="116">
        <v>644.6</v>
      </c>
      <c r="R138">
        <v>6210</v>
      </c>
    </row>
    <row r="139" spans="1:18" x14ac:dyDescent="0.25">
      <c r="A139" s="170">
        <v>44741</v>
      </c>
      <c r="B139" s="116">
        <v>162.4</v>
      </c>
      <c r="C139" s="116">
        <v>160.58750000000001</v>
      </c>
      <c r="D139" s="116">
        <v>160</v>
      </c>
      <c r="E139" s="116">
        <v>160.27500000000001</v>
      </c>
      <c r="F139" s="116">
        <v>642.35</v>
      </c>
      <c r="G139">
        <v>2101</v>
      </c>
      <c r="H139" s="116"/>
      <c r="I139" s="116"/>
      <c r="L139" s="170">
        <v>44741</v>
      </c>
      <c r="M139" s="116">
        <v>161.25</v>
      </c>
      <c r="N139" s="116">
        <v>162.48750000000001</v>
      </c>
      <c r="O139" s="116">
        <v>160</v>
      </c>
      <c r="P139" s="116">
        <v>160.01249999999999</v>
      </c>
      <c r="Q139" s="116">
        <v>645</v>
      </c>
      <c r="R139">
        <v>10672</v>
      </c>
    </row>
    <row r="140" spans="1:18" x14ac:dyDescent="0.25">
      <c r="A140" s="170">
        <v>44742</v>
      </c>
      <c r="B140" s="116">
        <v>165.23750000000001</v>
      </c>
      <c r="C140" s="116">
        <v>164.1875</v>
      </c>
      <c r="D140" s="116">
        <v>161.5</v>
      </c>
      <c r="E140" s="116">
        <v>161.88749999999999</v>
      </c>
      <c r="F140" s="116">
        <v>656.75</v>
      </c>
      <c r="G140">
        <v>9062</v>
      </c>
      <c r="H140" s="116"/>
      <c r="I140" s="116"/>
      <c r="L140" s="170">
        <v>44742</v>
      </c>
      <c r="M140" s="116">
        <v>164.17500000000001</v>
      </c>
      <c r="N140" s="116">
        <v>165.25</v>
      </c>
      <c r="O140" s="116">
        <v>161.02500000000001</v>
      </c>
      <c r="P140" s="116">
        <v>162.47499999999999</v>
      </c>
      <c r="Q140" s="116">
        <v>656.7</v>
      </c>
      <c r="R140">
        <v>42615</v>
      </c>
    </row>
    <row r="141" spans="1:18" x14ac:dyDescent="0.25">
      <c r="A141" s="170">
        <v>44743</v>
      </c>
      <c r="B141" s="116">
        <v>166.25</v>
      </c>
      <c r="C141" s="116">
        <v>162.85</v>
      </c>
      <c r="D141" s="116">
        <v>159.25</v>
      </c>
      <c r="E141" s="116">
        <v>166.25</v>
      </c>
      <c r="F141" s="116">
        <v>651.4</v>
      </c>
      <c r="G141">
        <v>3652</v>
      </c>
      <c r="H141" s="116"/>
      <c r="I141" s="116"/>
      <c r="L141" s="170">
        <v>44743</v>
      </c>
      <c r="M141" s="116">
        <v>163.17500000000001</v>
      </c>
      <c r="N141" s="116">
        <v>164.75</v>
      </c>
      <c r="O141" s="116">
        <v>162.5</v>
      </c>
      <c r="P141" s="116">
        <v>162.5</v>
      </c>
      <c r="Q141" s="116">
        <v>652.70000000000005</v>
      </c>
      <c r="R141">
        <v>11779</v>
      </c>
    </row>
    <row r="142" spans="1:18" x14ac:dyDescent="0.25">
      <c r="A142" s="170">
        <v>44746</v>
      </c>
      <c r="B142" s="116">
        <v>169.61250000000001</v>
      </c>
      <c r="C142" s="116">
        <v>168.46250000000001</v>
      </c>
      <c r="D142" s="116">
        <v>162.47499999999999</v>
      </c>
      <c r="E142" s="116">
        <v>164.42500000000001</v>
      </c>
      <c r="F142" s="116">
        <v>673.85</v>
      </c>
      <c r="G142">
        <v>4788</v>
      </c>
      <c r="H142" s="116"/>
      <c r="I142" s="116"/>
      <c r="L142" s="170">
        <v>44746</v>
      </c>
      <c r="M142" s="116">
        <v>168.38749999999999</v>
      </c>
      <c r="N142" s="116">
        <v>169.75</v>
      </c>
      <c r="O142" s="116">
        <v>162.52500000000001</v>
      </c>
      <c r="P142" s="116">
        <v>164.5625</v>
      </c>
      <c r="Q142" s="116">
        <v>673.55</v>
      </c>
      <c r="R142">
        <v>39131</v>
      </c>
    </row>
    <row r="143" spans="1:18" x14ac:dyDescent="0.25">
      <c r="A143" s="170">
        <v>44747</v>
      </c>
      <c r="B143" s="116">
        <v>169.375</v>
      </c>
      <c r="C143" s="116">
        <v>164.53749999999999</v>
      </c>
      <c r="D143" s="116">
        <v>163.6875</v>
      </c>
      <c r="E143" s="116">
        <v>168.25</v>
      </c>
      <c r="F143" s="116">
        <v>658.15</v>
      </c>
      <c r="G143">
        <v>8490</v>
      </c>
      <c r="H143" s="116"/>
      <c r="I143" s="116"/>
      <c r="L143" s="170">
        <v>44747</v>
      </c>
      <c r="M143" s="116">
        <v>164.8</v>
      </c>
      <c r="N143" s="116">
        <v>170.125</v>
      </c>
      <c r="O143" s="116">
        <v>163.5</v>
      </c>
      <c r="P143" s="116">
        <v>170.125</v>
      </c>
      <c r="Q143" s="116">
        <v>659.2</v>
      </c>
      <c r="R143">
        <v>93194</v>
      </c>
    </row>
    <row r="144" spans="1:18" x14ac:dyDescent="0.25">
      <c r="A144" s="170">
        <v>44748</v>
      </c>
      <c r="B144" s="116">
        <v>165.48750000000001</v>
      </c>
      <c r="C144" s="116">
        <v>163.4375</v>
      </c>
      <c r="D144" s="116">
        <v>162.75</v>
      </c>
      <c r="E144" s="116">
        <v>164.9</v>
      </c>
      <c r="F144" s="116">
        <v>653.75</v>
      </c>
      <c r="G144">
        <v>864</v>
      </c>
      <c r="H144" s="116"/>
      <c r="I144" s="116"/>
      <c r="L144" s="170">
        <v>44748</v>
      </c>
      <c r="M144" s="116">
        <v>163.75</v>
      </c>
      <c r="N144" s="116">
        <v>166.1</v>
      </c>
      <c r="O144" s="116">
        <v>163.02500000000001</v>
      </c>
      <c r="P144" s="116">
        <v>163.02500000000001</v>
      </c>
      <c r="Q144" s="116">
        <v>655</v>
      </c>
      <c r="R144">
        <v>14476</v>
      </c>
    </row>
    <row r="145" spans="1:18" x14ac:dyDescent="0.25">
      <c r="A145" s="170">
        <v>44749</v>
      </c>
      <c r="B145" s="116">
        <v>165.625</v>
      </c>
      <c r="C145" s="116">
        <v>163.88749999999999</v>
      </c>
      <c r="D145" s="116">
        <v>163.41249999999999</v>
      </c>
      <c r="E145" s="116">
        <v>165.07499999999999</v>
      </c>
      <c r="F145" s="116">
        <v>655.55</v>
      </c>
      <c r="G145">
        <v>2030</v>
      </c>
      <c r="H145" s="116"/>
      <c r="I145" s="116"/>
      <c r="L145" s="170">
        <v>44749</v>
      </c>
      <c r="M145" s="116">
        <v>163.875</v>
      </c>
      <c r="N145" s="116">
        <v>166</v>
      </c>
      <c r="O145" s="116">
        <v>163.52500000000001</v>
      </c>
      <c r="P145" s="116">
        <v>164.25</v>
      </c>
      <c r="Q145" s="116">
        <v>655.5</v>
      </c>
      <c r="R145">
        <v>21087</v>
      </c>
    </row>
    <row r="146" spans="1:18" x14ac:dyDescent="0.25">
      <c r="A146" s="170">
        <v>44750</v>
      </c>
      <c r="B146" s="116">
        <v>164.85</v>
      </c>
      <c r="C146" s="116">
        <v>161.57499999999999</v>
      </c>
      <c r="D146" s="116">
        <v>160.96250000000001</v>
      </c>
      <c r="E146" s="116">
        <v>164.07499999999999</v>
      </c>
      <c r="F146" s="116">
        <v>646.29999999999995</v>
      </c>
      <c r="G146">
        <v>5157</v>
      </c>
      <c r="H146" s="116"/>
      <c r="I146" s="116"/>
      <c r="L146" s="170">
        <v>44750</v>
      </c>
      <c r="M146" s="116">
        <v>162.01249999999999</v>
      </c>
      <c r="N146" s="116">
        <v>165.7</v>
      </c>
      <c r="O146" s="116">
        <v>161.5</v>
      </c>
      <c r="P146" s="116">
        <v>165.7</v>
      </c>
      <c r="Q146" s="116">
        <v>648.04999999999995</v>
      </c>
      <c r="R146">
        <v>50716</v>
      </c>
    </row>
    <row r="147" spans="1:18" x14ac:dyDescent="0.25">
      <c r="A147" s="170">
        <v>44753</v>
      </c>
      <c r="B147" s="116">
        <v>166.63749999999999</v>
      </c>
      <c r="C147" s="116">
        <v>161.46250000000001</v>
      </c>
      <c r="D147" s="116">
        <v>161.125</v>
      </c>
      <c r="E147" s="116">
        <v>163.67500000000001</v>
      </c>
      <c r="F147" s="116">
        <v>645.85</v>
      </c>
      <c r="G147">
        <v>4071</v>
      </c>
      <c r="H147" s="116"/>
      <c r="I147" s="116"/>
      <c r="L147" s="170">
        <v>44753</v>
      </c>
      <c r="M147" s="116">
        <v>161.69999999999999</v>
      </c>
      <c r="N147" s="116">
        <v>166.5</v>
      </c>
      <c r="O147" s="116">
        <v>161</v>
      </c>
      <c r="P147" s="116">
        <v>163.47499999999999</v>
      </c>
      <c r="Q147" s="116">
        <v>646.79999999999995</v>
      </c>
      <c r="R147">
        <v>128818</v>
      </c>
    </row>
    <row r="148" spans="1:18" x14ac:dyDescent="0.25">
      <c r="A148" s="170">
        <v>44754</v>
      </c>
      <c r="B148" s="116">
        <v>166.3125</v>
      </c>
      <c r="C148" s="116">
        <v>163.26249999999999</v>
      </c>
      <c r="D148" s="116">
        <v>162.25</v>
      </c>
      <c r="E148" s="116">
        <v>162.72499999999999</v>
      </c>
      <c r="F148" s="116">
        <v>653.04999999999995</v>
      </c>
      <c r="G148">
        <v>11275</v>
      </c>
      <c r="H148" s="116"/>
      <c r="I148" s="116"/>
      <c r="L148" s="170">
        <v>44754</v>
      </c>
      <c r="M148" s="116">
        <v>163.1</v>
      </c>
      <c r="N148" s="116">
        <v>166.25</v>
      </c>
      <c r="O148" s="116">
        <v>162.22499999999999</v>
      </c>
      <c r="P148" s="116">
        <v>163</v>
      </c>
      <c r="Q148" s="116">
        <v>652.4</v>
      </c>
      <c r="R148">
        <v>181202</v>
      </c>
    </row>
    <row r="149" spans="1:18" x14ac:dyDescent="0.25">
      <c r="A149" s="170">
        <v>44755</v>
      </c>
      <c r="B149" s="116">
        <v>170.61250000000001</v>
      </c>
      <c r="C149" s="116">
        <v>162.65</v>
      </c>
      <c r="D149" s="116">
        <v>162.52500000000001</v>
      </c>
      <c r="E149" s="116">
        <v>166.95</v>
      </c>
      <c r="F149" s="116">
        <v>650.6</v>
      </c>
      <c r="G149">
        <v>29467</v>
      </c>
      <c r="H149" s="116"/>
      <c r="I149" s="116"/>
      <c r="L149" s="170">
        <v>44755</v>
      </c>
      <c r="M149" s="116">
        <v>162.625</v>
      </c>
      <c r="N149" s="116">
        <v>170.98750000000001</v>
      </c>
      <c r="O149" s="116">
        <v>162.5</v>
      </c>
      <c r="P149" s="116">
        <v>168.6</v>
      </c>
      <c r="Q149" s="116">
        <v>650.5</v>
      </c>
      <c r="R149">
        <v>417192</v>
      </c>
    </row>
    <row r="150" spans="1:18" x14ac:dyDescent="0.25">
      <c r="A150" s="170">
        <v>44756</v>
      </c>
      <c r="B150" s="116">
        <v>162.82499999999999</v>
      </c>
      <c r="C150" s="116">
        <v>162.36250000000001</v>
      </c>
      <c r="D150" s="116">
        <v>158.8125</v>
      </c>
      <c r="E150" s="116">
        <v>162.5</v>
      </c>
      <c r="F150" s="116">
        <v>649.45000000000005</v>
      </c>
      <c r="G150">
        <v>10840</v>
      </c>
      <c r="H150" s="116"/>
      <c r="I150" s="116"/>
      <c r="L150" s="170">
        <v>44756</v>
      </c>
      <c r="M150" s="116">
        <v>162.36250000000001</v>
      </c>
      <c r="N150" s="116">
        <v>164.42500000000001</v>
      </c>
      <c r="O150" s="116">
        <v>158.8125</v>
      </c>
      <c r="P150" s="116">
        <v>164.42500000000001</v>
      </c>
      <c r="Q150" s="116">
        <v>649.45000000000005</v>
      </c>
      <c r="R150">
        <v>110410</v>
      </c>
    </row>
    <row r="151" spans="1:18" x14ac:dyDescent="0.25">
      <c r="A151" s="170">
        <v>44757</v>
      </c>
      <c r="B151" s="116">
        <v>165.375</v>
      </c>
      <c r="C151" s="116">
        <v>159.53749999999999</v>
      </c>
      <c r="D151" s="116">
        <v>159.25</v>
      </c>
      <c r="E151" s="116">
        <v>165.375</v>
      </c>
      <c r="F151" s="116">
        <v>638.15</v>
      </c>
      <c r="G151">
        <v>3093</v>
      </c>
      <c r="H151" s="116"/>
      <c r="I151" s="116"/>
      <c r="L151" s="170">
        <v>44757</v>
      </c>
      <c r="M151" s="116">
        <v>159.57499999999999</v>
      </c>
      <c r="N151" s="116">
        <v>163.91249999999999</v>
      </c>
      <c r="O151" s="116">
        <v>159.125</v>
      </c>
      <c r="P151" s="116">
        <v>163.25</v>
      </c>
      <c r="Q151" s="116">
        <v>638.29999999999995</v>
      </c>
      <c r="R151">
        <v>33234</v>
      </c>
    </row>
    <row r="152" spans="1:18" x14ac:dyDescent="0.25">
      <c r="A152" s="170">
        <v>44760</v>
      </c>
      <c r="B152" s="116">
        <v>161</v>
      </c>
      <c r="C152" s="116">
        <v>158.94999999999999</v>
      </c>
      <c r="D152" s="116">
        <v>158.6875</v>
      </c>
      <c r="E152" s="116">
        <v>160.71250000000001</v>
      </c>
      <c r="F152" s="116">
        <v>635.79999999999995</v>
      </c>
      <c r="G152">
        <v>3341</v>
      </c>
      <c r="H152" s="116"/>
      <c r="I152" s="116"/>
      <c r="L152" s="170">
        <v>44760</v>
      </c>
      <c r="M152" s="116">
        <v>158.94999999999999</v>
      </c>
      <c r="N152" s="116">
        <v>161.6</v>
      </c>
      <c r="O152" s="116">
        <v>158.75</v>
      </c>
      <c r="P152" s="116">
        <v>160</v>
      </c>
      <c r="Q152" s="116">
        <v>635.79999999999995</v>
      </c>
      <c r="R152">
        <v>29509</v>
      </c>
    </row>
    <row r="153" spans="1:18" x14ac:dyDescent="0.25">
      <c r="A153" s="170">
        <v>44761</v>
      </c>
      <c r="B153" s="116">
        <v>160.875</v>
      </c>
      <c r="C153" s="116">
        <v>157.4</v>
      </c>
      <c r="D153" s="116">
        <v>156.9375</v>
      </c>
      <c r="E153" s="116">
        <v>160.875</v>
      </c>
      <c r="F153" s="116">
        <v>629.6</v>
      </c>
      <c r="G153">
        <v>5083</v>
      </c>
      <c r="H153" s="116"/>
      <c r="I153" s="116"/>
      <c r="L153" s="170">
        <v>44761</v>
      </c>
      <c r="M153" s="116">
        <v>157.55000000000001</v>
      </c>
      <c r="N153" s="116">
        <v>160.25</v>
      </c>
      <c r="O153" s="116">
        <v>156.88749999999999</v>
      </c>
      <c r="P153" s="116">
        <v>159.73750000000001</v>
      </c>
      <c r="Q153" s="116">
        <v>630.20000000000005</v>
      </c>
      <c r="R153">
        <v>53701</v>
      </c>
    </row>
    <row r="154" spans="1:18" x14ac:dyDescent="0.25">
      <c r="A154" s="170">
        <v>44762</v>
      </c>
      <c r="B154" s="116">
        <v>158.75</v>
      </c>
      <c r="C154" s="116">
        <v>157.26249999999999</v>
      </c>
      <c r="D154" s="116">
        <v>157</v>
      </c>
      <c r="E154" s="116">
        <v>158.3125</v>
      </c>
      <c r="F154" s="116">
        <v>629.04999999999995</v>
      </c>
      <c r="G154">
        <v>2774</v>
      </c>
      <c r="H154" s="116"/>
      <c r="I154" s="116"/>
      <c r="L154" s="170">
        <v>44762</v>
      </c>
      <c r="M154" s="116">
        <v>157.36250000000001</v>
      </c>
      <c r="N154" s="116">
        <v>159</v>
      </c>
      <c r="O154" s="116">
        <v>156.8125</v>
      </c>
      <c r="P154" s="116">
        <v>158.75</v>
      </c>
      <c r="Q154" s="116">
        <v>629.45000000000005</v>
      </c>
      <c r="R154">
        <v>96761</v>
      </c>
    </row>
    <row r="155" spans="1:18" x14ac:dyDescent="0.25">
      <c r="A155" s="170">
        <v>44763</v>
      </c>
      <c r="B155" s="116">
        <v>158.75</v>
      </c>
      <c r="C155" s="116">
        <v>158.51249999999999</v>
      </c>
      <c r="D155" s="116">
        <v>157.3125</v>
      </c>
      <c r="E155" s="116">
        <v>158.5</v>
      </c>
      <c r="F155" s="116">
        <v>634.04999999999995</v>
      </c>
      <c r="G155">
        <v>2345</v>
      </c>
      <c r="H155" s="116"/>
      <c r="I155" s="116"/>
      <c r="L155" s="170">
        <v>44763</v>
      </c>
      <c r="M155" s="116">
        <v>158.41249999999999</v>
      </c>
      <c r="N155" s="116">
        <v>159.25</v>
      </c>
      <c r="O155" s="116">
        <v>157.25</v>
      </c>
      <c r="P155" s="116">
        <v>157.5</v>
      </c>
      <c r="Q155" s="116">
        <v>633.65</v>
      </c>
      <c r="R155">
        <v>50324</v>
      </c>
    </row>
    <row r="156" spans="1:18" x14ac:dyDescent="0.25">
      <c r="A156" s="170">
        <v>44764</v>
      </c>
      <c r="B156" s="116">
        <v>162.375</v>
      </c>
      <c r="C156" s="116">
        <v>158.6875</v>
      </c>
      <c r="D156" s="116">
        <v>156.75</v>
      </c>
      <c r="E156" s="116">
        <v>162.375</v>
      </c>
      <c r="F156" s="116">
        <v>634.75</v>
      </c>
      <c r="G156">
        <v>4811</v>
      </c>
      <c r="H156" s="116"/>
      <c r="I156" s="116"/>
      <c r="L156" s="170">
        <v>44764</v>
      </c>
      <c r="M156" s="116">
        <v>158.8125</v>
      </c>
      <c r="N156" s="116">
        <v>160</v>
      </c>
      <c r="O156" s="116">
        <v>156.77500000000001</v>
      </c>
      <c r="P156" s="116">
        <v>159.13749999999999</v>
      </c>
      <c r="Q156" s="116">
        <v>635.25</v>
      </c>
      <c r="R156">
        <v>83213</v>
      </c>
    </row>
    <row r="157" spans="1:18" x14ac:dyDescent="0.25">
      <c r="A157" s="170">
        <v>44767</v>
      </c>
      <c r="B157" s="116">
        <v>159.26249999999999</v>
      </c>
      <c r="C157" s="116">
        <v>157.22499999999999</v>
      </c>
      <c r="D157" s="116">
        <v>157.0625</v>
      </c>
      <c r="E157" s="116">
        <v>159.17500000000001</v>
      </c>
      <c r="F157" s="116">
        <v>628.9</v>
      </c>
      <c r="G157">
        <v>2202</v>
      </c>
      <c r="H157" s="116"/>
      <c r="I157" s="116"/>
      <c r="L157" s="170">
        <v>44767</v>
      </c>
      <c r="M157" s="116">
        <v>157.3125</v>
      </c>
      <c r="N157" s="116">
        <v>159.66249999999999</v>
      </c>
      <c r="O157" s="116">
        <v>157</v>
      </c>
      <c r="P157" s="116">
        <v>159.66249999999999</v>
      </c>
      <c r="Q157" s="116">
        <v>629.25</v>
      </c>
      <c r="R157">
        <v>32474</v>
      </c>
    </row>
    <row r="158" spans="1:18" x14ac:dyDescent="0.25">
      <c r="A158" s="170">
        <v>44768</v>
      </c>
      <c r="B158" s="116">
        <v>159.67500000000001</v>
      </c>
      <c r="C158" s="116">
        <v>158.625</v>
      </c>
      <c r="D158" s="116">
        <v>157.25</v>
      </c>
      <c r="E158" s="116">
        <v>157.51249999999999</v>
      </c>
      <c r="F158" s="116">
        <v>634.5</v>
      </c>
      <c r="G158">
        <v>1019</v>
      </c>
      <c r="H158" s="116"/>
      <c r="I158" s="116"/>
      <c r="L158" s="170">
        <v>44768</v>
      </c>
      <c r="M158" s="116">
        <v>158.69999999999999</v>
      </c>
      <c r="N158" s="116">
        <v>159.88749999999999</v>
      </c>
      <c r="O158" s="116">
        <v>157.21250000000001</v>
      </c>
      <c r="P158" s="116">
        <v>158.25</v>
      </c>
      <c r="Q158" s="116">
        <v>634.79999999999995</v>
      </c>
      <c r="R158">
        <v>37471</v>
      </c>
    </row>
    <row r="159" spans="1:18" x14ac:dyDescent="0.25">
      <c r="A159" s="170">
        <v>44769</v>
      </c>
      <c r="B159" s="116">
        <v>160.5</v>
      </c>
      <c r="C159" s="116">
        <v>160.375</v>
      </c>
      <c r="D159" s="116">
        <v>157.5</v>
      </c>
      <c r="E159" s="116">
        <v>158.5625</v>
      </c>
      <c r="F159" s="116">
        <v>641.5</v>
      </c>
      <c r="G159">
        <v>3131</v>
      </c>
      <c r="H159" s="116"/>
      <c r="I159" s="116"/>
      <c r="L159" s="170">
        <v>44769</v>
      </c>
      <c r="M159" s="116">
        <v>160.26249999999999</v>
      </c>
      <c r="N159" s="116">
        <v>160.72499999999999</v>
      </c>
      <c r="O159" s="116">
        <v>157.5</v>
      </c>
      <c r="P159" s="116">
        <v>158.69999999999999</v>
      </c>
      <c r="Q159" s="116">
        <v>641.04999999999995</v>
      </c>
      <c r="R159">
        <v>32996</v>
      </c>
    </row>
    <row r="160" spans="1:18" x14ac:dyDescent="0.25">
      <c r="A160" s="170">
        <v>44770</v>
      </c>
      <c r="B160" s="116">
        <v>162.21250000000001</v>
      </c>
      <c r="C160" s="116">
        <v>160.02500000000001</v>
      </c>
      <c r="D160" s="116">
        <v>159.875</v>
      </c>
      <c r="E160" s="116">
        <v>160.17500000000001</v>
      </c>
      <c r="F160" s="116">
        <v>640.1</v>
      </c>
      <c r="G160">
        <v>3016</v>
      </c>
      <c r="H160" s="116"/>
      <c r="I160" s="116"/>
      <c r="L160" s="170">
        <v>44770</v>
      </c>
      <c r="M160" s="116">
        <v>160.16249999999999</v>
      </c>
      <c r="N160" s="116">
        <v>162.23750000000001</v>
      </c>
      <c r="O160" s="116">
        <v>159.875</v>
      </c>
      <c r="P160" s="116">
        <v>161</v>
      </c>
      <c r="Q160" s="116">
        <v>640.65</v>
      </c>
      <c r="R160">
        <v>51889</v>
      </c>
    </row>
    <row r="161" spans="1:18" x14ac:dyDescent="0.25">
      <c r="A161" s="170">
        <v>44771</v>
      </c>
      <c r="B161" s="116">
        <v>162.375</v>
      </c>
      <c r="C161" s="116">
        <v>159.97499999999999</v>
      </c>
      <c r="D161" s="116">
        <v>159</v>
      </c>
      <c r="E161" s="116">
        <v>162.375</v>
      </c>
      <c r="F161" s="116">
        <v>639.9</v>
      </c>
      <c r="G161">
        <v>3740</v>
      </c>
      <c r="H161" s="116"/>
      <c r="I161" s="116"/>
      <c r="L161" s="170">
        <v>44771</v>
      </c>
      <c r="M161" s="116">
        <v>160.26249999999999</v>
      </c>
      <c r="N161" s="116">
        <v>162.46250000000001</v>
      </c>
      <c r="O161" s="116">
        <v>158.75</v>
      </c>
      <c r="P161" s="116">
        <v>162</v>
      </c>
      <c r="Q161" s="116">
        <v>641.04999999999995</v>
      </c>
      <c r="R161">
        <v>35164</v>
      </c>
    </row>
    <row r="162" spans="1:18" x14ac:dyDescent="0.25">
      <c r="A162" s="170">
        <v>44774</v>
      </c>
      <c r="B162" s="116">
        <v>165.9</v>
      </c>
      <c r="C162" s="116">
        <v>163.86250000000001</v>
      </c>
      <c r="D162" s="116">
        <v>159.9375</v>
      </c>
      <c r="E162" s="116">
        <v>161.26249999999999</v>
      </c>
      <c r="F162" s="116">
        <v>655.45</v>
      </c>
      <c r="G162">
        <v>24446</v>
      </c>
      <c r="H162" s="116"/>
      <c r="I162" s="116"/>
      <c r="L162" s="170">
        <v>44774</v>
      </c>
      <c r="M162" s="116">
        <v>163.47499999999999</v>
      </c>
      <c r="N162" s="116">
        <v>166</v>
      </c>
      <c r="O162" s="116">
        <v>159.875</v>
      </c>
      <c r="P162" s="116">
        <v>161.25</v>
      </c>
      <c r="Q162" s="116">
        <v>653.9</v>
      </c>
      <c r="R162">
        <v>228215</v>
      </c>
    </row>
    <row r="163" spans="1:18" x14ac:dyDescent="0.25">
      <c r="A163" s="170">
        <v>44775</v>
      </c>
      <c r="B163" s="116">
        <v>167.27500000000001</v>
      </c>
      <c r="C163" s="116">
        <v>164.33750000000001</v>
      </c>
      <c r="D163" s="116">
        <v>163.3125</v>
      </c>
      <c r="E163" s="116">
        <v>163.5</v>
      </c>
      <c r="F163" s="116">
        <v>657.35</v>
      </c>
      <c r="G163">
        <v>4777</v>
      </c>
      <c r="H163" s="116"/>
      <c r="I163" s="116"/>
      <c r="L163" s="170">
        <v>44775</v>
      </c>
      <c r="M163" s="116">
        <v>164.4375</v>
      </c>
      <c r="N163" s="116">
        <v>167.22499999999999</v>
      </c>
      <c r="O163" s="116">
        <v>163.28749999999999</v>
      </c>
      <c r="P163" s="116">
        <v>163.47499999999999</v>
      </c>
      <c r="Q163" s="116">
        <v>657.75</v>
      </c>
      <c r="R163">
        <v>47116</v>
      </c>
    </row>
    <row r="164" spans="1:18" x14ac:dyDescent="0.25">
      <c r="A164" s="170">
        <v>44776</v>
      </c>
      <c r="B164" s="116">
        <v>165.86250000000001</v>
      </c>
      <c r="C164" s="116">
        <v>164</v>
      </c>
      <c r="D164" s="116">
        <v>163.75</v>
      </c>
      <c r="E164" s="116">
        <v>165</v>
      </c>
      <c r="F164" s="116">
        <v>656</v>
      </c>
      <c r="G164">
        <v>5062</v>
      </c>
      <c r="H164" s="116"/>
      <c r="I164" s="116"/>
      <c r="L164" s="170">
        <v>44776</v>
      </c>
      <c r="M164" s="116">
        <v>164.375</v>
      </c>
      <c r="N164" s="116">
        <v>166</v>
      </c>
      <c r="O164" s="116">
        <v>163.75</v>
      </c>
      <c r="P164" s="116">
        <v>165.375</v>
      </c>
      <c r="Q164" s="116">
        <v>657.5</v>
      </c>
      <c r="R164">
        <v>21156</v>
      </c>
    </row>
    <row r="165" spans="1:18" x14ac:dyDescent="0.25">
      <c r="A165" s="170">
        <v>44777</v>
      </c>
      <c r="B165" s="116">
        <v>167.25</v>
      </c>
      <c r="C165" s="116">
        <v>165.96250000000001</v>
      </c>
      <c r="D165" s="116">
        <v>163.625</v>
      </c>
      <c r="E165" s="116">
        <v>165.78749999999999</v>
      </c>
      <c r="F165" s="116">
        <v>663.85</v>
      </c>
      <c r="G165">
        <v>3296</v>
      </c>
      <c r="H165" s="116"/>
      <c r="I165" s="116"/>
      <c r="L165" s="170">
        <v>44777</v>
      </c>
      <c r="M165" s="116">
        <v>165.9375</v>
      </c>
      <c r="N165" s="116">
        <v>167.125</v>
      </c>
      <c r="O165" s="116">
        <v>163.375</v>
      </c>
      <c r="P165" s="116">
        <v>166.1875</v>
      </c>
      <c r="Q165" s="116">
        <v>663.75</v>
      </c>
      <c r="R165">
        <v>113263</v>
      </c>
    </row>
    <row r="166" spans="1:18" x14ac:dyDescent="0.25">
      <c r="A166" s="170">
        <v>44778</v>
      </c>
      <c r="B166" s="116">
        <v>168.17500000000001</v>
      </c>
      <c r="C166" s="116">
        <v>166.27500000000001</v>
      </c>
      <c r="D166" s="116">
        <v>165.5</v>
      </c>
      <c r="E166" s="116">
        <v>167</v>
      </c>
      <c r="F166" s="116">
        <v>665.1</v>
      </c>
      <c r="G166">
        <v>3909</v>
      </c>
      <c r="H166" s="116"/>
      <c r="I166" s="116"/>
      <c r="L166" s="170">
        <v>44778</v>
      </c>
      <c r="M166" s="116">
        <v>166.42500000000001</v>
      </c>
      <c r="N166" s="116">
        <v>168.75</v>
      </c>
      <c r="O166" s="116">
        <v>165.5</v>
      </c>
      <c r="P166" s="116">
        <v>167</v>
      </c>
      <c r="Q166" s="116">
        <v>665.7</v>
      </c>
      <c r="R166">
        <v>25582</v>
      </c>
    </row>
    <row r="167" spans="1:18" x14ac:dyDescent="0.25">
      <c r="A167" s="170">
        <v>44781</v>
      </c>
      <c r="B167" s="116">
        <v>173</v>
      </c>
      <c r="C167" s="116">
        <v>168.03749999999999</v>
      </c>
      <c r="D167" s="116">
        <v>166.25</v>
      </c>
      <c r="E167" s="116">
        <v>167.23750000000001</v>
      </c>
      <c r="F167" s="116">
        <v>672.15</v>
      </c>
      <c r="G167">
        <v>4324</v>
      </c>
      <c r="H167" s="116"/>
      <c r="I167" s="116"/>
      <c r="L167" s="170">
        <v>44781</v>
      </c>
      <c r="M167" s="116">
        <v>168.08750000000001</v>
      </c>
      <c r="N167" s="116">
        <v>173.23750000000001</v>
      </c>
      <c r="O167" s="116">
        <v>166.1875</v>
      </c>
      <c r="P167" s="116">
        <v>167.48750000000001</v>
      </c>
      <c r="Q167" s="116">
        <v>672.35</v>
      </c>
      <c r="R167">
        <v>105601</v>
      </c>
    </row>
    <row r="168" spans="1:18" x14ac:dyDescent="0.25">
      <c r="A168" s="170">
        <v>44783</v>
      </c>
      <c r="B168" s="116">
        <v>170.78749999999999</v>
      </c>
      <c r="C168" s="116">
        <v>169.4</v>
      </c>
      <c r="D168" s="116">
        <v>168</v>
      </c>
      <c r="E168" s="116">
        <v>168</v>
      </c>
      <c r="F168" s="116">
        <v>677.6</v>
      </c>
      <c r="G168">
        <v>1299</v>
      </c>
      <c r="H168" s="116"/>
      <c r="I168" s="116"/>
      <c r="L168" s="170">
        <v>44783</v>
      </c>
      <c r="M168" s="116">
        <v>169.63749999999999</v>
      </c>
      <c r="N168" s="116">
        <v>170.97499999999999</v>
      </c>
      <c r="O168" s="116">
        <v>168</v>
      </c>
      <c r="P168" s="116">
        <v>168.72499999999999</v>
      </c>
      <c r="Q168" s="116">
        <v>678.55</v>
      </c>
      <c r="R168">
        <v>35413</v>
      </c>
    </row>
    <row r="169" spans="1:18" x14ac:dyDescent="0.25">
      <c r="A169" s="170">
        <v>44784</v>
      </c>
      <c r="B169" s="116">
        <v>173.32499999999999</v>
      </c>
      <c r="C169" s="116">
        <v>167.36250000000001</v>
      </c>
      <c r="D169" s="116">
        <v>166.4375</v>
      </c>
      <c r="E169" s="116">
        <v>171.25</v>
      </c>
      <c r="F169" s="116">
        <v>669.45</v>
      </c>
      <c r="G169">
        <v>6502</v>
      </c>
      <c r="H169" s="116"/>
      <c r="I169" s="116"/>
      <c r="L169" s="170">
        <v>44784</v>
      </c>
      <c r="M169" s="116">
        <v>167.33750000000001</v>
      </c>
      <c r="N169" s="116">
        <v>173.46250000000001</v>
      </c>
      <c r="O169" s="116">
        <v>166.25</v>
      </c>
      <c r="P169" s="116">
        <v>171.25</v>
      </c>
      <c r="Q169" s="116">
        <v>669.35</v>
      </c>
      <c r="R169">
        <v>83367</v>
      </c>
    </row>
    <row r="170" spans="1:18" x14ac:dyDescent="0.25">
      <c r="A170" s="170">
        <v>44785</v>
      </c>
      <c r="B170" s="116">
        <v>168.86250000000001</v>
      </c>
      <c r="C170" s="116">
        <v>167.8</v>
      </c>
      <c r="D170" s="116">
        <v>167.25</v>
      </c>
      <c r="E170" s="116">
        <v>168.5</v>
      </c>
      <c r="F170" s="116">
        <v>671.2</v>
      </c>
      <c r="G170">
        <v>2174</v>
      </c>
      <c r="H170" s="116"/>
      <c r="I170" s="116"/>
      <c r="L170" s="170">
        <v>44785</v>
      </c>
      <c r="M170" s="116">
        <v>167.91249999999999</v>
      </c>
      <c r="N170" s="116">
        <v>168.98750000000001</v>
      </c>
      <c r="O170" s="116">
        <v>167.125</v>
      </c>
      <c r="P170" s="116">
        <v>168.25</v>
      </c>
      <c r="Q170" s="116">
        <v>671.65</v>
      </c>
      <c r="R170">
        <v>19463</v>
      </c>
    </row>
    <row r="171" spans="1:18" x14ac:dyDescent="0.25">
      <c r="A171" s="170">
        <v>44789</v>
      </c>
      <c r="B171" s="116">
        <v>170.08750000000001</v>
      </c>
      <c r="C171" s="116">
        <v>168.25</v>
      </c>
      <c r="D171" s="116">
        <v>167.83750000000001</v>
      </c>
      <c r="E171" s="116">
        <v>168.6875</v>
      </c>
      <c r="F171" s="116">
        <v>673</v>
      </c>
      <c r="G171">
        <v>631</v>
      </c>
      <c r="H171" s="116"/>
      <c r="I171" s="116"/>
      <c r="L171" s="170">
        <v>44789</v>
      </c>
      <c r="M171" s="116">
        <v>168.45</v>
      </c>
      <c r="N171" s="116">
        <v>170.48750000000001</v>
      </c>
      <c r="O171" s="116">
        <v>167.75</v>
      </c>
      <c r="P171" s="116">
        <v>168.9375</v>
      </c>
      <c r="Q171" s="116">
        <v>673.8</v>
      </c>
      <c r="R171">
        <v>19040</v>
      </c>
    </row>
    <row r="172" spans="1:18" x14ac:dyDescent="0.25">
      <c r="A172" s="170">
        <v>44790</v>
      </c>
      <c r="B172" s="116">
        <v>169.5625</v>
      </c>
      <c r="C172" s="116">
        <v>167.36250000000001</v>
      </c>
      <c r="D172" s="116">
        <v>166.875</v>
      </c>
      <c r="E172" s="116">
        <v>169.03749999999999</v>
      </c>
      <c r="F172" s="116">
        <v>669.45</v>
      </c>
      <c r="G172">
        <v>632</v>
      </c>
      <c r="H172" s="116"/>
      <c r="I172" s="116"/>
      <c r="L172" s="170">
        <v>44790</v>
      </c>
      <c r="M172" s="116">
        <v>167.52500000000001</v>
      </c>
      <c r="N172" s="116">
        <v>169.5</v>
      </c>
      <c r="O172" s="116">
        <v>167.125</v>
      </c>
      <c r="P172" s="116">
        <v>169.23750000000001</v>
      </c>
      <c r="Q172" s="116">
        <v>670.1</v>
      </c>
      <c r="R172">
        <v>17213</v>
      </c>
    </row>
    <row r="173" spans="1:18" x14ac:dyDescent="0.25">
      <c r="A173" s="170">
        <v>44791</v>
      </c>
      <c r="B173" s="116">
        <v>168.125</v>
      </c>
      <c r="C173" s="116">
        <v>166.25</v>
      </c>
      <c r="D173" s="116">
        <v>166.1875</v>
      </c>
      <c r="E173" s="116">
        <v>167.85</v>
      </c>
      <c r="F173" s="116">
        <v>665</v>
      </c>
      <c r="G173">
        <v>785</v>
      </c>
      <c r="H173" s="116"/>
      <c r="I173" s="116"/>
      <c r="L173" s="170">
        <v>44791</v>
      </c>
      <c r="M173" s="116">
        <v>166.63749999999999</v>
      </c>
      <c r="N173" s="116">
        <v>168.23750000000001</v>
      </c>
      <c r="O173" s="116">
        <v>166.5</v>
      </c>
      <c r="P173" s="116">
        <v>167.5</v>
      </c>
      <c r="Q173" s="116">
        <v>666.55</v>
      </c>
      <c r="R173">
        <v>10904</v>
      </c>
    </row>
    <row r="174" spans="1:18" x14ac:dyDescent="0.25">
      <c r="A174" s="170">
        <v>44792</v>
      </c>
      <c r="B174" s="116">
        <v>167.53749999999999</v>
      </c>
      <c r="C174" s="116">
        <v>164.91249999999999</v>
      </c>
      <c r="D174" s="116">
        <v>164.52500000000001</v>
      </c>
      <c r="E174" s="116">
        <v>167.32499999999999</v>
      </c>
      <c r="F174" s="116">
        <v>659.65</v>
      </c>
      <c r="G174">
        <v>974</v>
      </c>
      <c r="H174" s="116"/>
      <c r="I174" s="116"/>
      <c r="L174" s="170">
        <v>44792</v>
      </c>
      <c r="M174" s="116">
        <v>165.01249999999999</v>
      </c>
      <c r="N174" s="116">
        <v>167.95</v>
      </c>
      <c r="O174" s="116">
        <v>164.75</v>
      </c>
      <c r="P174" s="116">
        <v>167.35</v>
      </c>
      <c r="Q174" s="116">
        <v>660.05</v>
      </c>
      <c r="R174">
        <v>16739</v>
      </c>
    </row>
    <row r="175" spans="1:18" x14ac:dyDescent="0.25">
      <c r="A175" s="170">
        <v>44795</v>
      </c>
      <c r="B175" s="116">
        <v>164.72499999999999</v>
      </c>
      <c r="C175" s="116">
        <v>162.21250000000001</v>
      </c>
      <c r="D175" s="116">
        <v>161.25</v>
      </c>
      <c r="E175" s="116">
        <v>163.98750000000001</v>
      </c>
      <c r="F175" s="116">
        <v>648.85</v>
      </c>
      <c r="G175">
        <v>588</v>
      </c>
      <c r="H175" s="116"/>
      <c r="I175" s="116"/>
      <c r="L175" s="170">
        <v>44795</v>
      </c>
      <c r="M175" s="116">
        <v>162.52500000000001</v>
      </c>
      <c r="N175" s="116">
        <v>164.53749999999999</v>
      </c>
      <c r="O175" s="116">
        <v>162.5</v>
      </c>
      <c r="P175" s="116">
        <v>164.02500000000001</v>
      </c>
      <c r="Q175" s="116">
        <v>650.1</v>
      </c>
      <c r="R175">
        <v>10277</v>
      </c>
    </row>
    <row r="176" spans="1:18" x14ac:dyDescent="0.25">
      <c r="A176" s="170">
        <v>44796</v>
      </c>
      <c r="B176" s="116">
        <v>163.11250000000001</v>
      </c>
      <c r="C176" s="116">
        <v>160.80000000000001</v>
      </c>
      <c r="D176" s="116">
        <v>160.07499999999999</v>
      </c>
      <c r="E176" s="116">
        <v>163.11250000000001</v>
      </c>
      <c r="F176" s="116">
        <v>643.20000000000005</v>
      </c>
      <c r="G176">
        <v>2698</v>
      </c>
      <c r="H176" s="116"/>
      <c r="I176" s="116"/>
      <c r="L176" s="170">
        <v>44796</v>
      </c>
      <c r="M176" s="116">
        <v>160.85</v>
      </c>
      <c r="N176" s="116">
        <v>163.28749999999999</v>
      </c>
      <c r="O176" s="116">
        <v>160</v>
      </c>
      <c r="P176" s="116">
        <v>162.375</v>
      </c>
      <c r="Q176" s="116">
        <v>643.4</v>
      </c>
      <c r="R176">
        <v>48317</v>
      </c>
    </row>
    <row r="177" spans="1:18" x14ac:dyDescent="0.25">
      <c r="A177" s="170">
        <v>44797</v>
      </c>
      <c r="B177" s="116">
        <v>165.05</v>
      </c>
      <c r="C177" s="116">
        <v>162.78749999999999</v>
      </c>
      <c r="D177" s="116">
        <v>159.97499999999999</v>
      </c>
      <c r="E177" s="116">
        <v>162.30000000000001</v>
      </c>
      <c r="F177" s="116">
        <v>651.15</v>
      </c>
      <c r="G177">
        <v>2838</v>
      </c>
      <c r="H177" s="116"/>
      <c r="I177" s="116"/>
      <c r="L177" s="170">
        <v>44797</v>
      </c>
      <c r="M177" s="116">
        <v>162.875</v>
      </c>
      <c r="N177" s="116">
        <v>165</v>
      </c>
      <c r="O177" s="116">
        <v>159.875</v>
      </c>
      <c r="P177" s="116">
        <v>160.85</v>
      </c>
      <c r="Q177" s="116">
        <v>651.5</v>
      </c>
      <c r="R177">
        <v>69879</v>
      </c>
    </row>
    <row r="178" spans="1:18" x14ac:dyDescent="0.25">
      <c r="A178" s="170">
        <v>44798</v>
      </c>
      <c r="B178" s="116">
        <v>164.125</v>
      </c>
      <c r="C178" s="116">
        <v>162.58750000000001</v>
      </c>
      <c r="D178" s="116">
        <v>162.5</v>
      </c>
      <c r="E178" s="116">
        <v>163.6</v>
      </c>
      <c r="F178" s="116">
        <v>650.35</v>
      </c>
      <c r="G178">
        <v>699</v>
      </c>
      <c r="H178" s="116"/>
      <c r="I178" s="116"/>
      <c r="L178" s="170">
        <v>44798</v>
      </c>
      <c r="M178" s="116">
        <v>162.22499999999999</v>
      </c>
      <c r="N178" s="116">
        <v>164.1875</v>
      </c>
      <c r="O178" s="116">
        <v>162.0625</v>
      </c>
      <c r="P178" s="116">
        <v>163.73750000000001</v>
      </c>
      <c r="Q178" s="116">
        <v>648.9</v>
      </c>
      <c r="R178">
        <v>30290</v>
      </c>
    </row>
    <row r="179" spans="1:18" x14ac:dyDescent="0.25">
      <c r="A179" s="170">
        <v>44799</v>
      </c>
      <c r="B179" s="116">
        <v>163.67500000000001</v>
      </c>
      <c r="C179" s="116">
        <v>162.6</v>
      </c>
      <c r="D179" s="116">
        <v>160.9</v>
      </c>
      <c r="E179" s="116">
        <v>163.5</v>
      </c>
      <c r="F179" s="116">
        <v>650.4</v>
      </c>
      <c r="G179">
        <v>1507</v>
      </c>
      <c r="H179" s="116"/>
      <c r="I179" s="116"/>
      <c r="L179" s="170">
        <v>44799</v>
      </c>
      <c r="M179" s="116">
        <v>162.5</v>
      </c>
      <c r="N179" s="116">
        <v>163.61250000000001</v>
      </c>
      <c r="O179" s="116">
        <v>160.85</v>
      </c>
      <c r="P179" s="116">
        <v>163</v>
      </c>
      <c r="Q179" s="116">
        <v>650</v>
      </c>
      <c r="R179">
        <v>28886</v>
      </c>
    </row>
    <row r="180" spans="1:18" x14ac:dyDescent="0.25">
      <c r="A180" s="170">
        <v>44802</v>
      </c>
      <c r="B180" s="116">
        <v>163.61250000000001</v>
      </c>
      <c r="C180" s="116">
        <v>162.28749999999999</v>
      </c>
      <c r="D180" s="116">
        <v>161.46250000000001</v>
      </c>
      <c r="E180" s="116">
        <v>162.25</v>
      </c>
      <c r="F180" s="116">
        <v>649.15</v>
      </c>
      <c r="G180">
        <v>1470</v>
      </c>
      <c r="H180" s="116"/>
      <c r="I180" s="116"/>
      <c r="L180" s="170">
        <v>44802</v>
      </c>
      <c r="M180" s="116">
        <v>162.6875</v>
      </c>
      <c r="N180" s="116">
        <v>163.6</v>
      </c>
      <c r="O180" s="116">
        <v>161.6875</v>
      </c>
      <c r="P180" s="116">
        <v>162.25</v>
      </c>
      <c r="Q180" s="116">
        <v>650.75</v>
      </c>
      <c r="R180">
        <v>11698</v>
      </c>
    </row>
    <row r="181" spans="1:18" x14ac:dyDescent="0.25">
      <c r="A181" s="170">
        <v>44803</v>
      </c>
      <c r="B181" s="116">
        <v>164.91249999999999</v>
      </c>
      <c r="C181" s="116">
        <v>164.55</v>
      </c>
      <c r="D181" s="116">
        <v>162.4375</v>
      </c>
      <c r="E181" s="116">
        <v>162.5</v>
      </c>
      <c r="F181" s="116">
        <v>658.2</v>
      </c>
      <c r="G181">
        <v>979</v>
      </c>
      <c r="H181" s="116"/>
      <c r="I181" s="116"/>
      <c r="L181" s="170">
        <v>44803</v>
      </c>
      <c r="M181" s="116">
        <v>164.125</v>
      </c>
      <c r="N181" s="116">
        <v>165</v>
      </c>
      <c r="O181" s="116">
        <v>162.5</v>
      </c>
      <c r="P181" s="116">
        <v>163.5</v>
      </c>
      <c r="Q181" s="116">
        <v>656.5</v>
      </c>
      <c r="R181">
        <v>13775</v>
      </c>
    </row>
    <row r="182" spans="1:18" x14ac:dyDescent="0.25">
      <c r="A182" s="170">
        <v>44805</v>
      </c>
      <c r="B182" s="116">
        <v>164.33750000000001</v>
      </c>
      <c r="C182" s="116">
        <v>162.1</v>
      </c>
      <c r="D182" s="116">
        <v>161.875</v>
      </c>
      <c r="E182" s="116">
        <v>163.98750000000001</v>
      </c>
      <c r="F182" s="116">
        <v>648.4</v>
      </c>
      <c r="G182">
        <v>5555</v>
      </c>
      <c r="H182" s="116"/>
      <c r="I182" s="116"/>
      <c r="L182" s="170">
        <v>44805</v>
      </c>
      <c r="M182" s="116">
        <v>162.27500000000001</v>
      </c>
      <c r="N182" s="116">
        <v>164.73750000000001</v>
      </c>
      <c r="O182" s="116">
        <v>161.82499999999999</v>
      </c>
      <c r="P182" s="116">
        <v>164</v>
      </c>
      <c r="Q182" s="116">
        <v>649.1</v>
      </c>
      <c r="R182">
        <v>20043</v>
      </c>
    </row>
    <row r="183" spans="1:18" x14ac:dyDescent="0.25">
      <c r="A183" s="170">
        <v>44806</v>
      </c>
      <c r="B183" s="116">
        <v>163.33750000000001</v>
      </c>
      <c r="C183" s="116">
        <v>162.125</v>
      </c>
      <c r="D183" s="116">
        <v>161.69999999999999</v>
      </c>
      <c r="E183" s="116">
        <v>162.5</v>
      </c>
      <c r="F183" s="116">
        <v>648.5</v>
      </c>
      <c r="G183">
        <v>653</v>
      </c>
      <c r="H183" s="116"/>
      <c r="I183" s="116"/>
      <c r="L183" s="170">
        <v>44806</v>
      </c>
      <c r="M183" s="116">
        <v>162.42500000000001</v>
      </c>
      <c r="N183" s="116">
        <v>163.47499999999999</v>
      </c>
      <c r="O183" s="116">
        <v>161.25</v>
      </c>
      <c r="P183" s="116">
        <v>162.5</v>
      </c>
      <c r="Q183" s="116">
        <v>649.70000000000005</v>
      </c>
      <c r="R183">
        <v>18530</v>
      </c>
    </row>
    <row r="184" spans="1:18" x14ac:dyDescent="0.25">
      <c r="A184" s="170">
        <v>44809</v>
      </c>
      <c r="B184" s="116">
        <v>164.66249999999999</v>
      </c>
      <c r="C184" s="116">
        <v>164.125</v>
      </c>
      <c r="D184" s="116">
        <v>162.42500000000001</v>
      </c>
      <c r="E184" s="116">
        <v>162.5</v>
      </c>
      <c r="F184" s="116">
        <v>656.5</v>
      </c>
      <c r="G184">
        <v>1544</v>
      </c>
      <c r="H184" s="116"/>
      <c r="I184" s="116"/>
      <c r="L184" s="170">
        <v>44809</v>
      </c>
      <c r="M184" s="116">
        <v>164.46250000000001</v>
      </c>
      <c r="N184" s="116">
        <v>165.38749999999999</v>
      </c>
      <c r="O184" s="116">
        <v>162.5</v>
      </c>
      <c r="P184" s="116">
        <v>163.75</v>
      </c>
      <c r="Q184" s="116">
        <v>657.85</v>
      </c>
      <c r="R184">
        <v>17784</v>
      </c>
    </row>
    <row r="185" spans="1:18" x14ac:dyDescent="0.25">
      <c r="A185" s="170">
        <v>44810</v>
      </c>
      <c r="B185" s="116">
        <v>164.77500000000001</v>
      </c>
      <c r="C185" s="116">
        <v>163.52500000000001</v>
      </c>
      <c r="D185" s="116">
        <v>162.98750000000001</v>
      </c>
      <c r="E185" s="116">
        <v>163.76249999999999</v>
      </c>
      <c r="F185" s="116">
        <v>654.1</v>
      </c>
      <c r="G185">
        <v>880</v>
      </c>
      <c r="H185" s="116"/>
      <c r="I185" s="116"/>
      <c r="L185" s="170">
        <v>44810</v>
      </c>
      <c r="M185" s="116">
        <v>163.72499999999999</v>
      </c>
      <c r="N185" s="116">
        <v>166.21250000000001</v>
      </c>
      <c r="O185" s="116">
        <v>163.47499999999999</v>
      </c>
      <c r="P185" s="116">
        <v>164.75</v>
      </c>
      <c r="Q185" s="116">
        <v>654.9</v>
      </c>
      <c r="R185">
        <v>13734</v>
      </c>
    </row>
    <row r="186" spans="1:18" x14ac:dyDescent="0.25">
      <c r="A186" s="170">
        <v>44811</v>
      </c>
      <c r="B186" s="116">
        <v>164.88749999999999</v>
      </c>
      <c r="C186" s="116">
        <v>163.07499999999999</v>
      </c>
      <c r="D186" s="116">
        <v>162.625</v>
      </c>
      <c r="E186" s="116">
        <v>163.76249999999999</v>
      </c>
      <c r="F186" s="116">
        <v>652.29999999999995</v>
      </c>
      <c r="G186">
        <v>650</v>
      </c>
      <c r="H186" s="116"/>
      <c r="I186" s="116"/>
      <c r="L186" s="170">
        <v>44811</v>
      </c>
      <c r="M186" s="116">
        <v>163.125</v>
      </c>
      <c r="N186" s="116">
        <v>164.72499999999999</v>
      </c>
      <c r="O186" s="116">
        <v>162.52500000000001</v>
      </c>
      <c r="P186" s="116">
        <v>163.5</v>
      </c>
      <c r="Q186" s="116">
        <v>652.5</v>
      </c>
      <c r="R186">
        <v>12257</v>
      </c>
    </row>
    <row r="187" spans="1:18" x14ac:dyDescent="0.25">
      <c r="A187" s="170">
        <v>44812</v>
      </c>
      <c r="B187" s="116">
        <v>164.55</v>
      </c>
      <c r="C187" s="116">
        <v>164.01249999999999</v>
      </c>
      <c r="D187" s="116">
        <v>163.26249999999999</v>
      </c>
      <c r="E187" s="116">
        <v>164.23750000000001</v>
      </c>
      <c r="F187" s="116">
        <v>656.05</v>
      </c>
      <c r="G187">
        <v>1023</v>
      </c>
      <c r="H187" s="116"/>
      <c r="I187" s="116"/>
      <c r="L187" s="170">
        <v>44812</v>
      </c>
      <c r="M187" s="116">
        <v>164.03749999999999</v>
      </c>
      <c r="N187" s="116">
        <v>164.85</v>
      </c>
      <c r="O187" s="116">
        <v>163.11250000000001</v>
      </c>
      <c r="P187" s="116">
        <v>163.11250000000001</v>
      </c>
      <c r="Q187" s="116">
        <v>656.15</v>
      </c>
      <c r="R187">
        <v>14461</v>
      </c>
    </row>
    <row r="188" spans="1:18" x14ac:dyDescent="0.25">
      <c r="A188" s="170">
        <v>44813</v>
      </c>
      <c r="B188" s="116">
        <v>167.26249999999999</v>
      </c>
      <c r="C188" s="116">
        <v>162.55000000000001</v>
      </c>
      <c r="D188" s="116">
        <v>160.76249999999999</v>
      </c>
      <c r="E188" s="116">
        <v>165.66249999999999</v>
      </c>
      <c r="F188" s="116">
        <v>650.20000000000005</v>
      </c>
      <c r="G188">
        <v>1896</v>
      </c>
      <c r="H188" s="116"/>
      <c r="I188" s="116"/>
      <c r="L188" s="170">
        <v>44813</v>
      </c>
      <c r="M188" s="116">
        <v>162.0625</v>
      </c>
      <c r="N188" s="116">
        <v>167.22499999999999</v>
      </c>
      <c r="O188" s="116">
        <v>161</v>
      </c>
      <c r="P188" s="116">
        <v>164.98750000000001</v>
      </c>
      <c r="Q188" s="116">
        <v>648.25</v>
      </c>
      <c r="R188">
        <v>115067</v>
      </c>
    </row>
    <row r="189" spans="1:18" x14ac:dyDescent="0.25">
      <c r="A189" s="170">
        <v>44816</v>
      </c>
      <c r="B189" s="116">
        <v>165.36250000000001</v>
      </c>
      <c r="C189" s="116">
        <v>163.07499999999999</v>
      </c>
      <c r="D189" s="116">
        <v>162.4</v>
      </c>
      <c r="E189" s="116">
        <v>162.55000000000001</v>
      </c>
      <c r="F189" s="116">
        <v>652.29999999999995</v>
      </c>
      <c r="G189">
        <v>2670</v>
      </c>
      <c r="H189" s="116"/>
      <c r="I189" s="116"/>
      <c r="L189" s="170">
        <v>44816</v>
      </c>
      <c r="M189" s="116">
        <v>164.67500000000001</v>
      </c>
      <c r="N189" s="116">
        <v>165.35</v>
      </c>
      <c r="O189" s="116">
        <v>162.73750000000001</v>
      </c>
      <c r="P189" s="116">
        <v>163.66249999999999</v>
      </c>
      <c r="Q189" s="116">
        <v>658.7</v>
      </c>
      <c r="R189">
        <v>18985</v>
      </c>
    </row>
    <row r="190" spans="1:18" x14ac:dyDescent="0.25">
      <c r="A190" s="170">
        <v>44817</v>
      </c>
      <c r="B190" s="116">
        <v>168.5</v>
      </c>
      <c r="C190" s="116">
        <v>166.125</v>
      </c>
      <c r="D190" s="116">
        <v>164.63749999999999</v>
      </c>
      <c r="E190" s="116">
        <v>166.25</v>
      </c>
      <c r="F190" s="116">
        <v>664.5</v>
      </c>
      <c r="G190">
        <v>1472</v>
      </c>
      <c r="H190" s="116"/>
      <c r="I190" s="116"/>
      <c r="L190" s="170">
        <v>44817</v>
      </c>
      <c r="M190" s="116">
        <v>165.8125</v>
      </c>
      <c r="N190" s="116">
        <v>168.45</v>
      </c>
      <c r="O190" s="116">
        <v>164.25</v>
      </c>
      <c r="P190" s="116">
        <v>164.25</v>
      </c>
      <c r="Q190" s="116">
        <v>663.25</v>
      </c>
      <c r="R190">
        <v>62870</v>
      </c>
    </row>
    <row r="191" spans="1:18" x14ac:dyDescent="0.25">
      <c r="A191" s="170">
        <v>44818</v>
      </c>
      <c r="B191" s="116">
        <v>166.4</v>
      </c>
      <c r="C191" s="116">
        <v>165.71250000000001</v>
      </c>
      <c r="D191" s="116">
        <v>162.92500000000001</v>
      </c>
      <c r="E191" s="116">
        <v>165.5</v>
      </c>
      <c r="F191" s="116">
        <v>662.85</v>
      </c>
      <c r="G191">
        <v>3526</v>
      </c>
      <c r="H191" s="116"/>
      <c r="I191" s="116"/>
      <c r="L191" s="170">
        <v>44818</v>
      </c>
      <c r="M191" s="116">
        <v>165.83750000000001</v>
      </c>
      <c r="N191" s="116">
        <v>166.42500000000001</v>
      </c>
      <c r="O191" s="116">
        <v>165.28749999999999</v>
      </c>
      <c r="P191" s="116">
        <v>165.5</v>
      </c>
      <c r="Q191" s="116">
        <v>663.35</v>
      </c>
      <c r="R191">
        <v>27760</v>
      </c>
    </row>
    <row r="192" spans="1:18" x14ac:dyDescent="0.25">
      <c r="A192" s="170">
        <v>44819</v>
      </c>
      <c r="B192" s="116">
        <v>167</v>
      </c>
      <c r="C192" s="116">
        <v>165.4</v>
      </c>
      <c r="D192" s="116">
        <v>165.3125</v>
      </c>
      <c r="E192" s="116">
        <v>165.71250000000001</v>
      </c>
      <c r="F192" s="116">
        <v>661.6</v>
      </c>
      <c r="G192">
        <v>451</v>
      </c>
      <c r="H192" s="116"/>
      <c r="I192" s="116"/>
      <c r="L192" s="170">
        <v>44819</v>
      </c>
      <c r="M192" s="116">
        <v>165.33750000000001</v>
      </c>
      <c r="N192" s="116">
        <v>167.4</v>
      </c>
      <c r="O192" s="116">
        <v>165.25</v>
      </c>
      <c r="P192" s="116">
        <v>165.85</v>
      </c>
      <c r="Q192" s="116">
        <v>661.35</v>
      </c>
      <c r="R192">
        <v>21590</v>
      </c>
    </row>
    <row r="193" spans="1:18" x14ac:dyDescent="0.25">
      <c r="A193" s="170">
        <v>44820</v>
      </c>
      <c r="B193" s="116">
        <v>166.71250000000001</v>
      </c>
      <c r="C193" s="116">
        <v>165.86250000000001</v>
      </c>
      <c r="D193" s="116">
        <v>164.36250000000001</v>
      </c>
      <c r="E193" s="116">
        <v>165.4375</v>
      </c>
      <c r="F193" s="116">
        <v>663.45</v>
      </c>
      <c r="G193">
        <v>2026</v>
      </c>
      <c r="H193" s="116"/>
      <c r="I193" s="116"/>
      <c r="L193" s="170">
        <v>44820</v>
      </c>
      <c r="M193" s="116">
        <v>166.15</v>
      </c>
      <c r="N193" s="116">
        <v>166.875</v>
      </c>
      <c r="O193" s="116">
        <v>164.52500000000001</v>
      </c>
      <c r="P193" s="116">
        <v>165.98750000000001</v>
      </c>
      <c r="Q193" s="116">
        <v>664.6</v>
      </c>
      <c r="R193">
        <v>35321</v>
      </c>
    </row>
    <row r="194" spans="1:18" x14ac:dyDescent="0.25">
      <c r="A194" s="170">
        <v>44823</v>
      </c>
      <c r="B194" s="116">
        <v>166.4375</v>
      </c>
      <c r="C194" s="116">
        <v>165.13749999999999</v>
      </c>
      <c r="D194" s="116">
        <v>164.27500000000001</v>
      </c>
      <c r="E194" s="116">
        <v>165.5</v>
      </c>
      <c r="F194" s="116">
        <v>660.55</v>
      </c>
      <c r="G194">
        <v>1788</v>
      </c>
      <c r="H194" s="116"/>
      <c r="I194" s="116"/>
      <c r="L194" s="170">
        <v>44823</v>
      </c>
      <c r="M194" s="116">
        <v>165.33750000000001</v>
      </c>
      <c r="N194" s="116">
        <v>166.5</v>
      </c>
      <c r="O194" s="116">
        <v>164.375</v>
      </c>
      <c r="P194" s="116">
        <v>165.5</v>
      </c>
      <c r="Q194" s="116">
        <v>661.35</v>
      </c>
      <c r="R194">
        <v>22163</v>
      </c>
    </row>
    <row r="195" spans="1:18" x14ac:dyDescent="0.25">
      <c r="A195" s="170">
        <v>44824</v>
      </c>
      <c r="B195" s="116">
        <v>168.5</v>
      </c>
      <c r="C195" s="116">
        <v>164.6</v>
      </c>
      <c r="D195" s="116">
        <v>163.85</v>
      </c>
      <c r="E195" s="116">
        <v>165.88749999999999</v>
      </c>
      <c r="F195" s="116">
        <v>658.4</v>
      </c>
      <c r="G195">
        <v>1038</v>
      </c>
      <c r="H195" s="116"/>
      <c r="I195" s="116"/>
      <c r="L195" s="170">
        <v>44824</v>
      </c>
      <c r="M195" s="116">
        <v>164.875</v>
      </c>
      <c r="N195" s="116">
        <v>168.75</v>
      </c>
      <c r="O195" s="116">
        <v>164.51249999999999</v>
      </c>
      <c r="P195" s="116">
        <v>165.5</v>
      </c>
      <c r="Q195" s="116">
        <v>659.5</v>
      </c>
      <c r="R195">
        <v>48725</v>
      </c>
    </row>
    <row r="196" spans="1:18" x14ac:dyDescent="0.25">
      <c r="A196" s="170">
        <v>44825</v>
      </c>
      <c r="B196" s="116">
        <v>165.625</v>
      </c>
      <c r="C196" s="116">
        <v>165.21250000000001</v>
      </c>
      <c r="D196" s="116">
        <v>164.75</v>
      </c>
      <c r="E196" s="116">
        <v>165.5</v>
      </c>
      <c r="F196" s="116">
        <v>660.85</v>
      </c>
      <c r="G196">
        <v>2933</v>
      </c>
      <c r="H196" s="116"/>
      <c r="I196" s="116"/>
      <c r="L196" s="170">
        <v>44825</v>
      </c>
      <c r="M196" s="116">
        <v>165.125</v>
      </c>
      <c r="N196" s="116">
        <v>165.8</v>
      </c>
      <c r="O196" s="116">
        <v>164.77500000000001</v>
      </c>
      <c r="P196" s="116">
        <v>165</v>
      </c>
      <c r="Q196" s="116">
        <v>660.5</v>
      </c>
      <c r="R196">
        <v>17465</v>
      </c>
    </row>
    <row r="197" spans="1:18" x14ac:dyDescent="0.25">
      <c r="A197" s="170">
        <v>44826</v>
      </c>
      <c r="B197" s="116">
        <v>167.375</v>
      </c>
      <c r="C197" s="116">
        <v>165.42500000000001</v>
      </c>
      <c r="D197" s="116">
        <v>164.875</v>
      </c>
      <c r="E197" s="116">
        <v>165.05</v>
      </c>
      <c r="F197" s="116">
        <v>661.7</v>
      </c>
      <c r="G197">
        <v>1852</v>
      </c>
      <c r="H197" s="116"/>
      <c r="I197" s="116"/>
      <c r="L197" s="170">
        <v>44826</v>
      </c>
      <c r="M197" s="116">
        <v>165.52500000000001</v>
      </c>
      <c r="N197" s="116">
        <v>167.5</v>
      </c>
      <c r="O197" s="116">
        <v>164.75</v>
      </c>
      <c r="P197" s="116">
        <v>165.45</v>
      </c>
      <c r="Q197" s="116">
        <v>662.1</v>
      </c>
      <c r="R197">
        <v>47478</v>
      </c>
    </row>
    <row r="198" spans="1:18" x14ac:dyDescent="0.25">
      <c r="A198" s="170">
        <v>44827</v>
      </c>
      <c r="B198" s="116">
        <v>166.48750000000001</v>
      </c>
      <c r="C198" s="116">
        <v>165.03749999999999</v>
      </c>
      <c r="D198" s="116">
        <v>164.05</v>
      </c>
      <c r="E198" s="116">
        <v>165.46250000000001</v>
      </c>
      <c r="F198" s="116">
        <v>660.15</v>
      </c>
      <c r="G198">
        <v>1781</v>
      </c>
      <c r="H198" s="116"/>
      <c r="I198" s="116"/>
      <c r="L198" s="170">
        <v>44827</v>
      </c>
      <c r="M198" s="116">
        <v>165.47499999999999</v>
      </c>
      <c r="N198" s="116">
        <v>166.5625</v>
      </c>
      <c r="O198" s="116">
        <v>163.6875</v>
      </c>
      <c r="P198" s="116">
        <v>165.52500000000001</v>
      </c>
      <c r="Q198" s="116">
        <v>661.9</v>
      </c>
      <c r="R198">
        <v>232983</v>
      </c>
    </row>
    <row r="199" spans="1:18" x14ac:dyDescent="0.25">
      <c r="A199" s="170">
        <v>44830</v>
      </c>
      <c r="B199" s="116">
        <v>165.26249999999999</v>
      </c>
      <c r="C199" s="116">
        <v>164.42500000000001</v>
      </c>
      <c r="D199" s="116">
        <v>164.26249999999999</v>
      </c>
      <c r="E199" s="116">
        <v>165.26249999999999</v>
      </c>
      <c r="F199" s="116">
        <v>657.7</v>
      </c>
      <c r="G199">
        <v>1518</v>
      </c>
      <c r="H199" s="116"/>
      <c r="I199" s="116"/>
      <c r="L199" s="170">
        <v>44830</v>
      </c>
      <c r="M199" s="116">
        <v>164.46250000000001</v>
      </c>
      <c r="N199" s="116">
        <v>166.21250000000001</v>
      </c>
      <c r="O199" s="116">
        <v>164.25</v>
      </c>
      <c r="P199" s="116">
        <v>165.5</v>
      </c>
      <c r="Q199" s="116">
        <v>657.85</v>
      </c>
      <c r="R199">
        <v>22005</v>
      </c>
    </row>
    <row r="200" spans="1:18" x14ac:dyDescent="0.25">
      <c r="A200" s="170">
        <v>44831</v>
      </c>
      <c r="B200" s="116">
        <v>166.25</v>
      </c>
      <c r="C200" s="116">
        <v>165.625</v>
      </c>
      <c r="D200" s="116">
        <v>164.75</v>
      </c>
      <c r="E200" s="116">
        <v>165.21250000000001</v>
      </c>
      <c r="F200" s="116">
        <v>662.5</v>
      </c>
      <c r="G200">
        <v>1480</v>
      </c>
      <c r="H200" s="116"/>
      <c r="I200" s="116"/>
      <c r="L200" s="170">
        <v>44831</v>
      </c>
      <c r="M200" s="116">
        <v>165.45</v>
      </c>
      <c r="N200" s="116">
        <v>166.21250000000001</v>
      </c>
      <c r="O200" s="116">
        <v>164.95</v>
      </c>
      <c r="P200" s="116">
        <v>165.25</v>
      </c>
      <c r="Q200" s="116">
        <v>661.8</v>
      </c>
      <c r="R200">
        <v>18701</v>
      </c>
    </row>
    <row r="201" spans="1:18" x14ac:dyDescent="0.25">
      <c r="A201" s="170">
        <v>44832</v>
      </c>
      <c r="B201" s="116">
        <v>166.11250000000001</v>
      </c>
      <c r="C201" s="116">
        <v>165.07499999999999</v>
      </c>
      <c r="D201" s="116">
        <v>164.36250000000001</v>
      </c>
      <c r="E201" s="116">
        <v>165.3</v>
      </c>
      <c r="F201" s="116">
        <v>660.3</v>
      </c>
      <c r="G201">
        <v>4279</v>
      </c>
      <c r="H201" s="116"/>
      <c r="I201" s="116"/>
      <c r="L201" s="170">
        <v>44832</v>
      </c>
      <c r="M201" s="116">
        <v>165.08750000000001</v>
      </c>
      <c r="N201" s="116">
        <v>166.25</v>
      </c>
      <c r="O201" s="116">
        <v>163.875</v>
      </c>
      <c r="P201" s="116">
        <v>165.75</v>
      </c>
      <c r="Q201" s="116">
        <v>660.35</v>
      </c>
      <c r="R201">
        <v>110999</v>
      </c>
    </row>
    <row r="202" spans="1:18" x14ac:dyDescent="0.25">
      <c r="A202" s="170">
        <v>44833</v>
      </c>
      <c r="B202" s="116">
        <v>167.5</v>
      </c>
      <c r="C202" s="116">
        <v>165.0625</v>
      </c>
      <c r="D202" s="116">
        <v>164.75</v>
      </c>
      <c r="E202" s="116">
        <v>165.76249999999999</v>
      </c>
      <c r="F202" s="116">
        <v>660.25</v>
      </c>
      <c r="G202">
        <v>908</v>
      </c>
      <c r="H202" s="116"/>
      <c r="I202" s="116"/>
      <c r="L202" s="170">
        <v>44833</v>
      </c>
      <c r="M202" s="116">
        <v>165.02500000000001</v>
      </c>
      <c r="N202" s="116">
        <v>168</v>
      </c>
      <c r="O202" s="116">
        <v>164.625</v>
      </c>
      <c r="P202" s="116">
        <v>165.97499999999999</v>
      </c>
      <c r="Q202" s="116">
        <v>660.1</v>
      </c>
      <c r="R202">
        <v>47964</v>
      </c>
    </row>
    <row r="203" spans="1:18" x14ac:dyDescent="0.25">
      <c r="A203" s="170">
        <v>44834</v>
      </c>
      <c r="B203" s="116">
        <v>167.8125</v>
      </c>
      <c r="C203" s="116">
        <v>165.01249999999999</v>
      </c>
      <c r="D203" s="116">
        <v>163.48750000000001</v>
      </c>
      <c r="E203" s="116">
        <v>165.17500000000001</v>
      </c>
      <c r="F203" s="116">
        <v>660.05</v>
      </c>
      <c r="G203">
        <v>9081</v>
      </c>
      <c r="H203" s="116"/>
      <c r="I203" s="116"/>
      <c r="L203" s="170">
        <v>44834</v>
      </c>
      <c r="M203" s="116">
        <v>164</v>
      </c>
      <c r="N203" s="116">
        <v>167.22499999999999</v>
      </c>
      <c r="O203" s="116">
        <v>163.73750000000001</v>
      </c>
      <c r="P203" s="116">
        <v>165</v>
      </c>
      <c r="Q203" s="116">
        <v>656</v>
      </c>
      <c r="R203">
        <v>205972</v>
      </c>
    </row>
    <row r="204" spans="1:18" x14ac:dyDescent="0.25">
      <c r="A204" s="170">
        <v>44837</v>
      </c>
      <c r="B204" s="116">
        <v>166.08750000000001</v>
      </c>
      <c r="C204" s="116">
        <v>164.625</v>
      </c>
      <c r="D204" s="116">
        <v>164.16249999999999</v>
      </c>
      <c r="E204" s="116">
        <v>165.53749999999999</v>
      </c>
      <c r="F204" s="116">
        <v>658.5</v>
      </c>
      <c r="G204">
        <v>2684</v>
      </c>
      <c r="H204" s="116"/>
      <c r="I204" s="116"/>
      <c r="L204" s="170">
        <v>44837</v>
      </c>
      <c r="M204" s="116">
        <v>164.78749999999999</v>
      </c>
      <c r="N204" s="116">
        <v>166.1875</v>
      </c>
      <c r="O204" s="116">
        <v>164.5</v>
      </c>
      <c r="P204" s="116">
        <v>165.63749999999999</v>
      </c>
      <c r="Q204" s="116">
        <v>659.15</v>
      </c>
      <c r="R204">
        <v>17428</v>
      </c>
    </row>
    <row r="205" spans="1:18" x14ac:dyDescent="0.25">
      <c r="A205" s="170">
        <v>44838</v>
      </c>
      <c r="B205" s="116">
        <v>167.07499999999999</v>
      </c>
      <c r="C205" s="116">
        <v>166.3</v>
      </c>
      <c r="D205" s="116">
        <v>165</v>
      </c>
      <c r="E205" s="116">
        <v>165</v>
      </c>
      <c r="F205" s="116">
        <v>665.2</v>
      </c>
      <c r="G205">
        <v>2838</v>
      </c>
      <c r="H205" s="116"/>
      <c r="I205" s="116"/>
      <c r="L205" s="170">
        <v>44838</v>
      </c>
      <c r="M205" s="116">
        <v>166.2</v>
      </c>
      <c r="N205" s="116">
        <v>166.5</v>
      </c>
      <c r="O205" s="116">
        <v>165.01249999999999</v>
      </c>
      <c r="P205" s="116">
        <v>165.01249999999999</v>
      </c>
      <c r="Q205" s="116">
        <v>664.8</v>
      </c>
      <c r="R205">
        <v>32197</v>
      </c>
    </row>
    <row r="206" spans="1:18" x14ac:dyDescent="0.25">
      <c r="A206" s="170">
        <v>44840</v>
      </c>
      <c r="B206" s="116">
        <v>167.48750000000001</v>
      </c>
      <c r="C206" s="116">
        <v>166.13749999999999</v>
      </c>
      <c r="D206" s="116">
        <v>165.75</v>
      </c>
      <c r="E206" s="116">
        <v>167.2</v>
      </c>
      <c r="F206" s="116">
        <v>664.55</v>
      </c>
      <c r="G206">
        <v>4125</v>
      </c>
      <c r="H206" s="116"/>
      <c r="I206" s="116"/>
      <c r="L206" s="170">
        <v>44840</v>
      </c>
      <c r="M206" s="116">
        <v>166.27500000000001</v>
      </c>
      <c r="N206" s="116">
        <v>168.25</v>
      </c>
      <c r="O206" s="116">
        <v>165.77500000000001</v>
      </c>
      <c r="P206" s="116">
        <v>168.25</v>
      </c>
      <c r="Q206" s="116">
        <v>665.1</v>
      </c>
      <c r="R206">
        <v>27336</v>
      </c>
    </row>
    <row r="207" spans="1:18" x14ac:dyDescent="0.25">
      <c r="A207" s="170">
        <v>44841</v>
      </c>
      <c r="B207" s="116">
        <v>166.92500000000001</v>
      </c>
      <c r="C207" s="116">
        <v>165.65</v>
      </c>
      <c r="D207" s="116">
        <v>165.22499999999999</v>
      </c>
      <c r="E207" s="116">
        <v>165.63749999999999</v>
      </c>
      <c r="F207" s="116">
        <v>662.6</v>
      </c>
      <c r="G207">
        <v>1981</v>
      </c>
      <c r="H207" s="116"/>
      <c r="I207" s="116"/>
      <c r="L207" s="170">
        <v>44841</v>
      </c>
      <c r="M207" s="116">
        <v>166.16249999999999</v>
      </c>
      <c r="N207" s="116">
        <v>167.45</v>
      </c>
      <c r="O207" s="116">
        <v>165.22499999999999</v>
      </c>
      <c r="P207" s="116">
        <v>166.75</v>
      </c>
      <c r="Q207" s="116">
        <v>664.65</v>
      </c>
      <c r="R207">
        <v>31306</v>
      </c>
    </row>
    <row r="208" spans="1:18" x14ac:dyDescent="0.25">
      <c r="A208" s="170">
        <v>44844</v>
      </c>
      <c r="B208" s="116">
        <v>165.92500000000001</v>
      </c>
      <c r="C208" s="116">
        <v>164.92500000000001</v>
      </c>
      <c r="D208" s="116">
        <v>163.5</v>
      </c>
      <c r="E208" s="116">
        <v>165.51249999999999</v>
      </c>
      <c r="F208" s="116">
        <v>659.7</v>
      </c>
      <c r="G208">
        <v>1701</v>
      </c>
      <c r="H208" s="116"/>
      <c r="I208" s="116"/>
      <c r="L208" s="170">
        <v>44844</v>
      </c>
      <c r="M208" s="116">
        <v>165.1875</v>
      </c>
      <c r="N208" s="116">
        <v>166.125</v>
      </c>
      <c r="O208" s="116">
        <v>163.5</v>
      </c>
      <c r="P208" s="116">
        <v>166.125</v>
      </c>
      <c r="Q208" s="116">
        <v>660.75</v>
      </c>
      <c r="R208">
        <v>131923</v>
      </c>
    </row>
    <row r="209" spans="1:18" x14ac:dyDescent="0.25">
      <c r="A209" s="170">
        <v>44845</v>
      </c>
      <c r="B209" s="116">
        <v>165.73750000000001</v>
      </c>
      <c r="C209" s="116">
        <v>165</v>
      </c>
      <c r="D209" s="116">
        <v>164.5</v>
      </c>
      <c r="E209" s="116">
        <v>165.13749999999999</v>
      </c>
      <c r="F209" s="116">
        <v>660</v>
      </c>
      <c r="G209">
        <v>2561</v>
      </c>
      <c r="H209" s="116"/>
      <c r="I209" s="116"/>
      <c r="L209" s="170">
        <v>44845</v>
      </c>
      <c r="M209" s="116">
        <v>165</v>
      </c>
      <c r="N209" s="116">
        <v>165.75</v>
      </c>
      <c r="O209" s="116">
        <v>164.375</v>
      </c>
      <c r="P209" s="116">
        <v>165.75</v>
      </c>
      <c r="Q209" s="116">
        <v>660</v>
      </c>
      <c r="R209">
        <v>24046</v>
      </c>
    </row>
    <row r="210" spans="1:18" x14ac:dyDescent="0.25">
      <c r="A210" s="170">
        <v>44846</v>
      </c>
      <c r="B210" s="116">
        <v>165.97499999999999</v>
      </c>
      <c r="C210" s="116">
        <v>165.45</v>
      </c>
      <c r="D210" s="116">
        <v>164.875</v>
      </c>
      <c r="E210" s="116">
        <v>165.75</v>
      </c>
      <c r="F210" s="116">
        <v>661.8</v>
      </c>
      <c r="G210">
        <v>1398</v>
      </c>
      <c r="H210" s="116"/>
      <c r="I210" s="116"/>
      <c r="L210" s="170">
        <v>44846</v>
      </c>
      <c r="M210" s="116">
        <v>165.51249999999999</v>
      </c>
      <c r="N210" s="116">
        <v>165.82499999999999</v>
      </c>
      <c r="O210" s="116">
        <v>164.86250000000001</v>
      </c>
      <c r="P210" s="116">
        <v>165.6</v>
      </c>
      <c r="Q210" s="116">
        <v>662.05</v>
      </c>
      <c r="R210">
        <v>23087</v>
      </c>
    </row>
    <row r="211" spans="1:18" x14ac:dyDescent="0.25">
      <c r="A211" s="170">
        <v>44847</v>
      </c>
      <c r="B211" s="116">
        <v>172.61250000000001</v>
      </c>
      <c r="C211" s="116">
        <v>170.1875</v>
      </c>
      <c r="D211" s="116">
        <v>164.875</v>
      </c>
      <c r="E211" s="116">
        <v>167.47499999999999</v>
      </c>
      <c r="F211" s="116">
        <v>680.75</v>
      </c>
      <c r="G211">
        <v>3240</v>
      </c>
      <c r="H211" s="116"/>
      <c r="I211" s="116"/>
      <c r="L211" s="170">
        <v>44847</v>
      </c>
      <c r="M211" s="116">
        <v>170.26249999999999</v>
      </c>
      <c r="N211" s="116">
        <v>172.82499999999999</v>
      </c>
      <c r="O211" s="116">
        <v>165.01249999999999</v>
      </c>
      <c r="P211" s="116">
        <v>167.23750000000001</v>
      </c>
      <c r="Q211" s="116">
        <v>681.05</v>
      </c>
      <c r="R211">
        <v>134096</v>
      </c>
    </row>
    <row r="212" spans="1:18" x14ac:dyDescent="0.25">
      <c r="A212" s="170">
        <v>44848</v>
      </c>
      <c r="B212" s="116">
        <v>183.11250000000001</v>
      </c>
      <c r="C212" s="116">
        <v>172.3</v>
      </c>
      <c r="D212" s="116">
        <v>168.25</v>
      </c>
      <c r="E212" s="116">
        <v>177.75</v>
      </c>
      <c r="F212" s="116">
        <v>689.2</v>
      </c>
      <c r="G212">
        <v>46792</v>
      </c>
      <c r="H212" s="116"/>
      <c r="I212" s="116"/>
      <c r="L212" s="170">
        <v>44848</v>
      </c>
      <c r="M212" s="116">
        <v>173.66249999999999</v>
      </c>
      <c r="N212" s="116">
        <v>183</v>
      </c>
      <c r="O212" s="116">
        <v>168.17500000000001</v>
      </c>
      <c r="P212" s="116">
        <v>177.75</v>
      </c>
      <c r="Q212" s="116">
        <v>694.65</v>
      </c>
      <c r="R212">
        <v>1472651</v>
      </c>
    </row>
    <row r="213" spans="1:18" x14ac:dyDescent="0.25">
      <c r="A213" s="170">
        <v>44851</v>
      </c>
      <c r="B213" s="116">
        <v>178</v>
      </c>
      <c r="C213" s="116">
        <v>175.91249999999999</v>
      </c>
      <c r="D213" s="116">
        <v>173.23750000000001</v>
      </c>
      <c r="E213" s="116">
        <v>173.75</v>
      </c>
      <c r="F213" s="116">
        <v>703.65</v>
      </c>
      <c r="G213">
        <v>3287</v>
      </c>
      <c r="H213" s="116"/>
      <c r="I213" s="116"/>
      <c r="L213" s="170">
        <v>44851</v>
      </c>
      <c r="M213" s="116">
        <v>175.9375</v>
      </c>
      <c r="N213" s="116">
        <v>178.1</v>
      </c>
      <c r="O213" s="116">
        <v>173</v>
      </c>
      <c r="P213" s="116">
        <v>175.67500000000001</v>
      </c>
      <c r="Q213" s="116">
        <v>703.75</v>
      </c>
      <c r="R213">
        <v>123077</v>
      </c>
    </row>
    <row r="214" spans="1:18" x14ac:dyDescent="0.25">
      <c r="A214" s="170">
        <v>44852</v>
      </c>
      <c r="B214" s="116">
        <v>180.25</v>
      </c>
      <c r="C214" s="116">
        <v>177.3125</v>
      </c>
      <c r="D214" s="116">
        <v>175.27500000000001</v>
      </c>
      <c r="E214" s="116">
        <v>176.76249999999999</v>
      </c>
      <c r="F214" s="116">
        <v>709.25</v>
      </c>
      <c r="G214">
        <v>6095</v>
      </c>
      <c r="H214" s="116"/>
      <c r="I214" s="116"/>
      <c r="L214" s="170">
        <v>44852</v>
      </c>
      <c r="M214" s="116">
        <v>177.02500000000001</v>
      </c>
      <c r="N214" s="116">
        <v>180.25</v>
      </c>
      <c r="O214" s="116">
        <v>176.03749999999999</v>
      </c>
      <c r="P214" s="116">
        <v>176.72499999999999</v>
      </c>
      <c r="Q214" s="116">
        <v>708.1</v>
      </c>
      <c r="R214">
        <v>175629</v>
      </c>
    </row>
    <row r="215" spans="1:18" x14ac:dyDescent="0.25">
      <c r="A215" s="170">
        <v>44853</v>
      </c>
      <c r="B215" s="116">
        <v>178.73750000000001</v>
      </c>
      <c r="C215" s="116">
        <v>176.02500000000001</v>
      </c>
      <c r="D215" s="116">
        <v>173.52500000000001</v>
      </c>
      <c r="E215" s="116">
        <v>178.73750000000001</v>
      </c>
      <c r="F215" s="116">
        <v>704.1</v>
      </c>
      <c r="G215">
        <v>7227</v>
      </c>
      <c r="H215" s="116"/>
      <c r="I215" s="116"/>
      <c r="L215" s="170">
        <v>44853</v>
      </c>
      <c r="M215" s="116">
        <v>176.16249999999999</v>
      </c>
      <c r="N215" s="116">
        <v>178.23750000000001</v>
      </c>
      <c r="O215" s="116">
        <v>174.5</v>
      </c>
      <c r="P215" s="116">
        <v>178.23750000000001</v>
      </c>
      <c r="Q215" s="116">
        <v>704.65</v>
      </c>
      <c r="R215">
        <v>88328</v>
      </c>
    </row>
    <row r="216" spans="1:18" x14ac:dyDescent="0.25">
      <c r="A216" s="170">
        <v>44854</v>
      </c>
      <c r="B216" s="116">
        <v>175.9</v>
      </c>
      <c r="C216" s="116">
        <v>174.2</v>
      </c>
      <c r="D216" s="116">
        <v>173.05</v>
      </c>
      <c r="E216" s="116">
        <v>173.05</v>
      </c>
      <c r="F216" s="116">
        <v>696.8</v>
      </c>
      <c r="G216">
        <v>694</v>
      </c>
      <c r="H216" s="116"/>
      <c r="I216" s="116"/>
      <c r="L216" s="170">
        <v>44854</v>
      </c>
      <c r="M216" s="116">
        <v>174.1</v>
      </c>
      <c r="N216" s="116">
        <v>176</v>
      </c>
      <c r="O216" s="116">
        <v>173.77500000000001</v>
      </c>
      <c r="P216" s="116">
        <v>175</v>
      </c>
      <c r="Q216" s="116">
        <v>696.4</v>
      </c>
      <c r="R216">
        <v>21731</v>
      </c>
    </row>
    <row r="217" spans="1:18" x14ac:dyDescent="0.25">
      <c r="A217" s="170">
        <v>44855</v>
      </c>
      <c r="B217" s="116">
        <v>175.5</v>
      </c>
      <c r="C217" s="116">
        <v>174.8125</v>
      </c>
      <c r="D217" s="116">
        <v>170.625</v>
      </c>
      <c r="E217" s="116">
        <v>170.625</v>
      </c>
      <c r="F217" s="116">
        <v>699.25</v>
      </c>
      <c r="G217">
        <v>4240</v>
      </c>
      <c r="H217" s="116"/>
      <c r="I217" s="116"/>
      <c r="L217" s="170">
        <v>44855</v>
      </c>
      <c r="M217" s="116">
        <v>174.75</v>
      </c>
      <c r="N217" s="116">
        <v>175.82499999999999</v>
      </c>
      <c r="O217" s="116">
        <v>174.13749999999999</v>
      </c>
      <c r="P217" s="116">
        <v>175</v>
      </c>
      <c r="Q217" s="116">
        <v>699</v>
      </c>
      <c r="R217">
        <v>34041</v>
      </c>
    </row>
    <row r="218" spans="1:18" x14ac:dyDescent="0.25">
      <c r="A218" s="170">
        <v>44858</v>
      </c>
      <c r="B218" s="116">
        <v>179.75</v>
      </c>
      <c r="C218" s="116">
        <v>175.86250000000001</v>
      </c>
      <c r="D218" s="116">
        <v>175.51249999999999</v>
      </c>
      <c r="E218" s="116">
        <v>179.75</v>
      </c>
      <c r="F218" s="116">
        <v>703.45</v>
      </c>
      <c r="G218">
        <v>2255</v>
      </c>
      <c r="H218" s="116"/>
      <c r="I218" s="116"/>
      <c r="L218" s="170">
        <v>44858</v>
      </c>
      <c r="M218" s="116">
        <v>175.85</v>
      </c>
      <c r="N218" s="116">
        <v>177.75</v>
      </c>
      <c r="O218" s="116">
        <v>175.5</v>
      </c>
      <c r="P218" s="116">
        <v>177.25</v>
      </c>
      <c r="Q218" s="116">
        <v>703.4</v>
      </c>
      <c r="R218">
        <v>17877</v>
      </c>
    </row>
    <row r="219" spans="1:18" x14ac:dyDescent="0.25">
      <c r="A219" s="170">
        <v>44859</v>
      </c>
      <c r="B219" s="116">
        <v>176.95</v>
      </c>
      <c r="C219" s="116">
        <v>174.875</v>
      </c>
      <c r="D219" s="116">
        <v>173.38749999999999</v>
      </c>
      <c r="E219" s="116">
        <v>173.38749999999999</v>
      </c>
      <c r="F219" s="116">
        <v>699.5</v>
      </c>
      <c r="G219">
        <v>2909</v>
      </c>
      <c r="H219" s="116"/>
      <c r="I219" s="116"/>
      <c r="L219" s="170">
        <v>44859</v>
      </c>
      <c r="M219" s="116">
        <v>175</v>
      </c>
      <c r="N219" s="116">
        <v>177.05</v>
      </c>
      <c r="O219" s="116">
        <v>174.625</v>
      </c>
      <c r="P219" s="116">
        <v>176</v>
      </c>
      <c r="Q219" s="116">
        <v>700</v>
      </c>
      <c r="R219">
        <v>22949</v>
      </c>
    </row>
    <row r="220" spans="1:18" x14ac:dyDescent="0.25">
      <c r="A220" s="170">
        <v>44861</v>
      </c>
      <c r="B220" s="116">
        <v>179.61250000000001</v>
      </c>
      <c r="C220" s="116">
        <v>175.33750000000001</v>
      </c>
      <c r="D220" s="116">
        <v>175</v>
      </c>
      <c r="E220" s="116">
        <v>177.17500000000001</v>
      </c>
      <c r="F220" s="116">
        <v>701.35</v>
      </c>
      <c r="G220">
        <v>3115</v>
      </c>
      <c r="H220" s="116"/>
      <c r="I220" s="116"/>
      <c r="L220" s="170">
        <v>44861</v>
      </c>
      <c r="M220" s="116">
        <v>175.4</v>
      </c>
      <c r="N220" s="116">
        <v>179.5</v>
      </c>
      <c r="O220" s="116">
        <v>175</v>
      </c>
      <c r="P220" s="116">
        <v>176.17500000000001</v>
      </c>
      <c r="Q220" s="116">
        <v>701.6</v>
      </c>
      <c r="R220">
        <v>56929</v>
      </c>
    </row>
    <row r="221" spans="1:18" x14ac:dyDescent="0.25">
      <c r="A221" s="170">
        <v>44862</v>
      </c>
      <c r="B221" s="116">
        <v>180.66249999999999</v>
      </c>
      <c r="C221" s="116">
        <v>178.57499999999999</v>
      </c>
      <c r="D221" s="116">
        <v>175</v>
      </c>
      <c r="E221" s="116">
        <v>175</v>
      </c>
      <c r="F221" s="116">
        <v>714.3</v>
      </c>
      <c r="G221">
        <v>1427</v>
      </c>
      <c r="H221" s="116"/>
      <c r="I221" s="116"/>
      <c r="L221" s="170">
        <v>44862</v>
      </c>
      <c r="M221" s="116">
        <v>178.91249999999999</v>
      </c>
      <c r="N221" s="116">
        <v>180.73750000000001</v>
      </c>
      <c r="O221" s="116">
        <v>175</v>
      </c>
      <c r="P221" s="116">
        <v>175.01249999999999</v>
      </c>
      <c r="Q221" s="116">
        <v>715.65</v>
      </c>
      <c r="R221">
        <v>47712</v>
      </c>
    </row>
    <row r="222" spans="1:18" x14ac:dyDescent="0.25">
      <c r="A222" s="170">
        <v>44865</v>
      </c>
      <c r="B222" s="116">
        <v>184.26249999999999</v>
      </c>
      <c r="C222" s="116">
        <v>180.55</v>
      </c>
      <c r="D222" s="116">
        <v>179.41249999999999</v>
      </c>
      <c r="E222" s="116">
        <v>181</v>
      </c>
      <c r="F222" s="116">
        <v>722.2</v>
      </c>
      <c r="G222">
        <v>4751</v>
      </c>
      <c r="H222" s="116"/>
      <c r="I222" s="116"/>
      <c r="L222" s="170">
        <v>44865</v>
      </c>
      <c r="M222" s="116">
        <v>180.66249999999999</v>
      </c>
      <c r="N222" s="116">
        <v>184.85</v>
      </c>
      <c r="O222" s="116">
        <v>179.28749999999999</v>
      </c>
      <c r="P222" s="116">
        <v>184.5</v>
      </c>
      <c r="Q222" s="116">
        <v>722.65</v>
      </c>
      <c r="R222">
        <v>75432</v>
      </c>
    </row>
    <row r="223" spans="1:18" x14ac:dyDescent="0.25">
      <c r="A223" s="170">
        <v>44866</v>
      </c>
      <c r="B223" s="116">
        <v>182.36250000000001</v>
      </c>
      <c r="C223" s="116">
        <v>178.625</v>
      </c>
      <c r="D223" s="116">
        <v>178.38749999999999</v>
      </c>
      <c r="E223" s="116">
        <v>181.96250000000001</v>
      </c>
      <c r="F223" s="116">
        <v>714.5</v>
      </c>
      <c r="G223">
        <v>1542</v>
      </c>
      <c r="H223" s="116"/>
      <c r="I223" s="116"/>
      <c r="L223" s="170">
        <v>44866</v>
      </c>
      <c r="M223" s="116">
        <v>179.02500000000001</v>
      </c>
      <c r="N223" s="116">
        <v>182.4375</v>
      </c>
      <c r="O223" s="116">
        <v>178.65</v>
      </c>
      <c r="P223" s="116">
        <v>182.4375</v>
      </c>
      <c r="Q223" s="116">
        <v>716.1</v>
      </c>
      <c r="R223">
        <v>47901</v>
      </c>
    </row>
    <row r="224" spans="1:18" x14ac:dyDescent="0.25">
      <c r="A224" s="170">
        <v>44867</v>
      </c>
      <c r="B224" s="116">
        <v>180.25</v>
      </c>
      <c r="C224" s="116">
        <v>176.48750000000001</v>
      </c>
      <c r="D224" s="116">
        <v>175.375</v>
      </c>
      <c r="E224" s="116">
        <v>179.05</v>
      </c>
      <c r="F224" s="116">
        <v>705.95</v>
      </c>
      <c r="G224">
        <v>1487</v>
      </c>
      <c r="H224" s="116"/>
      <c r="I224" s="116"/>
      <c r="L224" s="170">
        <v>44867</v>
      </c>
      <c r="M224" s="116">
        <v>176.23750000000001</v>
      </c>
      <c r="N224" s="116">
        <v>180.5</v>
      </c>
      <c r="O224" s="116">
        <v>175.63749999999999</v>
      </c>
      <c r="P224" s="116">
        <v>179.02500000000001</v>
      </c>
      <c r="Q224" s="116">
        <v>704.95</v>
      </c>
      <c r="R224">
        <v>29124</v>
      </c>
    </row>
    <row r="225" spans="1:18" x14ac:dyDescent="0.25">
      <c r="A225" s="170">
        <v>44868</v>
      </c>
      <c r="B225" s="116">
        <v>179.48750000000001</v>
      </c>
      <c r="C225" s="116">
        <v>178.23750000000001</v>
      </c>
      <c r="D225" s="116">
        <v>175.6</v>
      </c>
      <c r="E225" s="116">
        <v>175.9</v>
      </c>
      <c r="F225" s="116">
        <v>712.95</v>
      </c>
      <c r="G225">
        <v>2979</v>
      </c>
      <c r="H225" s="116"/>
      <c r="I225" s="116"/>
      <c r="L225" s="170">
        <v>44868</v>
      </c>
      <c r="M225" s="116">
        <v>177.86250000000001</v>
      </c>
      <c r="N225" s="116">
        <v>179.27500000000001</v>
      </c>
      <c r="O225" s="116">
        <v>175.63749999999999</v>
      </c>
      <c r="P225" s="116">
        <v>177.47499999999999</v>
      </c>
      <c r="Q225" s="116">
        <v>711.45</v>
      </c>
      <c r="R225">
        <v>32473</v>
      </c>
    </row>
    <row r="226" spans="1:18" x14ac:dyDescent="0.25">
      <c r="A226" s="170">
        <v>44869</v>
      </c>
      <c r="B226" s="116">
        <v>180.85</v>
      </c>
      <c r="C226" s="116">
        <v>178.17500000000001</v>
      </c>
      <c r="D226" s="116">
        <v>176.25</v>
      </c>
      <c r="E226" s="116">
        <v>180.85</v>
      </c>
      <c r="F226" s="116">
        <v>712.7</v>
      </c>
      <c r="G226">
        <v>3320</v>
      </c>
      <c r="H226" s="116"/>
      <c r="I226" s="116"/>
      <c r="L226" s="170">
        <v>44869</v>
      </c>
      <c r="M226" s="116">
        <v>178.0625</v>
      </c>
      <c r="N226" s="116">
        <v>179.42500000000001</v>
      </c>
      <c r="O226" s="116">
        <v>176.5</v>
      </c>
      <c r="P226" s="116">
        <v>179.42500000000001</v>
      </c>
      <c r="Q226" s="116">
        <v>712.25</v>
      </c>
      <c r="R226">
        <v>37120</v>
      </c>
    </row>
    <row r="227" spans="1:18" x14ac:dyDescent="0.25">
      <c r="A227" s="170">
        <v>44872</v>
      </c>
      <c r="B227" s="116">
        <v>178.875</v>
      </c>
      <c r="C227" s="116">
        <v>175.42500000000001</v>
      </c>
      <c r="D227" s="116">
        <v>174.6</v>
      </c>
      <c r="E227" s="116">
        <v>175.13749999999999</v>
      </c>
      <c r="F227" s="116">
        <v>701.7</v>
      </c>
      <c r="G227">
        <v>4247</v>
      </c>
      <c r="H227" s="116"/>
      <c r="I227" s="116"/>
      <c r="L227" s="170">
        <v>44872</v>
      </c>
      <c r="M227" s="116">
        <v>175.67500000000001</v>
      </c>
      <c r="N227" s="116">
        <v>180.1875</v>
      </c>
      <c r="O227" s="116">
        <v>174.875</v>
      </c>
      <c r="P227" s="116">
        <v>180.1875</v>
      </c>
      <c r="Q227" s="116">
        <v>702.7</v>
      </c>
      <c r="R227">
        <v>133482</v>
      </c>
    </row>
    <row r="228" spans="1:18" x14ac:dyDescent="0.25">
      <c r="A228" s="170">
        <v>44874</v>
      </c>
      <c r="B228" s="116">
        <v>181.48750000000001</v>
      </c>
      <c r="C228" s="116">
        <v>175.83750000000001</v>
      </c>
      <c r="D228" s="116">
        <v>174.25</v>
      </c>
      <c r="E228" s="116">
        <v>181.48750000000001</v>
      </c>
      <c r="F228" s="116">
        <v>703.35</v>
      </c>
      <c r="G228">
        <v>4690</v>
      </c>
      <c r="H228" s="116"/>
      <c r="I228" s="116"/>
      <c r="L228" s="170">
        <v>44874</v>
      </c>
      <c r="M228" s="116">
        <v>176.25</v>
      </c>
      <c r="N228" s="116">
        <v>178.47499999999999</v>
      </c>
      <c r="O228" s="116">
        <v>174.4375</v>
      </c>
      <c r="P228" s="116">
        <v>178</v>
      </c>
      <c r="Q228" s="116">
        <v>705</v>
      </c>
      <c r="R228">
        <v>36882</v>
      </c>
    </row>
    <row r="229" spans="1:18" x14ac:dyDescent="0.25">
      <c r="A229" s="170">
        <v>44875</v>
      </c>
      <c r="B229" s="116">
        <v>179.15</v>
      </c>
      <c r="C229" s="116">
        <v>175.75</v>
      </c>
      <c r="D229" s="116">
        <v>174.95</v>
      </c>
      <c r="E229" s="116">
        <v>179.15</v>
      </c>
      <c r="F229" s="116">
        <v>703</v>
      </c>
      <c r="G229">
        <v>402</v>
      </c>
      <c r="H229" s="116"/>
      <c r="I229" s="116"/>
      <c r="L229" s="170">
        <v>44875</v>
      </c>
      <c r="M229" s="116">
        <v>176.36250000000001</v>
      </c>
      <c r="N229" s="116">
        <v>176.9375</v>
      </c>
      <c r="O229" s="116">
        <v>175.02500000000001</v>
      </c>
      <c r="P229" s="116">
        <v>175.02500000000001</v>
      </c>
      <c r="Q229" s="116">
        <v>705.45</v>
      </c>
      <c r="R229">
        <v>12031</v>
      </c>
    </row>
    <row r="230" spans="1:18" x14ac:dyDescent="0.25">
      <c r="A230" s="170">
        <v>44876</v>
      </c>
      <c r="B230" s="116">
        <v>179.25</v>
      </c>
      <c r="C230" s="116">
        <v>176.55</v>
      </c>
      <c r="D230" s="116">
        <v>176.03749999999999</v>
      </c>
      <c r="E230" s="116">
        <v>179.25</v>
      </c>
      <c r="F230" s="116">
        <v>706.2</v>
      </c>
      <c r="G230">
        <v>873</v>
      </c>
      <c r="H230" s="116"/>
      <c r="I230" s="116"/>
      <c r="L230" s="170">
        <v>44876</v>
      </c>
      <c r="M230" s="116">
        <v>176.86250000000001</v>
      </c>
      <c r="N230" s="116">
        <v>178.4375</v>
      </c>
      <c r="O230" s="116">
        <v>176.01249999999999</v>
      </c>
      <c r="P230" s="116">
        <v>178.4375</v>
      </c>
      <c r="Q230" s="116">
        <v>707.45</v>
      </c>
      <c r="R230">
        <v>14876</v>
      </c>
    </row>
    <row r="231" spans="1:18" x14ac:dyDescent="0.25">
      <c r="A231" s="170">
        <v>44879</v>
      </c>
      <c r="B231" s="116">
        <v>177.5</v>
      </c>
      <c r="C231" s="116">
        <v>175.47499999999999</v>
      </c>
      <c r="D231" s="116">
        <v>175.16249999999999</v>
      </c>
      <c r="E231" s="116">
        <v>177.5</v>
      </c>
      <c r="F231" s="116">
        <v>701.9</v>
      </c>
      <c r="G231">
        <v>2155</v>
      </c>
      <c r="H231" s="116"/>
      <c r="I231" s="116"/>
      <c r="L231" s="170">
        <v>44879</v>
      </c>
      <c r="M231" s="116">
        <v>175.98750000000001</v>
      </c>
      <c r="N231" s="116">
        <v>177.9</v>
      </c>
      <c r="O231" s="116">
        <v>175.07499999999999</v>
      </c>
      <c r="P231" s="116">
        <v>177.25</v>
      </c>
      <c r="Q231" s="116">
        <v>703.95</v>
      </c>
      <c r="R231">
        <v>32354</v>
      </c>
    </row>
    <row r="232" spans="1:18" x14ac:dyDescent="0.25">
      <c r="A232" s="170">
        <v>44880</v>
      </c>
      <c r="B232" s="116">
        <v>180</v>
      </c>
      <c r="C232" s="116">
        <v>175.73750000000001</v>
      </c>
      <c r="D232" s="116">
        <v>175.4</v>
      </c>
      <c r="E232" s="116">
        <v>180</v>
      </c>
      <c r="F232" s="116">
        <v>702.95</v>
      </c>
      <c r="G232">
        <v>363</v>
      </c>
      <c r="H232" s="116"/>
      <c r="I232" s="116"/>
      <c r="L232" s="170">
        <v>44880</v>
      </c>
      <c r="M232" s="116">
        <v>175.83750000000001</v>
      </c>
      <c r="N232" s="116">
        <v>177.1875</v>
      </c>
      <c r="O232" s="116">
        <v>175.5</v>
      </c>
      <c r="P232" s="116">
        <v>177.1875</v>
      </c>
      <c r="Q232" s="116">
        <v>703.35</v>
      </c>
      <c r="R232">
        <v>13773</v>
      </c>
    </row>
    <row r="233" spans="1:18" x14ac:dyDescent="0.25">
      <c r="A233" s="170">
        <v>44881</v>
      </c>
      <c r="B233" s="116">
        <v>176.15</v>
      </c>
      <c r="C233" s="116">
        <v>174.86250000000001</v>
      </c>
      <c r="D233" s="116">
        <v>174.1</v>
      </c>
      <c r="E233" s="116">
        <v>176.15</v>
      </c>
      <c r="F233" s="116">
        <v>699.45</v>
      </c>
      <c r="G233">
        <v>625</v>
      </c>
      <c r="H233" s="116"/>
      <c r="I233" s="116"/>
      <c r="L233" s="170">
        <v>44881</v>
      </c>
      <c r="M233" s="116">
        <v>174.65</v>
      </c>
      <c r="N233" s="116">
        <v>176.73750000000001</v>
      </c>
      <c r="O233" s="116">
        <v>174.5</v>
      </c>
      <c r="P233" s="116">
        <v>176.73750000000001</v>
      </c>
      <c r="Q233" s="116">
        <v>698.6</v>
      </c>
      <c r="R233">
        <v>14791</v>
      </c>
    </row>
    <row r="234" spans="1:18" x14ac:dyDescent="0.25">
      <c r="A234" s="170">
        <v>44882</v>
      </c>
      <c r="B234" s="116">
        <v>176.98750000000001</v>
      </c>
      <c r="C234" s="116">
        <v>176.25</v>
      </c>
      <c r="D234" s="116">
        <v>174.75</v>
      </c>
      <c r="E234" s="116">
        <v>174.8125</v>
      </c>
      <c r="F234" s="116">
        <v>705</v>
      </c>
      <c r="G234">
        <v>2739</v>
      </c>
      <c r="H234" s="116"/>
      <c r="I234" s="116"/>
      <c r="L234" s="170">
        <v>44882</v>
      </c>
      <c r="M234" s="116">
        <v>176.42500000000001</v>
      </c>
      <c r="N234" s="116">
        <v>176.75</v>
      </c>
      <c r="O234" s="116">
        <v>174.78749999999999</v>
      </c>
      <c r="P234" s="116">
        <v>174.875</v>
      </c>
      <c r="Q234" s="116">
        <v>705.7</v>
      </c>
      <c r="R234">
        <v>13438</v>
      </c>
    </row>
    <row r="235" spans="1:18" x14ac:dyDescent="0.25">
      <c r="A235" s="170">
        <v>44883</v>
      </c>
      <c r="B235" s="116">
        <v>176.75</v>
      </c>
      <c r="C235" s="116">
        <v>175.4</v>
      </c>
      <c r="D235" s="116">
        <v>174.91249999999999</v>
      </c>
      <c r="E235" s="116">
        <v>176.2</v>
      </c>
      <c r="F235" s="116">
        <v>701.6</v>
      </c>
      <c r="G235">
        <v>795</v>
      </c>
      <c r="H235" s="116"/>
      <c r="I235" s="116"/>
      <c r="L235" s="170">
        <v>44883</v>
      </c>
      <c r="M235" s="116">
        <v>175.65</v>
      </c>
      <c r="N235" s="116">
        <v>177.1875</v>
      </c>
      <c r="O235" s="116">
        <v>175.01249999999999</v>
      </c>
      <c r="P235" s="116">
        <v>177.1875</v>
      </c>
      <c r="Q235" s="116">
        <v>702.6</v>
      </c>
      <c r="R235">
        <v>20861</v>
      </c>
    </row>
    <row r="236" spans="1:18" x14ac:dyDescent="0.25">
      <c r="A236" s="170">
        <v>44886</v>
      </c>
      <c r="B236" s="116">
        <v>178.125</v>
      </c>
      <c r="C236" s="116">
        <v>175.85</v>
      </c>
      <c r="D236" s="116">
        <v>174.97499999999999</v>
      </c>
      <c r="E236" s="116">
        <v>177.4</v>
      </c>
      <c r="F236" s="116">
        <v>703.4</v>
      </c>
      <c r="G236">
        <v>1023</v>
      </c>
      <c r="H236" s="116"/>
      <c r="I236" s="116"/>
      <c r="L236" s="170">
        <v>44886</v>
      </c>
      <c r="M236" s="116">
        <v>176.01249999999999</v>
      </c>
      <c r="N236" s="116">
        <v>178.22499999999999</v>
      </c>
      <c r="O236" s="116">
        <v>175.2</v>
      </c>
      <c r="P236" s="116">
        <v>176.42500000000001</v>
      </c>
      <c r="Q236" s="116">
        <v>704.05</v>
      </c>
      <c r="R236">
        <v>28785</v>
      </c>
    </row>
    <row r="237" spans="1:18" x14ac:dyDescent="0.25">
      <c r="A237" s="170">
        <v>44887</v>
      </c>
      <c r="B237" s="116">
        <v>177.4375</v>
      </c>
      <c r="C237" s="116">
        <v>176.2</v>
      </c>
      <c r="D237" s="116">
        <v>175</v>
      </c>
      <c r="E237" s="116">
        <v>175</v>
      </c>
      <c r="F237" s="116">
        <v>704.8</v>
      </c>
      <c r="G237">
        <v>834</v>
      </c>
      <c r="H237" s="116"/>
      <c r="I237" s="116"/>
      <c r="L237" s="170">
        <v>44887</v>
      </c>
      <c r="M237" s="116">
        <v>176.66249999999999</v>
      </c>
      <c r="N237" s="116">
        <v>177.5</v>
      </c>
      <c r="O237" s="116">
        <v>175.51249999999999</v>
      </c>
      <c r="P237" s="116">
        <v>175.51249999999999</v>
      </c>
      <c r="Q237" s="116">
        <v>706.65</v>
      </c>
      <c r="R237">
        <v>17720</v>
      </c>
    </row>
    <row r="238" spans="1:18" x14ac:dyDescent="0.25">
      <c r="A238" s="170">
        <v>44888</v>
      </c>
      <c r="B238" s="116">
        <v>177.71250000000001</v>
      </c>
      <c r="C238" s="116">
        <v>176.02500000000001</v>
      </c>
      <c r="D238" s="116">
        <v>175.8</v>
      </c>
      <c r="E238" s="116">
        <v>177.55</v>
      </c>
      <c r="F238" s="116">
        <v>704.1</v>
      </c>
      <c r="G238">
        <v>532</v>
      </c>
      <c r="H238" s="116"/>
      <c r="I238" s="116"/>
      <c r="L238" s="170">
        <v>44888</v>
      </c>
      <c r="M238" s="116">
        <v>176.66249999999999</v>
      </c>
      <c r="N238" s="116">
        <v>177.75</v>
      </c>
      <c r="O238" s="116">
        <v>175.77500000000001</v>
      </c>
      <c r="P238" s="116">
        <v>176.67500000000001</v>
      </c>
      <c r="Q238" s="116">
        <v>706.65</v>
      </c>
      <c r="R238">
        <v>20875</v>
      </c>
    </row>
    <row r="239" spans="1:18" x14ac:dyDescent="0.25">
      <c r="A239" s="170">
        <v>44889</v>
      </c>
      <c r="B239" s="116">
        <v>179.3125</v>
      </c>
      <c r="C239" s="116">
        <v>176.1875</v>
      </c>
      <c r="D239" s="116">
        <v>175.72499999999999</v>
      </c>
      <c r="E239" s="116">
        <v>176.08750000000001</v>
      </c>
      <c r="F239" s="116">
        <v>704.75</v>
      </c>
      <c r="G239">
        <v>629</v>
      </c>
      <c r="H239" s="116"/>
      <c r="I239" s="116"/>
      <c r="L239" s="170">
        <v>44889</v>
      </c>
      <c r="M239" s="116">
        <v>176.91249999999999</v>
      </c>
      <c r="N239" s="116">
        <v>179.61250000000001</v>
      </c>
      <c r="O239" s="116">
        <v>175.91249999999999</v>
      </c>
      <c r="P239" s="116">
        <v>176.67500000000001</v>
      </c>
      <c r="Q239" s="116">
        <v>707.65</v>
      </c>
      <c r="R239">
        <v>25846</v>
      </c>
    </row>
    <row r="240" spans="1:18" x14ac:dyDescent="0.25">
      <c r="A240" s="170">
        <v>44890</v>
      </c>
      <c r="B240" s="116">
        <v>178.45</v>
      </c>
      <c r="C240" s="116">
        <v>177.16249999999999</v>
      </c>
      <c r="D240" s="116">
        <v>176.5625</v>
      </c>
      <c r="E240" s="116">
        <v>177</v>
      </c>
      <c r="F240" s="116">
        <v>708.65</v>
      </c>
      <c r="G240">
        <v>758</v>
      </c>
      <c r="H240" s="116"/>
      <c r="I240" s="116"/>
      <c r="L240" s="170">
        <v>44890</v>
      </c>
      <c r="M240" s="116">
        <v>177.46250000000001</v>
      </c>
      <c r="N240" s="116">
        <v>178.6875</v>
      </c>
      <c r="O240" s="116">
        <v>176.4</v>
      </c>
      <c r="P240" s="116">
        <v>178.6875</v>
      </c>
      <c r="Q240" s="116">
        <v>709.85</v>
      </c>
      <c r="R240">
        <v>13983</v>
      </c>
    </row>
    <row r="241" spans="1:18" x14ac:dyDescent="0.25">
      <c r="A241" s="170">
        <v>44893</v>
      </c>
      <c r="B241" s="116">
        <v>177.8125</v>
      </c>
      <c r="C241" s="116">
        <v>176.92500000000001</v>
      </c>
      <c r="D241" s="116">
        <v>176.25</v>
      </c>
      <c r="E241" s="116">
        <v>176.25</v>
      </c>
      <c r="F241" s="116">
        <v>707.7</v>
      </c>
      <c r="G241">
        <v>1529</v>
      </c>
      <c r="H241" s="116"/>
      <c r="I241" s="116"/>
      <c r="L241" s="170">
        <v>44893</v>
      </c>
      <c r="M241" s="116">
        <v>177.05</v>
      </c>
      <c r="N241" s="116">
        <v>178.625</v>
      </c>
      <c r="O241" s="116">
        <v>175.91249999999999</v>
      </c>
      <c r="P241" s="116">
        <v>178.625</v>
      </c>
      <c r="Q241" s="116">
        <v>708.2</v>
      </c>
      <c r="R241">
        <v>22402</v>
      </c>
    </row>
    <row r="242" spans="1:18" x14ac:dyDescent="0.25">
      <c r="A242" s="170">
        <v>44894</v>
      </c>
      <c r="B242" s="116">
        <v>177.67500000000001</v>
      </c>
      <c r="C242" s="116">
        <v>176.73750000000001</v>
      </c>
      <c r="D242" s="116">
        <v>175.75</v>
      </c>
      <c r="E242" s="116">
        <v>176.73750000000001</v>
      </c>
      <c r="F242" s="116">
        <v>706.95</v>
      </c>
      <c r="G242">
        <v>557</v>
      </c>
      <c r="H242" s="116"/>
      <c r="I242" s="116"/>
      <c r="L242" s="170">
        <v>44894</v>
      </c>
      <c r="M242" s="116">
        <v>176.57499999999999</v>
      </c>
      <c r="N242" s="116">
        <v>178</v>
      </c>
      <c r="O242" s="116">
        <v>176.25</v>
      </c>
      <c r="P242" s="116">
        <v>177.5</v>
      </c>
      <c r="Q242" s="116">
        <v>706.3</v>
      </c>
      <c r="R242">
        <v>12582</v>
      </c>
    </row>
    <row r="243" spans="1:18" x14ac:dyDescent="0.25">
      <c r="A243" s="170">
        <v>44895</v>
      </c>
      <c r="B243" s="116">
        <v>178.07499999999999</v>
      </c>
      <c r="C243" s="116">
        <v>176.6</v>
      </c>
      <c r="D243" s="116">
        <v>174.97499999999999</v>
      </c>
      <c r="E243" s="116">
        <v>177.0625</v>
      </c>
      <c r="F243" s="116">
        <v>706.4</v>
      </c>
      <c r="G243">
        <v>2889</v>
      </c>
      <c r="H243" s="116"/>
      <c r="I243" s="116"/>
      <c r="L243" s="170">
        <v>44895</v>
      </c>
      <c r="M243" s="116">
        <v>176.48750000000001</v>
      </c>
      <c r="N243" s="116">
        <v>177.85</v>
      </c>
      <c r="O243" s="116">
        <v>175.75</v>
      </c>
      <c r="P243" s="116">
        <v>176.57499999999999</v>
      </c>
      <c r="Q243" s="116">
        <v>705.95</v>
      </c>
      <c r="R243">
        <v>22884</v>
      </c>
    </row>
    <row r="244" spans="1:18" x14ac:dyDescent="0.25">
      <c r="A244" s="170">
        <v>44896</v>
      </c>
      <c r="B244" s="116">
        <v>177.86250000000001</v>
      </c>
      <c r="C244" s="116">
        <v>176.6</v>
      </c>
      <c r="D244" s="116">
        <v>176.25</v>
      </c>
      <c r="E244" s="116">
        <v>177.25</v>
      </c>
      <c r="F244" s="116">
        <v>706.4</v>
      </c>
      <c r="G244">
        <v>1092</v>
      </c>
      <c r="H244" s="116"/>
      <c r="I244" s="116"/>
      <c r="L244" s="170">
        <v>44896</v>
      </c>
      <c r="M244" s="116">
        <v>176.75</v>
      </c>
      <c r="N244" s="116">
        <v>177.75</v>
      </c>
      <c r="O244" s="116">
        <v>176.5</v>
      </c>
      <c r="P244" s="116">
        <v>176.52500000000001</v>
      </c>
      <c r="Q244" s="116">
        <v>707</v>
      </c>
      <c r="R244">
        <v>16960</v>
      </c>
    </row>
    <row r="245" spans="1:18" x14ac:dyDescent="0.25">
      <c r="A245" s="170">
        <v>44897</v>
      </c>
      <c r="B245" s="116">
        <v>178.85</v>
      </c>
      <c r="C245" s="116">
        <v>177.5625</v>
      </c>
      <c r="D245" s="116">
        <v>175.72499999999999</v>
      </c>
      <c r="E245" s="116">
        <v>175.72499999999999</v>
      </c>
      <c r="F245" s="116">
        <v>710.25</v>
      </c>
      <c r="G245">
        <v>1048</v>
      </c>
      <c r="H245" s="116"/>
      <c r="I245" s="116"/>
      <c r="L245" s="170">
        <v>44897</v>
      </c>
      <c r="M245" s="116">
        <v>177.7</v>
      </c>
      <c r="N245" s="116">
        <v>178.75</v>
      </c>
      <c r="O245" s="116">
        <v>176.3125</v>
      </c>
      <c r="P245" s="116">
        <v>177.47499999999999</v>
      </c>
      <c r="Q245" s="116">
        <v>710.8</v>
      </c>
      <c r="R245">
        <v>11105</v>
      </c>
    </row>
    <row r="246" spans="1:18" x14ac:dyDescent="0.25">
      <c r="A246" s="170">
        <v>44900</v>
      </c>
      <c r="B246" s="116">
        <v>178.45</v>
      </c>
      <c r="C246" s="116">
        <v>176.91249999999999</v>
      </c>
      <c r="D246" s="116">
        <v>176.5</v>
      </c>
      <c r="E246" s="116">
        <v>177.97499999999999</v>
      </c>
      <c r="F246" s="116">
        <v>707.65</v>
      </c>
      <c r="G246">
        <v>250</v>
      </c>
      <c r="H246" s="116"/>
      <c r="I246" s="116"/>
      <c r="L246" s="170">
        <v>44900</v>
      </c>
      <c r="M246" s="116">
        <v>176.9</v>
      </c>
      <c r="N246" s="116">
        <v>179</v>
      </c>
      <c r="O246" s="116">
        <v>176.52500000000001</v>
      </c>
      <c r="P246" s="116">
        <v>178.25</v>
      </c>
      <c r="Q246" s="116">
        <v>707.6</v>
      </c>
      <c r="R246">
        <v>27871</v>
      </c>
    </row>
    <row r="247" spans="1:18" x14ac:dyDescent="0.25">
      <c r="A247" s="170">
        <v>44901</v>
      </c>
      <c r="B247" s="116">
        <v>179.73750000000001</v>
      </c>
      <c r="C247" s="116">
        <v>176.86250000000001</v>
      </c>
      <c r="D247" s="116">
        <v>176.35</v>
      </c>
      <c r="E247" s="116">
        <v>179.73750000000001</v>
      </c>
      <c r="F247" s="116">
        <v>707.45</v>
      </c>
      <c r="G247">
        <v>1688</v>
      </c>
      <c r="H247" s="116"/>
      <c r="I247" s="116"/>
      <c r="L247" s="170">
        <v>44901</v>
      </c>
      <c r="M247" s="116">
        <v>177.1</v>
      </c>
      <c r="N247" s="116">
        <v>177.7</v>
      </c>
      <c r="O247" s="116">
        <v>176.52500000000001</v>
      </c>
      <c r="P247" s="116">
        <v>177.7</v>
      </c>
      <c r="Q247" s="116">
        <v>708.4</v>
      </c>
      <c r="R247">
        <v>15201</v>
      </c>
    </row>
    <row r="248" spans="1:18" x14ac:dyDescent="0.25">
      <c r="A248" s="170">
        <v>44902</v>
      </c>
      <c r="B248" s="116">
        <v>176.88749999999999</v>
      </c>
      <c r="C248" s="116">
        <v>175.02500000000001</v>
      </c>
      <c r="D248" s="116">
        <v>174.51249999999999</v>
      </c>
      <c r="E248" s="116">
        <v>174.98750000000001</v>
      </c>
      <c r="F248" s="116">
        <v>700.1</v>
      </c>
      <c r="G248">
        <v>926</v>
      </c>
      <c r="H248" s="116"/>
      <c r="I248" s="116"/>
      <c r="L248" s="170">
        <v>44902</v>
      </c>
      <c r="M248" s="116">
        <v>175.1</v>
      </c>
      <c r="N248" s="116">
        <v>177</v>
      </c>
      <c r="O248" s="116">
        <v>174.75</v>
      </c>
      <c r="P248" s="116">
        <v>175.0625</v>
      </c>
      <c r="Q248" s="116">
        <v>700.4</v>
      </c>
      <c r="R248">
        <v>27186</v>
      </c>
    </row>
    <row r="249" spans="1:18" x14ac:dyDescent="0.25">
      <c r="A249" s="170">
        <v>44903</v>
      </c>
      <c r="B249" s="116">
        <v>175.02500000000001</v>
      </c>
      <c r="C249" s="116">
        <v>173.26249999999999</v>
      </c>
      <c r="D249" s="116">
        <v>172.26249999999999</v>
      </c>
      <c r="E249" s="116">
        <v>175.02500000000001</v>
      </c>
      <c r="F249" s="116">
        <v>693.05</v>
      </c>
      <c r="G249">
        <v>917</v>
      </c>
      <c r="H249" s="116"/>
      <c r="I249" s="116"/>
      <c r="L249" s="170">
        <v>44903</v>
      </c>
      <c r="M249" s="116">
        <v>173.65</v>
      </c>
      <c r="N249" s="116">
        <v>176.1875</v>
      </c>
      <c r="O249" s="116">
        <v>172.35</v>
      </c>
      <c r="P249" s="116">
        <v>175.25</v>
      </c>
      <c r="Q249" s="116">
        <v>694.6</v>
      </c>
      <c r="R249">
        <v>44353</v>
      </c>
    </row>
    <row r="250" spans="1:18" x14ac:dyDescent="0.25">
      <c r="A250" s="170">
        <v>44904</v>
      </c>
      <c r="B250" s="116">
        <v>175.5</v>
      </c>
      <c r="C250" s="116">
        <v>173.38749999999999</v>
      </c>
      <c r="D250" s="116">
        <v>172.51249999999999</v>
      </c>
      <c r="E250" s="116">
        <v>174.32499999999999</v>
      </c>
      <c r="F250" s="116">
        <v>693.55</v>
      </c>
      <c r="G250">
        <v>683</v>
      </c>
      <c r="H250" s="116"/>
      <c r="I250" s="116"/>
      <c r="L250" s="170">
        <v>44904</v>
      </c>
      <c r="M250" s="116">
        <v>173.38749999999999</v>
      </c>
      <c r="N250" s="116">
        <v>175.72499999999999</v>
      </c>
      <c r="O250" s="116">
        <v>172.5</v>
      </c>
      <c r="P250" s="116">
        <v>175</v>
      </c>
      <c r="Q250" s="116">
        <v>693.55</v>
      </c>
      <c r="R250">
        <v>24298</v>
      </c>
    </row>
    <row r="251" spans="1:18" x14ac:dyDescent="0.25">
      <c r="A251" s="170">
        <v>44907</v>
      </c>
      <c r="B251" s="116">
        <v>173.75</v>
      </c>
      <c r="C251" s="116">
        <v>172.9375</v>
      </c>
      <c r="D251" s="116">
        <v>171.02500000000001</v>
      </c>
      <c r="E251" s="116">
        <v>171.51249999999999</v>
      </c>
      <c r="F251" s="116">
        <v>691.75</v>
      </c>
      <c r="G251">
        <v>2688</v>
      </c>
      <c r="H251" s="116"/>
      <c r="I251" s="116"/>
      <c r="L251" s="170">
        <v>44907</v>
      </c>
      <c r="M251" s="116">
        <v>173.1875</v>
      </c>
      <c r="N251" s="116">
        <v>173.75</v>
      </c>
      <c r="O251" s="116">
        <v>170.88749999999999</v>
      </c>
      <c r="P251" s="116">
        <v>173.38749999999999</v>
      </c>
      <c r="Q251" s="116">
        <v>692.75</v>
      </c>
      <c r="R251">
        <v>15894</v>
      </c>
    </row>
    <row r="252" spans="1:18" x14ac:dyDescent="0.25">
      <c r="A252" s="170">
        <v>44908</v>
      </c>
      <c r="B252" s="116">
        <v>173.7</v>
      </c>
      <c r="C252" s="116">
        <v>172.41249999999999</v>
      </c>
      <c r="D252" s="116">
        <v>169.97499999999999</v>
      </c>
      <c r="E252" s="116">
        <v>172.97499999999999</v>
      </c>
      <c r="F252" s="116">
        <v>689.65</v>
      </c>
      <c r="G252">
        <v>3731</v>
      </c>
      <c r="H252" s="116"/>
      <c r="I252" s="116"/>
      <c r="L252" s="170">
        <v>44908</v>
      </c>
      <c r="M252" s="116">
        <v>172.32499999999999</v>
      </c>
      <c r="N252" s="116">
        <v>174</v>
      </c>
      <c r="O252" s="116">
        <v>170</v>
      </c>
      <c r="P252" s="116">
        <v>173.75</v>
      </c>
      <c r="Q252" s="116">
        <v>689.3</v>
      </c>
      <c r="R252">
        <v>53027</v>
      </c>
    </row>
    <row r="253" spans="1:18" x14ac:dyDescent="0.25">
      <c r="A253" s="170">
        <v>44909</v>
      </c>
      <c r="B253" s="116">
        <v>174.125</v>
      </c>
      <c r="C253" s="116">
        <v>172.0625</v>
      </c>
      <c r="D253" s="116">
        <v>169.53749999999999</v>
      </c>
      <c r="E253" s="116">
        <v>169.53749999999999</v>
      </c>
      <c r="F253" s="116">
        <v>688.25</v>
      </c>
      <c r="G253">
        <v>3034</v>
      </c>
      <c r="H253" s="116"/>
      <c r="I253" s="116"/>
      <c r="L253" s="170">
        <v>44909</v>
      </c>
      <c r="M253" s="116">
        <v>172.4</v>
      </c>
      <c r="N253" s="116">
        <v>174.08750000000001</v>
      </c>
      <c r="O253" s="116">
        <v>170.95</v>
      </c>
      <c r="P253" s="116">
        <v>173.9375</v>
      </c>
      <c r="Q253" s="116">
        <v>689.6</v>
      </c>
      <c r="R253">
        <v>43296</v>
      </c>
    </row>
    <row r="254" spans="1:18" x14ac:dyDescent="0.25">
      <c r="A254" s="170">
        <v>44910</v>
      </c>
      <c r="B254" s="116">
        <v>173.73750000000001</v>
      </c>
      <c r="C254" s="116">
        <v>171.27500000000001</v>
      </c>
      <c r="D254" s="116">
        <v>170.27500000000001</v>
      </c>
      <c r="E254" s="116">
        <v>173.73750000000001</v>
      </c>
      <c r="F254" s="116">
        <v>685.1</v>
      </c>
      <c r="G254">
        <v>1378</v>
      </c>
      <c r="H254" s="116"/>
      <c r="I254" s="116"/>
      <c r="L254" s="170">
        <v>44910</v>
      </c>
      <c r="M254" s="116">
        <v>171.55</v>
      </c>
      <c r="N254" s="116">
        <v>173.6875</v>
      </c>
      <c r="O254" s="116">
        <v>170.15</v>
      </c>
      <c r="P254" s="116">
        <v>173.6875</v>
      </c>
      <c r="Q254" s="116">
        <v>686.2</v>
      </c>
      <c r="R254">
        <v>22261</v>
      </c>
    </row>
    <row r="255" spans="1:18" x14ac:dyDescent="0.25">
      <c r="A255" s="170">
        <v>44911</v>
      </c>
      <c r="B255" s="116">
        <v>171.875</v>
      </c>
      <c r="C255" s="116">
        <v>169.85</v>
      </c>
      <c r="D255" s="116">
        <v>166.73750000000001</v>
      </c>
      <c r="E255" s="116">
        <v>167.71250000000001</v>
      </c>
      <c r="F255" s="116">
        <v>679.4</v>
      </c>
      <c r="G255">
        <v>4240</v>
      </c>
      <c r="H255" s="116"/>
      <c r="I255" s="116"/>
      <c r="L255" s="170">
        <v>44911</v>
      </c>
      <c r="M255" s="116">
        <v>170.13749999999999</v>
      </c>
      <c r="N255" s="116">
        <v>172.17500000000001</v>
      </c>
      <c r="O255" s="116">
        <v>165</v>
      </c>
      <c r="P255" s="116">
        <v>171.55</v>
      </c>
      <c r="Q255" s="116">
        <v>680.55</v>
      </c>
      <c r="R255">
        <v>41837</v>
      </c>
    </row>
    <row r="256" spans="1:18" x14ac:dyDescent="0.25">
      <c r="A256" s="170">
        <v>44914</v>
      </c>
      <c r="B256" s="116">
        <v>171.78749999999999</v>
      </c>
      <c r="C256" s="116">
        <v>169.1875</v>
      </c>
      <c r="D256" s="116">
        <v>166.73750000000001</v>
      </c>
      <c r="E256" s="116">
        <v>166.73750000000001</v>
      </c>
      <c r="F256" s="116">
        <v>676.75</v>
      </c>
      <c r="G256">
        <v>979</v>
      </c>
      <c r="H256" s="116"/>
      <c r="I256" s="116"/>
      <c r="L256" s="170">
        <v>44914</v>
      </c>
      <c r="M256" s="116">
        <v>169.53749999999999</v>
      </c>
      <c r="N256" s="116">
        <v>172</v>
      </c>
      <c r="O256" s="116">
        <v>168.45</v>
      </c>
      <c r="P256" s="116">
        <v>168.5625</v>
      </c>
      <c r="Q256" s="116">
        <v>678.15</v>
      </c>
      <c r="R256">
        <v>27149</v>
      </c>
    </row>
    <row r="257" spans="1:18" x14ac:dyDescent="0.25">
      <c r="A257" s="170">
        <v>44915</v>
      </c>
      <c r="B257" s="116">
        <v>171.5</v>
      </c>
      <c r="C257" s="116">
        <v>170.21250000000001</v>
      </c>
      <c r="D257" s="116">
        <v>168.53749999999999</v>
      </c>
      <c r="E257" s="116">
        <v>171.46250000000001</v>
      </c>
      <c r="F257" s="116">
        <v>680.85</v>
      </c>
      <c r="G257">
        <v>507</v>
      </c>
      <c r="H257" s="116"/>
      <c r="I257" s="116"/>
      <c r="L257" s="170">
        <v>44915</v>
      </c>
      <c r="M257" s="116">
        <v>169.91249999999999</v>
      </c>
      <c r="N257" s="116">
        <v>173.1</v>
      </c>
      <c r="O257" s="116">
        <v>168.625</v>
      </c>
      <c r="P257" s="116">
        <v>169.53749999999999</v>
      </c>
      <c r="Q257" s="116">
        <v>679.65</v>
      </c>
      <c r="R257">
        <v>160061</v>
      </c>
    </row>
    <row r="258" spans="1:18" x14ac:dyDescent="0.25">
      <c r="A258" s="170">
        <v>44916</v>
      </c>
      <c r="B258" s="116">
        <v>171</v>
      </c>
      <c r="C258" s="116">
        <v>169.9375</v>
      </c>
      <c r="D258" s="116">
        <v>167.5</v>
      </c>
      <c r="E258" s="116">
        <v>169.96250000000001</v>
      </c>
      <c r="F258" s="116">
        <v>679.75</v>
      </c>
      <c r="G258">
        <v>4264</v>
      </c>
      <c r="H258" s="116"/>
      <c r="I258" s="116"/>
      <c r="L258" s="170">
        <v>44916</v>
      </c>
      <c r="M258" s="116">
        <v>169.9375</v>
      </c>
      <c r="N258" s="116">
        <v>172.48750000000001</v>
      </c>
      <c r="O258" s="116">
        <v>168.13749999999999</v>
      </c>
      <c r="P258" s="116">
        <v>170.98750000000001</v>
      </c>
      <c r="Q258" s="116">
        <v>679.75</v>
      </c>
      <c r="R258">
        <v>37890</v>
      </c>
    </row>
    <row r="259" spans="1:18" x14ac:dyDescent="0.25">
      <c r="A259" s="170">
        <v>44917</v>
      </c>
      <c r="B259" s="116">
        <v>171.07499999999999</v>
      </c>
      <c r="C259" s="116">
        <v>167.42500000000001</v>
      </c>
      <c r="D259" s="116">
        <v>163.98750000000001</v>
      </c>
      <c r="E259" s="116">
        <v>167.51249999999999</v>
      </c>
      <c r="F259" s="116">
        <v>669.7</v>
      </c>
      <c r="G259">
        <v>2955</v>
      </c>
      <c r="H259" s="116"/>
      <c r="I259" s="116"/>
      <c r="L259" s="170">
        <v>44917</v>
      </c>
      <c r="M259" s="116">
        <v>167.41249999999999</v>
      </c>
      <c r="N259" s="116">
        <v>170.88749999999999</v>
      </c>
      <c r="O259" s="116">
        <v>164.125</v>
      </c>
      <c r="P259" s="116">
        <v>169.375</v>
      </c>
      <c r="Q259" s="116">
        <v>669.65</v>
      </c>
      <c r="R259">
        <v>47897</v>
      </c>
    </row>
    <row r="260" spans="1:18" x14ac:dyDescent="0.25">
      <c r="A260" s="170">
        <v>44918</v>
      </c>
      <c r="B260" s="116">
        <v>167.48750000000001</v>
      </c>
      <c r="C260" s="116">
        <v>165.67500000000001</v>
      </c>
      <c r="D260" s="116">
        <v>163.9</v>
      </c>
      <c r="E260" s="116">
        <v>166.01249999999999</v>
      </c>
      <c r="F260" s="116">
        <v>662.7</v>
      </c>
      <c r="G260">
        <v>4216</v>
      </c>
      <c r="H260" s="116"/>
      <c r="I260" s="116"/>
      <c r="L260" s="170">
        <v>44918</v>
      </c>
      <c r="M260" s="116">
        <v>165.91249999999999</v>
      </c>
      <c r="N260" s="116">
        <v>167.5</v>
      </c>
      <c r="O260" s="116">
        <v>163.9375</v>
      </c>
      <c r="P260" s="116">
        <v>167</v>
      </c>
      <c r="Q260" s="116">
        <v>663.65</v>
      </c>
      <c r="R260">
        <v>37797</v>
      </c>
    </row>
    <row r="261" spans="1:18" x14ac:dyDescent="0.25">
      <c r="A261" s="170">
        <v>44921</v>
      </c>
      <c r="B261" s="116">
        <v>172.1875</v>
      </c>
      <c r="C261" s="116">
        <v>171.4375</v>
      </c>
      <c r="D261" s="116">
        <v>164.8</v>
      </c>
      <c r="E261" s="116">
        <v>165.0625</v>
      </c>
      <c r="F261" s="116">
        <v>685.75</v>
      </c>
      <c r="G261">
        <v>1657</v>
      </c>
      <c r="H261" s="116"/>
      <c r="I261" s="116"/>
      <c r="L261" s="170">
        <v>44921</v>
      </c>
      <c r="M261" s="116">
        <v>171.47499999999999</v>
      </c>
      <c r="N261" s="116">
        <v>172.48750000000001</v>
      </c>
      <c r="O261" s="116">
        <v>164.6875</v>
      </c>
      <c r="P261" s="116">
        <v>165.0625</v>
      </c>
      <c r="Q261" s="116">
        <v>685.9</v>
      </c>
      <c r="R261">
        <v>42699</v>
      </c>
    </row>
    <row r="262" spans="1:18" x14ac:dyDescent="0.25">
      <c r="A262" s="170">
        <v>44922</v>
      </c>
      <c r="B262" s="116">
        <v>173.98750000000001</v>
      </c>
      <c r="C262" s="116">
        <v>173.4</v>
      </c>
      <c r="D262" s="116">
        <v>171.5</v>
      </c>
      <c r="E262" s="116">
        <v>171.67500000000001</v>
      </c>
      <c r="F262" s="116">
        <v>693.6</v>
      </c>
      <c r="G262">
        <v>638</v>
      </c>
      <c r="H262" s="116"/>
      <c r="I262" s="116"/>
      <c r="L262" s="170">
        <v>44922</v>
      </c>
      <c r="M262" s="116">
        <v>173.82499999999999</v>
      </c>
      <c r="N262" s="116">
        <v>174.25</v>
      </c>
      <c r="O262" s="116">
        <v>171.1875</v>
      </c>
      <c r="P262" s="116">
        <v>172.5</v>
      </c>
      <c r="Q262" s="116">
        <v>695.3</v>
      </c>
      <c r="R262">
        <v>21623</v>
      </c>
    </row>
    <row r="263" spans="1:18" x14ac:dyDescent="0.25">
      <c r="A263" s="170">
        <v>44923</v>
      </c>
      <c r="B263" s="116">
        <v>174.25</v>
      </c>
      <c r="C263" s="116">
        <v>172.625</v>
      </c>
      <c r="D263" s="116">
        <v>172.5</v>
      </c>
      <c r="E263" s="116">
        <v>173.9</v>
      </c>
      <c r="F263" s="116">
        <v>690.5</v>
      </c>
      <c r="G263">
        <v>111</v>
      </c>
      <c r="H263" s="116"/>
      <c r="I263" s="116"/>
      <c r="L263" s="170">
        <v>44923</v>
      </c>
      <c r="M263" s="116">
        <v>172.96250000000001</v>
      </c>
      <c r="N263" s="116">
        <v>174.36250000000001</v>
      </c>
      <c r="O263" s="116">
        <v>172.5</v>
      </c>
      <c r="P263" s="116">
        <v>173</v>
      </c>
      <c r="Q263" s="116">
        <v>691.85</v>
      </c>
      <c r="R263">
        <v>8860</v>
      </c>
    </row>
    <row r="264" spans="1:18" x14ac:dyDescent="0.25">
      <c r="A264" s="170">
        <v>44924</v>
      </c>
      <c r="B264" s="116">
        <v>175.1875</v>
      </c>
      <c r="C264" s="116">
        <v>174.98750000000001</v>
      </c>
      <c r="D264" s="116">
        <v>172.83750000000001</v>
      </c>
      <c r="E264" s="116">
        <v>173.41249999999999</v>
      </c>
      <c r="F264" s="116">
        <v>699.95</v>
      </c>
      <c r="G264">
        <v>187</v>
      </c>
      <c r="H264" s="116"/>
      <c r="I264" s="116"/>
      <c r="L264" s="170">
        <v>44924</v>
      </c>
      <c r="M264" s="116">
        <v>174.875</v>
      </c>
      <c r="N264" s="116">
        <v>175</v>
      </c>
      <c r="O264" s="116">
        <v>172.9</v>
      </c>
      <c r="P264" s="116">
        <v>173.21250000000001</v>
      </c>
      <c r="Q264" s="116">
        <v>699.5</v>
      </c>
      <c r="R264">
        <v>11611</v>
      </c>
    </row>
    <row r="265" spans="1:18" x14ac:dyDescent="0.25">
      <c r="A265" s="170">
        <v>44925</v>
      </c>
      <c r="B265" s="116">
        <v>176.57499999999999</v>
      </c>
      <c r="C265" s="116">
        <v>175.36250000000001</v>
      </c>
      <c r="D265" s="116">
        <v>174.5</v>
      </c>
      <c r="E265" s="116">
        <v>175.38749999999999</v>
      </c>
      <c r="F265" s="116">
        <v>701.45</v>
      </c>
      <c r="G265">
        <v>3873</v>
      </c>
      <c r="H265" s="116"/>
      <c r="I265" s="116"/>
      <c r="L265" s="170">
        <v>44925</v>
      </c>
      <c r="M265" s="116">
        <v>175.38749999999999</v>
      </c>
      <c r="N265" s="116">
        <v>176.71250000000001</v>
      </c>
      <c r="O265" s="116">
        <v>174.53749999999999</v>
      </c>
      <c r="P265" s="116">
        <v>175.5</v>
      </c>
      <c r="Q265" s="116">
        <v>701.55</v>
      </c>
      <c r="R265">
        <v>14393</v>
      </c>
    </row>
    <row r="266" spans="1:18" x14ac:dyDescent="0.25">
      <c r="A266" s="170">
        <v>44928</v>
      </c>
      <c r="B266" s="116">
        <v>177</v>
      </c>
      <c r="C266" s="116">
        <v>175.5625</v>
      </c>
      <c r="D266" s="116">
        <v>175.3125</v>
      </c>
      <c r="E266" s="116">
        <v>176</v>
      </c>
      <c r="F266" s="116">
        <v>702.25</v>
      </c>
      <c r="G266">
        <v>2238</v>
      </c>
      <c r="H266" s="116"/>
      <c r="I266" s="116"/>
      <c r="L266" s="170">
        <v>44928</v>
      </c>
      <c r="M266" s="116">
        <v>175.8125</v>
      </c>
      <c r="N266" s="116">
        <v>176.6875</v>
      </c>
      <c r="O266" s="116">
        <v>175.21250000000001</v>
      </c>
      <c r="P266" s="116">
        <v>176.6875</v>
      </c>
      <c r="Q266" s="116">
        <v>703.25</v>
      </c>
      <c r="R266">
        <v>9193</v>
      </c>
    </row>
    <row r="267" spans="1:18" x14ac:dyDescent="0.25">
      <c r="A267" s="170">
        <v>44929</v>
      </c>
      <c r="B267" s="116">
        <v>176.5</v>
      </c>
      <c r="C267" s="116">
        <v>174.125</v>
      </c>
      <c r="D267" s="116">
        <v>172.3</v>
      </c>
      <c r="E267" s="116">
        <v>172.3</v>
      </c>
      <c r="F267" s="116">
        <v>696.5</v>
      </c>
      <c r="G267">
        <v>1195</v>
      </c>
      <c r="H267" s="116"/>
      <c r="I267" s="116"/>
      <c r="L267" s="170">
        <v>44929</v>
      </c>
      <c r="M267" s="116">
        <v>176.08750000000001</v>
      </c>
      <c r="N267" s="116">
        <v>176.4375</v>
      </c>
      <c r="O267" s="116">
        <v>175.4375</v>
      </c>
      <c r="P267" s="116">
        <v>176.4375</v>
      </c>
      <c r="Q267" s="116">
        <v>704.35</v>
      </c>
      <c r="R267">
        <v>19261</v>
      </c>
    </row>
    <row r="268" spans="1:18" x14ac:dyDescent="0.25">
      <c r="A268" s="170">
        <v>44930</v>
      </c>
      <c r="B268" s="116">
        <v>179.51249999999999</v>
      </c>
      <c r="C268" s="116">
        <v>179.17500000000001</v>
      </c>
      <c r="D268" s="116">
        <v>176.33750000000001</v>
      </c>
      <c r="E268" s="116">
        <v>176.33750000000001</v>
      </c>
      <c r="F268" s="116">
        <v>716.7</v>
      </c>
      <c r="G268">
        <v>8992</v>
      </c>
      <c r="H268" s="116"/>
      <c r="I268" s="116"/>
      <c r="L268" s="170">
        <v>44930</v>
      </c>
      <c r="M268" s="116">
        <v>179.01249999999999</v>
      </c>
      <c r="N268" s="116">
        <v>179.51249999999999</v>
      </c>
      <c r="O268" s="116">
        <v>176.08750000000001</v>
      </c>
      <c r="P268" s="116">
        <v>176.08750000000001</v>
      </c>
      <c r="Q268" s="116">
        <v>716.05</v>
      </c>
      <c r="R268">
        <v>353047</v>
      </c>
    </row>
    <row r="269" spans="1:18" x14ac:dyDescent="0.25">
      <c r="A269" s="170">
        <v>44931</v>
      </c>
      <c r="B269" s="116">
        <v>189.05</v>
      </c>
      <c r="C269" s="116">
        <v>183.22499999999999</v>
      </c>
      <c r="D269" s="116">
        <v>179.57499999999999</v>
      </c>
      <c r="E269" s="116">
        <v>179.57499999999999</v>
      </c>
      <c r="F269" s="116">
        <v>732.9</v>
      </c>
      <c r="G269">
        <v>20452</v>
      </c>
      <c r="H269" s="116"/>
      <c r="I269" s="116"/>
      <c r="L269" s="170">
        <v>44931</v>
      </c>
      <c r="M269" s="116">
        <v>183.47499999999999</v>
      </c>
      <c r="N269" s="116">
        <v>188.98750000000001</v>
      </c>
      <c r="O269" s="116">
        <v>180.15</v>
      </c>
      <c r="P269" s="116">
        <v>180.15</v>
      </c>
      <c r="Q269" s="116">
        <v>733.9</v>
      </c>
      <c r="R269">
        <v>200965</v>
      </c>
    </row>
    <row r="270" spans="1:18" x14ac:dyDescent="0.25">
      <c r="A270" s="170">
        <v>44932</v>
      </c>
      <c r="B270" s="116">
        <v>187.15</v>
      </c>
      <c r="C270" s="116">
        <v>185.4375</v>
      </c>
      <c r="D270" s="116">
        <v>184.1</v>
      </c>
      <c r="E270" s="116">
        <v>185</v>
      </c>
      <c r="F270" s="116">
        <v>741.75</v>
      </c>
      <c r="G270">
        <v>2730</v>
      </c>
      <c r="H270" s="116"/>
      <c r="I270" s="116"/>
      <c r="L270" s="170">
        <v>44932</v>
      </c>
      <c r="M270" s="116">
        <v>185.41249999999999</v>
      </c>
      <c r="N270" s="116">
        <v>186.5</v>
      </c>
      <c r="O270" s="116">
        <v>183.76249999999999</v>
      </c>
      <c r="P270" s="116">
        <v>184.75</v>
      </c>
      <c r="Q270" s="116">
        <v>741.65</v>
      </c>
      <c r="R270">
        <v>81715</v>
      </c>
    </row>
    <row r="271" spans="1:18" x14ac:dyDescent="0.25">
      <c r="A271" s="170">
        <v>44935</v>
      </c>
      <c r="B271" s="116">
        <v>189.97499999999999</v>
      </c>
      <c r="C271" s="116">
        <v>188.82499999999999</v>
      </c>
      <c r="D271" s="116">
        <v>185.41249999999999</v>
      </c>
      <c r="E271" s="116">
        <v>186.51249999999999</v>
      </c>
      <c r="F271" s="116">
        <v>755.3</v>
      </c>
      <c r="G271">
        <v>4540</v>
      </c>
      <c r="H271" s="116"/>
      <c r="I271" s="116"/>
      <c r="L271" s="170">
        <v>44935</v>
      </c>
      <c r="M271" s="116">
        <v>188.6</v>
      </c>
      <c r="N271" s="116">
        <v>189.98750000000001</v>
      </c>
      <c r="O271" s="116">
        <v>185.52500000000001</v>
      </c>
      <c r="P271" s="116">
        <v>188</v>
      </c>
      <c r="Q271" s="116">
        <v>754.4</v>
      </c>
      <c r="R271">
        <v>137759</v>
      </c>
    </row>
    <row r="272" spans="1:18" x14ac:dyDescent="0.25">
      <c r="A272" s="170">
        <v>44936</v>
      </c>
      <c r="B272" s="116">
        <v>191.9375</v>
      </c>
      <c r="C272" s="116">
        <v>186.4</v>
      </c>
      <c r="D272" s="116">
        <v>185.51249999999999</v>
      </c>
      <c r="E272" s="116">
        <v>188.5</v>
      </c>
      <c r="F272" s="116">
        <v>745.6</v>
      </c>
      <c r="G272">
        <v>3823</v>
      </c>
      <c r="H272" s="116"/>
      <c r="I272" s="116"/>
      <c r="L272" s="170">
        <v>44936</v>
      </c>
      <c r="M272" s="116">
        <v>186.51249999999999</v>
      </c>
      <c r="N272" s="116">
        <v>192</v>
      </c>
      <c r="O272" s="116">
        <v>185.77500000000001</v>
      </c>
      <c r="P272" s="116">
        <v>188.03749999999999</v>
      </c>
      <c r="Q272" s="116">
        <v>746.05</v>
      </c>
      <c r="R272">
        <v>67177</v>
      </c>
    </row>
    <row r="273" spans="1:18" x14ac:dyDescent="0.25">
      <c r="A273" s="170">
        <v>44937</v>
      </c>
      <c r="B273" s="116">
        <v>187.9375</v>
      </c>
      <c r="C273" s="116">
        <v>184.97499999999999</v>
      </c>
      <c r="D273" s="116">
        <v>184.71250000000001</v>
      </c>
      <c r="E273" s="116">
        <v>187</v>
      </c>
      <c r="F273" s="116">
        <v>739.9</v>
      </c>
      <c r="G273">
        <v>1037</v>
      </c>
      <c r="H273" s="116"/>
      <c r="I273" s="116"/>
      <c r="L273" s="170">
        <v>44937</v>
      </c>
      <c r="M273" s="116">
        <v>185.3</v>
      </c>
      <c r="N273" s="116">
        <v>188</v>
      </c>
      <c r="O273" s="116">
        <v>184.55</v>
      </c>
      <c r="P273" s="116">
        <v>186.25</v>
      </c>
      <c r="Q273" s="116">
        <v>741.2</v>
      </c>
      <c r="R273">
        <v>43813</v>
      </c>
    </row>
    <row r="274" spans="1:18" x14ac:dyDescent="0.25">
      <c r="A274" s="170">
        <v>44938</v>
      </c>
      <c r="B274" s="116">
        <v>190</v>
      </c>
      <c r="C274" s="116">
        <v>188.7</v>
      </c>
      <c r="D274" s="116">
        <v>186.85</v>
      </c>
      <c r="E274" s="116">
        <v>188.23750000000001</v>
      </c>
      <c r="F274" s="116">
        <v>754.8</v>
      </c>
      <c r="G274">
        <v>5017</v>
      </c>
      <c r="H274" s="116"/>
      <c r="I274" s="116"/>
      <c r="L274" s="170">
        <v>44938</v>
      </c>
      <c r="M274" s="116">
        <v>188.63749999999999</v>
      </c>
      <c r="N274" s="116">
        <v>190</v>
      </c>
      <c r="O274" s="116">
        <v>186.52500000000001</v>
      </c>
      <c r="P274" s="116">
        <v>188.17500000000001</v>
      </c>
      <c r="Q274" s="116">
        <v>754.55</v>
      </c>
      <c r="R274">
        <v>103865</v>
      </c>
    </row>
    <row r="275" spans="1:18" x14ac:dyDescent="0.25">
      <c r="A275" s="170">
        <v>44939</v>
      </c>
      <c r="B275" s="116">
        <v>195</v>
      </c>
      <c r="C275" s="116">
        <v>192.38749999999999</v>
      </c>
      <c r="D275" s="116">
        <v>184.01249999999999</v>
      </c>
      <c r="E275" s="116">
        <v>188.01249999999999</v>
      </c>
      <c r="F275" s="116">
        <v>769.55</v>
      </c>
      <c r="G275">
        <v>40444</v>
      </c>
      <c r="H275" s="116"/>
      <c r="I275" s="116"/>
      <c r="L275" s="170">
        <v>44939</v>
      </c>
      <c r="M275" s="116">
        <v>193.1875</v>
      </c>
      <c r="N275" s="116">
        <v>195</v>
      </c>
      <c r="O275" s="116">
        <v>184.01249999999999</v>
      </c>
      <c r="P275" s="116">
        <v>188.75</v>
      </c>
      <c r="Q275" s="116">
        <v>772.75</v>
      </c>
      <c r="R275">
        <v>367163</v>
      </c>
    </row>
    <row r="276" spans="1:18" x14ac:dyDescent="0.25">
      <c r="A276" s="170">
        <v>44942</v>
      </c>
      <c r="B276" s="116">
        <v>200.1</v>
      </c>
      <c r="C276" s="116">
        <v>197.98750000000001</v>
      </c>
      <c r="D276" s="116">
        <v>195.2</v>
      </c>
      <c r="E276" s="116">
        <v>196.25</v>
      </c>
      <c r="F276" s="116">
        <v>791.95</v>
      </c>
      <c r="G276">
        <v>11413</v>
      </c>
      <c r="H276" s="116"/>
      <c r="I276" s="116"/>
      <c r="L276" s="170">
        <v>44942</v>
      </c>
      <c r="M276" s="116">
        <v>198.21250000000001</v>
      </c>
      <c r="N276" s="116">
        <v>199.97499999999999</v>
      </c>
      <c r="O276" s="116">
        <v>194.875</v>
      </c>
      <c r="P276" s="116">
        <v>196.25</v>
      </c>
      <c r="Q276" s="116">
        <v>792.85</v>
      </c>
      <c r="R276">
        <v>247401</v>
      </c>
    </row>
    <row r="277" spans="1:18" x14ac:dyDescent="0.25">
      <c r="A277" s="170">
        <v>44943</v>
      </c>
      <c r="B277" s="116">
        <v>209.1875</v>
      </c>
      <c r="C277" s="116">
        <v>202.57499999999999</v>
      </c>
      <c r="D277" s="116">
        <v>195.01249999999999</v>
      </c>
      <c r="E277" s="116">
        <v>195.01249999999999</v>
      </c>
      <c r="F277" s="116">
        <v>810.3</v>
      </c>
      <c r="G277">
        <v>13517</v>
      </c>
      <c r="H277" s="116"/>
      <c r="I277" s="116"/>
      <c r="L277" s="170">
        <v>44943</v>
      </c>
      <c r="M277" s="116">
        <v>202.77500000000001</v>
      </c>
      <c r="N277" s="116">
        <v>211.17500000000001</v>
      </c>
      <c r="O277" s="116">
        <v>197.2</v>
      </c>
      <c r="P277" s="116">
        <v>199.42500000000001</v>
      </c>
      <c r="Q277" s="116">
        <v>811.1</v>
      </c>
      <c r="R277">
        <v>288354</v>
      </c>
    </row>
    <row r="278" spans="1:18" x14ac:dyDescent="0.25">
      <c r="A278" s="170">
        <v>44944</v>
      </c>
      <c r="B278" s="116">
        <v>209.73750000000001</v>
      </c>
      <c r="C278" s="116">
        <v>204.38749999999999</v>
      </c>
      <c r="D278" s="116">
        <v>203.01249999999999</v>
      </c>
      <c r="E278" s="116">
        <v>208.1</v>
      </c>
      <c r="F278" s="116">
        <v>817.55</v>
      </c>
      <c r="G278">
        <v>5965</v>
      </c>
      <c r="H278" s="116"/>
      <c r="I278" s="116"/>
      <c r="L278" s="170">
        <v>44944</v>
      </c>
      <c r="M278" s="116">
        <v>204.23750000000001</v>
      </c>
      <c r="N278" s="116">
        <v>209.75</v>
      </c>
      <c r="O278" s="116">
        <v>202.5</v>
      </c>
      <c r="P278" s="116">
        <v>204.8</v>
      </c>
      <c r="Q278" s="116">
        <v>816.95</v>
      </c>
      <c r="R278">
        <v>196862</v>
      </c>
    </row>
    <row r="279" spans="1:18" x14ac:dyDescent="0.25">
      <c r="A279" s="170">
        <v>44945</v>
      </c>
      <c r="B279" s="116">
        <v>212.25</v>
      </c>
      <c r="C279" s="116">
        <v>210.8125</v>
      </c>
      <c r="D279" s="116">
        <v>203.625</v>
      </c>
      <c r="E279" s="116">
        <v>204.375</v>
      </c>
      <c r="F279" s="116">
        <v>843.25</v>
      </c>
      <c r="G279">
        <v>15564</v>
      </c>
      <c r="H279" s="116"/>
      <c r="I279" s="116"/>
      <c r="L279" s="170">
        <v>44945</v>
      </c>
      <c r="M279" s="116">
        <v>211.05</v>
      </c>
      <c r="N279" s="116">
        <v>212.25</v>
      </c>
      <c r="O279" s="116">
        <v>203.63749999999999</v>
      </c>
      <c r="P279" s="116">
        <v>203.75</v>
      </c>
      <c r="Q279" s="116">
        <v>844.2</v>
      </c>
      <c r="R279">
        <v>296041</v>
      </c>
    </row>
    <row r="280" spans="1:18" x14ac:dyDescent="0.25">
      <c r="A280" s="170">
        <v>44946</v>
      </c>
      <c r="B280" s="116">
        <v>212.53749999999999</v>
      </c>
      <c r="C280" s="116">
        <v>210.42500000000001</v>
      </c>
      <c r="D280" s="116">
        <v>209.5</v>
      </c>
      <c r="E280" s="116">
        <v>212.5</v>
      </c>
      <c r="F280" s="116">
        <v>841.7</v>
      </c>
      <c r="G280">
        <v>3461</v>
      </c>
      <c r="H280" s="116"/>
      <c r="I280" s="116"/>
      <c r="L280" s="170">
        <v>44946</v>
      </c>
      <c r="M280" s="116">
        <v>211.01249999999999</v>
      </c>
      <c r="N280" s="116">
        <v>213.5625</v>
      </c>
      <c r="O280" s="116">
        <v>209</v>
      </c>
      <c r="P280" s="116">
        <v>213.2</v>
      </c>
      <c r="Q280" s="116">
        <v>844.05</v>
      </c>
      <c r="R280">
        <v>63672</v>
      </c>
    </row>
    <row r="281" spans="1:18" x14ac:dyDescent="0.25">
      <c r="A281" s="170">
        <v>44949</v>
      </c>
      <c r="B281" s="116">
        <v>210.625</v>
      </c>
      <c r="C281" s="116">
        <v>208.75</v>
      </c>
      <c r="D281" s="116">
        <v>207</v>
      </c>
      <c r="E281" s="116">
        <v>210.02500000000001</v>
      </c>
      <c r="F281" s="116">
        <v>835</v>
      </c>
      <c r="G281">
        <v>1090</v>
      </c>
      <c r="H281" s="116"/>
      <c r="I281" s="116"/>
      <c r="L281" s="170">
        <v>44949</v>
      </c>
      <c r="M281" s="116">
        <v>207.9375</v>
      </c>
      <c r="N281" s="116">
        <v>210.75</v>
      </c>
      <c r="O281" s="116">
        <v>206.9375</v>
      </c>
      <c r="P281" s="116">
        <v>210.75</v>
      </c>
      <c r="Q281" s="116">
        <v>831.75</v>
      </c>
      <c r="R281">
        <v>45353</v>
      </c>
    </row>
    <row r="282" spans="1:18" x14ac:dyDescent="0.25">
      <c r="A282" s="170">
        <v>44950</v>
      </c>
      <c r="B282" s="116">
        <v>212.25</v>
      </c>
      <c r="C282" s="116">
        <v>211.33750000000001</v>
      </c>
      <c r="D282" s="116">
        <v>208.41249999999999</v>
      </c>
      <c r="E282" s="116">
        <v>209.53749999999999</v>
      </c>
      <c r="F282" s="116">
        <v>845.35</v>
      </c>
      <c r="G282">
        <v>2920</v>
      </c>
      <c r="H282" s="116"/>
      <c r="I282" s="116"/>
      <c r="L282" s="170">
        <v>44950</v>
      </c>
      <c r="M282" s="116">
        <v>211.41249999999999</v>
      </c>
      <c r="N282" s="116">
        <v>212.21250000000001</v>
      </c>
      <c r="O282" s="116">
        <v>208.3125</v>
      </c>
      <c r="P282" s="116">
        <v>209.25</v>
      </c>
      <c r="Q282" s="116">
        <v>845.65</v>
      </c>
      <c r="R282">
        <v>58601</v>
      </c>
    </row>
    <row r="283" spans="1:18" x14ac:dyDescent="0.25">
      <c r="A283" s="170">
        <v>44951</v>
      </c>
      <c r="B283" s="116">
        <v>213.5</v>
      </c>
      <c r="C283" s="116">
        <v>209.96250000000001</v>
      </c>
      <c r="D283" s="116">
        <v>209.4</v>
      </c>
      <c r="E283" s="116">
        <v>213.5</v>
      </c>
      <c r="F283" s="116">
        <v>839.85</v>
      </c>
      <c r="G283">
        <v>2133</v>
      </c>
      <c r="H283" s="116"/>
      <c r="I283" s="116"/>
      <c r="L283" s="170">
        <v>44951</v>
      </c>
      <c r="M283" s="116">
        <v>209.66249999999999</v>
      </c>
      <c r="N283" s="116">
        <v>213.16249999999999</v>
      </c>
      <c r="O283" s="116">
        <v>208.875</v>
      </c>
      <c r="P283" s="116">
        <v>212.36250000000001</v>
      </c>
      <c r="Q283" s="116">
        <v>838.65</v>
      </c>
      <c r="R283">
        <v>121785</v>
      </c>
    </row>
    <row r="284" spans="1:18" x14ac:dyDescent="0.25">
      <c r="A284" s="170">
        <v>44953</v>
      </c>
      <c r="B284" s="116">
        <v>210.5</v>
      </c>
      <c r="C284" s="116">
        <v>207.03749999999999</v>
      </c>
      <c r="D284" s="116">
        <v>203.77500000000001</v>
      </c>
      <c r="E284" s="116">
        <v>209.97499999999999</v>
      </c>
      <c r="F284" s="116">
        <v>828.15</v>
      </c>
      <c r="G284">
        <v>5597</v>
      </c>
      <c r="H284" s="116"/>
      <c r="I284" s="116"/>
      <c r="L284" s="170">
        <v>44953</v>
      </c>
      <c r="M284" s="116">
        <v>207.01249999999999</v>
      </c>
      <c r="N284" s="116">
        <v>210.88749999999999</v>
      </c>
      <c r="O284" s="116">
        <v>203.625</v>
      </c>
      <c r="P284" s="116">
        <v>210.13749999999999</v>
      </c>
      <c r="Q284" s="116">
        <v>828.05</v>
      </c>
      <c r="R284">
        <v>77910</v>
      </c>
    </row>
    <row r="285" spans="1:18" x14ac:dyDescent="0.25">
      <c r="A285" s="170">
        <v>44956</v>
      </c>
      <c r="B285" s="116">
        <v>209.21250000000001</v>
      </c>
      <c r="C285" s="116">
        <v>208.05</v>
      </c>
      <c r="D285" s="116">
        <v>191.36250000000001</v>
      </c>
      <c r="E285" s="116">
        <v>191.36250000000001</v>
      </c>
      <c r="F285" s="116">
        <v>832.2</v>
      </c>
      <c r="G285">
        <v>4923</v>
      </c>
      <c r="H285" s="116"/>
      <c r="I285" s="116"/>
      <c r="L285" s="170">
        <v>44956</v>
      </c>
      <c r="M285" s="116">
        <v>208</v>
      </c>
      <c r="N285" s="116">
        <v>209.01249999999999</v>
      </c>
      <c r="O285" s="116">
        <v>205.1</v>
      </c>
      <c r="P285" s="116">
        <v>208.42500000000001</v>
      </c>
      <c r="Q285" s="116">
        <v>832</v>
      </c>
      <c r="R285">
        <v>109895</v>
      </c>
    </row>
    <row r="286" spans="1:18" x14ac:dyDescent="0.25">
      <c r="A286" s="170">
        <v>44957</v>
      </c>
      <c r="B286" s="116">
        <v>210.26249999999999</v>
      </c>
      <c r="C286" s="116">
        <v>208.15</v>
      </c>
      <c r="D286" s="116">
        <v>207.45</v>
      </c>
      <c r="E286" s="116">
        <v>209.16249999999999</v>
      </c>
      <c r="F286" s="116">
        <v>832.6</v>
      </c>
      <c r="G286">
        <v>3176</v>
      </c>
      <c r="H286" s="116"/>
      <c r="I286" s="116"/>
      <c r="L286" s="170">
        <v>44957</v>
      </c>
      <c r="M286" s="116">
        <v>208.125</v>
      </c>
      <c r="N286" s="116">
        <v>210.36250000000001</v>
      </c>
      <c r="O286" s="116">
        <v>207.25</v>
      </c>
      <c r="P286" s="116">
        <v>208</v>
      </c>
      <c r="Q286" s="116">
        <v>832.5</v>
      </c>
      <c r="R286">
        <v>25521</v>
      </c>
    </row>
    <row r="287" spans="1:18" x14ac:dyDescent="0.25">
      <c r="A287" s="170">
        <v>44958</v>
      </c>
      <c r="B287" s="116">
        <v>215.3125</v>
      </c>
      <c r="C287" s="116">
        <v>199.73750000000001</v>
      </c>
      <c r="D287" s="116">
        <v>197.07499999999999</v>
      </c>
      <c r="E287" s="116">
        <v>214.96250000000001</v>
      </c>
      <c r="F287" s="116">
        <v>798.95</v>
      </c>
      <c r="G287">
        <v>21236</v>
      </c>
      <c r="H287" s="116"/>
      <c r="I287" s="116"/>
      <c r="L287" s="170">
        <v>44958</v>
      </c>
      <c r="M287" s="116">
        <v>199.625</v>
      </c>
      <c r="N287" s="116">
        <v>215.625</v>
      </c>
      <c r="O287" s="116">
        <v>197.1875</v>
      </c>
      <c r="P287" s="116">
        <v>209.25</v>
      </c>
      <c r="Q287" s="116">
        <v>798.5</v>
      </c>
      <c r="R287">
        <v>336223</v>
      </c>
    </row>
    <row r="288" spans="1:18" x14ac:dyDescent="0.25">
      <c r="A288" s="170">
        <v>44959</v>
      </c>
      <c r="B288" s="116">
        <v>202.5</v>
      </c>
      <c r="C288" s="116">
        <v>190.46250000000001</v>
      </c>
      <c r="D288" s="116">
        <v>188.0625</v>
      </c>
      <c r="E288" s="116">
        <v>201.1875</v>
      </c>
      <c r="F288" s="116">
        <v>761.85</v>
      </c>
      <c r="G288">
        <v>16733</v>
      </c>
      <c r="H288" s="116"/>
      <c r="I288" s="116"/>
      <c r="L288" s="170">
        <v>44959</v>
      </c>
      <c r="M288" s="116">
        <v>190.72499999999999</v>
      </c>
      <c r="N288" s="116">
        <v>202.67500000000001</v>
      </c>
      <c r="O288" s="116">
        <v>188.25</v>
      </c>
      <c r="P288" s="116">
        <v>201</v>
      </c>
      <c r="Q288" s="116">
        <v>762.9</v>
      </c>
      <c r="R288">
        <v>259228</v>
      </c>
    </row>
    <row r="289" spans="1:18" x14ac:dyDescent="0.25">
      <c r="A289" s="170">
        <v>44960</v>
      </c>
      <c r="B289" s="116">
        <v>192.36250000000001</v>
      </c>
      <c r="C289" s="116">
        <v>190.52500000000001</v>
      </c>
      <c r="D289" s="116">
        <v>188.1875</v>
      </c>
      <c r="E289" s="116">
        <v>188.97499999999999</v>
      </c>
      <c r="F289" s="116">
        <v>762.1</v>
      </c>
      <c r="G289">
        <v>5223</v>
      </c>
      <c r="H289" s="116"/>
      <c r="I289" s="116"/>
      <c r="L289" s="170">
        <v>44960</v>
      </c>
      <c r="M289" s="116">
        <v>190.78749999999999</v>
      </c>
      <c r="N289" s="116">
        <v>192.4</v>
      </c>
      <c r="O289" s="116">
        <v>188.13749999999999</v>
      </c>
      <c r="P289" s="116">
        <v>188.8125</v>
      </c>
      <c r="Q289" s="116">
        <v>763.15</v>
      </c>
      <c r="R289">
        <v>219601</v>
      </c>
    </row>
    <row r="290" spans="1:18" x14ac:dyDescent="0.25">
      <c r="A290" s="170">
        <v>44963</v>
      </c>
      <c r="B290" s="116">
        <v>199.36250000000001</v>
      </c>
      <c r="C290" s="116">
        <v>197.77500000000001</v>
      </c>
      <c r="D290" s="116">
        <v>188.78749999999999</v>
      </c>
      <c r="E290" s="116">
        <v>190.52500000000001</v>
      </c>
      <c r="F290" s="116">
        <v>791.1</v>
      </c>
      <c r="G290">
        <v>5845</v>
      </c>
      <c r="H290" s="116"/>
      <c r="I290" s="116"/>
      <c r="L290" s="170">
        <v>44963</v>
      </c>
      <c r="M290" s="116">
        <v>197.58750000000001</v>
      </c>
      <c r="N290" s="116">
        <v>199.75</v>
      </c>
      <c r="O290" s="116">
        <v>188.75</v>
      </c>
      <c r="P290" s="116">
        <v>192.48750000000001</v>
      </c>
      <c r="Q290" s="116">
        <v>790.35</v>
      </c>
      <c r="R290">
        <v>244553</v>
      </c>
    </row>
    <row r="291" spans="1:18" x14ac:dyDescent="0.25">
      <c r="A291" s="170">
        <v>44964</v>
      </c>
      <c r="B291" s="116">
        <v>199.82499999999999</v>
      </c>
      <c r="C291" s="116">
        <v>198.26249999999999</v>
      </c>
      <c r="D291" s="116">
        <v>196.53749999999999</v>
      </c>
      <c r="E291" s="116">
        <v>199.77500000000001</v>
      </c>
      <c r="F291" s="116">
        <v>793.05</v>
      </c>
      <c r="G291">
        <v>3711</v>
      </c>
      <c r="H291" s="116"/>
      <c r="I291" s="116"/>
      <c r="L291" s="170">
        <v>44964</v>
      </c>
      <c r="M291" s="116">
        <v>198.13749999999999</v>
      </c>
      <c r="N291" s="116">
        <v>201.52500000000001</v>
      </c>
      <c r="O291" s="116">
        <v>196.36250000000001</v>
      </c>
      <c r="P291" s="116">
        <v>199.75</v>
      </c>
      <c r="Q291" s="116">
        <v>792.55</v>
      </c>
      <c r="R291">
        <v>39778</v>
      </c>
    </row>
    <row r="292" spans="1:18" x14ac:dyDescent="0.25">
      <c r="A292" s="170">
        <v>44965</v>
      </c>
      <c r="B292" s="116">
        <v>202.41249999999999</v>
      </c>
      <c r="C292" s="116">
        <v>200.0625</v>
      </c>
      <c r="D292" s="116">
        <v>198.875</v>
      </c>
      <c r="E292" s="116">
        <v>200.25</v>
      </c>
      <c r="F292" s="116">
        <v>800.25</v>
      </c>
      <c r="G292">
        <v>4667</v>
      </c>
      <c r="H292" s="116"/>
      <c r="I292" s="116"/>
      <c r="L292" s="170">
        <v>44965</v>
      </c>
      <c r="M292" s="116">
        <v>199.95</v>
      </c>
      <c r="N292" s="116">
        <v>202.58750000000001</v>
      </c>
      <c r="O292" s="116">
        <v>198.875</v>
      </c>
      <c r="P292" s="116">
        <v>199.4375</v>
      </c>
      <c r="Q292" s="116">
        <v>799.8</v>
      </c>
      <c r="R292">
        <v>47245</v>
      </c>
    </row>
    <row r="293" spans="1:18" x14ac:dyDescent="0.25">
      <c r="A293" s="170">
        <v>44966</v>
      </c>
      <c r="B293" s="116">
        <v>207.01249999999999</v>
      </c>
      <c r="C293" s="116">
        <v>204.02500000000001</v>
      </c>
      <c r="D293" s="116">
        <v>200.52500000000001</v>
      </c>
      <c r="E293" s="116">
        <v>202.75</v>
      </c>
      <c r="F293" s="116">
        <v>816.1</v>
      </c>
      <c r="G293">
        <v>6065</v>
      </c>
      <c r="H293" s="116"/>
      <c r="I293" s="116"/>
      <c r="L293" s="170">
        <v>44966</v>
      </c>
      <c r="M293" s="116">
        <v>203.7</v>
      </c>
      <c r="N293" s="116">
        <v>207</v>
      </c>
      <c r="O293" s="116">
        <v>200.2</v>
      </c>
      <c r="P293" s="116">
        <v>202.5</v>
      </c>
      <c r="Q293" s="116">
        <v>814.8</v>
      </c>
      <c r="R293">
        <v>76370</v>
      </c>
    </row>
    <row r="294" spans="1:18" x14ac:dyDescent="0.25">
      <c r="A294" s="170">
        <v>44967</v>
      </c>
      <c r="B294" s="116">
        <v>204.8125</v>
      </c>
      <c r="C294" s="116">
        <v>201.66249999999999</v>
      </c>
      <c r="D294" s="116">
        <v>199.46250000000001</v>
      </c>
      <c r="E294" s="116">
        <v>204.1875</v>
      </c>
      <c r="F294" s="116">
        <v>806.65</v>
      </c>
      <c r="G294">
        <v>5444</v>
      </c>
      <c r="H294" s="116"/>
      <c r="I294" s="116"/>
      <c r="L294" s="170">
        <v>44967</v>
      </c>
      <c r="M294" s="116">
        <v>201.51249999999999</v>
      </c>
      <c r="N294" s="116">
        <v>204.75</v>
      </c>
      <c r="O294" s="116">
        <v>200.5</v>
      </c>
      <c r="P294" s="116">
        <v>204.125</v>
      </c>
      <c r="Q294" s="116">
        <v>806.05</v>
      </c>
      <c r="R294">
        <v>36553</v>
      </c>
    </row>
    <row r="295" spans="1:18" x14ac:dyDescent="0.25">
      <c r="A295" s="170">
        <v>44970</v>
      </c>
      <c r="B295" s="116">
        <v>208.5</v>
      </c>
      <c r="C295" s="116">
        <v>199.85</v>
      </c>
      <c r="D295" s="116">
        <v>196.71250000000001</v>
      </c>
      <c r="E295" s="116">
        <v>208.5</v>
      </c>
      <c r="F295" s="116">
        <v>799.4</v>
      </c>
      <c r="G295">
        <v>6072</v>
      </c>
      <c r="H295" s="116"/>
      <c r="I295" s="116"/>
      <c r="L295" s="170">
        <v>44970</v>
      </c>
      <c r="M295" s="116">
        <v>199.9375</v>
      </c>
      <c r="N295" s="116">
        <v>204.5</v>
      </c>
      <c r="O295" s="116">
        <v>196.92500000000001</v>
      </c>
      <c r="P295" s="116">
        <v>204.5</v>
      </c>
      <c r="Q295" s="116">
        <v>799.75</v>
      </c>
      <c r="R295">
        <v>69020</v>
      </c>
    </row>
    <row r="296" spans="1:18" x14ac:dyDescent="0.25">
      <c r="A296" s="170">
        <v>44971</v>
      </c>
      <c r="B296" s="116">
        <v>200.75</v>
      </c>
      <c r="C296" s="116">
        <v>198.97499999999999</v>
      </c>
      <c r="D296" s="116">
        <v>195.66249999999999</v>
      </c>
      <c r="E296" s="116">
        <v>200.75</v>
      </c>
      <c r="F296" s="116">
        <v>795.9</v>
      </c>
      <c r="G296">
        <v>2450</v>
      </c>
      <c r="H296" s="116"/>
      <c r="I296" s="116"/>
      <c r="L296" s="170">
        <v>44971</v>
      </c>
      <c r="M296" s="116">
        <v>198.45</v>
      </c>
      <c r="N296" s="116">
        <v>200.85</v>
      </c>
      <c r="O296" s="116">
        <v>195.75</v>
      </c>
      <c r="P296" s="116">
        <v>199.75</v>
      </c>
      <c r="Q296" s="116">
        <v>793.8</v>
      </c>
      <c r="R296">
        <v>44588</v>
      </c>
    </row>
    <row r="297" spans="1:18" x14ac:dyDescent="0.25">
      <c r="A297" s="170">
        <v>44972</v>
      </c>
      <c r="B297" s="116">
        <v>199.32499999999999</v>
      </c>
      <c r="C297" s="116">
        <v>198.03749999999999</v>
      </c>
      <c r="D297" s="116">
        <v>197.3125</v>
      </c>
      <c r="E297" s="116">
        <v>199.32499999999999</v>
      </c>
      <c r="F297" s="116">
        <v>792.15</v>
      </c>
      <c r="G297">
        <v>1782</v>
      </c>
      <c r="H297" s="116"/>
      <c r="I297" s="116"/>
      <c r="L297" s="170">
        <v>44972</v>
      </c>
      <c r="M297" s="116">
        <v>198.5625</v>
      </c>
      <c r="N297" s="116">
        <v>200.4375</v>
      </c>
      <c r="O297" s="116">
        <v>197.23750000000001</v>
      </c>
      <c r="P297" s="116">
        <v>200.4375</v>
      </c>
      <c r="Q297" s="116">
        <v>794.25</v>
      </c>
      <c r="R297">
        <v>32529</v>
      </c>
    </row>
    <row r="298" spans="1:18" x14ac:dyDescent="0.25">
      <c r="A298" s="170">
        <v>44973</v>
      </c>
      <c r="B298" s="116">
        <v>199.27500000000001</v>
      </c>
      <c r="C298" s="116">
        <v>195.01249999999999</v>
      </c>
      <c r="D298" s="116">
        <v>194.3125</v>
      </c>
      <c r="E298" s="116">
        <v>198.9375</v>
      </c>
      <c r="F298" s="116">
        <v>780.05</v>
      </c>
      <c r="G298">
        <v>2153</v>
      </c>
      <c r="H298" s="116"/>
      <c r="I298" s="116"/>
      <c r="L298" s="170">
        <v>44973</v>
      </c>
      <c r="M298" s="116">
        <v>194.85</v>
      </c>
      <c r="N298" s="116">
        <v>199.5</v>
      </c>
      <c r="O298" s="116">
        <v>194.25</v>
      </c>
      <c r="P298" s="116">
        <v>199.28749999999999</v>
      </c>
      <c r="Q298" s="116">
        <v>779.4</v>
      </c>
      <c r="R298">
        <v>80358</v>
      </c>
    </row>
    <row r="299" spans="1:18" x14ac:dyDescent="0.25">
      <c r="A299" s="170">
        <v>44974</v>
      </c>
      <c r="B299" s="116">
        <v>196.42500000000001</v>
      </c>
      <c r="C299" s="116">
        <v>195.41249999999999</v>
      </c>
      <c r="D299" s="116">
        <v>193.53749999999999</v>
      </c>
      <c r="E299" s="116">
        <v>196.25</v>
      </c>
      <c r="F299" s="116">
        <v>781.65</v>
      </c>
      <c r="G299">
        <v>2543</v>
      </c>
      <c r="H299" s="116"/>
      <c r="I299" s="116"/>
      <c r="L299" s="170">
        <v>44974</v>
      </c>
      <c r="M299" s="116">
        <v>195.57499999999999</v>
      </c>
      <c r="N299" s="116">
        <v>198.95</v>
      </c>
      <c r="O299" s="116">
        <v>193.625</v>
      </c>
      <c r="P299" s="116">
        <v>195.8125</v>
      </c>
      <c r="Q299" s="116">
        <v>782.3</v>
      </c>
      <c r="R299">
        <v>73612</v>
      </c>
    </row>
    <row r="300" spans="1:18" x14ac:dyDescent="0.25">
      <c r="A300" s="170">
        <v>44977</v>
      </c>
      <c r="B300" s="116">
        <v>198.27500000000001</v>
      </c>
      <c r="C300" s="116">
        <v>195.9</v>
      </c>
      <c r="D300" s="116">
        <v>193.13749999999999</v>
      </c>
      <c r="E300" s="116">
        <v>195.88749999999999</v>
      </c>
      <c r="F300" s="116">
        <v>783.6</v>
      </c>
      <c r="G300">
        <v>2020</v>
      </c>
      <c r="H300" s="116"/>
      <c r="I300" s="116"/>
      <c r="L300" s="170">
        <v>44977</v>
      </c>
      <c r="M300" s="116">
        <v>196.15</v>
      </c>
      <c r="N300" s="116">
        <v>198.67500000000001</v>
      </c>
      <c r="O300" s="116">
        <v>193.125</v>
      </c>
      <c r="P300" s="116">
        <v>196.1875</v>
      </c>
      <c r="Q300" s="116">
        <v>784.6</v>
      </c>
      <c r="R300">
        <v>40350</v>
      </c>
    </row>
    <row r="301" spans="1:18" x14ac:dyDescent="0.25">
      <c r="A301" s="170">
        <v>44978</v>
      </c>
      <c r="B301" s="116">
        <v>196.97499999999999</v>
      </c>
      <c r="C301" s="116">
        <v>195.9</v>
      </c>
      <c r="D301" s="116">
        <v>193.5</v>
      </c>
      <c r="E301" s="116">
        <v>196.61250000000001</v>
      </c>
      <c r="F301" s="116">
        <v>783.6</v>
      </c>
      <c r="G301">
        <v>1524</v>
      </c>
      <c r="H301" s="116"/>
      <c r="I301" s="116"/>
      <c r="L301" s="170">
        <v>44978</v>
      </c>
      <c r="M301" s="116">
        <v>196.1875</v>
      </c>
      <c r="N301" s="116">
        <v>197.5</v>
      </c>
      <c r="O301" s="116">
        <v>193.52500000000001</v>
      </c>
      <c r="P301" s="116">
        <v>197.5</v>
      </c>
      <c r="Q301" s="116">
        <v>784.75</v>
      </c>
      <c r="R301">
        <v>30067</v>
      </c>
    </row>
    <row r="302" spans="1:18" x14ac:dyDescent="0.25">
      <c r="A302" s="170">
        <v>44979</v>
      </c>
      <c r="B302" s="116">
        <v>198</v>
      </c>
      <c r="C302" s="116">
        <v>193.8125</v>
      </c>
      <c r="D302" s="116">
        <v>193.5</v>
      </c>
      <c r="E302" s="116">
        <v>196.41249999999999</v>
      </c>
      <c r="F302" s="116">
        <v>775.25</v>
      </c>
      <c r="G302">
        <v>3868</v>
      </c>
      <c r="H302" s="116"/>
      <c r="I302" s="116"/>
      <c r="L302" s="170">
        <v>44979</v>
      </c>
      <c r="M302" s="116">
        <v>193.63749999999999</v>
      </c>
      <c r="N302" s="116">
        <v>198.2</v>
      </c>
      <c r="O302" s="116">
        <v>193.5</v>
      </c>
      <c r="P302" s="116">
        <v>197</v>
      </c>
      <c r="Q302" s="116">
        <v>774.55</v>
      </c>
      <c r="R302">
        <v>65088</v>
      </c>
    </row>
    <row r="303" spans="1:18" x14ac:dyDescent="0.25">
      <c r="A303" s="170">
        <v>44980</v>
      </c>
      <c r="B303" s="116">
        <v>195</v>
      </c>
      <c r="C303" s="116">
        <v>192.75</v>
      </c>
      <c r="D303" s="116">
        <v>189.75</v>
      </c>
      <c r="E303" s="116">
        <v>194.875</v>
      </c>
      <c r="F303" s="116">
        <v>771</v>
      </c>
      <c r="G303">
        <v>4134</v>
      </c>
      <c r="H303" s="116"/>
      <c r="I303" s="116"/>
      <c r="L303" s="170">
        <v>44980</v>
      </c>
      <c r="M303" s="116">
        <v>193</v>
      </c>
      <c r="N303" s="116">
        <v>196.5</v>
      </c>
      <c r="O303" s="116">
        <v>189.75</v>
      </c>
      <c r="P303" s="116">
        <v>196.5</v>
      </c>
      <c r="Q303" s="116">
        <v>772</v>
      </c>
      <c r="R303">
        <v>25882</v>
      </c>
    </row>
    <row r="304" spans="1:18" x14ac:dyDescent="0.25">
      <c r="A304" s="170">
        <v>44981</v>
      </c>
      <c r="B304" s="116">
        <v>194.47499999999999</v>
      </c>
      <c r="C304" s="116">
        <v>192.47499999999999</v>
      </c>
      <c r="D304" s="116">
        <v>190</v>
      </c>
      <c r="E304" s="116">
        <v>190</v>
      </c>
      <c r="F304" s="116">
        <v>769.9</v>
      </c>
      <c r="G304">
        <v>1011</v>
      </c>
      <c r="H304" s="116"/>
      <c r="I304" s="116"/>
      <c r="L304" s="170">
        <v>44981</v>
      </c>
      <c r="M304" s="116">
        <v>192.02500000000001</v>
      </c>
      <c r="N304" s="116">
        <v>194.75</v>
      </c>
      <c r="O304" s="116">
        <v>190.38749999999999</v>
      </c>
      <c r="P304" s="116">
        <v>194.75</v>
      </c>
      <c r="Q304" s="116">
        <v>768.1</v>
      </c>
      <c r="R304">
        <v>22428</v>
      </c>
    </row>
    <row r="305" spans="1:18" x14ac:dyDescent="0.25">
      <c r="A305" s="170">
        <v>44984</v>
      </c>
      <c r="B305" s="116">
        <v>192.6875</v>
      </c>
      <c r="C305" s="116">
        <v>188.26249999999999</v>
      </c>
      <c r="D305" s="116">
        <v>186.13749999999999</v>
      </c>
      <c r="E305" s="116">
        <v>190</v>
      </c>
      <c r="F305" s="116">
        <v>753.05</v>
      </c>
      <c r="G305">
        <v>6028</v>
      </c>
      <c r="H305" s="116"/>
      <c r="I305" s="116"/>
      <c r="L305" s="170">
        <v>44984</v>
      </c>
      <c r="M305" s="116">
        <v>187.8</v>
      </c>
      <c r="N305" s="116">
        <v>192.6875</v>
      </c>
      <c r="O305" s="116">
        <v>186.25</v>
      </c>
      <c r="P305" s="116">
        <v>192.5</v>
      </c>
      <c r="Q305" s="116">
        <v>751.2</v>
      </c>
      <c r="R305">
        <v>73107</v>
      </c>
    </row>
    <row r="306" spans="1:18" x14ac:dyDescent="0.25">
      <c r="A306" s="170">
        <v>44985</v>
      </c>
      <c r="B306" s="116">
        <v>188.86250000000001</v>
      </c>
      <c r="C306" s="116">
        <v>187.625</v>
      </c>
      <c r="D306" s="116">
        <v>184.25</v>
      </c>
      <c r="E306" s="116">
        <v>187.75</v>
      </c>
      <c r="F306" s="116">
        <v>750.5</v>
      </c>
      <c r="G306">
        <v>4126</v>
      </c>
      <c r="H306" s="116"/>
      <c r="I306" s="116"/>
      <c r="L306" s="170">
        <v>44985</v>
      </c>
      <c r="M306" s="116">
        <v>188.02500000000001</v>
      </c>
      <c r="N306" s="116">
        <v>188.96250000000001</v>
      </c>
      <c r="O306" s="116">
        <v>183.88749999999999</v>
      </c>
      <c r="P306" s="116">
        <v>187.8</v>
      </c>
      <c r="Q306" s="116">
        <v>752.1</v>
      </c>
      <c r="R306">
        <v>45007</v>
      </c>
    </row>
    <row r="307" spans="1:18" x14ac:dyDescent="0.25">
      <c r="A307" s="170">
        <v>44986</v>
      </c>
      <c r="B307" s="116">
        <v>191.125</v>
      </c>
      <c r="C307" s="116">
        <v>189.3125</v>
      </c>
      <c r="D307" s="116">
        <v>185.625</v>
      </c>
      <c r="E307" s="116">
        <v>187.92500000000001</v>
      </c>
      <c r="F307" s="116">
        <v>757.25</v>
      </c>
      <c r="G307">
        <v>2953</v>
      </c>
      <c r="H307" s="116"/>
      <c r="I307" s="116"/>
      <c r="L307" s="170">
        <v>44986</v>
      </c>
      <c r="M307" s="116">
        <v>189.5</v>
      </c>
      <c r="N307" s="116">
        <v>191.15</v>
      </c>
      <c r="O307" s="116">
        <v>185.5</v>
      </c>
      <c r="P307" s="116">
        <v>189</v>
      </c>
      <c r="Q307" s="116">
        <v>758</v>
      </c>
      <c r="R307">
        <v>52871</v>
      </c>
    </row>
    <row r="308" spans="1:18" x14ac:dyDescent="0.25">
      <c r="A308" s="170">
        <v>44987</v>
      </c>
      <c r="B308" s="116">
        <v>198.23750000000001</v>
      </c>
      <c r="C308" s="116">
        <v>194.6</v>
      </c>
      <c r="D308" s="116">
        <v>188.71250000000001</v>
      </c>
      <c r="E308" s="116">
        <v>191.23750000000001</v>
      </c>
      <c r="F308" s="116">
        <v>778.4</v>
      </c>
      <c r="G308">
        <v>2910</v>
      </c>
      <c r="H308" s="116"/>
      <c r="I308" s="116"/>
      <c r="L308" s="170">
        <v>44987</v>
      </c>
      <c r="M308" s="116">
        <v>193.4</v>
      </c>
      <c r="N308" s="116">
        <v>198.02500000000001</v>
      </c>
      <c r="O308" s="116">
        <v>188.5625</v>
      </c>
      <c r="P308" s="116">
        <v>189.5</v>
      </c>
      <c r="Q308" s="116">
        <v>773.6</v>
      </c>
      <c r="R308">
        <v>35157</v>
      </c>
    </row>
    <row r="309" spans="1:18" x14ac:dyDescent="0.25">
      <c r="A309" s="170">
        <v>44988</v>
      </c>
      <c r="B309" s="116">
        <v>197.5</v>
      </c>
      <c r="C309" s="116">
        <v>196.23750000000001</v>
      </c>
      <c r="D309" s="116">
        <v>193</v>
      </c>
      <c r="E309" s="116">
        <v>193</v>
      </c>
      <c r="F309" s="116">
        <v>784.95</v>
      </c>
      <c r="G309">
        <v>2263</v>
      </c>
      <c r="H309" s="116"/>
      <c r="I309" s="116"/>
      <c r="L309" s="170">
        <v>44988</v>
      </c>
      <c r="M309" s="116">
        <v>196.01249999999999</v>
      </c>
      <c r="N309" s="116">
        <v>197.75</v>
      </c>
      <c r="O309" s="116">
        <v>193.75</v>
      </c>
      <c r="P309" s="116">
        <v>196</v>
      </c>
      <c r="Q309" s="116">
        <v>784.05</v>
      </c>
      <c r="R309">
        <v>47394</v>
      </c>
    </row>
    <row r="310" spans="1:18" x14ac:dyDescent="0.25">
      <c r="A310" s="170">
        <v>44991</v>
      </c>
      <c r="B310" s="116">
        <v>199.61250000000001</v>
      </c>
      <c r="C310" s="116">
        <v>196.73750000000001</v>
      </c>
      <c r="D310" s="116">
        <v>195.51249999999999</v>
      </c>
      <c r="E310" s="116">
        <v>196.7</v>
      </c>
      <c r="F310" s="116">
        <v>786.95</v>
      </c>
      <c r="G310">
        <v>3413</v>
      </c>
      <c r="H310" s="116"/>
      <c r="I310" s="116"/>
      <c r="L310" s="170">
        <v>44991</v>
      </c>
      <c r="M310" s="116">
        <v>196.42500000000001</v>
      </c>
      <c r="N310" s="116">
        <v>199.75</v>
      </c>
      <c r="O310" s="116">
        <v>194.75</v>
      </c>
      <c r="P310" s="116">
        <v>197</v>
      </c>
      <c r="Q310" s="116">
        <v>785.7</v>
      </c>
      <c r="R310">
        <v>34183</v>
      </c>
    </row>
    <row r="311" spans="1:18" x14ac:dyDescent="0.25">
      <c r="A311" s="170">
        <v>44993</v>
      </c>
      <c r="B311" s="116">
        <v>201.11250000000001</v>
      </c>
      <c r="C311" s="116">
        <v>198.08750000000001</v>
      </c>
      <c r="D311" s="116">
        <v>195.01249999999999</v>
      </c>
      <c r="E311" s="116">
        <v>195.01249999999999</v>
      </c>
      <c r="F311" s="116">
        <v>792.35</v>
      </c>
      <c r="G311">
        <v>4115</v>
      </c>
      <c r="H311" s="116"/>
      <c r="I311" s="116"/>
      <c r="L311" s="170">
        <v>44993</v>
      </c>
      <c r="M311" s="116">
        <v>199.25</v>
      </c>
      <c r="N311" s="116">
        <v>201.25</v>
      </c>
      <c r="O311" s="116">
        <v>195.95</v>
      </c>
      <c r="P311" s="116">
        <v>196</v>
      </c>
      <c r="Q311" s="116">
        <v>797</v>
      </c>
      <c r="R311">
        <v>46062</v>
      </c>
    </row>
    <row r="312" spans="1:18" x14ac:dyDescent="0.25">
      <c r="A312" s="170">
        <v>44994</v>
      </c>
      <c r="B312" s="116">
        <v>201</v>
      </c>
      <c r="C312" s="116">
        <v>198.66249999999999</v>
      </c>
      <c r="D312" s="116">
        <v>197.5</v>
      </c>
      <c r="E312" s="116">
        <v>201</v>
      </c>
      <c r="F312" s="116">
        <v>794.65</v>
      </c>
      <c r="G312">
        <v>1219</v>
      </c>
      <c r="H312" s="116"/>
      <c r="I312" s="116"/>
      <c r="L312" s="170">
        <v>44994</v>
      </c>
      <c r="M312" s="116">
        <v>198.76249999999999</v>
      </c>
      <c r="N312" s="116">
        <v>201.11250000000001</v>
      </c>
      <c r="O312" s="116">
        <v>196.72499999999999</v>
      </c>
      <c r="P312" s="116">
        <v>201</v>
      </c>
      <c r="Q312" s="116">
        <v>795.05</v>
      </c>
      <c r="R312">
        <v>14183</v>
      </c>
    </row>
    <row r="313" spans="1:18" x14ac:dyDescent="0.25">
      <c r="A313" s="170">
        <v>44995</v>
      </c>
      <c r="B313" s="116">
        <v>202.11250000000001</v>
      </c>
      <c r="C313" s="116">
        <v>200.4375</v>
      </c>
      <c r="D313" s="116">
        <v>196.9375</v>
      </c>
      <c r="E313" s="116">
        <v>197.1</v>
      </c>
      <c r="F313" s="116">
        <v>801.75</v>
      </c>
      <c r="G313">
        <v>1259</v>
      </c>
      <c r="H313" s="116"/>
      <c r="I313" s="116"/>
      <c r="L313" s="170">
        <v>44995</v>
      </c>
      <c r="M313" s="116">
        <v>200.35</v>
      </c>
      <c r="N313" s="116">
        <v>202.3</v>
      </c>
      <c r="O313" s="116">
        <v>196.77500000000001</v>
      </c>
      <c r="P313" s="116">
        <v>198.67500000000001</v>
      </c>
      <c r="Q313" s="116">
        <v>801.4</v>
      </c>
      <c r="R313">
        <v>30713</v>
      </c>
    </row>
    <row r="314" spans="1:18" x14ac:dyDescent="0.25">
      <c r="A314" s="170">
        <v>44998</v>
      </c>
      <c r="B314" s="116">
        <v>199.71250000000001</v>
      </c>
      <c r="C314" s="116">
        <v>195.16249999999999</v>
      </c>
      <c r="D314" s="116">
        <v>193</v>
      </c>
      <c r="E314" s="116">
        <v>197.01249999999999</v>
      </c>
      <c r="F314" s="116">
        <v>780.65</v>
      </c>
      <c r="G314">
        <v>5363</v>
      </c>
      <c r="H314" s="116"/>
      <c r="I314" s="116"/>
      <c r="L314" s="170">
        <v>44998</v>
      </c>
      <c r="M314" s="116">
        <v>194.9</v>
      </c>
      <c r="N314" s="116">
        <v>199.9375</v>
      </c>
      <c r="O314" s="116">
        <v>192.25</v>
      </c>
      <c r="P314" s="116">
        <v>198.75</v>
      </c>
      <c r="Q314" s="116">
        <v>779.6</v>
      </c>
      <c r="R314">
        <v>23137</v>
      </c>
    </row>
    <row r="315" spans="1:18" x14ac:dyDescent="0.25">
      <c r="A315" s="170">
        <v>44999</v>
      </c>
      <c r="B315" s="116">
        <v>199.73750000000001</v>
      </c>
      <c r="C315" s="116">
        <v>197.08750000000001</v>
      </c>
      <c r="D315" s="116">
        <v>192.51249999999999</v>
      </c>
      <c r="E315" s="116">
        <v>192.51249999999999</v>
      </c>
      <c r="F315" s="116">
        <v>788.35</v>
      </c>
      <c r="G315">
        <v>5881</v>
      </c>
      <c r="H315" s="116"/>
      <c r="I315" s="116"/>
      <c r="L315" s="170">
        <v>44999</v>
      </c>
      <c r="M315" s="116">
        <v>197.27500000000001</v>
      </c>
      <c r="N315" s="116">
        <v>199.78749999999999</v>
      </c>
      <c r="O315" s="116">
        <v>194.75</v>
      </c>
      <c r="P315" s="116">
        <v>194.75</v>
      </c>
      <c r="Q315" s="116">
        <v>789.1</v>
      </c>
      <c r="R315">
        <v>32294</v>
      </c>
    </row>
    <row r="316" spans="1:18" x14ac:dyDescent="0.25">
      <c r="A316" s="170">
        <v>45000</v>
      </c>
      <c r="B316" s="116">
        <v>201</v>
      </c>
      <c r="C316" s="116">
        <v>198.8125</v>
      </c>
      <c r="D316" s="116">
        <v>197.52500000000001</v>
      </c>
      <c r="E316" s="116">
        <v>198.6875</v>
      </c>
      <c r="F316" s="116">
        <v>795.25</v>
      </c>
      <c r="G316">
        <v>918</v>
      </c>
      <c r="H316" s="116"/>
      <c r="I316" s="116"/>
      <c r="L316" s="170">
        <v>45000</v>
      </c>
      <c r="M316" s="116">
        <v>199.23750000000001</v>
      </c>
      <c r="N316" s="116">
        <v>201.08750000000001</v>
      </c>
      <c r="O316" s="116">
        <v>196.27500000000001</v>
      </c>
      <c r="P316" s="116">
        <v>196.27500000000001</v>
      </c>
      <c r="Q316" s="116">
        <v>796.95</v>
      </c>
      <c r="R316">
        <v>18488</v>
      </c>
    </row>
    <row r="317" spans="1:18" x14ac:dyDescent="0.25">
      <c r="A317" s="170">
        <v>45001</v>
      </c>
      <c r="B317" s="116">
        <v>203.7</v>
      </c>
      <c r="C317" s="116">
        <v>198.7</v>
      </c>
      <c r="D317" s="116">
        <v>197.8125</v>
      </c>
      <c r="E317" s="116">
        <v>198.1</v>
      </c>
      <c r="F317" s="116">
        <v>794.8</v>
      </c>
      <c r="G317">
        <v>2363</v>
      </c>
      <c r="H317" s="116"/>
      <c r="I317" s="116"/>
      <c r="L317" s="170">
        <v>45001</v>
      </c>
      <c r="M317" s="116">
        <v>198.95</v>
      </c>
      <c r="N317" s="116">
        <v>203.75</v>
      </c>
      <c r="O317" s="116">
        <v>197.25</v>
      </c>
      <c r="P317" s="116">
        <v>197.25</v>
      </c>
      <c r="Q317" s="116">
        <v>795.8</v>
      </c>
      <c r="R317">
        <v>43994</v>
      </c>
    </row>
    <row r="318" spans="1:18" x14ac:dyDescent="0.25">
      <c r="A318" s="170">
        <v>45002</v>
      </c>
      <c r="B318" s="116">
        <v>205.6875</v>
      </c>
      <c r="C318" s="116">
        <v>204.11250000000001</v>
      </c>
      <c r="D318" s="116">
        <v>198.6875</v>
      </c>
      <c r="E318" s="116">
        <v>200.125</v>
      </c>
      <c r="F318" s="116">
        <v>816.45</v>
      </c>
      <c r="G318">
        <v>2371</v>
      </c>
      <c r="H318" s="116"/>
      <c r="I318" s="116"/>
      <c r="L318" s="170">
        <v>45002</v>
      </c>
      <c r="M318" s="116">
        <v>203.16249999999999</v>
      </c>
      <c r="N318" s="116">
        <v>206.25</v>
      </c>
      <c r="O318" s="116">
        <v>198.75</v>
      </c>
      <c r="P318" s="116">
        <v>200.85</v>
      </c>
      <c r="Q318" s="116">
        <v>812.65</v>
      </c>
      <c r="R318">
        <v>56997</v>
      </c>
    </row>
    <row r="319" spans="1:18" x14ac:dyDescent="0.25">
      <c r="A319" s="170">
        <v>45005</v>
      </c>
      <c r="B319" s="116">
        <v>205.73750000000001</v>
      </c>
      <c r="C319" s="116">
        <v>201.88749999999999</v>
      </c>
      <c r="D319" s="116">
        <v>196.51249999999999</v>
      </c>
      <c r="E319" s="116">
        <v>199.1</v>
      </c>
      <c r="F319" s="116">
        <v>807.55</v>
      </c>
      <c r="G319">
        <v>3377</v>
      </c>
      <c r="H319" s="116"/>
      <c r="I319" s="116"/>
      <c r="L319" s="170">
        <v>45005</v>
      </c>
      <c r="M319" s="116">
        <v>201.95</v>
      </c>
      <c r="N319" s="116">
        <v>205.75</v>
      </c>
      <c r="O319" s="116">
        <v>201.3</v>
      </c>
      <c r="P319" s="116">
        <v>201.3</v>
      </c>
      <c r="Q319" s="116">
        <v>807.8</v>
      </c>
      <c r="R319">
        <v>29460</v>
      </c>
    </row>
    <row r="320" spans="1:18" x14ac:dyDescent="0.25">
      <c r="A320" s="170">
        <v>45006</v>
      </c>
      <c r="B320" s="116">
        <v>204.23750000000001</v>
      </c>
      <c r="C320" s="116">
        <v>199.02500000000001</v>
      </c>
      <c r="D320" s="116">
        <v>198.78749999999999</v>
      </c>
      <c r="E320" s="116">
        <v>200.76249999999999</v>
      </c>
      <c r="F320" s="116">
        <v>796.1</v>
      </c>
      <c r="G320">
        <v>3243</v>
      </c>
      <c r="H320" s="116"/>
      <c r="I320" s="116"/>
      <c r="L320" s="170">
        <v>45006</v>
      </c>
      <c r="M320" s="116">
        <v>199.63749999999999</v>
      </c>
      <c r="N320" s="116">
        <v>204.7</v>
      </c>
      <c r="O320" s="116">
        <v>197.91249999999999</v>
      </c>
      <c r="P320" s="116">
        <v>203.5</v>
      </c>
      <c r="Q320" s="116">
        <v>798.55</v>
      </c>
      <c r="R320">
        <v>27157</v>
      </c>
    </row>
    <row r="321" spans="1:18" x14ac:dyDescent="0.25">
      <c r="A321" s="170">
        <v>45007</v>
      </c>
      <c r="B321" s="116">
        <v>204.5</v>
      </c>
      <c r="C321" s="116">
        <v>203.08750000000001</v>
      </c>
      <c r="D321" s="116">
        <v>195.1875</v>
      </c>
      <c r="E321" s="116">
        <v>195.1875</v>
      </c>
      <c r="F321" s="116">
        <v>812.35</v>
      </c>
      <c r="G321">
        <v>1488</v>
      </c>
      <c r="H321" s="116"/>
      <c r="I321" s="116"/>
      <c r="L321" s="170">
        <v>45007</v>
      </c>
      <c r="M321" s="116">
        <v>203.13749999999999</v>
      </c>
      <c r="N321" s="116">
        <v>204.5</v>
      </c>
      <c r="O321" s="116">
        <v>200.17500000000001</v>
      </c>
      <c r="P321" s="116">
        <v>201.25</v>
      </c>
      <c r="Q321" s="116">
        <v>812.55</v>
      </c>
      <c r="R321">
        <v>35616</v>
      </c>
    </row>
    <row r="322" spans="1:18" x14ac:dyDescent="0.25">
      <c r="A322" s="170">
        <v>45008</v>
      </c>
      <c r="B322" s="116">
        <v>206.375</v>
      </c>
      <c r="C322" s="116">
        <v>201.8125</v>
      </c>
      <c r="D322" s="116">
        <v>200.11250000000001</v>
      </c>
      <c r="E322" s="116">
        <v>201.88749999999999</v>
      </c>
      <c r="F322" s="116">
        <v>807.25</v>
      </c>
      <c r="G322">
        <v>333696</v>
      </c>
      <c r="H322" s="116"/>
      <c r="I322" s="116"/>
      <c r="L322" s="170">
        <v>45008</v>
      </c>
      <c r="M322" s="116">
        <v>200.4</v>
      </c>
      <c r="N322" s="116">
        <v>206.41249999999999</v>
      </c>
      <c r="O322" s="116">
        <v>199.5</v>
      </c>
      <c r="P322" s="116">
        <v>200.3125</v>
      </c>
      <c r="Q322" s="116">
        <v>801.6</v>
      </c>
      <c r="R322">
        <v>42849</v>
      </c>
    </row>
    <row r="323" spans="1:18" x14ac:dyDescent="0.25">
      <c r="A323" s="170">
        <v>45009</v>
      </c>
      <c r="B323" s="116">
        <v>204</v>
      </c>
      <c r="C323" s="116">
        <v>203.21250000000001</v>
      </c>
      <c r="D323" s="116">
        <v>200.01249999999999</v>
      </c>
      <c r="E323" s="116">
        <v>200.01249999999999</v>
      </c>
      <c r="F323" s="116">
        <v>812.85</v>
      </c>
      <c r="G323">
        <v>3225</v>
      </c>
      <c r="H323" s="116"/>
      <c r="I323" s="116"/>
      <c r="L323" s="170">
        <v>45009</v>
      </c>
      <c r="M323" s="116">
        <v>203.51249999999999</v>
      </c>
      <c r="N323" s="116">
        <v>204.07499999999999</v>
      </c>
      <c r="O323" s="116">
        <v>200.77500000000001</v>
      </c>
      <c r="P323" s="116">
        <v>202</v>
      </c>
      <c r="Q323" s="116">
        <v>814.05</v>
      </c>
      <c r="R323">
        <v>38421</v>
      </c>
    </row>
    <row r="324" spans="1:18" x14ac:dyDescent="0.25">
      <c r="A324" s="170">
        <v>45012</v>
      </c>
      <c r="B324" s="116">
        <v>203.67500000000001</v>
      </c>
      <c r="C324" s="116">
        <v>202.75</v>
      </c>
      <c r="D324" s="116">
        <v>199.45</v>
      </c>
      <c r="E324" s="116">
        <v>199.45</v>
      </c>
      <c r="F324" s="116">
        <v>811</v>
      </c>
      <c r="G324">
        <v>13923</v>
      </c>
      <c r="H324" s="116"/>
      <c r="I324" s="116"/>
      <c r="L324" s="170">
        <v>45012</v>
      </c>
      <c r="M324" s="116">
        <v>202.9</v>
      </c>
      <c r="N324" s="116">
        <v>204.9375</v>
      </c>
      <c r="O324" s="116">
        <v>200.5</v>
      </c>
      <c r="P324" s="116">
        <v>204.92500000000001</v>
      </c>
      <c r="Q324" s="116">
        <v>811.6</v>
      </c>
      <c r="R324">
        <v>41347</v>
      </c>
    </row>
    <row r="325" spans="1:18" x14ac:dyDescent="0.25">
      <c r="A325" s="170">
        <v>45013</v>
      </c>
      <c r="B325" s="116">
        <v>204.5</v>
      </c>
      <c r="C325" s="116">
        <v>204.48750000000001</v>
      </c>
      <c r="D325" s="116">
        <v>201.05</v>
      </c>
      <c r="E325" s="116">
        <v>202.42500000000001</v>
      </c>
      <c r="F325" s="116">
        <v>817.95</v>
      </c>
      <c r="G325">
        <v>1316</v>
      </c>
      <c r="H325" s="116"/>
      <c r="I325" s="116"/>
      <c r="L325" s="170">
        <v>45013</v>
      </c>
      <c r="M325" s="116">
        <v>204.125</v>
      </c>
      <c r="N325" s="116">
        <v>204.6</v>
      </c>
      <c r="O325" s="116">
        <v>200.91249999999999</v>
      </c>
      <c r="P325" s="116">
        <v>202.75</v>
      </c>
      <c r="Q325" s="116">
        <v>816.5</v>
      </c>
      <c r="R325">
        <v>24789</v>
      </c>
    </row>
    <row r="326" spans="1:18" x14ac:dyDescent="0.25">
      <c r="A326" s="170">
        <v>45014</v>
      </c>
      <c r="B326" s="116">
        <v>205</v>
      </c>
      <c r="C326" s="116">
        <v>203.95</v>
      </c>
      <c r="D326" s="116">
        <v>196.625</v>
      </c>
      <c r="E326" s="116">
        <v>196.75</v>
      </c>
      <c r="F326" s="116">
        <v>815.8</v>
      </c>
      <c r="G326">
        <v>3171</v>
      </c>
      <c r="H326" s="116"/>
      <c r="I326" s="116"/>
      <c r="L326" s="170">
        <v>45014</v>
      </c>
      <c r="M326" s="116">
        <v>204.08750000000001</v>
      </c>
      <c r="N326" s="116">
        <v>204.5</v>
      </c>
      <c r="O326" s="116">
        <v>201.38749999999999</v>
      </c>
      <c r="P326" s="116">
        <v>202.01249999999999</v>
      </c>
      <c r="Q326" s="116">
        <v>816.35</v>
      </c>
      <c r="R326">
        <v>56428</v>
      </c>
    </row>
    <row r="327" spans="1:18" x14ac:dyDescent="0.25">
      <c r="A327" s="170">
        <v>45016</v>
      </c>
      <c r="B327" s="116">
        <v>207.16249999999999</v>
      </c>
      <c r="C327" s="116">
        <v>201.85</v>
      </c>
      <c r="D327" s="116">
        <v>200.71250000000001</v>
      </c>
      <c r="E327" s="116">
        <v>205</v>
      </c>
      <c r="F327" s="116">
        <v>807.4</v>
      </c>
      <c r="G327">
        <v>5082</v>
      </c>
      <c r="H327" s="116"/>
      <c r="I327" s="116"/>
      <c r="L327" s="170">
        <v>45016</v>
      </c>
      <c r="M327" s="116">
        <v>201.92500000000001</v>
      </c>
      <c r="N327" s="116">
        <v>206.97499999999999</v>
      </c>
      <c r="O327" s="116">
        <v>200.75</v>
      </c>
      <c r="P327" s="116">
        <v>204.47499999999999</v>
      </c>
      <c r="Q327" s="116">
        <v>807.7</v>
      </c>
      <c r="R327">
        <v>59663</v>
      </c>
    </row>
    <row r="328" spans="1:18" x14ac:dyDescent="0.25">
      <c r="A328" s="170">
        <v>45019</v>
      </c>
      <c r="B328" s="116">
        <v>205.26249999999999</v>
      </c>
      <c r="C328" s="116">
        <v>202.41249999999999</v>
      </c>
      <c r="D328" s="116">
        <v>201.125</v>
      </c>
      <c r="E328" s="116">
        <v>203.36250000000001</v>
      </c>
      <c r="F328" s="116">
        <v>809.65</v>
      </c>
      <c r="G328">
        <v>3584</v>
      </c>
      <c r="H328" s="116"/>
      <c r="I328" s="116"/>
      <c r="L328" s="170">
        <v>45019</v>
      </c>
      <c r="M328" s="116">
        <v>202.58750000000001</v>
      </c>
      <c r="N328" s="116">
        <v>205.47499999999999</v>
      </c>
      <c r="O328" s="116">
        <v>201.52500000000001</v>
      </c>
      <c r="P328" s="116">
        <v>203.5</v>
      </c>
      <c r="Q328" s="116">
        <v>810.35</v>
      </c>
      <c r="R328">
        <v>56282</v>
      </c>
    </row>
    <row r="329" spans="1:18" x14ac:dyDescent="0.25">
      <c r="A329" s="170">
        <v>45021</v>
      </c>
      <c r="B329" s="116">
        <v>204.11250000000001</v>
      </c>
      <c r="C329" s="116">
        <v>202.75</v>
      </c>
      <c r="D329" s="116">
        <v>201.625</v>
      </c>
      <c r="E329" s="116">
        <v>202.46250000000001</v>
      </c>
      <c r="F329" s="116">
        <v>811</v>
      </c>
      <c r="G329">
        <v>3045</v>
      </c>
      <c r="H329" s="116"/>
      <c r="I329" s="116"/>
      <c r="L329" s="170">
        <v>45021</v>
      </c>
      <c r="M329" s="116">
        <v>202.4375</v>
      </c>
      <c r="N329" s="116">
        <v>204.5</v>
      </c>
      <c r="O329" s="116">
        <v>198.8</v>
      </c>
      <c r="P329" s="116">
        <v>202.5</v>
      </c>
      <c r="Q329" s="116">
        <v>809.75</v>
      </c>
      <c r="R329">
        <v>70018</v>
      </c>
    </row>
    <row r="330" spans="1:18" x14ac:dyDescent="0.25">
      <c r="A330" s="170">
        <v>45022</v>
      </c>
      <c r="B330" s="116">
        <v>203.55</v>
      </c>
      <c r="C330" s="116">
        <v>203</v>
      </c>
      <c r="D330" s="116">
        <v>201.27500000000001</v>
      </c>
      <c r="E330" s="116">
        <v>201.27500000000001</v>
      </c>
      <c r="F330" s="116">
        <v>812</v>
      </c>
      <c r="G330">
        <v>2931</v>
      </c>
      <c r="H330" s="116"/>
      <c r="I330" s="116"/>
      <c r="L330" s="170">
        <v>45022</v>
      </c>
      <c r="M330" s="116">
        <v>202.7</v>
      </c>
      <c r="N330" s="116">
        <v>203.55</v>
      </c>
      <c r="O330" s="116">
        <v>201.5</v>
      </c>
      <c r="P330" s="116">
        <v>201.71250000000001</v>
      </c>
      <c r="Q330" s="116">
        <v>810.8</v>
      </c>
      <c r="R330">
        <v>69558</v>
      </c>
    </row>
    <row r="331" spans="1:18" x14ac:dyDescent="0.25">
      <c r="A331" s="170">
        <v>45026</v>
      </c>
      <c r="B331" s="116">
        <v>203.7</v>
      </c>
      <c r="C331" s="116">
        <v>202.4375</v>
      </c>
      <c r="D331" s="116">
        <v>201.47499999999999</v>
      </c>
      <c r="E331" s="116">
        <v>203.48750000000001</v>
      </c>
      <c r="F331" s="116">
        <v>809.75</v>
      </c>
      <c r="G331">
        <v>4447</v>
      </c>
      <c r="H331" s="116"/>
      <c r="I331" s="116"/>
      <c r="L331" s="170">
        <v>45026</v>
      </c>
      <c r="M331" s="116">
        <v>202.5</v>
      </c>
      <c r="N331" s="116">
        <v>203.71250000000001</v>
      </c>
      <c r="O331" s="116">
        <v>201.5625</v>
      </c>
      <c r="P331" s="116">
        <v>203.25</v>
      </c>
      <c r="Q331" s="116">
        <v>810</v>
      </c>
      <c r="R331">
        <v>69270</v>
      </c>
    </row>
    <row r="332" spans="1:18" x14ac:dyDescent="0.25">
      <c r="A332" s="170">
        <v>45027</v>
      </c>
      <c r="B332" s="116">
        <v>203.75</v>
      </c>
      <c r="C332" s="116">
        <v>203.47499999999999</v>
      </c>
      <c r="D332" s="116">
        <v>202.01249999999999</v>
      </c>
      <c r="E332" s="116">
        <v>202.625</v>
      </c>
      <c r="F332" s="116">
        <v>813.9</v>
      </c>
      <c r="G332">
        <v>7800</v>
      </c>
      <c r="H332" s="116"/>
      <c r="I332" s="116"/>
      <c r="L332" s="170">
        <v>45027</v>
      </c>
      <c r="M332" s="116">
        <v>203.3</v>
      </c>
      <c r="N332" s="116">
        <v>203.75</v>
      </c>
      <c r="O332" s="116">
        <v>201.875</v>
      </c>
      <c r="P332" s="116">
        <v>202.6</v>
      </c>
      <c r="Q332" s="116">
        <v>813.2</v>
      </c>
      <c r="R332">
        <v>99731</v>
      </c>
    </row>
    <row r="333" spans="1:18" x14ac:dyDescent="0.25">
      <c r="A333" s="170">
        <v>45028</v>
      </c>
      <c r="B333" s="116">
        <v>208.85</v>
      </c>
      <c r="C333" s="116">
        <v>207.6</v>
      </c>
      <c r="D333" s="116">
        <v>201.72499999999999</v>
      </c>
      <c r="E333" s="116">
        <v>205.88749999999999</v>
      </c>
      <c r="F333" s="116">
        <v>830.4</v>
      </c>
      <c r="G333">
        <v>10689</v>
      </c>
      <c r="H333" s="116"/>
      <c r="I333" s="116"/>
      <c r="L333" s="170">
        <v>45028</v>
      </c>
      <c r="M333" s="116">
        <v>207.5625</v>
      </c>
      <c r="N333" s="116">
        <v>208.875</v>
      </c>
      <c r="O333" s="116">
        <v>201.5</v>
      </c>
      <c r="P333" s="116">
        <v>203.75</v>
      </c>
      <c r="Q333" s="116">
        <v>830.25</v>
      </c>
      <c r="R333">
        <v>213156</v>
      </c>
    </row>
    <row r="334" spans="1:18" x14ac:dyDescent="0.25">
      <c r="A334" s="170">
        <v>45029</v>
      </c>
      <c r="B334" s="116">
        <v>221</v>
      </c>
      <c r="C334" s="116">
        <v>213.16249999999999</v>
      </c>
      <c r="D334" s="116">
        <v>209.25</v>
      </c>
      <c r="E334" s="116">
        <v>210</v>
      </c>
      <c r="F334" s="116">
        <v>852.65</v>
      </c>
      <c r="G334">
        <v>35553</v>
      </c>
      <c r="H334" s="116"/>
      <c r="I334" s="116"/>
      <c r="L334" s="170">
        <v>45029</v>
      </c>
      <c r="M334" s="116">
        <v>212.96250000000001</v>
      </c>
      <c r="N334" s="116">
        <v>221.13749999999999</v>
      </c>
      <c r="O334" s="116">
        <v>208.83750000000001</v>
      </c>
      <c r="P334" s="116">
        <v>209.72499999999999</v>
      </c>
      <c r="Q334" s="116">
        <v>851.85</v>
      </c>
      <c r="R334">
        <v>859954</v>
      </c>
    </row>
    <row r="335" spans="1:18" x14ac:dyDescent="0.25">
      <c r="A335" s="170">
        <v>45033</v>
      </c>
      <c r="B335" s="116">
        <v>214.82499999999999</v>
      </c>
      <c r="C335" s="116">
        <v>213.375</v>
      </c>
      <c r="D335" s="116">
        <v>210</v>
      </c>
      <c r="E335" s="116">
        <v>213</v>
      </c>
      <c r="F335" s="116">
        <v>853.5</v>
      </c>
      <c r="G335">
        <v>9692</v>
      </c>
      <c r="H335" s="116"/>
      <c r="I335" s="116"/>
      <c r="L335" s="170">
        <v>45033</v>
      </c>
      <c r="M335" s="116">
        <v>213.5625</v>
      </c>
      <c r="N335" s="116">
        <v>214.75</v>
      </c>
      <c r="O335" s="116">
        <v>210.11250000000001</v>
      </c>
      <c r="P335" s="116">
        <v>212.96250000000001</v>
      </c>
      <c r="Q335" s="116">
        <v>854.25</v>
      </c>
      <c r="R335">
        <v>97893</v>
      </c>
    </row>
    <row r="336" spans="1:18" x14ac:dyDescent="0.25">
      <c r="A336" s="170">
        <v>45034</v>
      </c>
      <c r="B336" s="116">
        <v>217.46250000000001</v>
      </c>
      <c r="C336" s="116">
        <v>213.9375</v>
      </c>
      <c r="D336" s="116">
        <v>212.3</v>
      </c>
      <c r="E336" s="116">
        <v>217.46250000000001</v>
      </c>
      <c r="F336" s="116">
        <v>855.75</v>
      </c>
      <c r="G336">
        <v>2565</v>
      </c>
      <c r="H336" s="116"/>
      <c r="I336" s="116"/>
      <c r="L336" s="170">
        <v>45034</v>
      </c>
      <c r="M336" s="116">
        <v>213.58750000000001</v>
      </c>
      <c r="N336" s="116">
        <v>214.75</v>
      </c>
      <c r="O336" s="116">
        <v>212.25</v>
      </c>
      <c r="P336" s="116">
        <v>214.75</v>
      </c>
      <c r="Q336" s="116">
        <v>854.35</v>
      </c>
      <c r="R336">
        <v>59137</v>
      </c>
    </row>
    <row r="337" spans="1:18" x14ac:dyDescent="0.25">
      <c r="A337" s="170">
        <v>45035</v>
      </c>
      <c r="B337" s="116">
        <v>217.55</v>
      </c>
      <c r="C337" s="116">
        <v>214.7</v>
      </c>
      <c r="D337" s="116">
        <v>210.01249999999999</v>
      </c>
      <c r="E337" s="116">
        <v>210.01249999999999</v>
      </c>
      <c r="F337" s="116">
        <v>858.8</v>
      </c>
      <c r="G337">
        <v>12127</v>
      </c>
      <c r="H337" s="116"/>
      <c r="I337" s="116"/>
      <c r="L337" s="170">
        <v>45035</v>
      </c>
      <c r="M337" s="116">
        <v>214.86250000000001</v>
      </c>
      <c r="N337" s="116">
        <v>217.76249999999999</v>
      </c>
      <c r="O337" s="116">
        <v>212.25</v>
      </c>
      <c r="P337" s="116">
        <v>213.5</v>
      </c>
      <c r="Q337" s="116">
        <v>859.45</v>
      </c>
      <c r="R337">
        <v>126408</v>
      </c>
    </row>
    <row r="338" spans="1:18" x14ac:dyDescent="0.25">
      <c r="A338" s="170">
        <v>45036</v>
      </c>
      <c r="B338" s="116">
        <v>216.32499999999999</v>
      </c>
      <c r="C338" s="116">
        <v>215.3</v>
      </c>
      <c r="D338" s="116">
        <v>214.57499999999999</v>
      </c>
      <c r="E338" s="116">
        <v>214.57499999999999</v>
      </c>
      <c r="F338" s="116">
        <v>861.2</v>
      </c>
      <c r="G338">
        <v>1878</v>
      </c>
      <c r="H338" s="116"/>
      <c r="I338" s="116"/>
      <c r="L338" s="170">
        <v>45036</v>
      </c>
      <c r="M338" s="116">
        <v>215.1875</v>
      </c>
      <c r="N338" s="116">
        <v>216.375</v>
      </c>
      <c r="O338" s="116">
        <v>214.53749999999999</v>
      </c>
      <c r="P338" s="116">
        <v>214.86250000000001</v>
      </c>
      <c r="Q338" s="116">
        <v>860.75</v>
      </c>
      <c r="R338">
        <v>31906</v>
      </c>
    </row>
    <row r="339" spans="1:18" x14ac:dyDescent="0.25">
      <c r="A339" s="170">
        <v>45037</v>
      </c>
      <c r="B339" s="116">
        <v>216.01249999999999</v>
      </c>
      <c r="C339" s="116">
        <v>214.33750000000001</v>
      </c>
      <c r="D339" s="116">
        <v>213.86250000000001</v>
      </c>
      <c r="E339" s="116">
        <v>215.58750000000001</v>
      </c>
      <c r="F339" s="116">
        <v>857.35</v>
      </c>
      <c r="G339">
        <v>2647</v>
      </c>
      <c r="H339" s="116"/>
      <c r="I339" s="116"/>
      <c r="L339" s="170">
        <v>45037</v>
      </c>
      <c r="M339" s="116">
        <v>214.58750000000001</v>
      </c>
      <c r="N339" s="116">
        <v>216.1875</v>
      </c>
      <c r="O339" s="116">
        <v>214</v>
      </c>
      <c r="P339" s="116">
        <v>215.125</v>
      </c>
      <c r="Q339" s="116">
        <v>858.35</v>
      </c>
      <c r="R339">
        <v>22704</v>
      </c>
    </row>
    <row r="340" spans="1:18" x14ac:dyDescent="0.25">
      <c r="A340" s="170">
        <v>45040</v>
      </c>
      <c r="B340" s="116">
        <v>215.47499999999999</v>
      </c>
      <c r="C340" s="116">
        <v>213.88749999999999</v>
      </c>
      <c r="D340" s="116">
        <v>213.25</v>
      </c>
      <c r="E340" s="116">
        <v>213.26249999999999</v>
      </c>
      <c r="F340" s="116">
        <v>855.55</v>
      </c>
      <c r="G340">
        <v>710</v>
      </c>
      <c r="H340" s="116"/>
      <c r="I340" s="116"/>
      <c r="L340" s="170">
        <v>45040</v>
      </c>
      <c r="M340" s="116">
        <v>213.72499999999999</v>
      </c>
      <c r="N340" s="116">
        <v>215.66249999999999</v>
      </c>
      <c r="O340" s="116">
        <v>213.01249999999999</v>
      </c>
      <c r="P340" s="116">
        <v>214.625</v>
      </c>
      <c r="Q340" s="116">
        <v>854.9</v>
      </c>
      <c r="R340">
        <v>25634</v>
      </c>
    </row>
    <row r="341" spans="1:18" x14ac:dyDescent="0.25">
      <c r="A341" s="170">
        <v>45041</v>
      </c>
      <c r="B341" s="116">
        <v>214.73750000000001</v>
      </c>
      <c r="C341" s="116">
        <v>213.45</v>
      </c>
      <c r="D341" s="116">
        <v>212.28749999999999</v>
      </c>
      <c r="E341" s="116">
        <v>213.25</v>
      </c>
      <c r="F341" s="116">
        <v>853.8</v>
      </c>
      <c r="G341">
        <v>1636</v>
      </c>
      <c r="H341" s="116"/>
      <c r="I341" s="116"/>
      <c r="L341" s="170">
        <v>45041</v>
      </c>
      <c r="M341" s="116">
        <v>213.52500000000001</v>
      </c>
      <c r="N341" s="116">
        <v>215</v>
      </c>
      <c r="O341" s="116">
        <v>212.25</v>
      </c>
      <c r="P341" s="116">
        <v>214.92500000000001</v>
      </c>
      <c r="Q341" s="116">
        <v>854.1</v>
      </c>
      <c r="R341">
        <v>39767</v>
      </c>
    </row>
    <row r="342" spans="1:18" x14ac:dyDescent="0.25">
      <c r="A342" s="170">
        <v>45042</v>
      </c>
      <c r="B342" s="116">
        <v>214.66249999999999</v>
      </c>
      <c r="C342" s="116">
        <v>213.6</v>
      </c>
      <c r="D342" s="116">
        <v>213.13749999999999</v>
      </c>
      <c r="E342" s="116">
        <v>214.2</v>
      </c>
      <c r="F342" s="116">
        <v>854.4</v>
      </c>
      <c r="G342">
        <v>568</v>
      </c>
      <c r="H342" s="116"/>
      <c r="I342" s="116"/>
      <c r="L342" s="170">
        <v>45042</v>
      </c>
      <c r="M342" s="116">
        <v>213.8125</v>
      </c>
      <c r="N342" s="116">
        <v>214.75</v>
      </c>
      <c r="O342" s="116">
        <v>213</v>
      </c>
      <c r="P342" s="116">
        <v>214.6875</v>
      </c>
      <c r="Q342" s="116">
        <v>855.25</v>
      </c>
      <c r="R342">
        <v>15116</v>
      </c>
    </row>
    <row r="343" spans="1:18" x14ac:dyDescent="0.25">
      <c r="A343" s="170">
        <v>45043</v>
      </c>
      <c r="B343" s="116">
        <v>214.98750000000001</v>
      </c>
      <c r="C343" s="116">
        <v>214.13749999999999</v>
      </c>
      <c r="D343" s="116">
        <v>213.5625</v>
      </c>
      <c r="E343" s="116">
        <v>214.82499999999999</v>
      </c>
      <c r="F343" s="116">
        <v>856.55</v>
      </c>
      <c r="G343">
        <v>394</v>
      </c>
      <c r="H343" s="116"/>
      <c r="I343" s="116"/>
      <c r="L343" s="170">
        <v>45043</v>
      </c>
      <c r="M343" s="116">
        <v>214.0625</v>
      </c>
      <c r="N343" s="116">
        <v>215.6875</v>
      </c>
      <c r="O343" s="116">
        <v>213.5625</v>
      </c>
      <c r="P343" s="116">
        <v>215.6875</v>
      </c>
      <c r="Q343" s="116">
        <v>856.25</v>
      </c>
      <c r="R343">
        <v>13743</v>
      </c>
    </row>
    <row r="344" spans="1:18" x14ac:dyDescent="0.25">
      <c r="A344" s="170">
        <v>45044</v>
      </c>
      <c r="B344" s="116">
        <v>219.36250000000001</v>
      </c>
      <c r="C344" s="116">
        <v>215.76249999999999</v>
      </c>
      <c r="D344" s="116">
        <v>210.48750000000001</v>
      </c>
      <c r="E344" s="116">
        <v>214.23750000000001</v>
      </c>
      <c r="F344" s="116">
        <v>863.05</v>
      </c>
      <c r="G344">
        <v>8574</v>
      </c>
      <c r="H344" s="116"/>
      <c r="I344" s="116"/>
      <c r="L344" s="170">
        <v>45044</v>
      </c>
      <c r="M344" s="116">
        <v>215.88749999999999</v>
      </c>
      <c r="N344" s="116">
        <v>219.47499999999999</v>
      </c>
      <c r="O344" s="116">
        <v>212.7</v>
      </c>
      <c r="P344" s="116">
        <v>213.75</v>
      </c>
      <c r="Q344" s="116">
        <v>863.55</v>
      </c>
      <c r="R344">
        <v>77443</v>
      </c>
    </row>
    <row r="345" spans="1:18" x14ac:dyDescent="0.25">
      <c r="A345" s="170">
        <v>45048</v>
      </c>
      <c r="B345" s="116">
        <v>223.25</v>
      </c>
      <c r="C345" s="116">
        <v>217.8</v>
      </c>
      <c r="D345" s="116">
        <v>211.57499999999999</v>
      </c>
      <c r="E345" s="116">
        <v>211.57499999999999</v>
      </c>
      <c r="F345" s="116">
        <v>871.2</v>
      </c>
      <c r="G345">
        <v>7064</v>
      </c>
      <c r="H345" s="116"/>
      <c r="I345" s="116"/>
      <c r="L345" s="170">
        <v>45048</v>
      </c>
      <c r="M345" s="116">
        <v>218</v>
      </c>
      <c r="N345" s="116">
        <v>225.23750000000001</v>
      </c>
      <c r="O345" s="116">
        <v>215.86250000000001</v>
      </c>
      <c r="P345" s="116">
        <v>215.875</v>
      </c>
      <c r="Q345" s="116">
        <v>872</v>
      </c>
      <c r="R345">
        <v>150896</v>
      </c>
    </row>
    <row r="346" spans="1:18" x14ac:dyDescent="0.25">
      <c r="A346" s="170">
        <v>45049</v>
      </c>
      <c r="B346" s="116">
        <v>220.67500000000001</v>
      </c>
      <c r="C346" s="116">
        <v>219.58750000000001</v>
      </c>
      <c r="D346" s="116">
        <v>218.3</v>
      </c>
      <c r="E346" s="116">
        <v>218.3</v>
      </c>
      <c r="F346" s="116">
        <v>878.35</v>
      </c>
      <c r="G346">
        <v>2165</v>
      </c>
      <c r="H346" s="116"/>
      <c r="I346" s="116"/>
      <c r="L346" s="170">
        <v>45049</v>
      </c>
      <c r="M346" s="116">
        <v>219.48750000000001</v>
      </c>
      <c r="N346" s="116">
        <v>221.08750000000001</v>
      </c>
      <c r="O346" s="116">
        <v>217.98750000000001</v>
      </c>
      <c r="P346" s="116">
        <v>218.95</v>
      </c>
      <c r="Q346" s="116">
        <v>877.95</v>
      </c>
      <c r="R346">
        <v>42732</v>
      </c>
    </row>
    <row r="347" spans="1:18" x14ac:dyDescent="0.25">
      <c r="A347" s="170">
        <v>45050</v>
      </c>
      <c r="B347" s="116">
        <v>222.45</v>
      </c>
      <c r="C347" s="116">
        <v>219.45</v>
      </c>
      <c r="D347" s="116">
        <v>219.25</v>
      </c>
      <c r="E347" s="116">
        <v>221.23750000000001</v>
      </c>
      <c r="F347" s="116">
        <v>877.8</v>
      </c>
      <c r="G347">
        <v>2188</v>
      </c>
      <c r="H347" s="116"/>
      <c r="I347" s="116"/>
      <c r="L347" s="170">
        <v>45050</v>
      </c>
      <c r="M347" s="116">
        <v>219.63749999999999</v>
      </c>
      <c r="N347" s="116">
        <v>222.4375</v>
      </c>
      <c r="O347" s="116">
        <v>219.125</v>
      </c>
      <c r="P347" s="116">
        <v>220.5</v>
      </c>
      <c r="Q347" s="116">
        <v>878.55</v>
      </c>
      <c r="R347">
        <v>41855</v>
      </c>
    </row>
    <row r="348" spans="1:18" x14ac:dyDescent="0.25">
      <c r="A348" s="170">
        <v>45051</v>
      </c>
      <c r="B348" s="116">
        <v>223.95</v>
      </c>
      <c r="C348" s="116">
        <v>218.45</v>
      </c>
      <c r="D348" s="116">
        <v>218.0625</v>
      </c>
      <c r="E348" s="116">
        <v>223.95</v>
      </c>
      <c r="F348" s="116">
        <v>873.8</v>
      </c>
      <c r="G348">
        <v>807</v>
      </c>
      <c r="H348" s="116"/>
      <c r="I348" s="116"/>
      <c r="L348" s="170">
        <v>45051</v>
      </c>
      <c r="M348" s="116">
        <v>219.11250000000001</v>
      </c>
      <c r="N348" s="116">
        <v>221.5</v>
      </c>
      <c r="O348" s="116">
        <v>218.375</v>
      </c>
      <c r="P348" s="116">
        <v>219.86250000000001</v>
      </c>
      <c r="Q348" s="116">
        <v>876.45</v>
      </c>
      <c r="R348">
        <v>30909</v>
      </c>
    </row>
    <row r="349" spans="1:18" x14ac:dyDescent="0.25">
      <c r="A349" s="170">
        <v>45054</v>
      </c>
      <c r="B349" s="116">
        <v>224.98750000000001</v>
      </c>
      <c r="C349" s="116">
        <v>217.52500000000001</v>
      </c>
      <c r="D349" s="116">
        <v>217.5</v>
      </c>
      <c r="E349" s="116">
        <v>224.98750000000001</v>
      </c>
      <c r="F349" s="116">
        <v>870.1</v>
      </c>
      <c r="G349">
        <v>1246</v>
      </c>
      <c r="H349" s="116"/>
      <c r="I349" s="116"/>
      <c r="L349" s="170">
        <v>45054</v>
      </c>
      <c r="M349" s="116">
        <v>217.48750000000001</v>
      </c>
      <c r="N349" s="116">
        <v>221.75</v>
      </c>
      <c r="O349" s="116">
        <v>217.125</v>
      </c>
      <c r="P349" s="116">
        <v>221.1875</v>
      </c>
      <c r="Q349" s="116">
        <v>869.95</v>
      </c>
      <c r="R349">
        <v>73109</v>
      </c>
    </row>
    <row r="350" spans="1:18" x14ac:dyDescent="0.25">
      <c r="A350" s="170">
        <v>45055</v>
      </c>
      <c r="B350" s="116">
        <v>219.55</v>
      </c>
      <c r="C350" s="116">
        <v>217.6875</v>
      </c>
      <c r="D350" s="116">
        <v>216.5</v>
      </c>
      <c r="E350" s="116">
        <v>218.75</v>
      </c>
      <c r="F350" s="116">
        <v>870.75</v>
      </c>
      <c r="G350">
        <v>2529</v>
      </c>
      <c r="H350" s="116"/>
      <c r="I350" s="116"/>
      <c r="L350" s="170">
        <v>45055</v>
      </c>
      <c r="M350" s="116">
        <v>217.66249999999999</v>
      </c>
      <c r="N350" s="116">
        <v>219.75</v>
      </c>
      <c r="O350" s="116">
        <v>217.125</v>
      </c>
      <c r="P350" s="116">
        <v>219.5</v>
      </c>
      <c r="Q350" s="116">
        <v>870.65</v>
      </c>
      <c r="R350">
        <v>34057</v>
      </c>
    </row>
    <row r="351" spans="1:18" x14ac:dyDescent="0.25">
      <c r="A351" s="170">
        <v>45056</v>
      </c>
      <c r="B351" s="116">
        <v>220.38749999999999</v>
      </c>
      <c r="C351" s="116">
        <v>217.51249999999999</v>
      </c>
      <c r="D351" s="116">
        <v>216.3</v>
      </c>
      <c r="E351" s="116">
        <v>217.75</v>
      </c>
      <c r="F351" s="116">
        <v>870.05</v>
      </c>
      <c r="G351">
        <v>1888</v>
      </c>
      <c r="H351" s="116"/>
      <c r="I351" s="116"/>
      <c r="L351" s="170">
        <v>45056</v>
      </c>
      <c r="M351" s="116">
        <v>217.67500000000001</v>
      </c>
      <c r="N351" s="116">
        <v>220.125</v>
      </c>
      <c r="O351" s="116">
        <v>216.5</v>
      </c>
      <c r="P351" s="116">
        <v>217.77500000000001</v>
      </c>
      <c r="Q351" s="116">
        <v>870.7</v>
      </c>
      <c r="R351">
        <v>45582</v>
      </c>
    </row>
    <row r="352" spans="1:18" x14ac:dyDescent="0.25">
      <c r="A352" s="170">
        <v>45057</v>
      </c>
      <c r="B352" s="116">
        <v>222</v>
      </c>
      <c r="C352" s="116">
        <v>220.33750000000001</v>
      </c>
      <c r="D352" s="116">
        <v>218.15</v>
      </c>
      <c r="E352" s="116">
        <v>218.16249999999999</v>
      </c>
      <c r="F352" s="116">
        <v>881.35</v>
      </c>
      <c r="G352">
        <v>1969</v>
      </c>
      <c r="H352" s="116"/>
      <c r="I352" s="116"/>
      <c r="L352" s="170">
        <v>45057</v>
      </c>
      <c r="M352" s="116">
        <v>220.38749999999999</v>
      </c>
      <c r="N352" s="116">
        <v>222</v>
      </c>
      <c r="O352" s="116">
        <v>216.5625</v>
      </c>
      <c r="P352" s="116">
        <v>216.5625</v>
      </c>
      <c r="Q352" s="116">
        <v>881.55</v>
      </c>
      <c r="R352">
        <v>65005</v>
      </c>
    </row>
    <row r="353" spans="1:18" x14ac:dyDescent="0.25">
      <c r="A353" s="170">
        <v>45058</v>
      </c>
      <c r="B353" s="116">
        <v>220.16249999999999</v>
      </c>
      <c r="C353" s="116">
        <v>217.96250000000001</v>
      </c>
      <c r="D353" s="116">
        <v>217.53749999999999</v>
      </c>
      <c r="E353" s="116">
        <v>220.15</v>
      </c>
      <c r="F353" s="116">
        <v>871.85</v>
      </c>
      <c r="G353">
        <v>1075</v>
      </c>
      <c r="H353" s="116"/>
      <c r="I353" s="116"/>
      <c r="L353" s="170">
        <v>45058</v>
      </c>
      <c r="M353" s="116">
        <v>217.875</v>
      </c>
      <c r="N353" s="116">
        <v>221.25</v>
      </c>
      <c r="O353" s="116">
        <v>217.75</v>
      </c>
      <c r="P353" s="116">
        <v>221.25</v>
      </c>
      <c r="Q353" s="116">
        <v>871.5</v>
      </c>
      <c r="R353">
        <v>32391</v>
      </c>
    </row>
    <row r="354" spans="1:18" x14ac:dyDescent="0.25">
      <c r="A354" s="170">
        <v>45061</v>
      </c>
      <c r="B354" s="116">
        <v>218.46250000000001</v>
      </c>
      <c r="C354" s="116">
        <v>210.88749999999999</v>
      </c>
      <c r="D354" s="116">
        <v>209.95</v>
      </c>
      <c r="E354" s="116">
        <v>217.25</v>
      </c>
      <c r="F354" s="116">
        <v>843.55</v>
      </c>
      <c r="G354">
        <v>7853</v>
      </c>
      <c r="H354" s="116"/>
      <c r="I354" s="116"/>
      <c r="L354" s="170">
        <v>45061</v>
      </c>
      <c r="M354" s="116">
        <v>210.72499999999999</v>
      </c>
      <c r="N354" s="116">
        <v>219</v>
      </c>
      <c r="O354" s="116">
        <v>209.9375</v>
      </c>
      <c r="P354" s="116">
        <v>217.875</v>
      </c>
      <c r="Q354" s="116">
        <v>842.9</v>
      </c>
      <c r="R354">
        <v>88209</v>
      </c>
    </row>
    <row r="355" spans="1:18" x14ac:dyDescent="0.25">
      <c r="A355" s="170">
        <v>45062</v>
      </c>
      <c r="B355" s="116">
        <v>213</v>
      </c>
      <c r="C355" s="116">
        <v>209.85</v>
      </c>
      <c r="D355" s="116">
        <v>209</v>
      </c>
      <c r="E355" s="116">
        <v>210.01249999999999</v>
      </c>
      <c r="F355" s="116">
        <v>839.4</v>
      </c>
      <c r="G355">
        <v>4894</v>
      </c>
      <c r="H355" s="116"/>
      <c r="I355" s="116"/>
      <c r="L355" s="170">
        <v>45062</v>
      </c>
      <c r="M355" s="116">
        <v>210.15</v>
      </c>
      <c r="N355" s="116">
        <v>213.21250000000001</v>
      </c>
      <c r="O355" s="116">
        <v>208.9375</v>
      </c>
      <c r="P355" s="116">
        <v>211.25</v>
      </c>
      <c r="Q355" s="116">
        <v>840.6</v>
      </c>
      <c r="R355">
        <v>59839</v>
      </c>
    </row>
    <row r="356" spans="1:18" x14ac:dyDescent="0.25">
      <c r="A356" s="170">
        <v>45063</v>
      </c>
      <c r="B356" s="116">
        <v>212.97499999999999</v>
      </c>
      <c r="C356" s="116">
        <v>212.375</v>
      </c>
      <c r="D356" s="116">
        <v>210.85</v>
      </c>
      <c r="E356" s="116">
        <v>210.86250000000001</v>
      </c>
      <c r="F356" s="116">
        <v>849.5</v>
      </c>
      <c r="G356">
        <v>880</v>
      </c>
      <c r="H356" s="116"/>
      <c r="I356" s="116"/>
      <c r="L356" s="170">
        <v>45063</v>
      </c>
      <c r="M356" s="116">
        <v>212.71250000000001</v>
      </c>
      <c r="N356" s="116">
        <v>213.08750000000001</v>
      </c>
      <c r="O356" s="116">
        <v>210</v>
      </c>
      <c r="P356" s="116">
        <v>210</v>
      </c>
      <c r="Q356" s="116">
        <v>850.85</v>
      </c>
      <c r="R356">
        <v>18838</v>
      </c>
    </row>
    <row r="357" spans="1:18" x14ac:dyDescent="0.25">
      <c r="A357" s="170">
        <v>45064</v>
      </c>
      <c r="B357" s="116">
        <v>214.52500000000001</v>
      </c>
      <c r="C357" s="116">
        <v>214.01249999999999</v>
      </c>
      <c r="D357" s="116">
        <v>212.2</v>
      </c>
      <c r="E357" s="116">
        <v>213.5625</v>
      </c>
      <c r="F357" s="116">
        <v>856.05</v>
      </c>
      <c r="G357">
        <v>1129</v>
      </c>
      <c r="H357" s="116"/>
      <c r="I357" s="116"/>
      <c r="L357" s="170">
        <v>45064</v>
      </c>
      <c r="M357" s="116">
        <v>213.32499999999999</v>
      </c>
      <c r="N357" s="116">
        <v>214.85</v>
      </c>
      <c r="O357" s="116">
        <v>211.78749999999999</v>
      </c>
      <c r="P357" s="116">
        <v>214.85</v>
      </c>
      <c r="Q357" s="116">
        <v>853.3</v>
      </c>
      <c r="R357">
        <v>19133</v>
      </c>
    </row>
    <row r="358" spans="1:18" x14ac:dyDescent="0.25">
      <c r="A358" s="170">
        <v>45065</v>
      </c>
      <c r="B358" s="116">
        <v>216.25</v>
      </c>
      <c r="C358" s="116">
        <v>215.28749999999999</v>
      </c>
      <c r="D358" s="116">
        <v>211.4</v>
      </c>
      <c r="E358" s="116">
        <v>214.9</v>
      </c>
      <c r="F358" s="116">
        <v>861.15</v>
      </c>
      <c r="G358">
        <v>8417</v>
      </c>
      <c r="H358" s="116"/>
      <c r="I358" s="116"/>
      <c r="L358" s="170">
        <v>45065</v>
      </c>
      <c r="M358" s="116">
        <v>215.61250000000001</v>
      </c>
      <c r="N358" s="116">
        <v>215.75</v>
      </c>
      <c r="O358" s="116">
        <v>211.8125</v>
      </c>
      <c r="P358" s="116">
        <v>215</v>
      </c>
      <c r="Q358" s="116">
        <v>862.45</v>
      </c>
      <c r="R358">
        <v>18980</v>
      </c>
    </row>
    <row r="359" spans="1:18" x14ac:dyDescent="0.25">
      <c r="A359" s="170">
        <v>45068</v>
      </c>
      <c r="B359" s="116">
        <v>216.36250000000001</v>
      </c>
      <c r="C359" s="116">
        <v>216.1</v>
      </c>
      <c r="D359" s="116">
        <v>213.6875</v>
      </c>
      <c r="E359" s="116">
        <v>215.375</v>
      </c>
      <c r="F359" s="116">
        <v>864.4</v>
      </c>
      <c r="G359">
        <v>503</v>
      </c>
      <c r="H359" s="116"/>
      <c r="I359" s="116"/>
      <c r="L359" s="170">
        <v>45068</v>
      </c>
      <c r="M359" s="116">
        <v>216.08750000000001</v>
      </c>
      <c r="N359" s="116">
        <v>216.375</v>
      </c>
      <c r="O359" s="116">
        <v>213.75</v>
      </c>
      <c r="P359" s="116">
        <v>215.75</v>
      </c>
      <c r="Q359" s="116">
        <v>864.35</v>
      </c>
      <c r="R359">
        <v>13830</v>
      </c>
    </row>
    <row r="360" spans="1:18" x14ac:dyDescent="0.25">
      <c r="A360" s="170">
        <v>45069</v>
      </c>
      <c r="B360" s="116">
        <v>217.5</v>
      </c>
      <c r="C360" s="116">
        <v>214.11250000000001</v>
      </c>
      <c r="D360" s="116">
        <v>212.22499999999999</v>
      </c>
      <c r="E360" s="116">
        <v>212.52500000000001</v>
      </c>
      <c r="F360" s="116">
        <v>856.45</v>
      </c>
      <c r="G360">
        <v>19253</v>
      </c>
      <c r="H360" s="116"/>
      <c r="I360" s="116"/>
      <c r="L360" s="170">
        <v>45069</v>
      </c>
      <c r="M360" s="116">
        <v>213.46250000000001</v>
      </c>
      <c r="N360" s="116">
        <v>217.625</v>
      </c>
      <c r="O360" s="116">
        <v>212.375</v>
      </c>
      <c r="P360" s="116">
        <v>215.51249999999999</v>
      </c>
      <c r="Q360" s="116">
        <v>853.85</v>
      </c>
      <c r="R360">
        <v>47786</v>
      </c>
    </row>
    <row r="361" spans="1:18" x14ac:dyDescent="0.25">
      <c r="A361" s="170">
        <v>45070</v>
      </c>
      <c r="B361" s="116">
        <v>214.76249999999999</v>
      </c>
      <c r="C361" s="116">
        <v>211.88749999999999</v>
      </c>
      <c r="D361" s="116">
        <v>210.66249999999999</v>
      </c>
      <c r="E361" s="116">
        <v>214.11250000000001</v>
      </c>
      <c r="F361" s="116">
        <v>847.55</v>
      </c>
      <c r="G361">
        <v>10031</v>
      </c>
      <c r="H361" s="116"/>
      <c r="I361" s="116"/>
      <c r="L361" s="170">
        <v>45070</v>
      </c>
      <c r="M361" s="116">
        <v>212.5</v>
      </c>
      <c r="N361" s="116">
        <v>214.97499999999999</v>
      </c>
      <c r="O361" s="116">
        <v>210.82499999999999</v>
      </c>
      <c r="P361" s="116">
        <v>214.3125</v>
      </c>
      <c r="Q361" s="116">
        <v>850</v>
      </c>
      <c r="R361">
        <v>39660</v>
      </c>
    </row>
    <row r="362" spans="1:18" x14ac:dyDescent="0.25">
      <c r="A362" s="170">
        <v>45071</v>
      </c>
      <c r="B362" s="116">
        <v>213.4375</v>
      </c>
      <c r="C362" s="116">
        <v>212.23750000000001</v>
      </c>
      <c r="D362" s="116">
        <v>211.38749999999999</v>
      </c>
      <c r="E362" s="116">
        <v>212.25</v>
      </c>
      <c r="F362" s="116">
        <v>848.95</v>
      </c>
      <c r="G362">
        <v>7245</v>
      </c>
      <c r="H362" s="116"/>
      <c r="I362" s="116"/>
      <c r="L362" s="170">
        <v>45071</v>
      </c>
      <c r="M362" s="116">
        <v>212.47499999999999</v>
      </c>
      <c r="N362" s="116">
        <v>213.4</v>
      </c>
      <c r="O362" s="116">
        <v>211.25</v>
      </c>
      <c r="P362" s="116">
        <v>213.33750000000001</v>
      </c>
      <c r="Q362" s="116">
        <v>849.9</v>
      </c>
      <c r="R362">
        <v>15018</v>
      </c>
    </row>
    <row r="363" spans="1:18" x14ac:dyDescent="0.25">
      <c r="A363" s="170">
        <v>45072</v>
      </c>
      <c r="B363" s="116">
        <v>214.02500000000001</v>
      </c>
      <c r="C363" s="116">
        <v>213.23750000000001</v>
      </c>
      <c r="D363" s="116">
        <v>211.97499999999999</v>
      </c>
      <c r="E363" s="116">
        <v>212.75</v>
      </c>
      <c r="F363" s="116">
        <v>852.95</v>
      </c>
      <c r="G363">
        <v>681</v>
      </c>
      <c r="H363" s="116"/>
      <c r="I363" s="116"/>
      <c r="L363" s="170">
        <v>45072</v>
      </c>
      <c r="M363" s="116">
        <v>212.72499999999999</v>
      </c>
      <c r="N363" s="116">
        <v>213.75</v>
      </c>
      <c r="O363" s="116">
        <v>211.75</v>
      </c>
      <c r="P363" s="116">
        <v>212.9</v>
      </c>
      <c r="Q363" s="116">
        <v>850.9</v>
      </c>
      <c r="R363">
        <v>12060</v>
      </c>
    </row>
    <row r="364" spans="1:18" x14ac:dyDescent="0.25">
      <c r="A364" s="170">
        <v>45075</v>
      </c>
      <c r="B364" s="116">
        <v>215.625</v>
      </c>
      <c r="C364" s="116">
        <v>214.6</v>
      </c>
      <c r="D364" s="116">
        <v>211.08750000000001</v>
      </c>
      <c r="E364" s="116">
        <v>212</v>
      </c>
      <c r="F364" s="116">
        <v>858.4</v>
      </c>
      <c r="G364">
        <v>1565</v>
      </c>
      <c r="H364" s="116"/>
      <c r="I364" s="116"/>
      <c r="L364" s="170">
        <v>45075</v>
      </c>
      <c r="M364" s="116">
        <v>214.9</v>
      </c>
      <c r="N364" s="116">
        <v>215.5</v>
      </c>
      <c r="O364" s="116">
        <v>211.26249999999999</v>
      </c>
      <c r="P364" s="116">
        <v>211.75</v>
      </c>
      <c r="Q364" s="116">
        <v>859.6</v>
      </c>
      <c r="R364">
        <v>16153</v>
      </c>
    </row>
    <row r="365" spans="1:18" x14ac:dyDescent="0.25">
      <c r="A365" s="170">
        <v>45076</v>
      </c>
      <c r="B365" s="116">
        <v>215.625</v>
      </c>
      <c r="C365" s="116">
        <v>215.08750000000001</v>
      </c>
      <c r="D365" s="116">
        <v>213.63749999999999</v>
      </c>
      <c r="E365" s="116">
        <v>215.625</v>
      </c>
      <c r="F365" s="116">
        <v>860.35</v>
      </c>
      <c r="G365">
        <v>7884</v>
      </c>
      <c r="H365" s="116"/>
      <c r="I365" s="116"/>
      <c r="L365" s="170">
        <v>45076</v>
      </c>
      <c r="M365" s="116">
        <v>214.6</v>
      </c>
      <c r="N365" s="116">
        <v>215.5</v>
      </c>
      <c r="O365" s="116">
        <v>213.51249999999999</v>
      </c>
      <c r="P365" s="116">
        <v>215.5</v>
      </c>
      <c r="Q365" s="116">
        <v>858.4</v>
      </c>
      <c r="R365">
        <v>13792</v>
      </c>
    </row>
    <row r="366" spans="1:18" x14ac:dyDescent="0.25">
      <c r="A366" s="170">
        <v>45077</v>
      </c>
      <c r="B366" s="116">
        <v>215.4</v>
      </c>
      <c r="C366" s="116">
        <v>214.95</v>
      </c>
      <c r="D366" s="116">
        <v>213.52500000000001</v>
      </c>
      <c r="E366" s="116">
        <v>214</v>
      </c>
      <c r="F366" s="116">
        <v>859.8</v>
      </c>
      <c r="G366">
        <v>12173</v>
      </c>
      <c r="H366" s="116"/>
      <c r="I366" s="116"/>
      <c r="L366" s="170">
        <v>45077</v>
      </c>
      <c r="M366" s="116">
        <v>215.03749999999999</v>
      </c>
      <c r="N366" s="116">
        <v>215.5</v>
      </c>
      <c r="O366" s="116">
        <v>213.5</v>
      </c>
      <c r="P366" s="116">
        <v>215</v>
      </c>
      <c r="Q366" s="116">
        <v>860.15</v>
      </c>
      <c r="R366">
        <v>22692</v>
      </c>
    </row>
    <row r="367" spans="1:18" x14ac:dyDescent="0.25">
      <c r="A367" s="170">
        <v>45078</v>
      </c>
      <c r="B367" s="116">
        <v>216.25</v>
      </c>
      <c r="C367" s="116">
        <v>213.48750000000001</v>
      </c>
      <c r="D367" s="116">
        <v>212.125</v>
      </c>
      <c r="E367" s="116">
        <v>216.25</v>
      </c>
      <c r="F367" s="116">
        <v>853.95</v>
      </c>
      <c r="G367">
        <v>7334</v>
      </c>
      <c r="H367" s="116"/>
      <c r="I367" s="116"/>
      <c r="L367" s="170">
        <v>45078</v>
      </c>
      <c r="M367" s="116">
        <v>212.85</v>
      </c>
      <c r="N367" s="116">
        <v>215.03749999999999</v>
      </c>
      <c r="O367" s="116">
        <v>212.125</v>
      </c>
      <c r="P367" s="116">
        <v>215</v>
      </c>
      <c r="Q367" s="116">
        <v>851.4</v>
      </c>
      <c r="R367">
        <v>21851</v>
      </c>
    </row>
    <row r="368" spans="1:18" x14ac:dyDescent="0.25">
      <c r="A368" s="170">
        <v>45079</v>
      </c>
      <c r="B368" s="116">
        <v>215.25</v>
      </c>
      <c r="C368" s="116">
        <v>213.9375</v>
      </c>
      <c r="D368" s="116">
        <v>212.01249999999999</v>
      </c>
      <c r="E368" s="116">
        <v>212.01249999999999</v>
      </c>
      <c r="F368" s="116">
        <v>855.75</v>
      </c>
      <c r="G368">
        <v>18436</v>
      </c>
      <c r="H368" s="116"/>
      <c r="I368" s="116"/>
      <c r="L368" s="170">
        <v>45079</v>
      </c>
      <c r="M368" s="116">
        <v>214.1875</v>
      </c>
      <c r="N368" s="116">
        <v>215.5</v>
      </c>
      <c r="O368" s="116">
        <v>212.85</v>
      </c>
      <c r="P368" s="116">
        <v>213.67500000000001</v>
      </c>
      <c r="Q368" s="116">
        <v>856.75</v>
      </c>
      <c r="R368">
        <v>22010</v>
      </c>
    </row>
    <row r="369" spans="1:18" x14ac:dyDescent="0.25">
      <c r="A369" s="170">
        <v>45082</v>
      </c>
      <c r="B369" s="116">
        <v>214.73750000000001</v>
      </c>
      <c r="C369" s="116">
        <v>212.48750000000001</v>
      </c>
      <c r="D369" s="116">
        <v>212.07499999999999</v>
      </c>
      <c r="E369" s="116">
        <v>214.51249999999999</v>
      </c>
      <c r="F369" s="116">
        <v>849.95</v>
      </c>
      <c r="G369">
        <v>6074</v>
      </c>
      <c r="H369" s="116"/>
      <c r="I369" s="116"/>
      <c r="L369" s="170">
        <v>45082</v>
      </c>
      <c r="M369" s="116">
        <v>212.58750000000001</v>
      </c>
      <c r="N369" s="116">
        <v>214.75</v>
      </c>
      <c r="O369" s="116">
        <v>212.02500000000001</v>
      </c>
      <c r="P369" s="116">
        <v>214.75</v>
      </c>
      <c r="Q369" s="116">
        <v>850.35</v>
      </c>
      <c r="R369">
        <v>19660</v>
      </c>
    </row>
    <row r="370" spans="1:18" x14ac:dyDescent="0.25">
      <c r="A370" s="170">
        <v>45083</v>
      </c>
      <c r="B370" s="116">
        <v>214.41249999999999</v>
      </c>
      <c r="C370" s="116">
        <v>213.32499999999999</v>
      </c>
      <c r="D370" s="116">
        <v>212.13749999999999</v>
      </c>
      <c r="E370" s="116">
        <v>212.58750000000001</v>
      </c>
      <c r="F370" s="116">
        <v>853.3</v>
      </c>
      <c r="G370">
        <v>13902</v>
      </c>
      <c r="H370" s="116"/>
      <c r="I370" s="116"/>
      <c r="L370" s="170">
        <v>45083</v>
      </c>
      <c r="M370" s="116">
        <v>213.3</v>
      </c>
      <c r="N370" s="116">
        <v>214.57499999999999</v>
      </c>
      <c r="O370" s="116">
        <v>211.27500000000001</v>
      </c>
      <c r="P370" s="116">
        <v>211.27500000000001</v>
      </c>
      <c r="Q370" s="116">
        <v>853.2</v>
      </c>
      <c r="R370">
        <v>21219</v>
      </c>
    </row>
    <row r="371" spans="1:18" x14ac:dyDescent="0.25">
      <c r="A371" s="170">
        <v>45084</v>
      </c>
      <c r="B371" s="116">
        <v>216.21250000000001</v>
      </c>
      <c r="C371" s="116">
        <v>215.03749999999999</v>
      </c>
      <c r="D371" s="116">
        <v>213.28749999999999</v>
      </c>
      <c r="E371" s="116">
        <v>213.41249999999999</v>
      </c>
      <c r="F371" s="116">
        <v>860.15</v>
      </c>
      <c r="G371">
        <v>4490</v>
      </c>
      <c r="H371" s="116"/>
      <c r="I371" s="116"/>
      <c r="L371" s="170">
        <v>45084</v>
      </c>
      <c r="M371" s="116">
        <v>215.08750000000001</v>
      </c>
      <c r="N371" s="116">
        <v>216.27500000000001</v>
      </c>
      <c r="O371" s="116">
        <v>213.375</v>
      </c>
      <c r="P371" s="116">
        <v>214.125</v>
      </c>
      <c r="Q371" s="116">
        <v>860.35</v>
      </c>
      <c r="R371">
        <v>66034</v>
      </c>
    </row>
    <row r="372" spans="1:18" x14ac:dyDescent="0.25">
      <c r="A372" s="170">
        <v>45085</v>
      </c>
      <c r="B372" s="116">
        <v>217.6</v>
      </c>
      <c r="C372" s="116">
        <v>215.96250000000001</v>
      </c>
      <c r="D372" s="116">
        <v>214.48750000000001</v>
      </c>
      <c r="E372" s="116">
        <v>216.25</v>
      </c>
      <c r="F372" s="116">
        <v>863.85</v>
      </c>
      <c r="G372">
        <v>1802</v>
      </c>
      <c r="H372" s="116"/>
      <c r="I372" s="116"/>
      <c r="L372" s="170">
        <v>45085</v>
      </c>
      <c r="M372" s="116">
        <v>216.26249999999999</v>
      </c>
      <c r="N372" s="116">
        <v>216.75</v>
      </c>
      <c r="O372" s="116">
        <v>214.51249999999999</v>
      </c>
      <c r="P372" s="116">
        <v>216.375</v>
      </c>
      <c r="Q372" s="116">
        <v>865.05</v>
      </c>
      <c r="R372">
        <v>18914</v>
      </c>
    </row>
    <row r="373" spans="1:18" x14ac:dyDescent="0.25">
      <c r="A373" s="170">
        <v>45086</v>
      </c>
      <c r="B373" s="116">
        <v>218.15</v>
      </c>
      <c r="C373" s="116">
        <v>217.83750000000001</v>
      </c>
      <c r="D373" s="116">
        <v>215.01249999999999</v>
      </c>
      <c r="E373" s="116">
        <v>216.45</v>
      </c>
      <c r="F373" s="116">
        <v>871.35</v>
      </c>
      <c r="G373">
        <v>962</v>
      </c>
      <c r="H373" s="116"/>
      <c r="I373" s="116"/>
      <c r="L373" s="170">
        <v>45086</v>
      </c>
      <c r="M373" s="116">
        <v>217.76249999999999</v>
      </c>
      <c r="N373" s="116">
        <v>218.23750000000001</v>
      </c>
      <c r="O373" s="116">
        <v>214.76249999999999</v>
      </c>
      <c r="P373" s="116">
        <v>217.11250000000001</v>
      </c>
      <c r="Q373" s="116">
        <v>871.05</v>
      </c>
      <c r="R373">
        <v>33361</v>
      </c>
    </row>
    <row r="374" spans="1:18" x14ac:dyDescent="0.25">
      <c r="A374" s="170">
        <v>45089</v>
      </c>
      <c r="B374" s="116">
        <v>219.375</v>
      </c>
      <c r="C374" s="116">
        <v>219.01249999999999</v>
      </c>
      <c r="D374" s="116">
        <v>216.17500000000001</v>
      </c>
      <c r="E374" s="116">
        <v>219.23750000000001</v>
      </c>
      <c r="F374" s="116">
        <v>876.05</v>
      </c>
      <c r="G374">
        <v>3967</v>
      </c>
      <c r="H374" s="116"/>
      <c r="I374" s="116"/>
      <c r="L374" s="170">
        <v>45089</v>
      </c>
      <c r="M374" s="116">
        <v>218.9</v>
      </c>
      <c r="N374" s="116">
        <v>219.5</v>
      </c>
      <c r="O374" s="116">
        <v>216.25</v>
      </c>
      <c r="P374" s="116">
        <v>218.25</v>
      </c>
      <c r="Q374" s="116">
        <v>875.6</v>
      </c>
      <c r="R374">
        <v>24853</v>
      </c>
    </row>
    <row r="375" spans="1:18" x14ac:dyDescent="0.25">
      <c r="A375" s="170">
        <v>45090</v>
      </c>
      <c r="B375" s="116">
        <v>222</v>
      </c>
      <c r="C375" s="116">
        <v>220.7</v>
      </c>
      <c r="D375" s="116">
        <v>217.13749999999999</v>
      </c>
      <c r="E375" s="116">
        <v>219.625</v>
      </c>
      <c r="F375" s="116">
        <v>882.8</v>
      </c>
      <c r="G375">
        <v>9413</v>
      </c>
      <c r="H375" s="116"/>
      <c r="I375" s="116"/>
      <c r="L375" s="170">
        <v>45090</v>
      </c>
      <c r="M375" s="116">
        <v>220.32499999999999</v>
      </c>
      <c r="N375" s="116">
        <v>222.125</v>
      </c>
      <c r="O375" s="116">
        <v>217.125</v>
      </c>
      <c r="P375" s="116">
        <v>219.75</v>
      </c>
      <c r="Q375" s="116">
        <v>881.3</v>
      </c>
      <c r="R375">
        <v>33027</v>
      </c>
    </row>
    <row r="376" spans="1:18" x14ac:dyDescent="0.25">
      <c r="A376" s="170">
        <v>45091</v>
      </c>
      <c r="B376" s="116">
        <v>221.625</v>
      </c>
      <c r="C376" s="116">
        <v>217.13749999999999</v>
      </c>
      <c r="D376" s="116">
        <v>216.73750000000001</v>
      </c>
      <c r="E376" s="116">
        <v>221.625</v>
      </c>
      <c r="F376" s="116">
        <v>868.55</v>
      </c>
      <c r="G376">
        <v>14481</v>
      </c>
      <c r="H376" s="116"/>
      <c r="I376" s="116"/>
      <c r="L376" s="170">
        <v>45091</v>
      </c>
      <c r="M376" s="116">
        <v>217.1</v>
      </c>
      <c r="N376" s="116">
        <v>221.32499999999999</v>
      </c>
      <c r="O376" s="116">
        <v>216.25</v>
      </c>
      <c r="P376" s="116">
        <v>219.82499999999999</v>
      </c>
      <c r="Q376" s="116">
        <v>868.4</v>
      </c>
      <c r="R376">
        <v>24471</v>
      </c>
    </row>
    <row r="377" spans="1:18" x14ac:dyDescent="0.25">
      <c r="A377" s="170">
        <v>45092</v>
      </c>
      <c r="B377" s="116">
        <v>217.46250000000001</v>
      </c>
      <c r="C377" s="116">
        <v>216.36250000000001</v>
      </c>
      <c r="D377" s="116">
        <v>215.75</v>
      </c>
      <c r="E377" s="116">
        <v>217.3</v>
      </c>
      <c r="F377" s="116">
        <v>865.45</v>
      </c>
      <c r="G377">
        <v>3078</v>
      </c>
      <c r="H377" s="116"/>
      <c r="I377" s="116"/>
      <c r="L377" s="170">
        <v>45092</v>
      </c>
      <c r="M377" s="116">
        <v>216.5625</v>
      </c>
      <c r="N377" s="116">
        <v>217.75</v>
      </c>
      <c r="O377" s="116">
        <v>215.875</v>
      </c>
      <c r="P377" s="116">
        <v>217</v>
      </c>
      <c r="Q377" s="116">
        <v>866.25</v>
      </c>
      <c r="R377">
        <v>10290</v>
      </c>
    </row>
    <row r="378" spans="1:18" x14ac:dyDescent="0.25">
      <c r="A378" s="170">
        <v>45093</v>
      </c>
      <c r="B378" s="116">
        <v>218.51249999999999</v>
      </c>
      <c r="C378" s="116">
        <v>216.25</v>
      </c>
      <c r="D378" s="116">
        <v>215.98750000000001</v>
      </c>
      <c r="E378" s="116">
        <v>218</v>
      </c>
      <c r="F378" s="116">
        <v>865</v>
      </c>
      <c r="G378">
        <v>1539</v>
      </c>
      <c r="H378" s="116"/>
      <c r="I378" s="116"/>
      <c r="L378" s="170">
        <v>45093</v>
      </c>
      <c r="M378" s="116">
        <v>216.45</v>
      </c>
      <c r="N378" s="116">
        <v>219.8125</v>
      </c>
      <c r="O378" s="116">
        <v>215.875</v>
      </c>
      <c r="P378" s="116">
        <v>219.8125</v>
      </c>
      <c r="Q378" s="116">
        <v>865.8</v>
      </c>
      <c r="R378">
        <v>14939</v>
      </c>
    </row>
    <row r="379" spans="1:18" x14ac:dyDescent="0.25">
      <c r="A379" s="170">
        <v>45096</v>
      </c>
      <c r="B379" s="116">
        <v>220.02500000000001</v>
      </c>
      <c r="C379" s="116">
        <v>215.01249999999999</v>
      </c>
      <c r="D379" s="116">
        <v>212.8125</v>
      </c>
      <c r="E379" s="116">
        <v>213.58750000000001</v>
      </c>
      <c r="F379" s="116">
        <v>860.05</v>
      </c>
      <c r="G379">
        <v>8028</v>
      </c>
      <c r="H379" s="116"/>
      <c r="I379" s="116"/>
      <c r="L379" s="170">
        <v>45096</v>
      </c>
      <c r="M379" s="116">
        <v>215.05</v>
      </c>
      <c r="N379" s="116">
        <v>220.25</v>
      </c>
      <c r="O379" s="116">
        <v>214.625</v>
      </c>
      <c r="P379" s="116">
        <v>220</v>
      </c>
      <c r="Q379" s="116">
        <v>860.2</v>
      </c>
      <c r="R379">
        <v>36676</v>
      </c>
    </row>
    <row r="380" spans="1:18" x14ac:dyDescent="0.25">
      <c r="A380" s="170">
        <v>45097</v>
      </c>
      <c r="B380" s="116">
        <v>219.375</v>
      </c>
      <c r="C380" s="116">
        <v>215.11250000000001</v>
      </c>
      <c r="D380" s="116">
        <v>213.78749999999999</v>
      </c>
      <c r="E380" s="116">
        <v>219.375</v>
      </c>
      <c r="F380" s="116">
        <v>860.45</v>
      </c>
      <c r="G380">
        <v>2063</v>
      </c>
      <c r="H380" s="116"/>
      <c r="I380" s="116"/>
      <c r="L380" s="170">
        <v>45097</v>
      </c>
      <c r="M380" s="116">
        <v>214.83750000000001</v>
      </c>
      <c r="N380" s="116">
        <v>216.72499999999999</v>
      </c>
      <c r="O380" s="116">
        <v>213.6875</v>
      </c>
      <c r="P380" s="116">
        <v>215.9</v>
      </c>
      <c r="Q380" s="116">
        <v>859.35</v>
      </c>
      <c r="R380">
        <v>25435</v>
      </c>
    </row>
    <row r="381" spans="1:18" x14ac:dyDescent="0.25">
      <c r="A381" s="170">
        <v>45098</v>
      </c>
      <c r="B381" s="116">
        <v>216.5</v>
      </c>
      <c r="C381" s="116">
        <v>215.66249999999999</v>
      </c>
      <c r="D381" s="116">
        <v>214</v>
      </c>
      <c r="E381" s="116">
        <v>214.5</v>
      </c>
      <c r="F381" s="116">
        <v>862.65</v>
      </c>
      <c r="G381">
        <v>1709</v>
      </c>
      <c r="H381" s="116"/>
      <c r="I381" s="116"/>
      <c r="L381" s="170">
        <v>45098</v>
      </c>
      <c r="M381" s="116">
        <v>215.45</v>
      </c>
      <c r="N381" s="116">
        <v>216.5</v>
      </c>
      <c r="O381" s="116">
        <v>213.78749999999999</v>
      </c>
      <c r="P381" s="116">
        <v>215.6875</v>
      </c>
      <c r="Q381" s="116">
        <v>861.8</v>
      </c>
      <c r="R381">
        <v>18671</v>
      </c>
    </row>
    <row r="382" spans="1:18" x14ac:dyDescent="0.25">
      <c r="A382" s="170">
        <v>45099</v>
      </c>
      <c r="B382" s="116">
        <v>218.25</v>
      </c>
      <c r="C382" s="116">
        <v>214.61250000000001</v>
      </c>
      <c r="D382" s="116">
        <v>213.9</v>
      </c>
      <c r="E382" s="116">
        <v>214.01249999999999</v>
      </c>
      <c r="F382" s="116">
        <v>858.45</v>
      </c>
      <c r="G382">
        <v>4885</v>
      </c>
      <c r="H382" s="116"/>
      <c r="I382" s="116"/>
      <c r="L382" s="170">
        <v>45099</v>
      </c>
      <c r="M382" s="116">
        <v>214.28749999999999</v>
      </c>
      <c r="N382" s="116">
        <v>218.25</v>
      </c>
      <c r="O382" s="116">
        <v>213.6875</v>
      </c>
      <c r="P382" s="116">
        <v>215.875</v>
      </c>
      <c r="Q382" s="116">
        <v>857.15</v>
      </c>
      <c r="R382">
        <v>32109</v>
      </c>
    </row>
    <row r="383" spans="1:18" x14ac:dyDescent="0.25">
      <c r="A383" s="170">
        <v>45100</v>
      </c>
      <c r="B383" s="116">
        <v>216</v>
      </c>
      <c r="C383" s="116">
        <v>214.91249999999999</v>
      </c>
      <c r="D383" s="116">
        <v>213.5625</v>
      </c>
      <c r="E383" s="116">
        <v>213.75</v>
      </c>
      <c r="F383" s="116">
        <v>859.65</v>
      </c>
      <c r="G383">
        <v>3721</v>
      </c>
      <c r="H383" s="116"/>
      <c r="I383" s="116"/>
      <c r="L383" s="170">
        <v>45100</v>
      </c>
      <c r="M383" s="116">
        <v>215.25</v>
      </c>
      <c r="N383" s="116">
        <v>216.13749999999999</v>
      </c>
      <c r="O383" s="116">
        <v>213.6875</v>
      </c>
      <c r="P383" s="116">
        <v>214.28749999999999</v>
      </c>
      <c r="Q383" s="116">
        <v>861</v>
      </c>
      <c r="R383">
        <v>16985</v>
      </c>
    </row>
    <row r="384" spans="1:18" x14ac:dyDescent="0.25">
      <c r="A384" s="170">
        <v>45103</v>
      </c>
      <c r="B384" s="116">
        <v>218.15</v>
      </c>
      <c r="C384" s="116">
        <v>217.13749999999999</v>
      </c>
      <c r="D384" s="116">
        <v>213</v>
      </c>
      <c r="E384" s="116">
        <v>215.15</v>
      </c>
      <c r="F384" s="116">
        <v>868.55</v>
      </c>
      <c r="G384">
        <v>3599</v>
      </c>
      <c r="H384" s="116"/>
      <c r="I384" s="116"/>
      <c r="L384" s="170">
        <v>45103</v>
      </c>
      <c r="M384" s="116">
        <v>217.0625</v>
      </c>
      <c r="N384" s="116">
        <v>218.11250000000001</v>
      </c>
      <c r="O384" s="116">
        <v>212.77500000000001</v>
      </c>
      <c r="P384" s="116">
        <v>212.77500000000001</v>
      </c>
      <c r="Q384" s="116">
        <v>868.25</v>
      </c>
      <c r="R384">
        <v>21512</v>
      </c>
    </row>
    <row r="385" spans="1:18" x14ac:dyDescent="0.25">
      <c r="A385" s="170">
        <v>45104</v>
      </c>
      <c r="B385" s="116">
        <v>218.25</v>
      </c>
      <c r="C385" s="116">
        <v>216.45</v>
      </c>
      <c r="D385" s="116">
        <v>213.61250000000001</v>
      </c>
      <c r="E385" s="116">
        <v>216.98750000000001</v>
      </c>
      <c r="F385" s="116">
        <v>865.8</v>
      </c>
      <c r="G385">
        <v>2109</v>
      </c>
      <c r="H385" s="116"/>
      <c r="I385" s="116"/>
      <c r="L385" s="170">
        <v>45104</v>
      </c>
      <c r="M385" s="116">
        <v>216.72499999999999</v>
      </c>
      <c r="N385" s="116">
        <v>218.67500000000001</v>
      </c>
      <c r="O385" s="116">
        <v>213.77500000000001</v>
      </c>
      <c r="P385" s="116">
        <v>218.67500000000001</v>
      </c>
      <c r="Q385" s="116">
        <v>866.9</v>
      </c>
      <c r="R385">
        <v>28640</v>
      </c>
    </row>
    <row r="386" spans="1:18" x14ac:dyDescent="0.25">
      <c r="A386" s="170">
        <v>45105</v>
      </c>
      <c r="B386" s="116">
        <v>219.98750000000001</v>
      </c>
      <c r="C386" s="116">
        <v>216.57499999999999</v>
      </c>
      <c r="D386" s="116">
        <v>215.28749999999999</v>
      </c>
      <c r="E386" s="116">
        <v>219.98750000000001</v>
      </c>
      <c r="F386" s="116">
        <v>866.3</v>
      </c>
      <c r="G386">
        <v>733</v>
      </c>
      <c r="H386" s="116"/>
      <c r="I386" s="116"/>
      <c r="L386" s="170">
        <v>45105</v>
      </c>
      <c r="M386" s="116">
        <v>217.125</v>
      </c>
      <c r="N386" s="116">
        <v>217.5</v>
      </c>
      <c r="O386" s="116">
        <v>215.26249999999999</v>
      </c>
      <c r="P386" s="116">
        <v>216.72499999999999</v>
      </c>
      <c r="Q386" s="116">
        <v>868.5</v>
      </c>
      <c r="R386">
        <v>11679</v>
      </c>
    </row>
    <row r="387" spans="1:18" x14ac:dyDescent="0.25">
      <c r="A387" s="170">
        <v>45107</v>
      </c>
      <c r="B387" s="116">
        <v>218.375</v>
      </c>
      <c r="C387" s="116">
        <v>217.03749999999999</v>
      </c>
      <c r="D387" s="116">
        <v>213.23750000000001</v>
      </c>
      <c r="E387" s="116">
        <v>213.23750000000001</v>
      </c>
      <c r="F387" s="116">
        <v>868.15</v>
      </c>
      <c r="G387">
        <v>857</v>
      </c>
      <c r="H387" s="116"/>
      <c r="I387" s="116"/>
      <c r="L387" s="170">
        <v>45107</v>
      </c>
      <c r="M387" s="116">
        <v>216.48750000000001</v>
      </c>
      <c r="N387" s="116">
        <v>218.7</v>
      </c>
      <c r="O387" s="116">
        <v>215.91249999999999</v>
      </c>
      <c r="P387" s="116">
        <v>217.11250000000001</v>
      </c>
      <c r="Q387" s="116">
        <v>865.95</v>
      </c>
      <c r="R387">
        <v>24442</v>
      </c>
    </row>
    <row r="388" spans="1:18" x14ac:dyDescent="0.25">
      <c r="A388" s="170">
        <v>45110</v>
      </c>
      <c r="B388" s="116">
        <v>222.67500000000001</v>
      </c>
      <c r="C388" s="116">
        <v>217.42500000000001</v>
      </c>
      <c r="D388" s="116">
        <v>212.78749999999999</v>
      </c>
      <c r="E388" s="116">
        <v>212.78749999999999</v>
      </c>
      <c r="F388" s="116">
        <v>869.7</v>
      </c>
      <c r="G388">
        <v>5145</v>
      </c>
      <c r="H388" s="116"/>
      <c r="I388" s="116"/>
      <c r="L388" s="170">
        <v>45110</v>
      </c>
      <c r="M388" s="116">
        <v>217.02500000000001</v>
      </c>
      <c r="N388" s="116">
        <v>222.75</v>
      </c>
      <c r="O388" s="116">
        <v>216</v>
      </c>
      <c r="P388" s="116">
        <v>218.75</v>
      </c>
      <c r="Q388" s="116">
        <v>868.1</v>
      </c>
      <c r="R388">
        <v>46969</v>
      </c>
    </row>
    <row r="389" spans="1:18" x14ac:dyDescent="0.25">
      <c r="A389" s="170">
        <v>45111</v>
      </c>
      <c r="B389" s="116">
        <v>218.83750000000001</v>
      </c>
      <c r="C389" s="116">
        <v>217.36250000000001</v>
      </c>
      <c r="D389" s="116">
        <v>216.8</v>
      </c>
      <c r="E389" s="116">
        <v>218.83750000000001</v>
      </c>
      <c r="F389" s="116">
        <v>869.45</v>
      </c>
      <c r="G389">
        <v>1874</v>
      </c>
      <c r="H389" s="116"/>
      <c r="I389" s="116"/>
      <c r="L389" s="170">
        <v>45111</v>
      </c>
      <c r="M389" s="116">
        <v>217.625</v>
      </c>
      <c r="N389" s="116">
        <v>218.73750000000001</v>
      </c>
      <c r="O389" s="116">
        <v>216.75</v>
      </c>
      <c r="P389" s="116">
        <v>217.6</v>
      </c>
      <c r="Q389" s="116">
        <v>870.5</v>
      </c>
      <c r="R389">
        <v>12886</v>
      </c>
    </row>
    <row r="390" spans="1:18" x14ac:dyDescent="0.25">
      <c r="A390" s="170">
        <v>45112</v>
      </c>
      <c r="B390" s="116">
        <v>228.96250000000001</v>
      </c>
      <c r="C390" s="116">
        <v>227.1</v>
      </c>
      <c r="D390" s="116">
        <v>219.125</v>
      </c>
      <c r="E390" s="116">
        <v>219.125</v>
      </c>
      <c r="F390" s="116">
        <v>908.4</v>
      </c>
      <c r="G390">
        <v>9846</v>
      </c>
      <c r="H390" s="116"/>
      <c r="I390" s="116"/>
      <c r="L390" s="170">
        <v>45112</v>
      </c>
      <c r="M390" s="116">
        <v>226.11250000000001</v>
      </c>
      <c r="N390" s="116">
        <v>227.75</v>
      </c>
      <c r="O390" s="116">
        <v>217.5</v>
      </c>
      <c r="P390" s="116">
        <v>217.5</v>
      </c>
      <c r="Q390" s="116">
        <v>904.45</v>
      </c>
      <c r="R390">
        <v>175109</v>
      </c>
    </row>
    <row r="391" spans="1:18" x14ac:dyDescent="0.25">
      <c r="A391" s="170">
        <v>45113</v>
      </c>
      <c r="B391" s="116">
        <v>228.78749999999999</v>
      </c>
      <c r="C391" s="116">
        <v>224.6875</v>
      </c>
      <c r="D391" s="116">
        <v>223.75</v>
      </c>
      <c r="E391" s="116">
        <v>227.98750000000001</v>
      </c>
      <c r="F391" s="116">
        <v>898.75</v>
      </c>
      <c r="G391">
        <v>3926</v>
      </c>
      <c r="H391" s="116"/>
      <c r="I391" s="116"/>
      <c r="L391" s="170">
        <v>45113</v>
      </c>
      <c r="M391" s="116">
        <v>224.5625</v>
      </c>
      <c r="N391" s="116">
        <v>228.96250000000001</v>
      </c>
      <c r="O391" s="116">
        <v>224</v>
      </c>
      <c r="P391" s="116">
        <v>226.125</v>
      </c>
      <c r="Q391" s="116">
        <v>898.25</v>
      </c>
      <c r="R391">
        <v>51632</v>
      </c>
    </row>
    <row r="392" spans="1:18" x14ac:dyDescent="0.25">
      <c r="A392" s="170">
        <v>45114</v>
      </c>
      <c r="B392" s="116">
        <v>230.5</v>
      </c>
      <c r="C392" s="116">
        <v>227.91249999999999</v>
      </c>
      <c r="D392" s="116">
        <v>225.58750000000001</v>
      </c>
      <c r="E392" s="116">
        <v>225.75</v>
      </c>
      <c r="F392" s="116">
        <v>911.65</v>
      </c>
      <c r="G392">
        <v>8815</v>
      </c>
      <c r="H392" s="116"/>
      <c r="I392" s="116"/>
      <c r="L392" s="170">
        <v>45114</v>
      </c>
      <c r="M392" s="116">
        <v>228.22499999999999</v>
      </c>
      <c r="N392" s="116">
        <v>230.5</v>
      </c>
      <c r="O392" s="116">
        <v>225.61250000000001</v>
      </c>
      <c r="P392" s="116">
        <v>226.92500000000001</v>
      </c>
      <c r="Q392" s="116">
        <v>912.9</v>
      </c>
      <c r="R392">
        <v>92170</v>
      </c>
    </row>
    <row r="393" spans="1:18" x14ac:dyDescent="0.25">
      <c r="A393" s="170">
        <v>45117</v>
      </c>
      <c r="B393" s="116">
        <v>234.13749999999999</v>
      </c>
      <c r="C393" s="116">
        <v>233.53749999999999</v>
      </c>
      <c r="D393" s="116">
        <v>226.25</v>
      </c>
      <c r="E393" s="116">
        <v>226.25</v>
      </c>
      <c r="F393" s="116">
        <v>934.15</v>
      </c>
      <c r="G393">
        <v>14664</v>
      </c>
      <c r="H393" s="116"/>
      <c r="I393" s="116"/>
      <c r="L393" s="170">
        <v>45117</v>
      </c>
      <c r="M393" s="116">
        <v>232.78749999999999</v>
      </c>
      <c r="N393" s="116">
        <v>234.25</v>
      </c>
      <c r="O393" s="116">
        <v>228.75</v>
      </c>
      <c r="P393" s="116">
        <v>229.375</v>
      </c>
      <c r="Q393" s="116">
        <v>931.15</v>
      </c>
      <c r="R393">
        <v>116413</v>
      </c>
    </row>
    <row r="394" spans="1:18" x14ac:dyDescent="0.25">
      <c r="A394" s="170">
        <v>45118</v>
      </c>
      <c r="B394" s="116">
        <v>236.73750000000001</v>
      </c>
      <c r="C394" s="116">
        <v>234.8</v>
      </c>
      <c r="D394" s="116">
        <v>222.75</v>
      </c>
      <c r="E394" s="116">
        <v>231.53749999999999</v>
      </c>
      <c r="F394" s="116">
        <v>939.2</v>
      </c>
      <c r="G394">
        <v>11077</v>
      </c>
      <c r="H394" s="116"/>
      <c r="I394" s="116"/>
      <c r="L394" s="170">
        <v>45118</v>
      </c>
      <c r="M394" s="116">
        <v>234.6</v>
      </c>
      <c r="N394" s="116">
        <v>236.41249999999999</v>
      </c>
      <c r="O394" s="116">
        <v>232.51249999999999</v>
      </c>
      <c r="P394" s="116">
        <v>234.7</v>
      </c>
      <c r="Q394" s="116">
        <v>938.4</v>
      </c>
      <c r="R394">
        <v>105923</v>
      </c>
    </row>
    <row r="395" spans="1:18" x14ac:dyDescent="0.25">
      <c r="A395" s="170">
        <v>45119</v>
      </c>
      <c r="B395" s="116">
        <v>237.25</v>
      </c>
      <c r="C395" s="116">
        <v>233.4375</v>
      </c>
      <c r="D395" s="116">
        <v>230.5</v>
      </c>
      <c r="E395" s="116">
        <v>237.25</v>
      </c>
      <c r="F395" s="116">
        <v>933.75</v>
      </c>
      <c r="G395">
        <v>10962</v>
      </c>
      <c r="H395" s="116"/>
      <c r="I395" s="116"/>
      <c r="L395" s="170">
        <v>45119</v>
      </c>
      <c r="M395" s="116">
        <v>233.25</v>
      </c>
      <c r="N395" s="116">
        <v>237.17500000000001</v>
      </c>
      <c r="O395" s="116">
        <v>231.45</v>
      </c>
      <c r="P395" s="116">
        <v>237.17500000000001</v>
      </c>
      <c r="Q395" s="116">
        <v>933</v>
      </c>
      <c r="R395">
        <v>90844</v>
      </c>
    </row>
    <row r="396" spans="1:18" x14ac:dyDescent="0.25">
      <c r="A396" s="170">
        <v>45120</v>
      </c>
      <c r="B396" s="116">
        <v>272.25</v>
      </c>
      <c r="C396" s="116">
        <v>250.73750000000001</v>
      </c>
      <c r="D396" s="116">
        <v>243.86250000000001</v>
      </c>
      <c r="E396" s="116">
        <v>246.28749999999999</v>
      </c>
      <c r="F396" s="116">
        <v>1002.95</v>
      </c>
      <c r="G396">
        <v>170972</v>
      </c>
      <c r="H396" s="116"/>
      <c r="I396" s="116"/>
      <c r="L396" s="170">
        <v>45120</v>
      </c>
      <c r="M396" s="116">
        <v>250.58750000000001</v>
      </c>
      <c r="N396" s="116">
        <v>273.16250000000002</v>
      </c>
      <c r="O396" s="116">
        <v>243.75</v>
      </c>
      <c r="P396" s="116">
        <v>246.25</v>
      </c>
      <c r="Q396" s="116">
        <v>1002.35</v>
      </c>
      <c r="R396">
        <v>1955903</v>
      </c>
    </row>
    <row r="397" spans="1:18" x14ac:dyDescent="0.25">
      <c r="A397" s="170">
        <v>45121</v>
      </c>
      <c r="B397" s="116">
        <v>262.75</v>
      </c>
      <c r="C397" s="116">
        <v>260.27499999999998</v>
      </c>
      <c r="D397" s="116">
        <v>243.5</v>
      </c>
      <c r="E397" s="116">
        <v>256</v>
      </c>
      <c r="F397" s="116">
        <v>1041.0999999999999</v>
      </c>
      <c r="G397">
        <v>58453</v>
      </c>
      <c r="H397" s="116"/>
      <c r="I397" s="116"/>
      <c r="L397" s="170">
        <v>45121</v>
      </c>
      <c r="M397" s="116">
        <v>260.7</v>
      </c>
      <c r="N397" s="116">
        <v>263</v>
      </c>
      <c r="O397" s="116">
        <v>246.01249999999999</v>
      </c>
      <c r="P397" s="116">
        <v>256.25</v>
      </c>
      <c r="Q397" s="116">
        <v>1042.8</v>
      </c>
      <c r="R397">
        <v>517312</v>
      </c>
    </row>
    <row r="398" spans="1:18" x14ac:dyDescent="0.25">
      <c r="A398" s="170">
        <v>45124</v>
      </c>
      <c r="B398" s="116">
        <v>267.22500000000002</v>
      </c>
      <c r="C398" s="116">
        <v>253.91249999999999</v>
      </c>
      <c r="D398" s="116">
        <v>252.96250000000001</v>
      </c>
      <c r="E398" s="116">
        <v>261.10000000000002</v>
      </c>
      <c r="F398" s="116">
        <v>1015.65</v>
      </c>
      <c r="G398">
        <v>15425</v>
      </c>
      <c r="H398" s="116"/>
      <c r="I398" s="116"/>
      <c r="L398" s="170">
        <v>45124</v>
      </c>
      <c r="M398" s="116">
        <v>253.85</v>
      </c>
      <c r="N398" s="116">
        <v>270.98750000000001</v>
      </c>
      <c r="O398" s="116">
        <v>252.8125</v>
      </c>
      <c r="P398" s="116">
        <v>265.7</v>
      </c>
      <c r="Q398" s="116">
        <v>1015.4</v>
      </c>
      <c r="R398">
        <v>221817</v>
      </c>
    </row>
    <row r="399" spans="1:18" x14ac:dyDescent="0.25">
      <c r="A399" s="170">
        <v>45125</v>
      </c>
      <c r="B399" s="116">
        <v>257.25</v>
      </c>
      <c r="C399" s="116">
        <v>255.38749999999999</v>
      </c>
      <c r="D399" s="116">
        <v>251</v>
      </c>
      <c r="E399" s="116">
        <v>254.01249999999999</v>
      </c>
      <c r="F399" s="116">
        <v>1021.55</v>
      </c>
      <c r="G399">
        <v>8577</v>
      </c>
      <c r="H399" s="116"/>
      <c r="I399" s="116"/>
      <c r="L399" s="170">
        <v>45125</v>
      </c>
      <c r="M399" s="116">
        <v>255.0625</v>
      </c>
      <c r="N399" s="116">
        <v>257.45</v>
      </c>
      <c r="O399" s="116">
        <v>250.4</v>
      </c>
      <c r="P399" s="116">
        <v>257.45</v>
      </c>
      <c r="Q399" s="116">
        <v>1020.25</v>
      </c>
      <c r="R399">
        <v>79917</v>
      </c>
    </row>
    <row r="400" spans="1:18" x14ac:dyDescent="0.25">
      <c r="A400" s="170">
        <v>45126</v>
      </c>
      <c r="B400" s="116">
        <v>261.75</v>
      </c>
      <c r="C400" s="116">
        <v>255.51249999999999</v>
      </c>
      <c r="D400" s="116">
        <v>253.86250000000001</v>
      </c>
      <c r="E400" s="116">
        <v>258.6875</v>
      </c>
      <c r="F400" s="116">
        <v>1022.05</v>
      </c>
      <c r="G400">
        <v>11036</v>
      </c>
      <c r="H400" s="116"/>
      <c r="I400" s="116"/>
      <c r="L400" s="170">
        <v>45126</v>
      </c>
      <c r="M400" s="116">
        <v>256.22500000000002</v>
      </c>
      <c r="N400" s="116">
        <v>262.22500000000002</v>
      </c>
      <c r="O400" s="116">
        <v>253.78749999999999</v>
      </c>
      <c r="P400" s="116">
        <v>257.22500000000002</v>
      </c>
      <c r="Q400" s="116">
        <v>1024.9000000000001</v>
      </c>
      <c r="R400">
        <v>213519</v>
      </c>
    </row>
    <row r="401" spans="1:18" x14ac:dyDescent="0.25">
      <c r="A401" s="170">
        <v>45127</v>
      </c>
      <c r="B401" s="116">
        <v>260.0625</v>
      </c>
      <c r="C401" s="116">
        <v>258.41250000000002</v>
      </c>
      <c r="D401" s="116">
        <v>255.76249999999999</v>
      </c>
      <c r="E401" s="116">
        <v>258.14999999999998</v>
      </c>
      <c r="F401" s="116">
        <v>1033.6500000000001</v>
      </c>
      <c r="G401">
        <v>2998</v>
      </c>
      <c r="H401" s="116"/>
      <c r="I401" s="116"/>
      <c r="L401" s="170">
        <v>45127</v>
      </c>
      <c r="M401" s="116">
        <v>259.14999999999998</v>
      </c>
      <c r="N401" s="116">
        <v>260</v>
      </c>
      <c r="O401" s="116">
        <v>255.3125</v>
      </c>
      <c r="P401" s="116">
        <v>257.25</v>
      </c>
      <c r="Q401" s="116">
        <v>1036.5999999999999</v>
      </c>
      <c r="R401">
        <v>48890</v>
      </c>
    </row>
    <row r="402" spans="1:18" x14ac:dyDescent="0.25">
      <c r="A402" s="170">
        <v>45128</v>
      </c>
      <c r="B402" s="116">
        <v>264.11250000000001</v>
      </c>
      <c r="C402" s="116">
        <v>261.75</v>
      </c>
      <c r="D402" s="116">
        <v>257.53750000000002</v>
      </c>
      <c r="E402" s="116">
        <v>259.89999999999998</v>
      </c>
      <c r="F402" s="116">
        <v>1047</v>
      </c>
      <c r="G402">
        <v>5040</v>
      </c>
      <c r="H402" s="116"/>
      <c r="I402" s="116"/>
      <c r="L402" s="170">
        <v>45128</v>
      </c>
      <c r="M402" s="116">
        <v>262.10000000000002</v>
      </c>
      <c r="N402" s="116">
        <v>264.22500000000002</v>
      </c>
      <c r="O402" s="116">
        <v>258.91250000000002</v>
      </c>
      <c r="P402" s="116">
        <v>260.45</v>
      </c>
      <c r="Q402" s="116">
        <v>1048.4000000000001</v>
      </c>
      <c r="R402">
        <v>66064</v>
      </c>
    </row>
    <row r="403" spans="1:18" x14ac:dyDescent="0.25">
      <c r="A403" s="170">
        <v>45131</v>
      </c>
      <c r="B403" s="116">
        <v>265.5</v>
      </c>
      <c r="C403" s="116">
        <v>263.92500000000001</v>
      </c>
      <c r="D403" s="116">
        <v>262.10000000000002</v>
      </c>
      <c r="E403" s="116">
        <v>263.57499999999999</v>
      </c>
      <c r="F403" s="116">
        <v>1055.7</v>
      </c>
      <c r="G403">
        <v>2060</v>
      </c>
      <c r="H403" s="116"/>
      <c r="I403" s="116"/>
      <c r="L403" s="170">
        <v>45131</v>
      </c>
      <c r="M403" s="116">
        <v>264.64999999999998</v>
      </c>
      <c r="N403" s="116">
        <v>265.38749999999999</v>
      </c>
      <c r="O403" s="116">
        <v>261.63749999999999</v>
      </c>
      <c r="P403" s="116">
        <v>262.25</v>
      </c>
      <c r="Q403" s="116">
        <v>1058.5999999999999</v>
      </c>
      <c r="R403">
        <v>41469</v>
      </c>
    </row>
    <row r="404" spans="1:18" x14ac:dyDescent="0.25">
      <c r="A404" s="170">
        <v>45132</v>
      </c>
      <c r="B404" s="116">
        <v>268.6875</v>
      </c>
      <c r="C404" s="116">
        <v>267.45</v>
      </c>
      <c r="D404" s="116">
        <v>264.0625</v>
      </c>
      <c r="E404" s="116">
        <v>264.9375</v>
      </c>
      <c r="F404" s="116">
        <v>1069.8</v>
      </c>
      <c r="G404">
        <v>1997</v>
      </c>
      <c r="H404" s="116"/>
      <c r="I404" s="116"/>
      <c r="L404" s="170">
        <v>45132</v>
      </c>
      <c r="M404" s="116">
        <v>266.89999999999998</v>
      </c>
      <c r="N404" s="116">
        <v>268.75</v>
      </c>
      <c r="O404" s="116">
        <v>264.1875</v>
      </c>
      <c r="P404" s="116">
        <v>266.22500000000002</v>
      </c>
      <c r="Q404" s="116">
        <v>1067.5999999999999</v>
      </c>
      <c r="R404">
        <v>81632</v>
      </c>
    </row>
    <row r="405" spans="1:18" x14ac:dyDescent="0.25">
      <c r="A405" s="170">
        <v>45133</v>
      </c>
      <c r="B405" s="116">
        <v>276.22500000000002</v>
      </c>
      <c r="C405" s="116">
        <v>275.17500000000001</v>
      </c>
      <c r="D405" s="116">
        <v>266.38749999999999</v>
      </c>
      <c r="E405" s="116">
        <v>272.98750000000001</v>
      </c>
      <c r="F405" s="116">
        <v>1100.7</v>
      </c>
      <c r="G405">
        <v>11462</v>
      </c>
      <c r="H405" s="116"/>
      <c r="I405" s="116"/>
      <c r="L405" s="170">
        <v>45133</v>
      </c>
      <c r="M405" s="116">
        <v>275.2</v>
      </c>
      <c r="N405" s="116">
        <v>276</v>
      </c>
      <c r="O405" s="116">
        <v>266.60000000000002</v>
      </c>
      <c r="P405" s="116">
        <v>267.73750000000001</v>
      </c>
      <c r="Q405" s="116">
        <v>1100.8</v>
      </c>
      <c r="R405">
        <v>129271</v>
      </c>
    </row>
    <row r="406" spans="1:18" x14ac:dyDescent="0.25">
      <c r="A406" s="170">
        <v>45134</v>
      </c>
      <c r="B406" s="116">
        <v>281</v>
      </c>
      <c r="C406" s="116">
        <v>280.23750000000001</v>
      </c>
      <c r="D406" s="116">
        <v>275.25</v>
      </c>
      <c r="E406" s="116">
        <v>275.26249999999999</v>
      </c>
      <c r="F406" s="116">
        <v>1120.95</v>
      </c>
      <c r="G406">
        <v>8825</v>
      </c>
      <c r="H406" s="116"/>
      <c r="I406" s="116"/>
      <c r="L406" s="170">
        <v>45134</v>
      </c>
      <c r="M406" s="116">
        <v>280.42500000000001</v>
      </c>
      <c r="N406" s="116">
        <v>281.25</v>
      </c>
      <c r="O406" s="116">
        <v>274.51249999999999</v>
      </c>
      <c r="P406" s="116">
        <v>276.25</v>
      </c>
      <c r="Q406" s="116">
        <v>1121.7</v>
      </c>
      <c r="R406">
        <v>93466</v>
      </c>
    </row>
    <row r="407" spans="1:18" x14ac:dyDescent="0.25">
      <c r="A407" s="170">
        <v>45135</v>
      </c>
      <c r="B407" s="116">
        <v>296.48750000000001</v>
      </c>
      <c r="C407" s="116">
        <v>284.7</v>
      </c>
      <c r="D407" s="116">
        <v>274.23750000000001</v>
      </c>
      <c r="E407" s="116">
        <v>296.48750000000001</v>
      </c>
      <c r="F407" s="116">
        <v>1138.8</v>
      </c>
      <c r="G407">
        <v>8873</v>
      </c>
      <c r="H407" s="116"/>
      <c r="I407" s="116"/>
      <c r="L407" s="170">
        <v>45135</v>
      </c>
      <c r="M407" s="116">
        <v>285.28750000000002</v>
      </c>
      <c r="N407" s="116">
        <v>286.17500000000001</v>
      </c>
      <c r="O407" s="116">
        <v>275</v>
      </c>
      <c r="P407" s="116">
        <v>281.25</v>
      </c>
      <c r="Q407" s="116">
        <v>1141.1500000000001</v>
      </c>
      <c r="R407">
        <v>86070</v>
      </c>
    </row>
    <row r="408" spans="1:18" x14ac:dyDescent="0.25">
      <c r="A408" s="170">
        <v>45138</v>
      </c>
      <c r="B408" s="116">
        <v>293.75</v>
      </c>
      <c r="C408" s="116">
        <v>291.08749999999998</v>
      </c>
      <c r="D408" s="116">
        <v>281.22500000000002</v>
      </c>
      <c r="E408" s="116">
        <v>287.48750000000001</v>
      </c>
      <c r="F408" s="116">
        <v>1164.3499999999999</v>
      </c>
      <c r="G408">
        <v>6173</v>
      </c>
      <c r="H408" s="116"/>
      <c r="I408" s="116"/>
      <c r="L408" s="170">
        <v>45138</v>
      </c>
      <c r="M408" s="116">
        <v>290.85000000000002</v>
      </c>
      <c r="N408" s="116">
        <v>294.98750000000001</v>
      </c>
      <c r="O408" s="116">
        <v>280.58749999999998</v>
      </c>
      <c r="P408" s="116">
        <v>285.5</v>
      </c>
      <c r="Q408" s="116">
        <v>1163.4000000000001</v>
      </c>
      <c r="R408">
        <v>177951</v>
      </c>
    </row>
    <row r="409" spans="1:18" x14ac:dyDescent="0.25">
      <c r="A409" s="170">
        <v>45139</v>
      </c>
      <c r="B409" s="116">
        <v>318.71249999999998</v>
      </c>
      <c r="C409" s="116">
        <v>313.52499999999998</v>
      </c>
      <c r="D409" s="116">
        <v>291.9375</v>
      </c>
      <c r="E409" s="116">
        <v>297.98750000000001</v>
      </c>
      <c r="F409" s="116">
        <v>1254.0999999999999</v>
      </c>
      <c r="G409">
        <v>16011</v>
      </c>
      <c r="H409" s="116"/>
      <c r="I409" s="116"/>
      <c r="L409" s="170">
        <v>45139</v>
      </c>
      <c r="M409" s="116">
        <v>313.88749999999999</v>
      </c>
      <c r="N409" s="116">
        <v>318.71249999999998</v>
      </c>
      <c r="O409" s="116">
        <v>292.23750000000001</v>
      </c>
      <c r="P409" s="116">
        <v>292.25</v>
      </c>
      <c r="Q409" s="116">
        <v>1255.55</v>
      </c>
      <c r="R409">
        <v>183200</v>
      </c>
    </row>
    <row r="410" spans="1:18" x14ac:dyDescent="0.25">
      <c r="A410" s="170">
        <v>45140</v>
      </c>
      <c r="B410" s="116">
        <v>318.73750000000001</v>
      </c>
      <c r="C410" s="116">
        <v>308.73750000000001</v>
      </c>
      <c r="D410" s="116">
        <v>302.91250000000002</v>
      </c>
      <c r="E410" s="116">
        <v>318.73750000000001</v>
      </c>
      <c r="F410" s="116">
        <v>1234.95</v>
      </c>
      <c r="G410">
        <v>11539</v>
      </c>
      <c r="H410" s="116"/>
      <c r="I410" s="116"/>
      <c r="L410" s="170">
        <v>45140</v>
      </c>
      <c r="M410" s="116">
        <v>308.77499999999998</v>
      </c>
      <c r="N410" s="116">
        <v>316.75</v>
      </c>
      <c r="O410" s="116">
        <v>303.10000000000002</v>
      </c>
      <c r="P410" s="116">
        <v>312.5</v>
      </c>
      <c r="Q410" s="116">
        <v>1235.0999999999999</v>
      </c>
      <c r="R410">
        <v>113552</v>
      </c>
    </row>
    <row r="411" spans="1:18" x14ac:dyDescent="0.25">
      <c r="A411" s="170">
        <v>45141</v>
      </c>
      <c r="B411" s="116">
        <v>314.17500000000001</v>
      </c>
      <c r="C411" s="116">
        <v>309.63749999999999</v>
      </c>
      <c r="D411" s="116">
        <v>302.76249999999999</v>
      </c>
      <c r="E411" s="116">
        <v>302.76249999999999</v>
      </c>
      <c r="F411" s="116">
        <v>1238.55</v>
      </c>
      <c r="G411">
        <v>3739</v>
      </c>
      <c r="H411" s="116"/>
      <c r="I411" s="116"/>
      <c r="L411" s="170">
        <v>45141</v>
      </c>
      <c r="M411" s="116">
        <v>309.125</v>
      </c>
      <c r="N411" s="116">
        <v>313.75</v>
      </c>
      <c r="O411" s="116">
        <v>305.16250000000002</v>
      </c>
      <c r="P411" s="116">
        <v>308.97500000000002</v>
      </c>
      <c r="Q411" s="116">
        <v>1236.5</v>
      </c>
      <c r="R411">
        <v>42810</v>
      </c>
    </row>
    <row r="412" spans="1:18" x14ac:dyDescent="0.25">
      <c r="A412" s="170">
        <v>45142</v>
      </c>
      <c r="B412" s="116">
        <v>323.875</v>
      </c>
      <c r="C412" s="116">
        <v>322.66250000000002</v>
      </c>
      <c r="D412" s="116">
        <v>311.72500000000002</v>
      </c>
      <c r="E412" s="116">
        <v>318.48750000000001</v>
      </c>
      <c r="F412" s="116">
        <v>1290.6500000000001</v>
      </c>
      <c r="G412">
        <v>11017</v>
      </c>
      <c r="H412" s="116"/>
      <c r="I412" s="116"/>
      <c r="L412" s="170">
        <v>45142</v>
      </c>
      <c r="M412" s="116">
        <v>322.05</v>
      </c>
      <c r="N412" s="116">
        <v>323.5625</v>
      </c>
      <c r="O412" s="116">
        <v>310.01249999999999</v>
      </c>
      <c r="P412" s="116">
        <v>312.25</v>
      </c>
      <c r="Q412" s="116">
        <v>1288.2</v>
      </c>
      <c r="R412">
        <v>160166</v>
      </c>
    </row>
    <row r="413" spans="1:18" x14ac:dyDescent="0.25">
      <c r="A413" s="170">
        <v>45145</v>
      </c>
      <c r="B413" s="116">
        <v>329.76249999999999</v>
      </c>
      <c r="C413" s="116">
        <v>322.83749999999998</v>
      </c>
      <c r="D413" s="116">
        <v>314.10000000000002</v>
      </c>
      <c r="E413" s="116">
        <v>323.25</v>
      </c>
      <c r="F413" s="116">
        <v>1291.3499999999999</v>
      </c>
      <c r="G413">
        <v>9329</v>
      </c>
      <c r="H413" s="116"/>
      <c r="I413" s="116"/>
      <c r="L413" s="170">
        <v>45145</v>
      </c>
      <c r="M413" s="116">
        <v>322.82499999999999</v>
      </c>
      <c r="N413" s="116">
        <v>329.7</v>
      </c>
      <c r="O413" s="116">
        <v>314.3125</v>
      </c>
      <c r="P413" s="116">
        <v>324.5</v>
      </c>
      <c r="Q413" s="116">
        <v>1291.3</v>
      </c>
      <c r="R413">
        <v>104259</v>
      </c>
    </row>
    <row r="414" spans="1:18" x14ac:dyDescent="0.25">
      <c r="A414" s="170">
        <v>45146</v>
      </c>
      <c r="B414" s="116">
        <v>328.01249999999999</v>
      </c>
      <c r="C414" s="116">
        <v>324.8125</v>
      </c>
      <c r="D414" s="116">
        <v>322.33749999999998</v>
      </c>
      <c r="E414" s="116">
        <v>328.01249999999999</v>
      </c>
      <c r="F414" s="116">
        <v>1299.25</v>
      </c>
      <c r="G414">
        <v>4985</v>
      </c>
      <c r="H414" s="116"/>
      <c r="I414" s="116"/>
      <c r="L414" s="170">
        <v>45146</v>
      </c>
      <c r="M414" s="116">
        <v>324.86250000000001</v>
      </c>
      <c r="N414" s="116">
        <v>327.0625</v>
      </c>
      <c r="O414" s="116">
        <v>322.36250000000001</v>
      </c>
      <c r="P414" s="116">
        <v>324.82499999999999</v>
      </c>
      <c r="Q414" s="116">
        <v>1299.45</v>
      </c>
      <c r="R414">
        <v>53603</v>
      </c>
    </row>
    <row r="415" spans="1:18" x14ac:dyDescent="0.25">
      <c r="A415" s="170">
        <v>45147</v>
      </c>
      <c r="B415" s="116">
        <v>328.3</v>
      </c>
      <c r="C415" s="116">
        <v>322.01249999999999</v>
      </c>
      <c r="D415" s="116">
        <v>321.16250000000002</v>
      </c>
      <c r="E415" s="116">
        <v>328.3</v>
      </c>
      <c r="F415" s="116">
        <v>1288.05</v>
      </c>
      <c r="G415">
        <v>1638</v>
      </c>
      <c r="H415" s="116"/>
      <c r="I415" s="116"/>
      <c r="L415" s="170">
        <v>45147</v>
      </c>
      <c r="M415" s="116">
        <v>322.05</v>
      </c>
      <c r="N415" s="116">
        <v>325.48750000000001</v>
      </c>
      <c r="O415" s="116">
        <v>321.25</v>
      </c>
      <c r="P415" s="116">
        <v>324.875</v>
      </c>
      <c r="Q415" s="116">
        <v>1288.2</v>
      </c>
      <c r="R415">
        <v>29511</v>
      </c>
    </row>
    <row r="416" spans="1:18" x14ac:dyDescent="0.25">
      <c r="A416" s="170">
        <v>45148</v>
      </c>
      <c r="B416" s="116">
        <v>324.73750000000001</v>
      </c>
      <c r="C416" s="116">
        <v>322.92500000000001</v>
      </c>
      <c r="D416" s="116">
        <v>320.01249999999999</v>
      </c>
      <c r="E416" s="116">
        <v>320.01249999999999</v>
      </c>
      <c r="F416" s="116">
        <v>1291.7</v>
      </c>
      <c r="G416">
        <v>1544</v>
      </c>
      <c r="H416" s="116"/>
      <c r="I416" s="116"/>
      <c r="L416" s="170">
        <v>45148</v>
      </c>
      <c r="M416" s="116">
        <v>323.1875</v>
      </c>
      <c r="N416" s="116">
        <v>325.0625</v>
      </c>
      <c r="O416" s="116">
        <v>322.26249999999999</v>
      </c>
      <c r="P416" s="116">
        <v>325.0625</v>
      </c>
      <c r="Q416" s="116">
        <v>1292.75</v>
      </c>
      <c r="R416">
        <v>37225</v>
      </c>
    </row>
    <row r="417" spans="1:18" x14ac:dyDescent="0.25">
      <c r="A417" s="170">
        <v>45149</v>
      </c>
      <c r="B417" s="116">
        <v>373.25</v>
      </c>
      <c r="C417" s="116">
        <v>358.33749999999998</v>
      </c>
      <c r="D417" s="116">
        <v>323.25</v>
      </c>
      <c r="E417" s="116">
        <v>323.25</v>
      </c>
      <c r="F417" s="116">
        <v>1433.35</v>
      </c>
      <c r="G417">
        <v>19512</v>
      </c>
      <c r="H417" s="116"/>
      <c r="I417" s="116"/>
      <c r="L417" s="170">
        <v>45149</v>
      </c>
      <c r="M417" s="116">
        <v>356.57499999999999</v>
      </c>
      <c r="N417" s="116">
        <v>373.25</v>
      </c>
      <c r="O417" s="116">
        <v>322.55</v>
      </c>
      <c r="P417" s="116">
        <v>325</v>
      </c>
      <c r="Q417" s="116">
        <v>1426.3</v>
      </c>
      <c r="R417">
        <v>610410</v>
      </c>
    </row>
    <row r="418" spans="1:18" x14ac:dyDescent="0.25">
      <c r="A418" s="170">
        <v>45152</v>
      </c>
      <c r="B418" s="116">
        <v>361</v>
      </c>
      <c r="C418" s="116">
        <v>354.26249999999999</v>
      </c>
      <c r="D418" s="116">
        <v>343.91250000000002</v>
      </c>
      <c r="E418" s="116">
        <v>357.48750000000001</v>
      </c>
      <c r="F418" s="116">
        <v>1417.05</v>
      </c>
      <c r="G418">
        <v>15399</v>
      </c>
      <c r="H418" s="116"/>
      <c r="I418" s="116"/>
      <c r="L418" s="170">
        <v>45152</v>
      </c>
      <c r="M418" s="116">
        <v>354.55</v>
      </c>
      <c r="N418" s="116">
        <v>361.96249999999998</v>
      </c>
      <c r="O418" s="116">
        <v>346.66250000000002</v>
      </c>
      <c r="P418" s="116">
        <v>356.5</v>
      </c>
      <c r="Q418" s="116">
        <v>1418.2</v>
      </c>
      <c r="R418">
        <v>114298</v>
      </c>
    </row>
    <row r="419" spans="1:18" x14ac:dyDescent="0.25">
      <c r="A419" s="170">
        <v>45154</v>
      </c>
      <c r="B419" s="116">
        <v>362.77499999999998</v>
      </c>
      <c r="C419" s="116">
        <v>356</v>
      </c>
      <c r="D419" s="116">
        <v>352.5</v>
      </c>
      <c r="E419" s="116">
        <v>361.98750000000001</v>
      </c>
      <c r="F419" s="116">
        <v>1424</v>
      </c>
      <c r="G419">
        <v>7556</v>
      </c>
      <c r="H419" s="116"/>
      <c r="I419" s="116"/>
      <c r="L419" s="170">
        <v>45154</v>
      </c>
      <c r="M419" s="116">
        <v>356.1</v>
      </c>
      <c r="N419" s="116">
        <v>363.25</v>
      </c>
      <c r="O419" s="116">
        <v>351.26249999999999</v>
      </c>
      <c r="P419" s="116">
        <v>358.3125</v>
      </c>
      <c r="Q419" s="116">
        <v>1424.4</v>
      </c>
      <c r="R419">
        <v>73841</v>
      </c>
    </row>
    <row r="420" spans="1:18" x14ac:dyDescent="0.25">
      <c r="A420" s="170">
        <v>45155</v>
      </c>
      <c r="B420" s="116">
        <v>357.21249999999998</v>
      </c>
      <c r="C420" s="116">
        <v>351.63749999999999</v>
      </c>
      <c r="D420" s="116">
        <v>350.25</v>
      </c>
      <c r="E420" s="116">
        <v>356.01249999999999</v>
      </c>
      <c r="F420" s="116">
        <v>1406.55</v>
      </c>
      <c r="G420">
        <v>5690</v>
      </c>
      <c r="H420" s="116"/>
      <c r="I420" s="116"/>
      <c r="L420" s="170">
        <v>45155</v>
      </c>
      <c r="M420" s="116">
        <v>351.52499999999998</v>
      </c>
      <c r="N420" s="116">
        <v>359.1875</v>
      </c>
      <c r="O420" s="116">
        <v>350.01249999999999</v>
      </c>
      <c r="P420" s="116">
        <v>358.5</v>
      </c>
      <c r="Q420" s="116">
        <v>1406.1</v>
      </c>
      <c r="R420">
        <v>79621</v>
      </c>
    </row>
    <row r="421" spans="1:18" x14ac:dyDescent="0.25">
      <c r="A421" s="170">
        <v>45156</v>
      </c>
      <c r="B421" s="116">
        <v>357.48750000000001</v>
      </c>
      <c r="C421" s="116">
        <v>348.625</v>
      </c>
      <c r="D421" s="116">
        <v>337.5</v>
      </c>
      <c r="E421" s="116">
        <v>357.48750000000001</v>
      </c>
      <c r="F421" s="116">
        <v>1394.5</v>
      </c>
      <c r="G421">
        <v>12748</v>
      </c>
      <c r="H421" s="116"/>
      <c r="I421" s="116"/>
      <c r="L421" s="170">
        <v>45156</v>
      </c>
      <c r="M421" s="116">
        <v>347.98750000000001</v>
      </c>
      <c r="N421" s="116">
        <v>353.1</v>
      </c>
      <c r="O421" s="116">
        <v>337.5</v>
      </c>
      <c r="P421" s="116">
        <v>350</v>
      </c>
      <c r="Q421" s="116">
        <v>1391.95</v>
      </c>
      <c r="R421">
        <v>163547</v>
      </c>
    </row>
    <row r="422" spans="1:18" x14ac:dyDescent="0.25">
      <c r="A422" s="170">
        <v>45159</v>
      </c>
      <c r="B422" s="116">
        <v>356.53750000000002</v>
      </c>
      <c r="C422" s="116">
        <v>355.86250000000001</v>
      </c>
      <c r="D422" s="116">
        <v>343.76249999999999</v>
      </c>
      <c r="E422" s="116">
        <v>343.76249999999999</v>
      </c>
      <c r="F422" s="116">
        <v>1423.45</v>
      </c>
      <c r="G422">
        <v>6007</v>
      </c>
      <c r="H422" s="116"/>
      <c r="I422" s="116"/>
      <c r="L422" s="170">
        <v>45159</v>
      </c>
      <c r="M422" s="116">
        <v>355.61250000000001</v>
      </c>
      <c r="N422" s="116">
        <v>356.3125</v>
      </c>
      <c r="O422" s="116">
        <v>347.13749999999999</v>
      </c>
      <c r="P422" s="116">
        <v>347.98750000000001</v>
      </c>
      <c r="Q422" s="116">
        <v>1422.45</v>
      </c>
      <c r="R422">
        <v>55895</v>
      </c>
    </row>
    <row r="423" spans="1:18" x14ac:dyDescent="0.25">
      <c r="A423" s="170">
        <v>45160</v>
      </c>
      <c r="B423" s="116">
        <v>356.92500000000001</v>
      </c>
      <c r="C423" s="116">
        <v>352.53750000000002</v>
      </c>
      <c r="D423" s="116">
        <v>350.5</v>
      </c>
      <c r="E423" s="116">
        <v>355.45</v>
      </c>
      <c r="F423" s="116">
        <v>1410.15</v>
      </c>
      <c r="G423">
        <v>5133</v>
      </c>
      <c r="H423" s="116"/>
      <c r="I423" s="116"/>
      <c r="L423" s="170">
        <v>45160</v>
      </c>
      <c r="M423" s="116">
        <v>352.22500000000002</v>
      </c>
      <c r="N423" s="116">
        <v>358.46249999999998</v>
      </c>
      <c r="O423" s="116">
        <v>350</v>
      </c>
      <c r="P423" s="116">
        <v>356.25</v>
      </c>
      <c r="Q423" s="116">
        <v>1408.9</v>
      </c>
      <c r="R423">
        <v>62677</v>
      </c>
    </row>
    <row r="424" spans="1:18" x14ac:dyDescent="0.25">
      <c r="A424" s="170">
        <v>45161</v>
      </c>
      <c r="B424" s="116">
        <v>355.83749999999998</v>
      </c>
      <c r="C424" s="116">
        <v>352.26249999999999</v>
      </c>
      <c r="D424" s="116">
        <v>351</v>
      </c>
      <c r="E424" s="116">
        <v>354.36250000000001</v>
      </c>
      <c r="F424" s="116">
        <v>1409.05</v>
      </c>
      <c r="G424">
        <v>3641</v>
      </c>
      <c r="H424" s="116"/>
      <c r="I424" s="116"/>
      <c r="L424" s="170">
        <v>45161</v>
      </c>
      <c r="M424" s="116">
        <v>352.11250000000001</v>
      </c>
      <c r="N424" s="116">
        <v>356.25</v>
      </c>
      <c r="O424" s="116">
        <v>350</v>
      </c>
      <c r="P424" s="116">
        <v>354.75</v>
      </c>
      <c r="Q424" s="116">
        <v>1408.45</v>
      </c>
      <c r="R424">
        <v>45377</v>
      </c>
    </row>
    <row r="425" spans="1:18" x14ac:dyDescent="0.25">
      <c r="A425" s="170">
        <v>45162</v>
      </c>
      <c r="B425" s="116">
        <v>363.75</v>
      </c>
      <c r="C425" s="116">
        <v>357.32499999999999</v>
      </c>
      <c r="D425" s="116">
        <v>352.96249999999998</v>
      </c>
      <c r="E425" s="116">
        <v>352.96249999999998</v>
      </c>
      <c r="F425" s="116">
        <v>1429.3</v>
      </c>
      <c r="G425">
        <v>7148</v>
      </c>
      <c r="H425" s="116"/>
      <c r="I425" s="116"/>
      <c r="L425" s="170">
        <v>45162</v>
      </c>
      <c r="M425" s="116">
        <v>357.07499999999999</v>
      </c>
      <c r="N425" s="116">
        <v>364.5</v>
      </c>
      <c r="O425" s="116">
        <v>352.13749999999999</v>
      </c>
      <c r="P425" s="116">
        <v>356</v>
      </c>
      <c r="Q425" s="116">
        <v>1428.3</v>
      </c>
      <c r="R425">
        <v>68034</v>
      </c>
    </row>
    <row r="426" spans="1:18" x14ac:dyDescent="0.25">
      <c r="A426" s="170">
        <v>45163</v>
      </c>
      <c r="B426" s="116">
        <v>362.98750000000001</v>
      </c>
      <c r="C426" s="116">
        <v>354.9</v>
      </c>
      <c r="D426" s="116">
        <v>351.5</v>
      </c>
      <c r="E426" s="116">
        <v>362.98750000000001</v>
      </c>
      <c r="F426" s="116">
        <v>1419.6</v>
      </c>
      <c r="G426">
        <v>3292</v>
      </c>
      <c r="H426" s="116"/>
      <c r="I426" s="116"/>
      <c r="L426" s="170">
        <v>45163</v>
      </c>
      <c r="M426" s="116">
        <v>355</v>
      </c>
      <c r="N426" s="116">
        <v>362.01249999999999</v>
      </c>
      <c r="O426" s="116">
        <v>351.25</v>
      </c>
      <c r="P426" s="116">
        <v>357.42500000000001</v>
      </c>
      <c r="Q426" s="116">
        <v>1420</v>
      </c>
      <c r="R426">
        <v>45247</v>
      </c>
    </row>
    <row r="427" spans="1:18" x14ac:dyDescent="0.25">
      <c r="A427" s="170">
        <v>45166</v>
      </c>
      <c r="B427" s="116">
        <v>355.36250000000001</v>
      </c>
      <c r="C427" s="116">
        <v>352.375</v>
      </c>
      <c r="D427" s="116">
        <v>351.63749999999999</v>
      </c>
      <c r="E427" s="116">
        <v>353.27499999999998</v>
      </c>
      <c r="F427" s="116">
        <v>1409.5</v>
      </c>
      <c r="G427">
        <v>3502</v>
      </c>
      <c r="H427" s="116"/>
      <c r="I427" s="116"/>
      <c r="L427" s="170">
        <v>45166</v>
      </c>
      <c r="M427" s="116">
        <v>352.625</v>
      </c>
      <c r="N427" s="116">
        <v>358</v>
      </c>
      <c r="O427" s="116">
        <v>351.51249999999999</v>
      </c>
      <c r="P427" s="116">
        <v>358</v>
      </c>
      <c r="Q427" s="116">
        <v>1410.5</v>
      </c>
      <c r="R427">
        <v>51601</v>
      </c>
    </row>
    <row r="428" spans="1:18" x14ac:dyDescent="0.25">
      <c r="A428" s="170">
        <v>45167</v>
      </c>
      <c r="B428" s="116">
        <v>357.65</v>
      </c>
      <c r="C428" s="116">
        <v>354.5</v>
      </c>
      <c r="D428" s="116">
        <v>351.67500000000001</v>
      </c>
      <c r="E428" s="116">
        <v>352.65</v>
      </c>
      <c r="F428" s="116">
        <v>1418</v>
      </c>
      <c r="G428">
        <v>2952</v>
      </c>
      <c r="H428" s="116"/>
      <c r="I428" s="116"/>
      <c r="L428" s="170">
        <v>45167</v>
      </c>
      <c r="M428" s="116">
        <v>354.72500000000002</v>
      </c>
      <c r="N428" s="116">
        <v>357.72500000000002</v>
      </c>
      <c r="O428" s="116">
        <v>351.65</v>
      </c>
      <c r="P428" s="116">
        <v>355.98750000000001</v>
      </c>
      <c r="Q428" s="116">
        <v>1418.9</v>
      </c>
      <c r="R428">
        <v>48650</v>
      </c>
    </row>
    <row r="429" spans="1:18" x14ac:dyDescent="0.25">
      <c r="A429" s="170">
        <v>45168</v>
      </c>
      <c r="B429" s="116">
        <v>383.2</v>
      </c>
      <c r="C429" s="116">
        <v>359.02499999999998</v>
      </c>
      <c r="D429" s="116">
        <v>354.4</v>
      </c>
      <c r="E429" s="116">
        <v>362.48750000000001</v>
      </c>
      <c r="F429" s="116">
        <v>1436.1</v>
      </c>
      <c r="G429">
        <v>10830</v>
      </c>
      <c r="H429" s="116"/>
      <c r="I429" s="116"/>
      <c r="L429" s="170">
        <v>45168</v>
      </c>
      <c r="M429" s="116">
        <v>357.98750000000001</v>
      </c>
      <c r="N429" s="116">
        <v>383.02499999999998</v>
      </c>
      <c r="O429" s="116">
        <v>354.02499999999998</v>
      </c>
      <c r="P429" s="116">
        <v>358.27499999999998</v>
      </c>
      <c r="Q429" s="116">
        <v>1431.95</v>
      </c>
      <c r="R429">
        <v>176743</v>
      </c>
    </row>
    <row r="430" spans="1:18" x14ac:dyDescent="0.25">
      <c r="A430" s="170">
        <v>45169</v>
      </c>
      <c r="B430" s="116">
        <v>364.96249999999998</v>
      </c>
      <c r="C430" s="116">
        <v>353.82499999999999</v>
      </c>
      <c r="D430" s="116">
        <v>343.28750000000002</v>
      </c>
      <c r="E430" s="116">
        <v>355.01249999999999</v>
      </c>
      <c r="F430" s="116">
        <v>1415.3</v>
      </c>
      <c r="G430">
        <v>14956</v>
      </c>
      <c r="H430" s="116"/>
      <c r="I430" s="116"/>
      <c r="L430" s="170">
        <v>45169</v>
      </c>
      <c r="M430" s="116">
        <v>356.625</v>
      </c>
      <c r="N430" s="116">
        <v>364.9</v>
      </c>
      <c r="O430" s="116">
        <v>343.75</v>
      </c>
      <c r="P430" s="116">
        <v>358.71249999999998</v>
      </c>
      <c r="Q430" s="116">
        <v>1426.5</v>
      </c>
      <c r="R430">
        <v>306564</v>
      </c>
    </row>
    <row r="431" spans="1:18" x14ac:dyDescent="0.25">
      <c r="A431" s="170">
        <v>45170</v>
      </c>
      <c r="B431" s="116">
        <v>360.45</v>
      </c>
      <c r="C431" s="116">
        <v>349.71249999999998</v>
      </c>
      <c r="D431" s="116">
        <v>348.75</v>
      </c>
      <c r="E431" s="116">
        <v>352.41250000000002</v>
      </c>
      <c r="F431" s="116">
        <v>1398.85</v>
      </c>
      <c r="G431">
        <v>5391</v>
      </c>
      <c r="H431" s="116"/>
      <c r="I431" s="116"/>
      <c r="L431" s="170">
        <v>45170</v>
      </c>
      <c r="M431" s="116">
        <v>349.7</v>
      </c>
      <c r="N431" s="116">
        <v>360.2</v>
      </c>
      <c r="O431" s="116">
        <v>348</v>
      </c>
      <c r="P431" s="116">
        <v>351.32499999999999</v>
      </c>
      <c r="Q431" s="116">
        <v>1398.8</v>
      </c>
      <c r="R431">
        <v>78230</v>
      </c>
    </row>
    <row r="432" spans="1:18" x14ac:dyDescent="0.25">
      <c r="A432" s="170">
        <v>45173</v>
      </c>
      <c r="B432" s="116">
        <v>352.4375</v>
      </c>
      <c r="C432" s="116">
        <v>349.76249999999999</v>
      </c>
      <c r="D432" s="116">
        <v>348.01249999999999</v>
      </c>
      <c r="E432" s="116">
        <v>350.02499999999998</v>
      </c>
      <c r="F432" s="116">
        <v>1399.05</v>
      </c>
      <c r="G432">
        <v>7650</v>
      </c>
      <c r="H432" s="116"/>
      <c r="I432" s="116"/>
      <c r="L432" s="170">
        <v>45173</v>
      </c>
      <c r="M432" s="116">
        <v>350.05</v>
      </c>
      <c r="N432" s="116">
        <v>352.73750000000001</v>
      </c>
      <c r="O432" s="116">
        <v>348.25</v>
      </c>
      <c r="P432" s="116">
        <v>352.73750000000001</v>
      </c>
      <c r="Q432" s="116">
        <v>1400.2</v>
      </c>
      <c r="R432">
        <v>67324</v>
      </c>
    </row>
    <row r="433" spans="1:18" x14ac:dyDescent="0.25">
      <c r="A433" s="170">
        <v>45174</v>
      </c>
      <c r="B433" s="116">
        <v>359.88749999999999</v>
      </c>
      <c r="C433" s="116">
        <v>347.61250000000001</v>
      </c>
      <c r="D433" s="116">
        <v>342.5</v>
      </c>
      <c r="E433" s="116">
        <v>359.88749999999999</v>
      </c>
      <c r="F433" s="116">
        <v>1390.45</v>
      </c>
      <c r="G433">
        <v>4024</v>
      </c>
      <c r="H433" s="116"/>
      <c r="I433" s="116"/>
      <c r="L433" s="170">
        <v>45174</v>
      </c>
      <c r="M433" s="116">
        <v>348.48750000000001</v>
      </c>
      <c r="N433" s="116">
        <v>357.5</v>
      </c>
      <c r="O433" s="116">
        <v>342.5</v>
      </c>
      <c r="P433" s="116">
        <v>352.45</v>
      </c>
      <c r="Q433" s="116">
        <v>1393.95</v>
      </c>
      <c r="R433">
        <v>84532</v>
      </c>
    </row>
    <row r="434" spans="1:18" x14ac:dyDescent="0.25">
      <c r="A434" s="170">
        <v>45175</v>
      </c>
      <c r="B434" s="116">
        <v>348.0625</v>
      </c>
      <c r="C434" s="116">
        <v>344.82499999999999</v>
      </c>
      <c r="D434" s="116">
        <v>342.55</v>
      </c>
      <c r="E434" s="116">
        <v>347.5</v>
      </c>
      <c r="F434" s="116">
        <v>1379.3</v>
      </c>
      <c r="G434">
        <v>2781</v>
      </c>
      <c r="H434" s="116"/>
      <c r="I434" s="116"/>
      <c r="L434" s="170">
        <v>45175</v>
      </c>
      <c r="M434" s="116">
        <v>344.98750000000001</v>
      </c>
      <c r="N434" s="116">
        <v>348.25</v>
      </c>
      <c r="O434" s="116">
        <v>342.5</v>
      </c>
      <c r="P434" s="116">
        <v>348.25</v>
      </c>
      <c r="Q434" s="116">
        <v>1379.95</v>
      </c>
      <c r="R434">
        <v>360025</v>
      </c>
    </row>
    <row r="435" spans="1:18" x14ac:dyDescent="0.25">
      <c r="A435" s="170">
        <v>45176</v>
      </c>
      <c r="B435" s="116">
        <v>347.67500000000001</v>
      </c>
      <c r="C435" s="116">
        <v>345.77499999999998</v>
      </c>
      <c r="D435" s="116">
        <v>344.02499999999998</v>
      </c>
      <c r="E435" s="116">
        <v>344.78750000000002</v>
      </c>
      <c r="F435" s="116">
        <v>1383.1</v>
      </c>
      <c r="G435">
        <v>3116</v>
      </c>
      <c r="H435" s="116"/>
      <c r="I435" s="116"/>
      <c r="L435" s="170">
        <v>45176</v>
      </c>
      <c r="M435" s="116">
        <v>345.77499999999998</v>
      </c>
      <c r="N435" s="116">
        <v>349.65</v>
      </c>
      <c r="O435" s="116">
        <v>343.76249999999999</v>
      </c>
      <c r="P435" s="116">
        <v>344.98750000000001</v>
      </c>
      <c r="Q435" s="116">
        <v>1383.1</v>
      </c>
      <c r="R435">
        <v>66652</v>
      </c>
    </row>
    <row r="436" spans="1:18" x14ac:dyDescent="0.25">
      <c r="A436" s="170">
        <v>45177</v>
      </c>
      <c r="B436" s="116">
        <v>358.625</v>
      </c>
      <c r="C436" s="116">
        <v>345.63749999999999</v>
      </c>
      <c r="D436" s="116">
        <v>344.25</v>
      </c>
      <c r="E436" s="116">
        <v>352.07499999999999</v>
      </c>
      <c r="F436" s="116">
        <v>1382.55</v>
      </c>
      <c r="G436">
        <v>8533</v>
      </c>
      <c r="H436" s="116"/>
      <c r="I436" s="116"/>
      <c r="L436" s="170">
        <v>45177</v>
      </c>
      <c r="M436" s="116">
        <v>345.66250000000002</v>
      </c>
      <c r="N436" s="116">
        <v>359.5</v>
      </c>
      <c r="O436" s="116">
        <v>344.5</v>
      </c>
      <c r="P436" s="116">
        <v>345.75</v>
      </c>
      <c r="Q436" s="116">
        <v>1382.65</v>
      </c>
      <c r="R436">
        <v>169208</v>
      </c>
    </row>
    <row r="437" spans="1:18" x14ac:dyDescent="0.25">
      <c r="A437" s="170">
        <v>45180</v>
      </c>
      <c r="B437" s="116">
        <v>357.5</v>
      </c>
      <c r="C437" s="116">
        <v>342.57499999999999</v>
      </c>
      <c r="D437" s="116">
        <v>338.9375</v>
      </c>
      <c r="E437" s="116">
        <v>357.5</v>
      </c>
      <c r="F437" s="116">
        <v>1370.3</v>
      </c>
      <c r="G437">
        <v>4518</v>
      </c>
      <c r="H437" s="116"/>
      <c r="I437" s="116"/>
      <c r="L437" s="170">
        <v>45180</v>
      </c>
      <c r="M437" s="116">
        <v>342.72500000000002</v>
      </c>
      <c r="N437" s="116">
        <v>348.75</v>
      </c>
      <c r="O437" s="116">
        <v>338.41250000000002</v>
      </c>
      <c r="P437" s="116">
        <v>348.75</v>
      </c>
      <c r="Q437" s="116">
        <v>1370.9</v>
      </c>
      <c r="R437">
        <v>70717</v>
      </c>
    </row>
    <row r="438" spans="1:18" x14ac:dyDescent="0.25">
      <c r="A438" s="170">
        <v>45181</v>
      </c>
      <c r="B438" s="116">
        <v>346.25</v>
      </c>
      <c r="C438" s="116">
        <v>341.375</v>
      </c>
      <c r="D438" s="116">
        <v>337.61250000000001</v>
      </c>
      <c r="E438" s="116">
        <v>342.72500000000002</v>
      </c>
      <c r="F438" s="116">
        <v>1365.5</v>
      </c>
      <c r="G438">
        <v>5230</v>
      </c>
      <c r="H438" s="116"/>
      <c r="I438" s="116"/>
      <c r="L438" s="170">
        <v>45181</v>
      </c>
      <c r="M438" s="116">
        <v>341.92500000000001</v>
      </c>
      <c r="N438" s="116">
        <v>346.53750000000002</v>
      </c>
      <c r="O438" s="116">
        <v>337.75</v>
      </c>
      <c r="P438" s="116">
        <v>342.72500000000002</v>
      </c>
      <c r="Q438" s="116">
        <v>1367.7</v>
      </c>
      <c r="R438">
        <v>79674</v>
      </c>
    </row>
    <row r="439" spans="1:18" x14ac:dyDescent="0.25">
      <c r="A439" s="170">
        <v>45182</v>
      </c>
      <c r="B439" s="116">
        <v>346.875</v>
      </c>
      <c r="C439" s="116">
        <v>345.5625</v>
      </c>
      <c r="D439" s="116">
        <v>339</v>
      </c>
      <c r="E439" s="116">
        <v>340.42500000000001</v>
      </c>
      <c r="F439" s="116">
        <v>1382.25</v>
      </c>
      <c r="G439">
        <v>2896</v>
      </c>
      <c r="H439" s="116"/>
      <c r="I439" s="116"/>
      <c r="L439" s="170">
        <v>45182</v>
      </c>
      <c r="M439" s="116">
        <v>345.35</v>
      </c>
      <c r="N439" s="116">
        <v>346.75</v>
      </c>
      <c r="O439" s="116">
        <v>338.25</v>
      </c>
      <c r="P439" s="116">
        <v>341.25</v>
      </c>
      <c r="Q439" s="116">
        <v>1381.4</v>
      </c>
      <c r="R439">
        <v>52818</v>
      </c>
    </row>
    <row r="440" spans="1:18" x14ac:dyDescent="0.25">
      <c r="A440" s="170">
        <v>45183</v>
      </c>
      <c r="B440" s="116">
        <v>354.375</v>
      </c>
      <c r="C440" s="116">
        <v>351.73750000000001</v>
      </c>
      <c r="D440" s="116">
        <v>343.76249999999999</v>
      </c>
      <c r="E440" s="116">
        <v>343.76249999999999</v>
      </c>
      <c r="F440" s="116">
        <v>1406.95</v>
      </c>
      <c r="G440">
        <v>9105</v>
      </c>
      <c r="H440" s="116"/>
      <c r="I440" s="116"/>
      <c r="L440" s="170">
        <v>45183</v>
      </c>
      <c r="M440" s="116">
        <v>351.15</v>
      </c>
      <c r="N440" s="116">
        <v>354.38749999999999</v>
      </c>
      <c r="O440" s="116">
        <v>345.48750000000001</v>
      </c>
      <c r="P440" s="116">
        <v>345.48750000000001</v>
      </c>
      <c r="Q440" s="116">
        <v>1404.6</v>
      </c>
      <c r="R440">
        <v>48422</v>
      </c>
    </row>
    <row r="441" spans="1:18" x14ac:dyDescent="0.25">
      <c r="A441" s="170">
        <v>45184</v>
      </c>
      <c r="B441" s="116">
        <v>357.05</v>
      </c>
      <c r="C441" s="116">
        <v>352.625</v>
      </c>
      <c r="D441" s="116">
        <v>350.38749999999999</v>
      </c>
      <c r="E441" s="116">
        <v>351.75</v>
      </c>
      <c r="F441" s="116">
        <v>1410.5</v>
      </c>
      <c r="G441">
        <v>5850</v>
      </c>
      <c r="H441" s="116"/>
      <c r="I441" s="116"/>
      <c r="L441" s="170">
        <v>45184</v>
      </c>
      <c r="M441" s="116">
        <v>352.9</v>
      </c>
      <c r="N441" s="116">
        <v>357.17500000000001</v>
      </c>
      <c r="O441" s="116">
        <v>351</v>
      </c>
      <c r="P441" s="116">
        <v>352.5</v>
      </c>
      <c r="Q441" s="116">
        <v>1411.6</v>
      </c>
      <c r="R441">
        <v>38795</v>
      </c>
    </row>
    <row r="442" spans="1:18" x14ac:dyDescent="0.25">
      <c r="A442" s="170">
        <v>45187</v>
      </c>
      <c r="B442" s="116">
        <v>373.55</v>
      </c>
      <c r="C442" s="116">
        <v>367.35</v>
      </c>
      <c r="D442" s="116">
        <v>352.98750000000001</v>
      </c>
      <c r="E442" s="116">
        <v>358.53750000000002</v>
      </c>
      <c r="F442" s="116">
        <v>1469.4</v>
      </c>
      <c r="G442">
        <v>5743</v>
      </c>
      <c r="H442" s="116"/>
      <c r="I442" s="116"/>
      <c r="L442" s="170">
        <v>45187</v>
      </c>
      <c r="M442" s="116">
        <v>367.35</v>
      </c>
      <c r="N442" s="116">
        <v>373.48750000000001</v>
      </c>
      <c r="O442" s="116">
        <v>352.9375</v>
      </c>
      <c r="P442" s="116">
        <v>353.75</v>
      </c>
      <c r="Q442" s="116">
        <v>1469.4</v>
      </c>
      <c r="R442">
        <v>132378</v>
      </c>
    </row>
    <row r="443" spans="1:18" x14ac:dyDescent="0.25">
      <c r="A443" s="170">
        <v>45189</v>
      </c>
      <c r="B443" s="116">
        <v>389.8125</v>
      </c>
      <c r="C443" s="116">
        <v>380.66250000000002</v>
      </c>
      <c r="D443" s="116">
        <v>366.73750000000001</v>
      </c>
      <c r="E443" s="116">
        <v>369.98750000000001</v>
      </c>
      <c r="F443" s="116">
        <v>1522.65</v>
      </c>
      <c r="G443">
        <v>19424</v>
      </c>
      <c r="H443" s="116"/>
      <c r="I443" s="116"/>
      <c r="L443" s="170">
        <v>45189</v>
      </c>
      <c r="M443" s="116">
        <v>381.1875</v>
      </c>
      <c r="N443" s="116">
        <v>390.25</v>
      </c>
      <c r="O443" s="116">
        <v>366.0625</v>
      </c>
      <c r="P443" s="116">
        <v>366.0625</v>
      </c>
      <c r="Q443" s="116">
        <v>1524.75</v>
      </c>
      <c r="R443">
        <v>218878</v>
      </c>
    </row>
    <row r="444" spans="1:18" x14ac:dyDescent="0.25">
      <c r="A444" s="170">
        <v>45190</v>
      </c>
      <c r="B444" s="116">
        <v>400.45</v>
      </c>
      <c r="C444" s="116">
        <v>396.61250000000001</v>
      </c>
      <c r="D444" s="116">
        <v>379.82499999999999</v>
      </c>
      <c r="E444" s="116">
        <v>381.98750000000001</v>
      </c>
      <c r="F444" s="116">
        <v>1586.45</v>
      </c>
      <c r="G444">
        <v>13670</v>
      </c>
      <c r="H444" s="116"/>
      <c r="I444" s="116"/>
      <c r="L444" s="170">
        <v>45190</v>
      </c>
      <c r="M444" s="116">
        <v>396.72500000000002</v>
      </c>
      <c r="N444" s="116">
        <v>401.07499999999999</v>
      </c>
      <c r="O444" s="116">
        <v>378.78750000000002</v>
      </c>
      <c r="P444" s="116">
        <v>379.5</v>
      </c>
      <c r="Q444" s="116">
        <v>1586.9</v>
      </c>
      <c r="R444">
        <v>158142</v>
      </c>
    </row>
    <row r="445" spans="1:18" x14ac:dyDescent="0.25">
      <c r="A445" s="170">
        <v>45191</v>
      </c>
      <c r="B445" s="116">
        <v>396.5</v>
      </c>
      <c r="C445" s="116">
        <v>388.72500000000002</v>
      </c>
      <c r="D445" s="116">
        <v>385.78750000000002</v>
      </c>
      <c r="E445" s="116">
        <v>396.5</v>
      </c>
      <c r="F445" s="116">
        <v>1554.9</v>
      </c>
      <c r="G445">
        <v>6378</v>
      </c>
      <c r="H445" s="116"/>
      <c r="I445" s="116"/>
      <c r="L445" s="170">
        <v>45191</v>
      </c>
      <c r="M445" s="116">
        <v>389.97500000000002</v>
      </c>
      <c r="N445" s="116">
        <v>395</v>
      </c>
      <c r="O445" s="116">
        <v>385.71249999999998</v>
      </c>
      <c r="P445" s="116">
        <v>395</v>
      </c>
      <c r="Q445" s="116">
        <v>1559.9</v>
      </c>
      <c r="R445">
        <v>92791</v>
      </c>
    </row>
    <row r="446" spans="1:18" x14ac:dyDescent="0.25">
      <c r="A446" s="170">
        <v>45194</v>
      </c>
      <c r="B446" s="116">
        <v>410.33749999999998</v>
      </c>
      <c r="C446" s="116">
        <v>407.82499999999999</v>
      </c>
      <c r="D446" s="116">
        <v>391.25</v>
      </c>
      <c r="E446" s="116">
        <v>391.26249999999999</v>
      </c>
      <c r="F446" s="116">
        <v>1631.3</v>
      </c>
      <c r="G446">
        <v>11473</v>
      </c>
      <c r="H446" s="116"/>
      <c r="I446" s="116"/>
      <c r="L446" s="170">
        <v>45194</v>
      </c>
      <c r="M446" s="116">
        <v>406.36250000000001</v>
      </c>
      <c r="N446" s="116">
        <v>411</v>
      </c>
      <c r="O446" s="116">
        <v>390.51249999999999</v>
      </c>
      <c r="P446" s="116">
        <v>395.48750000000001</v>
      </c>
      <c r="Q446" s="116">
        <v>1625.45</v>
      </c>
      <c r="R446">
        <v>112473</v>
      </c>
    </row>
    <row r="447" spans="1:18" x14ac:dyDescent="0.25">
      <c r="A447" s="170">
        <v>45195</v>
      </c>
      <c r="B447" s="116">
        <v>428</v>
      </c>
      <c r="C447" s="116">
        <v>422.72500000000002</v>
      </c>
      <c r="D447" s="116">
        <v>403.52499999999998</v>
      </c>
      <c r="E447" s="116">
        <v>410</v>
      </c>
      <c r="F447" s="116">
        <v>1690.9</v>
      </c>
      <c r="G447">
        <v>22506</v>
      </c>
      <c r="H447" s="116"/>
      <c r="I447" s="116"/>
      <c r="L447" s="170">
        <v>45195</v>
      </c>
      <c r="M447" s="116">
        <v>424.32499999999999</v>
      </c>
      <c r="N447" s="116">
        <v>428.46249999999998</v>
      </c>
      <c r="O447" s="116">
        <v>404.32499999999999</v>
      </c>
      <c r="P447" s="116">
        <v>406.7</v>
      </c>
      <c r="Q447" s="116">
        <v>1697.3</v>
      </c>
      <c r="R447">
        <v>166377</v>
      </c>
    </row>
    <row r="448" spans="1:18" x14ac:dyDescent="0.25">
      <c r="A448" s="170">
        <v>45196</v>
      </c>
      <c r="B448" s="116">
        <v>426.52499999999998</v>
      </c>
      <c r="C448" s="116">
        <v>421.4</v>
      </c>
      <c r="D448" s="116">
        <v>413.22500000000002</v>
      </c>
      <c r="E448" s="116">
        <v>426.21249999999998</v>
      </c>
      <c r="F448" s="116">
        <v>1685.6</v>
      </c>
      <c r="G448">
        <v>7176</v>
      </c>
      <c r="H448" s="116"/>
      <c r="I448" s="116"/>
      <c r="L448" s="170">
        <v>45196</v>
      </c>
      <c r="M448" s="116">
        <v>421.97500000000002</v>
      </c>
      <c r="N448" s="116">
        <v>427.23750000000001</v>
      </c>
      <c r="O448" s="116">
        <v>412.77499999999998</v>
      </c>
      <c r="P448" s="116">
        <v>425</v>
      </c>
      <c r="Q448" s="116">
        <v>1687.9</v>
      </c>
      <c r="R448">
        <v>85934</v>
      </c>
    </row>
    <row r="449" spans="1:18" x14ac:dyDescent="0.25">
      <c r="A449" s="170">
        <v>45197</v>
      </c>
      <c r="B449" s="116">
        <v>432.125</v>
      </c>
      <c r="C449" s="116">
        <v>422.75</v>
      </c>
      <c r="D449" s="116">
        <v>416.26249999999999</v>
      </c>
      <c r="E449" s="116">
        <v>429.83749999999998</v>
      </c>
      <c r="F449" s="116">
        <v>1691</v>
      </c>
      <c r="G449">
        <v>6361</v>
      </c>
      <c r="H449" s="116"/>
      <c r="I449" s="116"/>
      <c r="L449" s="170">
        <v>45197</v>
      </c>
      <c r="M449" s="116">
        <v>422.73750000000001</v>
      </c>
      <c r="N449" s="116">
        <v>432.48750000000001</v>
      </c>
      <c r="O449" s="116">
        <v>416.48750000000001</v>
      </c>
      <c r="P449" s="116">
        <v>425</v>
      </c>
      <c r="Q449" s="116">
        <v>1690.95</v>
      </c>
      <c r="R449">
        <v>87124</v>
      </c>
    </row>
    <row r="450" spans="1:18" x14ac:dyDescent="0.25">
      <c r="A450" s="170">
        <v>45198</v>
      </c>
      <c r="B450" s="116">
        <v>428.1875</v>
      </c>
      <c r="C450" s="116">
        <v>420.16250000000002</v>
      </c>
      <c r="D450" s="116">
        <v>417.66250000000002</v>
      </c>
      <c r="E450" s="116">
        <v>424.48750000000001</v>
      </c>
      <c r="F450" s="116">
        <v>1680.65</v>
      </c>
      <c r="G450">
        <v>9254</v>
      </c>
      <c r="H450" s="116"/>
      <c r="I450" s="116"/>
      <c r="L450" s="170">
        <v>45198</v>
      </c>
      <c r="M450" s="116">
        <v>420.2</v>
      </c>
      <c r="N450" s="116">
        <v>428.73750000000001</v>
      </c>
      <c r="O450" s="116">
        <v>417.72500000000002</v>
      </c>
      <c r="P450" s="116">
        <v>427.48750000000001</v>
      </c>
      <c r="Q450" s="116">
        <v>1680.8</v>
      </c>
      <c r="R450">
        <v>63138</v>
      </c>
    </row>
    <row r="451" spans="1:18" x14ac:dyDescent="0.25">
      <c r="A451" s="170">
        <v>45202</v>
      </c>
      <c r="B451" s="116">
        <v>437.01249999999999</v>
      </c>
      <c r="C451" s="116">
        <v>433.8125</v>
      </c>
      <c r="D451" s="116">
        <v>412.95</v>
      </c>
      <c r="E451" s="116">
        <v>419.9</v>
      </c>
      <c r="F451" s="116">
        <v>1735.25</v>
      </c>
      <c r="G451">
        <v>15403</v>
      </c>
      <c r="H451" s="116"/>
      <c r="I451" s="116"/>
      <c r="L451" s="170">
        <v>45202</v>
      </c>
      <c r="M451" s="116">
        <v>433.98750000000001</v>
      </c>
      <c r="N451" s="116">
        <v>440</v>
      </c>
      <c r="O451" s="116">
        <v>413</v>
      </c>
      <c r="P451" s="116">
        <v>422.32499999999999</v>
      </c>
      <c r="Q451" s="116">
        <v>1735.95</v>
      </c>
      <c r="R451">
        <v>127513</v>
      </c>
    </row>
    <row r="452" spans="1:18" x14ac:dyDescent="0.25">
      <c r="A452" s="170">
        <v>45203</v>
      </c>
      <c r="B452" s="116">
        <v>449.5625</v>
      </c>
      <c r="C452" s="116">
        <v>443.88749999999999</v>
      </c>
      <c r="D452" s="116">
        <v>429.07499999999999</v>
      </c>
      <c r="E452" s="116">
        <v>431.26249999999999</v>
      </c>
      <c r="F452" s="116">
        <v>1775.55</v>
      </c>
      <c r="G452">
        <v>13682</v>
      </c>
      <c r="H452" s="116"/>
      <c r="I452" s="116"/>
      <c r="L452" s="170">
        <v>45203</v>
      </c>
      <c r="M452" s="116">
        <v>444.47500000000002</v>
      </c>
      <c r="N452" s="116">
        <v>449.96249999999998</v>
      </c>
      <c r="O452" s="116">
        <v>428.02499999999998</v>
      </c>
      <c r="P452" s="116">
        <v>434.48750000000001</v>
      </c>
      <c r="Q452" s="116">
        <v>1777.9</v>
      </c>
      <c r="R452">
        <v>210176</v>
      </c>
    </row>
    <row r="453" spans="1:18" x14ac:dyDescent="0.25">
      <c r="A453" s="170">
        <v>45204</v>
      </c>
      <c r="B453" s="116">
        <v>446.57499999999999</v>
      </c>
      <c r="C453" s="116">
        <v>443.92500000000001</v>
      </c>
      <c r="D453" s="116">
        <v>440.52499999999998</v>
      </c>
      <c r="E453" s="116">
        <v>444</v>
      </c>
      <c r="F453" s="116">
        <v>1775.7</v>
      </c>
      <c r="G453">
        <v>5197</v>
      </c>
      <c r="H453" s="116"/>
      <c r="I453" s="116"/>
      <c r="L453" s="170">
        <v>45204</v>
      </c>
      <c r="M453" s="116">
        <v>443.76249999999999</v>
      </c>
      <c r="N453" s="116">
        <v>446.41250000000002</v>
      </c>
      <c r="O453" s="116">
        <v>440.52499999999998</v>
      </c>
      <c r="P453" s="116">
        <v>445.95</v>
      </c>
      <c r="Q453" s="116">
        <v>1775.05</v>
      </c>
      <c r="R453">
        <v>87595</v>
      </c>
    </row>
    <row r="454" spans="1:18" x14ac:dyDescent="0.25">
      <c r="A454" s="170">
        <v>45205</v>
      </c>
      <c r="B454" s="116">
        <v>458.75</v>
      </c>
      <c r="C454" s="116">
        <v>455.02499999999998</v>
      </c>
      <c r="D454" s="116">
        <v>442.57499999999999</v>
      </c>
      <c r="E454" s="116">
        <v>454.22500000000002</v>
      </c>
      <c r="F454" s="116">
        <v>1820.1</v>
      </c>
      <c r="G454">
        <v>11388</v>
      </c>
      <c r="H454" s="116"/>
      <c r="I454" s="116"/>
      <c r="L454" s="170">
        <v>45205</v>
      </c>
      <c r="M454" s="116">
        <v>454.91250000000002</v>
      </c>
      <c r="N454" s="116">
        <v>458.72500000000002</v>
      </c>
      <c r="O454" s="116">
        <v>442.75</v>
      </c>
      <c r="P454" s="116">
        <v>451.75</v>
      </c>
      <c r="Q454" s="116">
        <v>1819.65</v>
      </c>
      <c r="R454">
        <v>110414</v>
      </c>
    </row>
    <row r="455" spans="1:18" x14ac:dyDescent="0.25">
      <c r="A455" s="170">
        <v>45208</v>
      </c>
      <c r="B455" s="116">
        <v>492.98750000000001</v>
      </c>
      <c r="C455" s="116">
        <v>472.35</v>
      </c>
      <c r="D455" s="116">
        <v>437.76249999999999</v>
      </c>
      <c r="E455" s="116">
        <v>437.76249999999999</v>
      </c>
      <c r="F455" s="116">
        <v>1889.4</v>
      </c>
      <c r="G455">
        <v>32188</v>
      </c>
      <c r="H455" s="116"/>
      <c r="I455" s="116"/>
      <c r="L455" s="170">
        <v>45208</v>
      </c>
      <c r="M455" s="116">
        <v>472.52499999999998</v>
      </c>
      <c r="N455" s="116">
        <v>493</v>
      </c>
      <c r="O455" s="116">
        <v>441.08749999999998</v>
      </c>
      <c r="P455" s="116">
        <v>454.5</v>
      </c>
      <c r="Q455" s="116">
        <v>1890.1</v>
      </c>
      <c r="R455">
        <v>423055</v>
      </c>
    </row>
    <row r="456" spans="1:18" x14ac:dyDescent="0.25">
      <c r="A456" s="170">
        <v>45209</v>
      </c>
      <c r="B456" s="116">
        <v>482.55</v>
      </c>
      <c r="C456" s="116">
        <v>474.375</v>
      </c>
      <c r="D456" s="116">
        <v>467.375</v>
      </c>
      <c r="E456" s="116">
        <v>481.73750000000001</v>
      </c>
      <c r="F456" s="116">
        <v>1897.5</v>
      </c>
      <c r="G456">
        <v>8616</v>
      </c>
      <c r="H456" s="116"/>
      <c r="I456" s="116"/>
      <c r="L456" s="170">
        <v>45209</v>
      </c>
      <c r="M456" s="116">
        <v>474.8125</v>
      </c>
      <c r="N456" s="116">
        <v>484.08749999999998</v>
      </c>
      <c r="O456" s="116">
        <v>466.51249999999999</v>
      </c>
      <c r="P456" s="116">
        <v>477.5</v>
      </c>
      <c r="Q456" s="116">
        <v>1899.25</v>
      </c>
      <c r="R456">
        <v>144678</v>
      </c>
    </row>
    <row r="457" spans="1:18" x14ac:dyDescent="0.25">
      <c r="A457" s="170">
        <v>45210</v>
      </c>
      <c r="B457" s="116">
        <v>478.75</v>
      </c>
      <c r="C457" s="116">
        <v>476.98750000000001</v>
      </c>
      <c r="D457" s="116">
        <v>468.91250000000002</v>
      </c>
      <c r="E457" s="116">
        <v>472.23750000000001</v>
      </c>
      <c r="F457" s="116">
        <v>1907.95</v>
      </c>
      <c r="G457">
        <v>3319</v>
      </c>
      <c r="H457" s="116"/>
      <c r="I457" s="116"/>
      <c r="L457" s="170">
        <v>45210</v>
      </c>
      <c r="M457" s="116">
        <v>477.26249999999999</v>
      </c>
      <c r="N457" s="116">
        <v>479.67500000000001</v>
      </c>
      <c r="O457" s="116">
        <v>468.375</v>
      </c>
      <c r="P457" s="116">
        <v>471.26249999999999</v>
      </c>
      <c r="Q457" s="116">
        <v>1909.05</v>
      </c>
      <c r="R457">
        <v>81192</v>
      </c>
    </row>
    <row r="458" spans="1:18" x14ac:dyDescent="0.25">
      <c r="A458" s="170">
        <v>45211</v>
      </c>
      <c r="B458" s="116">
        <v>486.53750000000002</v>
      </c>
      <c r="C458" s="116">
        <v>477.42500000000001</v>
      </c>
      <c r="D458" s="116">
        <v>462.5</v>
      </c>
      <c r="E458" s="116">
        <v>486.53750000000002</v>
      </c>
      <c r="F458" s="116">
        <v>1909.7</v>
      </c>
      <c r="G458">
        <v>7679</v>
      </c>
      <c r="H458" s="116"/>
      <c r="I458" s="116"/>
      <c r="L458" s="170">
        <v>45211</v>
      </c>
      <c r="M458" s="116">
        <v>478.82499999999999</v>
      </c>
      <c r="N458" s="116">
        <v>481.4375</v>
      </c>
      <c r="O458" s="116">
        <v>461.36250000000001</v>
      </c>
      <c r="P458" s="116">
        <v>480.97500000000002</v>
      </c>
      <c r="Q458" s="116">
        <v>1915.3</v>
      </c>
      <c r="R458">
        <v>128400</v>
      </c>
    </row>
    <row r="459" spans="1:18" x14ac:dyDescent="0.25">
      <c r="A459" s="170">
        <v>45212</v>
      </c>
      <c r="B459" s="116">
        <v>482.3</v>
      </c>
      <c r="C459" s="116">
        <v>469.16250000000002</v>
      </c>
      <c r="D459" s="116">
        <v>451.1875</v>
      </c>
      <c r="E459" s="116">
        <v>476.98750000000001</v>
      </c>
      <c r="F459" s="116">
        <v>1876.65</v>
      </c>
      <c r="G459">
        <v>18853</v>
      </c>
      <c r="H459" s="116"/>
      <c r="I459" s="116"/>
      <c r="L459" s="170">
        <v>45212</v>
      </c>
      <c r="M459" s="116">
        <v>471.02499999999998</v>
      </c>
      <c r="N459" s="116">
        <v>482.5</v>
      </c>
      <c r="O459" s="116">
        <v>450.76249999999999</v>
      </c>
      <c r="P459" s="116">
        <v>472.5</v>
      </c>
      <c r="Q459" s="116">
        <v>1884.1</v>
      </c>
      <c r="R459">
        <v>288361</v>
      </c>
    </row>
    <row r="460" spans="1:18" x14ac:dyDescent="0.25">
      <c r="A460" s="170">
        <v>45215</v>
      </c>
      <c r="B460" s="116">
        <v>474.98750000000001</v>
      </c>
      <c r="C460" s="116">
        <v>453.48750000000001</v>
      </c>
      <c r="D460" s="116">
        <v>451.42500000000001</v>
      </c>
      <c r="E460" s="116">
        <v>457.63749999999999</v>
      </c>
      <c r="F460" s="116">
        <v>1813.95</v>
      </c>
      <c r="G460">
        <v>4323</v>
      </c>
      <c r="H460" s="116"/>
      <c r="I460" s="116"/>
      <c r="L460" s="170">
        <v>45215</v>
      </c>
      <c r="M460" s="116">
        <v>453.9</v>
      </c>
      <c r="N460" s="116">
        <v>474.97500000000002</v>
      </c>
      <c r="O460" s="116">
        <v>450.32499999999999</v>
      </c>
      <c r="P460" s="116">
        <v>471.25</v>
      </c>
      <c r="Q460" s="116">
        <v>1815.6</v>
      </c>
      <c r="R460">
        <v>76748</v>
      </c>
    </row>
    <row r="461" spans="1:18" x14ac:dyDescent="0.25">
      <c r="A461" s="170">
        <v>45216</v>
      </c>
      <c r="B461" s="116">
        <v>468.98750000000001</v>
      </c>
      <c r="C461" s="116">
        <v>447.5625</v>
      </c>
      <c r="D461" s="116">
        <v>443.42500000000001</v>
      </c>
      <c r="E461" s="116">
        <v>468.98750000000001</v>
      </c>
      <c r="F461" s="116">
        <v>1790.25</v>
      </c>
      <c r="G461">
        <v>3950</v>
      </c>
      <c r="H461" s="116"/>
      <c r="I461" s="116"/>
      <c r="L461" s="170">
        <v>45216</v>
      </c>
      <c r="M461" s="116">
        <v>446.375</v>
      </c>
      <c r="N461" s="116">
        <v>465.51249999999999</v>
      </c>
      <c r="O461" s="116">
        <v>442.53750000000002</v>
      </c>
      <c r="P461" s="116">
        <v>463.75</v>
      </c>
      <c r="Q461" s="116">
        <v>1785.5</v>
      </c>
      <c r="R461">
        <v>79574</v>
      </c>
    </row>
    <row r="462" spans="1:18" x14ac:dyDescent="0.25">
      <c r="A462" s="170">
        <v>45217</v>
      </c>
      <c r="B462" s="116">
        <v>477.57499999999999</v>
      </c>
      <c r="C462" s="116">
        <v>471.28750000000002</v>
      </c>
      <c r="D462" s="116">
        <v>446.21249999999998</v>
      </c>
      <c r="E462" s="116">
        <v>453.08749999999998</v>
      </c>
      <c r="F462" s="116">
        <v>1885.15</v>
      </c>
      <c r="G462">
        <v>13277</v>
      </c>
      <c r="H462" s="116"/>
      <c r="I462" s="116"/>
      <c r="L462" s="170">
        <v>45217</v>
      </c>
      <c r="M462" s="116">
        <v>471</v>
      </c>
      <c r="N462" s="116">
        <v>477.5</v>
      </c>
      <c r="O462" s="116">
        <v>446.23750000000001</v>
      </c>
      <c r="P462" s="116">
        <v>454.48750000000001</v>
      </c>
      <c r="Q462" s="116">
        <v>1884</v>
      </c>
      <c r="R462">
        <v>116472</v>
      </c>
    </row>
    <row r="463" spans="1:18" x14ac:dyDescent="0.25">
      <c r="A463" s="170">
        <v>45218</v>
      </c>
      <c r="B463" s="116">
        <v>481.25</v>
      </c>
      <c r="C463" s="116">
        <v>472.98750000000001</v>
      </c>
      <c r="D463" s="116">
        <v>461.23750000000001</v>
      </c>
      <c r="E463" s="116">
        <v>478.76249999999999</v>
      </c>
      <c r="F463" s="116">
        <v>1891.95</v>
      </c>
      <c r="G463">
        <v>9693</v>
      </c>
      <c r="H463" s="116"/>
      <c r="I463" s="116"/>
      <c r="L463" s="170">
        <v>45218</v>
      </c>
      <c r="M463" s="116">
        <v>473.07499999999999</v>
      </c>
      <c r="N463" s="116">
        <v>481.75</v>
      </c>
      <c r="O463" s="116">
        <v>461.75</v>
      </c>
      <c r="P463" s="116">
        <v>479.98750000000001</v>
      </c>
      <c r="Q463" s="116">
        <v>1892.3</v>
      </c>
      <c r="R463">
        <v>71187</v>
      </c>
    </row>
    <row r="464" spans="1:18" x14ac:dyDescent="0.25">
      <c r="A464" s="170">
        <v>45219</v>
      </c>
      <c r="B464" s="116">
        <v>477.25</v>
      </c>
      <c r="C464" s="116">
        <v>473.22500000000002</v>
      </c>
      <c r="D464" s="116">
        <v>466.8</v>
      </c>
      <c r="E464" s="116">
        <v>472.1</v>
      </c>
      <c r="F464" s="116">
        <v>1892.9</v>
      </c>
      <c r="G464">
        <v>2666</v>
      </c>
      <c r="H464" s="116"/>
      <c r="I464" s="116"/>
      <c r="L464" s="170">
        <v>45219</v>
      </c>
      <c r="M464" s="116">
        <v>472.7</v>
      </c>
      <c r="N464" s="116">
        <v>477.25</v>
      </c>
      <c r="O464" s="116">
        <v>465</v>
      </c>
      <c r="P464" s="116">
        <v>467.52499999999998</v>
      </c>
      <c r="Q464" s="116">
        <v>1890.8</v>
      </c>
      <c r="R464">
        <v>44587</v>
      </c>
    </row>
    <row r="465" spans="1:18" x14ac:dyDescent="0.25">
      <c r="A465" s="170">
        <v>45222</v>
      </c>
      <c r="B465" s="116">
        <v>474.8</v>
      </c>
      <c r="C465" s="116">
        <v>468.01249999999999</v>
      </c>
      <c r="D465" s="116">
        <v>462.42500000000001</v>
      </c>
      <c r="E465" s="116">
        <v>462.51249999999999</v>
      </c>
      <c r="F465" s="116">
        <v>1872.05</v>
      </c>
      <c r="G465">
        <v>12841</v>
      </c>
      <c r="H465" s="116"/>
      <c r="I465" s="116"/>
      <c r="L465" s="170">
        <v>45222</v>
      </c>
      <c r="M465" s="116">
        <v>468.48750000000001</v>
      </c>
      <c r="N465" s="116">
        <v>475</v>
      </c>
      <c r="O465" s="116">
        <v>461.2</v>
      </c>
      <c r="P465" s="116">
        <v>472.16250000000002</v>
      </c>
      <c r="Q465" s="116">
        <v>1873.95</v>
      </c>
      <c r="R465">
        <v>67437</v>
      </c>
    </row>
    <row r="466" spans="1:18" x14ac:dyDescent="0.25">
      <c r="A466" s="170">
        <v>45224</v>
      </c>
      <c r="B466" s="116">
        <v>477.9</v>
      </c>
      <c r="C466" s="116">
        <v>457.9375</v>
      </c>
      <c r="D466" s="116">
        <v>453</v>
      </c>
      <c r="E466" s="116">
        <v>458.66250000000002</v>
      </c>
      <c r="F466" s="116">
        <v>1831.75</v>
      </c>
      <c r="G466">
        <v>4161</v>
      </c>
      <c r="H466" s="116"/>
      <c r="I466" s="116"/>
      <c r="L466" s="170">
        <v>45224</v>
      </c>
      <c r="M466" s="116">
        <v>457.65</v>
      </c>
      <c r="N466" s="116">
        <v>480.15</v>
      </c>
      <c r="O466" s="116">
        <v>453.5</v>
      </c>
      <c r="P466" s="116">
        <v>468.48750000000001</v>
      </c>
      <c r="Q466" s="116">
        <v>1830.6</v>
      </c>
      <c r="R466">
        <v>44394</v>
      </c>
    </row>
    <row r="467" spans="1:18" x14ac:dyDescent="0.25">
      <c r="A467" s="170">
        <v>45225</v>
      </c>
      <c r="B467" s="116">
        <v>463.08749999999998</v>
      </c>
      <c r="C467" s="116">
        <v>455.27499999999998</v>
      </c>
      <c r="D467" s="116">
        <v>434.48750000000001</v>
      </c>
      <c r="E467" s="116">
        <v>457.03750000000002</v>
      </c>
      <c r="F467" s="116">
        <v>1821.1</v>
      </c>
      <c r="G467">
        <v>14616</v>
      </c>
      <c r="H467" s="116"/>
      <c r="I467" s="116"/>
      <c r="L467" s="170">
        <v>45225</v>
      </c>
      <c r="M467" s="116">
        <v>455.47500000000002</v>
      </c>
      <c r="N467" s="116">
        <v>463.73750000000001</v>
      </c>
      <c r="O467" s="116">
        <v>434.97500000000002</v>
      </c>
      <c r="P467" s="116">
        <v>455</v>
      </c>
      <c r="Q467" s="116">
        <v>1821.9</v>
      </c>
      <c r="R467">
        <v>67002</v>
      </c>
    </row>
    <row r="468" spans="1:18" x14ac:dyDescent="0.25">
      <c r="A468" s="170">
        <v>45226</v>
      </c>
      <c r="B468" s="116">
        <v>469.875</v>
      </c>
      <c r="C468" s="116">
        <v>462.42500000000001</v>
      </c>
      <c r="D468" s="116">
        <v>458.75</v>
      </c>
      <c r="E468" s="116">
        <v>461.52499999999998</v>
      </c>
      <c r="F468" s="116">
        <v>1849.7</v>
      </c>
      <c r="G468">
        <v>2140</v>
      </c>
      <c r="H468" s="116"/>
      <c r="I468" s="116"/>
      <c r="L468" s="170">
        <v>45226</v>
      </c>
      <c r="M468" s="116">
        <v>463.11250000000001</v>
      </c>
      <c r="N468" s="116">
        <v>470</v>
      </c>
      <c r="O468" s="116">
        <v>457.55</v>
      </c>
      <c r="P468" s="116">
        <v>459.75</v>
      </c>
      <c r="Q468" s="116">
        <v>1852.45</v>
      </c>
      <c r="R468">
        <v>35137</v>
      </c>
    </row>
    <row r="469" spans="1:18" x14ac:dyDescent="0.25">
      <c r="A469" s="170">
        <v>45229</v>
      </c>
      <c r="B469" s="116">
        <v>488.8125</v>
      </c>
      <c r="C469" s="116">
        <v>475.01249999999999</v>
      </c>
      <c r="D469" s="116">
        <v>468.92500000000001</v>
      </c>
      <c r="E469" s="116">
        <v>488.8125</v>
      </c>
      <c r="F469" s="116">
        <v>1900.05</v>
      </c>
      <c r="G469">
        <v>3658</v>
      </c>
      <c r="H469" s="116"/>
      <c r="I469" s="116"/>
      <c r="L469" s="170">
        <v>45229</v>
      </c>
      <c r="M469" s="116">
        <v>475.125</v>
      </c>
      <c r="N469" s="116">
        <v>486.53750000000002</v>
      </c>
      <c r="O469" s="116">
        <v>467.76249999999999</v>
      </c>
      <c r="P469" s="116">
        <v>485</v>
      </c>
      <c r="Q469" s="116">
        <v>1900.5</v>
      </c>
      <c r="R469">
        <v>44656</v>
      </c>
    </row>
    <row r="470" spans="1:18" x14ac:dyDescent="0.25">
      <c r="A470" s="170">
        <v>45230</v>
      </c>
      <c r="B470" s="116">
        <v>480.98750000000001</v>
      </c>
      <c r="C470" s="116">
        <v>477.75</v>
      </c>
      <c r="D470" s="116">
        <v>470.51249999999999</v>
      </c>
      <c r="E470" s="116">
        <v>470.51249999999999</v>
      </c>
      <c r="F470" s="116">
        <v>1911</v>
      </c>
      <c r="G470">
        <v>1615</v>
      </c>
      <c r="H470" s="116"/>
      <c r="I470" s="116"/>
      <c r="L470" s="170">
        <v>45230</v>
      </c>
      <c r="M470" s="116">
        <v>477.27499999999998</v>
      </c>
      <c r="N470" s="116">
        <v>481.1875</v>
      </c>
      <c r="O470" s="116">
        <v>473.51249999999999</v>
      </c>
      <c r="P470" s="116">
        <v>475.125</v>
      </c>
      <c r="Q470" s="116">
        <v>1909.1</v>
      </c>
      <c r="R470">
        <v>39492</v>
      </c>
    </row>
    <row r="471" spans="1:18" x14ac:dyDescent="0.25">
      <c r="A471" s="170">
        <v>45231</v>
      </c>
      <c r="B471" s="116">
        <v>518.75</v>
      </c>
      <c r="C471" s="116">
        <v>506.07499999999999</v>
      </c>
      <c r="D471" s="116">
        <v>476.32499999999999</v>
      </c>
      <c r="E471" s="116">
        <v>480.73750000000001</v>
      </c>
      <c r="F471" s="116">
        <v>2024.3</v>
      </c>
      <c r="G471">
        <v>24693</v>
      </c>
      <c r="H471" s="116"/>
      <c r="I471" s="116"/>
      <c r="L471" s="170">
        <v>45231</v>
      </c>
      <c r="M471" s="116">
        <v>506.08749999999998</v>
      </c>
      <c r="N471" s="116">
        <v>519.26250000000005</v>
      </c>
      <c r="O471" s="116">
        <v>477.27499999999998</v>
      </c>
      <c r="P471" s="116">
        <v>477.27499999999998</v>
      </c>
      <c r="Q471" s="116">
        <v>2024.35</v>
      </c>
      <c r="R471">
        <v>215393</v>
      </c>
    </row>
    <row r="472" spans="1:18" x14ac:dyDescent="0.25">
      <c r="A472" s="170">
        <v>45232</v>
      </c>
      <c r="B472" s="116">
        <v>527.78750000000002</v>
      </c>
      <c r="C472" s="116">
        <v>500.3</v>
      </c>
      <c r="D472" s="116">
        <v>494.03750000000002</v>
      </c>
      <c r="E472" s="116">
        <v>527.78750000000002</v>
      </c>
      <c r="F472" s="116">
        <v>2001.2</v>
      </c>
      <c r="G472">
        <v>5532</v>
      </c>
      <c r="H472" s="116"/>
      <c r="I472" s="116"/>
      <c r="L472" s="170">
        <v>45232</v>
      </c>
      <c r="M472" s="116">
        <v>497.42500000000001</v>
      </c>
      <c r="N472" s="116">
        <v>525</v>
      </c>
      <c r="O472" s="116">
        <v>494.25</v>
      </c>
      <c r="P472" s="116">
        <v>525</v>
      </c>
      <c r="Q472" s="116">
        <v>1989.7</v>
      </c>
      <c r="R472">
        <v>74725</v>
      </c>
    </row>
    <row r="473" spans="1:18" x14ac:dyDescent="0.25">
      <c r="A473" s="170">
        <v>45233</v>
      </c>
      <c r="B473" s="116">
        <v>512</v>
      </c>
      <c r="C473" s="116">
        <v>505.65</v>
      </c>
      <c r="D473" s="116">
        <v>491.25</v>
      </c>
      <c r="E473" s="116">
        <v>506.25</v>
      </c>
      <c r="F473" s="116">
        <v>2022.6</v>
      </c>
      <c r="G473">
        <v>7377</v>
      </c>
      <c r="H473" s="116"/>
      <c r="I473" s="116"/>
      <c r="L473" s="170">
        <v>45233</v>
      </c>
      <c r="M473" s="116">
        <v>506.15</v>
      </c>
      <c r="N473" s="116">
        <v>512</v>
      </c>
      <c r="O473" s="116">
        <v>491.3</v>
      </c>
      <c r="P473" s="116">
        <v>507.1875</v>
      </c>
      <c r="Q473" s="116">
        <v>2024.6</v>
      </c>
      <c r="R473">
        <v>64022</v>
      </c>
    </row>
    <row r="474" spans="1:18" x14ac:dyDescent="0.25">
      <c r="A474" s="170">
        <v>45236</v>
      </c>
      <c r="B474" s="116">
        <v>522.48749999999995</v>
      </c>
      <c r="C474" s="116">
        <v>511.92500000000001</v>
      </c>
      <c r="D474" s="116">
        <v>508.51249999999999</v>
      </c>
      <c r="E474" s="116">
        <v>522.48749999999995</v>
      </c>
      <c r="F474" s="116">
        <v>2047.7</v>
      </c>
      <c r="G474">
        <v>2255</v>
      </c>
      <c r="H474" s="116"/>
      <c r="I474" s="116"/>
      <c r="L474" s="170">
        <v>45236</v>
      </c>
      <c r="M474" s="116">
        <v>512.1</v>
      </c>
      <c r="N474" s="116">
        <v>525</v>
      </c>
      <c r="O474" s="116">
        <v>507.78750000000002</v>
      </c>
      <c r="P474" s="116">
        <v>512.4375</v>
      </c>
      <c r="Q474" s="116">
        <v>2048.4</v>
      </c>
      <c r="R474">
        <v>56815</v>
      </c>
    </row>
    <row r="475" spans="1:18" x14ac:dyDescent="0.25">
      <c r="A475" s="170">
        <v>45237</v>
      </c>
      <c r="B475" s="116">
        <v>520.0625</v>
      </c>
      <c r="C475" s="116">
        <v>511.55</v>
      </c>
      <c r="D475" s="116">
        <v>508.07499999999999</v>
      </c>
      <c r="E475" s="116">
        <v>516.67499999999995</v>
      </c>
      <c r="F475" s="116">
        <v>2046.2</v>
      </c>
      <c r="G475">
        <v>1250</v>
      </c>
      <c r="H475" s="116"/>
      <c r="I475" s="116"/>
      <c r="L475" s="170">
        <v>45237</v>
      </c>
      <c r="M475" s="116">
        <v>512.02499999999998</v>
      </c>
      <c r="N475" s="116">
        <v>519.75</v>
      </c>
      <c r="O475" s="116">
        <v>507.75</v>
      </c>
      <c r="P475" s="116">
        <v>519.75</v>
      </c>
      <c r="Q475" s="116">
        <v>2048.1</v>
      </c>
      <c r="R475">
        <v>26393</v>
      </c>
    </row>
    <row r="476" spans="1:18" x14ac:dyDescent="0.25">
      <c r="A476" s="170">
        <v>45238</v>
      </c>
      <c r="B476" s="116">
        <v>519.98749999999995</v>
      </c>
      <c r="C476" s="116">
        <v>503.61250000000001</v>
      </c>
      <c r="D476" s="116">
        <v>501.41250000000002</v>
      </c>
      <c r="E476" s="116">
        <v>519.98749999999995</v>
      </c>
      <c r="F476" s="116">
        <v>2014.45</v>
      </c>
      <c r="G476">
        <v>1569</v>
      </c>
      <c r="H476" s="116"/>
      <c r="I476" s="116"/>
      <c r="L476" s="170">
        <v>45238</v>
      </c>
      <c r="M476" s="116">
        <v>503.53750000000002</v>
      </c>
      <c r="N476" s="116">
        <v>515.01250000000005</v>
      </c>
      <c r="O476" s="116">
        <v>501.25</v>
      </c>
      <c r="P476" s="116">
        <v>511.26249999999999</v>
      </c>
      <c r="Q476" s="116">
        <v>2014.15</v>
      </c>
      <c r="R476">
        <v>23398</v>
      </c>
    </row>
    <row r="477" spans="1:18" x14ac:dyDescent="0.25">
      <c r="A477" s="170">
        <v>45239</v>
      </c>
      <c r="B477" s="116">
        <v>512.04999999999995</v>
      </c>
      <c r="C477" s="116">
        <v>502.61250000000001</v>
      </c>
      <c r="D477" s="116">
        <v>495.01249999999999</v>
      </c>
      <c r="E477" s="116">
        <v>495.01249999999999</v>
      </c>
      <c r="F477" s="116">
        <v>2010.45</v>
      </c>
      <c r="G477">
        <v>3807</v>
      </c>
      <c r="H477" s="116"/>
      <c r="I477" s="116"/>
      <c r="L477" s="170">
        <v>45239</v>
      </c>
      <c r="M477" s="116">
        <v>502.51249999999999</v>
      </c>
      <c r="N477" s="116">
        <v>512.0625</v>
      </c>
      <c r="O477" s="116">
        <v>495.85</v>
      </c>
      <c r="P477" s="116">
        <v>504.23750000000001</v>
      </c>
      <c r="Q477" s="116">
        <v>2010.05</v>
      </c>
      <c r="R477">
        <v>28392</v>
      </c>
    </row>
    <row r="478" spans="1:18" x14ac:dyDescent="0.25">
      <c r="A478" s="170">
        <v>45240</v>
      </c>
      <c r="B478" s="116">
        <v>524.97500000000002</v>
      </c>
      <c r="C478" s="116">
        <v>519.79999999999995</v>
      </c>
      <c r="D478" s="116">
        <v>499.88749999999999</v>
      </c>
      <c r="E478" s="116">
        <v>502.01249999999999</v>
      </c>
      <c r="F478" s="116">
        <v>2079.1999999999998</v>
      </c>
      <c r="G478">
        <v>7471</v>
      </c>
      <c r="H478" s="116"/>
      <c r="I478" s="116"/>
      <c r="L478" s="170">
        <v>45240</v>
      </c>
      <c r="M478" s="116">
        <v>517.28750000000002</v>
      </c>
      <c r="N478" s="116">
        <v>525</v>
      </c>
      <c r="O478" s="116">
        <v>500</v>
      </c>
      <c r="P478" s="116">
        <v>500</v>
      </c>
      <c r="Q478" s="116">
        <v>2069.15</v>
      </c>
      <c r="R478">
        <v>49910</v>
      </c>
    </row>
    <row r="479" spans="1:18" x14ac:dyDescent="0.25">
      <c r="A479" s="170">
        <v>45242</v>
      </c>
      <c r="B479" s="116">
        <v>552.48749999999995</v>
      </c>
      <c r="C479" s="116">
        <v>526.29999999999995</v>
      </c>
      <c r="D479" s="116">
        <v>522.0625</v>
      </c>
      <c r="E479" s="116">
        <v>538.75</v>
      </c>
      <c r="F479" s="116">
        <v>2105.1999999999998</v>
      </c>
      <c r="G479">
        <v>4303</v>
      </c>
      <c r="H479" s="116"/>
      <c r="I479" s="116"/>
      <c r="L479" s="170">
        <v>45242</v>
      </c>
      <c r="M479" s="116">
        <v>526.95000000000005</v>
      </c>
      <c r="N479" s="116">
        <v>542.48749999999995</v>
      </c>
      <c r="O479" s="116">
        <v>522.5</v>
      </c>
      <c r="P479" s="116">
        <v>542.48749999999995</v>
      </c>
      <c r="Q479" s="116">
        <v>2107.8000000000002</v>
      </c>
      <c r="R479">
        <v>19400</v>
      </c>
    </row>
    <row r="480" spans="1:18" x14ac:dyDescent="0.25">
      <c r="A480" s="170">
        <v>45243</v>
      </c>
      <c r="B480" s="116">
        <v>525.1875</v>
      </c>
      <c r="C480" s="116">
        <v>522.78750000000002</v>
      </c>
      <c r="D480" s="116">
        <v>519.53750000000002</v>
      </c>
      <c r="E480" s="116">
        <v>525.1875</v>
      </c>
      <c r="F480" s="116">
        <v>2091.15</v>
      </c>
      <c r="G480">
        <v>2196</v>
      </c>
      <c r="H480" s="116"/>
      <c r="I480" s="116"/>
      <c r="L480" s="170">
        <v>45243</v>
      </c>
      <c r="M480" s="116">
        <v>522.0625</v>
      </c>
      <c r="N480" s="116">
        <v>527.96249999999998</v>
      </c>
      <c r="O480" s="116">
        <v>519.13750000000005</v>
      </c>
      <c r="P480" s="116">
        <v>527.96249999999998</v>
      </c>
      <c r="Q480" s="116">
        <v>2088.25</v>
      </c>
      <c r="R480">
        <v>32402</v>
      </c>
    </row>
    <row r="481" spans="1:18" x14ac:dyDescent="0.25">
      <c r="A481" s="170">
        <v>45245</v>
      </c>
      <c r="B481" s="116">
        <v>535.75</v>
      </c>
      <c r="C481" s="116">
        <v>532.67499999999995</v>
      </c>
      <c r="D481" s="116">
        <v>525</v>
      </c>
      <c r="E481" s="116">
        <v>525</v>
      </c>
      <c r="F481" s="116">
        <v>2130.6999999999998</v>
      </c>
      <c r="G481">
        <v>3620</v>
      </c>
      <c r="H481" s="116"/>
      <c r="I481" s="116"/>
      <c r="L481" s="170">
        <v>45245</v>
      </c>
      <c r="M481" s="116">
        <v>533.13750000000005</v>
      </c>
      <c r="N481" s="116">
        <v>536.25</v>
      </c>
      <c r="O481" s="116">
        <v>526.5</v>
      </c>
      <c r="P481" s="116">
        <v>526.51250000000005</v>
      </c>
      <c r="Q481" s="116">
        <v>2132.5500000000002</v>
      </c>
      <c r="R481">
        <v>23516</v>
      </c>
    </row>
    <row r="482" spans="1:18" x14ac:dyDescent="0.25">
      <c r="A482" s="170">
        <v>45246</v>
      </c>
      <c r="B482" s="116">
        <v>543.33749999999998</v>
      </c>
      <c r="C482" s="116">
        <v>526.5625</v>
      </c>
      <c r="D482" s="116">
        <v>525.42499999999995</v>
      </c>
      <c r="E482" s="116">
        <v>543.33749999999998</v>
      </c>
      <c r="F482" s="116">
        <v>2106.25</v>
      </c>
      <c r="G482">
        <v>1878</v>
      </c>
      <c r="H482" s="116"/>
      <c r="I482" s="116"/>
      <c r="L482" s="170">
        <v>45246</v>
      </c>
      <c r="M482" s="116">
        <v>526.9</v>
      </c>
      <c r="N482" s="116">
        <v>537.41250000000002</v>
      </c>
      <c r="O482" s="116">
        <v>525</v>
      </c>
      <c r="P482" s="116">
        <v>533.13750000000005</v>
      </c>
      <c r="Q482" s="116">
        <v>2107.6</v>
      </c>
      <c r="R482">
        <v>29463</v>
      </c>
    </row>
    <row r="483" spans="1:18" x14ac:dyDescent="0.25">
      <c r="A483" s="170">
        <v>45247</v>
      </c>
      <c r="B483" s="116">
        <v>546.5</v>
      </c>
      <c r="C483" s="116">
        <v>543.32500000000005</v>
      </c>
      <c r="D483" s="116">
        <v>526.9</v>
      </c>
      <c r="E483" s="116">
        <v>526.9</v>
      </c>
      <c r="F483" s="116">
        <v>2173.3000000000002</v>
      </c>
      <c r="G483">
        <v>1720</v>
      </c>
      <c r="H483" s="116"/>
      <c r="I483" s="116"/>
      <c r="L483" s="170">
        <v>45247</v>
      </c>
      <c r="M483" s="116">
        <v>543.73749999999995</v>
      </c>
      <c r="N483" s="116">
        <v>546.375</v>
      </c>
      <c r="O483" s="116">
        <v>522.85</v>
      </c>
      <c r="P483" s="116">
        <v>526.9</v>
      </c>
      <c r="Q483" s="116">
        <v>2174.9499999999998</v>
      </c>
      <c r="R483">
        <v>47331</v>
      </c>
    </row>
    <row r="484" spans="1:18" x14ac:dyDescent="0.25">
      <c r="A484" s="170">
        <v>45250</v>
      </c>
      <c r="B484" s="116">
        <v>596.78750000000002</v>
      </c>
      <c r="C484" s="116">
        <v>586.73749999999995</v>
      </c>
      <c r="D484" s="116">
        <v>546.25</v>
      </c>
      <c r="E484" s="116">
        <v>546.5</v>
      </c>
      <c r="F484" s="116">
        <v>2346.9499999999998</v>
      </c>
      <c r="G484">
        <v>10073</v>
      </c>
      <c r="H484" s="116"/>
      <c r="I484" s="116"/>
      <c r="L484" s="170">
        <v>45250</v>
      </c>
      <c r="M484" s="116">
        <v>586.57500000000005</v>
      </c>
      <c r="N484" s="116">
        <v>598.11249999999995</v>
      </c>
      <c r="O484" s="116">
        <v>549</v>
      </c>
      <c r="P484" s="116">
        <v>551.1875</v>
      </c>
      <c r="Q484" s="116">
        <v>2346.3000000000002</v>
      </c>
      <c r="R484">
        <v>153974</v>
      </c>
    </row>
    <row r="485" spans="1:18" x14ac:dyDescent="0.25">
      <c r="A485" s="170">
        <v>45251</v>
      </c>
      <c r="B485" s="116">
        <v>598.46249999999998</v>
      </c>
      <c r="C485" s="116">
        <v>570.35</v>
      </c>
      <c r="D485" s="116">
        <v>549.96249999999998</v>
      </c>
      <c r="E485" s="116">
        <v>598.46249999999998</v>
      </c>
      <c r="F485" s="116">
        <v>2281.4</v>
      </c>
      <c r="G485">
        <v>14506</v>
      </c>
      <c r="H485" s="116"/>
      <c r="I485" s="116"/>
      <c r="L485" s="170">
        <v>45251</v>
      </c>
      <c r="M485" s="116">
        <v>571.51250000000005</v>
      </c>
      <c r="N485" s="116">
        <v>594.1875</v>
      </c>
      <c r="O485" s="116">
        <v>550.29999999999995</v>
      </c>
      <c r="P485" s="116">
        <v>594</v>
      </c>
      <c r="Q485" s="116">
        <v>2286.0500000000002</v>
      </c>
      <c r="R485">
        <v>101153</v>
      </c>
    </row>
    <row r="486" spans="1:18" x14ac:dyDescent="0.25">
      <c r="A486" s="170">
        <v>45252</v>
      </c>
      <c r="B486" s="116">
        <v>615.23749999999995</v>
      </c>
      <c r="C486" s="116">
        <v>606.04999999999995</v>
      </c>
      <c r="D486" s="116">
        <v>552.6</v>
      </c>
      <c r="E486" s="116">
        <v>563.5</v>
      </c>
      <c r="F486" s="116">
        <v>2424.1999999999998</v>
      </c>
      <c r="G486">
        <v>6929</v>
      </c>
      <c r="H486" s="116"/>
      <c r="I486" s="116"/>
      <c r="L486" s="170">
        <v>45252</v>
      </c>
      <c r="M486" s="116">
        <v>607.75</v>
      </c>
      <c r="N486" s="116">
        <v>616</v>
      </c>
      <c r="O486" s="116">
        <v>555.26250000000005</v>
      </c>
      <c r="P486" s="116">
        <v>574.75</v>
      </c>
      <c r="Q486" s="116">
        <v>2431</v>
      </c>
      <c r="R486">
        <v>123322</v>
      </c>
    </row>
    <row r="487" spans="1:18" x14ac:dyDescent="0.25">
      <c r="A487" s="170">
        <v>45253</v>
      </c>
      <c r="B487" s="116">
        <v>634</v>
      </c>
      <c r="C487" s="116">
        <v>626.52499999999998</v>
      </c>
      <c r="D487" s="116">
        <v>602.72500000000002</v>
      </c>
      <c r="E487" s="116">
        <v>622.21249999999998</v>
      </c>
      <c r="F487" s="116">
        <v>2506.1</v>
      </c>
      <c r="G487">
        <v>4842</v>
      </c>
      <c r="H487" s="116"/>
      <c r="I487" s="116"/>
      <c r="L487" s="170">
        <v>45253</v>
      </c>
      <c r="M487" s="116">
        <v>626.85</v>
      </c>
      <c r="N487" s="116">
        <v>635</v>
      </c>
      <c r="O487" s="116">
        <v>602.70000000000005</v>
      </c>
      <c r="P487" s="116">
        <v>614.5</v>
      </c>
      <c r="Q487" s="116">
        <v>2507.4</v>
      </c>
      <c r="R487">
        <v>87070</v>
      </c>
    </row>
    <row r="488" spans="1:18" x14ac:dyDescent="0.25">
      <c r="A488" s="170">
        <v>45254</v>
      </c>
      <c r="B488" s="116">
        <v>636.41250000000002</v>
      </c>
      <c r="C488" s="116">
        <v>627.4</v>
      </c>
      <c r="D488" s="116">
        <v>618.76250000000005</v>
      </c>
      <c r="E488" s="116">
        <v>624.6875</v>
      </c>
      <c r="F488" s="116">
        <v>2509.6</v>
      </c>
      <c r="G488">
        <v>3053</v>
      </c>
      <c r="H488" s="116"/>
      <c r="I488" s="116"/>
      <c r="L488" s="170">
        <v>45254</v>
      </c>
      <c r="M488" s="116">
        <v>628.6875</v>
      </c>
      <c r="N488" s="116">
        <v>637.25</v>
      </c>
      <c r="O488" s="116">
        <v>618.02499999999998</v>
      </c>
      <c r="P488" s="116">
        <v>622.5</v>
      </c>
      <c r="Q488" s="116">
        <v>2514.75</v>
      </c>
      <c r="R488">
        <v>64288</v>
      </c>
    </row>
    <row r="489" spans="1:18" x14ac:dyDescent="0.25">
      <c r="A489" s="170">
        <v>45258</v>
      </c>
      <c r="B489" s="116">
        <v>637.48749999999995</v>
      </c>
      <c r="C489" s="116">
        <v>631.92499999999995</v>
      </c>
      <c r="D489" s="116">
        <v>628.67499999999995</v>
      </c>
      <c r="E489" s="116">
        <v>637.48749999999995</v>
      </c>
      <c r="F489" s="116">
        <v>2527.6999999999998</v>
      </c>
      <c r="G489">
        <v>1943</v>
      </c>
      <c r="H489" s="116"/>
      <c r="I489" s="116"/>
      <c r="L489" s="170">
        <v>45258</v>
      </c>
      <c r="M489" s="116">
        <v>632.86249999999995</v>
      </c>
      <c r="N489" s="116">
        <v>636.97500000000002</v>
      </c>
      <c r="O489" s="116">
        <v>628.6875</v>
      </c>
      <c r="P489" s="116">
        <v>628.91250000000002</v>
      </c>
      <c r="Q489" s="116">
        <v>2531.4499999999998</v>
      </c>
      <c r="R489">
        <v>53787</v>
      </c>
    </row>
    <row r="490" spans="1:18" x14ac:dyDescent="0.25">
      <c r="A490" s="170">
        <v>45259</v>
      </c>
      <c r="B490" s="116">
        <v>637.5</v>
      </c>
      <c r="C490" s="116">
        <v>621.20000000000005</v>
      </c>
      <c r="D490" s="116">
        <v>615.625</v>
      </c>
      <c r="E490" s="116">
        <v>632.86249999999995</v>
      </c>
      <c r="F490" s="116">
        <v>2484.8000000000002</v>
      </c>
      <c r="G490">
        <v>3892</v>
      </c>
      <c r="H490" s="116"/>
      <c r="I490" s="116"/>
      <c r="L490" s="170">
        <v>45259</v>
      </c>
      <c r="M490" s="116">
        <v>621.4</v>
      </c>
      <c r="N490" s="116">
        <v>636.25</v>
      </c>
      <c r="O490" s="116">
        <v>615.02499999999998</v>
      </c>
      <c r="P490" s="116">
        <v>633</v>
      </c>
      <c r="Q490" s="116">
        <v>2485.6</v>
      </c>
      <c r="R490">
        <v>41578</v>
      </c>
    </row>
    <row r="491" spans="1:18" x14ac:dyDescent="0.25">
      <c r="A491" s="170">
        <v>45260</v>
      </c>
      <c r="B491" s="116">
        <v>662.5</v>
      </c>
      <c r="C491" s="116">
        <v>647.45000000000005</v>
      </c>
      <c r="D491" s="116">
        <v>625.47500000000002</v>
      </c>
      <c r="E491" s="116">
        <v>631.23749999999995</v>
      </c>
      <c r="F491" s="116">
        <v>2589.8000000000002</v>
      </c>
      <c r="G491">
        <v>4668</v>
      </c>
      <c r="H491" s="116"/>
      <c r="I491" s="116"/>
      <c r="L491" s="170">
        <v>45260</v>
      </c>
      <c r="M491" s="116">
        <v>648.875</v>
      </c>
      <c r="N491" s="116">
        <v>661.17499999999995</v>
      </c>
      <c r="O491" s="116">
        <v>620.79999999999995</v>
      </c>
      <c r="P491" s="116">
        <v>623.75</v>
      </c>
      <c r="Q491" s="116">
        <v>2595.5</v>
      </c>
      <c r="R491">
        <v>161506</v>
      </c>
    </row>
    <row r="492" spans="1:18" x14ac:dyDescent="0.25">
      <c r="A492" s="170">
        <v>45261</v>
      </c>
      <c r="B492" s="116">
        <v>673.46249999999998</v>
      </c>
      <c r="C492" s="116">
        <v>651.04999999999995</v>
      </c>
      <c r="D492" s="116">
        <v>631.82500000000005</v>
      </c>
      <c r="E492" s="116">
        <v>666.22500000000002</v>
      </c>
      <c r="F492" s="116">
        <v>2604.1999999999998</v>
      </c>
      <c r="G492">
        <v>2226</v>
      </c>
      <c r="H492" s="116"/>
      <c r="I492" s="116"/>
      <c r="L492" s="170">
        <v>45261</v>
      </c>
      <c r="M492" s="116">
        <v>649.25</v>
      </c>
      <c r="N492" s="116">
        <v>675</v>
      </c>
      <c r="O492" s="116">
        <v>631.29999999999995</v>
      </c>
      <c r="P492" s="116">
        <v>675</v>
      </c>
      <c r="Q492" s="116">
        <v>2597</v>
      </c>
      <c r="R492">
        <v>60498</v>
      </c>
    </row>
    <row r="493" spans="1:18" x14ac:dyDescent="0.25">
      <c r="A493" s="170">
        <v>45264</v>
      </c>
      <c r="B493" s="116">
        <v>679.1875</v>
      </c>
      <c r="C493" s="116">
        <v>666.36249999999995</v>
      </c>
      <c r="D493" s="116">
        <v>652.51250000000005</v>
      </c>
      <c r="E493" s="116">
        <v>652.51250000000005</v>
      </c>
      <c r="F493" s="116">
        <v>2665.45</v>
      </c>
      <c r="G493">
        <v>6912</v>
      </c>
      <c r="H493" s="116"/>
      <c r="I493" s="116"/>
      <c r="L493" s="170">
        <v>45264</v>
      </c>
      <c r="M493" s="116">
        <v>666.9</v>
      </c>
      <c r="N493" s="116">
        <v>678</v>
      </c>
      <c r="O493" s="116">
        <v>654</v>
      </c>
      <c r="P493" s="116">
        <v>671.1875</v>
      </c>
      <c r="Q493" s="116">
        <v>2667.6</v>
      </c>
      <c r="R493">
        <v>51923</v>
      </c>
    </row>
    <row r="494" spans="1:18" x14ac:dyDescent="0.25">
      <c r="A494" s="170">
        <v>45265</v>
      </c>
      <c r="B494" s="116">
        <v>673.1875</v>
      </c>
      <c r="C494" s="116">
        <v>656.71249999999998</v>
      </c>
      <c r="D494" s="116">
        <v>651.76250000000005</v>
      </c>
      <c r="E494" s="116">
        <v>663.76250000000005</v>
      </c>
      <c r="F494" s="116">
        <v>2626.85</v>
      </c>
      <c r="G494">
        <v>2038</v>
      </c>
      <c r="H494" s="116"/>
      <c r="I494" s="116"/>
      <c r="L494" s="170">
        <v>45265</v>
      </c>
      <c r="M494" s="116">
        <v>656.5625</v>
      </c>
      <c r="N494" s="116">
        <v>673.23749999999995</v>
      </c>
      <c r="O494" s="116">
        <v>651.27499999999998</v>
      </c>
      <c r="P494" s="116">
        <v>673.23749999999995</v>
      </c>
      <c r="Q494" s="116">
        <v>2626.25</v>
      </c>
      <c r="R494">
        <v>48397</v>
      </c>
    </row>
    <row r="495" spans="1:18" x14ac:dyDescent="0.25">
      <c r="A495" s="170">
        <v>45266</v>
      </c>
      <c r="B495" s="116">
        <v>664.48749999999995</v>
      </c>
      <c r="C495" s="116">
        <v>648.85</v>
      </c>
      <c r="D495" s="116">
        <v>640.51250000000005</v>
      </c>
      <c r="E495" s="116">
        <v>664.48749999999995</v>
      </c>
      <c r="F495" s="116">
        <v>2595.4</v>
      </c>
      <c r="G495">
        <v>6826</v>
      </c>
      <c r="H495" s="116"/>
      <c r="I495" s="116"/>
      <c r="L495" s="170">
        <v>45266</v>
      </c>
      <c r="M495" s="116">
        <v>649.46249999999998</v>
      </c>
      <c r="N495" s="116">
        <v>662.08749999999998</v>
      </c>
      <c r="O495" s="116">
        <v>640</v>
      </c>
      <c r="P495" s="116">
        <v>657.5</v>
      </c>
      <c r="Q495" s="116">
        <v>2597.85</v>
      </c>
      <c r="R495">
        <v>43790</v>
      </c>
    </row>
    <row r="496" spans="1:18" x14ac:dyDescent="0.25">
      <c r="A496" s="170">
        <v>45267</v>
      </c>
      <c r="B496" s="116">
        <v>655.02499999999998</v>
      </c>
      <c r="C496" s="116">
        <v>644.92499999999995</v>
      </c>
      <c r="D496" s="116">
        <v>641.58749999999998</v>
      </c>
      <c r="E496" s="116">
        <v>649.51250000000005</v>
      </c>
      <c r="F496" s="116">
        <v>2579.6999999999998</v>
      </c>
      <c r="G496">
        <v>1560</v>
      </c>
      <c r="H496" s="116"/>
      <c r="I496" s="116"/>
      <c r="L496" s="170">
        <v>45267</v>
      </c>
      <c r="M496" s="116">
        <v>645.35</v>
      </c>
      <c r="N496" s="116">
        <v>654.98749999999995</v>
      </c>
      <c r="O496" s="116">
        <v>641.25</v>
      </c>
      <c r="P496" s="116">
        <v>654.97500000000002</v>
      </c>
      <c r="Q496" s="116">
        <v>2581.4</v>
      </c>
      <c r="R496">
        <v>26688</v>
      </c>
    </row>
    <row r="497" spans="1:18" x14ac:dyDescent="0.25">
      <c r="A497" s="170">
        <v>45268</v>
      </c>
      <c r="B497" s="116">
        <v>649.6</v>
      </c>
      <c r="C497" s="116">
        <v>624.22500000000002</v>
      </c>
      <c r="D497" s="116">
        <v>621.35</v>
      </c>
      <c r="E497" s="116">
        <v>649.6</v>
      </c>
      <c r="F497" s="116">
        <v>2496.9</v>
      </c>
      <c r="G497">
        <v>2505</v>
      </c>
      <c r="H497" s="116"/>
      <c r="I497" s="116"/>
      <c r="L497" s="170">
        <v>45268</v>
      </c>
      <c r="M497" s="116">
        <v>623.85</v>
      </c>
      <c r="N497" s="116">
        <v>645.35</v>
      </c>
      <c r="O497" s="116">
        <v>617.51250000000005</v>
      </c>
      <c r="P497" s="116">
        <v>645.35</v>
      </c>
      <c r="Q497" s="116">
        <v>2495.4</v>
      </c>
      <c r="R497">
        <v>48713</v>
      </c>
    </row>
    <row r="498" spans="1:18" x14ac:dyDescent="0.25">
      <c r="A498" s="170">
        <v>45271</v>
      </c>
      <c r="B498" s="116">
        <v>638.82500000000005</v>
      </c>
      <c r="C498" s="116">
        <v>624.35</v>
      </c>
      <c r="D498" s="116">
        <v>610.96249999999998</v>
      </c>
      <c r="E498" s="116">
        <v>627.25</v>
      </c>
      <c r="F498" s="116">
        <v>2497.4</v>
      </c>
      <c r="G498">
        <v>8223</v>
      </c>
      <c r="H498" s="116"/>
      <c r="I498" s="116"/>
      <c r="L498" s="170">
        <v>45271</v>
      </c>
      <c r="M498" s="116">
        <v>623.98749999999995</v>
      </c>
      <c r="N498" s="116">
        <v>641.35</v>
      </c>
      <c r="O498" s="116">
        <v>610.88750000000005</v>
      </c>
      <c r="P498" s="116">
        <v>637.5</v>
      </c>
      <c r="Q498" s="116">
        <v>2495.9499999999998</v>
      </c>
      <c r="R498">
        <v>60109</v>
      </c>
    </row>
    <row r="499" spans="1:18" x14ac:dyDescent="0.25">
      <c r="A499" s="170">
        <v>45272</v>
      </c>
      <c r="B499" s="116">
        <v>632.6</v>
      </c>
      <c r="C499" s="116">
        <v>622.01250000000005</v>
      </c>
      <c r="D499" s="116">
        <v>606.25</v>
      </c>
      <c r="E499" s="116">
        <v>624.625</v>
      </c>
      <c r="F499" s="116">
        <v>2488.0500000000002</v>
      </c>
      <c r="G499">
        <v>2250</v>
      </c>
      <c r="H499" s="116"/>
      <c r="I499" s="116"/>
      <c r="L499" s="170">
        <v>45272</v>
      </c>
      <c r="M499" s="116">
        <v>625.125</v>
      </c>
      <c r="N499" s="116">
        <v>632.48749999999995</v>
      </c>
      <c r="O499" s="116">
        <v>618.75</v>
      </c>
      <c r="P499" s="116">
        <v>623.98749999999995</v>
      </c>
      <c r="Q499" s="116">
        <v>2500.5</v>
      </c>
      <c r="R499">
        <v>26419</v>
      </c>
    </row>
    <row r="500" spans="1:18" x14ac:dyDescent="0.25">
      <c r="A500" s="170">
        <v>45273</v>
      </c>
      <c r="B500" s="116">
        <v>644</v>
      </c>
      <c r="C500" s="116">
        <v>626.5</v>
      </c>
      <c r="D500" s="116">
        <v>623.51250000000005</v>
      </c>
      <c r="E500" s="116">
        <v>629.88750000000005</v>
      </c>
      <c r="F500" s="116">
        <v>2506</v>
      </c>
      <c r="G500">
        <v>2475</v>
      </c>
      <c r="H500" s="116"/>
      <c r="I500" s="116"/>
      <c r="L500" s="170">
        <v>45273</v>
      </c>
      <c r="M500" s="116">
        <v>628.33749999999998</v>
      </c>
      <c r="N500" s="116">
        <v>644.3125</v>
      </c>
      <c r="O500" s="116">
        <v>620.25</v>
      </c>
      <c r="P500" s="116">
        <v>625</v>
      </c>
      <c r="Q500" s="116">
        <v>2513.35</v>
      </c>
      <c r="R500">
        <v>47239</v>
      </c>
    </row>
    <row r="501" spans="1:18" x14ac:dyDescent="0.25">
      <c r="A501" s="170">
        <v>45274</v>
      </c>
      <c r="B501" s="116">
        <v>673.78750000000002</v>
      </c>
      <c r="C501" s="116">
        <v>647.875</v>
      </c>
      <c r="D501" s="116">
        <v>635.51250000000005</v>
      </c>
      <c r="E501" s="116">
        <v>649.08749999999998</v>
      </c>
      <c r="F501" s="116">
        <v>2591.5</v>
      </c>
      <c r="G501">
        <v>4392</v>
      </c>
      <c r="H501" s="116"/>
      <c r="I501" s="116"/>
      <c r="L501" s="170">
        <v>45274</v>
      </c>
      <c r="M501" s="116">
        <v>647.98749999999995</v>
      </c>
      <c r="N501" s="116">
        <v>674.98749999999995</v>
      </c>
      <c r="O501" s="116">
        <v>632.98749999999995</v>
      </c>
      <c r="P501" s="116">
        <v>648.5</v>
      </c>
      <c r="Q501" s="116">
        <v>2591.9499999999998</v>
      </c>
      <c r="R501">
        <v>86334</v>
      </c>
    </row>
    <row r="502" spans="1:18" x14ac:dyDescent="0.25">
      <c r="A502" s="170">
        <v>45275</v>
      </c>
      <c r="B502" s="116">
        <v>662.48749999999995</v>
      </c>
      <c r="C502" s="116">
        <v>639.5</v>
      </c>
      <c r="D502" s="116">
        <v>627.65</v>
      </c>
      <c r="E502" s="116">
        <v>662.48749999999995</v>
      </c>
      <c r="F502" s="116">
        <v>2558</v>
      </c>
      <c r="G502">
        <v>2441</v>
      </c>
      <c r="H502" s="116"/>
      <c r="I502" s="116"/>
      <c r="L502" s="170">
        <v>45275</v>
      </c>
      <c r="M502" s="116">
        <v>639.29999999999995</v>
      </c>
      <c r="N502" s="116">
        <v>662</v>
      </c>
      <c r="O502" s="116">
        <v>627.77499999999998</v>
      </c>
      <c r="P502" s="116">
        <v>650</v>
      </c>
      <c r="Q502" s="116">
        <v>2557.1999999999998</v>
      </c>
      <c r="R502">
        <v>39632</v>
      </c>
    </row>
    <row r="503" spans="1:18" x14ac:dyDescent="0.25">
      <c r="A503" s="170">
        <v>45278</v>
      </c>
      <c r="B503" s="116">
        <v>647.52499999999998</v>
      </c>
      <c r="C503" s="116">
        <v>635.07500000000005</v>
      </c>
      <c r="D503" s="116">
        <v>612.75</v>
      </c>
      <c r="E503" s="116">
        <v>637.5</v>
      </c>
      <c r="F503" s="116">
        <v>2540.3000000000002</v>
      </c>
      <c r="G503">
        <v>5996</v>
      </c>
      <c r="H503" s="116"/>
      <c r="I503" s="116"/>
      <c r="L503" s="170">
        <v>45278</v>
      </c>
      <c r="M503" s="116">
        <v>635.20000000000005</v>
      </c>
      <c r="N503" s="116">
        <v>649.75</v>
      </c>
      <c r="O503" s="116">
        <v>614.32500000000005</v>
      </c>
      <c r="P503" s="116">
        <v>647.48749999999995</v>
      </c>
      <c r="Q503" s="116">
        <v>2540.8000000000002</v>
      </c>
      <c r="R503">
        <v>63821</v>
      </c>
    </row>
    <row r="504" spans="1:18" x14ac:dyDescent="0.25">
      <c r="A504" s="170">
        <v>45279</v>
      </c>
      <c r="B504" s="116">
        <v>640.11249999999995</v>
      </c>
      <c r="C504" s="116">
        <v>635.70000000000005</v>
      </c>
      <c r="D504" s="116">
        <v>634.1</v>
      </c>
      <c r="E504" s="116">
        <v>636.91250000000002</v>
      </c>
      <c r="F504" s="116">
        <v>2542.8000000000002</v>
      </c>
      <c r="G504">
        <v>686</v>
      </c>
      <c r="H504" s="116"/>
      <c r="I504" s="116"/>
      <c r="L504" s="170">
        <v>45279</v>
      </c>
      <c r="M504" s="116">
        <v>635.98749999999995</v>
      </c>
      <c r="N504" s="116">
        <v>642.23749999999995</v>
      </c>
      <c r="O504" s="116">
        <v>625</v>
      </c>
      <c r="P504" s="116">
        <v>636.25</v>
      </c>
      <c r="Q504" s="116">
        <v>2543.9499999999998</v>
      </c>
      <c r="R504">
        <v>42658</v>
      </c>
    </row>
    <row r="505" spans="1:18" x14ac:dyDescent="0.25">
      <c r="A505" s="170">
        <v>45280</v>
      </c>
      <c r="B505" s="116">
        <v>642.73749999999995</v>
      </c>
      <c r="C505" s="116">
        <v>618.57500000000005</v>
      </c>
      <c r="D505" s="116">
        <v>615.76250000000005</v>
      </c>
      <c r="E505" s="116">
        <v>628.77499999999998</v>
      </c>
      <c r="F505" s="116">
        <v>2474.3000000000002</v>
      </c>
      <c r="G505">
        <v>2823</v>
      </c>
      <c r="H505" s="116"/>
      <c r="I505" s="116"/>
      <c r="L505" s="170">
        <v>45280</v>
      </c>
      <c r="M505" s="116">
        <v>618.32500000000005</v>
      </c>
      <c r="N505" s="116">
        <v>644.96249999999998</v>
      </c>
      <c r="O505" s="116">
        <v>616</v>
      </c>
      <c r="P505" s="116">
        <v>637.1</v>
      </c>
      <c r="Q505" s="116">
        <v>2473.3000000000002</v>
      </c>
      <c r="R505">
        <v>67176</v>
      </c>
    </row>
    <row r="506" spans="1:18" x14ac:dyDescent="0.25">
      <c r="A506" s="170">
        <v>45281</v>
      </c>
      <c r="B506" s="116">
        <v>638.88750000000005</v>
      </c>
      <c r="C506" s="116">
        <v>637.78750000000002</v>
      </c>
      <c r="D506" s="116">
        <v>594.77499999999998</v>
      </c>
      <c r="E506" s="116">
        <v>618.32500000000005</v>
      </c>
      <c r="F506" s="116">
        <v>2551.15</v>
      </c>
      <c r="G506">
        <v>7498</v>
      </c>
      <c r="H506" s="116"/>
      <c r="I506" s="116"/>
      <c r="L506" s="170">
        <v>45281</v>
      </c>
      <c r="M506" s="116">
        <v>637.03750000000002</v>
      </c>
      <c r="N506" s="116">
        <v>637.75</v>
      </c>
      <c r="O506" s="116">
        <v>597.5</v>
      </c>
      <c r="P506" s="116">
        <v>612.5</v>
      </c>
      <c r="Q506" s="116">
        <v>2548.15</v>
      </c>
      <c r="R506">
        <v>57284</v>
      </c>
    </row>
    <row r="507" spans="1:18" x14ac:dyDescent="0.25">
      <c r="A507" s="170">
        <v>45282</v>
      </c>
      <c r="B507" s="116">
        <v>650</v>
      </c>
      <c r="C507" s="116">
        <v>643.51250000000005</v>
      </c>
      <c r="D507" s="116">
        <v>636.85</v>
      </c>
      <c r="E507" s="116">
        <v>636.85</v>
      </c>
      <c r="F507" s="116">
        <v>2574.0500000000002</v>
      </c>
      <c r="G507">
        <v>13723</v>
      </c>
      <c r="H507" s="116"/>
      <c r="I507" s="116"/>
      <c r="L507" s="170">
        <v>45282</v>
      </c>
      <c r="M507" s="116">
        <v>645.21249999999998</v>
      </c>
      <c r="N507" s="116">
        <v>649.375</v>
      </c>
      <c r="O507" s="116">
        <v>637.03750000000002</v>
      </c>
      <c r="P507" s="116">
        <v>637.5</v>
      </c>
      <c r="Q507" s="116">
        <v>2580.85</v>
      </c>
      <c r="R507">
        <v>62718</v>
      </c>
    </row>
    <row r="508" spans="1:18" x14ac:dyDescent="0.25">
      <c r="A508" s="170">
        <v>45286</v>
      </c>
      <c r="B508" s="116">
        <v>655.4375</v>
      </c>
      <c r="C508" s="116">
        <v>647.11249999999995</v>
      </c>
      <c r="D508" s="116">
        <v>642.51250000000005</v>
      </c>
      <c r="E508" s="116">
        <v>655.4375</v>
      </c>
      <c r="F508" s="116">
        <v>2588.4499999999998</v>
      </c>
      <c r="G508">
        <v>1972</v>
      </c>
      <c r="H508" s="116"/>
      <c r="I508" s="116"/>
      <c r="L508" s="170">
        <v>45286</v>
      </c>
      <c r="M508" s="116">
        <v>646.96249999999998</v>
      </c>
      <c r="N508" s="116">
        <v>648.70000000000005</v>
      </c>
      <c r="O508" s="116">
        <v>641.91250000000002</v>
      </c>
      <c r="P508" s="116">
        <v>645.21249999999998</v>
      </c>
      <c r="Q508" s="116">
        <v>2587.85</v>
      </c>
      <c r="R508">
        <v>20066</v>
      </c>
    </row>
    <row r="509" spans="1:18" x14ac:dyDescent="0.25">
      <c r="A509" s="170">
        <v>45287</v>
      </c>
      <c r="B509" s="116">
        <v>652</v>
      </c>
      <c r="C509" s="116">
        <v>641.9375</v>
      </c>
      <c r="D509" s="116">
        <v>637.75</v>
      </c>
      <c r="E509" s="116">
        <v>651.32500000000005</v>
      </c>
      <c r="F509" s="116">
        <v>2567.75</v>
      </c>
      <c r="G509">
        <v>6601</v>
      </c>
      <c r="H509" s="116"/>
      <c r="I509" s="116"/>
      <c r="L509" s="170">
        <v>45287</v>
      </c>
      <c r="M509" s="116">
        <v>642.75</v>
      </c>
      <c r="N509" s="116">
        <v>652.5</v>
      </c>
      <c r="O509" s="116">
        <v>637.51250000000005</v>
      </c>
      <c r="P509" s="116">
        <v>652</v>
      </c>
      <c r="Q509" s="116">
        <v>2571</v>
      </c>
      <c r="R509">
        <v>97523</v>
      </c>
    </row>
    <row r="510" spans="1:18" x14ac:dyDescent="0.25">
      <c r="A510" s="170">
        <v>45288</v>
      </c>
      <c r="B510" s="116">
        <v>667</v>
      </c>
      <c r="C510" s="116">
        <v>628.72500000000002</v>
      </c>
      <c r="D510" s="116">
        <v>624.92499999999995</v>
      </c>
      <c r="E510" s="116">
        <v>644.23749999999995</v>
      </c>
      <c r="F510" s="116">
        <v>2514.9</v>
      </c>
      <c r="G510">
        <v>6383</v>
      </c>
      <c r="H510" s="116"/>
      <c r="I510" s="116"/>
      <c r="L510" s="170">
        <v>45288</v>
      </c>
      <c r="M510" s="116">
        <v>628.33749999999998</v>
      </c>
      <c r="N510" s="116">
        <v>667.46249999999998</v>
      </c>
      <c r="O510" s="116">
        <v>625.0625</v>
      </c>
      <c r="P510" s="116">
        <v>648.11249999999995</v>
      </c>
      <c r="Q510" s="116">
        <v>2513.35</v>
      </c>
      <c r="R510">
        <v>203895</v>
      </c>
    </row>
    <row r="511" spans="1:18" x14ac:dyDescent="0.25">
      <c r="A511" s="170">
        <v>45289</v>
      </c>
      <c r="B511" s="116">
        <v>650.29999999999995</v>
      </c>
      <c r="C511" s="116">
        <v>647.52499999999998</v>
      </c>
      <c r="D511" s="116">
        <v>629.0625</v>
      </c>
      <c r="E511" s="116">
        <v>629.0625</v>
      </c>
      <c r="F511" s="116">
        <v>2590.1</v>
      </c>
      <c r="G511">
        <v>14159</v>
      </c>
      <c r="H511" s="116"/>
      <c r="I511" s="116"/>
      <c r="L511" s="170">
        <v>45289</v>
      </c>
      <c r="M511" s="116">
        <v>648.42499999999995</v>
      </c>
      <c r="N511" s="116">
        <v>650.22500000000002</v>
      </c>
      <c r="O511" s="116">
        <v>631.23749999999995</v>
      </c>
      <c r="P511" s="116">
        <v>632.66250000000002</v>
      </c>
      <c r="Q511" s="116">
        <v>2593.6999999999998</v>
      </c>
      <c r="R511">
        <v>106496</v>
      </c>
    </row>
    <row r="512" spans="1:18" x14ac:dyDescent="0.25">
      <c r="A512" s="170">
        <v>45292</v>
      </c>
      <c r="B512" s="116">
        <v>658.5</v>
      </c>
      <c r="C512" s="116">
        <v>640.79999999999995</v>
      </c>
      <c r="D512" s="116">
        <v>636.1</v>
      </c>
      <c r="E512" s="116">
        <v>650.51250000000005</v>
      </c>
      <c r="F512" s="116">
        <v>2563.1999999999998</v>
      </c>
      <c r="G512">
        <v>3828</v>
      </c>
      <c r="H512" s="116"/>
      <c r="I512" s="116"/>
      <c r="L512" s="170">
        <v>45292</v>
      </c>
      <c r="M512" s="116">
        <v>641.85</v>
      </c>
      <c r="N512" s="116">
        <v>659.51250000000005</v>
      </c>
      <c r="O512" s="116">
        <v>636.5</v>
      </c>
      <c r="P512" s="116">
        <v>653.5</v>
      </c>
      <c r="Q512" s="116">
        <v>2567.4</v>
      </c>
      <c r="R512">
        <v>65516</v>
      </c>
    </row>
    <row r="513" spans="1:18" x14ac:dyDescent="0.25">
      <c r="A513" s="170">
        <v>45293</v>
      </c>
      <c r="B513" s="116">
        <v>657.75</v>
      </c>
      <c r="C513" s="116">
        <v>645.11249999999995</v>
      </c>
      <c r="D513" s="116">
        <v>628.75</v>
      </c>
      <c r="E513" s="116">
        <v>645.41250000000002</v>
      </c>
      <c r="F513" s="116">
        <v>2580.4499999999998</v>
      </c>
      <c r="G513">
        <v>2004</v>
      </c>
      <c r="H513" s="116"/>
      <c r="I513" s="116"/>
      <c r="L513" s="170">
        <v>45293</v>
      </c>
      <c r="M513" s="116">
        <v>644.65</v>
      </c>
      <c r="N513" s="116">
        <v>657.75</v>
      </c>
      <c r="O513" s="116">
        <v>627.51250000000005</v>
      </c>
      <c r="P513" s="116">
        <v>643.75</v>
      </c>
      <c r="Q513" s="116">
        <v>2578.6</v>
      </c>
      <c r="R513">
        <v>65002</v>
      </c>
    </row>
    <row r="514" spans="1:18" x14ac:dyDescent="0.25">
      <c r="A514" s="170">
        <v>45294</v>
      </c>
      <c r="B514" s="116">
        <v>656.21249999999998</v>
      </c>
      <c r="C514" s="116">
        <v>649.27499999999998</v>
      </c>
      <c r="D514" s="116">
        <v>630.01250000000005</v>
      </c>
      <c r="E514" s="116">
        <v>630.01250000000005</v>
      </c>
      <c r="F514" s="116">
        <v>2597.1</v>
      </c>
      <c r="G514">
        <v>3893</v>
      </c>
      <c r="H514" s="116"/>
      <c r="I514" s="116"/>
      <c r="L514" s="170">
        <v>45294</v>
      </c>
      <c r="M514" s="116">
        <v>649.625</v>
      </c>
      <c r="N514" s="116">
        <v>656.25</v>
      </c>
      <c r="O514" s="116">
        <v>640.875</v>
      </c>
      <c r="P514" s="116">
        <v>642.5</v>
      </c>
      <c r="Q514" s="116">
        <v>2598.5</v>
      </c>
      <c r="R514">
        <v>43384</v>
      </c>
    </row>
    <row r="515" spans="1:18" x14ac:dyDescent="0.25">
      <c r="A515" s="170">
        <v>45295</v>
      </c>
      <c r="B515" s="116">
        <v>698.28750000000002</v>
      </c>
      <c r="C515" s="116">
        <v>667.92499999999995</v>
      </c>
      <c r="D515" s="116">
        <v>648.53750000000002</v>
      </c>
      <c r="E515" s="116">
        <v>659.61249999999995</v>
      </c>
      <c r="F515" s="116">
        <v>2671.7</v>
      </c>
      <c r="G515">
        <v>4697</v>
      </c>
      <c r="H515" s="116"/>
      <c r="I515" s="116"/>
      <c r="L515" s="170">
        <v>45295</v>
      </c>
      <c r="M515" s="116">
        <v>666.85</v>
      </c>
      <c r="N515" s="116">
        <v>699.47500000000002</v>
      </c>
      <c r="O515" s="116">
        <v>646.26250000000005</v>
      </c>
      <c r="P515" s="116">
        <v>646.26250000000005</v>
      </c>
      <c r="Q515" s="116">
        <v>2667.4</v>
      </c>
      <c r="R515">
        <v>190778</v>
      </c>
    </row>
    <row r="516" spans="1:18" x14ac:dyDescent="0.25">
      <c r="A516" s="170">
        <v>45296</v>
      </c>
      <c r="B516" s="116">
        <v>691.875</v>
      </c>
      <c r="C516" s="116">
        <v>675.1</v>
      </c>
      <c r="D516" s="116">
        <v>669.5</v>
      </c>
      <c r="E516" s="116">
        <v>669.5</v>
      </c>
      <c r="F516" s="116">
        <v>2700.4</v>
      </c>
      <c r="G516">
        <v>6501</v>
      </c>
      <c r="H516" s="116"/>
      <c r="I516" s="116"/>
      <c r="L516" s="170">
        <v>45296</v>
      </c>
      <c r="M516" s="116">
        <v>675.1875</v>
      </c>
      <c r="N516" s="116">
        <v>691.7</v>
      </c>
      <c r="O516" s="116">
        <v>669.11249999999995</v>
      </c>
      <c r="P516" s="116">
        <v>669.11249999999995</v>
      </c>
      <c r="Q516" s="116">
        <v>2700.75</v>
      </c>
      <c r="R516">
        <v>85900</v>
      </c>
    </row>
    <row r="517" spans="1:18" x14ac:dyDescent="0.25">
      <c r="A517" s="170">
        <v>45299</v>
      </c>
      <c r="B517" s="116">
        <v>699.76250000000005</v>
      </c>
      <c r="C517" s="116">
        <v>689.86249999999995</v>
      </c>
      <c r="D517" s="116">
        <v>684.25</v>
      </c>
      <c r="E517" s="116">
        <v>688.58749999999998</v>
      </c>
      <c r="F517" s="116">
        <v>2759.45</v>
      </c>
      <c r="G517">
        <v>5527</v>
      </c>
      <c r="H517" s="116"/>
      <c r="I517" s="116"/>
      <c r="L517" s="170">
        <v>45299</v>
      </c>
      <c r="M517" s="116">
        <v>689.91250000000002</v>
      </c>
      <c r="N517" s="116">
        <v>699.48749999999995</v>
      </c>
      <c r="O517" s="116">
        <v>677.52499999999998</v>
      </c>
      <c r="P517" s="116">
        <v>679.75</v>
      </c>
      <c r="Q517" s="116">
        <v>2759.65</v>
      </c>
      <c r="R517">
        <v>98596</v>
      </c>
    </row>
    <row r="518" spans="1:18" x14ac:dyDescent="0.25">
      <c r="A518" s="170">
        <v>45300</v>
      </c>
      <c r="B518" s="116">
        <v>706</v>
      </c>
      <c r="C518" s="116">
        <v>695.73749999999995</v>
      </c>
      <c r="D518" s="116">
        <v>691.58749999999998</v>
      </c>
      <c r="E518" s="116">
        <v>699.01250000000005</v>
      </c>
      <c r="F518" s="116">
        <v>2782.95</v>
      </c>
      <c r="G518">
        <v>4951</v>
      </c>
      <c r="H518" s="116"/>
      <c r="I518" s="116"/>
      <c r="L518" s="170">
        <v>45300</v>
      </c>
      <c r="M518" s="116">
        <v>695.63750000000005</v>
      </c>
      <c r="N518" s="116">
        <v>706.71249999999998</v>
      </c>
      <c r="O518" s="116">
        <v>691.4</v>
      </c>
      <c r="P518" s="116">
        <v>694.75</v>
      </c>
      <c r="Q518" s="116">
        <v>2782.55</v>
      </c>
      <c r="R518">
        <v>74469</v>
      </c>
    </row>
    <row r="519" spans="1:18" x14ac:dyDescent="0.25">
      <c r="A519" s="170">
        <v>45301</v>
      </c>
      <c r="B519" s="116">
        <v>699.65</v>
      </c>
      <c r="C519" s="116">
        <v>695.46249999999998</v>
      </c>
      <c r="D519" s="116">
        <v>690.53750000000002</v>
      </c>
      <c r="E519" s="116">
        <v>690.53750000000002</v>
      </c>
      <c r="F519" s="116">
        <v>2781.85</v>
      </c>
      <c r="G519">
        <v>7278</v>
      </c>
      <c r="H519" s="116"/>
      <c r="I519" s="116"/>
      <c r="L519" s="170">
        <v>45301</v>
      </c>
      <c r="M519" s="116">
        <v>695.3</v>
      </c>
      <c r="N519" s="116">
        <v>699.75</v>
      </c>
      <c r="O519" s="116">
        <v>691.375</v>
      </c>
      <c r="P519" s="116">
        <v>699.75</v>
      </c>
      <c r="Q519" s="116">
        <v>2781.2</v>
      </c>
      <c r="R519">
        <v>69120</v>
      </c>
    </row>
    <row r="520" spans="1:18" x14ac:dyDescent="0.25">
      <c r="A520" s="170">
        <v>45302</v>
      </c>
      <c r="B520" s="116">
        <v>707.5</v>
      </c>
      <c r="C520" s="116">
        <v>697.4375</v>
      </c>
      <c r="D520" s="116">
        <v>688.9</v>
      </c>
      <c r="E520" s="116">
        <v>695.5</v>
      </c>
      <c r="F520" s="116">
        <v>2789.75</v>
      </c>
      <c r="G520">
        <v>10227</v>
      </c>
      <c r="H520" s="116"/>
      <c r="I520" s="116"/>
      <c r="L520" s="170">
        <v>45302</v>
      </c>
      <c r="M520" s="116">
        <v>700.65</v>
      </c>
      <c r="N520" s="116">
        <v>708.17499999999995</v>
      </c>
      <c r="O520" s="116">
        <v>695</v>
      </c>
      <c r="P520" s="116">
        <v>702.5</v>
      </c>
      <c r="Q520" s="116">
        <v>2802.6</v>
      </c>
      <c r="R520">
        <v>80226</v>
      </c>
    </row>
    <row r="521" spans="1:18" x14ac:dyDescent="0.25">
      <c r="A521" s="170">
        <v>45303</v>
      </c>
      <c r="B521" s="116">
        <v>711</v>
      </c>
      <c r="C521" s="116">
        <v>703.91250000000002</v>
      </c>
      <c r="D521" s="116">
        <v>699.96249999999998</v>
      </c>
      <c r="E521" s="116">
        <v>709.46249999999998</v>
      </c>
      <c r="F521" s="116">
        <v>2815.65</v>
      </c>
      <c r="G521">
        <v>6307</v>
      </c>
      <c r="H521" s="116"/>
      <c r="I521" s="116"/>
      <c r="L521" s="170">
        <v>45303</v>
      </c>
      <c r="M521" s="116">
        <v>703.78750000000002</v>
      </c>
      <c r="N521" s="116">
        <v>711.76250000000005</v>
      </c>
      <c r="O521" s="116">
        <v>700</v>
      </c>
      <c r="P521" s="116">
        <v>704.92499999999995</v>
      </c>
      <c r="Q521" s="116">
        <v>2815.15</v>
      </c>
      <c r="R521">
        <v>111981</v>
      </c>
    </row>
    <row r="522" spans="1:18" x14ac:dyDescent="0.25">
      <c r="A522" s="170">
        <v>45306</v>
      </c>
      <c r="B522" s="116">
        <v>696.46249999999998</v>
      </c>
      <c r="C522" s="116">
        <v>671.85</v>
      </c>
      <c r="D522" s="116">
        <v>669.23749999999995</v>
      </c>
      <c r="E522" s="116">
        <v>678.75</v>
      </c>
      <c r="F522" s="116">
        <v>2687.4</v>
      </c>
      <c r="G522">
        <v>24413</v>
      </c>
      <c r="H522" s="116"/>
      <c r="I522" s="116"/>
      <c r="L522" s="170">
        <v>45306</v>
      </c>
      <c r="M522" s="116">
        <v>671.875</v>
      </c>
      <c r="N522" s="116">
        <v>696.23749999999995</v>
      </c>
      <c r="O522" s="116">
        <v>669.55</v>
      </c>
      <c r="P522" s="116">
        <v>680.5</v>
      </c>
      <c r="Q522" s="116">
        <v>2687.5</v>
      </c>
      <c r="R522">
        <v>147261</v>
      </c>
    </row>
    <row r="523" spans="1:18" x14ac:dyDescent="0.25">
      <c r="A523" s="170">
        <v>45307</v>
      </c>
      <c r="B523" s="116">
        <v>680</v>
      </c>
      <c r="C523" s="116">
        <v>660.33749999999998</v>
      </c>
      <c r="D523" s="116">
        <v>643.75</v>
      </c>
      <c r="E523" s="116">
        <v>667.42499999999995</v>
      </c>
      <c r="F523" s="116">
        <v>2641.35</v>
      </c>
      <c r="G523">
        <v>10533</v>
      </c>
      <c r="H523" s="116"/>
      <c r="I523" s="116"/>
      <c r="L523" s="170">
        <v>45307</v>
      </c>
      <c r="M523" s="116">
        <v>660.7</v>
      </c>
      <c r="N523" s="116">
        <v>680.03750000000002</v>
      </c>
      <c r="O523" s="116">
        <v>643.16250000000002</v>
      </c>
      <c r="P523" s="116">
        <v>672.35</v>
      </c>
      <c r="Q523" s="116">
        <v>2642.8</v>
      </c>
      <c r="R523">
        <v>98203</v>
      </c>
    </row>
    <row r="524" spans="1:18" x14ac:dyDescent="0.25">
      <c r="A524" s="170">
        <v>45308</v>
      </c>
      <c r="B524" s="116">
        <v>682.58749999999998</v>
      </c>
      <c r="C524" s="116">
        <v>676.125</v>
      </c>
      <c r="D524" s="116">
        <v>649.70000000000005</v>
      </c>
      <c r="E524" s="116">
        <v>659.71249999999998</v>
      </c>
      <c r="F524" s="116">
        <v>2704.5</v>
      </c>
      <c r="G524">
        <v>4666</v>
      </c>
      <c r="H524" s="116"/>
      <c r="I524" s="116"/>
      <c r="L524" s="170">
        <v>45308</v>
      </c>
      <c r="M524" s="116">
        <v>676.1875</v>
      </c>
      <c r="N524" s="116">
        <v>682.75</v>
      </c>
      <c r="O524" s="116">
        <v>649.875</v>
      </c>
      <c r="P524" s="116">
        <v>649.875</v>
      </c>
      <c r="Q524" s="116">
        <v>2704.75</v>
      </c>
      <c r="R524">
        <v>198536</v>
      </c>
    </row>
    <row r="525" spans="1:18" x14ac:dyDescent="0.25">
      <c r="A525" s="170">
        <v>45309</v>
      </c>
      <c r="B525" s="116">
        <v>685.16250000000002</v>
      </c>
      <c r="C525" s="116">
        <v>677.61249999999995</v>
      </c>
      <c r="D525" s="116">
        <v>659.71249999999998</v>
      </c>
      <c r="E525" s="116">
        <v>676.22500000000002</v>
      </c>
      <c r="F525" s="116">
        <v>2710.45</v>
      </c>
      <c r="G525">
        <v>2071</v>
      </c>
      <c r="H525" s="116"/>
      <c r="I525" s="116"/>
      <c r="L525" s="170">
        <v>45309</v>
      </c>
      <c r="M525" s="116">
        <v>679.22500000000002</v>
      </c>
      <c r="N525" s="116">
        <v>687.17499999999995</v>
      </c>
      <c r="O525" s="116">
        <v>659.8125</v>
      </c>
      <c r="P525" s="116">
        <v>676.1875</v>
      </c>
      <c r="Q525" s="116">
        <v>2716.9</v>
      </c>
      <c r="R525">
        <v>43267</v>
      </c>
    </row>
    <row r="526" spans="1:18" x14ac:dyDescent="0.25">
      <c r="A526" s="170">
        <v>45310</v>
      </c>
      <c r="B526" s="116">
        <v>699.95</v>
      </c>
      <c r="C526" s="116">
        <v>695.26250000000005</v>
      </c>
      <c r="D526" s="116">
        <v>667.82500000000005</v>
      </c>
      <c r="E526" s="116">
        <v>667.82500000000005</v>
      </c>
      <c r="F526" s="116">
        <v>2781.05</v>
      </c>
      <c r="G526">
        <v>2502</v>
      </c>
      <c r="H526" s="116"/>
      <c r="I526" s="116"/>
      <c r="L526" s="170">
        <v>45310</v>
      </c>
      <c r="M526" s="116">
        <v>694.61249999999995</v>
      </c>
      <c r="N526" s="116">
        <v>700</v>
      </c>
      <c r="O526" s="116">
        <v>679.23749999999995</v>
      </c>
      <c r="P526" s="116">
        <v>679.23749999999995</v>
      </c>
      <c r="Q526" s="116">
        <v>2778.45</v>
      </c>
      <c r="R526">
        <v>49573</v>
      </c>
    </row>
    <row r="527" spans="1:18" x14ac:dyDescent="0.25">
      <c r="A527" s="170">
        <v>45311</v>
      </c>
      <c r="B527" s="116">
        <v>709.1</v>
      </c>
      <c r="C527" s="116">
        <v>675.4375</v>
      </c>
      <c r="D527" s="116">
        <v>666.63750000000005</v>
      </c>
      <c r="E527" s="116">
        <v>709.1</v>
      </c>
      <c r="F527" s="116">
        <v>2701.75</v>
      </c>
      <c r="G527">
        <v>6691</v>
      </c>
      <c r="H527" s="116"/>
      <c r="I527" s="116"/>
      <c r="L527" s="170">
        <v>45311</v>
      </c>
      <c r="M527" s="116">
        <v>675.7</v>
      </c>
      <c r="N527" s="116">
        <v>701.63750000000005</v>
      </c>
      <c r="O527" s="116">
        <v>669.01250000000005</v>
      </c>
      <c r="P527" s="116">
        <v>700</v>
      </c>
      <c r="Q527" s="116">
        <v>2702.8</v>
      </c>
      <c r="R527">
        <v>25220</v>
      </c>
    </row>
    <row r="528" spans="1:18" x14ac:dyDescent="0.25">
      <c r="A528" s="170">
        <v>45314</v>
      </c>
      <c r="B528" s="116">
        <v>711.16250000000002</v>
      </c>
      <c r="C528" s="116">
        <v>700.02499999999998</v>
      </c>
      <c r="D528" s="116">
        <v>674.75</v>
      </c>
      <c r="E528" s="116">
        <v>674.75</v>
      </c>
      <c r="F528" s="116">
        <v>2800.1</v>
      </c>
      <c r="G528">
        <v>3961</v>
      </c>
      <c r="H528" s="116"/>
      <c r="I528" s="116"/>
      <c r="L528" s="170">
        <v>45314</v>
      </c>
      <c r="M528" s="116">
        <v>700.58749999999998</v>
      </c>
      <c r="N528" s="116">
        <v>711.25</v>
      </c>
      <c r="O528" s="116">
        <v>675.71249999999998</v>
      </c>
      <c r="P528" s="116">
        <v>682.5</v>
      </c>
      <c r="Q528" s="116">
        <v>2802.35</v>
      </c>
      <c r="R528">
        <v>94353</v>
      </c>
    </row>
    <row r="529" spans="1:18" x14ac:dyDescent="0.25">
      <c r="A529" s="170">
        <v>45315</v>
      </c>
      <c r="B529" s="116">
        <v>748.53750000000002</v>
      </c>
      <c r="C529" s="116">
        <v>737.875</v>
      </c>
      <c r="D529" s="116">
        <v>681.26250000000005</v>
      </c>
      <c r="E529" s="116">
        <v>681.26250000000005</v>
      </c>
      <c r="F529" s="116">
        <v>2951.5</v>
      </c>
      <c r="G529">
        <v>6963</v>
      </c>
      <c r="H529" s="116"/>
      <c r="I529" s="116"/>
      <c r="L529" s="170">
        <v>45315</v>
      </c>
      <c r="M529" s="116">
        <v>737.51250000000005</v>
      </c>
      <c r="N529" s="116">
        <v>750</v>
      </c>
      <c r="O529" s="116">
        <v>700.58749999999998</v>
      </c>
      <c r="P529" s="116">
        <v>702.47500000000002</v>
      </c>
      <c r="Q529" s="116">
        <v>2950.05</v>
      </c>
      <c r="R529">
        <v>118520</v>
      </c>
    </row>
    <row r="530" spans="1:18" x14ac:dyDescent="0.25">
      <c r="A530" s="170">
        <v>45316</v>
      </c>
      <c r="B530" s="116">
        <v>766.83749999999998</v>
      </c>
      <c r="C530" s="116">
        <v>761.5</v>
      </c>
      <c r="D530" s="116">
        <v>744.98749999999995</v>
      </c>
      <c r="E530" s="116">
        <v>745</v>
      </c>
      <c r="F530" s="116">
        <v>3046</v>
      </c>
      <c r="G530">
        <v>10300</v>
      </c>
      <c r="H530" s="116"/>
      <c r="I530" s="116"/>
      <c r="L530" s="170">
        <v>45316</v>
      </c>
      <c r="M530" s="116">
        <v>760.55</v>
      </c>
      <c r="N530" s="116">
        <v>767.5</v>
      </c>
      <c r="O530" s="116">
        <v>743.98749999999995</v>
      </c>
      <c r="P530" s="116">
        <v>744.875</v>
      </c>
      <c r="Q530" s="116">
        <v>3042.2</v>
      </c>
      <c r="R530">
        <v>107980</v>
      </c>
    </row>
    <row r="531" spans="1:18" x14ac:dyDescent="0.25">
      <c r="A531" s="170">
        <v>45320</v>
      </c>
      <c r="B531" s="116">
        <v>775</v>
      </c>
      <c r="C531" s="116">
        <v>755.42499999999995</v>
      </c>
      <c r="D531" s="116">
        <v>731.7</v>
      </c>
      <c r="E531" s="116">
        <v>775</v>
      </c>
      <c r="F531" s="116">
        <v>3021.7</v>
      </c>
      <c r="G531">
        <v>14876</v>
      </c>
      <c r="H531" s="116"/>
      <c r="I531" s="116"/>
      <c r="L531" s="170">
        <v>45320</v>
      </c>
      <c r="M531" s="116">
        <v>757.42499999999995</v>
      </c>
      <c r="N531" s="116">
        <v>775</v>
      </c>
      <c r="O531" s="116">
        <v>735.38750000000005</v>
      </c>
      <c r="P531" s="116">
        <v>775</v>
      </c>
      <c r="Q531" s="116">
        <v>3029.7</v>
      </c>
      <c r="R531">
        <v>84360</v>
      </c>
    </row>
    <row r="532" spans="1:18" x14ac:dyDescent="0.25">
      <c r="A532" s="170">
        <v>45321</v>
      </c>
      <c r="B532" s="116">
        <v>767.375</v>
      </c>
      <c r="C532" s="116">
        <v>753.63750000000005</v>
      </c>
      <c r="D532" s="116">
        <v>737.28750000000002</v>
      </c>
      <c r="E532" s="116">
        <v>737.28750000000002</v>
      </c>
      <c r="F532" s="116">
        <v>3014.55</v>
      </c>
      <c r="G532">
        <v>4790</v>
      </c>
      <c r="H532" s="116"/>
      <c r="I532" s="116"/>
      <c r="L532" s="170">
        <v>45321</v>
      </c>
      <c r="M532" s="116">
        <v>755.2</v>
      </c>
      <c r="N532" s="116">
        <v>767.25</v>
      </c>
      <c r="O532" s="116">
        <v>743.8</v>
      </c>
      <c r="P532" s="116">
        <v>750</v>
      </c>
      <c r="Q532" s="116">
        <v>3020.8</v>
      </c>
      <c r="R532">
        <v>39264</v>
      </c>
    </row>
    <row r="533" spans="1:18" x14ac:dyDescent="0.25">
      <c r="A533" s="170">
        <v>45322</v>
      </c>
      <c r="B533" s="116">
        <v>766.25</v>
      </c>
      <c r="C533" s="116">
        <v>763.5625</v>
      </c>
      <c r="D533" s="116">
        <v>753.36249999999995</v>
      </c>
      <c r="E533" s="116">
        <v>759.23749999999995</v>
      </c>
      <c r="F533" s="116">
        <v>3054.25</v>
      </c>
      <c r="G533">
        <v>4329</v>
      </c>
      <c r="H533" s="116"/>
      <c r="I533" s="116"/>
      <c r="L533" s="170">
        <v>45322</v>
      </c>
      <c r="M533" s="116">
        <v>764.5625</v>
      </c>
      <c r="N533" s="116">
        <v>767.1875</v>
      </c>
      <c r="O533" s="116">
        <v>752.26250000000005</v>
      </c>
      <c r="P533" s="116">
        <v>755.21249999999998</v>
      </c>
      <c r="Q533" s="116">
        <v>3058.25</v>
      </c>
      <c r="R533">
        <v>57274</v>
      </c>
    </row>
    <row r="534" spans="1:18" x14ac:dyDescent="0.25">
      <c r="A534" s="170">
        <v>45323</v>
      </c>
      <c r="B534" s="116">
        <v>812.77499999999998</v>
      </c>
      <c r="C534" s="116">
        <v>803.46249999999998</v>
      </c>
      <c r="D534" s="116">
        <v>763.88750000000005</v>
      </c>
      <c r="E534" s="116">
        <v>763.88750000000005</v>
      </c>
      <c r="F534" s="116">
        <v>3213.85</v>
      </c>
      <c r="G534">
        <v>3780</v>
      </c>
      <c r="H534" s="116"/>
      <c r="I534" s="116"/>
      <c r="L534" s="170">
        <v>45323</v>
      </c>
      <c r="M534" s="116">
        <v>803.46249999999998</v>
      </c>
      <c r="N534" s="116">
        <v>812.5</v>
      </c>
      <c r="O534" s="116">
        <v>767.5</v>
      </c>
      <c r="P534" s="116">
        <v>772</v>
      </c>
      <c r="Q534" s="116">
        <v>3213.85</v>
      </c>
      <c r="R534">
        <v>110354</v>
      </c>
    </row>
    <row r="535" spans="1:18" x14ac:dyDescent="0.25">
      <c r="A535" s="170">
        <v>45324</v>
      </c>
      <c r="B535" s="116">
        <v>832.83749999999998</v>
      </c>
      <c r="C535" s="116">
        <v>821</v>
      </c>
      <c r="D535" s="116">
        <v>807.875</v>
      </c>
      <c r="E535" s="116">
        <v>812.51250000000005</v>
      </c>
      <c r="F535" s="116">
        <v>3284</v>
      </c>
      <c r="G535">
        <v>2064</v>
      </c>
      <c r="H535" s="116"/>
      <c r="I535" s="116"/>
      <c r="L535" s="170">
        <v>45324</v>
      </c>
      <c r="M535" s="116">
        <v>821.42499999999995</v>
      </c>
      <c r="N535" s="116">
        <v>832.5</v>
      </c>
      <c r="O535" s="116">
        <v>807.5</v>
      </c>
      <c r="P535" s="116">
        <v>818.5</v>
      </c>
      <c r="Q535" s="116">
        <v>3285.7</v>
      </c>
      <c r="R535">
        <v>65148</v>
      </c>
    </row>
    <row r="536" spans="1:18" x14ac:dyDescent="0.25">
      <c r="A536" s="170">
        <v>45327</v>
      </c>
      <c r="B536" s="116">
        <v>874.08749999999998</v>
      </c>
      <c r="C536" s="116">
        <v>869.96249999999998</v>
      </c>
      <c r="D536" s="116">
        <v>797.57500000000005</v>
      </c>
      <c r="E536" s="116">
        <v>848.36249999999995</v>
      </c>
      <c r="F536" s="116">
        <v>3479.85</v>
      </c>
      <c r="G536">
        <v>6202</v>
      </c>
      <c r="H536" s="116"/>
      <c r="I536" s="116"/>
      <c r="L536" s="170">
        <v>45327</v>
      </c>
      <c r="M536" s="116">
        <v>867.47500000000002</v>
      </c>
      <c r="N536" s="116">
        <v>874</v>
      </c>
      <c r="O536" s="116">
        <v>797.52499999999998</v>
      </c>
      <c r="P536" s="116">
        <v>828.25</v>
      </c>
      <c r="Q536" s="116">
        <v>3469.9</v>
      </c>
      <c r="R536">
        <v>90330</v>
      </c>
    </row>
    <row r="537" spans="1:18" x14ac:dyDescent="0.25">
      <c r="A537" s="170">
        <v>45328</v>
      </c>
      <c r="B537" s="116">
        <v>886.6</v>
      </c>
      <c r="C537" s="116">
        <v>848.96249999999998</v>
      </c>
      <c r="D537" s="116">
        <v>827.82500000000005</v>
      </c>
      <c r="E537" s="116">
        <v>852.58749999999998</v>
      </c>
      <c r="F537" s="116">
        <v>3395.85</v>
      </c>
      <c r="G537">
        <v>12935</v>
      </c>
      <c r="H537" s="116"/>
      <c r="I537" s="116"/>
      <c r="L537" s="170">
        <v>45328</v>
      </c>
      <c r="M537" s="116">
        <v>849.48749999999995</v>
      </c>
      <c r="N537" s="116">
        <v>887</v>
      </c>
      <c r="O537" s="116">
        <v>829.25</v>
      </c>
      <c r="P537" s="116">
        <v>880</v>
      </c>
      <c r="Q537" s="116">
        <v>3397.95</v>
      </c>
      <c r="R537">
        <v>77446</v>
      </c>
    </row>
    <row r="538" spans="1:18" x14ac:dyDescent="0.25">
      <c r="A538" s="170">
        <v>45329</v>
      </c>
      <c r="B538" s="116">
        <v>875</v>
      </c>
      <c r="C538" s="116">
        <v>862.72500000000002</v>
      </c>
      <c r="D538" s="116">
        <v>855.13750000000005</v>
      </c>
      <c r="E538" s="116">
        <v>872.1875</v>
      </c>
      <c r="F538" s="116">
        <v>3450.9</v>
      </c>
      <c r="G538">
        <v>1297</v>
      </c>
      <c r="H538" s="116"/>
      <c r="I538" s="116"/>
      <c r="L538" s="170">
        <v>45329</v>
      </c>
      <c r="M538" s="116">
        <v>863.15</v>
      </c>
      <c r="N538" s="116">
        <v>874.92499999999995</v>
      </c>
      <c r="O538" s="116">
        <v>850.01250000000005</v>
      </c>
      <c r="P538" s="116">
        <v>850.01250000000005</v>
      </c>
      <c r="Q538" s="116">
        <v>3452.6</v>
      </c>
      <c r="R538">
        <v>43606</v>
      </c>
    </row>
    <row r="539" spans="1:18" x14ac:dyDescent="0.25">
      <c r="A539" s="170">
        <v>45330</v>
      </c>
      <c r="B539" s="116">
        <v>882.3</v>
      </c>
      <c r="C539" s="116">
        <v>848.61249999999995</v>
      </c>
      <c r="D539" s="116">
        <v>845.8125</v>
      </c>
      <c r="E539" s="116">
        <v>882.3</v>
      </c>
      <c r="F539" s="116">
        <v>3394.45</v>
      </c>
      <c r="G539">
        <v>1717</v>
      </c>
      <c r="H539" s="116"/>
      <c r="I539" s="116"/>
      <c r="L539" s="170">
        <v>45330</v>
      </c>
      <c r="M539" s="116">
        <v>849.625</v>
      </c>
      <c r="N539" s="116">
        <v>881.23749999999995</v>
      </c>
      <c r="O539" s="116">
        <v>845.5625</v>
      </c>
      <c r="P539" s="116">
        <v>875</v>
      </c>
      <c r="Q539" s="116">
        <v>3398.5</v>
      </c>
      <c r="R539">
        <v>51783</v>
      </c>
    </row>
    <row r="540" spans="1:18" x14ac:dyDescent="0.25">
      <c r="A540" s="170">
        <v>45331</v>
      </c>
      <c r="B540" s="116">
        <v>858.47500000000002</v>
      </c>
      <c r="C540" s="116">
        <v>854.51250000000005</v>
      </c>
      <c r="D540" s="116">
        <v>825.8</v>
      </c>
      <c r="E540" s="116">
        <v>858.47500000000002</v>
      </c>
      <c r="F540" s="116">
        <v>3418.05</v>
      </c>
      <c r="G540">
        <v>1572</v>
      </c>
      <c r="H540" s="116"/>
      <c r="I540" s="116"/>
      <c r="L540" s="170">
        <v>45331</v>
      </c>
      <c r="M540" s="116">
        <v>854.07500000000005</v>
      </c>
      <c r="N540" s="116">
        <v>854.25</v>
      </c>
      <c r="O540" s="116">
        <v>826</v>
      </c>
      <c r="P540" s="116">
        <v>854.25</v>
      </c>
      <c r="Q540" s="116">
        <v>3416.3</v>
      </c>
      <c r="R540">
        <v>92576</v>
      </c>
    </row>
    <row r="541" spans="1:18" x14ac:dyDescent="0.25">
      <c r="A541" s="170">
        <v>45334</v>
      </c>
      <c r="B541" s="116">
        <v>854</v>
      </c>
      <c r="C541" s="116">
        <v>815.2</v>
      </c>
      <c r="D541" s="116">
        <v>810</v>
      </c>
      <c r="E541" s="116">
        <v>854</v>
      </c>
      <c r="F541" s="116">
        <v>3260.8</v>
      </c>
      <c r="G541">
        <v>9135</v>
      </c>
      <c r="H541" s="116"/>
      <c r="I541" s="116"/>
      <c r="L541" s="170">
        <v>45334</v>
      </c>
      <c r="M541" s="116">
        <v>817.125</v>
      </c>
      <c r="N541" s="116">
        <v>854.07500000000005</v>
      </c>
      <c r="O541" s="116">
        <v>810.6</v>
      </c>
      <c r="P541" s="116">
        <v>854.07500000000005</v>
      </c>
      <c r="Q541" s="116">
        <v>3268.5</v>
      </c>
      <c r="R541">
        <v>181387</v>
      </c>
    </row>
    <row r="542" spans="1:18" x14ac:dyDescent="0.25">
      <c r="A542" s="170">
        <v>45335</v>
      </c>
      <c r="B542" s="116">
        <v>858.5</v>
      </c>
      <c r="C542" s="116">
        <v>848.42499999999995</v>
      </c>
      <c r="D542" s="116">
        <v>813.17499999999995</v>
      </c>
      <c r="E542" s="116">
        <v>815.22500000000002</v>
      </c>
      <c r="F542" s="116">
        <v>3393.7</v>
      </c>
      <c r="G542">
        <v>1862</v>
      </c>
      <c r="H542" s="116"/>
      <c r="I542" s="116"/>
      <c r="L542" s="170">
        <v>45335</v>
      </c>
      <c r="M542" s="116">
        <v>841.875</v>
      </c>
      <c r="N542" s="116">
        <v>850</v>
      </c>
      <c r="O542" s="116">
        <v>812.5</v>
      </c>
      <c r="P542" s="116">
        <v>817.125</v>
      </c>
      <c r="Q542" s="116">
        <v>3367.5</v>
      </c>
      <c r="R542">
        <v>48440</v>
      </c>
    </row>
    <row r="543" spans="1:18" x14ac:dyDescent="0.25">
      <c r="A543" s="170">
        <v>45336</v>
      </c>
      <c r="B543" s="116">
        <v>868.25</v>
      </c>
      <c r="C543" s="116">
        <v>864.5</v>
      </c>
      <c r="D543" s="116">
        <v>843.01250000000005</v>
      </c>
      <c r="E543" s="116">
        <v>850</v>
      </c>
      <c r="F543" s="116">
        <v>3458</v>
      </c>
      <c r="G543">
        <v>2617</v>
      </c>
      <c r="H543" s="116"/>
      <c r="I543" s="116"/>
      <c r="L543" s="170">
        <v>45336</v>
      </c>
      <c r="M543" s="116">
        <v>864.23749999999995</v>
      </c>
      <c r="N543" s="116">
        <v>868.57500000000005</v>
      </c>
      <c r="O543" s="116">
        <v>843.72500000000002</v>
      </c>
      <c r="P543" s="116">
        <v>854.25</v>
      </c>
      <c r="Q543" s="116">
        <v>3456.95</v>
      </c>
      <c r="R543">
        <v>33663</v>
      </c>
    </row>
    <row r="544" spans="1:18" x14ac:dyDescent="0.25">
      <c r="A544" s="170">
        <v>45337</v>
      </c>
      <c r="B544" s="116">
        <v>898.75</v>
      </c>
      <c r="C544" s="116">
        <v>894.38750000000005</v>
      </c>
      <c r="D544" s="116">
        <v>870</v>
      </c>
      <c r="E544" s="116">
        <v>879.48749999999995</v>
      </c>
      <c r="F544" s="116">
        <v>3577.55</v>
      </c>
      <c r="G544">
        <v>8117</v>
      </c>
      <c r="H544" s="116"/>
      <c r="I544" s="116"/>
      <c r="L544" s="170">
        <v>45337</v>
      </c>
      <c r="M544" s="116">
        <v>894.53750000000002</v>
      </c>
      <c r="N544" s="116">
        <v>899.73749999999995</v>
      </c>
      <c r="O544" s="116">
        <v>872.78750000000002</v>
      </c>
      <c r="P544" s="116">
        <v>875</v>
      </c>
      <c r="Q544" s="116">
        <v>3578.15</v>
      </c>
      <c r="R544">
        <v>53571</v>
      </c>
    </row>
    <row r="545" spans="1:18" x14ac:dyDescent="0.25">
      <c r="A545" s="170">
        <v>45338</v>
      </c>
      <c r="B545" s="116">
        <v>915.42499999999995</v>
      </c>
      <c r="C545" s="116">
        <v>910.76250000000005</v>
      </c>
      <c r="D545" s="116">
        <v>884.35</v>
      </c>
      <c r="E545" s="116">
        <v>909.96249999999998</v>
      </c>
      <c r="F545" s="116">
        <v>3643.05</v>
      </c>
      <c r="G545">
        <v>7214</v>
      </c>
      <c r="H545" s="116"/>
      <c r="I545" s="116"/>
      <c r="L545" s="170">
        <v>45338</v>
      </c>
      <c r="M545" s="116">
        <v>911.53750000000002</v>
      </c>
      <c r="N545" s="116">
        <v>914.97500000000002</v>
      </c>
      <c r="O545" s="116">
        <v>884.02499999999998</v>
      </c>
      <c r="P545" s="116">
        <v>901.71249999999998</v>
      </c>
      <c r="Q545" s="116">
        <v>3646.15</v>
      </c>
      <c r="R545">
        <v>69658</v>
      </c>
    </row>
    <row r="546" spans="1:18" x14ac:dyDescent="0.25">
      <c r="A546" s="170">
        <v>45341</v>
      </c>
      <c r="B546" s="116">
        <v>934.58749999999998</v>
      </c>
      <c r="C546" s="116">
        <v>922.66250000000002</v>
      </c>
      <c r="D546" s="116">
        <v>912.5</v>
      </c>
      <c r="E546" s="116">
        <v>928.96249999999998</v>
      </c>
      <c r="F546" s="116">
        <v>3690.65</v>
      </c>
      <c r="G546">
        <v>1854</v>
      </c>
      <c r="H546" s="116"/>
      <c r="I546" s="116"/>
      <c r="L546" s="170">
        <v>45341</v>
      </c>
      <c r="M546" s="116">
        <v>921.375</v>
      </c>
      <c r="N546" s="116">
        <v>935</v>
      </c>
      <c r="O546" s="116">
        <v>911.76250000000005</v>
      </c>
      <c r="P546" s="116">
        <v>927.25</v>
      </c>
      <c r="Q546" s="116">
        <v>3685.5</v>
      </c>
      <c r="R546">
        <v>52745</v>
      </c>
    </row>
    <row r="547" spans="1:18" x14ac:dyDescent="0.25">
      <c r="A547" s="170">
        <v>45342</v>
      </c>
      <c r="B547" s="116">
        <v>943.05</v>
      </c>
      <c r="C547" s="116">
        <v>920.91250000000002</v>
      </c>
      <c r="D547" s="116">
        <v>914.32500000000005</v>
      </c>
      <c r="E547" s="116">
        <v>943.05</v>
      </c>
      <c r="F547" s="116">
        <v>3683.65</v>
      </c>
      <c r="G547">
        <v>2804</v>
      </c>
      <c r="H547" s="116"/>
      <c r="I547" s="116"/>
      <c r="L547" s="170">
        <v>45342</v>
      </c>
      <c r="M547" s="116">
        <v>921.85</v>
      </c>
      <c r="N547" s="116">
        <v>936.25</v>
      </c>
      <c r="O547" s="116">
        <v>912.88750000000005</v>
      </c>
      <c r="P547" s="116">
        <v>936.25</v>
      </c>
      <c r="Q547" s="116">
        <v>3687.4</v>
      </c>
      <c r="R547">
        <v>29031</v>
      </c>
    </row>
    <row r="548" spans="1:18" x14ac:dyDescent="0.25">
      <c r="A548" s="170">
        <v>45343</v>
      </c>
      <c r="B548" s="116">
        <v>926.91250000000002</v>
      </c>
      <c r="C548" s="116">
        <v>919.73749999999995</v>
      </c>
      <c r="D548" s="116">
        <v>900.01250000000005</v>
      </c>
      <c r="E548" s="116">
        <v>900.01250000000005</v>
      </c>
      <c r="F548" s="116">
        <v>3678.95</v>
      </c>
      <c r="G548">
        <v>1749</v>
      </c>
      <c r="H548" s="116"/>
      <c r="I548" s="116"/>
      <c r="L548" s="170">
        <v>45343</v>
      </c>
      <c r="M548" s="116">
        <v>913.08749999999998</v>
      </c>
      <c r="N548" s="116">
        <v>928.75</v>
      </c>
      <c r="O548" s="116">
        <v>908.05</v>
      </c>
      <c r="P548" s="116">
        <v>922</v>
      </c>
      <c r="Q548" s="116">
        <v>3652.35</v>
      </c>
      <c r="R548">
        <v>118570</v>
      </c>
    </row>
    <row r="549" spans="1:18" x14ac:dyDescent="0.25">
      <c r="A549" s="170">
        <v>45344</v>
      </c>
      <c r="B549" s="116">
        <v>926.8125</v>
      </c>
      <c r="C549" s="116">
        <v>915.0625</v>
      </c>
      <c r="D549" s="116">
        <v>910.25</v>
      </c>
      <c r="E549" s="116">
        <v>926.8125</v>
      </c>
      <c r="F549" s="116">
        <v>3660.25</v>
      </c>
      <c r="G549">
        <v>2093</v>
      </c>
      <c r="H549" s="116"/>
      <c r="I549" s="116"/>
      <c r="L549" s="170">
        <v>45344</v>
      </c>
      <c r="M549" s="116">
        <v>915.23749999999995</v>
      </c>
      <c r="N549" s="116">
        <v>924.5</v>
      </c>
      <c r="O549" s="116">
        <v>909.03750000000002</v>
      </c>
      <c r="P549" s="116">
        <v>924.5</v>
      </c>
      <c r="Q549" s="116">
        <v>3660.95</v>
      </c>
      <c r="R549">
        <v>28622</v>
      </c>
    </row>
    <row r="550" spans="1:18" x14ac:dyDescent="0.25">
      <c r="A550" s="170">
        <v>45345</v>
      </c>
      <c r="B550" s="116">
        <v>928.3</v>
      </c>
      <c r="C550" s="116">
        <v>922.125</v>
      </c>
      <c r="D550" s="116">
        <v>913.51250000000005</v>
      </c>
      <c r="E550" s="116">
        <v>918.5</v>
      </c>
      <c r="F550" s="116">
        <v>3688.5</v>
      </c>
      <c r="G550">
        <v>742</v>
      </c>
      <c r="H550" s="116"/>
      <c r="I550" s="116"/>
      <c r="L550" s="170">
        <v>45345</v>
      </c>
      <c r="M550" s="116">
        <v>922.375</v>
      </c>
      <c r="N550" s="116">
        <v>928.75</v>
      </c>
      <c r="O550" s="116">
        <v>913</v>
      </c>
      <c r="P550" s="116">
        <v>919.23749999999995</v>
      </c>
      <c r="Q550" s="116">
        <v>3689.5</v>
      </c>
      <c r="R550">
        <v>32570</v>
      </c>
    </row>
    <row r="551" spans="1:18" x14ac:dyDescent="0.25">
      <c r="A551" s="170">
        <v>45348</v>
      </c>
      <c r="B551" s="116">
        <v>931.25</v>
      </c>
      <c r="C551" s="116">
        <v>923.51250000000005</v>
      </c>
      <c r="D551" s="116">
        <v>914.61249999999995</v>
      </c>
      <c r="E551" s="116">
        <v>928.75</v>
      </c>
      <c r="F551" s="116">
        <v>3694.05</v>
      </c>
      <c r="G551">
        <v>954</v>
      </c>
      <c r="H551" s="116"/>
      <c r="I551" s="116"/>
      <c r="L551" s="170">
        <v>45348</v>
      </c>
      <c r="M551" s="116">
        <v>922.33749999999998</v>
      </c>
      <c r="N551" s="116">
        <v>934.98749999999995</v>
      </c>
      <c r="O551" s="116">
        <v>915</v>
      </c>
      <c r="P551" s="116">
        <v>929.76250000000005</v>
      </c>
      <c r="Q551" s="116">
        <v>3689.35</v>
      </c>
      <c r="R551">
        <v>32284</v>
      </c>
    </row>
    <row r="552" spans="1:18" x14ac:dyDescent="0.25">
      <c r="A552" s="170">
        <v>45349</v>
      </c>
      <c r="B552" s="116">
        <v>927.05</v>
      </c>
      <c r="C552" s="116">
        <v>920.71249999999998</v>
      </c>
      <c r="D552" s="116">
        <v>913.5</v>
      </c>
      <c r="E552" s="116">
        <v>925.48749999999995</v>
      </c>
      <c r="F552" s="116">
        <v>3682.85</v>
      </c>
      <c r="G552">
        <v>2496</v>
      </c>
      <c r="H552" s="116"/>
      <c r="I552" s="116"/>
      <c r="L552" s="170">
        <v>45349</v>
      </c>
      <c r="M552" s="116">
        <v>919.47500000000002</v>
      </c>
      <c r="N552" s="116">
        <v>926.6875</v>
      </c>
      <c r="O552" s="116">
        <v>913.82500000000005</v>
      </c>
      <c r="P552" s="116">
        <v>925</v>
      </c>
      <c r="Q552" s="116">
        <v>3677.9</v>
      </c>
      <c r="R552">
        <v>25292</v>
      </c>
    </row>
    <row r="553" spans="1:18" x14ac:dyDescent="0.25">
      <c r="A553" s="170">
        <v>45350</v>
      </c>
      <c r="B553" s="116">
        <v>931.25</v>
      </c>
      <c r="C553" s="116">
        <v>913.9</v>
      </c>
      <c r="D553" s="116">
        <v>904</v>
      </c>
      <c r="E553" s="116">
        <v>924.73749999999995</v>
      </c>
      <c r="F553" s="116">
        <v>3655.6</v>
      </c>
      <c r="G553">
        <v>3635</v>
      </c>
      <c r="H553" s="116"/>
      <c r="I553" s="116"/>
      <c r="L553" s="170">
        <v>45350</v>
      </c>
      <c r="M553" s="116">
        <v>916.51250000000005</v>
      </c>
      <c r="N553" s="116">
        <v>931.6</v>
      </c>
      <c r="O553" s="116">
        <v>908.21249999999998</v>
      </c>
      <c r="P553" s="116">
        <v>922.5</v>
      </c>
      <c r="Q553" s="116">
        <v>3666.05</v>
      </c>
      <c r="R553">
        <v>29212</v>
      </c>
    </row>
    <row r="554" spans="1:18" x14ac:dyDescent="0.25">
      <c r="A554" s="170">
        <v>45351</v>
      </c>
      <c r="B554" s="116">
        <v>924.55</v>
      </c>
      <c r="C554" s="116">
        <v>912.82500000000005</v>
      </c>
      <c r="D554" s="116">
        <v>902.02499999999998</v>
      </c>
      <c r="E554" s="116">
        <v>912.51250000000005</v>
      </c>
      <c r="F554" s="116">
        <v>3651.3</v>
      </c>
      <c r="G554">
        <v>1794</v>
      </c>
      <c r="H554" s="116"/>
      <c r="I554" s="116"/>
      <c r="L554" s="170">
        <v>45351</v>
      </c>
      <c r="M554" s="116">
        <v>914.2</v>
      </c>
      <c r="N554" s="116">
        <v>925</v>
      </c>
      <c r="O554" s="116">
        <v>901.25</v>
      </c>
      <c r="P554" s="116">
        <v>919.98749999999995</v>
      </c>
      <c r="Q554" s="116">
        <v>3656.8</v>
      </c>
      <c r="R554">
        <v>111422</v>
      </c>
    </row>
    <row r="555" spans="1:18" x14ac:dyDescent="0.25">
      <c r="A555" s="170">
        <v>45352</v>
      </c>
      <c r="B555" s="116">
        <v>933.3</v>
      </c>
      <c r="C555" s="116">
        <v>928.98749999999995</v>
      </c>
      <c r="D555" s="116">
        <v>920</v>
      </c>
      <c r="E555" s="116">
        <v>931.08749999999998</v>
      </c>
      <c r="F555" s="116">
        <v>3715.95</v>
      </c>
      <c r="G555">
        <v>1037</v>
      </c>
      <c r="H555" s="116"/>
      <c r="I555" s="116"/>
      <c r="L555" s="170">
        <v>45352</v>
      </c>
      <c r="M555" s="116">
        <v>927.47500000000002</v>
      </c>
      <c r="N555" s="116">
        <v>932.75</v>
      </c>
      <c r="O555" s="116">
        <v>920.5</v>
      </c>
      <c r="P555" s="116">
        <v>924.75</v>
      </c>
      <c r="Q555" s="116">
        <v>3709.9</v>
      </c>
      <c r="R555">
        <v>43394</v>
      </c>
    </row>
    <row r="556" spans="1:18" x14ac:dyDescent="0.25">
      <c r="A556" s="170">
        <v>45353</v>
      </c>
      <c r="B556" s="116">
        <v>975.25</v>
      </c>
      <c r="C556" s="116">
        <v>967.35</v>
      </c>
      <c r="D556" s="116">
        <v>926.05</v>
      </c>
      <c r="E556" s="116">
        <v>930</v>
      </c>
      <c r="F556" s="116">
        <v>3869.4</v>
      </c>
      <c r="G556">
        <v>1589</v>
      </c>
      <c r="H556" s="116"/>
      <c r="I556" s="116"/>
      <c r="L556" s="170">
        <v>45353</v>
      </c>
      <c r="M556" s="116">
        <v>969</v>
      </c>
      <c r="N556" s="116">
        <v>973.83749999999998</v>
      </c>
      <c r="O556" s="116">
        <v>932.75</v>
      </c>
      <c r="P556" s="116">
        <v>934.98749999999995</v>
      </c>
      <c r="Q556" s="116">
        <v>3876</v>
      </c>
      <c r="R556">
        <v>14817</v>
      </c>
    </row>
    <row r="557" spans="1:18" x14ac:dyDescent="0.25">
      <c r="A557" s="170">
        <v>45355</v>
      </c>
      <c r="B557" s="116">
        <v>1049.95</v>
      </c>
      <c r="C557" s="116">
        <v>987.28750000000002</v>
      </c>
      <c r="D557" s="116">
        <v>965</v>
      </c>
      <c r="E557" s="116">
        <v>1049.95</v>
      </c>
      <c r="F557" s="116">
        <v>3949.15</v>
      </c>
      <c r="G557">
        <v>2823</v>
      </c>
      <c r="H557" s="116"/>
      <c r="I557" s="116"/>
      <c r="L557" s="170">
        <v>45355</v>
      </c>
      <c r="M557" s="116">
        <v>987.66250000000002</v>
      </c>
      <c r="N557" s="116">
        <v>1012.5</v>
      </c>
      <c r="O557" s="116">
        <v>965</v>
      </c>
      <c r="P557" s="116">
        <v>986.22500000000002</v>
      </c>
      <c r="Q557" s="116">
        <v>3950.65</v>
      </c>
      <c r="R557">
        <v>61562</v>
      </c>
    </row>
    <row r="558" spans="1:18" x14ac:dyDescent="0.25">
      <c r="A558" s="170">
        <v>45356</v>
      </c>
      <c r="B558" s="116">
        <v>990.21249999999998</v>
      </c>
      <c r="C558" s="116">
        <v>988.03750000000002</v>
      </c>
      <c r="D558" s="116">
        <v>953.25</v>
      </c>
      <c r="E558" s="116">
        <v>984.72500000000002</v>
      </c>
      <c r="F558" s="116">
        <v>3952.15</v>
      </c>
      <c r="G558">
        <v>1774</v>
      </c>
      <c r="H558" s="116"/>
      <c r="I558" s="116"/>
      <c r="L558" s="170">
        <v>45356</v>
      </c>
      <c r="M558" s="116">
        <v>988.2</v>
      </c>
      <c r="N558" s="116">
        <v>991.23749999999995</v>
      </c>
      <c r="O558" s="116">
        <v>953.9</v>
      </c>
      <c r="P558" s="116">
        <v>981.38750000000005</v>
      </c>
      <c r="Q558" s="116">
        <v>3952.8</v>
      </c>
      <c r="R558">
        <v>118886</v>
      </c>
    </row>
    <row r="559" spans="1:18" x14ac:dyDescent="0.25">
      <c r="A559" s="170">
        <v>45357</v>
      </c>
      <c r="B559" s="116">
        <v>995.48749999999995</v>
      </c>
      <c r="C559" s="116">
        <v>966.0625</v>
      </c>
      <c r="D559" s="116">
        <v>958</v>
      </c>
      <c r="E559" s="116">
        <v>995.48749999999995</v>
      </c>
      <c r="F559" s="116">
        <v>3864.25</v>
      </c>
      <c r="G559">
        <v>2374</v>
      </c>
      <c r="H559" s="116"/>
      <c r="I559" s="116"/>
      <c r="L559" s="170">
        <v>45357</v>
      </c>
      <c r="M559" s="116">
        <v>967.01250000000005</v>
      </c>
      <c r="N559" s="116">
        <v>995.75</v>
      </c>
      <c r="O559" s="116">
        <v>956.25</v>
      </c>
      <c r="P559" s="116">
        <v>992.67499999999995</v>
      </c>
      <c r="Q559" s="116">
        <v>3868.05</v>
      </c>
      <c r="R559">
        <v>54117</v>
      </c>
    </row>
    <row r="560" spans="1:18" x14ac:dyDescent="0.25">
      <c r="A560" s="170">
        <v>45358</v>
      </c>
      <c r="B560" s="116">
        <v>1000.7</v>
      </c>
      <c r="C560" s="116">
        <v>986.95</v>
      </c>
      <c r="D560" s="116">
        <v>966.0625</v>
      </c>
      <c r="E560" s="116">
        <v>972.01250000000005</v>
      </c>
      <c r="F560" s="116">
        <v>3947.8</v>
      </c>
      <c r="G560">
        <v>2422</v>
      </c>
      <c r="H560" s="116"/>
      <c r="I560" s="116"/>
      <c r="L560" s="170">
        <v>45358</v>
      </c>
      <c r="M560" s="116">
        <v>987.125</v>
      </c>
      <c r="N560" s="116">
        <v>1001.2375</v>
      </c>
      <c r="O560" s="116">
        <v>966.4</v>
      </c>
      <c r="P560" s="116">
        <v>973.97500000000002</v>
      </c>
      <c r="Q560" s="116">
        <v>3948.5</v>
      </c>
      <c r="R560">
        <v>80178</v>
      </c>
    </row>
    <row r="561" spans="1:18" x14ac:dyDescent="0.25">
      <c r="A561" s="170">
        <v>45362</v>
      </c>
      <c r="B561" s="116">
        <v>992.15</v>
      </c>
      <c r="C561" s="116">
        <v>979.6</v>
      </c>
      <c r="D561" s="116">
        <v>959.13750000000005</v>
      </c>
      <c r="E561" s="116">
        <v>977.33749999999998</v>
      </c>
      <c r="F561" s="116">
        <v>3918.4</v>
      </c>
      <c r="G561">
        <v>2903</v>
      </c>
      <c r="H561" s="116"/>
      <c r="I561" s="116"/>
      <c r="L561" s="170">
        <v>45362</v>
      </c>
      <c r="M561" s="116">
        <v>980.73749999999995</v>
      </c>
      <c r="N561" s="116">
        <v>996.05</v>
      </c>
      <c r="O561" s="116">
        <v>957.15</v>
      </c>
      <c r="P561" s="116">
        <v>996.05</v>
      </c>
      <c r="Q561" s="116">
        <v>3922.95</v>
      </c>
      <c r="R561">
        <v>90233</v>
      </c>
    </row>
    <row r="562" spans="1:18" x14ac:dyDescent="0.25">
      <c r="A562" s="170">
        <v>45363</v>
      </c>
      <c r="B562" s="116">
        <v>1000.425</v>
      </c>
      <c r="C562" s="116">
        <v>978.3125</v>
      </c>
      <c r="D562" s="116">
        <v>970.27499999999998</v>
      </c>
      <c r="E562" s="116">
        <v>989.98749999999995</v>
      </c>
      <c r="F562" s="116">
        <v>3913.25</v>
      </c>
      <c r="G562">
        <v>1852</v>
      </c>
      <c r="H562" s="116"/>
      <c r="I562" s="116"/>
      <c r="L562" s="170">
        <v>45363</v>
      </c>
      <c r="M562" s="116">
        <v>980.53750000000002</v>
      </c>
      <c r="N562" s="116">
        <v>1000.7625</v>
      </c>
      <c r="O562" s="116">
        <v>970.02499999999998</v>
      </c>
      <c r="P562" s="116">
        <v>980.73749999999995</v>
      </c>
      <c r="Q562" s="116">
        <v>3922.15</v>
      </c>
      <c r="R562">
        <v>84873</v>
      </c>
    </row>
    <row r="563" spans="1:18" x14ac:dyDescent="0.25">
      <c r="A563" s="170">
        <v>45364</v>
      </c>
      <c r="B563" s="116">
        <v>975</v>
      </c>
      <c r="C563" s="116">
        <v>958.77499999999998</v>
      </c>
      <c r="D563" s="116">
        <v>914.27499999999998</v>
      </c>
      <c r="E563" s="116">
        <v>970</v>
      </c>
      <c r="F563" s="116">
        <v>3835.1</v>
      </c>
      <c r="G563">
        <v>4831</v>
      </c>
      <c r="H563" s="116"/>
      <c r="I563" s="116"/>
      <c r="L563" s="170">
        <v>45364</v>
      </c>
      <c r="M563" s="116">
        <v>955.71249999999998</v>
      </c>
      <c r="N563" s="116">
        <v>977.5</v>
      </c>
      <c r="O563" s="116">
        <v>912.5</v>
      </c>
      <c r="P563" s="116">
        <v>971.125</v>
      </c>
      <c r="Q563" s="116">
        <v>3822.85</v>
      </c>
      <c r="R563">
        <v>170719</v>
      </c>
    </row>
    <row r="564" spans="1:18" x14ac:dyDescent="0.25">
      <c r="A564" s="170">
        <v>45365</v>
      </c>
      <c r="B564" s="116">
        <v>968.85</v>
      </c>
      <c r="C564" s="116">
        <v>939.375</v>
      </c>
      <c r="D564" s="116">
        <v>925.15</v>
      </c>
      <c r="E564" s="116">
        <v>940</v>
      </c>
      <c r="F564" s="116">
        <v>3757.5</v>
      </c>
      <c r="G564">
        <v>9873</v>
      </c>
      <c r="H564" s="116"/>
      <c r="I564" s="116"/>
      <c r="L564" s="170">
        <v>45365</v>
      </c>
      <c r="M564" s="116">
        <v>943.02499999999998</v>
      </c>
      <c r="N564" s="116">
        <v>968.97500000000002</v>
      </c>
      <c r="O564" s="116">
        <v>925</v>
      </c>
      <c r="P564" s="116">
        <v>934.21249999999998</v>
      </c>
      <c r="Q564" s="116">
        <v>3772.1</v>
      </c>
      <c r="R564">
        <v>82654</v>
      </c>
    </row>
    <row r="565" spans="1:18" x14ac:dyDescent="0.25">
      <c r="A565" s="170">
        <v>45366</v>
      </c>
      <c r="B565" s="116">
        <v>933.9375</v>
      </c>
      <c r="C565" s="116">
        <v>895.71249999999998</v>
      </c>
      <c r="D565" s="116">
        <v>874.33749999999998</v>
      </c>
      <c r="E565" s="116">
        <v>925.53750000000002</v>
      </c>
      <c r="F565" s="116">
        <v>3582.85</v>
      </c>
      <c r="G565">
        <v>8495</v>
      </c>
      <c r="H565" s="116"/>
      <c r="I565" s="116"/>
      <c r="L565" s="170">
        <v>45366</v>
      </c>
      <c r="M565" s="116">
        <v>894.0625</v>
      </c>
      <c r="N565" s="116">
        <v>939.75</v>
      </c>
      <c r="O565" s="116">
        <v>872.57500000000005</v>
      </c>
      <c r="P565" s="116">
        <v>927.25</v>
      </c>
      <c r="Q565" s="116">
        <v>3576.25</v>
      </c>
      <c r="R565">
        <v>713606</v>
      </c>
    </row>
    <row r="566" spans="1:18" x14ac:dyDescent="0.25">
      <c r="A566" s="170">
        <v>45369</v>
      </c>
      <c r="B566" s="116">
        <v>936.1</v>
      </c>
      <c r="C566" s="116">
        <v>902.48749999999995</v>
      </c>
      <c r="D566" s="116">
        <v>897.47500000000002</v>
      </c>
      <c r="E566" s="116">
        <v>912.28750000000002</v>
      </c>
      <c r="F566" s="116">
        <v>3609.95</v>
      </c>
      <c r="G566">
        <v>4158</v>
      </c>
      <c r="H566" s="116"/>
      <c r="I566" s="116"/>
      <c r="L566" s="170">
        <v>45369</v>
      </c>
      <c r="M566" s="116">
        <v>903.47500000000002</v>
      </c>
      <c r="N566" s="116">
        <v>936.17499999999995</v>
      </c>
      <c r="O566" s="116">
        <v>894.27499999999998</v>
      </c>
      <c r="P566" s="116">
        <v>894.27499999999998</v>
      </c>
      <c r="Q566" s="116">
        <v>3613.9</v>
      </c>
      <c r="R566">
        <v>47406</v>
      </c>
    </row>
    <row r="567" spans="1:18" x14ac:dyDescent="0.25">
      <c r="A567" s="170">
        <v>45370</v>
      </c>
      <c r="B567" s="116">
        <v>920.52499999999998</v>
      </c>
      <c r="C567" s="116">
        <v>908.77499999999998</v>
      </c>
      <c r="D567" s="116">
        <v>899.5</v>
      </c>
      <c r="E567" s="116">
        <v>914.8125</v>
      </c>
      <c r="F567" s="116">
        <v>3635.1</v>
      </c>
      <c r="G567">
        <v>2376</v>
      </c>
      <c r="H567" s="116"/>
      <c r="I567" s="116"/>
      <c r="L567" s="170">
        <v>45370</v>
      </c>
      <c r="M567" s="116">
        <v>910.82500000000005</v>
      </c>
      <c r="N567" s="116">
        <v>921.23749999999995</v>
      </c>
      <c r="O567" s="116">
        <v>899.25</v>
      </c>
      <c r="P567" s="116">
        <v>903.48749999999995</v>
      </c>
      <c r="Q567" s="116">
        <v>3643.3</v>
      </c>
      <c r="R567">
        <v>134913</v>
      </c>
    </row>
    <row r="568" spans="1:18" x14ac:dyDescent="0.25">
      <c r="A568" s="170">
        <v>45371</v>
      </c>
      <c r="B568" s="116">
        <v>917.4375</v>
      </c>
      <c r="C568" s="116">
        <v>901.38750000000005</v>
      </c>
      <c r="D568" s="116">
        <v>894.6</v>
      </c>
      <c r="E568" s="116">
        <v>909.35</v>
      </c>
      <c r="F568" s="116">
        <v>3605.55</v>
      </c>
      <c r="G568">
        <v>924</v>
      </c>
      <c r="H568" s="116"/>
      <c r="I568" s="116"/>
      <c r="L568" s="170">
        <v>45371</v>
      </c>
      <c r="M568" s="116">
        <v>900.71249999999998</v>
      </c>
      <c r="N568" s="116">
        <v>918.125</v>
      </c>
      <c r="O568" s="116">
        <v>893.75</v>
      </c>
      <c r="P568" s="116">
        <v>910.82500000000005</v>
      </c>
      <c r="Q568" s="116">
        <v>3602.85</v>
      </c>
      <c r="R568">
        <v>25536</v>
      </c>
    </row>
    <row r="569" spans="1:18" x14ac:dyDescent="0.25">
      <c r="A569" s="170">
        <v>45372</v>
      </c>
      <c r="B569" s="116">
        <v>926.98749999999995</v>
      </c>
      <c r="C569" s="116">
        <v>908.11249999999995</v>
      </c>
      <c r="D569" s="116">
        <v>883.22500000000002</v>
      </c>
      <c r="E569" s="116">
        <v>908.73749999999995</v>
      </c>
      <c r="F569" s="116">
        <v>3632.45</v>
      </c>
      <c r="G569">
        <v>9914</v>
      </c>
      <c r="H569" s="116"/>
      <c r="I569" s="116"/>
      <c r="L569" s="170">
        <v>45372</v>
      </c>
      <c r="M569" s="116">
        <v>907.76250000000005</v>
      </c>
      <c r="N569" s="116">
        <v>927.96249999999998</v>
      </c>
      <c r="O569" s="116">
        <v>889.6875</v>
      </c>
      <c r="P569" s="116">
        <v>904.25</v>
      </c>
      <c r="Q569" s="116">
        <v>3631.05</v>
      </c>
      <c r="R569">
        <v>39026</v>
      </c>
    </row>
    <row r="570" spans="1:18" x14ac:dyDescent="0.25">
      <c r="A570" s="170">
        <v>45373</v>
      </c>
      <c r="B570" s="116">
        <v>916.625</v>
      </c>
      <c r="C570" s="116">
        <v>909.0625</v>
      </c>
      <c r="D570" s="116">
        <v>880</v>
      </c>
      <c r="E570" s="116">
        <v>908.26250000000005</v>
      </c>
      <c r="F570" s="116">
        <v>3636.25</v>
      </c>
      <c r="G570">
        <v>2769</v>
      </c>
      <c r="H570" s="116"/>
      <c r="I570" s="116"/>
      <c r="L570" s="170">
        <v>45373</v>
      </c>
      <c r="M570" s="116">
        <v>908.9</v>
      </c>
      <c r="N570" s="116">
        <v>917.3125</v>
      </c>
      <c r="O570" s="116">
        <v>875.625</v>
      </c>
      <c r="P570" s="116">
        <v>915</v>
      </c>
      <c r="Q570" s="116">
        <v>3635.6</v>
      </c>
      <c r="R570">
        <v>45488</v>
      </c>
    </row>
    <row r="571" spans="1:18" x14ac:dyDescent="0.25">
      <c r="A571" s="170">
        <v>45377</v>
      </c>
      <c r="B571" s="116">
        <v>914.9375</v>
      </c>
      <c r="C571" s="116">
        <v>897.77499999999998</v>
      </c>
      <c r="D571" s="116">
        <v>891.75</v>
      </c>
      <c r="E571" s="116">
        <v>900.15</v>
      </c>
      <c r="F571" s="116">
        <v>3591.1</v>
      </c>
      <c r="G571">
        <v>3170</v>
      </c>
      <c r="H571" s="116"/>
      <c r="I571" s="116"/>
      <c r="L571" s="170">
        <v>45377</v>
      </c>
      <c r="M571" s="116">
        <v>895.76250000000005</v>
      </c>
      <c r="N571" s="116">
        <v>916.42499999999995</v>
      </c>
      <c r="O571" s="116">
        <v>890.5</v>
      </c>
      <c r="P571" s="116">
        <v>916.22500000000002</v>
      </c>
      <c r="Q571" s="116">
        <v>3583.05</v>
      </c>
      <c r="R571">
        <v>19475</v>
      </c>
    </row>
    <row r="572" spans="1:18" x14ac:dyDescent="0.25">
      <c r="A572" s="170">
        <v>45378</v>
      </c>
      <c r="B572" s="116">
        <v>912.5</v>
      </c>
      <c r="C572" s="116">
        <v>896.21249999999998</v>
      </c>
      <c r="D572" s="116">
        <v>859.26250000000005</v>
      </c>
      <c r="E572" s="116">
        <v>897.76250000000005</v>
      </c>
      <c r="F572" s="116">
        <v>3584.85</v>
      </c>
      <c r="G572">
        <v>4973</v>
      </c>
      <c r="H572" s="116"/>
      <c r="I572" s="116"/>
      <c r="L572" s="170">
        <v>45378</v>
      </c>
      <c r="M572" s="116">
        <v>898.5</v>
      </c>
      <c r="N572" s="116">
        <v>915.5</v>
      </c>
      <c r="O572" s="116">
        <v>860</v>
      </c>
      <c r="P572" s="116">
        <v>899.98749999999995</v>
      </c>
      <c r="Q572" s="116">
        <v>3594</v>
      </c>
      <c r="R572">
        <v>87464</v>
      </c>
    </row>
    <row r="573" spans="1:18" x14ac:dyDescent="0.25">
      <c r="A573" s="170">
        <v>45379</v>
      </c>
      <c r="B573" s="116">
        <v>931.15</v>
      </c>
      <c r="C573" s="116">
        <v>922.86249999999995</v>
      </c>
      <c r="D573" s="116">
        <v>905</v>
      </c>
      <c r="E573" s="116">
        <v>918.3125</v>
      </c>
      <c r="F573" s="116">
        <v>3691.45</v>
      </c>
      <c r="G573">
        <v>2738</v>
      </c>
      <c r="H573" s="116"/>
      <c r="I573" s="116"/>
      <c r="L573" s="170">
        <v>45379</v>
      </c>
      <c r="M573" s="116">
        <v>923.58749999999998</v>
      </c>
      <c r="N573" s="116">
        <v>930</v>
      </c>
      <c r="O573" s="116">
        <v>902.51250000000005</v>
      </c>
      <c r="P573" s="116">
        <v>907.75</v>
      </c>
      <c r="Q573" s="116">
        <v>3694.35</v>
      </c>
      <c r="R573">
        <v>35485</v>
      </c>
    </row>
    <row r="574" spans="1:18" x14ac:dyDescent="0.25">
      <c r="A574" s="170">
        <v>45383</v>
      </c>
      <c r="B574" s="116">
        <v>940.97500000000002</v>
      </c>
      <c r="C574" s="116">
        <v>903.75</v>
      </c>
      <c r="D574" s="116">
        <v>893.48749999999995</v>
      </c>
      <c r="E574" s="116">
        <v>940.97500000000002</v>
      </c>
      <c r="F574" s="116">
        <v>3615</v>
      </c>
      <c r="G574">
        <v>3589</v>
      </c>
      <c r="H574" s="116"/>
      <c r="I574" s="116"/>
      <c r="L574" s="170">
        <v>45383</v>
      </c>
      <c r="M574" s="116">
        <v>905.125</v>
      </c>
      <c r="N574" s="116">
        <v>943.75</v>
      </c>
      <c r="O574" s="116">
        <v>892.1</v>
      </c>
      <c r="P574" s="116">
        <v>937.25</v>
      </c>
      <c r="Q574" s="116">
        <v>3620.5</v>
      </c>
      <c r="R574">
        <v>61034</v>
      </c>
    </row>
    <row r="575" spans="1:18" x14ac:dyDescent="0.25">
      <c r="A575" s="170">
        <v>45384</v>
      </c>
      <c r="B575" s="116">
        <v>922.625</v>
      </c>
      <c r="C575" s="116">
        <v>861.33749999999998</v>
      </c>
      <c r="D575" s="116">
        <v>857.5</v>
      </c>
      <c r="E575" s="116">
        <v>895.28750000000002</v>
      </c>
      <c r="F575" s="116">
        <v>3445.35</v>
      </c>
      <c r="G575">
        <v>9066</v>
      </c>
      <c r="H575" s="116"/>
      <c r="I575" s="116"/>
      <c r="L575" s="170">
        <v>45384</v>
      </c>
      <c r="M575" s="116">
        <v>862.21249999999998</v>
      </c>
      <c r="N575" s="116">
        <v>923.75</v>
      </c>
      <c r="O575" s="116">
        <v>856</v>
      </c>
      <c r="P575" s="116">
        <v>909.98749999999995</v>
      </c>
      <c r="Q575" s="116">
        <v>3448.85</v>
      </c>
      <c r="R575">
        <v>202143</v>
      </c>
    </row>
    <row r="576" spans="1:18" x14ac:dyDescent="0.25">
      <c r="A576" s="170">
        <v>45385</v>
      </c>
      <c r="B576" s="116">
        <v>881.46249999999998</v>
      </c>
      <c r="C576" s="116">
        <v>877.9</v>
      </c>
      <c r="D576" s="116">
        <v>857.61249999999995</v>
      </c>
      <c r="E576" s="116">
        <v>857.61249999999995</v>
      </c>
      <c r="F576" s="116">
        <v>3511.6</v>
      </c>
      <c r="G576">
        <v>2285</v>
      </c>
      <c r="H576" s="116"/>
      <c r="I576" s="116"/>
      <c r="L576" s="170">
        <v>45385</v>
      </c>
      <c r="M576" s="116">
        <v>876.91250000000002</v>
      </c>
      <c r="N576" s="116">
        <v>882.47500000000002</v>
      </c>
      <c r="O576" s="116">
        <v>860.11249999999995</v>
      </c>
      <c r="P576" s="116">
        <v>862.25</v>
      </c>
      <c r="Q576" s="116">
        <v>3507.65</v>
      </c>
      <c r="R576">
        <v>87590</v>
      </c>
    </row>
    <row r="577" spans="1:18" x14ac:dyDescent="0.25">
      <c r="A577" s="170">
        <v>45386</v>
      </c>
      <c r="B577" s="116">
        <v>887.51250000000005</v>
      </c>
      <c r="C577" s="116">
        <v>882.41250000000002</v>
      </c>
      <c r="D577" s="116">
        <v>874.3125</v>
      </c>
      <c r="E577" s="116">
        <v>881.91250000000002</v>
      </c>
      <c r="F577" s="116">
        <v>3529.65</v>
      </c>
      <c r="G577">
        <v>3434</v>
      </c>
      <c r="H577" s="116"/>
      <c r="I577" s="116"/>
      <c r="L577" s="170">
        <v>45386</v>
      </c>
      <c r="M577" s="116">
        <v>882.8</v>
      </c>
      <c r="N577" s="116">
        <v>889.25</v>
      </c>
      <c r="O577" s="116">
        <v>874.75</v>
      </c>
      <c r="P577" s="116">
        <v>883.75</v>
      </c>
      <c r="Q577" s="116">
        <v>3531.2</v>
      </c>
      <c r="R577">
        <v>39635</v>
      </c>
    </row>
    <row r="578" spans="1:18" x14ac:dyDescent="0.25">
      <c r="A578" s="170">
        <v>45387</v>
      </c>
      <c r="B578" s="116">
        <v>910.125</v>
      </c>
      <c r="C578" s="116">
        <v>908.46249999999998</v>
      </c>
      <c r="D578" s="116">
        <v>873.9375</v>
      </c>
      <c r="E578" s="116">
        <v>885.61249999999995</v>
      </c>
      <c r="F578" s="116">
        <v>3633.85</v>
      </c>
      <c r="G578">
        <v>1489</v>
      </c>
      <c r="H578" s="116"/>
      <c r="I578" s="116"/>
      <c r="L578" s="170">
        <v>45387</v>
      </c>
      <c r="M578" s="116">
        <v>907.71249999999998</v>
      </c>
      <c r="N578" s="116">
        <v>910.98749999999995</v>
      </c>
      <c r="O578" s="116">
        <v>872.5</v>
      </c>
      <c r="P578" s="116">
        <v>882.76250000000005</v>
      </c>
      <c r="Q578" s="116">
        <v>3630.85</v>
      </c>
      <c r="R578">
        <v>72726</v>
      </c>
    </row>
    <row r="579" spans="1:18" x14ac:dyDescent="0.25">
      <c r="A579" s="170">
        <v>45390</v>
      </c>
      <c r="B579" s="116">
        <v>963</v>
      </c>
      <c r="C579" s="116">
        <v>933.85</v>
      </c>
      <c r="D579" s="116">
        <v>915</v>
      </c>
      <c r="E579" s="116">
        <v>915</v>
      </c>
      <c r="F579" s="116">
        <v>3735.4</v>
      </c>
      <c r="G579">
        <v>11995</v>
      </c>
      <c r="H579" s="116"/>
      <c r="I579" s="116"/>
      <c r="L579" s="170">
        <v>45390</v>
      </c>
      <c r="M579" s="116">
        <v>934.33749999999998</v>
      </c>
      <c r="N579" s="116">
        <v>963.98749999999995</v>
      </c>
      <c r="O579" s="116">
        <v>922.4</v>
      </c>
      <c r="P579" s="116">
        <v>922.41250000000002</v>
      </c>
      <c r="Q579" s="116">
        <v>3737.35</v>
      </c>
      <c r="R579">
        <v>106685</v>
      </c>
    </row>
    <row r="580" spans="1:18" x14ac:dyDescent="0.25">
      <c r="A580" s="170">
        <v>45391</v>
      </c>
      <c r="B580" s="116">
        <v>1027.5</v>
      </c>
      <c r="C580" s="116">
        <v>1022.625</v>
      </c>
      <c r="D580" s="116">
        <v>968.26250000000005</v>
      </c>
      <c r="E580" s="116">
        <v>999.75</v>
      </c>
      <c r="F580" s="116">
        <v>4090.5</v>
      </c>
      <c r="G580">
        <v>8066</v>
      </c>
      <c r="H580" s="116"/>
      <c r="I580" s="116"/>
      <c r="L580" s="170">
        <v>45391</v>
      </c>
      <c r="M580" s="116">
        <v>1018.025</v>
      </c>
      <c r="N580" s="116">
        <v>1024.75</v>
      </c>
      <c r="O580" s="116">
        <v>966.52499999999998</v>
      </c>
      <c r="P580" s="116">
        <v>994.5</v>
      </c>
      <c r="Q580" s="116">
        <v>4072.1</v>
      </c>
      <c r="R580">
        <v>216616</v>
      </c>
    </row>
    <row r="581" spans="1:18" x14ac:dyDescent="0.25">
      <c r="A581" s="170">
        <v>45392</v>
      </c>
      <c r="B581" s="116">
        <v>1032.6125</v>
      </c>
      <c r="C581" s="116">
        <v>977.32500000000005</v>
      </c>
      <c r="D581" s="116">
        <v>973.27499999999998</v>
      </c>
      <c r="E581" s="116">
        <v>1029.125</v>
      </c>
      <c r="F581" s="116">
        <v>3909.3</v>
      </c>
      <c r="G581">
        <v>12800</v>
      </c>
      <c r="H581" s="116"/>
      <c r="I581" s="116"/>
      <c r="L581" s="170">
        <v>45392</v>
      </c>
      <c r="M581" s="116">
        <v>976.78750000000002</v>
      </c>
      <c r="N581" s="116">
        <v>1031.25</v>
      </c>
      <c r="O581" s="116">
        <v>972.5</v>
      </c>
      <c r="P581" s="116">
        <v>1025</v>
      </c>
      <c r="Q581" s="116">
        <v>3907.15</v>
      </c>
      <c r="R581">
        <v>119760</v>
      </c>
    </row>
    <row r="582" spans="1:18" x14ac:dyDescent="0.25">
      <c r="A582" s="170">
        <v>45394</v>
      </c>
      <c r="B582" s="116">
        <v>1017.5</v>
      </c>
      <c r="C582" s="116">
        <v>1003.5125</v>
      </c>
      <c r="D582" s="116">
        <v>959.48749999999995</v>
      </c>
      <c r="E582" s="116">
        <v>982</v>
      </c>
      <c r="F582" s="116">
        <v>4014.05</v>
      </c>
      <c r="G582">
        <v>18585</v>
      </c>
      <c r="H582" s="116"/>
      <c r="I582" s="116"/>
      <c r="L582" s="170">
        <v>45394</v>
      </c>
      <c r="M582" s="116">
        <v>1002.2625</v>
      </c>
      <c r="N582" s="116">
        <v>1018.75</v>
      </c>
      <c r="O582" s="116">
        <v>960.23749999999995</v>
      </c>
      <c r="P582" s="116">
        <v>979.42499999999995</v>
      </c>
      <c r="Q582" s="116">
        <v>4009.05</v>
      </c>
      <c r="R582">
        <v>141212</v>
      </c>
    </row>
    <row r="583" spans="1:18" x14ac:dyDescent="0.25">
      <c r="A583" s="170">
        <v>45397</v>
      </c>
      <c r="B583" s="116">
        <v>1053.75</v>
      </c>
      <c r="C583" s="116">
        <v>1047.55</v>
      </c>
      <c r="D583" s="116">
        <v>963</v>
      </c>
      <c r="E583" s="116">
        <v>963</v>
      </c>
      <c r="F583" s="116">
        <v>4190.2</v>
      </c>
      <c r="G583">
        <v>36864</v>
      </c>
      <c r="H583" s="116"/>
      <c r="I583" s="116"/>
      <c r="L583" s="170">
        <v>45397</v>
      </c>
      <c r="M583" s="116">
        <v>1046.575</v>
      </c>
      <c r="N583" s="116">
        <v>1052.75</v>
      </c>
      <c r="O583" s="116">
        <v>963.98749999999995</v>
      </c>
      <c r="P583" s="116">
        <v>969.98749999999995</v>
      </c>
      <c r="Q583" s="116">
        <v>4186.3</v>
      </c>
      <c r="R583">
        <v>370704</v>
      </c>
    </row>
    <row r="584" spans="1:18" x14ac:dyDescent="0.25">
      <c r="A584" s="170">
        <v>45398</v>
      </c>
      <c r="B584" s="116">
        <v>1052.7874999999999</v>
      </c>
      <c r="C584" s="116">
        <v>1021.1875</v>
      </c>
      <c r="D584" s="116">
        <v>1008.55</v>
      </c>
      <c r="E584" s="116">
        <v>1047.4749999999999</v>
      </c>
      <c r="F584" s="116">
        <v>4084.75</v>
      </c>
      <c r="G584">
        <v>13437</v>
      </c>
      <c r="H584" s="116"/>
      <c r="I584" s="116"/>
      <c r="L584" s="170">
        <v>45398</v>
      </c>
      <c r="M584" s="116">
        <v>1021.8375</v>
      </c>
      <c r="N584" s="116">
        <v>1052.5</v>
      </c>
      <c r="O584" s="116">
        <v>1012.775</v>
      </c>
      <c r="P584" s="116">
        <v>1045</v>
      </c>
      <c r="Q584" s="116">
        <v>4087.35</v>
      </c>
      <c r="R584">
        <v>90299</v>
      </c>
    </row>
    <row r="585" spans="1:18" x14ac:dyDescent="0.25">
      <c r="A585" s="170">
        <v>45400</v>
      </c>
      <c r="B585" s="116">
        <v>1041.2125000000001</v>
      </c>
      <c r="C585" s="116">
        <v>1034.125</v>
      </c>
      <c r="D585" s="116">
        <v>1012.7375</v>
      </c>
      <c r="E585" s="116">
        <v>1041.2125000000001</v>
      </c>
      <c r="F585" s="116">
        <v>4136.5</v>
      </c>
      <c r="G585">
        <v>2690</v>
      </c>
      <c r="H585" s="116"/>
      <c r="I585" s="116"/>
      <c r="L585" s="170">
        <v>45400</v>
      </c>
      <c r="M585" s="116">
        <v>1034.5250000000001</v>
      </c>
      <c r="N585" s="116">
        <v>1037.5</v>
      </c>
      <c r="O585" s="116">
        <v>1013</v>
      </c>
      <c r="P585" s="116">
        <v>1032</v>
      </c>
      <c r="Q585" s="116">
        <v>4138.1000000000004</v>
      </c>
      <c r="R585">
        <v>54528</v>
      </c>
    </row>
    <row r="586" spans="1:18" x14ac:dyDescent="0.25">
      <c r="A586" s="170">
        <v>45401</v>
      </c>
      <c r="B586" s="116">
        <v>1061.5</v>
      </c>
      <c r="C586" s="116">
        <v>1042.3625</v>
      </c>
      <c r="D586" s="116">
        <v>1013.825</v>
      </c>
      <c r="E586" s="116">
        <v>1036.8125</v>
      </c>
      <c r="F586" s="116">
        <v>4169.45</v>
      </c>
      <c r="G586">
        <v>5091</v>
      </c>
      <c r="H586" s="116"/>
      <c r="I586" s="116"/>
      <c r="L586" s="170">
        <v>45401</v>
      </c>
      <c r="M586" s="116">
        <v>1042.8</v>
      </c>
      <c r="N586" s="116">
        <v>1062</v>
      </c>
      <c r="O586" s="116">
        <v>1010.0125</v>
      </c>
      <c r="P586" s="116">
        <v>1010.0125</v>
      </c>
      <c r="Q586" s="116">
        <v>4171.2</v>
      </c>
      <c r="R586">
        <v>124469</v>
      </c>
    </row>
    <row r="587" spans="1:18" x14ac:dyDescent="0.25">
      <c r="A587" s="170">
        <v>45404</v>
      </c>
      <c r="B587" s="116">
        <v>1059.25</v>
      </c>
      <c r="C587" s="116">
        <v>1007.15</v>
      </c>
      <c r="D587" s="116">
        <v>1001.275</v>
      </c>
      <c r="E587" s="116">
        <v>1059.25</v>
      </c>
      <c r="F587" s="116">
        <v>4028.6</v>
      </c>
      <c r="G587">
        <v>4303</v>
      </c>
      <c r="H587" s="116"/>
      <c r="I587" s="116"/>
      <c r="L587" s="170">
        <v>45404</v>
      </c>
      <c r="M587" s="116">
        <v>1005.3</v>
      </c>
      <c r="N587" s="116">
        <v>1056.25</v>
      </c>
      <c r="O587" s="116">
        <v>1000.85</v>
      </c>
      <c r="P587" s="116">
        <v>1051.2</v>
      </c>
      <c r="Q587" s="116">
        <v>4021.2</v>
      </c>
      <c r="R587">
        <v>69833</v>
      </c>
    </row>
    <row r="588" spans="1:18" x14ac:dyDescent="0.25">
      <c r="A588" s="170">
        <v>45405</v>
      </c>
      <c r="B588" s="116">
        <v>1021.4125</v>
      </c>
      <c r="C588" s="116">
        <v>988.9375</v>
      </c>
      <c r="D588" s="116">
        <v>987.5</v>
      </c>
      <c r="E588" s="116">
        <v>1021.4125</v>
      </c>
      <c r="F588" s="116">
        <v>3955.75</v>
      </c>
      <c r="G588">
        <v>5671</v>
      </c>
      <c r="H588" s="116"/>
      <c r="I588" s="116"/>
      <c r="L588" s="170">
        <v>45405</v>
      </c>
      <c r="M588" s="116">
        <v>988.8125</v>
      </c>
      <c r="N588" s="116">
        <v>1016.85</v>
      </c>
      <c r="O588" s="116">
        <v>987.75</v>
      </c>
      <c r="P588" s="116">
        <v>1016.85</v>
      </c>
      <c r="Q588" s="116">
        <v>3955.25</v>
      </c>
      <c r="R588">
        <v>62710</v>
      </c>
    </row>
    <row r="589" spans="1:18" x14ac:dyDescent="0.25">
      <c r="A589" s="170">
        <v>45406</v>
      </c>
      <c r="B589" s="116">
        <v>1012.3625</v>
      </c>
      <c r="C589" s="116">
        <v>984.67499999999995</v>
      </c>
      <c r="D589" s="116">
        <v>982.5</v>
      </c>
      <c r="E589" s="116">
        <v>992.61249999999995</v>
      </c>
      <c r="F589" s="116">
        <v>3938.7</v>
      </c>
      <c r="G589">
        <v>4024</v>
      </c>
      <c r="H589" s="116"/>
      <c r="I589" s="116"/>
      <c r="L589" s="170">
        <v>45406</v>
      </c>
      <c r="M589" s="116">
        <v>983.98749999999995</v>
      </c>
      <c r="N589" s="116">
        <v>1012.1625</v>
      </c>
      <c r="O589" s="116">
        <v>981.63750000000005</v>
      </c>
      <c r="P589" s="116">
        <v>999.8</v>
      </c>
      <c r="Q589" s="116">
        <v>3935.95</v>
      </c>
      <c r="R589">
        <v>30524</v>
      </c>
    </row>
    <row r="590" spans="1:18" x14ac:dyDescent="0.25">
      <c r="A590" s="170">
        <v>45407</v>
      </c>
      <c r="B590" s="116">
        <v>991.6875</v>
      </c>
      <c r="C590" s="116">
        <v>987.3</v>
      </c>
      <c r="D590" s="116">
        <v>977.6</v>
      </c>
      <c r="E590" s="116">
        <v>977.6</v>
      </c>
      <c r="F590" s="116">
        <v>3949.2</v>
      </c>
      <c r="G590">
        <v>3567</v>
      </c>
      <c r="H590" s="116"/>
      <c r="I590" s="116"/>
      <c r="L590" s="170">
        <v>45407</v>
      </c>
      <c r="M590" s="116">
        <v>987.42499999999995</v>
      </c>
      <c r="N590" s="116">
        <v>991.57500000000005</v>
      </c>
      <c r="O590" s="116">
        <v>980.26250000000005</v>
      </c>
      <c r="P590" s="116">
        <v>983.98749999999995</v>
      </c>
      <c r="Q590" s="116">
        <v>3949.7</v>
      </c>
      <c r="R590">
        <v>22763</v>
      </c>
    </row>
    <row r="591" spans="1:18" x14ac:dyDescent="0.25">
      <c r="A591" s="170">
        <v>45408</v>
      </c>
      <c r="B591" s="116">
        <v>1010.0125</v>
      </c>
      <c r="C591" s="116">
        <v>991.78750000000002</v>
      </c>
      <c r="D591" s="116">
        <v>983.96249999999998</v>
      </c>
      <c r="E591" s="116">
        <v>998.11249999999995</v>
      </c>
      <c r="F591" s="116">
        <v>3967.15</v>
      </c>
      <c r="G591">
        <v>1452</v>
      </c>
      <c r="H591" s="116"/>
      <c r="I591" s="116"/>
      <c r="L591" s="170">
        <v>45408</v>
      </c>
      <c r="M591" s="116">
        <v>989.75</v>
      </c>
      <c r="N591" s="116">
        <v>1011.25</v>
      </c>
      <c r="O591" s="116">
        <v>982.76250000000005</v>
      </c>
      <c r="P591" s="116">
        <v>987.25</v>
      </c>
      <c r="Q591" s="116">
        <v>3959</v>
      </c>
      <c r="R591">
        <v>35054</v>
      </c>
    </row>
    <row r="592" spans="1:18" x14ac:dyDescent="0.25">
      <c r="A592" s="170">
        <v>45411</v>
      </c>
      <c r="B592" s="116">
        <v>998.97500000000002</v>
      </c>
      <c r="C592" s="116">
        <v>986.02499999999998</v>
      </c>
      <c r="D592" s="116">
        <v>980</v>
      </c>
      <c r="E592" s="116">
        <v>997.16250000000002</v>
      </c>
      <c r="F592" s="116">
        <v>3944.1</v>
      </c>
      <c r="G592">
        <v>2877</v>
      </c>
      <c r="H592" s="116"/>
      <c r="I592" s="116"/>
      <c r="L592" s="170">
        <v>45411</v>
      </c>
      <c r="M592" s="116">
        <v>985.23749999999995</v>
      </c>
      <c r="N592" s="116">
        <v>999.875</v>
      </c>
      <c r="O592" s="116">
        <v>979.25</v>
      </c>
      <c r="P592" s="116">
        <v>999.72500000000002</v>
      </c>
      <c r="Q592" s="116">
        <v>3940.95</v>
      </c>
      <c r="R592">
        <v>23328</v>
      </c>
    </row>
    <row r="593" spans="1:18" x14ac:dyDescent="0.25">
      <c r="A593" s="170">
        <v>45412</v>
      </c>
      <c r="B593" s="116">
        <v>1003.75</v>
      </c>
      <c r="C593" s="116">
        <v>999.02499999999998</v>
      </c>
      <c r="D593" s="116">
        <v>990.03750000000002</v>
      </c>
      <c r="E593" s="116">
        <v>994.38750000000005</v>
      </c>
      <c r="F593" s="116">
        <v>3996.1</v>
      </c>
      <c r="G593">
        <v>3534</v>
      </c>
      <c r="H593" s="116"/>
      <c r="I593" s="116"/>
      <c r="L593" s="170">
        <v>45412</v>
      </c>
      <c r="M593" s="116">
        <v>999.5625</v>
      </c>
      <c r="N593" s="116">
        <v>1004.25</v>
      </c>
      <c r="O593" s="116">
        <v>991.125</v>
      </c>
      <c r="P593" s="116">
        <v>993.38750000000005</v>
      </c>
      <c r="Q593" s="116">
        <v>3998.25</v>
      </c>
      <c r="R593">
        <v>25100</v>
      </c>
    </row>
    <row r="594" spans="1:18" x14ac:dyDescent="0.25">
      <c r="A594" s="170">
        <v>45414</v>
      </c>
      <c r="B594" s="116">
        <v>1008.75</v>
      </c>
      <c r="C594" s="116">
        <v>997.58749999999998</v>
      </c>
      <c r="D594" s="116">
        <v>995.92499999999995</v>
      </c>
      <c r="E594" s="116">
        <v>1003.8375</v>
      </c>
      <c r="F594" s="116">
        <v>3990.35</v>
      </c>
      <c r="G594">
        <v>1905</v>
      </c>
      <c r="H594" s="116"/>
      <c r="I594" s="116"/>
      <c r="L594" s="170">
        <v>45414</v>
      </c>
      <c r="M594" s="116">
        <v>998.6875</v>
      </c>
      <c r="N594" s="116">
        <v>1008.25</v>
      </c>
      <c r="O594" s="116">
        <v>996.75</v>
      </c>
      <c r="P594" s="116">
        <v>1007.225</v>
      </c>
      <c r="Q594" s="116">
        <v>3994.75</v>
      </c>
      <c r="R594">
        <v>20182</v>
      </c>
    </row>
    <row r="595" spans="1:18" x14ac:dyDescent="0.25">
      <c r="A595" s="170">
        <v>45415</v>
      </c>
      <c r="B595" s="116">
        <v>1004.9875</v>
      </c>
      <c r="C595" s="116">
        <v>999.33749999999998</v>
      </c>
      <c r="D595" s="116">
        <v>985.61249999999995</v>
      </c>
      <c r="E595" s="116">
        <v>1000.675</v>
      </c>
      <c r="F595" s="116">
        <v>3997.35</v>
      </c>
      <c r="G595">
        <v>917</v>
      </c>
      <c r="H595" s="116"/>
      <c r="I595" s="116"/>
      <c r="L595" s="170">
        <v>45415</v>
      </c>
      <c r="M595" s="116">
        <v>999.35</v>
      </c>
      <c r="N595" s="116">
        <v>1007.2</v>
      </c>
      <c r="O595" s="116">
        <v>985</v>
      </c>
      <c r="P595" s="116">
        <v>1006.9375</v>
      </c>
      <c r="Q595" s="116">
        <v>3997.4</v>
      </c>
      <c r="R595">
        <v>15593</v>
      </c>
    </row>
    <row r="596" spans="1:18" x14ac:dyDescent="0.25">
      <c r="A596" s="170">
        <v>45418</v>
      </c>
      <c r="B596" s="116">
        <v>1018.8</v>
      </c>
      <c r="C596" s="116">
        <v>1011.7375</v>
      </c>
      <c r="D596" s="116">
        <v>990.75</v>
      </c>
      <c r="E596" s="116">
        <v>1000</v>
      </c>
      <c r="F596" s="116">
        <v>4046.95</v>
      </c>
      <c r="G596">
        <v>1431</v>
      </c>
      <c r="H596" s="116"/>
      <c r="I596" s="116"/>
      <c r="L596" s="170">
        <v>45418</v>
      </c>
      <c r="M596" s="116">
        <v>1012.475</v>
      </c>
      <c r="N596" s="116">
        <v>1022</v>
      </c>
      <c r="O596" s="116">
        <v>990.75</v>
      </c>
      <c r="P596" s="116">
        <v>1006.25</v>
      </c>
      <c r="Q596" s="116">
        <v>4049.9</v>
      </c>
      <c r="R596">
        <v>26881</v>
      </c>
    </row>
    <row r="597" spans="1:18" x14ac:dyDescent="0.25">
      <c r="A597" s="170">
        <v>45419</v>
      </c>
      <c r="B597" s="116">
        <v>1016.7125</v>
      </c>
      <c r="C597" s="116">
        <v>1001.025</v>
      </c>
      <c r="D597" s="116">
        <v>993.61249999999995</v>
      </c>
      <c r="E597" s="116">
        <v>1016.7125</v>
      </c>
      <c r="F597" s="116">
        <v>4004.1</v>
      </c>
      <c r="G597">
        <v>1159</v>
      </c>
      <c r="H597" s="116"/>
      <c r="I597" s="116"/>
      <c r="L597" s="170">
        <v>45419</v>
      </c>
      <c r="M597" s="116">
        <v>1000.5</v>
      </c>
      <c r="N597" s="116">
        <v>1018.5</v>
      </c>
      <c r="O597" s="116">
        <v>993.1875</v>
      </c>
      <c r="P597" s="116">
        <v>1015.6875</v>
      </c>
      <c r="Q597" s="116">
        <v>4002</v>
      </c>
      <c r="R597">
        <v>28904</v>
      </c>
    </row>
    <row r="598" spans="1:18" x14ac:dyDescent="0.25">
      <c r="A598" s="170">
        <v>45420</v>
      </c>
      <c r="B598" s="116">
        <v>1003.5625</v>
      </c>
      <c r="C598" s="116">
        <v>997.98749999999995</v>
      </c>
      <c r="D598" s="116">
        <v>992.4</v>
      </c>
      <c r="E598" s="116">
        <v>1003.5625</v>
      </c>
      <c r="F598" s="116">
        <v>3991.95</v>
      </c>
      <c r="G598">
        <v>2190</v>
      </c>
      <c r="H598" s="116"/>
      <c r="I598" s="116"/>
      <c r="L598" s="170">
        <v>45420</v>
      </c>
      <c r="M598" s="116">
        <v>998.875</v>
      </c>
      <c r="N598" s="116">
        <v>1001</v>
      </c>
      <c r="O598" s="116">
        <v>993.48749999999995</v>
      </c>
      <c r="P598" s="116">
        <v>1000.5</v>
      </c>
      <c r="Q598" s="116">
        <v>3995.5</v>
      </c>
      <c r="R598">
        <v>13649</v>
      </c>
    </row>
    <row r="599" spans="1:18" x14ac:dyDescent="0.25">
      <c r="A599" s="170">
        <v>45421</v>
      </c>
      <c r="B599" s="116">
        <v>1007.0875</v>
      </c>
      <c r="C599" s="116">
        <v>974.51250000000005</v>
      </c>
      <c r="D599" s="116">
        <v>973.125</v>
      </c>
      <c r="E599" s="116">
        <v>996.38750000000005</v>
      </c>
      <c r="F599" s="116">
        <v>3898.05</v>
      </c>
      <c r="G599">
        <v>610</v>
      </c>
      <c r="H599" s="116"/>
      <c r="I599" s="116"/>
      <c r="L599" s="170">
        <v>45421</v>
      </c>
      <c r="M599" s="116">
        <v>974.41250000000002</v>
      </c>
      <c r="N599" s="116">
        <v>1008.3</v>
      </c>
      <c r="O599" s="116">
        <v>972.57500000000005</v>
      </c>
      <c r="P599" s="116">
        <v>999.28750000000002</v>
      </c>
      <c r="Q599" s="116">
        <v>3897.65</v>
      </c>
      <c r="R599">
        <v>23632</v>
      </c>
    </row>
    <row r="600" spans="1:18" x14ac:dyDescent="0.25">
      <c r="A600" s="170">
        <v>45422</v>
      </c>
      <c r="B600" s="116">
        <v>993.73749999999995</v>
      </c>
      <c r="C600" s="116">
        <v>988.66250000000002</v>
      </c>
      <c r="D600" s="116">
        <v>972.8125</v>
      </c>
      <c r="E600" s="116">
        <v>975</v>
      </c>
      <c r="F600" s="116">
        <v>3954.65</v>
      </c>
      <c r="G600">
        <v>4445</v>
      </c>
      <c r="H600" s="116"/>
      <c r="I600" s="116"/>
      <c r="L600" s="170">
        <v>45422</v>
      </c>
      <c r="M600" s="116">
        <v>988.72500000000002</v>
      </c>
      <c r="N600" s="116">
        <v>995</v>
      </c>
      <c r="O600" s="116">
        <v>973.08749999999998</v>
      </c>
      <c r="P600" s="116">
        <v>975</v>
      </c>
      <c r="Q600" s="116">
        <v>3954.9</v>
      </c>
      <c r="R600">
        <v>26548</v>
      </c>
    </row>
    <row r="601" spans="1:18" x14ac:dyDescent="0.25">
      <c r="A601" s="170">
        <v>45425</v>
      </c>
      <c r="B601" s="116">
        <v>1004.9875</v>
      </c>
      <c r="C601" s="116">
        <v>989</v>
      </c>
      <c r="D601" s="116">
        <v>962.58749999999998</v>
      </c>
      <c r="E601" s="116">
        <v>1004.9875</v>
      </c>
      <c r="F601" s="116">
        <v>3956</v>
      </c>
      <c r="G601">
        <v>1125</v>
      </c>
      <c r="H601" s="116"/>
      <c r="I601" s="116"/>
      <c r="L601" s="170">
        <v>45425</v>
      </c>
      <c r="M601" s="116">
        <v>987.78750000000002</v>
      </c>
      <c r="N601" s="116">
        <v>999.73749999999995</v>
      </c>
      <c r="O601" s="116">
        <v>962.5</v>
      </c>
      <c r="P601" s="116">
        <v>999.3125</v>
      </c>
      <c r="Q601" s="116">
        <v>3951.15</v>
      </c>
      <c r="R601">
        <v>17365</v>
      </c>
    </row>
    <row r="602" spans="1:18" x14ac:dyDescent="0.25">
      <c r="A602" s="170">
        <v>45426</v>
      </c>
      <c r="B602" s="116">
        <v>995</v>
      </c>
      <c r="C602" s="116">
        <v>986.92499999999995</v>
      </c>
      <c r="D602" s="116">
        <v>976.9</v>
      </c>
      <c r="E602" s="116">
        <v>988.72500000000002</v>
      </c>
      <c r="F602" s="116">
        <v>3947.7</v>
      </c>
      <c r="G602">
        <v>1830</v>
      </c>
      <c r="H602" s="116"/>
      <c r="I602" s="116"/>
      <c r="L602" s="170">
        <v>45426</v>
      </c>
      <c r="M602" s="116">
        <v>986.97500000000002</v>
      </c>
      <c r="N602" s="116">
        <v>989.76250000000005</v>
      </c>
      <c r="O602" s="116">
        <v>976.07500000000005</v>
      </c>
      <c r="P602" s="116">
        <v>987.78750000000002</v>
      </c>
      <c r="Q602" s="116">
        <v>3947.9</v>
      </c>
      <c r="R602">
        <v>15396</v>
      </c>
    </row>
    <row r="603" spans="1:18" x14ac:dyDescent="0.25">
      <c r="A603" s="170">
        <v>45427</v>
      </c>
      <c r="B603" s="116">
        <v>992.55</v>
      </c>
      <c r="C603" s="116">
        <v>986.32500000000005</v>
      </c>
      <c r="D603" s="116">
        <v>979.23749999999995</v>
      </c>
      <c r="E603" s="116">
        <v>986.9375</v>
      </c>
      <c r="F603" s="116">
        <v>3945.3</v>
      </c>
      <c r="G603">
        <v>917</v>
      </c>
      <c r="H603" s="116"/>
      <c r="I603" s="116"/>
      <c r="L603" s="170">
        <v>45427</v>
      </c>
      <c r="M603" s="116">
        <v>985.61249999999995</v>
      </c>
      <c r="N603" s="116">
        <v>992.375</v>
      </c>
      <c r="O603" s="116">
        <v>977.72500000000002</v>
      </c>
      <c r="P603" s="116">
        <v>986.25</v>
      </c>
      <c r="Q603" s="116">
        <v>3942.45</v>
      </c>
      <c r="R603">
        <v>19279</v>
      </c>
    </row>
    <row r="604" spans="1:18" x14ac:dyDescent="0.25">
      <c r="A604" s="170">
        <v>45428</v>
      </c>
      <c r="B604" s="116">
        <v>1002.5</v>
      </c>
      <c r="C604" s="116">
        <v>988.11249999999995</v>
      </c>
      <c r="D604" s="116">
        <v>982</v>
      </c>
      <c r="E604" s="116">
        <v>990</v>
      </c>
      <c r="F604" s="116">
        <v>3952.45</v>
      </c>
      <c r="G604">
        <v>1889</v>
      </c>
      <c r="H604" s="116"/>
      <c r="I604" s="116"/>
      <c r="L604" s="170">
        <v>45428</v>
      </c>
      <c r="M604" s="116">
        <v>987.86249999999995</v>
      </c>
      <c r="N604" s="116">
        <v>1002.7875</v>
      </c>
      <c r="O604" s="116">
        <v>981.26250000000005</v>
      </c>
      <c r="P604" s="116">
        <v>998.61249999999995</v>
      </c>
      <c r="Q604" s="116">
        <v>3951.45</v>
      </c>
      <c r="R604">
        <v>17725</v>
      </c>
    </row>
    <row r="605" spans="1:18" x14ac:dyDescent="0.25">
      <c r="A605" s="170">
        <v>45429</v>
      </c>
      <c r="B605" s="116">
        <v>999.98749999999995</v>
      </c>
      <c r="C605" s="116">
        <v>987.35</v>
      </c>
      <c r="D605" s="116">
        <v>985</v>
      </c>
      <c r="E605" s="116">
        <v>988.75</v>
      </c>
      <c r="F605" s="116">
        <v>3949.4</v>
      </c>
      <c r="G605">
        <v>2156</v>
      </c>
      <c r="H605" s="116"/>
      <c r="I605" s="116"/>
      <c r="L605" s="170">
        <v>45429</v>
      </c>
      <c r="M605" s="116">
        <v>987.96249999999998</v>
      </c>
      <c r="N605" s="116">
        <v>1000</v>
      </c>
      <c r="O605" s="116">
        <v>985</v>
      </c>
      <c r="P605" s="116">
        <v>986.48749999999995</v>
      </c>
      <c r="Q605" s="116">
        <v>3951.85</v>
      </c>
      <c r="R605">
        <v>19132</v>
      </c>
    </row>
    <row r="606" spans="1:18" x14ac:dyDescent="0.25">
      <c r="A606" s="170">
        <v>45430</v>
      </c>
      <c r="B606" s="116">
        <v>1001.25</v>
      </c>
      <c r="C606" s="116">
        <v>986.02499999999998</v>
      </c>
      <c r="D606" s="116">
        <v>981.01250000000005</v>
      </c>
      <c r="E606" s="116">
        <v>1000</v>
      </c>
      <c r="F606" s="116">
        <v>3944.1</v>
      </c>
      <c r="G606">
        <v>159</v>
      </c>
      <c r="H606" s="116"/>
      <c r="I606" s="116"/>
      <c r="L606" s="170">
        <v>45430</v>
      </c>
      <c r="M606" s="116">
        <v>986.38750000000005</v>
      </c>
      <c r="N606" s="116">
        <v>993.73749999999995</v>
      </c>
      <c r="O606" s="116">
        <v>975</v>
      </c>
      <c r="P606" s="116">
        <v>990.5</v>
      </c>
      <c r="Q606" s="116">
        <v>3945.55</v>
      </c>
      <c r="R606">
        <v>3881</v>
      </c>
    </row>
    <row r="607" spans="1:18" x14ac:dyDescent="0.25">
      <c r="A607" s="170">
        <v>45433</v>
      </c>
      <c r="B607" s="116">
        <v>1005.75</v>
      </c>
      <c r="C607" s="116">
        <v>986.07500000000005</v>
      </c>
      <c r="D607" s="116">
        <v>972.5</v>
      </c>
      <c r="E607" s="116">
        <v>1001.3875</v>
      </c>
      <c r="F607" s="116">
        <v>3944.3</v>
      </c>
      <c r="G607">
        <v>2912</v>
      </c>
      <c r="H607" s="116"/>
      <c r="I607" s="116"/>
      <c r="L607" s="170">
        <v>45433</v>
      </c>
      <c r="M607" s="116">
        <v>986.9</v>
      </c>
      <c r="N607" s="116">
        <v>992.25</v>
      </c>
      <c r="O607" s="116">
        <v>972.48749999999995</v>
      </c>
      <c r="P607" s="116">
        <v>986.38750000000005</v>
      </c>
      <c r="Q607" s="116">
        <v>3947.6</v>
      </c>
      <c r="R607">
        <v>30669</v>
      </c>
    </row>
    <row r="608" spans="1:18" x14ac:dyDescent="0.25">
      <c r="A608" s="170">
        <v>45434</v>
      </c>
      <c r="B608" s="116">
        <v>1015.5375</v>
      </c>
      <c r="C608" s="116">
        <v>1010.5</v>
      </c>
      <c r="D608" s="116">
        <v>985</v>
      </c>
      <c r="E608" s="116">
        <v>987.5</v>
      </c>
      <c r="F608" s="116">
        <v>4042</v>
      </c>
      <c r="G608">
        <v>3821</v>
      </c>
      <c r="H608" s="116"/>
      <c r="I608" s="116"/>
      <c r="L608" s="170">
        <v>45434</v>
      </c>
      <c r="M608" s="116">
        <v>1010.5875</v>
      </c>
      <c r="N608" s="116">
        <v>1017.475</v>
      </c>
      <c r="O608" s="116">
        <v>985</v>
      </c>
      <c r="P608" s="116">
        <v>988.125</v>
      </c>
      <c r="Q608" s="116">
        <v>4042.35</v>
      </c>
      <c r="R608">
        <v>49973</v>
      </c>
    </row>
    <row r="609" spans="1:18" x14ac:dyDescent="0.25">
      <c r="A609" s="170">
        <v>45435</v>
      </c>
      <c r="B609" s="116">
        <v>1034.3875</v>
      </c>
      <c r="C609" s="116">
        <v>1017.9625</v>
      </c>
      <c r="D609" s="116">
        <v>1011.2625</v>
      </c>
      <c r="E609" s="116">
        <v>1011.2625</v>
      </c>
      <c r="F609" s="116">
        <v>4071.85</v>
      </c>
      <c r="G609">
        <v>787</v>
      </c>
      <c r="H609" s="116"/>
      <c r="I609" s="116"/>
      <c r="L609" s="170">
        <v>45435</v>
      </c>
      <c r="M609" s="116">
        <v>1017.3875</v>
      </c>
      <c r="N609" s="116">
        <v>1034</v>
      </c>
      <c r="O609" s="116">
        <v>1014.7625</v>
      </c>
      <c r="P609" s="116">
        <v>1017.5</v>
      </c>
      <c r="Q609" s="116">
        <v>4069.55</v>
      </c>
      <c r="R609">
        <v>29138</v>
      </c>
    </row>
    <row r="610" spans="1:18" x14ac:dyDescent="0.25">
      <c r="A610" s="170">
        <v>45436</v>
      </c>
      <c r="B610" s="116">
        <v>1021.5125</v>
      </c>
      <c r="C610" s="116">
        <v>1017.2125</v>
      </c>
      <c r="D610" s="116">
        <v>1008.9625</v>
      </c>
      <c r="E610" s="116">
        <v>1012.5125</v>
      </c>
      <c r="F610" s="116">
        <v>4068.85</v>
      </c>
      <c r="G610">
        <v>3416</v>
      </c>
      <c r="H610" s="116"/>
      <c r="I610" s="116"/>
      <c r="L610" s="170">
        <v>45436</v>
      </c>
      <c r="M610" s="116">
        <v>1017.375</v>
      </c>
      <c r="N610" s="116">
        <v>1020.25</v>
      </c>
      <c r="O610" s="116">
        <v>1010</v>
      </c>
      <c r="P610" s="116">
        <v>1017.4625</v>
      </c>
      <c r="Q610" s="116">
        <v>4069.5</v>
      </c>
      <c r="R610">
        <v>24018</v>
      </c>
    </row>
    <row r="611" spans="1:18" x14ac:dyDescent="0.25">
      <c r="A611" s="170">
        <v>45439</v>
      </c>
      <c r="B611" s="116">
        <v>1024.575</v>
      </c>
      <c r="C611" s="116">
        <v>1019.3375</v>
      </c>
      <c r="D611" s="116">
        <v>1012.0625</v>
      </c>
      <c r="E611" s="116">
        <v>1024.575</v>
      </c>
      <c r="F611" s="116">
        <v>4077.35</v>
      </c>
      <c r="G611">
        <v>825</v>
      </c>
      <c r="H611" s="116"/>
      <c r="I611" s="116"/>
      <c r="L611" s="170">
        <v>45439</v>
      </c>
      <c r="M611" s="116">
        <v>1019.025</v>
      </c>
      <c r="N611" s="116">
        <v>1025</v>
      </c>
      <c r="O611" s="116">
        <v>1011.7625</v>
      </c>
      <c r="P611" s="116">
        <v>1022.5125</v>
      </c>
      <c r="Q611" s="116">
        <v>4076.1</v>
      </c>
      <c r="R611">
        <v>31025</v>
      </c>
    </row>
    <row r="612" spans="1:18" x14ac:dyDescent="0.25">
      <c r="A612" s="170">
        <v>45440</v>
      </c>
      <c r="B612" s="116">
        <v>1037.25</v>
      </c>
      <c r="C612" s="116">
        <v>1029.2625</v>
      </c>
      <c r="D612" s="116">
        <v>1015.7625</v>
      </c>
      <c r="E612" s="116">
        <v>1019.0125</v>
      </c>
      <c r="F612" s="116">
        <v>4117.05</v>
      </c>
      <c r="G612">
        <v>4499</v>
      </c>
      <c r="H612" s="116"/>
      <c r="I612" s="116"/>
      <c r="L612" s="170">
        <v>45440</v>
      </c>
      <c r="M612" s="116">
        <v>1030.5999999999999</v>
      </c>
      <c r="N612" s="116">
        <v>1037.5</v>
      </c>
      <c r="O612" s="116">
        <v>1015.0125</v>
      </c>
      <c r="P612" s="116">
        <v>1015.0125</v>
      </c>
      <c r="Q612" s="116">
        <v>4122.3999999999996</v>
      </c>
      <c r="R612">
        <v>38340</v>
      </c>
    </row>
    <row r="613" spans="1:18" x14ac:dyDescent="0.25">
      <c r="A613" s="170">
        <v>45441</v>
      </c>
      <c r="B613" s="116">
        <v>1049.8499999999999</v>
      </c>
      <c r="C613" s="116">
        <v>1041.25</v>
      </c>
      <c r="D613" s="116">
        <v>1025.1125</v>
      </c>
      <c r="E613" s="116">
        <v>1031.7874999999999</v>
      </c>
      <c r="F613" s="116">
        <v>4165</v>
      </c>
      <c r="G613">
        <v>2906</v>
      </c>
      <c r="H613" s="116"/>
      <c r="I613" s="116"/>
      <c r="L613" s="170">
        <v>45441</v>
      </c>
      <c r="M613" s="116">
        <v>1041.7125000000001</v>
      </c>
      <c r="N613" s="116">
        <v>1050</v>
      </c>
      <c r="O613" s="116">
        <v>1025</v>
      </c>
      <c r="P613" s="116">
        <v>1030.5999999999999</v>
      </c>
      <c r="Q613" s="116">
        <v>4166.8500000000004</v>
      </c>
      <c r="R613">
        <v>34032</v>
      </c>
    </row>
    <row r="614" spans="1:18" x14ac:dyDescent="0.25">
      <c r="A614" s="170">
        <v>45442</v>
      </c>
      <c r="B614" s="116">
        <v>1056.6875</v>
      </c>
      <c r="C614" s="116">
        <v>1035.2874999999999</v>
      </c>
      <c r="D614" s="116">
        <v>1026.5</v>
      </c>
      <c r="E614" s="116">
        <v>1046.4875</v>
      </c>
      <c r="F614" s="116">
        <v>4141.1499999999996</v>
      </c>
      <c r="G614">
        <v>27393</v>
      </c>
      <c r="H614" s="116"/>
      <c r="I614" s="116"/>
      <c r="L614" s="170">
        <v>45442</v>
      </c>
      <c r="M614" s="116">
        <v>1036.5250000000001</v>
      </c>
      <c r="N614" s="116">
        <v>1056.25</v>
      </c>
      <c r="O614" s="116">
        <v>1026.2750000000001</v>
      </c>
      <c r="P614" s="116">
        <v>1041.7125000000001</v>
      </c>
      <c r="Q614" s="116">
        <v>4146.1000000000004</v>
      </c>
      <c r="R614">
        <v>233485</v>
      </c>
    </row>
    <row r="615" spans="1:18" x14ac:dyDescent="0.25">
      <c r="A615" s="170">
        <v>45443</v>
      </c>
      <c r="B615" s="116">
        <v>1066.2</v>
      </c>
      <c r="C615" s="116">
        <v>1048.7375</v>
      </c>
      <c r="D615" s="116">
        <v>1007.75</v>
      </c>
      <c r="E615" s="116">
        <v>1044.9875</v>
      </c>
      <c r="F615" s="116">
        <v>4194.95</v>
      </c>
      <c r="G615">
        <v>3112</v>
      </c>
      <c r="H615" s="116"/>
      <c r="I615" s="116"/>
      <c r="L615" s="170">
        <v>45443</v>
      </c>
      <c r="M615" s="116">
        <v>1048.8499999999999</v>
      </c>
      <c r="N615" s="116">
        <v>1074.9875</v>
      </c>
      <c r="O615" s="116">
        <v>1008.775</v>
      </c>
      <c r="P615" s="116">
        <v>1037.5</v>
      </c>
      <c r="Q615" s="116">
        <v>4195.3999999999996</v>
      </c>
      <c r="R615">
        <v>86790</v>
      </c>
    </row>
    <row r="616" spans="1:18" x14ac:dyDescent="0.25">
      <c r="A616" s="170">
        <v>45446</v>
      </c>
      <c r="B616" s="116">
        <v>1074.7249999999999</v>
      </c>
      <c r="C616" s="116">
        <v>1024.4375</v>
      </c>
      <c r="D616" s="116">
        <v>1017.9</v>
      </c>
      <c r="E616" s="116">
        <v>1074.7249999999999</v>
      </c>
      <c r="F616" s="116">
        <v>4097.75</v>
      </c>
      <c r="G616">
        <v>3094</v>
      </c>
      <c r="H616" s="116"/>
      <c r="I616" s="116"/>
      <c r="L616" s="170">
        <v>45446</v>
      </c>
      <c r="M616" s="116">
        <v>1023.2125</v>
      </c>
      <c r="N616" s="116">
        <v>1074.9875</v>
      </c>
      <c r="O616" s="116">
        <v>1018.0875</v>
      </c>
      <c r="P616" s="116">
        <v>1072.5</v>
      </c>
      <c r="Q616" s="116">
        <v>4092.85</v>
      </c>
      <c r="R616">
        <v>39728</v>
      </c>
    </row>
    <row r="617" spans="1:18" x14ac:dyDescent="0.25">
      <c r="A617" s="170">
        <v>45447</v>
      </c>
      <c r="B617" s="116">
        <v>1012.5</v>
      </c>
      <c r="C617" s="116">
        <v>960.22500000000002</v>
      </c>
      <c r="D617" s="116">
        <v>886.625</v>
      </c>
      <c r="E617" s="116">
        <v>1012.5</v>
      </c>
      <c r="F617" s="116">
        <v>3840.9</v>
      </c>
      <c r="G617">
        <v>25340</v>
      </c>
      <c r="H617" s="116"/>
      <c r="I617" s="116"/>
      <c r="L617" s="170">
        <v>45447</v>
      </c>
      <c r="M617" s="116">
        <v>958.5</v>
      </c>
      <c r="N617" s="116">
        <v>1032.0125</v>
      </c>
      <c r="O617" s="116">
        <v>885.32500000000005</v>
      </c>
      <c r="P617" s="116">
        <v>1011.75</v>
      </c>
      <c r="Q617" s="116">
        <v>3834</v>
      </c>
      <c r="R617">
        <v>103020</v>
      </c>
    </row>
    <row r="618" spans="1:18" x14ac:dyDescent="0.25">
      <c r="A618" s="170">
        <v>45448</v>
      </c>
      <c r="B618" s="116">
        <v>1002.6125</v>
      </c>
      <c r="C618" s="116">
        <v>998.78750000000002</v>
      </c>
      <c r="D618" s="116">
        <v>936.21249999999998</v>
      </c>
      <c r="E618" s="116">
        <v>959.98749999999995</v>
      </c>
      <c r="F618" s="116">
        <v>3995.15</v>
      </c>
      <c r="G618">
        <v>5633</v>
      </c>
      <c r="H618" s="116"/>
      <c r="I618" s="116"/>
      <c r="L618" s="170">
        <v>45448</v>
      </c>
      <c r="M618" s="116">
        <v>998.35</v>
      </c>
      <c r="N618" s="116">
        <v>1002.5</v>
      </c>
      <c r="O618" s="116">
        <v>940.01250000000005</v>
      </c>
      <c r="P618" s="116">
        <v>958.5</v>
      </c>
      <c r="Q618" s="116">
        <v>3993.4</v>
      </c>
      <c r="R618">
        <v>35272</v>
      </c>
    </row>
    <row r="619" spans="1:18" x14ac:dyDescent="0.25">
      <c r="A619" s="170">
        <v>45449</v>
      </c>
      <c r="B619" s="116">
        <v>1033.3499999999999</v>
      </c>
      <c r="C619" s="116">
        <v>999.27499999999998</v>
      </c>
      <c r="D619" s="116">
        <v>988.11249999999995</v>
      </c>
      <c r="E619" s="116">
        <v>988.11249999999995</v>
      </c>
      <c r="F619" s="116">
        <v>3997.1</v>
      </c>
      <c r="G619">
        <v>2738</v>
      </c>
      <c r="H619" s="116"/>
      <c r="I619" s="116"/>
      <c r="L619" s="170">
        <v>45449</v>
      </c>
      <c r="M619" s="116">
        <v>999.11249999999995</v>
      </c>
      <c r="N619" s="116">
        <v>1033.7874999999999</v>
      </c>
      <c r="O619" s="116">
        <v>989.66250000000002</v>
      </c>
      <c r="P619" s="116">
        <v>995</v>
      </c>
      <c r="Q619" s="116">
        <v>3996.45</v>
      </c>
      <c r="R619">
        <v>25590</v>
      </c>
    </row>
    <row r="620" spans="1:18" x14ac:dyDescent="0.25">
      <c r="A620" s="170">
        <v>45450</v>
      </c>
      <c r="B620" s="116">
        <v>1007.975</v>
      </c>
      <c r="C620" s="116">
        <v>977.65</v>
      </c>
      <c r="D620" s="116">
        <v>970.8</v>
      </c>
      <c r="E620" s="116">
        <v>987.5</v>
      </c>
      <c r="F620" s="116">
        <v>3910.6</v>
      </c>
      <c r="G620">
        <v>3395</v>
      </c>
      <c r="H620" s="116"/>
      <c r="I620" s="116"/>
      <c r="L620" s="170">
        <v>45450</v>
      </c>
      <c r="M620" s="116">
        <v>976.6875</v>
      </c>
      <c r="N620" s="116">
        <v>1011.1625</v>
      </c>
      <c r="O620" s="116">
        <v>970.875</v>
      </c>
      <c r="P620" s="116">
        <v>1007.2125</v>
      </c>
      <c r="Q620" s="116">
        <v>3906.75</v>
      </c>
      <c r="R620">
        <v>29930</v>
      </c>
    </row>
    <row r="621" spans="1:18" x14ac:dyDescent="0.25">
      <c r="A621" s="170">
        <v>45453</v>
      </c>
      <c r="B621" s="116">
        <v>983.55</v>
      </c>
      <c r="C621" s="116">
        <v>964.73749999999995</v>
      </c>
      <c r="D621" s="116">
        <v>953.01250000000005</v>
      </c>
      <c r="E621" s="116">
        <v>979.51250000000005</v>
      </c>
      <c r="F621" s="116">
        <v>3858.95</v>
      </c>
      <c r="G621">
        <v>4648</v>
      </c>
      <c r="H621" s="116"/>
      <c r="I621" s="116"/>
      <c r="L621" s="170">
        <v>45453</v>
      </c>
      <c r="M621" s="116">
        <v>964.2</v>
      </c>
      <c r="N621" s="116">
        <v>983.73749999999995</v>
      </c>
      <c r="O621" s="116">
        <v>952.5</v>
      </c>
      <c r="P621" s="116">
        <v>982.48749999999995</v>
      </c>
      <c r="Q621" s="116">
        <v>3856.8</v>
      </c>
      <c r="R621">
        <v>40315</v>
      </c>
    </row>
    <row r="622" spans="1:18" x14ac:dyDescent="0.25">
      <c r="A622" s="170">
        <v>45454</v>
      </c>
      <c r="B622" s="116">
        <v>978.75</v>
      </c>
      <c r="C622" s="116">
        <v>975.86249999999995</v>
      </c>
      <c r="D622" s="116">
        <v>951.76250000000005</v>
      </c>
      <c r="E622" s="116">
        <v>951.76250000000005</v>
      </c>
      <c r="F622" s="116">
        <v>3903.45</v>
      </c>
      <c r="G622">
        <v>5038</v>
      </c>
      <c r="H622" s="116"/>
      <c r="I622" s="116"/>
      <c r="L622" s="170">
        <v>45454</v>
      </c>
      <c r="M622" s="116">
        <v>974.22500000000002</v>
      </c>
      <c r="N622" s="116">
        <v>978.73749999999995</v>
      </c>
      <c r="O622" s="116">
        <v>952.5</v>
      </c>
      <c r="P622" s="116">
        <v>964.17499999999995</v>
      </c>
      <c r="Q622" s="116">
        <v>3896.9</v>
      </c>
      <c r="R622">
        <v>18305</v>
      </c>
    </row>
    <row r="623" spans="1:18" x14ac:dyDescent="0.25">
      <c r="A623" s="170">
        <v>45455</v>
      </c>
      <c r="B623" s="116">
        <v>991.5</v>
      </c>
      <c r="C623" s="116">
        <v>980.6875</v>
      </c>
      <c r="D623" s="116">
        <v>977.5</v>
      </c>
      <c r="E623" s="116">
        <v>977.5</v>
      </c>
      <c r="F623" s="116">
        <v>3922.75</v>
      </c>
      <c r="G623">
        <v>2779</v>
      </c>
      <c r="H623" s="116"/>
      <c r="I623" s="116"/>
      <c r="L623" s="170">
        <v>45455</v>
      </c>
      <c r="M623" s="116">
        <v>981.22500000000002</v>
      </c>
      <c r="N623" s="116">
        <v>994.23749999999995</v>
      </c>
      <c r="O623" s="116">
        <v>977.5</v>
      </c>
      <c r="P623" s="116">
        <v>982.07500000000005</v>
      </c>
      <c r="Q623" s="116">
        <v>3924.9</v>
      </c>
      <c r="R623">
        <v>53059</v>
      </c>
    </row>
    <row r="624" spans="1:18" x14ac:dyDescent="0.25">
      <c r="A624" s="170">
        <v>45456</v>
      </c>
      <c r="B624" s="116">
        <v>990.1875</v>
      </c>
      <c r="C624" s="116">
        <v>984.25</v>
      </c>
      <c r="D624" s="116">
        <v>982.32500000000005</v>
      </c>
      <c r="E624" s="116">
        <v>983.25</v>
      </c>
      <c r="F624" s="116">
        <v>3937</v>
      </c>
      <c r="G624">
        <v>815</v>
      </c>
      <c r="H624" s="116"/>
      <c r="I624" s="116"/>
      <c r="L624" s="170">
        <v>45456</v>
      </c>
      <c r="M624" s="116">
        <v>985.27499999999998</v>
      </c>
      <c r="N624" s="116">
        <v>995</v>
      </c>
      <c r="O624" s="116">
        <v>982.5</v>
      </c>
      <c r="P624" s="116">
        <v>987.5</v>
      </c>
      <c r="Q624" s="116">
        <v>3941.1</v>
      </c>
      <c r="R624">
        <v>13286</v>
      </c>
    </row>
    <row r="625" spans="1:18" x14ac:dyDescent="0.25">
      <c r="A625" s="170">
        <v>45457</v>
      </c>
      <c r="B625" s="116">
        <v>999.625</v>
      </c>
      <c r="C625" s="116">
        <v>998.51250000000005</v>
      </c>
      <c r="D625" s="116">
        <v>986.5625</v>
      </c>
      <c r="E625" s="116">
        <v>990.27499999999998</v>
      </c>
      <c r="F625" s="116">
        <v>3994.05</v>
      </c>
      <c r="G625">
        <v>4929</v>
      </c>
      <c r="H625" s="116"/>
      <c r="I625" s="116"/>
      <c r="L625" s="170">
        <v>45457</v>
      </c>
      <c r="M625" s="116">
        <v>998.91250000000002</v>
      </c>
      <c r="N625" s="116">
        <v>1000</v>
      </c>
      <c r="O625" s="116">
        <v>985.97500000000002</v>
      </c>
      <c r="P625" s="116">
        <v>985.97500000000002</v>
      </c>
      <c r="Q625" s="116">
        <v>3995.65</v>
      </c>
      <c r="R625">
        <v>18171</v>
      </c>
    </row>
    <row r="626" spans="1:18" x14ac:dyDescent="0.25">
      <c r="A626" s="170">
        <v>45461</v>
      </c>
      <c r="B626" s="116">
        <v>1009</v>
      </c>
      <c r="C626" s="116">
        <v>1001.7625</v>
      </c>
      <c r="D626" s="116">
        <v>993.75</v>
      </c>
      <c r="E626" s="116">
        <v>1006.4125</v>
      </c>
      <c r="F626" s="116">
        <v>4007.05</v>
      </c>
      <c r="G626">
        <v>611</v>
      </c>
      <c r="H626" s="116"/>
      <c r="I626" s="116"/>
      <c r="L626" s="170">
        <v>45461</v>
      </c>
      <c r="M626" s="116">
        <v>1003.725</v>
      </c>
      <c r="N626" s="116">
        <v>1011.025</v>
      </c>
      <c r="O626" s="116">
        <v>993.875</v>
      </c>
      <c r="P626" s="116">
        <v>1007.4</v>
      </c>
      <c r="Q626" s="116">
        <v>4014.9</v>
      </c>
      <c r="R626">
        <v>18929</v>
      </c>
    </row>
    <row r="627" spans="1:18" x14ac:dyDescent="0.25">
      <c r="A627" s="170">
        <v>45462</v>
      </c>
      <c r="B627" s="116">
        <v>1018</v>
      </c>
      <c r="C627" s="116">
        <v>998.5625</v>
      </c>
      <c r="D627" s="116">
        <v>997.25</v>
      </c>
      <c r="E627" s="116">
        <v>1015</v>
      </c>
      <c r="F627" s="116">
        <v>3994.25</v>
      </c>
      <c r="G627">
        <v>1629</v>
      </c>
      <c r="H627" s="116"/>
      <c r="I627" s="116"/>
      <c r="L627" s="170">
        <v>45462</v>
      </c>
      <c r="M627" s="116">
        <v>998.85</v>
      </c>
      <c r="N627" s="116">
        <v>1022.5</v>
      </c>
      <c r="O627" s="116">
        <v>997.5</v>
      </c>
      <c r="P627" s="116">
        <v>1022.5</v>
      </c>
      <c r="Q627" s="116">
        <v>3995.4</v>
      </c>
      <c r="R627">
        <v>20843</v>
      </c>
    </row>
    <row r="628" spans="1:18" x14ac:dyDescent="0.25">
      <c r="A628" s="170">
        <v>45463</v>
      </c>
      <c r="B628" s="116">
        <v>1008.7625</v>
      </c>
      <c r="C628" s="116">
        <v>1000.475</v>
      </c>
      <c r="D628" s="116">
        <v>996.75</v>
      </c>
      <c r="E628" s="116">
        <v>1002.5</v>
      </c>
      <c r="F628" s="116">
        <v>4001.9</v>
      </c>
      <c r="G628">
        <v>637</v>
      </c>
      <c r="H628" s="116"/>
      <c r="I628" s="116"/>
      <c r="L628" s="170">
        <v>45463</v>
      </c>
      <c r="M628" s="116">
        <v>1001.1625</v>
      </c>
      <c r="N628" s="116">
        <v>1009.7375</v>
      </c>
      <c r="O628" s="116">
        <v>995.02499999999998</v>
      </c>
      <c r="P628" s="116">
        <v>1001</v>
      </c>
      <c r="Q628" s="116">
        <v>4004.65</v>
      </c>
      <c r="R628">
        <v>12522</v>
      </c>
    </row>
    <row r="629" spans="1:18" x14ac:dyDescent="0.25">
      <c r="A629" s="170">
        <v>45464</v>
      </c>
      <c r="B629" s="116">
        <v>1002.7875</v>
      </c>
      <c r="C629" s="116">
        <v>985.32500000000005</v>
      </c>
      <c r="D629" s="116">
        <v>977.5</v>
      </c>
      <c r="E629" s="116">
        <v>995</v>
      </c>
      <c r="F629" s="116">
        <v>3941.3</v>
      </c>
      <c r="G629">
        <v>1586</v>
      </c>
      <c r="H629" s="116"/>
      <c r="I629" s="116"/>
      <c r="L629" s="170">
        <v>45464</v>
      </c>
      <c r="M629" s="116">
        <v>984.16250000000002</v>
      </c>
      <c r="N629" s="116">
        <v>1003.4625</v>
      </c>
      <c r="O629" s="116">
        <v>976.75</v>
      </c>
      <c r="P629" s="116">
        <v>993.75</v>
      </c>
      <c r="Q629" s="116">
        <v>3936.65</v>
      </c>
      <c r="R629">
        <v>28802</v>
      </c>
    </row>
    <row r="630" spans="1:18" x14ac:dyDescent="0.25">
      <c r="A630" s="170">
        <v>45467</v>
      </c>
      <c r="B630" s="116">
        <v>982.9375</v>
      </c>
      <c r="C630" s="116">
        <v>972.16250000000002</v>
      </c>
      <c r="D630" s="116">
        <v>957.83749999999998</v>
      </c>
      <c r="E630" s="116">
        <v>961.11249999999995</v>
      </c>
      <c r="F630" s="116">
        <v>3888.65</v>
      </c>
      <c r="G630">
        <v>3929</v>
      </c>
      <c r="H630" s="116"/>
      <c r="I630" s="116"/>
      <c r="L630" s="170">
        <v>45467</v>
      </c>
      <c r="M630" s="116">
        <v>972.36249999999995</v>
      </c>
      <c r="N630" s="116">
        <v>983.75</v>
      </c>
      <c r="O630" s="116">
        <v>960.01250000000005</v>
      </c>
      <c r="P630" s="116">
        <v>969.7</v>
      </c>
      <c r="Q630" s="116">
        <v>3889.45</v>
      </c>
      <c r="R630">
        <v>18124</v>
      </c>
    </row>
    <row r="631" spans="1:18" x14ac:dyDescent="0.25">
      <c r="A631" s="170">
        <v>45468</v>
      </c>
      <c r="B631" s="116">
        <v>983.98749999999995</v>
      </c>
      <c r="C631" s="116">
        <v>970.6</v>
      </c>
      <c r="D631" s="116">
        <v>966.25</v>
      </c>
      <c r="E631" s="116">
        <v>966.83749999999998</v>
      </c>
      <c r="F631" s="116">
        <v>3882.4</v>
      </c>
      <c r="G631">
        <v>2034</v>
      </c>
      <c r="H631" s="116"/>
      <c r="I631" s="116"/>
      <c r="L631" s="170">
        <v>45468</v>
      </c>
      <c r="M631" s="116">
        <v>970.16250000000002</v>
      </c>
      <c r="N631" s="116">
        <v>984.72500000000002</v>
      </c>
      <c r="O631" s="116">
        <v>966.25</v>
      </c>
      <c r="P631" s="116">
        <v>974.73749999999995</v>
      </c>
      <c r="Q631" s="116">
        <v>3880.65</v>
      </c>
      <c r="R631">
        <v>17294</v>
      </c>
    </row>
    <row r="632" spans="1:18" x14ac:dyDescent="0.25">
      <c r="A632" s="170">
        <v>45469</v>
      </c>
      <c r="B632" s="116">
        <v>972.66250000000002</v>
      </c>
      <c r="C632" s="116">
        <v>958.61249999999995</v>
      </c>
      <c r="D632" s="116">
        <v>957.4375</v>
      </c>
      <c r="E632" s="116">
        <v>965</v>
      </c>
      <c r="F632" s="116">
        <v>3834.45</v>
      </c>
      <c r="G632">
        <v>3201</v>
      </c>
      <c r="H632" s="116"/>
      <c r="I632" s="116"/>
      <c r="L632" s="170">
        <v>45469</v>
      </c>
      <c r="M632" s="116">
        <v>959.13750000000005</v>
      </c>
      <c r="N632" s="116">
        <v>974.8125</v>
      </c>
      <c r="O632" s="116">
        <v>957.5</v>
      </c>
      <c r="P632" s="116">
        <v>969.75</v>
      </c>
      <c r="Q632" s="116">
        <v>3836.55</v>
      </c>
      <c r="R632">
        <v>19024</v>
      </c>
    </row>
    <row r="633" spans="1:18" x14ac:dyDescent="0.25">
      <c r="A633" s="170">
        <v>45470</v>
      </c>
      <c r="B633" s="116">
        <v>976.63750000000005</v>
      </c>
      <c r="C633" s="116">
        <v>965.75</v>
      </c>
      <c r="D633" s="116">
        <v>958.75</v>
      </c>
      <c r="E633" s="116">
        <v>958.75</v>
      </c>
      <c r="F633" s="116">
        <v>3863</v>
      </c>
      <c r="G633">
        <v>1518</v>
      </c>
      <c r="H633" s="116"/>
      <c r="I633" s="116"/>
      <c r="L633" s="170">
        <v>45470</v>
      </c>
      <c r="M633" s="116">
        <v>966.45</v>
      </c>
      <c r="N633" s="116">
        <v>977.625</v>
      </c>
      <c r="O633" s="116">
        <v>959.75</v>
      </c>
      <c r="P633" s="116">
        <v>962.47500000000002</v>
      </c>
      <c r="Q633" s="116">
        <v>3865.8</v>
      </c>
      <c r="R633">
        <v>30821</v>
      </c>
    </row>
    <row r="634" spans="1:18" x14ac:dyDescent="0.25">
      <c r="A634" s="170">
        <v>45471</v>
      </c>
      <c r="B634" s="116">
        <v>1006.4375</v>
      </c>
      <c r="C634" s="116">
        <v>979.48749999999995</v>
      </c>
      <c r="D634" s="116">
        <v>960.01250000000005</v>
      </c>
      <c r="E634" s="116">
        <v>960.01250000000005</v>
      </c>
      <c r="F634" s="116">
        <v>3917.95</v>
      </c>
      <c r="G634">
        <v>3343</v>
      </c>
      <c r="H634" s="116"/>
      <c r="I634" s="116"/>
      <c r="L634" s="170">
        <v>45471</v>
      </c>
      <c r="M634" s="116">
        <v>976.96249999999998</v>
      </c>
      <c r="N634" s="116">
        <v>1008.075</v>
      </c>
      <c r="O634" s="116">
        <v>968.13750000000005</v>
      </c>
      <c r="P634" s="116">
        <v>972.72500000000002</v>
      </c>
      <c r="Q634" s="116">
        <v>3907.85</v>
      </c>
      <c r="R634">
        <v>101012</v>
      </c>
    </row>
    <row r="635" spans="1:18" x14ac:dyDescent="0.25">
      <c r="A635" s="170">
        <v>45474</v>
      </c>
      <c r="B635" s="116">
        <v>989.58749999999998</v>
      </c>
      <c r="C635" s="116">
        <v>979.73749999999995</v>
      </c>
      <c r="D635" s="116">
        <v>960.08749999999998</v>
      </c>
      <c r="E635" s="116">
        <v>960.08749999999998</v>
      </c>
      <c r="F635" s="116">
        <v>3918.95</v>
      </c>
      <c r="G635">
        <v>4319</v>
      </c>
      <c r="H635" s="116"/>
      <c r="I635" s="116"/>
      <c r="L635" s="170">
        <v>45474</v>
      </c>
      <c r="M635" s="116">
        <v>980.17499999999995</v>
      </c>
      <c r="N635" s="116">
        <v>989.76250000000005</v>
      </c>
      <c r="O635" s="116">
        <v>965.8</v>
      </c>
      <c r="P635" s="116">
        <v>979.4</v>
      </c>
      <c r="Q635" s="116">
        <v>3920.7</v>
      </c>
      <c r="R635">
        <v>23883</v>
      </c>
    </row>
    <row r="636" spans="1:18" x14ac:dyDescent="0.25">
      <c r="A636" s="170">
        <v>45475</v>
      </c>
      <c r="B636" s="116">
        <v>979.875</v>
      </c>
      <c r="C636" s="116">
        <v>967.21249999999998</v>
      </c>
      <c r="D636" s="116">
        <v>962.23749999999995</v>
      </c>
      <c r="E636" s="116">
        <v>972.48749999999995</v>
      </c>
      <c r="F636" s="116">
        <v>3868.85</v>
      </c>
      <c r="G636">
        <v>2138</v>
      </c>
      <c r="H636" s="116"/>
      <c r="I636" s="116"/>
      <c r="L636" s="170">
        <v>45475</v>
      </c>
      <c r="M636" s="116">
        <v>971.4375</v>
      </c>
      <c r="N636" s="116">
        <v>980</v>
      </c>
      <c r="O636" s="116">
        <v>963.75</v>
      </c>
      <c r="P636" s="116">
        <v>965</v>
      </c>
      <c r="Q636" s="116">
        <v>3885.75</v>
      </c>
      <c r="R636">
        <v>22803</v>
      </c>
    </row>
    <row r="637" spans="1:18" x14ac:dyDescent="0.25">
      <c r="A637" s="170">
        <v>45476</v>
      </c>
      <c r="B637" s="116">
        <v>977.51250000000005</v>
      </c>
      <c r="C637" s="116">
        <v>970.0625</v>
      </c>
      <c r="D637" s="116">
        <v>965.875</v>
      </c>
      <c r="E637" s="116">
        <v>966.25</v>
      </c>
      <c r="F637" s="116">
        <v>3880.25</v>
      </c>
      <c r="G637">
        <v>787</v>
      </c>
      <c r="H637" s="116"/>
      <c r="I637" s="116"/>
      <c r="L637" s="170">
        <v>45476</v>
      </c>
      <c r="M637" s="116">
        <v>970.35</v>
      </c>
      <c r="N637" s="116">
        <v>976.23749999999995</v>
      </c>
      <c r="O637" s="116">
        <v>965.02499999999998</v>
      </c>
      <c r="P637" s="116">
        <v>975</v>
      </c>
      <c r="Q637" s="116">
        <v>3881.4</v>
      </c>
      <c r="R637">
        <v>22358</v>
      </c>
    </row>
    <row r="638" spans="1:18" x14ac:dyDescent="0.25">
      <c r="A638" s="170">
        <v>45477</v>
      </c>
      <c r="B638" s="116">
        <v>976</v>
      </c>
      <c r="C638" s="116">
        <v>974.16250000000002</v>
      </c>
      <c r="D638" s="116">
        <v>964.17499999999995</v>
      </c>
      <c r="E638" s="116">
        <v>964.17499999999995</v>
      </c>
      <c r="F638" s="116">
        <v>3896.65</v>
      </c>
      <c r="G638">
        <v>820</v>
      </c>
      <c r="H638" s="116"/>
      <c r="I638" s="116"/>
      <c r="L638" s="170">
        <v>45477</v>
      </c>
      <c r="M638" s="116">
        <v>974.88750000000005</v>
      </c>
      <c r="N638" s="116">
        <v>975.625</v>
      </c>
      <c r="O638" s="116">
        <v>965.125</v>
      </c>
      <c r="P638" s="116">
        <v>970.75</v>
      </c>
      <c r="Q638" s="116">
        <v>3899.55</v>
      </c>
      <c r="R638">
        <v>18909</v>
      </c>
    </row>
    <row r="639" spans="1:18" x14ac:dyDescent="0.25">
      <c r="A639" s="170">
        <v>45478</v>
      </c>
      <c r="B639" s="116">
        <v>1004.2125</v>
      </c>
      <c r="C639" s="116">
        <v>1001.0125</v>
      </c>
      <c r="D639" s="116">
        <v>966.5</v>
      </c>
      <c r="E639" s="116">
        <v>966.5</v>
      </c>
      <c r="F639" s="116">
        <v>4004.05</v>
      </c>
      <c r="G639">
        <v>861</v>
      </c>
      <c r="H639" s="116"/>
      <c r="I639" s="116"/>
      <c r="L639" s="170">
        <v>45478</v>
      </c>
      <c r="M639" s="116">
        <v>1002.5625</v>
      </c>
      <c r="N639" s="116">
        <v>1005</v>
      </c>
      <c r="O639" s="116">
        <v>966.67499999999995</v>
      </c>
      <c r="P639" s="116">
        <v>972.13750000000005</v>
      </c>
      <c r="Q639" s="116">
        <v>4010.25</v>
      </c>
      <c r="R639">
        <v>38128</v>
      </c>
    </row>
    <row r="640" spans="1:18" x14ac:dyDescent="0.25">
      <c r="A640" s="170">
        <v>45481</v>
      </c>
      <c r="B640" s="116">
        <v>1029.575</v>
      </c>
      <c r="C640" s="116">
        <v>1023.7125</v>
      </c>
      <c r="D640" s="116">
        <v>999.6</v>
      </c>
      <c r="E640" s="116">
        <v>1012.4875</v>
      </c>
      <c r="F640" s="116">
        <v>4094.85</v>
      </c>
      <c r="G640">
        <v>5010</v>
      </c>
      <c r="H640" s="116"/>
      <c r="I640" s="116"/>
      <c r="L640" s="170">
        <v>45481</v>
      </c>
      <c r="M640" s="116">
        <v>1023.6</v>
      </c>
      <c r="N640" s="116">
        <v>1030</v>
      </c>
      <c r="O640" s="116">
        <v>992.53750000000002</v>
      </c>
      <c r="P640" s="116">
        <v>1006.25</v>
      </c>
      <c r="Q640" s="116">
        <v>4094.4</v>
      </c>
      <c r="R640">
        <v>64789</v>
      </c>
    </row>
    <row r="641" spans="1:18" x14ac:dyDescent="0.25">
      <c r="A641" s="170">
        <v>45482</v>
      </c>
      <c r="B641" s="116">
        <v>1048.675</v>
      </c>
      <c r="C641" s="116">
        <v>1031.4000000000001</v>
      </c>
      <c r="D641" s="116">
        <v>1021.25</v>
      </c>
      <c r="E641" s="116">
        <v>1023.6</v>
      </c>
      <c r="F641" s="116">
        <v>4125.6000000000004</v>
      </c>
      <c r="G641">
        <v>7701</v>
      </c>
      <c r="H641" s="116"/>
      <c r="I641" s="116"/>
      <c r="L641" s="170">
        <v>45482</v>
      </c>
      <c r="M641" s="116">
        <v>1030.05</v>
      </c>
      <c r="N641" s="116">
        <v>1048.4749999999999</v>
      </c>
      <c r="O641" s="116">
        <v>1020</v>
      </c>
      <c r="P641" s="116">
        <v>1027</v>
      </c>
      <c r="Q641" s="116">
        <v>4120.2</v>
      </c>
      <c r="R641">
        <v>58513</v>
      </c>
    </row>
    <row r="642" spans="1:18" x14ac:dyDescent="0.25">
      <c r="A642" s="170">
        <v>45483</v>
      </c>
      <c r="B642" s="116">
        <v>1047.3</v>
      </c>
      <c r="C642" s="116">
        <v>1029.5</v>
      </c>
      <c r="D642" s="116">
        <v>1000</v>
      </c>
      <c r="E642" s="116">
        <v>1047.3</v>
      </c>
      <c r="F642" s="116">
        <v>4118</v>
      </c>
      <c r="G642">
        <v>4598</v>
      </c>
      <c r="H642" s="116"/>
      <c r="I642" s="116"/>
      <c r="L642" s="170">
        <v>45483</v>
      </c>
      <c r="M642" s="116">
        <v>1030.0875000000001</v>
      </c>
      <c r="N642" s="116">
        <v>1043.75</v>
      </c>
      <c r="O642" s="116">
        <v>999.05</v>
      </c>
      <c r="P642" s="116">
        <v>1043.75</v>
      </c>
      <c r="Q642" s="116">
        <v>4120.3500000000004</v>
      </c>
      <c r="R642">
        <v>41798</v>
      </c>
    </row>
    <row r="643" spans="1:18" x14ac:dyDescent="0.25">
      <c r="A643" s="170">
        <v>45484</v>
      </c>
      <c r="B643" s="116">
        <v>1043.1375</v>
      </c>
      <c r="C643" s="116">
        <v>1034.425</v>
      </c>
      <c r="D643" s="116">
        <v>1028.075</v>
      </c>
      <c r="E643" s="116">
        <v>1034.75</v>
      </c>
      <c r="F643" s="116">
        <v>4137.7</v>
      </c>
      <c r="G643">
        <v>2164</v>
      </c>
      <c r="H643" s="116"/>
      <c r="I643" s="116"/>
      <c r="L643" s="170">
        <v>45484</v>
      </c>
      <c r="M643" s="116">
        <v>1035.325</v>
      </c>
      <c r="N643" s="116">
        <v>1044.5125</v>
      </c>
      <c r="O643" s="116">
        <v>1029.1875</v>
      </c>
      <c r="P643" s="116">
        <v>1034.75</v>
      </c>
      <c r="Q643" s="116">
        <v>4141.3</v>
      </c>
      <c r="R643">
        <v>38884</v>
      </c>
    </row>
    <row r="644" spans="1:18" x14ac:dyDescent="0.25">
      <c r="A644" s="170">
        <v>45485</v>
      </c>
      <c r="B644" s="116">
        <v>1071.4625000000001</v>
      </c>
      <c r="C644" s="116">
        <v>991.8125</v>
      </c>
      <c r="D644" s="116">
        <v>965.57500000000005</v>
      </c>
      <c r="E644" s="116">
        <v>1059.3625</v>
      </c>
      <c r="F644" s="116">
        <v>3967.25</v>
      </c>
      <c r="G644">
        <v>8982</v>
      </c>
      <c r="H644" s="116"/>
      <c r="I644" s="116"/>
      <c r="L644" s="170">
        <v>45485</v>
      </c>
      <c r="M644" s="116">
        <v>998.875</v>
      </c>
      <c r="N644" s="116">
        <v>1073.55</v>
      </c>
      <c r="O644" s="116">
        <v>962.78750000000002</v>
      </c>
      <c r="P644" s="116">
        <v>1052.5</v>
      </c>
      <c r="Q644" s="116">
        <v>3995.5</v>
      </c>
      <c r="R644">
        <v>229332</v>
      </c>
    </row>
    <row r="645" spans="1:18" x14ac:dyDescent="0.25">
      <c r="A645" s="170">
        <v>45488</v>
      </c>
      <c r="B645" s="116">
        <v>1005.8125</v>
      </c>
      <c r="C645" s="116">
        <v>975.96249999999998</v>
      </c>
      <c r="D645" s="116">
        <v>971.73749999999995</v>
      </c>
      <c r="E645" s="116">
        <v>992.61249999999995</v>
      </c>
      <c r="F645" s="116">
        <v>3903.85</v>
      </c>
      <c r="G645">
        <v>3154</v>
      </c>
      <c r="H645" s="116"/>
      <c r="I645" s="116"/>
      <c r="L645" s="170">
        <v>45488</v>
      </c>
      <c r="M645" s="116">
        <v>976.53750000000002</v>
      </c>
      <c r="N645" s="116">
        <v>1007.0375</v>
      </c>
      <c r="O645" s="116">
        <v>972.5</v>
      </c>
      <c r="P645" s="116">
        <v>1000.275</v>
      </c>
      <c r="Q645" s="116">
        <v>3906.15</v>
      </c>
      <c r="R645">
        <v>44227</v>
      </c>
    </row>
    <row r="646" spans="1:18" x14ac:dyDescent="0.25">
      <c r="A646" s="170">
        <v>45489</v>
      </c>
      <c r="B646" s="116">
        <v>986.48749999999995</v>
      </c>
      <c r="C646" s="116">
        <v>976.41250000000002</v>
      </c>
      <c r="D646" s="116">
        <v>969.98749999999995</v>
      </c>
      <c r="E646" s="116">
        <v>986.48749999999995</v>
      </c>
      <c r="F646" s="116">
        <v>3905.65</v>
      </c>
      <c r="G646">
        <v>1858</v>
      </c>
      <c r="H646" s="116"/>
      <c r="I646" s="116"/>
      <c r="L646" s="170">
        <v>45489</v>
      </c>
      <c r="M646" s="116">
        <v>976.51250000000005</v>
      </c>
      <c r="N646" s="116">
        <v>983.01250000000005</v>
      </c>
      <c r="O646" s="116">
        <v>969.01250000000005</v>
      </c>
      <c r="P646" s="116">
        <v>978.76250000000005</v>
      </c>
      <c r="Q646" s="116">
        <v>3906.05</v>
      </c>
      <c r="R646">
        <v>23754</v>
      </c>
    </row>
    <row r="647" spans="1:18" x14ac:dyDescent="0.25">
      <c r="A647" s="170">
        <v>45491</v>
      </c>
      <c r="B647" s="116">
        <v>992.57500000000005</v>
      </c>
      <c r="C647" s="116">
        <v>967.4</v>
      </c>
      <c r="D647" s="116">
        <v>955.41250000000002</v>
      </c>
      <c r="E647" s="116">
        <v>976.98749999999995</v>
      </c>
      <c r="F647" s="116">
        <v>3869.6</v>
      </c>
      <c r="G647">
        <v>1194</v>
      </c>
      <c r="H647" s="116"/>
      <c r="I647" s="116"/>
      <c r="L647" s="170">
        <v>45491</v>
      </c>
      <c r="M647" s="116">
        <v>966.16250000000002</v>
      </c>
      <c r="N647" s="116">
        <v>1009.225</v>
      </c>
      <c r="O647" s="116">
        <v>956.25</v>
      </c>
      <c r="P647" s="116">
        <v>976.6</v>
      </c>
      <c r="Q647" s="116">
        <v>3864.65</v>
      </c>
      <c r="R647">
        <v>42259</v>
      </c>
    </row>
    <row r="648" spans="1:18" x14ac:dyDescent="0.25">
      <c r="A648" s="170">
        <v>45492</v>
      </c>
      <c r="B648" s="116">
        <v>960.16250000000002</v>
      </c>
      <c r="C648" s="116">
        <v>951.82500000000005</v>
      </c>
      <c r="D648" s="116">
        <v>944.25</v>
      </c>
      <c r="E648" s="116">
        <v>957.51250000000005</v>
      </c>
      <c r="F648" s="116">
        <v>3807.3</v>
      </c>
      <c r="G648">
        <v>4806</v>
      </c>
      <c r="H648" s="116"/>
      <c r="I648" s="116"/>
      <c r="L648" s="170">
        <v>45492</v>
      </c>
      <c r="M648" s="116">
        <v>953.45</v>
      </c>
      <c r="N648" s="116">
        <v>963.75</v>
      </c>
      <c r="O648" s="116">
        <v>944.28750000000002</v>
      </c>
      <c r="P648" s="116">
        <v>955</v>
      </c>
      <c r="Q648" s="116">
        <v>3813.8</v>
      </c>
      <c r="R648">
        <v>49224</v>
      </c>
    </row>
    <row r="649" spans="1:18" x14ac:dyDescent="0.25">
      <c r="A649" s="170">
        <v>45495</v>
      </c>
      <c r="B649" s="116">
        <v>1003.45</v>
      </c>
      <c r="C649" s="116">
        <v>953.88750000000005</v>
      </c>
      <c r="D649" s="116">
        <v>880.67499999999995</v>
      </c>
      <c r="E649" s="116">
        <v>932.77499999999998</v>
      </c>
      <c r="F649" s="116">
        <v>3815.55</v>
      </c>
      <c r="G649">
        <v>8198</v>
      </c>
      <c r="H649" s="116"/>
      <c r="I649" s="116"/>
      <c r="L649" s="170">
        <v>45495</v>
      </c>
      <c r="M649" s="116">
        <v>952.61249999999995</v>
      </c>
      <c r="N649" s="116">
        <v>984.75</v>
      </c>
      <c r="O649" s="116">
        <v>855.07500000000005</v>
      </c>
      <c r="P649" s="116">
        <v>855.07500000000005</v>
      </c>
      <c r="Q649" s="116">
        <v>3810.45</v>
      </c>
      <c r="R649">
        <v>112298</v>
      </c>
    </row>
    <row r="650" spans="1:18" x14ac:dyDescent="0.25">
      <c r="A650" s="170">
        <v>45496</v>
      </c>
      <c r="B650" s="116">
        <v>963.46249999999998</v>
      </c>
      <c r="C650" s="116">
        <v>944.61249999999995</v>
      </c>
      <c r="D650" s="116">
        <v>936.52499999999998</v>
      </c>
      <c r="E650" s="116">
        <v>962.61249999999995</v>
      </c>
      <c r="F650" s="116">
        <v>3778.45</v>
      </c>
      <c r="G650">
        <v>7870</v>
      </c>
      <c r="H650" s="116"/>
      <c r="I650" s="116"/>
      <c r="L650" s="170">
        <v>45496</v>
      </c>
      <c r="M650" s="116">
        <v>944.03750000000002</v>
      </c>
      <c r="N650" s="116">
        <v>961.85</v>
      </c>
      <c r="O650" s="116">
        <v>936.98749999999995</v>
      </c>
      <c r="P650" s="116">
        <v>957.0625</v>
      </c>
      <c r="Q650" s="116">
        <v>3776.15</v>
      </c>
      <c r="R650">
        <v>56899</v>
      </c>
    </row>
    <row r="651" spans="1:18" x14ac:dyDescent="0.25">
      <c r="A651" s="170">
        <v>45497</v>
      </c>
      <c r="B651" s="116">
        <v>962.73749999999995</v>
      </c>
      <c r="C651" s="116">
        <v>948.5</v>
      </c>
      <c r="D651" s="116">
        <v>938.45</v>
      </c>
      <c r="E651" s="116">
        <v>951.5</v>
      </c>
      <c r="F651" s="116">
        <v>3794</v>
      </c>
      <c r="G651">
        <v>4320</v>
      </c>
      <c r="H651" s="116"/>
      <c r="I651" s="116"/>
      <c r="L651" s="170">
        <v>45497</v>
      </c>
      <c r="M651" s="116">
        <v>949.1</v>
      </c>
      <c r="N651" s="116">
        <v>964.07500000000005</v>
      </c>
      <c r="O651" s="116">
        <v>940</v>
      </c>
      <c r="P651" s="116">
        <v>944.05</v>
      </c>
      <c r="Q651" s="116">
        <v>3796.4</v>
      </c>
      <c r="R651">
        <v>37203</v>
      </c>
    </row>
    <row r="652" spans="1:18" x14ac:dyDescent="0.25">
      <c r="A652" s="170">
        <v>45498</v>
      </c>
      <c r="B652" s="116">
        <v>939.3125</v>
      </c>
      <c r="C652" s="116">
        <v>928.22500000000002</v>
      </c>
      <c r="D652" s="116">
        <v>925.02499999999998</v>
      </c>
      <c r="E652" s="116">
        <v>927.88750000000005</v>
      </c>
      <c r="F652" s="116">
        <v>3712.9</v>
      </c>
      <c r="G652">
        <v>3219</v>
      </c>
      <c r="H652" s="116"/>
      <c r="I652" s="116"/>
      <c r="L652" s="170">
        <v>45498</v>
      </c>
      <c r="M652" s="116">
        <v>927.02499999999998</v>
      </c>
      <c r="N652" s="116">
        <v>942.7</v>
      </c>
      <c r="O652" s="116">
        <v>925</v>
      </c>
      <c r="P652" s="116">
        <v>940.5</v>
      </c>
      <c r="Q652" s="116">
        <v>3708.1</v>
      </c>
      <c r="R652">
        <v>33102</v>
      </c>
    </row>
    <row r="653" spans="1:18" x14ac:dyDescent="0.25">
      <c r="A653" s="170">
        <v>45499</v>
      </c>
      <c r="B653" s="116">
        <v>937.66250000000002</v>
      </c>
      <c r="C653" s="116">
        <v>922.5625</v>
      </c>
      <c r="D653" s="116">
        <v>912</v>
      </c>
      <c r="E653" s="116">
        <v>925</v>
      </c>
      <c r="F653" s="116">
        <v>3690.25</v>
      </c>
      <c r="G653">
        <v>4142</v>
      </c>
      <c r="H653" s="116"/>
      <c r="I653" s="116"/>
      <c r="L653" s="170">
        <v>45499</v>
      </c>
      <c r="M653" s="116">
        <v>923.25</v>
      </c>
      <c r="N653" s="116">
        <v>935.46249999999998</v>
      </c>
      <c r="O653" s="116">
        <v>911.25</v>
      </c>
      <c r="P653" s="116">
        <v>932.2</v>
      </c>
      <c r="Q653" s="116">
        <v>3693</v>
      </c>
      <c r="R653">
        <v>26675</v>
      </c>
    </row>
    <row r="654" spans="1:18" x14ac:dyDescent="0.25">
      <c r="A654" s="170">
        <v>45502</v>
      </c>
      <c r="B654" s="116">
        <v>950.77499999999998</v>
      </c>
      <c r="C654" s="116">
        <v>925.1</v>
      </c>
      <c r="D654" s="116">
        <v>918.52499999999998</v>
      </c>
      <c r="E654" s="116">
        <v>918.52499999999998</v>
      </c>
      <c r="F654" s="116">
        <v>3700.4</v>
      </c>
      <c r="G654">
        <v>2061</v>
      </c>
      <c r="H654" s="116"/>
      <c r="I654" s="116"/>
      <c r="L654" s="170">
        <v>45502</v>
      </c>
      <c r="M654" s="116">
        <v>925.22500000000002</v>
      </c>
      <c r="N654" s="116">
        <v>950.92499999999995</v>
      </c>
      <c r="O654" s="116">
        <v>919.52499999999998</v>
      </c>
      <c r="P654" s="116">
        <v>923.5</v>
      </c>
      <c r="Q654" s="116">
        <v>3700.9</v>
      </c>
      <c r="R654">
        <v>27521</v>
      </c>
    </row>
    <row r="655" spans="1:18" x14ac:dyDescent="0.25">
      <c r="A655" s="170">
        <v>45503</v>
      </c>
      <c r="B655" s="116">
        <v>944.07500000000005</v>
      </c>
      <c r="C655" s="116">
        <v>941.51250000000005</v>
      </c>
      <c r="D655" s="116">
        <v>927</v>
      </c>
      <c r="E655" s="116">
        <v>935.21249999999998</v>
      </c>
      <c r="F655" s="116">
        <v>3766.05</v>
      </c>
      <c r="G655">
        <v>794</v>
      </c>
      <c r="H655" s="116"/>
      <c r="I655" s="116"/>
      <c r="L655" s="170">
        <v>45503</v>
      </c>
      <c r="M655" s="116">
        <v>940.85</v>
      </c>
      <c r="N655" s="116">
        <v>943.75</v>
      </c>
      <c r="O655" s="116">
        <v>925.25</v>
      </c>
      <c r="P655" s="116">
        <v>925.25</v>
      </c>
      <c r="Q655" s="116">
        <v>3763.4</v>
      </c>
      <c r="R655">
        <v>21747</v>
      </c>
    </row>
    <row r="656" spans="1:18" x14ac:dyDescent="0.25">
      <c r="A656" s="170">
        <v>45504</v>
      </c>
      <c r="B656" s="116">
        <v>950.78750000000002</v>
      </c>
      <c r="C656" s="116">
        <v>943.71249999999998</v>
      </c>
      <c r="D656" s="116">
        <v>941.36249999999995</v>
      </c>
      <c r="E656" s="116">
        <v>947.6875</v>
      </c>
      <c r="F656" s="116">
        <v>3774.85</v>
      </c>
      <c r="G656">
        <v>1480</v>
      </c>
      <c r="H656" s="116"/>
      <c r="I656" s="116"/>
      <c r="L656" s="170">
        <v>45504</v>
      </c>
      <c r="M656" s="116">
        <v>944.58749999999998</v>
      </c>
      <c r="N656" s="116">
        <v>950</v>
      </c>
      <c r="O656" s="116">
        <v>941.26250000000005</v>
      </c>
      <c r="P656" s="116">
        <v>946.86249999999995</v>
      </c>
      <c r="Q656" s="116">
        <v>3778.35</v>
      </c>
      <c r="R656">
        <v>25821</v>
      </c>
    </row>
    <row r="657" spans="1:18" x14ac:dyDescent="0.25">
      <c r="A657" s="170">
        <v>45505</v>
      </c>
      <c r="B657" s="116">
        <v>945.15</v>
      </c>
      <c r="C657" s="116">
        <v>929.53750000000002</v>
      </c>
      <c r="D657" s="116">
        <v>925.75</v>
      </c>
      <c r="E657" s="116">
        <v>937.5</v>
      </c>
      <c r="F657" s="116">
        <v>3718.15</v>
      </c>
      <c r="G657">
        <v>1765</v>
      </c>
      <c r="H657" s="116"/>
      <c r="I657" s="116"/>
      <c r="L657" s="170">
        <v>45505</v>
      </c>
      <c r="M657" s="116">
        <v>930.5625</v>
      </c>
      <c r="N657" s="116">
        <v>943.23749999999995</v>
      </c>
      <c r="O657" s="116">
        <v>925</v>
      </c>
      <c r="P657" s="116">
        <v>932</v>
      </c>
      <c r="Q657" s="116">
        <v>3722.25</v>
      </c>
      <c r="R657">
        <v>25068</v>
      </c>
    </row>
    <row r="658" spans="1:18" x14ac:dyDescent="0.25">
      <c r="A658" s="170">
        <v>45506</v>
      </c>
      <c r="B658" s="116">
        <v>936.08749999999998</v>
      </c>
      <c r="C658" s="116">
        <v>927.77499999999998</v>
      </c>
      <c r="D658" s="116">
        <v>920</v>
      </c>
      <c r="E658" s="116">
        <v>925</v>
      </c>
      <c r="F658" s="116">
        <v>3711.1</v>
      </c>
      <c r="G658">
        <v>1270</v>
      </c>
      <c r="H658" s="116"/>
      <c r="I658" s="116"/>
      <c r="L658" s="170">
        <v>45506</v>
      </c>
      <c r="M658" s="116">
        <v>928.0625</v>
      </c>
      <c r="N658" s="116">
        <v>936.5</v>
      </c>
      <c r="O658" s="116">
        <v>915</v>
      </c>
      <c r="P658" s="116">
        <v>917.5</v>
      </c>
      <c r="Q658" s="116">
        <v>3712.25</v>
      </c>
      <c r="R658">
        <v>20394</v>
      </c>
    </row>
    <row r="659" spans="1:18" x14ac:dyDescent="0.25">
      <c r="A659" s="170">
        <v>45509</v>
      </c>
      <c r="B659" s="116">
        <v>927.77499999999998</v>
      </c>
      <c r="C659" s="116">
        <v>897.91250000000002</v>
      </c>
      <c r="D659" s="116">
        <v>892.85</v>
      </c>
      <c r="E659" s="116">
        <v>927.77499999999998</v>
      </c>
      <c r="F659" s="116">
        <v>3591.65</v>
      </c>
      <c r="G659">
        <v>3687</v>
      </c>
      <c r="H659" s="116"/>
      <c r="I659" s="116"/>
      <c r="L659" s="170">
        <v>45509</v>
      </c>
      <c r="M659" s="116">
        <v>897.67499999999995</v>
      </c>
      <c r="N659" s="116">
        <v>926.78750000000002</v>
      </c>
      <c r="O659" s="116">
        <v>891.11249999999995</v>
      </c>
      <c r="P659" s="116">
        <v>925</v>
      </c>
      <c r="Q659" s="116">
        <v>3590.7</v>
      </c>
      <c r="R659">
        <v>44430</v>
      </c>
    </row>
    <row r="660" spans="1:18" x14ac:dyDescent="0.25">
      <c r="A660" s="170">
        <v>45510</v>
      </c>
      <c r="B660" s="116">
        <v>931.96249999999998</v>
      </c>
      <c r="C660" s="116">
        <v>893.63750000000005</v>
      </c>
      <c r="D660" s="116">
        <v>890.25</v>
      </c>
      <c r="E660" s="116">
        <v>897.91250000000002</v>
      </c>
      <c r="F660" s="116">
        <v>3574.55</v>
      </c>
      <c r="G660">
        <v>5003</v>
      </c>
      <c r="H660" s="116"/>
      <c r="I660" s="116"/>
      <c r="L660" s="170">
        <v>45510</v>
      </c>
      <c r="M660" s="116">
        <v>893.625</v>
      </c>
      <c r="N660" s="116">
        <v>935.25</v>
      </c>
      <c r="O660" s="116">
        <v>890.75</v>
      </c>
      <c r="P660" s="116">
        <v>897.67499999999995</v>
      </c>
      <c r="Q660" s="116">
        <v>3574.5</v>
      </c>
      <c r="R660">
        <v>27598</v>
      </c>
    </row>
    <row r="661" spans="1:18" x14ac:dyDescent="0.25">
      <c r="A661" s="170">
        <v>45511</v>
      </c>
      <c r="B661" s="116">
        <v>901.45</v>
      </c>
      <c r="C661" s="116">
        <v>896.41250000000002</v>
      </c>
      <c r="D661" s="116">
        <v>895.75</v>
      </c>
      <c r="E661" s="116">
        <v>900.75</v>
      </c>
      <c r="F661" s="116">
        <v>3585.65</v>
      </c>
      <c r="G661">
        <v>3761</v>
      </c>
      <c r="H661" s="116"/>
      <c r="I661" s="116"/>
      <c r="L661" s="170">
        <v>45511</v>
      </c>
      <c r="M661" s="116">
        <v>896.86249999999995</v>
      </c>
      <c r="N661" s="116">
        <v>904.75</v>
      </c>
      <c r="O661" s="116">
        <v>892.75</v>
      </c>
      <c r="P661" s="116">
        <v>904.75</v>
      </c>
      <c r="Q661" s="116">
        <v>3587.45</v>
      </c>
      <c r="R661">
        <v>24840</v>
      </c>
    </row>
    <row r="662" spans="1:18" x14ac:dyDescent="0.25">
      <c r="A662" s="170">
        <v>45512</v>
      </c>
      <c r="B662" s="116">
        <v>901.45</v>
      </c>
      <c r="C662" s="116">
        <v>893.52499999999998</v>
      </c>
      <c r="D662" s="116">
        <v>892.5</v>
      </c>
      <c r="E662" s="116">
        <v>894.75</v>
      </c>
      <c r="F662" s="116">
        <v>3574.1</v>
      </c>
      <c r="G662">
        <v>916</v>
      </c>
      <c r="H662" s="116"/>
      <c r="I662" s="116"/>
      <c r="L662" s="170">
        <v>45512</v>
      </c>
      <c r="M662" s="116">
        <v>896.13750000000005</v>
      </c>
      <c r="N662" s="116">
        <v>902.5</v>
      </c>
      <c r="O662" s="116">
        <v>893.76250000000005</v>
      </c>
      <c r="P662" s="116">
        <v>900</v>
      </c>
      <c r="Q662" s="116">
        <v>3584.55</v>
      </c>
      <c r="R662">
        <v>22194</v>
      </c>
    </row>
    <row r="663" spans="1:18" x14ac:dyDescent="0.25">
      <c r="A663" s="170">
        <v>45513</v>
      </c>
      <c r="B663" s="116">
        <v>920.77499999999998</v>
      </c>
      <c r="C663" s="116">
        <v>906.73749999999995</v>
      </c>
      <c r="D663" s="116">
        <v>899</v>
      </c>
      <c r="E663" s="116">
        <v>899</v>
      </c>
      <c r="F663" s="116">
        <v>3626.95</v>
      </c>
      <c r="G663">
        <v>974</v>
      </c>
      <c r="H663" s="116"/>
      <c r="I663" s="116"/>
      <c r="L663" s="170">
        <v>45513</v>
      </c>
      <c r="M663" s="116">
        <v>906.07500000000005</v>
      </c>
      <c r="N663" s="116">
        <v>921.25</v>
      </c>
      <c r="O663" s="116">
        <v>899.98749999999995</v>
      </c>
      <c r="P663" s="116">
        <v>900</v>
      </c>
      <c r="Q663" s="116">
        <v>3624.3</v>
      </c>
      <c r="R663">
        <v>23503</v>
      </c>
    </row>
    <row r="664" spans="1:18" x14ac:dyDescent="0.25">
      <c r="A664" s="170">
        <v>45516</v>
      </c>
      <c r="B664" s="116">
        <v>934.23749999999995</v>
      </c>
      <c r="C664" s="116">
        <v>915.41250000000002</v>
      </c>
      <c r="D664" s="116">
        <v>895.02499999999998</v>
      </c>
      <c r="E664" s="116">
        <v>895.02499999999998</v>
      </c>
      <c r="F664" s="116">
        <v>3661.65</v>
      </c>
      <c r="G664">
        <v>3132</v>
      </c>
      <c r="H664" s="116"/>
      <c r="I664" s="116"/>
      <c r="L664" s="170">
        <v>45516</v>
      </c>
      <c r="M664" s="116">
        <v>913.55</v>
      </c>
      <c r="N664" s="116">
        <v>933.98749999999995</v>
      </c>
      <c r="O664" s="116">
        <v>900</v>
      </c>
      <c r="P664" s="116">
        <v>900</v>
      </c>
      <c r="Q664" s="116">
        <v>3654.2</v>
      </c>
      <c r="R664">
        <v>23051</v>
      </c>
    </row>
    <row r="665" spans="1:18" x14ac:dyDescent="0.25">
      <c r="A665" s="170">
        <v>45517</v>
      </c>
      <c r="B665" s="116">
        <v>922.38750000000005</v>
      </c>
      <c r="C665" s="116">
        <v>889.33749999999998</v>
      </c>
      <c r="D665" s="116">
        <v>886.98749999999995</v>
      </c>
      <c r="E665" s="116">
        <v>903.55</v>
      </c>
      <c r="F665" s="116">
        <v>3557.35</v>
      </c>
      <c r="G665">
        <v>2932</v>
      </c>
      <c r="H665" s="116"/>
      <c r="I665" s="116"/>
      <c r="L665" s="170">
        <v>45517</v>
      </c>
      <c r="M665" s="116">
        <v>890.71249999999998</v>
      </c>
      <c r="N665" s="116">
        <v>922.3125</v>
      </c>
      <c r="O665" s="116">
        <v>885.75</v>
      </c>
      <c r="P665" s="116">
        <v>913.55</v>
      </c>
      <c r="Q665" s="116">
        <v>3562.85</v>
      </c>
      <c r="R665">
        <v>30834</v>
      </c>
    </row>
    <row r="666" spans="1:18" x14ac:dyDescent="0.25">
      <c r="A666" s="170">
        <v>45518</v>
      </c>
      <c r="B666" s="116">
        <v>903.21249999999998</v>
      </c>
      <c r="C666" s="116">
        <v>898.16250000000002</v>
      </c>
      <c r="D666" s="116">
        <v>879.95</v>
      </c>
      <c r="E666" s="116">
        <v>879.95</v>
      </c>
      <c r="F666" s="116">
        <v>3592.65</v>
      </c>
      <c r="G666">
        <v>996</v>
      </c>
      <c r="H666" s="116"/>
      <c r="I666" s="116"/>
      <c r="L666" s="170">
        <v>45518</v>
      </c>
      <c r="M666" s="116">
        <v>899.6875</v>
      </c>
      <c r="N666" s="116">
        <v>912.5</v>
      </c>
      <c r="O666" s="116">
        <v>892.83749999999998</v>
      </c>
      <c r="P666" s="116">
        <v>899.75</v>
      </c>
      <c r="Q666" s="116">
        <v>3598.75</v>
      </c>
      <c r="R666">
        <v>17944</v>
      </c>
    </row>
    <row r="667" spans="1:18" x14ac:dyDescent="0.25">
      <c r="A667" s="170">
        <v>45520</v>
      </c>
      <c r="B667" s="116">
        <v>912.1875</v>
      </c>
      <c r="C667" s="116">
        <v>899.16250000000002</v>
      </c>
      <c r="D667" s="116">
        <v>895.95</v>
      </c>
      <c r="E667" s="116">
        <v>912.1875</v>
      </c>
      <c r="F667" s="116">
        <v>3596.65</v>
      </c>
      <c r="G667">
        <v>631</v>
      </c>
      <c r="H667" s="116"/>
      <c r="I667" s="116"/>
      <c r="L667" s="170">
        <v>45520</v>
      </c>
      <c r="M667" s="116">
        <v>900.52499999999998</v>
      </c>
      <c r="N667" s="116">
        <v>909</v>
      </c>
      <c r="O667" s="116">
        <v>895.03750000000002</v>
      </c>
      <c r="P667" s="116">
        <v>909</v>
      </c>
      <c r="Q667" s="116">
        <v>3602.1</v>
      </c>
      <c r="R667">
        <v>14314</v>
      </c>
    </row>
    <row r="668" spans="1:18" x14ac:dyDescent="0.25">
      <c r="A668" s="170">
        <v>45523</v>
      </c>
      <c r="B668" s="116">
        <v>920</v>
      </c>
      <c r="C668" s="116">
        <v>898.92499999999995</v>
      </c>
      <c r="D668" s="116">
        <v>896.9</v>
      </c>
      <c r="E668" s="116">
        <v>920</v>
      </c>
      <c r="F668" s="116">
        <v>3595.7</v>
      </c>
      <c r="G668">
        <v>499</v>
      </c>
      <c r="H668" s="116"/>
      <c r="I668" s="116"/>
      <c r="L668" s="170">
        <v>45523</v>
      </c>
      <c r="M668" s="116">
        <v>899.45</v>
      </c>
      <c r="N668" s="116">
        <v>908</v>
      </c>
      <c r="O668" s="116">
        <v>897</v>
      </c>
      <c r="P668" s="116">
        <v>903.27499999999998</v>
      </c>
      <c r="Q668" s="116">
        <v>3597.8</v>
      </c>
      <c r="R668">
        <v>13817</v>
      </c>
    </row>
    <row r="669" spans="1:18" x14ac:dyDescent="0.25">
      <c r="A669" s="170">
        <v>45524</v>
      </c>
      <c r="B669" s="116">
        <v>907.96249999999998</v>
      </c>
      <c r="C669" s="116">
        <v>898.6875</v>
      </c>
      <c r="D669" s="116">
        <v>894.96249999999998</v>
      </c>
      <c r="E669" s="116">
        <v>905</v>
      </c>
      <c r="F669" s="116">
        <v>3594.75</v>
      </c>
      <c r="G669">
        <v>507</v>
      </c>
      <c r="H669" s="116"/>
      <c r="I669" s="116"/>
      <c r="L669" s="170">
        <v>45524</v>
      </c>
      <c r="M669" s="116">
        <v>897.8125</v>
      </c>
      <c r="N669" s="116">
        <v>909</v>
      </c>
      <c r="O669" s="116">
        <v>895.08749999999998</v>
      </c>
      <c r="P669" s="116">
        <v>902.51250000000005</v>
      </c>
      <c r="Q669" s="116">
        <v>3591.25</v>
      </c>
      <c r="R669">
        <v>22665</v>
      </c>
    </row>
    <row r="670" spans="1:18" x14ac:dyDescent="0.25">
      <c r="A670" s="170">
        <v>45525</v>
      </c>
      <c r="B670" s="116">
        <v>974.08749999999998</v>
      </c>
      <c r="C670" s="116">
        <v>938.5</v>
      </c>
      <c r="D670" s="116">
        <v>900</v>
      </c>
      <c r="E670" s="116">
        <v>900</v>
      </c>
      <c r="F670" s="116">
        <v>3754</v>
      </c>
      <c r="G670">
        <v>10758</v>
      </c>
      <c r="H670" s="116"/>
      <c r="I670" s="116"/>
      <c r="L670" s="170">
        <v>45525</v>
      </c>
      <c r="M670" s="116">
        <v>938.15</v>
      </c>
      <c r="N670" s="116">
        <v>974.5</v>
      </c>
      <c r="O670" s="116">
        <v>900</v>
      </c>
      <c r="P670" s="116">
        <v>905</v>
      </c>
      <c r="Q670" s="116">
        <v>3752.6</v>
      </c>
      <c r="R670">
        <v>98756</v>
      </c>
    </row>
    <row r="671" spans="1:18" x14ac:dyDescent="0.25">
      <c r="A671" s="170">
        <v>45526</v>
      </c>
      <c r="B671" s="116">
        <v>949.8</v>
      </c>
      <c r="C671" s="116">
        <v>938.8</v>
      </c>
      <c r="D671" s="116">
        <v>932.13750000000005</v>
      </c>
      <c r="E671" s="116">
        <v>946</v>
      </c>
      <c r="F671" s="116">
        <v>3755.2</v>
      </c>
      <c r="G671">
        <v>3491</v>
      </c>
      <c r="H671" s="116"/>
      <c r="I671" s="116"/>
      <c r="L671" s="170">
        <v>45526</v>
      </c>
      <c r="M671" s="116">
        <v>939.52499999999998</v>
      </c>
      <c r="N671" s="116">
        <v>949.75</v>
      </c>
      <c r="O671" s="116">
        <v>930.51250000000005</v>
      </c>
      <c r="P671" s="116">
        <v>949</v>
      </c>
      <c r="Q671" s="116">
        <v>3758.1</v>
      </c>
      <c r="R671">
        <v>18070</v>
      </c>
    </row>
    <row r="672" spans="1:18" x14ac:dyDescent="0.25">
      <c r="A672" s="170">
        <v>45527</v>
      </c>
      <c r="B672" s="116">
        <v>946.8125</v>
      </c>
      <c r="C672" s="116">
        <v>901.38750000000005</v>
      </c>
      <c r="D672" s="116">
        <v>897.5</v>
      </c>
      <c r="E672" s="116">
        <v>946.8125</v>
      </c>
      <c r="F672" s="116">
        <v>3605.55</v>
      </c>
      <c r="G672">
        <v>3042</v>
      </c>
      <c r="H672" s="116"/>
      <c r="I672" s="116"/>
      <c r="L672" s="170">
        <v>45527</v>
      </c>
      <c r="M672" s="116">
        <v>901.33749999999998</v>
      </c>
      <c r="N672" s="116">
        <v>946.95</v>
      </c>
      <c r="O672" s="116">
        <v>895</v>
      </c>
      <c r="P672" s="116">
        <v>945.11249999999995</v>
      </c>
      <c r="Q672" s="116">
        <v>3605.35</v>
      </c>
      <c r="R672">
        <v>126651</v>
      </c>
    </row>
    <row r="673" spans="1:18" x14ac:dyDescent="0.25">
      <c r="A673" s="170">
        <v>45530</v>
      </c>
      <c r="B673" s="116">
        <v>922.5</v>
      </c>
      <c r="C673" s="116">
        <v>917.35</v>
      </c>
      <c r="D673" s="116">
        <v>866.7</v>
      </c>
      <c r="E673" s="116">
        <v>903.75</v>
      </c>
      <c r="F673" s="116">
        <v>3669.4</v>
      </c>
      <c r="G673">
        <v>8937</v>
      </c>
      <c r="H673" s="116"/>
      <c r="I673" s="116"/>
      <c r="L673" s="170">
        <v>45530</v>
      </c>
      <c r="M673" s="116">
        <v>916.3125</v>
      </c>
      <c r="N673" s="116">
        <v>924.5</v>
      </c>
      <c r="O673" s="116">
        <v>866.58749999999998</v>
      </c>
      <c r="P673" s="116">
        <v>901.35</v>
      </c>
      <c r="Q673" s="116">
        <v>3665.25</v>
      </c>
      <c r="R673">
        <v>122857</v>
      </c>
    </row>
    <row r="674" spans="1:18" x14ac:dyDescent="0.25">
      <c r="A674" s="170">
        <v>45531</v>
      </c>
      <c r="B674" s="116">
        <v>941.5</v>
      </c>
      <c r="C674" s="116">
        <v>936.11249999999995</v>
      </c>
      <c r="D674" s="116">
        <v>917.35</v>
      </c>
      <c r="E674" s="116">
        <v>917.35</v>
      </c>
      <c r="F674" s="116">
        <v>3744.45</v>
      </c>
      <c r="G674">
        <v>5602</v>
      </c>
      <c r="H674" s="116"/>
      <c r="I674" s="116"/>
      <c r="L674" s="170">
        <v>45531</v>
      </c>
      <c r="M674" s="116">
        <v>933.91250000000002</v>
      </c>
      <c r="N674" s="116">
        <v>942.25</v>
      </c>
      <c r="O674" s="116">
        <v>916.95</v>
      </c>
      <c r="P674" s="116">
        <v>916.95</v>
      </c>
      <c r="Q674" s="116">
        <v>3735.65</v>
      </c>
      <c r="R674">
        <v>59856</v>
      </c>
    </row>
    <row r="675" spans="1:18" x14ac:dyDescent="0.25">
      <c r="A675" s="170">
        <v>45532</v>
      </c>
      <c r="B675" s="116">
        <v>951.25</v>
      </c>
      <c r="C675" s="116">
        <v>932.88750000000005</v>
      </c>
      <c r="D675" s="116">
        <v>927.2</v>
      </c>
      <c r="E675" s="116">
        <v>927.2</v>
      </c>
      <c r="F675" s="116">
        <v>3731.55</v>
      </c>
      <c r="G675">
        <v>4471</v>
      </c>
      <c r="H675" s="116"/>
      <c r="I675" s="116"/>
      <c r="L675" s="170">
        <v>45532</v>
      </c>
      <c r="M675" s="116">
        <v>932.25</v>
      </c>
      <c r="N675" s="116">
        <v>951.63750000000005</v>
      </c>
      <c r="O675" s="116">
        <v>928.33749999999998</v>
      </c>
      <c r="P675" s="116">
        <v>933.7</v>
      </c>
      <c r="Q675" s="116">
        <v>3729</v>
      </c>
      <c r="R675">
        <v>33405</v>
      </c>
    </row>
    <row r="676" spans="1:18" x14ac:dyDescent="0.25">
      <c r="A676" s="170">
        <v>45533</v>
      </c>
      <c r="B676" s="116">
        <v>944.75</v>
      </c>
      <c r="C676" s="116">
        <v>931.92499999999995</v>
      </c>
      <c r="D676" s="116">
        <v>925</v>
      </c>
      <c r="E676" s="116">
        <v>925</v>
      </c>
      <c r="F676" s="116">
        <v>3727.7</v>
      </c>
      <c r="G676">
        <v>3268</v>
      </c>
      <c r="H676" s="116"/>
      <c r="I676" s="116"/>
      <c r="L676" s="170">
        <v>45533</v>
      </c>
      <c r="M676" s="116">
        <v>933.41250000000002</v>
      </c>
      <c r="N676" s="116">
        <v>944.73749999999995</v>
      </c>
      <c r="O676" s="116">
        <v>925</v>
      </c>
      <c r="P676" s="116">
        <v>925</v>
      </c>
      <c r="Q676" s="116">
        <v>3733.65</v>
      </c>
      <c r="R676">
        <v>26155</v>
      </c>
    </row>
    <row r="677" spans="1:18" x14ac:dyDescent="0.25">
      <c r="A677" s="170">
        <v>45534</v>
      </c>
      <c r="B677" s="116">
        <v>955.77499999999998</v>
      </c>
      <c r="C677" s="116">
        <v>953.27499999999998</v>
      </c>
      <c r="D677" s="116">
        <v>931.92499999999995</v>
      </c>
      <c r="E677" s="116">
        <v>931.92499999999995</v>
      </c>
      <c r="F677" s="116">
        <v>3813.1</v>
      </c>
      <c r="G677">
        <v>2295</v>
      </c>
      <c r="H677" s="116"/>
      <c r="I677" s="116"/>
      <c r="L677" s="170">
        <v>45534</v>
      </c>
      <c r="M677" s="116">
        <v>953.45</v>
      </c>
      <c r="N677" s="116">
        <v>956.125</v>
      </c>
      <c r="O677" s="116">
        <v>926.26250000000005</v>
      </c>
      <c r="P677" s="116">
        <v>926.26250000000005</v>
      </c>
      <c r="Q677" s="116">
        <v>3813.8</v>
      </c>
      <c r="R677">
        <v>70331</v>
      </c>
    </row>
    <row r="678" spans="1:18" x14ac:dyDescent="0.25">
      <c r="A678" s="170">
        <v>45537</v>
      </c>
      <c r="B678" s="116">
        <v>976.25</v>
      </c>
      <c r="C678" s="116">
        <v>967.55</v>
      </c>
      <c r="D678" s="116">
        <v>956.76250000000005</v>
      </c>
      <c r="E678" s="116">
        <v>957.21249999999998</v>
      </c>
      <c r="F678" s="116">
        <v>3870.2</v>
      </c>
      <c r="G678">
        <v>2030</v>
      </c>
      <c r="H678" s="116"/>
      <c r="I678" s="116"/>
      <c r="L678" s="170">
        <v>45537</v>
      </c>
      <c r="M678" s="116">
        <v>968.0625</v>
      </c>
      <c r="N678" s="116">
        <v>977.27499999999998</v>
      </c>
      <c r="O678" s="116">
        <v>953.75</v>
      </c>
      <c r="P678" s="116">
        <v>953.75</v>
      </c>
      <c r="Q678" s="116">
        <v>3872.25</v>
      </c>
      <c r="R678">
        <v>40439</v>
      </c>
    </row>
    <row r="679" spans="1:18" x14ac:dyDescent="0.25">
      <c r="A679" s="170">
        <v>45538</v>
      </c>
      <c r="B679" s="116">
        <v>997.5</v>
      </c>
      <c r="C679" s="116">
        <v>972.3</v>
      </c>
      <c r="D679" s="116">
        <v>935.75</v>
      </c>
      <c r="E679" s="116">
        <v>935.75</v>
      </c>
      <c r="F679" s="116">
        <v>3889.2</v>
      </c>
      <c r="G679">
        <v>5053</v>
      </c>
      <c r="H679" s="116"/>
      <c r="I679" s="116"/>
      <c r="L679" s="170">
        <v>45538</v>
      </c>
      <c r="M679" s="116">
        <v>973.32500000000005</v>
      </c>
      <c r="N679" s="116">
        <v>996.75</v>
      </c>
      <c r="O679" s="116">
        <v>938.55</v>
      </c>
      <c r="P679" s="116">
        <v>938.55</v>
      </c>
      <c r="Q679" s="116">
        <v>3893.3</v>
      </c>
      <c r="R679">
        <v>52626</v>
      </c>
    </row>
    <row r="680" spans="1:18" x14ac:dyDescent="0.25">
      <c r="A680" s="170">
        <v>45539</v>
      </c>
      <c r="B680" s="116">
        <v>977.08749999999998</v>
      </c>
      <c r="C680" s="116">
        <v>959.65</v>
      </c>
      <c r="D680" s="116">
        <v>952.86249999999995</v>
      </c>
      <c r="E680" s="116">
        <v>962.125</v>
      </c>
      <c r="F680" s="116">
        <v>3838.6</v>
      </c>
      <c r="G680">
        <v>640</v>
      </c>
      <c r="H680" s="116"/>
      <c r="I680" s="116"/>
      <c r="L680" s="170">
        <v>45539</v>
      </c>
      <c r="M680" s="116">
        <v>960.3125</v>
      </c>
      <c r="N680" s="116">
        <v>977.71249999999998</v>
      </c>
      <c r="O680" s="116">
        <v>957.57500000000005</v>
      </c>
      <c r="P680" s="116">
        <v>959.6</v>
      </c>
      <c r="Q680" s="116">
        <v>3841.25</v>
      </c>
      <c r="R680">
        <v>19214</v>
      </c>
    </row>
    <row r="681" spans="1:18" x14ac:dyDescent="0.25">
      <c r="A681" s="170">
        <v>45540</v>
      </c>
      <c r="B681" s="116">
        <v>983.75</v>
      </c>
      <c r="C681" s="116">
        <v>981.86249999999995</v>
      </c>
      <c r="D681" s="116">
        <v>961.8125</v>
      </c>
      <c r="E681" s="116">
        <v>962.46249999999998</v>
      </c>
      <c r="F681" s="116">
        <v>3927.45</v>
      </c>
      <c r="G681">
        <v>1430</v>
      </c>
      <c r="H681" s="116"/>
      <c r="I681" s="116"/>
      <c r="L681" s="170">
        <v>45540</v>
      </c>
      <c r="M681" s="116">
        <v>982.26250000000005</v>
      </c>
      <c r="N681" s="116">
        <v>984.13750000000005</v>
      </c>
      <c r="O681" s="116">
        <v>960.5</v>
      </c>
      <c r="P681" s="116">
        <v>960.5</v>
      </c>
      <c r="Q681" s="116">
        <v>3929.05</v>
      </c>
      <c r="R681">
        <v>29740</v>
      </c>
    </row>
    <row r="682" spans="1:18" x14ac:dyDescent="0.25">
      <c r="A682" s="170">
        <v>45541</v>
      </c>
      <c r="B682" s="116">
        <v>1013.1</v>
      </c>
      <c r="C682" s="116">
        <v>981.28750000000002</v>
      </c>
      <c r="D682" s="116">
        <v>967.5</v>
      </c>
      <c r="E682" s="116">
        <v>997.46249999999998</v>
      </c>
      <c r="F682" s="116">
        <v>3925.15</v>
      </c>
      <c r="G682">
        <v>2178</v>
      </c>
      <c r="H682" s="116"/>
      <c r="I682" s="116"/>
      <c r="L682" s="170">
        <v>45541</v>
      </c>
      <c r="M682" s="116">
        <v>979.85</v>
      </c>
      <c r="N682" s="116">
        <v>1012.3875</v>
      </c>
      <c r="O682" s="116">
        <v>967.5</v>
      </c>
      <c r="P682" s="116">
        <v>982.5</v>
      </c>
      <c r="Q682" s="116">
        <v>3919.4</v>
      </c>
      <c r="R682">
        <v>38990</v>
      </c>
    </row>
    <row r="683" spans="1:18" x14ac:dyDescent="0.25">
      <c r="A683" s="170">
        <v>45544</v>
      </c>
      <c r="B683" s="116">
        <v>975.01250000000005</v>
      </c>
      <c r="C683" s="116">
        <v>958.52499999999998</v>
      </c>
      <c r="D683" s="116">
        <v>947.5</v>
      </c>
      <c r="E683" s="116">
        <v>962.51250000000005</v>
      </c>
      <c r="F683" s="116">
        <v>3834.1</v>
      </c>
      <c r="G683">
        <v>3438</v>
      </c>
      <c r="H683" s="116"/>
      <c r="I683" s="116"/>
      <c r="L683" s="170">
        <v>45544</v>
      </c>
      <c r="M683" s="116">
        <v>958.65</v>
      </c>
      <c r="N683" s="116">
        <v>979.83749999999998</v>
      </c>
      <c r="O683" s="116">
        <v>947.7</v>
      </c>
      <c r="P683" s="116">
        <v>978</v>
      </c>
      <c r="Q683" s="116">
        <v>3834.6</v>
      </c>
      <c r="R683">
        <v>152247</v>
      </c>
    </row>
    <row r="684" spans="1:18" x14ac:dyDescent="0.25">
      <c r="A684" s="170">
        <v>45545</v>
      </c>
      <c r="B684" s="116">
        <v>982</v>
      </c>
      <c r="C684" s="116">
        <v>970.85</v>
      </c>
      <c r="D684" s="116">
        <v>958.03750000000002</v>
      </c>
      <c r="E684" s="116">
        <v>958.03750000000002</v>
      </c>
      <c r="F684" s="116">
        <v>3883.4</v>
      </c>
      <c r="G684">
        <v>615</v>
      </c>
      <c r="H684" s="116"/>
      <c r="I684" s="116"/>
      <c r="L684" s="170">
        <v>45545</v>
      </c>
      <c r="M684" s="116">
        <v>972.13750000000005</v>
      </c>
      <c r="N684" s="116">
        <v>975</v>
      </c>
      <c r="O684" s="116">
        <v>959.96249999999998</v>
      </c>
      <c r="P684" s="116">
        <v>962.2</v>
      </c>
      <c r="Q684" s="116">
        <v>3888.55</v>
      </c>
      <c r="R684">
        <v>17785</v>
      </c>
    </row>
    <row r="685" spans="1:18" x14ac:dyDescent="0.25">
      <c r="A685" s="170">
        <v>45546</v>
      </c>
      <c r="B685" s="116">
        <v>988.52499999999998</v>
      </c>
      <c r="C685" s="116">
        <v>979.65</v>
      </c>
      <c r="D685" s="116">
        <v>970.38750000000005</v>
      </c>
      <c r="E685" s="116">
        <v>975</v>
      </c>
      <c r="F685" s="116">
        <v>3918.6</v>
      </c>
      <c r="G685">
        <v>1254</v>
      </c>
      <c r="H685" s="116"/>
      <c r="I685" s="116"/>
      <c r="L685" s="170">
        <v>45546</v>
      </c>
      <c r="M685" s="116">
        <v>979.4</v>
      </c>
      <c r="N685" s="116">
        <v>987.5</v>
      </c>
      <c r="O685" s="116">
        <v>970.42499999999995</v>
      </c>
      <c r="P685" s="116">
        <v>975</v>
      </c>
      <c r="Q685" s="116">
        <v>3917.6</v>
      </c>
      <c r="R685">
        <v>29554</v>
      </c>
    </row>
    <row r="686" spans="1:18" x14ac:dyDescent="0.25">
      <c r="A686" s="170">
        <v>45547</v>
      </c>
      <c r="B686" s="116">
        <v>991</v>
      </c>
      <c r="C686" s="116">
        <v>974.91250000000002</v>
      </c>
      <c r="D686" s="116">
        <v>969.65</v>
      </c>
      <c r="E686" s="116">
        <v>991</v>
      </c>
      <c r="F686" s="116">
        <v>3899.65</v>
      </c>
      <c r="G686">
        <v>1829</v>
      </c>
      <c r="H686" s="116"/>
      <c r="I686" s="116"/>
      <c r="L686" s="170">
        <v>45547</v>
      </c>
      <c r="M686" s="116">
        <v>975.02499999999998</v>
      </c>
      <c r="N686" s="116">
        <v>987.5</v>
      </c>
      <c r="O686" s="116">
        <v>969.21249999999998</v>
      </c>
      <c r="P686" s="116">
        <v>985</v>
      </c>
      <c r="Q686" s="116">
        <v>3900.1</v>
      </c>
      <c r="R686">
        <v>24221</v>
      </c>
    </row>
    <row r="687" spans="1:18" x14ac:dyDescent="0.25">
      <c r="A687" s="170">
        <v>45548</v>
      </c>
      <c r="B687" s="116">
        <v>985.72500000000002</v>
      </c>
      <c r="C687" s="116">
        <v>980.51250000000005</v>
      </c>
      <c r="D687" s="116">
        <v>973.75</v>
      </c>
      <c r="E687" s="116">
        <v>975.16250000000002</v>
      </c>
      <c r="F687" s="116">
        <v>3922.05</v>
      </c>
      <c r="G687">
        <v>870</v>
      </c>
      <c r="H687" s="116"/>
      <c r="I687" s="116"/>
      <c r="L687" s="170">
        <v>45548</v>
      </c>
      <c r="M687" s="116">
        <v>979.75</v>
      </c>
      <c r="N687" s="116">
        <v>986</v>
      </c>
      <c r="O687" s="116">
        <v>971.17499999999995</v>
      </c>
      <c r="P687" s="116">
        <v>977.5</v>
      </c>
      <c r="Q687" s="116">
        <v>3919</v>
      </c>
      <c r="R687">
        <v>15992</v>
      </c>
    </row>
    <row r="688" spans="1:18" x14ac:dyDescent="0.25">
      <c r="A688" s="170">
        <v>45551</v>
      </c>
      <c r="B688" s="116">
        <v>1000</v>
      </c>
      <c r="C688" s="116">
        <v>988.96249999999998</v>
      </c>
      <c r="D688" s="116">
        <v>960.91250000000002</v>
      </c>
      <c r="E688" s="116">
        <v>980.5</v>
      </c>
      <c r="F688" s="116">
        <v>3955.85</v>
      </c>
      <c r="G688">
        <v>2006</v>
      </c>
      <c r="H688" s="116"/>
      <c r="I688" s="116"/>
      <c r="L688" s="170">
        <v>45551</v>
      </c>
      <c r="M688" s="116">
        <v>988.8125</v>
      </c>
      <c r="N688" s="116">
        <v>1000.5</v>
      </c>
      <c r="O688" s="116">
        <v>958</v>
      </c>
      <c r="P688" s="116">
        <v>978.75</v>
      </c>
      <c r="Q688" s="116">
        <v>3955.25</v>
      </c>
      <c r="R688">
        <v>19982</v>
      </c>
    </row>
    <row r="689" spans="1:18" x14ac:dyDescent="0.25">
      <c r="A689" s="170">
        <v>45552</v>
      </c>
      <c r="B689" s="116">
        <v>1001.0125</v>
      </c>
      <c r="C689" s="116">
        <v>986.73749999999995</v>
      </c>
      <c r="D689" s="116">
        <v>981.42499999999995</v>
      </c>
      <c r="E689" s="116">
        <v>981.42499999999995</v>
      </c>
      <c r="F689" s="116">
        <v>3946.95</v>
      </c>
      <c r="G689">
        <v>4298</v>
      </c>
      <c r="H689" s="116"/>
      <c r="I689" s="116"/>
      <c r="L689" s="170">
        <v>45552</v>
      </c>
      <c r="M689" s="116">
        <v>987.35</v>
      </c>
      <c r="N689" s="116">
        <v>1000</v>
      </c>
      <c r="O689" s="116">
        <v>983.17499999999995</v>
      </c>
      <c r="P689" s="116">
        <v>997.02499999999998</v>
      </c>
      <c r="Q689" s="116">
        <v>3949.4</v>
      </c>
      <c r="R689">
        <v>44173</v>
      </c>
    </row>
    <row r="690" spans="1:18" x14ac:dyDescent="0.25">
      <c r="A690" s="170">
        <v>45553</v>
      </c>
      <c r="B690" s="116">
        <v>992.33749999999998</v>
      </c>
      <c r="C690" s="116">
        <v>972.6875</v>
      </c>
      <c r="D690" s="116">
        <v>955.3</v>
      </c>
      <c r="E690" s="116">
        <v>992.33749999999998</v>
      </c>
      <c r="F690" s="116">
        <v>3890.75</v>
      </c>
      <c r="G690">
        <v>963</v>
      </c>
      <c r="H690" s="116"/>
      <c r="I690" s="116"/>
      <c r="L690" s="170">
        <v>45553</v>
      </c>
      <c r="M690" s="116">
        <v>976.1875</v>
      </c>
      <c r="N690" s="116">
        <v>987.35</v>
      </c>
      <c r="O690" s="116">
        <v>952.42499999999995</v>
      </c>
      <c r="P690" s="116">
        <v>975.5</v>
      </c>
      <c r="Q690" s="116">
        <v>3904.75</v>
      </c>
      <c r="R690">
        <v>11085</v>
      </c>
    </row>
    <row r="691" spans="1:18" x14ac:dyDescent="0.25">
      <c r="A691" s="170">
        <v>45554</v>
      </c>
      <c r="B691" s="116">
        <v>976.08749999999998</v>
      </c>
      <c r="C691" s="116">
        <v>952.6</v>
      </c>
      <c r="D691" s="116">
        <v>927</v>
      </c>
      <c r="E691" s="116">
        <v>927</v>
      </c>
      <c r="F691" s="116">
        <v>3810.4</v>
      </c>
      <c r="G691">
        <v>1705</v>
      </c>
      <c r="H691" s="116"/>
      <c r="I691" s="116"/>
      <c r="L691" s="170">
        <v>45554</v>
      </c>
      <c r="M691" s="116">
        <v>958.33749999999998</v>
      </c>
      <c r="N691" s="116">
        <v>979.75</v>
      </c>
      <c r="O691" s="116">
        <v>946</v>
      </c>
      <c r="P691" s="116">
        <v>977.5</v>
      </c>
      <c r="Q691" s="116">
        <v>3833.35</v>
      </c>
      <c r="R691">
        <v>13408</v>
      </c>
    </row>
    <row r="692" spans="1:18" x14ac:dyDescent="0.25">
      <c r="A692" s="170">
        <v>45555</v>
      </c>
      <c r="B692" s="116">
        <v>987.23749999999995</v>
      </c>
      <c r="C692" s="116">
        <v>976.9375</v>
      </c>
      <c r="D692" s="116">
        <v>944.57500000000005</v>
      </c>
      <c r="E692" s="116">
        <v>967.76250000000005</v>
      </c>
      <c r="F692" s="116">
        <v>3907.75</v>
      </c>
      <c r="G692">
        <v>2172</v>
      </c>
      <c r="H692" s="116"/>
      <c r="I692" s="116"/>
      <c r="L692" s="170">
        <v>45555</v>
      </c>
      <c r="M692" s="116">
        <v>974.875</v>
      </c>
      <c r="N692" s="116">
        <v>990.13750000000005</v>
      </c>
      <c r="O692" s="116">
        <v>945</v>
      </c>
      <c r="P692" s="116">
        <v>958.33749999999998</v>
      </c>
      <c r="Q692" s="116">
        <v>3899.5</v>
      </c>
      <c r="R692">
        <v>36701</v>
      </c>
    </row>
    <row r="693" spans="1:18" x14ac:dyDescent="0.25">
      <c r="A693" s="170">
        <v>45558</v>
      </c>
      <c r="B693" s="116">
        <v>999.4375</v>
      </c>
      <c r="C693" s="116">
        <v>969.625</v>
      </c>
      <c r="D693" s="116">
        <v>961.33749999999998</v>
      </c>
      <c r="E693" s="116">
        <v>987.375</v>
      </c>
      <c r="F693" s="116">
        <v>3878.5</v>
      </c>
      <c r="G693">
        <v>2676</v>
      </c>
      <c r="H693" s="116"/>
      <c r="I693" s="116"/>
      <c r="L693" s="170">
        <v>45558</v>
      </c>
      <c r="M693" s="116">
        <v>970.7</v>
      </c>
      <c r="N693" s="116">
        <v>981.48749999999995</v>
      </c>
      <c r="O693" s="116">
        <v>961.01250000000005</v>
      </c>
      <c r="P693" s="116">
        <v>976.05</v>
      </c>
      <c r="Q693" s="116">
        <v>3882.8</v>
      </c>
      <c r="R693">
        <v>13747</v>
      </c>
    </row>
    <row r="694" spans="1:18" x14ac:dyDescent="0.25">
      <c r="A694" s="170">
        <v>45559</v>
      </c>
      <c r="B694" s="116">
        <v>988.25</v>
      </c>
      <c r="C694" s="116">
        <v>977.65</v>
      </c>
      <c r="D694" s="116">
        <v>945.86249999999995</v>
      </c>
      <c r="E694" s="116">
        <v>988.25</v>
      </c>
      <c r="F694" s="116">
        <v>3910.6</v>
      </c>
      <c r="G694">
        <v>703</v>
      </c>
      <c r="H694" s="116"/>
      <c r="I694" s="116"/>
      <c r="L694" s="170">
        <v>45559</v>
      </c>
      <c r="M694" s="116">
        <v>978.92499999999995</v>
      </c>
      <c r="N694" s="116">
        <v>984</v>
      </c>
      <c r="O694" s="116">
        <v>946.25</v>
      </c>
      <c r="P694" s="116">
        <v>970.7</v>
      </c>
      <c r="Q694" s="116">
        <v>3915.7</v>
      </c>
      <c r="R694">
        <v>58780</v>
      </c>
    </row>
    <row r="695" spans="1:18" x14ac:dyDescent="0.25">
      <c r="A695" s="170">
        <v>45560</v>
      </c>
      <c r="B695" s="116">
        <v>987.73749999999995</v>
      </c>
      <c r="C695" s="116">
        <v>974.98749999999995</v>
      </c>
      <c r="D695" s="116">
        <v>974.08749999999998</v>
      </c>
      <c r="E695" s="116">
        <v>983.375</v>
      </c>
      <c r="F695" s="116">
        <v>3899.95</v>
      </c>
      <c r="G695">
        <v>456</v>
      </c>
      <c r="H695" s="116"/>
      <c r="I695" s="116"/>
      <c r="L695" s="170">
        <v>45560</v>
      </c>
      <c r="M695" s="116">
        <v>975.02499999999998</v>
      </c>
      <c r="N695" s="116">
        <v>987.5</v>
      </c>
      <c r="O695" s="116">
        <v>969.11249999999995</v>
      </c>
      <c r="P695" s="116">
        <v>969.11249999999995</v>
      </c>
      <c r="Q695" s="116">
        <v>3900.1</v>
      </c>
      <c r="R695">
        <v>39187</v>
      </c>
    </row>
    <row r="696" spans="1:18" x14ac:dyDescent="0.25">
      <c r="A696" s="170">
        <v>45561</v>
      </c>
      <c r="B696" s="116">
        <v>990.26250000000005</v>
      </c>
      <c r="C696" s="116">
        <v>983.63750000000005</v>
      </c>
      <c r="D696" s="116">
        <v>965.01250000000005</v>
      </c>
      <c r="E696" s="116">
        <v>990.26250000000005</v>
      </c>
      <c r="F696" s="116">
        <v>3934.55</v>
      </c>
      <c r="G696">
        <v>2006</v>
      </c>
      <c r="H696" s="116"/>
      <c r="I696" s="116"/>
      <c r="L696" s="170">
        <v>45561</v>
      </c>
      <c r="M696" s="116">
        <v>982.2</v>
      </c>
      <c r="N696" s="116">
        <v>994.52499999999998</v>
      </c>
      <c r="O696" s="116">
        <v>965.51250000000005</v>
      </c>
      <c r="P696" s="116">
        <v>994.52499999999998</v>
      </c>
      <c r="Q696" s="116">
        <v>3928.8</v>
      </c>
      <c r="R696">
        <v>39510</v>
      </c>
    </row>
    <row r="697" spans="1:18" x14ac:dyDescent="0.25">
      <c r="A697" s="170">
        <v>45562</v>
      </c>
      <c r="B697" s="116">
        <v>989.7</v>
      </c>
      <c r="C697" s="116">
        <v>969.9</v>
      </c>
      <c r="D697" s="116">
        <v>963.75</v>
      </c>
      <c r="E697" s="116">
        <v>989.7</v>
      </c>
      <c r="F697" s="116">
        <v>3879.6</v>
      </c>
      <c r="G697">
        <v>2187</v>
      </c>
      <c r="H697" s="116"/>
      <c r="I697" s="116"/>
      <c r="L697" s="170">
        <v>45562</v>
      </c>
      <c r="M697" s="116">
        <v>968.75</v>
      </c>
      <c r="N697" s="116">
        <v>987.5</v>
      </c>
      <c r="O697" s="116">
        <v>962.67499999999995</v>
      </c>
      <c r="P697" s="116">
        <v>982.2</v>
      </c>
      <c r="Q697" s="116">
        <v>3875</v>
      </c>
      <c r="R697">
        <v>24933</v>
      </c>
    </row>
    <row r="698" spans="1:18" x14ac:dyDescent="0.25">
      <c r="A698" s="170">
        <v>45565</v>
      </c>
      <c r="B698" s="116">
        <v>999.75</v>
      </c>
      <c r="C698" s="116">
        <v>979.16250000000002</v>
      </c>
      <c r="D698" s="116">
        <v>942.41250000000002</v>
      </c>
      <c r="E698" s="116">
        <v>942.41250000000002</v>
      </c>
      <c r="F698" s="116">
        <v>3916.65</v>
      </c>
      <c r="G698">
        <v>8082</v>
      </c>
      <c r="H698" s="116"/>
      <c r="I698" s="116"/>
      <c r="L698" s="170">
        <v>45565</v>
      </c>
      <c r="M698" s="116">
        <v>981.33749999999998</v>
      </c>
      <c r="N698" s="116">
        <v>999.5</v>
      </c>
      <c r="O698" s="116">
        <v>939</v>
      </c>
      <c r="P698" s="116">
        <v>945.01250000000005</v>
      </c>
      <c r="Q698" s="116">
        <v>3925.35</v>
      </c>
      <c r="R698">
        <v>120595</v>
      </c>
    </row>
    <row r="699" spans="1:18" x14ac:dyDescent="0.25">
      <c r="A699" s="170">
        <v>45566</v>
      </c>
      <c r="B699" s="116">
        <v>979.1</v>
      </c>
      <c r="C699" s="116">
        <v>970.85</v>
      </c>
      <c r="D699" s="116">
        <v>965.17499999999995</v>
      </c>
      <c r="E699" s="116">
        <v>979.1</v>
      </c>
      <c r="F699" s="116">
        <v>3883.4</v>
      </c>
      <c r="G699">
        <v>773</v>
      </c>
      <c r="H699" s="116"/>
      <c r="I699" s="116"/>
      <c r="L699" s="170">
        <v>45566</v>
      </c>
      <c r="M699" s="116">
        <v>970.86249999999995</v>
      </c>
      <c r="N699" s="116">
        <v>981.77499999999998</v>
      </c>
      <c r="O699" s="116">
        <v>965.95</v>
      </c>
      <c r="P699" s="116">
        <v>981.33749999999998</v>
      </c>
      <c r="Q699" s="116">
        <v>3883.45</v>
      </c>
      <c r="R699">
        <v>38240</v>
      </c>
    </row>
    <row r="700" spans="1:18" x14ac:dyDescent="0.25">
      <c r="A700" s="170">
        <v>45568</v>
      </c>
      <c r="B700" s="116">
        <v>985</v>
      </c>
      <c r="C700" s="116">
        <v>976.375</v>
      </c>
      <c r="D700" s="116">
        <v>952.52499999999998</v>
      </c>
      <c r="E700" s="116">
        <v>952.53750000000002</v>
      </c>
      <c r="F700" s="116">
        <v>3905.5</v>
      </c>
      <c r="G700">
        <v>2322</v>
      </c>
      <c r="H700" s="116"/>
      <c r="I700" s="116"/>
      <c r="L700" s="170">
        <v>45568</v>
      </c>
      <c r="M700" s="116">
        <v>977.9375</v>
      </c>
      <c r="N700" s="116">
        <v>984.38750000000005</v>
      </c>
      <c r="O700" s="116">
        <v>952.23749999999995</v>
      </c>
      <c r="P700" s="116">
        <v>960</v>
      </c>
      <c r="Q700" s="116">
        <v>3911.75</v>
      </c>
      <c r="R700">
        <v>42723</v>
      </c>
    </row>
    <row r="701" spans="1:18" x14ac:dyDescent="0.25">
      <c r="A701" s="170">
        <v>45569</v>
      </c>
      <c r="B701" s="116">
        <v>993.13750000000005</v>
      </c>
      <c r="C701" s="116">
        <v>977.97500000000002</v>
      </c>
      <c r="D701" s="116">
        <v>954.125</v>
      </c>
      <c r="E701" s="116">
        <v>975</v>
      </c>
      <c r="F701" s="116">
        <v>3911.9</v>
      </c>
      <c r="G701">
        <v>2442</v>
      </c>
      <c r="H701" s="116"/>
      <c r="I701" s="116"/>
      <c r="L701" s="170">
        <v>45569</v>
      </c>
      <c r="M701" s="116">
        <v>977.61249999999995</v>
      </c>
      <c r="N701" s="116">
        <v>993.26250000000005</v>
      </c>
      <c r="O701" s="116">
        <v>951.5</v>
      </c>
      <c r="P701" s="116">
        <v>968.16250000000002</v>
      </c>
      <c r="Q701" s="116">
        <v>3910.45</v>
      </c>
      <c r="R701">
        <v>57292</v>
      </c>
    </row>
    <row r="702" spans="1:18" x14ac:dyDescent="0.25">
      <c r="A702" s="170">
        <v>45572</v>
      </c>
      <c r="B702" s="116">
        <v>998.1875</v>
      </c>
      <c r="C702" s="116">
        <v>971.58749999999998</v>
      </c>
      <c r="D702" s="116">
        <v>955.15</v>
      </c>
      <c r="E702" s="116">
        <v>965.33749999999998</v>
      </c>
      <c r="F702" s="116">
        <v>3886.35</v>
      </c>
      <c r="G702">
        <v>5056</v>
      </c>
      <c r="H702" s="116"/>
      <c r="I702" s="116"/>
      <c r="L702" s="170">
        <v>45572</v>
      </c>
      <c r="M702" s="116">
        <v>971.35</v>
      </c>
      <c r="N702" s="116">
        <v>997.5</v>
      </c>
      <c r="O702" s="116">
        <v>955.01250000000005</v>
      </c>
      <c r="P702" s="116">
        <v>977.61249999999995</v>
      </c>
      <c r="Q702" s="116">
        <v>3885.4</v>
      </c>
      <c r="R702">
        <v>38394</v>
      </c>
    </row>
    <row r="703" spans="1:18" x14ac:dyDescent="0.25">
      <c r="A703" s="170">
        <v>45573</v>
      </c>
      <c r="B703" s="116">
        <v>991.95</v>
      </c>
      <c r="C703" s="116">
        <v>990.72500000000002</v>
      </c>
      <c r="D703" s="116">
        <v>965.3</v>
      </c>
      <c r="E703" s="116">
        <v>970</v>
      </c>
      <c r="F703" s="116">
        <v>3962.9</v>
      </c>
      <c r="G703">
        <v>2362</v>
      </c>
      <c r="H703" s="116"/>
      <c r="I703" s="116"/>
      <c r="L703" s="170">
        <v>45573</v>
      </c>
      <c r="M703" s="116">
        <v>990.92499999999995</v>
      </c>
      <c r="N703" s="116">
        <v>991.75</v>
      </c>
      <c r="O703" s="116">
        <v>962.5</v>
      </c>
      <c r="P703" s="116">
        <v>962.5</v>
      </c>
      <c r="Q703" s="116">
        <v>3963.7</v>
      </c>
      <c r="R703">
        <v>23863</v>
      </c>
    </row>
    <row r="704" spans="1:18" x14ac:dyDescent="0.25">
      <c r="A704" s="170">
        <v>45574</v>
      </c>
      <c r="B704" s="116">
        <v>1040.9124999999999</v>
      </c>
      <c r="C704" s="116">
        <v>1029.3625</v>
      </c>
      <c r="D704" s="116">
        <v>990.78750000000002</v>
      </c>
      <c r="E704" s="116">
        <v>999.9375</v>
      </c>
      <c r="F704" s="116">
        <v>4117.45</v>
      </c>
      <c r="G704">
        <v>5005</v>
      </c>
      <c r="H704" s="116"/>
      <c r="I704" s="116"/>
      <c r="L704" s="170">
        <v>45574</v>
      </c>
      <c r="M704" s="116">
        <v>1031.7249999999999</v>
      </c>
      <c r="N704" s="116">
        <v>1042</v>
      </c>
      <c r="O704" s="116">
        <v>990</v>
      </c>
      <c r="P704" s="116">
        <v>998.5</v>
      </c>
      <c r="Q704" s="116">
        <v>4126.8999999999996</v>
      </c>
      <c r="R704">
        <v>111747</v>
      </c>
    </row>
    <row r="705" spans="1:18" x14ac:dyDescent="0.25">
      <c r="A705" s="170">
        <v>45575</v>
      </c>
      <c r="B705" s="116">
        <v>1048.4875</v>
      </c>
      <c r="C705" s="116">
        <v>1013.925</v>
      </c>
      <c r="D705" s="116">
        <v>1006.5</v>
      </c>
      <c r="E705" s="116">
        <v>1048.4875</v>
      </c>
      <c r="F705" s="116">
        <v>4055.7</v>
      </c>
      <c r="G705">
        <v>2941</v>
      </c>
      <c r="H705" s="116"/>
      <c r="I705" s="116"/>
      <c r="L705" s="170">
        <v>45575</v>
      </c>
      <c r="M705" s="116">
        <v>1013.6375</v>
      </c>
      <c r="N705" s="116">
        <v>1050</v>
      </c>
      <c r="O705" s="116">
        <v>1005</v>
      </c>
      <c r="P705" s="116">
        <v>1043</v>
      </c>
      <c r="Q705" s="116">
        <v>4054.55</v>
      </c>
      <c r="R705">
        <v>75908</v>
      </c>
    </row>
    <row r="706" spans="1:18" x14ac:dyDescent="0.25">
      <c r="A706" s="170">
        <v>45576</v>
      </c>
      <c r="B706" s="116">
        <v>1070</v>
      </c>
      <c r="C706" s="116">
        <v>1010.125</v>
      </c>
      <c r="D706" s="116">
        <v>1003.15</v>
      </c>
      <c r="E706" s="116">
        <v>1050.5125</v>
      </c>
      <c r="F706" s="116">
        <v>4040.5</v>
      </c>
      <c r="G706">
        <v>16513</v>
      </c>
      <c r="H706" s="116"/>
      <c r="I706" s="116"/>
      <c r="L706" s="170">
        <v>45576</v>
      </c>
      <c r="M706" s="116">
        <v>1010.4625</v>
      </c>
      <c r="N706" s="116">
        <v>1071.1375</v>
      </c>
      <c r="O706" s="116">
        <v>1001.3875</v>
      </c>
      <c r="P706" s="116">
        <v>1056.25</v>
      </c>
      <c r="Q706" s="116">
        <v>4041.85</v>
      </c>
      <c r="R706">
        <v>418090</v>
      </c>
    </row>
    <row r="707" spans="1:18" x14ac:dyDescent="0.25">
      <c r="A707" s="170">
        <v>45579</v>
      </c>
      <c r="B707" s="116">
        <v>1041</v>
      </c>
      <c r="C707" s="116">
        <v>1011.2875</v>
      </c>
      <c r="D707" s="116">
        <v>1003.7625</v>
      </c>
      <c r="E707" s="116">
        <v>1010.475</v>
      </c>
      <c r="F707" s="116">
        <v>4045.15</v>
      </c>
      <c r="G707">
        <v>3028</v>
      </c>
      <c r="H707" s="116"/>
      <c r="I707" s="116"/>
      <c r="L707" s="170">
        <v>45579</v>
      </c>
      <c r="M707" s="116">
        <v>1010.325</v>
      </c>
      <c r="N707" s="116">
        <v>1039.75</v>
      </c>
      <c r="O707" s="116">
        <v>1003.75</v>
      </c>
      <c r="P707" s="116">
        <v>1012.9875</v>
      </c>
      <c r="Q707" s="116">
        <v>4041.3</v>
      </c>
      <c r="R707">
        <v>52791</v>
      </c>
    </row>
    <row r="708" spans="1:18" x14ac:dyDescent="0.25">
      <c r="A708" s="170">
        <v>45580</v>
      </c>
      <c r="B708" s="116">
        <v>1037.5</v>
      </c>
      <c r="C708" s="116">
        <v>1034.4875</v>
      </c>
      <c r="D708" s="116">
        <v>1011.1625</v>
      </c>
      <c r="E708" s="116">
        <v>1027.8125</v>
      </c>
      <c r="F708" s="116">
        <v>4137.95</v>
      </c>
      <c r="G708">
        <v>11126</v>
      </c>
      <c r="H708" s="116"/>
      <c r="I708" s="116"/>
      <c r="L708" s="170">
        <v>45580</v>
      </c>
      <c r="M708" s="116">
        <v>1033.8499999999999</v>
      </c>
      <c r="N708" s="116">
        <v>1037.9875</v>
      </c>
      <c r="O708" s="116">
        <v>1010.65</v>
      </c>
      <c r="P708" s="116">
        <v>1020</v>
      </c>
      <c r="Q708" s="116">
        <v>4135.3999999999996</v>
      </c>
      <c r="R708">
        <v>108473</v>
      </c>
    </row>
    <row r="709" spans="1:18" x14ac:dyDescent="0.25">
      <c r="A709" s="170">
        <v>45581</v>
      </c>
      <c r="B709" s="116">
        <v>1052.5</v>
      </c>
      <c r="C709" s="116">
        <v>1032.5374999999999</v>
      </c>
      <c r="D709" s="116">
        <v>1021.85</v>
      </c>
      <c r="E709" s="116">
        <v>1033.5</v>
      </c>
      <c r="F709" s="116">
        <v>4130.1499999999996</v>
      </c>
      <c r="G709">
        <v>6591</v>
      </c>
      <c r="H709" s="116"/>
      <c r="I709" s="116"/>
      <c r="L709" s="170">
        <v>45581</v>
      </c>
      <c r="M709" s="116">
        <v>1032.7375</v>
      </c>
      <c r="N709" s="116">
        <v>1053.75</v>
      </c>
      <c r="O709" s="116">
        <v>1015.5</v>
      </c>
      <c r="P709" s="116">
        <v>1033.75</v>
      </c>
      <c r="Q709" s="116">
        <v>4130.95</v>
      </c>
      <c r="R709">
        <v>108964</v>
      </c>
    </row>
    <row r="710" spans="1:18" x14ac:dyDescent="0.25">
      <c r="A710" s="170">
        <v>45582</v>
      </c>
      <c r="B710" s="116">
        <v>1036.925</v>
      </c>
      <c r="C710" s="116">
        <v>1018.05</v>
      </c>
      <c r="D710" s="116">
        <v>1011.025</v>
      </c>
      <c r="E710" s="116">
        <v>1036.925</v>
      </c>
      <c r="F710" s="116">
        <v>4072.2</v>
      </c>
      <c r="G710">
        <v>2196</v>
      </c>
      <c r="H710" s="116"/>
      <c r="I710" s="116"/>
      <c r="L710" s="170">
        <v>45582</v>
      </c>
      <c r="M710" s="116">
        <v>1019.525</v>
      </c>
      <c r="N710" s="116">
        <v>1037.6125</v>
      </c>
      <c r="O710" s="116">
        <v>1011.425</v>
      </c>
      <c r="P710" s="116">
        <v>1036.3875</v>
      </c>
      <c r="Q710" s="116">
        <v>4078.1</v>
      </c>
      <c r="R710">
        <v>46234</v>
      </c>
    </row>
    <row r="711" spans="1:18" x14ac:dyDescent="0.25">
      <c r="A711" s="170">
        <v>45583</v>
      </c>
      <c r="B711" s="116">
        <v>1093.95</v>
      </c>
      <c r="C711" s="116">
        <v>1071.1500000000001</v>
      </c>
      <c r="D711" s="116">
        <v>1005.975</v>
      </c>
      <c r="E711" s="116">
        <v>1012.5</v>
      </c>
      <c r="F711" s="116">
        <v>4284.6000000000004</v>
      </c>
      <c r="G711">
        <v>11175</v>
      </c>
      <c r="H711" s="116"/>
      <c r="I711" s="116"/>
      <c r="L711" s="170">
        <v>45583</v>
      </c>
      <c r="M711" s="116">
        <v>1071.575</v>
      </c>
      <c r="N711" s="116">
        <v>1093.6624999999999</v>
      </c>
      <c r="O711" s="116">
        <v>1001.525</v>
      </c>
      <c r="P711" s="116">
        <v>1006.25</v>
      </c>
      <c r="Q711" s="116">
        <v>4286.3</v>
      </c>
      <c r="R711">
        <v>411323</v>
      </c>
    </row>
    <row r="712" spans="1:18" x14ac:dyDescent="0.25">
      <c r="A712" s="170">
        <v>45586</v>
      </c>
      <c r="B712" s="116">
        <v>1094.75</v>
      </c>
      <c r="C712" s="116">
        <v>1035.6125</v>
      </c>
      <c r="D712" s="116">
        <v>1032.7750000000001</v>
      </c>
      <c r="E712" s="116">
        <v>1092.575</v>
      </c>
      <c r="F712" s="116">
        <v>4142.45</v>
      </c>
      <c r="G712">
        <v>2224</v>
      </c>
      <c r="H712" s="116"/>
      <c r="I712" s="116"/>
      <c r="L712" s="170">
        <v>45586</v>
      </c>
      <c r="M712" s="116">
        <v>1036.0999999999999</v>
      </c>
      <c r="N712" s="116">
        <v>1095.5</v>
      </c>
      <c r="O712" s="116">
        <v>1032.5</v>
      </c>
      <c r="P712" s="116">
        <v>1081.25</v>
      </c>
      <c r="Q712" s="116">
        <v>4144.3999999999996</v>
      </c>
      <c r="R712">
        <v>122489</v>
      </c>
    </row>
    <row r="713" spans="1:18" x14ac:dyDescent="0.25">
      <c r="A713" s="170">
        <v>45587</v>
      </c>
      <c r="B713" s="116">
        <v>1052.5</v>
      </c>
      <c r="C713" s="116">
        <v>1008.675</v>
      </c>
      <c r="D713" s="116">
        <v>1003.0625</v>
      </c>
      <c r="E713" s="116">
        <v>1035.075</v>
      </c>
      <c r="F713" s="116">
        <v>4034.7</v>
      </c>
      <c r="G713">
        <v>2791</v>
      </c>
      <c r="H713" s="116"/>
      <c r="I713" s="116"/>
      <c r="L713" s="170">
        <v>45587</v>
      </c>
      <c r="M713" s="116">
        <v>1008.4625</v>
      </c>
      <c r="N713" s="116">
        <v>1054.3625</v>
      </c>
      <c r="O713" s="116">
        <v>1001.5375</v>
      </c>
      <c r="P713" s="116">
        <v>1045.675</v>
      </c>
      <c r="Q713" s="116">
        <v>4033.85</v>
      </c>
      <c r="R713">
        <v>101638</v>
      </c>
    </row>
    <row r="714" spans="1:18" x14ac:dyDescent="0.25">
      <c r="A714" s="170">
        <v>45588</v>
      </c>
      <c r="B714" s="116">
        <v>1022.875</v>
      </c>
      <c r="C714" s="116">
        <v>1010.5</v>
      </c>
      <c r="D714" s="116">
        <v>986.25</v>
      </c>
      <c r="E714" s="116">
        <v>988.51250000000005</v>
      </c>
      <c r="F714" s="116">
        <v>4042</v>
      </c>
      <c r="G714">
        <v>5265</v>
      </c>
      <c r="H714" s="116"/>
      <c r="I714" s="116"/>
      <c r="L714" s="170">
        <v>45588</v>
      </c>
      <c r="M714" s="116">
        <v>1011.6875</v>
      </c>
      <c r="N714" s="116">
        <v>1022.925</v>
      </c>
      <c r="O714" s="116">
        <v>985.01250000000005</v>
      </c>
      <c r="P714" s="116">
        <v>1001.25</v>
      </c>
      <c r="Q714" s="116">
        <v>4046.75</v>
      </c>
      <c r="R714">
        <v>53489</v>
      </c>
    </row>
    <row r="715" spans="1:18" x14ac:dyDescent="0.25">
      <c r="A715" s="170">
        <v>45589</v>
      </c>
      <c r="B715" s="116">
        <v>1036.75</v>
      </c>
      <c r="C715" s="116">
        <v>1023.15</v>
      </c>
      <c r="D715" s="116">
        <v>1008.9125</v>
      </c>
      <c r="E715" s="116">
        <v>1012.5125</v>
      </c>
      <c r="F715" s="116">
        <v>4092.6</v>
      </c>
      <c r="G715">
        <v>1866</v>
      </c>
      <c r="H715" s="116"/>
      <c r="I715" s="116"/>
      <c r="L715" s="170">
        <v>45589</v>
      </c>
      <c r="M715" s="116">
        <v>1022.7125</v>
      </c>
      <c r="N715" s="116">
        <v>1036.7874999999999</v>
      </c>
      <c r="O715" s="116">
        <v>995.5</v>
      </c>
      <c r="P715" s="116">
        <v>1021.2875</v>
      </c>
      <c r="Q715" s="116">
        <v>4090.85</v>
      </c>
      <c r="R715">
        <v>63094</v>
      </c>
    </row>
    <row r="716" spans="1:18" x14ac:dyDescent="0.25">
      <c r="A716" s="170">
        <v>45590</v>
      </c>
      <c r="B716" s="116">
        <v>1023.525</v>
      </c>
      <c r="C716" s="116">
        <v>999.05</v>
      </c>
      <c r="D716" s="116">
        <v>982.5</v>
      </c>
      <c r="E716" s="116">
        <v>1023</v>
      </c>
      <c r="F716" s="116">
        <v>3996.2</v>
      </c>
      <c r="G716">
        <v>6409</v>
      </c>
      <c r="H716" s="116"/>
      <c r="I716" s="116"/>
      <c r="L716" s="170">
        <v>45590</v>
      </c>
      <c r="M716" s="116">
        <v>999.0625</v>
      </c>
      <c r="N716" s="116">
        <v>1025.7375</v>
      </c>
      <c r="O716" s="116">
        <v>982.5</v>
      </c>
      <c r="P716" s="116">
        <v>1025.7375</v>
      </c>
      <c r="Q716" s="116">
        <v>3996.25</v>
      </c>
      <c r="R716">
        <v>49123</v>
      </c>
    </row>
    <row r="717" spans="1:18" x14ac:dyDescent="0.25">
      <c r="A717" s="170">
        <v>45593</v>
      </c>
      <c r="B717" s="116">
        <v>999.05</v>
      </c>
      <c r="C717" s="116">
        <v>982.33749999999998</v>
      </c>
      <c r="D717" s="116">
        <v>977.65</v>
      </c>
      <c r="E717" s="116">
        <v>999.05</v>
      </c>
      <c r="F717" s="116">
        <v>3929.35</v>
      </c>
      <c r="G717">
        <v>1366</v>
      </c>
      <c r="H717" s="116"/>
      <c r="I717" s="116"/>
      <c r="L717" s="170">
        <v>45593</v>
      </c>
      <c r="M717" s="116">
        <v>981.9375</v>
      </c>
      <c r="N717" s="116">
        <v>1000.125</v>
      </c>
      <c r="O717" s="116">
        <v>975.25</v>
      </c>
      <c r="P717" s="116">
        <v>999.25</v>
      </c>
      <c r="Q717" s="116">
        <v>3927.75</v>
      </c>
      <c r="R717">
        <v>48539</v>
      </c>
    </row>
    <row r="718" spans="1:18" x14ac:dyDescent="0.25">
      <c r="A718" s="170">
        <v>45594</v>
      </c>
      <c r="B718" s="116">
        <v>987.26250000000005</v>
      </c>
      <c r="C718" s="116">
        <v>976.55</v>
      </c>
      <c r="D718" s="116">
        <v>973.07500000000005</v>
      </c>
      <c r="E718" s="116">
        <v>982.5</v>
      </c>
      <c r="F718" s="116">
        <v>3906.2</v>
      </c>
      <c r="G718">
        <v>22859</v>
      </c>
      <c r="H718" s="116"/>
      <c r="I718" s="116"/>
      <c r="L718" s="170">
        <v>45594</v>
      </c>
      <c r="M718" s="116">
        <v>977.88750000000005</v>
      </c>
      <c r="N718" s="116">
        <v>991.7</v>
      </c>
      <c r="O718" s="116">
        <v>975</v>
      </c>
      <c r="P718" s="116">
        <v>991.7</v>
      </c>
      <c r="Q718" s="116">
        <v>3911.55</v>
      </c>
      <c r="R718">
        <v>40246</v>
      </c>
    </row>
    <row r="719" spans="1:18" x14ac:dyDescent="0.25">
      <c r="A719" s="170">
        <v>45595</v>
      </c>
      <c r="B719" s="116">
        <v>1014.7375</v>
      </c>
      <c r="C719" s="116">
        <v>975.26250000000005</v>
      </c>
      <c r="D719" s="116">
        <v>971.02499999999998</v>
      </c>
      <c r="E719" s="116">
        <v>983.25</v>
      </c>
      <c r="F719" s="116">
        <v>3901.05</v>
      </c>
      <c r="G719">
        <v>6236</v>
      </c>
      <c r="H719" s="116"/>
      <c r="I719" s="116"/>
      <c r="L719" s="170">
        <v>45595</v>
      </c>
      <c r="M719" s="116">
        <v>974.67499999999995</v>
      </c>
      <c r="N719" s="116">
        <v>1015.975</v>
      </c>
      <c r="O719" s="116">
        <v>963.75</v>
      </c>
      <c r="P719" s="116">
        <v>985.41250000000002</v>
      </c>
      <c r="Q719" s="116">
        <v>3898.7</v>
      </c>
      <c r="R719">
        <v>50167</v>
      </c>
    </row>
    <row r="720" spans="1:18" x14ac:dyDescent="0.25">
      <c r="A720" s="170">
        <v>45596</v>
      </c>
      <c r="B720" s="116">
        <v>1035.25</v>
      </c>
      <c r="C720" s="116">
        <v>1031.4625000000001</v>
      </c>
      <c r="D720" s="116">
        <v>960.51250000000005</v>
      </c>
      <c r="E720" s="116">
        <v>960.51250000000005</v>
      </c>
      <c r="F720" s="116">
        <v>4125.8500000000004</v>
      </c>
      <c r="G720">
        <v>8731</v>
      </c>
      <c r="H720" s="116"/>
      <c r="I720" s="116"/>
      <c r="L720" s="170">
        <v>45596</v>
      </c>
      <c r="M720" s="116">
        <v>1031.4875</v>
      </c>
      <c r="N720" s="116">
        <v>1036.075</v>
      </c>
      <c r="O720" s="116">
        <v>975</v>
      </c>
      <c r="P720" s="116">
        <v>975</v>
      </c>
      <c r="Q720" s="116">
        <v>4125.95</v>
      </c>
      <c r="R720">
        <v>127026</v>
      </c>
    </row>
    <row r="721" spans="1:18" x14ac:dyDescent="0.25">
      <c r="A721" s="170">
        <v>45597</v>
      </c>
      <c r="B721" s="116">
        <v>1043.9749999999999</v>
      </c>
      <c r="C721" s="116">
        <v>1038.3625</v>
      </c>
      <c r="D721" s="116">
        <v>1010.8375</v>
      </c>
      <c r="E721" s="116">
        <v>1010.8375</v>
      </c>
      <c r="F721" s="116">
        <v>4153.45</v>
      </c>
      <c r="G721">
        <v>285</v>
      </c>
      <c r="H721" s="116"/>
      <c r="I721" s="116"/>
      <c r="L721" s="170">
        <v>45597</v>
      </c>
      <c r="M721" s="116">
        <v>1038.5250000000001</v>
      </c>
      <c r="N721" s="116">
        <v>1047.4749999999999</v>
      </c>
      <c r="O721" s="116">
        <v>1035</v>
      </c>
      <c r="P721" s="116">
        <v>1041.8</v>
      </c>
      <c r="Q721" s="116">
        <v>4154.1000000000004</v>
      </c>
      <c r="R721">
        <v>8895</v>
      </c>
    </row>
    <row r="722" spans="1:18" x14ac:dyDescent="0.25">
      <c r="A722" s="170">
        <v>45600</v>
      </c>
      <c r="B722" s="116">
        <v>1037.5</v>
      </c>
      <c r="C722" s="116">
        <v>1006.0625</v>
      </c>
      <c r="D722" s="116">
        <v>1000</v>
      </c>
      <c r="E722" s="116">
        <v>1037.5</v>
      </c>
      <c r="F722" s="116">
        <v>4024.25</v>
      </c>
      <c r="G722">
        <v>1243</v>
      </c>
      <c r="H722" s="116"/>
      <c r="I722" s="116"/>
      <c r="L722" s="170">
        <v>45600</v>
      </c>
      <c r="M722" s="116">
        <v>1006.5</v>
      </c>
      <c r="N722" s="116">
        <v>1034.9749999999999</v>
      </c>
      <c r="O722" s="116">
        <v>994.5</v>
      </c>
      <c r="P722" s="116">
        <v>1026.75</v>
      </c>
      <c r="Q722" s="116">
        <v>4026</v>
      </c>
      <c r="R722">
        <v>35032</v>
      </c>
    </row>
    <row r="723" spans="1:18" x14ac:dyDescent="0.25">
      <c r="A723" s="170">
        <v>45601</v>
      </c>
      <c r="B723" s="116">
        <v>1018.025</v>
      </c>
      <c r="C723" s="116">
        <v>1012.1375</v>
      </c>
      <c r="D723" s="116">
        <v>999.28750000000002</v>
      </c>
      <c r="E723" s="116">
        <v>999.28750000000002</v>
      </c>
      <c r="F723" s="116">
        <v>4048.55</v>
      </c>
      <c r="G723">
        <v>1070</v>
      </c>
      <c r="H723" s="116"/>
      <c r="I723" s="116"/>
      <c r="L723" s="170">
        <v>45601</v>
      </c>
      <c r="M723" s="116">
        <v>1011.2375</v>
      </c>
      <c r="N723" s="116">
        <v>1020</v>
      </c>
      <c r="O723" s="116">
        <v>996.25</v>
      </c>
      <c r="P723" s="116">
        <v>996.25</v>
      </c>
      <c r="Q723" s="116">
        <v>4044.95</v>
      </c>
      <c r="R723">
        <v>29064</v>
      </c>
    </row>
    <row r="724" spans="1:18" x14ac:dyDescent="0.25">
      <c r="A724" s="170">
        <v>45602</v>
      </c>
      <c r="B724" s="116">
        <v>1011.425</v>
      </c>
      <c r="C724" s="116">
        <v>996.16250000000002</v>
      </c>
      <c r="D724" s="116">
        <v>994.38750000000005</v>
      </c>
      <c r="E724" s="116">
        <v>1011.25</v>
      </c>
      <c r="F724" s="116">
        <v>3984.65</v>
      </c>
      <c r="G724">
        <v>5933</v>
      </c>
      <c r="H724" s="116"/>
      <c r="I724" s="116"/>
      <c r="L724" s="170">
        <v>45602</v>
      </c>
      <c r="M724" s="116">
        <v>997.6</v>
      </c>
      <c r="N724" s="116">
        <v>1018.5375</v>
      </c>
      <c r="O724" s="116">
        <v>995</v>
      </c>
      <c r="P724" s="116">
        <v>1015.2125</v>
      </c>
      <c r="Q724" s="116">
        <v>3990.4</v>
      </c>
      <c r="R724">
        <v>36578</v>
      </c>
    </row>
    <row r="725" spans="1:18" x14ac:dyDescent="0.25">
      <c r="A725" s="170">
        <v>45603</v>
      </c>
      <c r="B725" s="116">
        <v>1002.5</v>
      </c>
      <c r="C725" s="116">
        <v>990.1875</v>
      </c>
      <c r="D725" s="116">
        <v>984.76250000000005</v>
      </c>
      <c r="E725" s="116">
        <v>1002.5</v>
      </c>
      <c r="F725" s="116">
        <v>3960.75</v>
      </c>
      <c r="G725">
        <v>7204</v>
      </c>
      <c r="H725" s="116"/>
      <c r="I725" s="116"/>
      <c r="L725" s="170">
        <v>45603</v>
      </c>
      <c r="M725" s="116">
        <v>989.875</v>
      </c>
      <c r="N725" s="116">
        <v>1002.9</v>
      </c>
      <c r="O725" s="116">
        <v>984.26250000000005</v>
      </c>
      <c r="P725" s="116">
        <v>997.9375</v>
      </c>
      <c r="Q725" s="116">
        <v>3959.5</v>
      </c>
      <c r="R725">
        <v>38599</v>
      </c>
    </row>
    <row r="726" spans="1:18" x14ac:dyDescent="0.25">
      <c r="A726" s="170">
        <v>45604</v>
      </c>
      <c r="B726" s="116">
        <v>1009.675</v>
      </c>
      <c r="C726" s="116">
        <v>974.61249999999995</v>
      </c>
      <c r="D726" s="116">
        <v>971.4</v>
      </c>
      <c r="E726" s="116">
        <v>1009.675</v>
      </c>
      <c r="F726" s="116">
        <v>3898.45</v>
      </c>
      <c r="G726">
        <v>4552</v>
      </c>
      <c r="H726" s="116"/>
      <c r="I726" s="116"/>
      <c r="L726" s="170">
        <v>45604</v>
      </c>
      <c r="M726" s="116">
        <v>978.07500000000005</v>
      </c>
      <c r="N726" s="116">
        <v>994.55</v>
      </c>
      <c r="O726" s="116">
        <v>975.41250000000002</v>
      </c>
      <c r="P726" s="116">
        <v>990</v>
      </c>
      <c r="Q726" s="116">
        <v>3912.3</v>
      </c>
      <c r="R726">
        <v>22959</v>
      </c>
    </row>
    <row r="727" spans="1:18" x14ac:dyDescent="0.25">
      <c r="A727" s="170">
        <v>45607</v>
      </c>
      <c r="B727" s="116">
        <v>1007.5</v>
      </c>
      <c r="C727" s="116">
        <v>986.125</v>
      </c>
      <c r="D727" s="116">
        <v>968.15</v>
      </c>
      <c r="E727" s="116">
        <v>1007.5</v>
      </c>
      <c r="F727" s="116">
        <v>3944.5</v>
      </c>
      <c r="G727">
        <v>12707</v>
      </c>
      <c r="H727" s="116"/>
      <c r="I727" s="116"/>
      <c r="L727" s="170">
        <v>45607</v>
      </c>
      <c r="M727" s="116">
        <v>986.03750000000002</v>
      </c>
      <c r="N727" s="116">
        <v>1006.4375</v>
      </c>
      <c r="O727" s="116">
        <v>968.11249999999995</v>
      </c>
      <c r="P727" s="116">
        <v>978.07500000000005</v>
      </c>
      <c r="Q727" s="116">
        <v>3944.15</v>
      </c>
      <c r="R727">
        <v>47595</v>
      </c>
    </row>
    <row r="728" spans="1:18" x14ac:dyDescent="0.25">
      <c r="A728" s="170">
        <v>45608</v>
      </c>
      <c r="B728" s="116">
        <v>998</v>
      </c>
      <c r="C728" s="116">
        <v>975.03750000000002</v>
      </c>
      <c r="D728" s="116">
        <v>972.5</v>
      </c>
      <c r="E728" s="116">
        <v>992.5</v>
      </c>
      <c r="F728" s="116">
        <v>3900.15</v>
      </c>
      <c r="G728">
        <v>7998</v>
      </c>
      <c r="H728" s="116"/>
      <c r="I728" s="116"/>
      <c r="L728" s="170">
        <v>45608</v>
      </c>
      <c r="M728" s="116">
        <v>975.97500000000002</v>
      </c>
      <c r="N728" s="116">
        <v>999.625</v>
      </c>
      <c r="O728" s="116">
        <v>973.1</v>
      </c>
      <c r="P728" s="116">
        <v>997.11249999999995</v>
      </c>
      <c r="Q728" s="116">
        <v>3903.9</v>
      </c>
      <c r="R728">
        <v>25420</v>
      </c>
    </row>
    <row r="729" spans="1:18" x14ac:dyDescent="0.25">
      <c r="A729" s="170">
        <v>45609</v>
      </c>
      <c r="B729" s="116">
        <v>976.25</v>
      </c>
      <c r="C729" s="116">
        <v>955.17499999999995</v>
      </c>
      <c r="D729" s="116">
        <v>940.83749999999998</v>
      </c>
      <c r="E729" s="116">
        <v>976.25</v>
      </c>
      <c r="F729" s="116">
        <v>3820.7</v>
      </c>
      <c r="G729">
        <v>3300</v>
      </c>
      <c r="H729" s="116"/>
      <c r="I729" s="116"/>
      <c r="L729" s="170">
        <v>45609</v>
      </c>
      <c r="M729" s="116">
        <v>955.4</v>
      </c>
      <c r="N729" s="116">
        <v>973.85</v>
      </c>
      <c r="O729" s="116">
        <v>940.6875</v>
      </c>
      <c r="P729" s="116">
        <v>972.01250000000005</v>
      </c>
      <c r="Q729" s="116">
        <v>3821.6</v>
      </c>
      <c r="R729">
        <v>62761</v>
      </c>
    </row>
    <row r="730" spans="1:18" x14ac:dyDescent="0.25">
      <c r="A730" s="170">
        <v>45610</v>
      </c>
      <c r="B730" s="116">
        <v>978.98749999999995</v>
      </c>
      <c r="C730" s="116">
        <v>972.4</v>
      </c>
      <c r="D730" s="116">
        <v>942.65</v>
      </c>
      <c r="E730" s="116">
        <v>942.65</v>
      </c>
      <c r="F730" s="116">
        <v>3889.6</v>
      </c>
      <c r="G730">
        <v>2274</v>
      </c>
      <c r="H730" s="116"/>
      <c r="I730" s="116"/>
      <c r="L730" s="170">
        <v>45610</v>
      </c>
      <c r="M730" s="116">
        <v>971.01250000000005</v>
      </c>
      <c r="N730" s="116">
        <v>979.97500000000002</v>
      </c>
      <c r="O730" s="116">
        <v>943.75</v>
      </c>
      <c r="P730" s="116">
        <v>943.75</v>
      </c>
      <c r="Q730" s="116">
        <v>3884.05</v>
      </c>
      <c r="R730">
        <v>37446</v>
      </c>
    </row>
    <row r="731" spans="1:18" x14ac:dyDescent="0.25">
      <c r="A731" s="170">
        <v>45614</v>
      </c>
      <c r="B731" s="116">
        <v>1003.75</v>
      </c>
      <c r="C731" s="116">
        <v>995.53750000000002</v>
      </c>
      <c r="D731" s="116">
        <v>962.5</v>
      </c>
      <c r="E731" s="116">
        <v>974.01250000000005</v>
      </c>
      <c r="F731" s="116">
        <v>3982.15</v>
      </c>
      <c r="G731">
        <v>5962</v>
      </c>
      <c r="H731" s="116"/>
      <c r="I731" s="116"/>
      <c r="L731" s="170">
        <v>45614</v>
      </c>
      <c r="M731" s="116">
        <v>996.28750000000002</v>
      </c>
      <c r="N731" s="116">
        <v>1004.975</v>
      </c>
      <c r="O731" s="116">
        <v>962.5</v>
      </c>
      <c r="P731" s="116">
        <v>971.25</v>
      </c>
      <c r="Q731" s="116">
        <v>3985.15</v>
      </c>
      <c r="R731">
        <v>33452</v>
      </c>
    </row>
    <row r="732" spans="1:18" x14ac:dyDescent="0.25">
      <c r="A732" s="170">
        <v>45615</v>
      </c>
      <c r="B732" s="116">
        <v>1017.5</v>
      </c>
      <c r="C732" s="116">
        <v>1006.6625</v>
      </c>
      <c r="D732" s="116">
        <v>987.21249999999998</v>
      </c>
      <c r="E732" s="116">
        <v>1013.7875</v>
      </c>
      <c r="F732" s="116">
        <v>4026.65</v>
      </c>
      <c r="G732">
        <v>3603</v>
      </c>
      <c r="H732" s="116"/>
      <c r="I732" s="116"/>
      <c r="L732" s="170">
        <v>45615</v>
      </c>
      <c r="M732" s="116">
        <v>1007.65</v>
      </c>
      <c r="N732" s="116">
        <v>1017.5</v>
      </c>
      <c r="O732" s="116">
        <v>985.63750000000005</v>
      </c>
      <c r="P732" s="116">
        <v>996.28750000000002</v>
      </c>
      <c r="Q732" s="116">
        <v>4030.6</v>
      </c>
      <c r="R732">
        <v>31606</v>
      </c>
    </row>
    <row r="733" spans="1:18" x14ac:dyDescent="0.25">
      <c r="A733" s="170">
        <v>45617</v>
      </c>
      <c r="B733" s="116">
        <v>1020.7375</v>
      </c>
      <c r="C733" s="116">
        <v>1002.0375</v>
      </c>
      <c r="D733" s="116">
        <v>991.91250000000002</v>
      </c>
      <c r="E733" s="116">
        <v>1000.1625</v>
      </c>
      <c r="F733" s="116">
        <v>4008.15</v>
      </c>
      <c r="G733">
        <v>7770</v>
      </c>
      <c r="H733" s="116"/>
      <c r="I733" s="116"/>
      <c r="L733" s="170">
        <v>45617</v>
      </c>
      <c r="M733" s="116">
        <v>1002.1625</v>
      </c>
      <c r="N733" s="116">
        <v>1020</v>
      </c>
      <c r="O733" s="116">
        <v>992.625</v>
      </c>
      <c r="P733" s="116">
        <v>1005.6</v>
      </c>
      <c r="Q733" s="116">
        <v>4008.65</v>
      </c>
      <c r="R733">
        <v>47738</v>
      </c>
    </row>
    <row r="734" spans="1:18" x14ac:dyDescent="0.25">
      <c r="A734" s="170">
        <v>45618</v>
      </c>
      <c r="B734" s="116">
        <v>1017.4875</v>
      </c>
      <c r="C734" s="116">
        <v>995.57500000000005</v>
      </c>
      <c r="D734" s="116">
        <v>989.85</v>
      </c>
      <c r="E734" s="116">
        <v>1017.4875</v>
      </c>
      <c r="F734" s="116">
        <v>3982.3</v>
      </c>
      <c r="G734">
        <v>3691</v>
      </c>
      <c r="H734" s="116"/>
      <c r="I734" s="116"/>
      <c r="L734" s="170">
        <v>45618</v>
      </c>
      <c r="M734" s="116">
        <v>994.53750000000002</v>
      </c>
      <c r="N734" s="116">
        <v>1011.4875</v>
      </c>
      <c r="O734" s="116">
        <v>988.75</v>
      </c>
      <c r="P734" s="116">
        <v>1002.5</v>
      </c>
      <c r="Q734" s="116">
        <v>3978.15</v>
      </c>
      <c r="R734">
        <v>42300</v>
      </c>
    </row>
    <row r="735" spans="1:18" x14ac:dyDescent="0.25">
      <c r="A735" s="170">
        <v>45621</v>
      </c>
      <c r="B735" s="116">
        <v>1041.55</v>
      </c>
      <c r="C735" s="116">
        <v>1032.3875</v>
      </c>
      <c r="D735" s="116">
        <v>989.75</v>
      </c>
      <c r="E735" s="116">
        <v>989.75</v>
      </c>
      <c r="F735" s="116">
        <v>4129.55</v>
      </c>
      <c r="G735">
        <v>10838</v>
      </c>
      <c r="H735" s="116"/>
      <c r="I735" s="116"/>
      <c r="L735" s="170">
        <v>45621</v>
      </c>
      <c r="M735" s="116">
        <v>1031.3</v>
      </c>
      <c r="N735" s="116">
        <v>1040.6624999999999</v>
      </c>
      <c r="O735" s="116">
        <v>990.22500000000002</v>
      </c>
      <c r="P735" s="116">
        <v>1000.0125</v>
      </c>
      <c r="Q735" s="116">
        <v>4125.2</v>
      </c>
      <c r="R735">
        <v>76575</v>
      </c>
    </row>
    <row r="736" spans="1:18" x14ac:dyDescent="0.25">
      <c r="A736" s="170">
        <v>45622</v>
      </c>
      <c r="B736" s="116">
        <v>1042.5</v>
      </c>
      <c r="C736" s="116">
        <v>1027.7750000000001</v>
      </c>
      <c r="D736" s="116">
        <v>1010.675</v>
      </c>
      <c r="E736" s="116">
        <v>1010.675</v>
      </c>
      <c r="F736" s="116">
        <v>4111.1000000000004</v>
      </c>
      <c r="G736">
        <v>2858</v>
      </c>
      <c r="H736" s="116"/>
      <c r="I736" s="116"/>
      <c r="L736" s="170">
        <v>45622</v>
      </c>
      <c r="M736" s="116">
        <v>1028.0125</v>
      </c>
      <c r="N736" s="116">
        <v>1043.75</v>
      </c>
      <c r="O736" s="116">
        <v>1013.4125</v>
      </c>
      <c r="P736" s="116">
        <v>1028</v>
      </c>
      <c r="Q736" s="116">
        <v>4112.05</v>
      </c>
      <c r="R736">
        <v>34278</v>
      </c>
    </row>
    <row r="737" spans="1:18" x14ac:dyDescent="0.25">
      <c r="A737" s="170">
        <v>45623</v>
      </c>
      <c r="B737" s="116">
        <v>1032.7375</v>
      </c>
      <c r="C737" s="116">
        <v>1019.6875</v>
      </c>
      <c r="D737" s="116">
        <v>1014.9</v>
      </c>
      <c r="E737" s="116">
        <v>1026.4625000000001</v>
      </c>
      <c r="F737" s="116">
        <v>4078.75</v>
      </c>
      <c r="G737">
        <v>1209</v>
      </c>
      <c r="H737" s="116"/>
      <c r="I737" s="116"/>
      <c r="L737" s="170">
        <v>45623</v>
      </c>
      <c r="M737" s="116">
        <v>1017.925</v>
      </c>
      <c r="N737" s="116">
        <v>1036.25</v>
      </c>
      <c r="O737" s="116">
        <v>1014.0375</v>
      </c>
      <c r="P737" s="116">
        <v>1028.7249999999999</v>
      </c>
      <c r="Q737" s="116">
        <v>4071.7</v>
      </c>
      <c r="R737">
        <v>15129</v>
      </c>
    </row>
    <row r="738" spans="1:18" x14ac:dyDescent="0.25">
      <c r="A738" s="170">
        <v>45624</v>
      </c>
      <c r="B738" s="116">
        <v>1033.75</v>
      </c>
      <c r="C738" s="116">
        <v>1026.3375000000001</v>
      </c>
      <c r="D738" s="116">
        <v>1002.5125</v>
      </c>
      <c r="E738" s="116">
        <v>1002.5125</v>
      </c>
      <c r="F738" s="116">
        <v>4105.3500000000004</v>
      </c>
      <c r="G738">
        <v>2231</v>
      </c>
      <c r="H738" s="116"/>
      <c r="I738" s="116"/>
      <c r="L738" s="170">
        <v>45624</v>
      </c>
      <c r="M738" s="116">
        <v>1027.3</v>
      </c>
      <c r="N738" s="116">
        <v>1034.8875</v>
      </c>
      <c r="O738" s="116">
        <v>1010</v>
      </c>
      <c r="P738" s="116">
        <v>1025</v>
      </c>
      <c r="Q738" s="116">
        <v>4109.2</v>
      </c>
      <c r="R738">
        <v>14158</v>
      </c>
    </row>
    <row r="739" spans="1:18" x14ac:dyDescent="0.25">
      <c r="A739" s="170">
        <v>45625</v>
      </c>
      <c r="B739" s="116">
        <v>1050.8375000000001</v>
      </c>
      <c r="C739" s="116">
        <v>1040.9375</v>
      </c>
      <c r="D739" s="116">
        <v>1025.95</v>
      </c>
      <c r="E739" s="116">
        <v>1039.7249999999999</v>
      </c>
      <c r="F739" s="116">
        <v>4163.75</v>
      </c>
      <c r="G739">
        <v>1295</v>
      </c>
      <c r="H739" s="116"/>
      <c r="I739" s="116"/>
      <c r="L739" s="170">
        <v>45625</v>
      </c>
      <c r="M739" s="116">
        <v>1039.0125</v>
      </c>
      <c r="N739" s="116">
        <v>1050</v>
      </c>
      <c r="O739" s="116">
        <v>1017.5</v>
      </c>
      <c r="P739" s="116">
        <v>1027.25</v>
      </c>
      <c r="Q739" s="116">
        <v>4156.05</v>
      </c>
      <c r="R739">
        <v>32972</v>
      </c>
    </row>
    <row r="740" spans="1:18" x14ac:dyDescent="0.25">
      <c r="A740" s="170">
        <v>45628</v>
      </c>
      <c r="B740" s="116">
        <v>1071.2750000000001</v>
      </c>
      <c r="C740" s="116">
        <v>1042.825</v>
      </c>
      <c r="D740" s="116">
        <v>1032.8625</v>
      </c>
      <c r="E740" s="116">
        <v>1033.825</v>
      </c>
      <c r="F740" s="116">
        <v>4171.3</v>
      </c>
      <c r="G740">
        <v>3440</v>
      </c>
      <c r="H740" s="116"/>
      <c r="I740" s="116"/>
      <c r="L740" s="170">
        <v>45628</v>
      </c>
      <c r="M740" s="116">
        <v>1042.2874999999999</v>
      </c>
      <c r="N740" s="116">
        <v>1070.4625000000001</v>
      </c>
      <c r="O740" s="116">
        <v>1032.5125</v>
      </c>
      <c r="P740" s="116">
        <v>1038.9875</v>
      </c>
      <c r="Q740" s="116">
        <v>4169.1499999999996</v>
      </c>
      <c r="R740">
        <v>51108</v>
      </c>
    </row>
    <row r="741" spans="1:18" x14ac:dyDescent="0.25">
      <c r="A741" s="170">
        <v>45629</v>
      </c>
      <c r="B741" s="116">
        <v>1067.3625</v>
      </c>
      <c r="C741" s="116">
        <v>1053.7625</v>
      </c>
      <c r="D741" s="116">
        <v>1039.9625000000001</v>
      </c>
      <c r="E741" s="116">
        <v>1043.95</v>
      </c>
      <c r="F741" s="116">
        <v>4215.05</v>
      </c>
      <c r="G741">
        <v>3746</v>
      </c>
      <c r="H741" s="116"/>
      <c r="I741" s="116"/>
      <c r="L741" s="170">
        <v>45629</v>
      </c>
      <c r="M741" s="116">
        <v>1053.3375000000001</v>
      </c>
      <c r="N741" s="116">
        <v>1066.2375</v>
      </c>
      <c r="O741" s="116">
        <v>1038.0625</v>
      </c>
      <c r="P741" s="116">
        <v>1047.4625000000001</v>
      </c>
      <c r="Q741" s="116">
        <v>4213.3500000000004</v>
      </c>
      <c r="R741">
        <v>30611</v>
      </c>
    </row>
    <row r="742" spans="1:18" x14ac:dyDescent="0.25">
      <c r="A742" s="170">
        <v>45630</v>
      </c>
      <c r="B742" s="116">
        <v>1074.9625000000001</v>
      </c>
      <c r="C742" s="116">
        <v>1045.4124999999999</v>
      </c>
      <c r="D742" s="116">
        <v>1040.7125000000001</v>
      </c>
      <c r="E742" s="116">
        <v>1050</v>
      </c>
      <c r="F742" s="116">
        <v>4181.6499999999996</v>
      </c>
      <c r="G742">
        <v>2875</v>
      </c>
      <c r="H742" s="116"/>
      <c r="I742" s="116"/>
      <c r="L742" s="170">
        <v>45630</v>
      </c>
      <c r="M742" s="116">
        <v>1046.0374999999999</v>
      </c>
      <c r="N742" s="116">
        <v>1075.25</v>
      </c>
      <c r="O742" s="116">
        <v>1038.7625</v>
      </c>
      <c r="P742" s="116">
        <v>1048.625</v>
      </c>
      <c r="Q742" s="116">
        <v>4184.1499999999996</v>
      </c>
      <c r="R742">
        <v>34129</v>
      </c>
    </row>
    <row r="743" spans="1:18" x14ac:dyDescent="0.25">
      <c r="A743" s="170">
        <v>45631</v>
      </c>
      <c r="B743" s="116">
        <v>1110</v>
      </c>
      <c r="C743" s="116">
        <v>1096.7125000000001</v>
      </c>
      <c r="D743" s="116">
        <v>1048.0625</v>
      </c>
      <c r="E743" s="116">
        <v>1062.2874999999999</v>
      </c>
      <c r="F743" s="116">
        <v>4386.8500000000004</v>
      </c>
      <c r="G743">
        <v>5496</v>
      </c>
      <c r="H743" s="116"/>
      <c r="I743" s="116"/>
      <c r="L743" s="170">
        <v>45631</v>
      </c>
      <c r="M743" s="116">
        <v>1095.7874999999999</v>
      </c>
      <c r="N743" s="116">
        <v>1112.5</v>
      </c>
      <c r="O743" s="116">
        <v>1046.0374999999999</v>
      </c>
      <c r="P743" s="116">
        <v>1052.825</v>
      </c>
      <c r="Q743" s="116">
        <v>4383.1499999999996</v>
      </c>
      <c r="R743">
        <v>183915</v>
      </c>
    </row>
    <row r="744" spans="1:18" x14ac:dyDescent="0.25">
      <c r="A744" s="170">
        <v>45632</v>
      </c>
      <c r="B744" s="116">
        <v>1119.5</v>
      </c>
      <c r="C744" s="116">
        <v>1076.8375000000001</v>
      </c>
      <c r="D744" s="116">
        <v>1057.5875000000001</v>
      </c>
      <c r="E744" s="116">
        <v>1107.4875</v>
      </c>
      <c r="F744" s="116">
        <v>4307.3500000000004</v>
      </c>
      <c r="G744">
        <v>8207</v>
      </c>
      <c r="H744" s="116"/>
      <c r="I744" s="116"/>
      <c r="L744" s="170">
        <v>45632</v>
      </c>
      <c r="M744" s="116">
        <v>1076.8</v>
      </c>
      <c r="N744" s="116">
        <v>1118.7375</v>
      </c>
      <c r="O744" s="116">
        <v>1059.75</v>
      </c>
      <c r="P744" s="116">
        <v>1108.7625</v>
      </c>
      <c r="Q744" s="116">
        <v>4307.2</v>
      </c>
      <c r="R744">
        <v>108412</v>
      </c>
    </row>
    <row r="745" spans="1:18" x14ac:dyDescent="0.25">
      <c r="A745" s="170">
        <v>45635</v>
      </c>
      <c r="B745" s="116">
        <v>1160.1375</v>
      </c>
      <c r="C745" s="116">
        <v>1130.5</v>
      </c>
      <c r="D745" s="116">
        <v>1076.8625</v>
      </c>
      <c r="E745" s="116">
        <v>1078.75</v>
      </c>
      <c r="F745" s="116">
        <v>4522</v>
      </c>
      <c r="G745">
        <v>23483</v>
      </c>
      <c r="H745" s="116"/>
      <c r="I745" s="116"/>
      <c r="L745" s="170">
        <v>45635</v>
      </c>
      <c r="M745" s="116">
        <v>1130.5250000000001</v>
      </c>
      <c r="N745" s="116">
        <v>1161.5</v>
      </c>
      <c r="O745" s="116">
        <v>1077.0625</v>
      </c>
      <c r="P745" s="116">
        <v>1078.75</v>
      </c>
      <c r="Q745" s="116">
        <v>4522.1000000000004</v>
      </c>
      <c r="R745">
        <v>329695</v>
      </c>
    </row>
    <row r="746" spans="1:18" x14ac:dyDescent="0.25">
      <c r="A746" s="170">
        <v>45636</v>
      </c>
      <c r="B746" s="116">
        <v>1138.075</v>
      </c>
      <c r="C746" s="116">
        <v>1111.2750000000001</v>
      </c>
      <c r="D746" s="116">
        <v>1107.2375</v>
      </c>
      <c r="E746" s="116">
        <v>1137.4875</v>
      </c>
      <c r="F746" s="116">
        <v>4445.1000000000004</v>
      </c>
      <c r="G746">
        <v>2656</v>
      </c>
      <c r="H746" s="116"/>
      <c r="I746" s="116"/>
      <c r="L746" s="170">
        <v>45636</v>
      </c>
      <c r="M746" s="116">
        <v>1111.2375</v>
      </c>
      <c r="N746" s="116">
        <v>1138.0125</v>
      </c>
      <c r="O746" s="116">
        <v>1106.25</v>
      </c>
      <c r="P746" s="116">
        <v>1136</v>
      </c>
      <c r="Q746" s="116">
        <v>4444.95</v>
      </c>
      <c r="R746">
        <v>65119</v>
      </c>
    </row>
    <row r="747" spans="1:18" x14ac:dyDescent="0.25">
      <c r="A747" s="170">
        <v>45637</v>
      </c>
      <c r="B747" s="116">
        <v>1124.8625</v>
      </c>
      <c r="C747" s="116">
        <v>1100.1875</v>
      </c>
      <c r="D747" s="116">
        <v>1088.9625000000001</v>
      </c>
      <c r="E747" s="116">
        <v>1124.8625</v>
      </c>
      <c r="F747" s="116">
        <v>4400.75</v>
      </c>
      <c r="G747">
        <v>3839</v>
      </c>
      <c r="H747" s="116"/>
      <c r="I747" s="116"/>
      <c r="L747" s="170">
        <v>45637</v>
      </c>
      <c r="M747" s="116">
        <v>1099.2625</v>
      </c>
      <c r="N747" s="116">
        <v>1126</v>
      </c>
      <c r="O747" s="116">
        <v>1088.8875</v>
      </c>
      <c r="P747" s="116">
        <v>1114.75</v>
      </c>
      <c r="Q747" s="116">
        <v>4397.05</v>
      </c>
      <c r="R747">
        <v>34977</v>
      </c>
    </row>
    <row r="748" spans="1:18" x14ac:dyDescent="0.25">
      <c r="A748" s="170">
        <v>45638</v>
      </c>
      <c r="B748" s="116">
        <v>1105.3</v>
      </c>
      <c r="C748" s="116">
        <v>1084.3125</v>
      </c>
      <c r="D748" s="116">
        <v>1075</v>
      </c>
      <c r="E748" s="116">
        <v>1095.0125</v>
      </c>
      <c r="F748" s="116">
        <v>4337.25</v>
      </c>
      <c r="G748">
        <v>5075</v>
      </c>
      <c r="H748" s="116"/>
      <c r="I748" s="116"/>
      <c r="L748" s="170">
        <v>45638</v>
      </c>
      <c r="M748" s="116">
        <v>1084.8375000000001</v>
      </c>
      <c r="N748" s="116">
        <v>1113.6500000000001</v>
      </c>
      <c r="O748" s="116">
        <v>1075.25</v>
      </c>
      <c r="P748" s="116">
        <v>1098.8875</v>
      </c>
      <c r="Q748" s="116">
        <v>4339.3500000000004</v>
      </c>
      <c r="R748">
        <v>39154</v>
      </c>
    </row>
    <row r="749" spans="1:18" x14ac:dyDescent="0.25">
      <c r="A749" s="170">
        <v>45639</v>
      </c>
      <c r="B749" s="116">
        <v>1086.4000000000001</v>
      </c>
      <c r="C749" s="116">
        <v>1067.8125</v>
      </c>
      <c r="D749" s="116">
        <v>1064.675</v>
      </c>
      <c r="E749" s="116">
        <v>1085</v>
      </c>
      <c r="F749" s="116">
        <v>4271.25</v>
      </c>
      <c r="G749">
        <v>2220</v>
      </c>
      <c r="H749" s="116"/>
      <c r="I749" s="116"/>
      <c r="L749" s="170">
        <v>45639</v>
      </c>
      <c r="M749" s="116">
        <v>1067.05</v>
      </c>
      <c r="N749" s="116">
        <v>1090.2750000000001</v>
      </c>
      <c r="O749" s="116">
        <v>1062.5</v>
      </c>
      <c r="P749" s="116">
        <v>1086</v>
      </c>
      <c r="Q749" s="116">
        <v>4268.2</v>
      </c>
      <c r="R749">
        <v>36032</v>
      </c>
    </row>
    <row r="750" spans="1:18" x14ac:dyDescent="0.25">
      <c r="A750" s="170">
        <v>45642</v>
      </c>
      <c r="B750" s="116">
        <v>1095</v>
      </c>
      <c r="C750" s="116">
        <v>1071.1500000000001</v>
      </c>
      <c r="D750" s="116">
        <v>1067.2375</v>
      </c>
      <c r="E750" s="116">
        <v>1068.625</v>
      </c>
      <c r="F750" s="116">
        <v>4284.6000000000004</v>
      </c>
      <c r="G750">
        <v>4211</v>
      </c>
      <c r="H750" s="116"/>
      <c r="I750" s="116"/>
      <c r="L750" s="170">
        <v>45642</v>
      </c>
      <c r="M750" s="116">
        <v>1071.5</v>
      </c>
      <c r="N750" s="116">
        <v>1096.2625</v>
      </c>
      <c r="O750" s="116">
        <v>1060</v>
      </c>
      <c r="P750" s="116">
        <v>1073.5</v>
      </c>
      <c r="Q750" s="116">
        <v>4286</v>
      </c>
      <c r="R750">
        <v>55305</v>
      </c>
    </row>
    <row r="751" spans="1:18" x14ac:dyDescent="0.25">
      <c r="A751" s="170">
        <v>45643</v>
      </c>
      <c r="B751" s="116">
        <v>1081.4875</v>
      </c>
      <c r="C751" s="116">
        <v>1052.9749999999999</v>
      </c>
      <c r="D751" s="116">
        <v>1043.75</v>
      </c>
      <c r="E751" s="116">
        <v>1081.4875</v>
      </c>
      <c r="F751" s="116">
        <v>4211.8999999999996</v>
      </c>
      <c r="G751">
        <v>4489</v>
      </c>
      <c r="H751" s="116"/>
      <c r="I751" s="116"/>
      <c r="L751" s="170">
        <v>45643</v>
      </c>
      <c r="M751" s="116">
        <v>1053.9875</v>
      </c>
      <c r="N751" s="116">
        <v>1076.75</v>
      </c>
      <c r="O751" s="116">
        <v>1042.8</v>
      </c>
      <c r="P751" s="116">
        <v>1076.75</v>
      </c>
      <c r="Q751" s="116">
        <v>4215.95</v>
      </c>
      <c r="R751">
        <v>77793</v>
      </c>
    </row>
    <row r="752" spans="1:18" x14ac:dyDescent="0.25">
      <c r="A752" s="170">
        <v>45644</v>
      </c>
      <c r="B752" s="116">
        <v>1063.9749999999999</v>
      </c>
      <c r="C752" s="116">
        <v>1050.0999999999999</v>
      </c>
      <c r="D752" s="116">
        <v>1045.1375</v>
      </c>
      <c r="E752" s="116">
        <v>1063.9749999999999</v>
      </c>
      <c r="F752" s="116">
        <v>4200.3999999999996</v>
      </c>
      <c r="G752">
        <v>1328</v>
      </c>
      <c r="H752" s="116"/>
      <c r="I752" s="116"/>
      <c r="L752" s="170">
        <v>45644</v>
      </c>
      <c r="M752" s="116">
        <v>1049.9875</v>
      </c>
      <c r="N752" s="116">
        <v>1062.4875</v>
      </c>
      <c r="O752" s="116">
        <v>1043.75</v>
      </c>
      <c r="P752" s="116">
        <v>1057.1624999999999</v>
      </c>
      <c r="Q752" s="116">
        <v>4199.95</v>
      </c>
      <c r="R752">
        <v>30912</v>
      </c>
    </row>
    <row r="753" spans="1:18" x14ac:dyDescent="0.25">
      <c r="A753" s="170">
        <v>45645</v>
      </c>
      <c r="B753" s="116">
        <v>1046.2375</v>
      </c>
      <c r="C753" s="116">
        <v>1036.575</v>
      </c>
      <c r="D753" s="116">
        <v>1024.05</v>
      </c>
      <c r="E753" s="116">
        <v>1025.2</v>
      </c>
      <c r="F753" s="116">
        <v>4146.3</v>
      </c>
      <c r="G753">
        <v>3261</v>
      </c>
      <c r="H753" s="116"/>
      <c r="I753" s="116"/>
      <c r="L753" s="170">
        <v>45645</v>
      </c>
      <c r="M753" s="116">
        <v>1036.8</v>
      </c>
      <c r="N753" s="116">
        <v>1046.2</v>
      </c>
      <c r="O753" s="116">
        <v>1025</v>
      </c>
      <c r="P753" s="116">
        <v>1037.5</v>
      </c>
      <c r="Q753" s="116">
        <v>4147.2</v>
      </c>
      <c r="R753">
        <v>25799</v>
      </c>
    </row>
    <row r="754" spans="1:18" x14ac:dyDescent="0.25">
      <c r="A754" s="170">
        <v>45646</v>
      </c>
      <c r="B754" s="116">
        <v>1072.1500000000001</v>
      </c>
      <c r="C754" s="116">
        <v>1016.275</v>
      </c>
      <c r="D754" s="116">
        <v>1007.5</v>
      </c>
      <c r="E754" s="116">
        <v>1072.1500000000001</v>
      </c>
      <c r="F754" s="116">
        <v>4065.1</v>
      </c>
      <c r="G754">
        <v>2803</v>
      </c>
      <c r="H754" s="116"/>
      <c r="I754" s="116"/>
      <c r="L754" s="170">
        <v>45646</v>
      </c>
      <c r="M754" s="116">
        <v>1015.65</v>
      </c>
      <c r="N754" s="116">
        <v>1045.0875000000001</v>
      </c>
      <c r="O754" s="116">
        <v>1003</v>
      </c>
      <c r="P754" s="116">
        <v>1045.0875000000001</v>
      </c>
      <c r="Q754" s="116">
        <v>4062.6</v>
      </c>
      <c r="R754">
        <v>49311</v>
      </c>
    </row>
    <row r="755" spans="1:18" x14ac:dyDescent="0.25">
      <c r="A755" s="170">
        <v>45649</v>
      </c>
      <c r="B755" s="116">
        <v>1014.0875</v>
      </c>
      <c r="C755" s="116">
        <v>982.25</v>
      </c>
      <c r="D755" s="116">
        <v>976.5</v>
      </c>
      <c r="E755" s="116">
        <v>1005.6375</v>
      </c>
      <c r="F755" s="116">
        <v>3929</v>
      </c>
      <c r="G755">
        <v>5816</v>
      </c>
      <c r="H755" s="116"/>
      <c r="I755" s="116"/>
      <c r="L755" s="170">
        <v>45649</v>
      </c>
      <c r="M755" s="116">
        <v>982.125</v>
      </c>
      <c r="N755" s="116">
        <v>1012.25</v>
      </c>
      <c r="O755" s="116">
        <v>977.5</v>
      </c>
      <c r="P755" s="116">
        <v>1011.875</v>
      </c>
      <c r="Q755" s="116">
        <v>3928.5</v>
      </c>
      <c r="R755">
        <v>45152</v>
      </c>
    </row>
    <row r="756" spans="1:18" x14ac:dyDescent="0.25">
      <c r="A756" s="170">
        <v>45650</v>
      </c>
      <c r="B756" s="116">
        <v>1002.125</v>
      </c>
      <c r="C756" s="116">
        <v>992.41250000000002</v>
      </c>
      <c r="D756" s="116">
        <v>965.45</v>
      </c>
      <c r="E756" s="116">
        <v>999.98749999999995</v>
      </c>
      <c r="F756" s="116">
        <v>3969.65</v>
      </c>
      <c r="G756">
        <v>4655</v>
      </c>
      <c r="H756" s="116"/>
      <c r="I756" s="116"/>
      <c r="L756" s="170">
        <v>45650</v>
      </c>
      <c r="M756" s="116">
        <v>993.61249999999995</v>
      </c>
      <c r="N756" s="116">
        <v>1000</v>
      </c>
      <c r="O756" s="116">
        <v>965.78750000000002</v>
      </c>
      <c r="P756" s="116">
        <v>990.125</v>
      </c>
      <c r="Q756" s="116">
        <v>3974.45</v>
      </c>
      <c r="R756">
        <v>44283</v>
      </c>
    </row>
    <row r="757" spans="1:18" x14ac:dyDescent="0.25">
      <c r="A757" s="170">
        <v>45652</v>
      </c>
      <c r="B757" s="116">
        <v>1004.9875</v>
      </c>
      <c r="C757" s="116">
        <v>999.96249999999998</v>
      </c>
      <c r="D757" s="116">
        <v>995.42499999999995</v>
      </c>
      <c r="E757" s="116">
        <v>1004.9875</v>
      </c>
      <c r="F757" s="116">
        <v>3999.85</v>
      </c>
      <c r="G757">
        <v>861</v>
      </c>
      <c r="H757" s="116"/>
      <c r="I757" s="116"/>
      <c r="L757" s="170">
        <v>45652</v>
      </c>
      <c r="M757" s="116">
        <v>999.8125</v>
      </c>
      <c r="N757" s="116">
        <v>1007.8625</v>
      </c>
      <c r="O757" s="116">
        <v>995</v>
      </c>
      <c r="P757" s="116">
        <v>1001.975</v>
      </c>
      <c r="Q757" s="116">
        <v>3999.25</v>
      </c>
      <c r="R757">
        <v>19048</v>
      </c>
    </row>
    <row r="758" spans="1:18" x14ac:dyDescent="0.25">
      <c r="A758" s="170">
        <v>45653</v>
      </c>
      <c r="B758" s="116">
        <v>1003.8</v>
      </c>
      <c r="C758" s="116">
        <v>995.45</v>
      </c>
      <c r="D758" s="116">
        <v>994.41250000000002</v>
      </c>
      <c r="E758" s="116">
        <v>998.01250000000005</v>
      </c>
      <c r="F758" s="116">
        <v>3981.8</v>
      </c>
      <c r="G758">
        <v>1446</v>
      </c>
      <c r="H758" s="116"/>
      <c r="I758" s="116"/>
      <c r="L758" s="170">
        <v>45653</v>
      </c>
      <c r="M758" s="116">
        <v>996.9375</v>
      </c>
      <c r="N758" s="116">
        <v>1005.075</v>
      </c>
      <c r="O758" s="116">
        <v>994.63750000000005</v>
      </c>
      <c r="P758" s="116">
        <v>1004.4875</v>
      </c>
      <c r="Q758" s="116">
        <v>3987.75</v>
      </c>
      <c r="R758">
        <v>20573</v>
      </c>
    </row>
    <row r="759" spans="1:18" x14ac:dyDescent="0.25">
      <c r="A759" s="170">
        <v>45656</v>
      </c>
      <c r="B759" s="116">
        <v>1010.05</v>
      </c>
      <c r="C759" s="116">
        <v>986.35</v>
      </c>
      <c r="D759" s="116">
        <v>978.91250000000002</v>
      </c>
      <c r="E759" s="116">
        <v>1010.05</v>
      </c>
      <c r="F759" s="116">
        <v>3945.4</v>
      </c>
      <c r="G759">
        <v>1678</v>
      </c>
      <c r="H759" s="116"/>
      <c r="I759" s="116"/>
      <c r="L759" s="170">
        <v>45656</v>
      </c>
      <c r="M759" s="116">
        <v>984.98749999999995</v>
      </c>
      <c r="N759" s="116">
        <v>1013.7375</v>
      </c>
      <c r="O759" s="116">
        <v>977.98749999999995</v>
      </c>
      <c r="P759" s="116">
        <v>1013.7375</v>
      </c>
      <c r="Q759" s="116">
        <v>3939.95</v>
      </c>
      <c r="R759">
        <v>50953</v>
      </c>
    </row>
    <row r="760" spans="1:18" x14ac:dyDescent="0.25">
      <c r="A760" s="170">
        <v>45657</v>
      </c>
      <c r="B760" s="116">
        <v>996.75</v>
      </c>
      <c r="C760" s="116">
        <v>985.83749999999998</v>
      </c>
      <c r="D760" s="116">
        <v>975.01250000000005</v>
      </c>
      <c r="E760" s="116">
        <v>975.01250000000005</v>
      </c>
      <c r="F760" s="116">
        <v>3943.35</v>
      </c>
      <c r="G760">
        <v>1983</v>
      </c>
      <c r="H760" s="116"/>
      <c r="I760" s="116"/>
      <c r="L760" s="170">
        <v>45657</v>
      </c>
      <c r="M760" s="116">
        <v>986.01250000000005</v>
      </c>
      <c r="N760" s="116">
        <v>998.3</v>
      </c>
      <c r="O760" s="116">
        <v>980.77499999999998</v>
      </c>
      <c r="P760" s="116">
        <v>982.5</v>
      </c>
      <c r="Q760" s="116">
        <v>3944.05</v>
      </c>
      <c r="R760">
        <v>18930</v>
      </c>
    </row>
    <row r="761" spans="1:18" x14ac:dyDescent="0.25">
      <c r="A761" s="170">
        <v>45658</v>
      </c>
      <c r="B761" s="116">
        <v>995.33749999999998</v>
      </c>
      <c r="C761" s="116">
        <v>983.85</v>
      </c>
      <c r="D761" s="116">
        <v>981.25</v>
      </c>
      <c r="E761" s="116">
        <v>982.51250000000005</v>
      </c>
      <c r="F761" s="116">
        <v>3935.4</v>
      </c>
      <c r="G761">
        <v>778</v>
      </c>
      <c r="H761" s="116"/>
      <c r="I761" s="116"/>
      <c r="L761" s="170">
        <v>45658</v>
      </c>
      <c r="M761" s="116">
        <v>984.85</v>
      </c>
      <c r="N761" s="116">
        <v>999.07500000000005</v>
      </c>
      <c r="O761" s="116">
        <v>977.73749999999995</v>
      </c>
      <c r="P761" s="116">
        <v>992.5</v>
      </c>
      <c r="Q761" s="116">
        <v>3939.4</v>
      </c>
      <c r="R761">
        <v>20670</v>
      </c>
    </row>
    <row r="762" spans="1:18" x14ac:dyDescent="0.25">
      <c r="A762" s="170">
        <v>45659</v>
      </c>
      <c r="B762" s="116">
        <v>993.1</v>
      </c>
      <c r="C762" s="116">
        <v>985.07500000000005</v>
      </c>
      <c r="D762" s="116">
        <v>980</v>
      </c>
      <c r="E762" s="116">
        <v>990.95</v>
      </c>
      <c r="F762" s="116">
        <v>3940.3</v>
      </c>
      <c r="G762">
        <v>917</v>
      </c>
      <c r="H762" s="116"/>
      <c r="I762" s="116"/>
      <c r="L762" s="170">
        <v>45659</v>
      </c>
      <c r="M762" s="116">
        <v>984.42499999999995</v>
      </c>
      <c r="N762" s="116">
        <v>994.5</v>
      </c>
      <c r="O762" s="116">
        <v>978.25</v>
      </c>
      <c r="P762" s="116">
        <v>992.8125</v>
      </c>
      <c r="Q762" s="116">
        <v>3937.7</v>
      </c>
      <c r="R762">
        <v>19721</v>
      </c>
    </row>
    <row r="763" spans="1:18" x14ac:dyDescent="0.25">
      <c r="A763" s="170">
        <v>45660</v>
      </c>
      <c r="B763" s="116">
        <v>1004.4875</v>
      </c>
      <c r="C763" s="116">
        <v>990.83749999999998</v>
      </c>
      <c r="D763" s="116">
        <v>986.78750000000002</v>
      </c>
      <c r="E763" s="116">
        <v>996.42499999999995</v>
      </c>
      <c r="F763" s="116">
        <v>3963.35</v>
      </c>
      <c r="G763">
        <v>1982</v>
      </c>
      <c r="H763" s="116"/>
      <c r="I763" s="116"/>
      <c r="L763" s="170">
        <v>45660</v>
      </c>
      <c r="M763" s="116">
        <v>989.875</v>
      </c>
      <c r="N763" s="116">
        <v>1005</v>
      </c>
      <c r="O763" s="116">
        <v>984.42499999999995</v>
      </c>
      <c r="P763" s="116">
        <v>984.42499999999995</v>
      </c>
      <c r="Q763" s="116">
        <v>3959.5</v>
      </c>
      <c r="R763">
        <v>26202</v>
      </c>
    </row>
    <row r="764" spans="1:18" x14ac:dyDescent="0.25">
      <c r="A764" s="170">
        <v>45663</v>
      </c>
      <c r="B764" s="116">
        <v>1006.7375</v>
      </c>
      <c r="C764" s="116">
        <v>964.3125</v>
      </c>
      <c r="D764" s="116">
        <v>954.41250000000002</v>
      </c>
      <c r="E764" s="116">
        <v>1006.7375</v>
      </c>
      <c r="F764" s="116">
        <v>3857.25</v>
      </c>
      <c r="G764">
        <v>3998</v>
      </c>
      <c r="H764" s="116"/>
      <c r="I764" s="116"/>
      <c r="L764" s="170">
        <v>45663</v>
      </c>
      <c r="M764" s="116">
        <v>965.1</v>
      </c>
      <c r="N764" s="116">
        <v>999.8</v>
      </c>
      <c r="O764" s="116">
        <v>955.02499999999998</v>
      </c>
      <c r="P764" s="116">
        <v>998.65</v>
      </c>
      <c r="Q764" s="116">
        <v>3860.4</v>
      </c>
      <c r="R764">
        <v>49887</v>
      </c>
    </row>
    <row r="765" spans="1:18" x14ac:dyDescent="0.25">
      <c r="A765" s="170">
        <v>45664</v>
      </c>
      <c r="B765" s="116">
        <v>982.96249999999998</v>
      </c>
      <c r="C765" s="116">
        <v>976.15</v>
      </c>
      <c r="D765" s="116">
        <v>952.9</v>
      </c>
      <c r="E765" s="116">
        <v>952.9</v>
      </c>
      <c r="F765" s="116">
        <v>3904.6</v>
      </c>
      <c r="G765">
        <v>1342</v>
      </c>
      <c r="H765" s="116"/>
      <c r="I765" s="116"/>
      <c r="L765" s="170">
        <v>45664</v>
      </c>
      <c r="M765" s="116">
        <v>974.33749999999998</v>
      </c>
      <c r="N765" s="116">
        <v>984.875</v>
      </c>
      <c r="O765" s="116">
        <v>967.23749999999995</v>
      </c>
      <c r="P765" s="116">
        <v>967.23749999999995</v>
      </c>
      <c r="Q765" s="116">
        <v>3897.35</v>
      </c>
      <c r="R765">
        <v>47475</v>
      </c>
    </row>
    <row r="766" spans="1:18" x14ac:dyDescent="0.25">
      <c r="A766" s="170">
        <v>45665</v>
      </c>
      <c r="B766" s="116">
        <v>993.75</v>
      </c>
      <c r="C766" s="116">
        <v>960.38750000000005</v>
      </c>
      <c r="D766" s="116">
        <v>941.95</v>
      </c>
      <c r="E766" s="116">
        <v>987.27499999999998</v>
      </c>
      <c r="F766" s="116">
        <v>3841.55</v>
      </c>
      <c r="G766">
        <v>4010</v>
      </c>
      <c r="H766" s="116"/>
      <c r="I766" s="116"/>
      <c r="L766" s="170">
        <v>45665</v>
      </c>
      <c r="M766" s="116">
        <v>958.6</v>
      </c>
      <c r="N766" s="116">
        <v>994.75</v>
      </c>
      <c r="O766" s="116">
        <v>941.51250000000005</v>
      </c>
      <c r="P766" s="116">
        <v>982.38750000000005</v>
      </c>
      <c r="Q766" s="116">
        <v>3834.4</v>
      </c>
      <c r="R766">
        <v>73703</v>
      </c>
    </row>
    <row r="767" spans="1:18" x14ac:dyDescent="0.25">
      <c r="A767" s="170">
        <v>45666</v>
      </c>
      <c r="B767" s="116">
        <v>1033.3375000000001</v>
      </c>
      <c r="C767" s="116">
        <v>985.67499999999995</v>
      </c>
      <c r="D767" s="116">
        <v>970.01250000000005</v>
      </c>
      <c r="E767" s="116">
        <v>995</v>
      </c>
      <c r="F767" s="116">
        <v>3942.7</v>
      </c>
      <c r="G767">
        <v>17073</v>
      </c>
      <c r="H767" s="116"/>
      <c r="I767" s="116"/>
      <c r="L767" s="170">
        <v>45666</v>
      </c>
      <c r="M767" s="116">
        <v>985.9</v>
      </c>
      <c r="N767" s="116">
        <v>1034.825</v>
      </c>
      <c r="O767" s="116">
        <v>970</v>
      </c>
      <c r="P767" s="116">
        <v>997.47500000000002</v>
      </c>
      <c r="Q767" s="116">
        <v>3943.6</v>
      </c>
      <c r="R767">
        <v>208713</v>
      </c>
    </row>
    <row r="768" spans="1:18" x14ac:dyDescent="0.25">
      <c r="A768" s="170">
        <v>45667</v>
      </c>
      <c r="B768" s="116">
        <v>1062.4875</v>
      </c>
      <c r="C768" s="116">
        <v>1036.7625</v>
      </c>
      <c r="D768" s="116">
        <v>969.63750000000005</v>
      </c>
      <c r="E768" s="116">
        <v>986.25</v>
      </c>
      <c r="F768" s="116">
        <v>4147.05</v>
      </c>
      <c r="G768">
        <v>21146</v>
      </c>
      <c r="H768" s="116"/>
      <c r="I768" s="116"/>
      <c r="L768" s="170">
        <v>45667</v>
      </c>
      <c r="M768" s="116">
        <v>1038.5875000000001</v>
      </c>
      <c r="N768" s="116">
        <v>1062.5</v>
      </c>
      <c r="O768" s="116">
        <v>968.38750000000005</v>
      </c>
      <c r="P768" s="116">
        <v>988.01250000000005</v>
      </c>
      <c r="Q768" s="116">
        <v>4154.3500000000004</v>
      </c>
      <c r="R768">
        <v>539645</v>
      </c>
    </row>
    <row r="769" spans="1:18" x14ac:dyDescent="0.25">
      <c r="A769" s="170">
        <v>45670</v>
      </c>
      <c r="B769" s="116">
        <v>1029.6500000000001</v>
      </c>
      <c r="C769" s="116">
        <v>1003.3125</v>
      </c>
      <c r="D769" s="116">
        <v>977.01250000000005</v>
      </c>
      <c r="E769" s="116">
        <v>1029.6500000000001</v>
      </c>
      <c r="F769" s="116">
        <v>4013.25</v>
      </c>
      <c r="G769">
        <v>9128</v>
      </c>
      <c r="H769" s="116"/>
      <c r="I769" s="116"/>
      <c r="L769" s="170">
        <v>45670</v>
      </c>
      <c r="M769" s="116">
        <v>1002.475</v>
      </c>
      <c r="N769" s="116">
        <v>1027.25</v>
      </c>
      <c r="O769" s="116">
        <v>977.05</v>
      </c>
      <c r="P769" s="116">
        <v>1024.9124999999999</v>
      </c>
      <c r="Q769" s="116">
        <v>4009.9</v>
      </c>
      <c r="R769">
        <v>155003</v>
      </c>
    </row>
    <row r="770" spans="1:18" x14ac:dyDescent="0.25">
      <c r="A770" s="170">
        <v>45671</v>
      </c>
      <c r="B770" s="116">
        <v>1009.575</v>
      </c>
      <c r="C770" s="116">
        <v>994.72500000000002</v>
      </c>
      <c r="D770" s="116">
        <v>945.61249999999995</v>
      </c>
      <c r="E770" s="116">
        <v>1001.4875</v>
      </c>
      <c r="F770" s="116">
        <v>3978.9</v>
      </c>
      <c r="G770">
        <v>17475</v>
      </c>
      <c r="H770" s="116"/>
      <c r="I770" s="116"/>
      <c r="L770" s="170">
        <v>45671</v>
      </c>
      <c r="M770" s="116">
        <v>992.71249999999998</v>
      </c>
      <c r="N770" s="116">
        <v>1010.175</v>
      </c>
      <c r="O770" s="116">
        <v>945.86249999999995</v>
      </c>
      <c r="P770" s="116">
        <v>999.75</v>
      </c>
      <c r="Q770" s="116">
        <v>3970.85</v>
      </c>
      <c r="R770">
        <v>254363</v>
      </c>
    </row>
    <row r="771" spans="1:18" x14ac:dyDescent="0.25">
      <c r="A771" s="170">
        <v>45672</v>
      </c>
      <c r="B771" s="116">
        <v>1016.7375</v>
      </c>
      <c r="C771" s="116">
        <v>998.08749999999998</v>
      </c>
      <c r="D771" s="116">
        <v>973.01250000000005</v>
      </c>
      <c r="E771" s="116">
        <v>1008.7375</v>
      </c>
      <c r="F771" s="116">
        <v>3992.35</v>
      </c>
      <c r="G771">
        <v>7644</v>
      </c>
      <c r="H771" s="116"/>
      <c r="I771" s="116"/>
      <c r="L771" s="170">
        <v>45672</v>
      </c>
      <c r="M771" s="116">
        <v>997.96249999999998</v>
      </c>
      <c r="N771" s="116">
        <v>1019</v>
      </c>
      <c r="O771" s="116">
        <v>977.5625</v>
      </c>
      <c r="P771" s="116">
        <v>1000</v>
      </c>
      <c r="Q771" s="116">
        <v>3991.85</v>
      </c>
      <c r="R771">
        <v>87690</v>
      </c>
    </row>
    <row r="772" spans="1:18" x14ac:dyDescent="0.25">
      <c r="A772" s="170">
        <v>45673</v>
      </c>
      <c r="B772" s="116">
        <v>1007.975</v>
      </c>
      <c r="C772" s="116">
        <v>991.73749999999995</v>
      </c>
      <c r="D772" s="116">
        <v>981.72500000000002</v>
      </c>
      <c r="E772" s="116">
        <v>997.58749999999998</v>
      </c>
      <c r="F772" s="116">
        <v>3966.95</v>
      </c>
      <c r="G772">
        <v>7225</v>
      </c>
      <c r="H772" s="116"/>
      <c r="I772" s="116"/>
      <c r="L772" s="170">
        <v>45673</v>
      </c>
      <c r="M772" s="116">
        <v>991.86249999999995</v>
      </c>
      <c r="N772" s="116">
        <v>1007.475</v>
      </c>
      <c r="O772" s="116">
        <v>975</v>
      </c>
      <c r="P772" s="116">
        <v>1001.1375</v>
      </c>
      <c r="Q772" s="116">
        <v>3967.45</v>
      </c>
      <c r="R772">
        <v>86181</v>
      </c>
    </row>
    <row r="773" spans="1:18" x14ac:dyDescent="0.25">
      <c r="A773" s="170">
        <v>45674</v>
      </c>
      <c r="B773" s="116">
        <v>999.58749999999998</v>
      </c>
      <c r="C773" s="116">
        <v>993.7</v>
      </c>
      <c r="D773" s="116">
        <v>984.375</v>
      </c>
      <c r="E773" s="116">
        <v>984.375</v>
      </c>
      <c r="F773" s="116">
        <v>3974.8</v>
      </c>
      <c r="G773">
        <v>2668</v>
      </c>
      <c r="H773" s="116"/>
      <c r="I773" s="116"/>
      <c r="L773" s="170">
        <v>45674</v>
      </c>
      <c r="M773" s="116">
        <v>993</v>
      </c>
      <c r="N773" s="116">
        <v>999.875</v>
      </c>
      <c r="O773" s="116">
        <v>985.46249999999998</v>
      </c>
      <c r="P773" s="116">
        <v>991.25</v>
      </c>
      <c r="Q773" s="116">
        <v>3972</v>
      </c>
      <c r="R773">
        <v>26699</v>
      </c>
    </row>
    <row r="774" spans="1:18" x14ac:dyDescent="0.25">
      <c r="A774" s="170">
        <v>45677</v>
      </c>
      <c r="B774" s="116">
        <v>1007.625</v>
      </c>
      <c r="C774" s="116">
        <v>987.5625</v>
      </c>
      <c r="D774" s="116">
        <v>970.46249999999998</v>
      </c>
      <c r="E774" s="116">
        <v>970.46249999999998</v>
      </c>
      <c r="F774" s="116">
        <v>3950.25</v>
      </c>
      <c r="G774">
        <v>3951</v>
      </c>
      <c r="H774" s="116"/>
      <c r="I774" s="116"/>
      <c r="L774" s="170">
        <v>45677</v>
      </c>
      <c r="M774" s="116">
        <v>988.32500000000005</v>
      </c>
      <c r="N774" s="116">
        <v>1007.625</v>
      </c>
      <c r="O774" s="116">
        <v>976.75</v>
      </c>
      <c r="P774" s="116">
        <v>976.75</v>
      </c>
      <c r="Q774" s="116">
        <v>3953.3</v>
      </c>
      <c r="R774">
        <v>41328</v>
      </c>
    </row>
    <row r="775" spans="1:18" x14ac:dyDescent="0.25">
      <c r="A775" s="170">
        <v>45678</v>
      </c>
      <c r="B775" s="116">
        <v>995.78750000000002</v>
      </c>
      <c r="C775" s="116">
        <v>956.13750000000005</v>
      </c>
      <c r="D775" s="116">
        <v>950.5</v>
      </c>
      <c r="E775" s="116">
        <v>987.5625</v>
      </c>
      <c r="F775" s="116">
        <v>3824.55</v>
      </c>
      <c r="G775">
        <v>2420</v>
      </c>
      <c r="H775" s="116"/>
      <c r="I775" s="116"/>
      <c r="L775" s="170">
        <v>45678</v>
      </c>
      <c r="M775" s="116">
        <v>958.125</v>
      </c>
      <c r="N775" s="116">
        <v>987.5</v>
      </c>
      <c r="O775" s="116">
        <v>950.01250000000005</v>
      </c>
      <c r="P775" s="116">
        <v>984.5</v>
      </c>
      <c r="Q775" s="116">
        <v>3832.5</v>
      </c>
      <c r="R775">
        <v>63164</v>
      </c>
    </row>
    <row r="776" spans="1:18" x14ac:dyDescent="0.25">
      <c r="A776" s="170">
        <v>45679</v>
      </c>
      <c r="B776" s="116">
        <v>962.51250000000005</v>
      </c>
      <c r="C776" s="116">
        <v>955.67499999999995</v>
      </c>
      <c r="D776" s="116">
        <v>938.41250000000002</v>
      </c>
      <c r="E776" s="116">
        <v>962.51250000000005</v>
      </c>
      <c r="F776" s="116">
        <v>3822.7</v>
      </c>
      <c r="G776">
        <v>2479</v>
      </c>
      <c r="H776" s="116"/>
      <c r="I776" s="116"/>
      <c r="L776" s="170">
        <v>45679</v>
      </c>
      <c r="M776" s="116">
        <v>955.83749999999998</v>
      </c>
      <c r="N776" s="116">
        <v>966.16250000000002</v>
      </c>
      <c r="O776" s="116">
        <v>937.53750000000002</v>
      </c>
      <c r="P776" s="116">
        <v>966.16250000000002</v>
      </c>
      <c r="Q776" s="116">
        <v>3823.35</v>
      </c>
      <c r="R776">
        <v>35816</v>
      </c>
    </row>
    <row r="777" spans="1:18" x14ac:dyDescent="0.25">
      <c r="A777" s="170">
        <v>45680</v>
      </c>
      <c r="B777" s="116">
        <v>963.71249999999998</v>
      </c>
      <c r="C777" s="116">
        <v>951.86249999999995</v>
      </c>
      <c r="D777" s="116">
        <v>947.13750000000005</v>
      </c>
      <c r="E777" s="116">
        <v>963.71249999999998</v>
      </c>
      <c r="F777" s="116">
        <v>3807.45</v>
      </c>
      <c r="G777">
        <v>1591</v>
      </c>
      <c r="H777" s="116"/>
      <c r="I777" s="116"/>
      <c r="L777" s="170">
        <v>45680</v>
      </c>
      <c r="M777" s="116">
        <v>951.375</v>
      </c>
      <c r="N777" s="116">
        <v>962.32500000000005</v>
      </c>
      <c r="O777" s="116">
        <v>945.85</v>
      </c>
      <c r="P777" s="116">
        <v>956.27499999999998</v>
      </c>
      <c r="Q777" s="116">
        <v>3805.5</v>
      </c>
      <c r="R777">
        <v>28554</v>
      </c>
    </row>
    <row r="778" spans="1:18" x14ac:dyDescent="0.25">
      <c r="A778" s="170">
        <v>45681</v>
      </c>
      <c r="B778" s="116">
        <v>953.5</v>
      </c>
      <c r="C778" s="116">
        <v>912.7</v>
      </c>
      <c r="D778" s="116">
        <v>909.63750000000005</v>
      </c>
      <c r="E778" s="116">
        <v>953.5</v>
      </c>
      <c r="F778" s="116">
        <v>3650.8</v>
      </c>
      <c r="G778">
        <v>10706</v>
      </c>
      <c r="H778" s="116"/>
      <c r="I778" s="116"/>
      <c r="L778" s="170">
        <v>45681</v>
      </c>
      <c r="M778" s="116">
        <v>912.83749999999998</v>
      </c>
      <c r="N778" s="116">
        <v>952.42499999999995</v>
      </c>
      <c r="O778" s="116">
        <v>910</v>
      </c>
      <c r="P778" s="116">
        <v>946.27499999999998</v>
      </c>
      <c r="Q778" s="116">
        <v>3651.35</v>
      </c>
      <c r="R778">
        <v>69031</v>
      </c>
    </row>
    <row r="779" spans="1:18" x14ac:dyDescent="0.25">
      <c r="A779" s="170">
        <v>45684</v>
      </c>
      <c r="B779" s="116">
        <v>902.5</v>
      </c>
      <c r="C779" s="116">
        <v>880.55</v>
      </c>
      <c r="D779" s="116">
        <v>857.57500000000005</v>
      </c>
      <c r="E779" s="116">
        <v>894.57500000000005</v>
      </c>
      <c r="F779" s="116">
        <v>3522.2</v>
      </c>
      <c r="G779">
        <v>4857</v>
      </c>
      <c r="H779" s="116"/>
      <c r="I779" s="116"/>
      <c r="L779" s="170">
        <v>45684</v>
      </c>
      <c r="M779" s="116">
        <v>880.32500000000005</v>
      </c>
      <c r="N779" s="116">
        <v>903.25</v>
      </c>
      <c r="O779" s="116">
        <v>857.5</v>
      </c>
      <c r="P779" s="116">
        <v>892.51250000000005</v>
      </c>
      <c r="Q779" s="116">
        <v>3521.3</v>
      </c>
      <c r="R779">
        <v>122294</v>
      </c>
    </row>
    <row r="780" spans="1:18" x14ac:dyDescent="0.25">
      <c r="A780" s="170">
        <v>45685</v>
      </c>
      <c r="B780" s="116">
        <v>893.82500000000005</v>
      </c>
      <c r="C780" s="116">
        <v>878.78750000000002</v>
      </c>
      <c r="D780" s="116">
        <v>845.53750000000002</v>
      </c>
      <c r="E780" s="116">
        <v>880.5625</v>
      </c>
      <c r="F780" s="116">
        <v>3515.15</v>
      </c>
      <c r="G780">
        <v>6379</v>
      </c>
      <c r="H780" s="116"/>
      <c r="I780" s="116"/>
      <c r="L780" s="170">
        <v>45685</v>
      </c>
      <c r="M780" s="116">
        <v>877.71249999999998</v>
      </c>
      <c r="N780" s="116">
        <v>894.97500000000002</v>
      </c>
      <c r="O780" s="116">
        <v>845.32500000000005</v>
      </c>
      <c r="P780" s="116">
        <v>892.47500000000002</v>
      </c>
      <c r="Q780" s="116">
        <v>3510.85</v>
      </c>
      <c r="R780">
        <v>105384</v>
      </c>
    </row>
    <row r="781" spans="1:18" x14ac:dyDescent="0.25">
      <c r="A781" s="170">
        <v>45686</v>
      </c>
      <c r="B781" s="116">
        <v>890</v>
      </c>
      <c r="C781" s="116">
        <v>881.55</v>
      </c>
      <c r="D781" s="116">
        <v>868.13750000000005</v>
      </c>
      <c r="E781" s="116">
        <v>878.75</v>
      </c>
      <c r="F781" s="116">
        <v>3526.2</v>
      </c>
      <c r="G781">
        <v>6892</v>
      </c>
      <c r="H781" s="116"/>
      <c r="I781" s="116"/>
      <c r="L781" s="170">
        <v>45686</v>
      </c>
      <c r="M781" s="116">
        <v>878.76250000000005</v>
      </c>
      <c r="N781" s="116">
        <v>893.25</v>
      </c>
      <c r="O781" s="116">
        <v>868</v>
      </c>
      <c r="P781" s="116">
        <v>872.52499999999998</v>
      </c>
      <c r="Q781" s="116">
        <v>3515.05</v>
      </c>
      <c r="R781">
        <v>73134</v>
      </c>
    </row>
    <row r="782" spans="1:18" x14ac:dyDescent="0.25">
      <c r="A782" s="170">
        <v>45687</v>
      </c>
      <c r="B782" s="116">
        <v>937.5</v>
      </c>
      <c r="C782" s="116">
        <v>909.92499999999995</v>
      </c>
      <c r="D782" s="116">
        <v>881.26250000000005</v>
      </c>
      <c r="E782" s="116">
        <v>881.26250000000005</v>
      </c>
      <c r="F782" s="116">
        <v>3639.7</v>
      </c>
      <c r="G782">
        <v>9506</v>
      </c>
      <c r="H782" s="116"/>
      <c r="I782" s="116"/>
      <c r="L782" s="170">
        <v>45687</v>
      </c>
      <c r="M782" s="116">
        <v>908.58749999999998</v>
      </c>
      <c r="N782" s="116">
        <v>937.5</v>
      </c>
      <c r="O782" s="116">
        <v>882.71249999999998</v>
      </c>
      <c r="P782" s="116">
        <v>882.71249999999998</v>
      </c>
      <c r="Q782" s="116">
        <v>3634.35</v>
      </c>
      <c r="R782">
        <v>114828</v>
      </c>
    </row>
    <row r="783" spans="1:18" x14ac:dyDescent="0.25">
      <c r="A783" s="170">
        <v>45688</v>
      </c>
      <c r="B783" s="116">
        <v>930</v>
      </c>
      <c r="C783" s="116">
        <v>915.76250000000005</v>
      </c>
      <c r="D783" s="116">
        <v>897.15</v>
      </c>
      <c r="E783" s="116">
        <v>930</v>
      </c>
      <c r="F783" s="116">
        <v>3663.05</v>
      </c>
      <c r="G783">
        <v>4653</v>
      </c>
      <c r="H783" s="116"/>
      <c r="I783" s="116"/>
      <c r="L783" s="170">
        <v>45688</v>
      </c>
      <c r="M783" s="116">
        <v>915.55</v>
      </c>
      <c r="N783" s="116">
        <v>923.75</v>
      </c>
      <c r="O783" s="116">
        <v>897.01250000000005</v>
      </c>
      <c r="P783" s="116">
        <v>908.58749999999998</v>
      </c>
      <c r="Q783" s="116">
        <v>3662.2</v>
      </c>
      <c r="R783">
        <v>45579</v>
      </c>
    </row>
    <row r="784" spans="1:18" x14ac:dyDescent="0.25">
      <c r="A784" s="170">
        <v>45689</v>
      </c>
      <c r="B784" s="116">
        <v>931.25</v>
      </c>
      <c r="C784" s="116">
        <v>914.32500000000005</v>
      </c>
      <c r="D784" s="116">
        <v>901.25</v>
      </c>
      <c r="E784" s="116">
        <v>901.25</v>
      </c>
      <c r="F784" s="116">
        <v>3657.3</v>
      </c>
      <c r="G784">
        <v>4107</v>
      </c>
      <c r="H784" s="116"/>
      <c r="I784" s="116"/>
      <c r="L784" s="170">
        <v>45689</v>
      </c>
      <c r="M784" s="116">
        <v>913.125</v>
      </c>
      <c r="N784" s="116">
        <v>934.02499999999998</v>
      </c>
      <c r="O784" s="116">
        <v>902.0625</v>
      </c>
      <c r="P784" s="116">
        <v>915.7</v>
      </c>
      <c r="Q784" s="116">
        <v>3652.5</v>
      </c>
      <c r="R784">
        <v>49186</v>
      </c>
    </row>
    <row r="785" spans="1:18" x14ac:dyDescent="0.25">
      <c r="A785" s="170">
        <v>45691</v>
      </c>
      <c r="B785" s="116">
        <v>926.11249999999995</v>
      </c>
      <c r="C785" s="116">
        <v>905.33749999999998</v>
      </c>
      <c r="D785" s="116">
        <v>896.85</v>
      </c>
      <c r="E785" s="116">
        <v>910.35</v>
      </c>
      <c r="F785" s="116">
        <v>3621.35</v>
      </c>
      <c r="G785">
        <v>5404</v>
      </c>
      <c r="H785" s="116"/>
      <c r="I785" s="116"/>
      <c r="L785" s="170">
        <v>45691</v>
      </c>
      <c r="M785" s="116">
        <v>905.32500000000005</v>
      </c>
      <c r="N785" s="116">
        <v>927.4375</v>
      </c>
      <c r="O785" s="116">
        <v>896.25</v>
      </c>
      <c r="P785" s="116">
        <v>906.27499999999998</v>
      </c>
      <c r="Q785" s="116">
        <v>3621.3</v>
      </c>
      <c r="R785">
        <v>49841</v>
      </c>
    </row>
    <row r="786" spans="1:18" x14ac:dyDescent="0.25">
      <c r="A786" s="170">
        <v>45692</v>
      </c>
      <c r="B786" s="116">
        <v>924.67499999999995</v>
      </c>
      <c r="C786" s="116">
        <v>918.53750000000002</v>
      </c>
      <c r="D786" s="116">
        <v>902.5</v>
      </c>
      <c r="E786" s="116">
        <v>917.9375</v>
      </c>
      <c r="F786" s="116">
        <v>3674.15</v>
      </c>
      <c r="G786">
        <v>5933</v>
      </c>
      <c r="H786" s="116"/>
      <c r="I786" s="116"/>
      <c r="L786" s="170">
        <v>45692</v>
      </c>
      <c r="M786" s="116">
        <v>919.35</v>
      </c>
      <c r="N786" s="116">
        <v>925</v>
      </c>
      <c r="O786" s="116">
        <v>902.75</v>
      </c>
      <c r="P786" s="116">
        <v>909.78750000000002</v>
      </c>
      <c r="Q786" s="116">
        <v>3677.4</v>
      </c>
      <c r="R786">
        <v>87745</v>
      </c>
    </row>
    <row r="787" spans="1:18" x14ac:dyDescent="0.25">
      <c r="A787" s="170">
        <v>45693</v>
      </c>
      <c r="B787" s="116">
        <v>956.16250000000002</v>
      </c>
      <c r="C787" s="116">
        <v>952.97500000000002</v>
      </c>
      <c r="D787" s="116">
        <v>917.96249999999998</v>
      </c>
      <c r="E787" s="116">
        <v>917.96249999999998</v>
      </c>
      <c r="F787" s="116">
        <v>3811.9</v>
      </c>
      <c r="G787">
        <v>2017</v>
      </c>
      <c r="H787" s="116"/>
      <c r="I787" s="116"/>
      <c r="L787" s="170">
        <v>45693</v>
      </c>
      <c r="M787" s="116">
        <v>952.32500000000005</v>
      </c>
      <c r="N787" s="116">
        <v>956.23749999999995</v>
      </c>
      <c r="O787" s="116">
        <v>914.0625</v>
      </c>
      <c r="P787" s="116">
        <v>919.35</v>
      </c>
      <c r="Q787" s="116">
        <v>3809.3</v>
      </c>
      <c r="R787">
        <v>83553</v>
      </c>
    </row>
    <row r="788" spans="1:18" x14ac:dyDescent="0.25">
      <c r="A788" s="170">
        <v>45694</v>
      </c>
      <c r="B788" s="116">
        <v>953.76250000000005</v>
      </c>
      <c r="C788" s="116">
        <v>942.48749999999995</v>
      </c>
      <c r="D788" s="116">
        <v>939.46249999999998</v>
      </c>
      <c r="E788" s="116">
        <v>953.76250000000005</v>
      </c>
      <c r="F788" s="116">
        <v>3769.95</v>
      </c>
      <c r="G788">
        <v>1702</v>
      </c>
      <c r="H788" s="116"/>
      <c r="I788" s="116"/>
      <c r="L788" s="170">
        <v>45694</v>
      </c>
      <c r="M788" s="116">
        <v>942.42499999999995</v>
      </c>
      <c r="N788" s="116">
        <v>957.32500000000005</v>
      </c>
      <c r="O788" s="116">
        <v>938.01250000000005</v>
      </c>
      <c r="P788" s="116">
        <v>955</v>
      </c>
      <c r="Q788" s="116">
        <v>3769.7</v>
      </c>
      <c r="R788">
        <v>34164</v>
      </c>
    </row>
    <row r="789" spans="1:18" x14ac:dyDescent="0.25">
      <c r="A789" s="170">
        <v>45695</v>
      </c>
      <c r="B789" s="116">
        <v>943.375</v>
      </c>
      <c r="C789" s="116">
        <v>925.5</v>
      </c>
      <c r="D789" s="116">
        <v>920.75</v>
      </c>
      <c r="E789" s="116">
        <v>941.01250000000005</v>
      </c>
      <c r="F789" s="116">
        <v>3702</v>
      </c>
      <c r="G789">
        <v>3509</v>
      </c>
      <c r="H789" s="116"/>
      <c r="I789" s="116"/>
      <c r="L789" s="170">
        <v>45695</v>
      </c>
      <c r="M789" s="116">
        <v>924.57500000000005</v>
      </c>
      <c r="N789" s="116">
        <v>943.47500000000002</v>
      </c>
      <c r="O789" s="116">
        <v>915.02499999999998</v>
      </c>
      <c r="P789" s="116">
        <v>942.5</v>
      </c>
      <c r="Q789" s="116">
        <v>3698.3</v>
      </c>
      <c r="R789">
        <v>57338</v>
      </c>
    </row>
    <row r="790" spans="1:18" x14ac:dyDescent="0.25">
      <c r="A790" s="170">
        <v>45698</v>
      </c>
      <c r="B790" s="116">
        <v>940.25</v>
      </c>
      <c r="C790" s="116">
        <v>926.21249999999998</v>
      </c>
      <c r="D790" s="116">
        <v>917.23749999999995</v>
      </c>
      <c r="E790" s="116">
        <v>923.75</v>
      </c>
      <c r="F790" s="116">
        <v>3704.85</v>
      </c>
      <c r="G790">
        <v>2272</v>
      </c>
      <c r="H790" s="116"/>
      <c r="I790" s="116"/>
      <c r="L790" s="170">
        <v>45698</v>
      </c>
      <c r="M790" s="116">
        <v>925.95</v>
      </c>
      <c r="N790" s="116">
        <v>941.27499999999998</v>
      </c>
      <c r="O790" s="116">
        <v>917.75</v>
      </c>
      <c r="P790" s="116">
        <v>924.57500000000005</v>
      </c>
      <c r="Q790" s="116">
        <v>3703.8</v>
      </c>
      <c r="R790">
        <v>40358</v>
      </c>
    </row>
    <row r="791" spans="1:18" x14ac:dyDescent="0.25">
      <c r="A791" s="170">
        <v>45699</v>
      </c>
      <c r="B791" s="116">
        <v>925.45</v>
      </c>
      <c r="C791" s="116">
        <v>912.91250000000002</v>
      </c>
      <c r="D791" s="116">
        <v>900.75</v>
      </c>
      <c r="E791" s="116">
        <v>907.6875</v>
      </c>
      <c r="F791" s="116">
        <v>3651.65</v>
      </c>
      <c r="G791">
        <v>5110</v>
      </c>
      <c r="H791" s="116"/>
      <c r="I791" s="116"/>
      <c r="L791" s="170">
        <v>45699</v>
      </c>
      <c r="M791" s="116">
        <v>912.1</v>
      </c>
      <c r="N791" s="116">
        <v>929.65</v>
      </c>
      <c r="O791" s="116">
        <v>900</v>
      </c>
      <c r="P791" s="116">
        <v>926.08749999999998</v>
      </c>
      <c r="Q791" s="116">
        <v>3648.4</v>
      </c>
      <c r="R791">
        <v>63183</v>
      </c>
    </row>
    <row r="792" spans="1:18" x14ac:dyDescent="0.25">
      <c r="A792" s="170">
        <v>45700</v>
      </c>
      <c r="B792" s="116">
        <v>906.95</v>
      </c>
      <c r="C792" s="116">
        <v>903.0625</v>
      </c>
      <c r="D792" s="116">
        <v>886.88750000000005</v>
      </c>
      <c r="E792" s="116">
        <v>900.01250000000005</v>
      </c>
      <c r="F792" s="116">
        <v>3612.25</v>
      </c>
      <c r="G792">
        <v>3937</v>
      </c>
      <c r="H792" s="116"/>
      <c r="I792" s="116"/>
      <c r="L792" s="170">
        <v>45700</v>
      </c>
      <c r="M792" s="116">
        <v>904.01250000000005</v>
      </c>
      <c r="N792" s="116">
        <v>909.73749999999995</v>
      </c>
      <c r="O792" s="116">
        <v>886.25</v>
      </c>
      <c r="P792" s="116">
        <v>909.73749999999995</v>
      </c>
      <c r="Q792" s="116">
        <v>3616.05</v>
      </c>
      <c r="R792">
        <v>78450</v>
      </c>
    </row>
    <row r="793" spans="1:18" x14ac:dyDescent="0.25">
      <c r="A793" s="170">
        <v>45701</v>
      </c>
      <c r="B793" s="116">
        <v>914.5</v>
      </c>
      <c r="C793" s="116">
        <v>905.66250000000002</v>
      </c>
      <c r="D793" s="116">
        <v>899.78750000000002</v>
      </c>
      <c r="E793" s="116">
        <v>905.23749999999995</v>
      </c>
      <c r="F793" s="116">
        <v>3622.65</v>
      </c>
      <c r="G793">
        <v>2550</v>
      </c>
      <c r="H793" s="116"/>
      <c r="I793" s="116"/>
      <c r="L793" s="170">
        <v>45701</v>
      </c>
      <c r="M793" s="116">
        <v>905.71249999999998</v>
      </c>
      <c r="N793" s="116">
        <v>914.7</v>
      </c>
      <c r="O793" s="116">
        <v>899.76250000000005</v>
      </c>
      <c r="P793" s="116">
        <v>904.01250000000005</v>
      </c>
      <c r="Q793" s="116">
        <v>3622.85</v>
      </c>
      <c r="R793">
        <v>76186</v>
      </c>
    </row>
    <row r="794" spans="1:18" x14ac:dyDescent="0.25">
      <c r="A794" s="170">
        <v>45702</v>
      </c>
      <c r="B794" s="116">
        <v>915.67499999999995</v>
      </c>
      <c r="C794" s="116">
        <v>905.85</v>
      </c>
      <c r="D794" s="116">
        <v>898.5625</v>
      </c>
      <c r="E794" s="116">
        <v>905.5</v>
      </c>
      <c r="F794" s="116">
        <v>3623.4</v>
      </c>
      <c r="G794">
        <v>1477</v>
      </c>
      <c r="H794" s="116"/>
      <c r="I794" s="116"/>
      <c r="L794" s="170">
        <v>45702</v>
      </c>
      <c r="M794" s="116">
        <v>905.1</v>
      </c>
      <c r="N794" s="116">
        <v>916.2</v>
      </c>
      <c r="O794" s="116">
        <v>898.41250000000002</v>
      </c>
      <c r="P794" s="116">
        <v>907.25</v>
      </c>
      <c r="Q794" s="116">
        <v>3620.4</v>
      </c>
      <c r="R794">
        <v>149276</v>
      </c>
    </row>
    <row r="795" spans="1:18" x14ac:dyDescent="0.25">
      <c r="A795" s="170">
        <v>45705</v>
      </c>
      <c r="B795" s="116">
        <v>911.03750000000002</v>
      </c>
      <c r="C795" s="116">
        <v>906.77499999999998</v>
      </c>
      <c r="D795" s="116">
        <v>876.5</v>
      </c>
      <c r="E795" s="116">
        <v>900.67499999999995</v>
      </c>
      <c r="F795" s="116">
        <v>3627.1</v>
      </c>
      <c r="G795">
        <v>5520</v>
      </c>
      <c r="H795" s="116"/>
      <c r="I795" s="116"/>
      <c r="L795" s="170">
        <v>45705</v>
      </c>
      <c r="M795" s="116">
        <v>903.63750000000005</v>
      </c>
      <c r="N795" s="116">
        <v>912.48749999999995</v>
      </c>
      <c r="O795" s="116">
        <v>878.16250000000002</v>
      </c>
      <c r="P795" s="116">
        <v>912.48749999999995</v>
      </c>
      <c r="Q795" s="116">
        <v>3614.55</v>
      </c>
      <c r="R795">
        <v>85569</v>
      </c>
    </row>
    <row r="796" spans="1:18" x14ac:dyDescent="0.25">
      <c r="A796" s="170">
        <v>45706</v>
      </c>
      <c r="B796" s="116">
        <v>937.8</v>
      </c>
      <c r="C796" s="116">
        <v>930.16250000000002</v>
      </c>
      <c r="D796" s="116">
        <v>896.3125</v>
      </c>
      <c r="E796" s="116">
        <v>901.57500000000005</v>
      </c>
      <c r="F796" s="116">
        <v>3720.65</v>
      </c>
      <c r="G796">
        <v>4239</v>
      </c>
      <c r="H796" s="116"/>
      <c r="I796" s="116"/>
      <c r="L796" s="170">
        <v>45706</v>
      </c>
      <c r="M796" s="116">
        <v>929.92499999999995</v>
      </c>
      <c r="N796" s="116">
        <v>948.73749999999995</v>
      </c>
      <c r="O796" s="116">
        <v>897.11249999999995</v>
      </c>
      <c r="P796" s="116">
        <v>900</v>
      </c>
      <c r="Q796" s="116">
        <v>3719.7</v>
      </c>
      <c r="R796">
        <v>98031</v>
      </c>
    </row>
    <row r="797" spans="1:18" x14ac:dyDescent="0.25">
      <c r="A797" s="170">
        <v>45707</v>
      </c>
      <c r="B797" s="116">
        <v>955</v>
      </c>
      <c r="C797" s="116">
        <v>948.38750000000005</v>
      </c>
      <c r="D797" s="116">
        <v>900.4375</v>
      </c>
      <c r="E797" s="116">
        <v>900.4375</v>
      </c>
      <c r="F797" s="116">
        <v>3793.55</v>
      </c>
      <c r="G797">
        <v>9401</v>
      </c>
      <c r="H797" s="116"/>
      <c r="I797" s="116"/>
      <c r="L797" s="170">
        <v>45707</v>
      </c>
      <c r="M797" s="116">
        <v>948.8125</v>
      </c>
      <c r="N797" s="116">
        <v>955.4</v>
      </c>
      <c r="O797" s="116">
        <v>920.42499999999995</v>
      </c>
      <c r="P797" s="116">
        <v>925</v>
      </c>
      <c r="Q797" s="116">
        <v>3795.25</v>
      </c>
      <c r="R797">
        <v>228164</v>
      </c>
    </row>
    <row r="798" spans="1:18" x14ac:dyDescent="0.25">
      <c r="A798" s="170">
        <v>45708</v>
      </c>
      <c r="B798" s="116">
        <v>974.38750000000005</v>
      </c>
      <c r="C798" s="116">
        <v>965.16250000000002</v>
      </c>
      <c r="D798" s="116">
        <v>950.76250000000005</v>
      </c>
      <c r="E798" s="116">
        <v>967.23749999999995</v>
      </c>
      <c r="F798" s="116">
        <v>3860.65</v>
      </c>
      <c r="G798">
        <v>8584</v>
      </c>
      <c r="H798" s="116"/>
      <c r="I798" s="116"/>
      <c r="L798" s="170">
        <v>45708</v>
      </c>
      <c r="M798" s="116">
        <v>965.4375</v>
      </c>
      <c r="N798" s="116">
        <v>975</v>
      </c>
      <c r="O798" s="116">
        <v>950</v>
      </c>
      <c r="P798" s="116">
        <v>950</v>
      </c>
      <c r="Q798" s="116">
        <v>3861.75</v>
      </c>
      <c r="R798">
        <v>254813</v>
      </c>
    </row>
    <row r="799" spans="1:18" x14ac:dyDescent="0.25">
      <c r="A799" s="170">
        <v>45709</v>
      </c>
      <c r="B799" s="116">
        <v>1015.25</v>
      </c>
      <c r="C799" s="116">
        <v>1001.2875</v>
      </c>
      <c r="D799" s="116">
        <v>961.25</v>
      </c>
      <c r="E799" s="116">
        <v>976.86249999999995</v>
      </c>
      <c r="F799" s="116">
        <v>4005.15</v>
      </c>
      <c r="G799">
        <v>9074</v>
      </c>
      <c r="H799" s="116"/>
      <c r="I799" s="116"/>
      <c r="L799" s="170">
        <v>45709</v>
      </c>
      <c r="M799" s="116">
        <v>1001.5875</v>
      </c>
      <c r="N799" s="116">
        <v>1016.475</v>
      </c>
      <c r="O799" s="116">
        <v>960.28750000000002</v>
      </c>
      <c r="P799" s="116">
        <v>970.5</v>
      </c>
      <c r="Q799" s="116">
        <v>4006.35</v>
      </c>
      <c r="R799">
        <v>409466</v>
      </c>
    </row>
    <row r="800" spans="1:18" x14ac:dyDescent="0.25">
      <c r="A800" s="170">
        <v>45712</v>
      </c>
      <c r="B800" s="116">
        <v>1008.9125</v>
      </c>
      <c r="C800" s="116">
        <v>1001.8125</v>
      </c>
      <c r="D800" s="116">
        <v>982.17499999999995</v>
      </c>
      <c r="E800" s="116">
        <v>1002.5</v>
      </c>
      <c r="F800" s="116">
        <v>4007.25</v>
      </c>
      <c r="G800">
        <v>16564</v>
      </c>
      <c r="H800" s="116"/>
      <c r="I800" s="116"/>
      <c r="L800" s="170">
        <v>45712</v>
      </c>
      <c r="M800" s="116">
        <v>1001.0125</v>
      </c>
      <c r="N800" s="116">
        <v>1009.3625</v>
      </c>
      <c r="O800" s="116">
        <v>981.25</v>
      </c>
      <c r="P800" s="116">
        <v>1001.5875</v>
      </c>
      <c r="Q800" s="116">
        <v>4004.05</v>
      </c>
      <c r="R800">
        <v>436667</v>
      </c>
    </row>
    <row r="801" spans="1:18" x14ac:dyDescent="0.25">
      <c r="A801" s="170">
        <v>45713</v>
      </c>
      <c r="B801" s="116">
        <v>1018.75</v>
      </c>
      <c r="C801" s="116">
        <v>1009.95</v>
      </c>
      <c r="D801" s="116">
        <v>987.71249999999998</v>
      </c>
      <c r="E801" s="116">
        <v>1006.8125</v>
      </c>
      <c r="F801" s="116">
        <v>4039.8</v>
      </c>
      <c r="G801">
        <v>8538</v>
      </c>
      <c r="H801" s="116"/>
      <c r="I801" s="116"/>
      <c r="L801" s="170">
        <v>45713</v>
      </c>
      <c r="M801" s="116">
        <v>1009.3875</v>
      </c>
      <c r="N801" s="116">
        <v>1018.5875</v>
      </c>
      <c r="O801" s="116">
        <v>987.5</v>
      </c>
      <c r="P801" s="116">
        <v>1000</v>
      </c>
      <c r="Q801" s="116">
        <v>4037.55</v>
      </c>
      <c r="R801">
        <v>496501</v>
      </c>
    </row>
    <row r="802" spans="1:18" x14ac:dyDescent="0.25">
      <c r="A802" s="170">
        <v>45715</v>
      </c>
      <c r="B802" s="116">
        <v>1034.95</v>
      </c>
      <c r="C802" s="116">
        <v>997</v>
      </c>
      <c r="D802" s="116">
        <v>985</v>
      </c>
      <c r="E802" s="116">
        <v>1025</v>
      </c>
      <c r="F802" s="116">
        <v>3988</v>
      </c>
      <c r="G802">
        <v>10139</v>
      </c>
      <c r="H802" s="116"/>
      <c r="I802" s="116"/>
      <c r="L802" s="170">
        <v>45715</v>
      </c>
      <c r="M802" s="116">
        <v>999.8</v>
      </c>
      <c r="N802" s="116">
        <v>1042.6624999999999</v>
      </c>
      <c r="O802" s="116">
        <v>982.5</v>
      </c>
      <c r="P802" s="116">
        <v>1042.6624999999999</v>
      </c>
      <c r="Q802" s="116">
        <v>3999.2</v>
      </c>
      <c r="R802">
        <v>622874</v>
      </c>
    </row>
    <row r="803" spans="1:18" x14ac:dyDescent="0.25">
      <c r="A803" s="170">
        <v>45716</v>
      </c>
      <c r="B803" s="116">
        <v>1008.175</v>
      </c>
      <c r="C803" s="116">
        <v>1000.2875</v>
      </c>
      <c r="D803" s="116">
        <v>992.8125</v>
      </c>
      <c r="E803" s="116">
        <v>997</v>
      </c>
      <c r="F803" s="116">
        <v>4001.15</v>
      </c>
      <c r="G803">
        <v>4413</v>
      </c>
      <c r="H803" s="116"/>
      <c r="I803" s="116"/>
      <c r="L803" s="170">
        <v>45716</v>
      </c>
      <c r="M803" s="116">
        <v>1000.2625</v>
      </c>
      <c r="N803" s="116">
        <v>1009.5</v>
      </c>
      <c r="O803" s="116">
        <v>992.5</v>
      </c>
      <c r="P803" s="116">
        <v>999.8</v>
      </c>
      <c r="Q803" s="116">
        <v>4001.05</v>
      </c>
      <c r="R803">
        <v>553860</v>
      </c>
    </row>
    <row r="804" spans="1:18" x14ac:dyDescent="0.25">
      <c r="A804" s="170">
        <v>45719</v>
      </c>
      <c r="B804" s="116">
        <v>1045</v>
      </c>
      <c r="C804" s="116">
        <v>1034.6624999999999</v>
      </c>
      <c r="D804" s="116">
        <v>995</v>
      </c>
      <c r="E804" s="116">
        <v>1012.725</v>
      </c>
      <c r="F804" s="116">
        <v>4138.6499999999996</v>
      </c>
      <c r="G804">
        <v>24427</v>
      </c>
      <c r="H804" s="116"/>
      <c r="I804" s="116"/>
      <c r="L804" s="170">
        <v>45719</v>
      </c>
      <c r="M804" s="116">
        <v>1035.75</v>
      </c>
      <c r="N804" s="116">
        <v>1045.4749999999999</v>
      </c>
      <c r="O804" s="116">
        <v>995</v>
      </c>
      <c r="P804" s="116">
        <v>1005</v>
      </c>
      <c r="Q804" s="116">
        <v>4143</v>
      </c>
      <c r="R804">
        <v>484446</v>
      </c>
    </row>
    <row r="805" spans="1:18" x14ac:dyDescent="0.25">
      <c r="A805" s="170">
        <v>45720</v>
      </c>
      <c r="B805" s="116">
        <v>1062.7375</v>
      </c>
      <c r="C805" s="116">
        <v>1015.0875</v>
      </c>
      <c r="D805" s="116">
        <v>1000</v>
      </c>
      <c r="E805" s="116">
        <v>1049.4875</v>
      </c>
      <c r="F805" s="116">
        <v>4060.35</v>
      </c>
      <c r="G805">
        <v>14032</v>
      </c>
      <c r="H805" s="116"/>
      <c r="I805" s="116"/>
      <c r="L805" s="170">
        <v>45720</v>
      </c>
      <c r="M805" s="116">
        <v>1014.15</v>
      </c>
      <c r="N805" s="116">
        <v>1062.7249999999999</v>
      </c>
      <c r="O805" s="116">
        <v>995</v>
      </c>
      <c r="P805" s="116">
        <v>1043.25</v>
      </c>
      <c r="Q805" s="116">
        <v>4056.6</v>
      </c>
      <c r="R805">
        <v>502499</v>
      </c>
    </row>
    <row r="806" spans="1:18" x14ac:dyDescent="0.25">
      <c r="A806" s="170">
        <v>45721</v>
      </c>
      <c r="B806" s="116">
        <v>1013.325</v>
      </c>
      <c r="C806" s="116">
        <v>947.42499999999995</v>
      </c>
      <c r="D806" s="116">
        <v>935.25</v>
      </c>
      <c r="E806" s="116">
        <v>989.97500000000002</v>
      </c>
      <c r="F806" s="116">
        <v>1894.85</v>
      </c>
      <c r="G806">
        <v>37150</v>
      </c>
      <c r="H806" s="116"/>
      <c r="I806" s="116"/>
      <c r="L806" s="170">
        <v>45721</v>
      </c>
      <c r="M806" s="116">
        <v>947.85</v>
      </c>
      <c r="N806" s="116">
        <v>1012.2</v>
      </c>
      <c r="O806" s="116">
        <v>935.55</v>
      </c>
      <c r="P806" s="116">
        <v>998.875</v>
      </c>
      <c r="Q806" s="116">
        <v>1895.7</v>
      </c>
      <c r="R806">
        <v>525196</v>
      </c>
    </row>
    <row r="807" spans="1:18" x14ac:dyDescent="0.25">
      <c r="A807" s="170">
        <v>45722</v>
      </c>
      <c r="B807" s="116">
        <v>954.8</v>
      </c>
      <c r="C807" s="116">
        <v>926.32500000000005</v>
      </c>
      <c r="D807" s="116">
        <v>923.22500000000002</v>
      </c>
      <c r="E807" s="116">
        <v>954.8</v>
      </c>
      <c r="F807" s="116">
        <v>1852.65</v>
      </c>
      <c r="G807">
        <v>8050</v>
      </c>
      <c r="H807" s="116"/>
      <c r="I807" s="116"/>
      <c r="L807" s="170">
        <v>45722</v>
      </c>
      <c r="M807" s="116">
        <v>927</v>
      </c>
      <c r="N807" s="116">
        <v>953.97500000000002</v>
      </c>
      <c r="O807" s="116">
        <v>923</v>
      </c>
      <c r="P807" s="116">
        <v>946.52499999999998</v>
      </c>
      <c r="Q807" s="116">
        <v>1854</v>
      </c>
      <c r="R807">
        <v>296939</v>
      </c>
    </row>
    <row r="808" spans="1:18" x14ac:dyDescent="0.25">
      <c r="A808" s="170">
        <v>45723</v>
      </c>
      <c r="B808" s="116">
        <v>938.5</v>
      </c>
      <c r="C808" s="116">
        <v>933.95</v>
      </c>
      <c r="D808" s="116">
        <v>907</v>
      </c>
      <c r="E808" s="116">
        <v>925</v>
      </c>
      <c r="F808" s="116">
        <v>1867.9</v>
      </c>
      <c r="G808">
        <v>7643</v>
      </c>
      <c r="H808" s="116"/>
      <c r="I808" s="116"/>
      <c r="L808" s="170">
        <v>45723</v>
      </c>
      <c r="M808" s="116">
        <v>932.5</v>
      </c>
      <c r="N808" s="116">
        <v>939.97500000000002</v>
      </c>
      <c r="O808" s="116">
        <v>906.5</v>
      </c>
      <c r="P808" s="116">
        <v>920</v>
      </c>
      <c r="Q808" s="116">
        <v>1865</v>
      </c>
      <c r="R808">
        <v>261937</v>
      </c>
    </row>
    <row r="809" spans="1:18" x14ac:dyDescent="0.25">
      <c r="A809" s="170">
        <v>45726</v>
      </c>
      <c r="B809" s="116">
        <v>934.35</v>
      </c>
      <c r="C809" s="116">
        <v>899.375</v>
      </c>
      <c r="D809" s="116">
        <v>881</v>
      </c>
      <c r="E809" s="116">
        <v>921.07500000000005</v>
      </c>
      <c r="F809" s="116">
        <v>1798.75</v>
      </c>
      <c r="G809">
        <v>13690</v>
      </c>
      <c r="H809" s="116"/>
      <c r="I809" s="116"/>
      <c r="L809" s="170">
        <v>45726</v>
      </c>
      <c r="M809" s="116">
        <v>899.52499999999998</v>
      </c>
      <c r="N809" s="116">
        <v>936.32500000000005</v>
      </c>
      <c r="O809" s="116">
        <v>880.5</v>
      </c>
      <c r="P809" s="116">
        <v>928.97500000000002</v>
      </c>
      <c r="Q809" s="116">
        <v>1799.05</v>
      </c>
      <c r="R809">
        <v>397869</v>
      </c>
    </row>
    <row r="810" spans="1:18" x14ac:dyDescent="0.25">
      <c r="A810" s="170">
        <v>45727</v>
      </c>
      <c r="B810" s="116">
        <v>904</v>
      </c>
      <c r="C810" s="116">
        <v>867</v>
      </c>
      <c r="D810" s="116">
        <v>858.35</v>
      </c>
      <c r="E810" s="116">
        <v>881.8</v>
      </c>
      <c r="F810" s="116">
        <v>1734</v>
      </c>
      <c r="G810">
        <v>11464</v>
      </c>
      <c r="H810" s="116"/>
      <c r="I810" s="116"/>
      <c r="L810" s="170">
        <v>45727</v>
      </c>
      <c r="M810" s="116">
        <v>869.6</v>
      </c>
      <c r="N810" s="116">
        <v>903.97500000000002</v>
      </c>
      <c r="O810" s="116">
        <v>857.77499999999998</v>
      </c>
      <c r="P810" s="116">
        <v>889.97500000000002</v>
      </c>
      <c r="Q810" s="116">
        <v>1739.2</v>
      </c>
      <c r="R810">
        <v>267592</v>
      </c>
    </row>
    <row r="811" spans="1:18" x14ac:dyDescent="0.25">
      <c r="A811" s="170">
        <v>45728</v>
      </c>
      <c r="B811" s="116">
        <v>877.42499999999995</v>
      </c>
      <c r="C811" s="116">
        <v>824.375</v>
      </c>
      <c r="D811" s="116">
        <v>818.02499999999998</v>
      </c>
      <c r="E811" s="116">
        <v>862.72500000000002</v>
      </c>
      <c r="F811" s="116">
        <v>1648.75</v>
      </c>
      <c r="G811">
        <v>11338</v>
      </c>
      <c r="H811" s="116"/>
      <c r="I811" s="116"/>
      <c r="L811" s="170">
        <v>45728</v>
      </c>
      <c r="M811" s="116">
        <v>826.42499999999995</v>
      </c>
      <c r="N811" s="116">
        <v>877.25</v>
      </c>
      <c r="O811" s="116">
        <v>817.5</v>
      </c>
      <c r="P811" s="116">
        <v>863.625</v>
      </c>
      <c r="Q811" s="116">
        <v>1652.85</v>
      </c>
      <c r="R811">
        <v>437698</v>
      </c>
    </row>
    <row r="812" spans="1:18" x14ac:dyDescent="0.25">
      <c r="A812" s="170">
        <v>45729</v>
      </c>
      <c r="B812" s="116">
        <v>856.07500000000005</v>
      </c>
      <c r="C812" s="116">
        <v>848.42499999999995</v>
      </c>
      <c r="D812" s="116">
        <v>793.02499999999998</v>
      </c>
      <c r="E812" s="116">
        <v>828.82500000000005</v>
      </c>
      <c r="F812" s="116">
        <v>1696.85</v>
      </c>
      <c r="G812">
        <v>27891</v>
      </c>
      <c r="H812" s="116"/>
      <c r="I812" s="116"/>
      <c r="L812" s="170">
        <v>45729</v>
      </c>
      <c r="M812" s="116">
        <v>846.625</v>
      </c>
      <c r="N812" s="116">
        <v>852.97500000000002</v>
      </c>
      <c r="O812" s="116">
        <v>797</v>
      </c>
      <c r="P812" s="116">
        <v>825</v>
      </c>
      <c r="Q812" s="116">
        <v>1693.25</v>
      </c>
      <c r="R812">
        <v>688695</v>
      </c>
    </row>
    <row r="813" spans="1:18" x14ac:dyDescent="0.25">
      <c r="A813" s="170">
        <v>45733</v>
      </c>
      <c r="B813" s="116">
        <v>856.5</v>
      </c>
      <c r="C813" s="116">
        <v>852.07500000000005</v>
      </c>
      <c r="D813" s="116">
        <v>823.32500000000005</v>
      </c>
      <c r="E813" s="116">
        <v>837.77499999999998</v>
      </c>
      <c r="F813" s="116">
        <v>1704.15</v>
      </c>
      <c r="G813">
        <v>13707</v>
      </c>
      <c r="H813" s="116"/>
      <c r="I813" s="116"/>
      <c r="L813" s="170">
        <v>45733</v>
      </c>
      <c r="M813" s="116">
        <v>854.22500000000002</v>
      </c>
      <c r="N813" s="116">
        <v>859.5</v>
      </c>
      <c r="O813" s="116">
        <v>822.47500000000002</v>
      </c>
      <c r="P813" s="116">
        <v>842.5</v>
      </c>
      <c r="Q813" s="116">
        <v>1708.45</v>
      </c>
      <c r="R813">
        <v>300620</v>
      </c>
    </row>
    <row r="814" spans="1:18" x14ac:dyDescent="0.25">
      <c r="A814" s="170">
        <v>45734</v>
      </c>
      <c r="B814" s="116">
        <v>865.57500000000005</v>
      </c>
      <c r="C814" s="116">
        <v>850.45</v>
      </c>
      <c r="D814" s="116">
        <v>843.625</v>
      </c>
      <c r="E814" s="116">
        <v>852.5</v>
      </c>
      <c r="F814" s="116">
        <v>1700.9</v>
      </c>
      <c r="G814">
        <v>6625</v>
      </c>
      <c r="H814" s="116"/>
      <c r="I814" s="116"/>
      <c r="L814" s="170">
        <v>45734</v>
      </c>
      <c r="M814" s="116">
        <v>852.42499999999995</v>
      </c>
      <c r="N814" s="116">
        <v>866.52499999999998</v>
      </c>
      <c r="O814" s="116">
        <v>846.45</v>
      </c>
      <c r="P814" s="116">
        <v>850</v>
      </c>
      <c r="Q814" s="116">
        <v>1704.85</v>
      </c>
      <c r="R814">
        <v>137194</v>
      </c>
    </row>
    <row r="815" spans="1:18" x14ac:dyDescent="0.25">
      <c r="A815" s="170">
        <v>45735</v>
      </c>
      <c r="B815" s="116">
        <v>858.17499999999995</v>
      </c>
      <c r="C815" s="116">
        <v>852.125</v>
      </c>
      <c r="D815" s="116">
        <v>840</v>
      </c>
      <c r="E815" s="116">
        <v>854</v>
      </c>
      <c r="F815" s="116">
        <v>1704.25</v>
      </c>
      <c r="G815">
        <v>9649</v>
      </c>
      <c r="H815" s="116"/>
      <c r="I815" s="116"/>
      <c r="L815" s="170">
        <v>45735</v>
      </c>
      <c r="M815" s="116">
        <v>854.3</v>
      </c>
      <c r="N815" s="116">
        <v>858.4</v>
      </c>
      <c r="O815" s="116">
        <v>838</v>
      </c>
      <c r="P815" s="116">
        <v>852.5</v>
      </c>
      <c r="Q815" s="116">
        <v>1708.6</v>
      </c>
      <c r="R815">
        <v>205194</v>
      </c>
    </row>
    <row r="816" spans="1:18" x14ac:dyDescent="0.25">
      <c r="A816" s="170">
        <v>45736</v>
      </c>
      <c r="B816" s="116">
        <v>871.77499999999998</v>
      </c>
      <c r="C816" s="116">
        <v>867.77499999999998</v>
      </c>
      <c r="D816" s="116">
        <v>843.17499999999995</v>
      </c>
      <c r="E816" s="116">
        <v>862.47500000000002</v>
      </c>
      <c r="F816" s="116">
        <v>1735.55</v>
      </c>
      <c r="G816">
        <v>11181</v>
      </c>
      <c r="H816" s="116"/>
      <c r="I816" s="116"/>
      <c r="L816" s="170">
        <v>45736</v>
      </c>
      <c r="M816" s="116">
        <v>864.875</v>
      </c>
      <c r="N816" s="116">
        <v>873</v>
      </c>
      <c r="O816" s="116">
        <v>846.17499999999995</v>
      </c>
      <c r="P816" s="116">
        <v>854.02499999999998</v>
      </c>
      <c r="Q816" s="116">
        <v>1729.75</v>
      </c>
      <c r="R816">
        <v>301388</v>
      </c>
    </row>
    <row r="817" spans="1:18" x14ac:dyDescent="0.25">
      <c r="A817" s="170">
        <v>45737</v>
      </c>
      <c r="B817" s="116">
        <v>895.72500000000002</v>
      </c>
      <c r="C817" s="116">
        <v>888.32500000000005</v>
      </c>
      <c r="D817" s="116">
        <v>857.8</v>
      </c>
      <c r="E817" s="116">
        <v>857.8</v>
      </c>
      <c r="F817" s="116">
        <v>1776.65</v>
      </c>
      <c r="G817">
        <v>14864</v>
      </c>
      <c r="H817" s="116"/>
      <c r="I817" s="116"/>
      <c r="L817" s="170">
        <v>45737</v>
      </c>
      <c r="M817" s="116">
        <v>887.375</v>
      </c>
      <c r="N817" s="116">
        <v>895.95</v>
      </c>
      <c r="O817" s="116">
        <v>860</v>
      </c>
      <c r="P817" s="116">
        <v>864.875</v>
      </c>
      <c r="Q817" s="116">
        <v>1774.75</v>
      </c>
      <c r="R817">
        <v>237881</v>
      </c>
    </row>
    <row r="818" spans="1:18" x14ac:dyDescent="0.25">
      <c r="A818" s="170">
        <v>45740</v>
      </c>
      <c r="B818" s="116">
        <v>910.5</v>
      </c>
      <c r="C818" s="116">
        <v>903.35</v>
      </c>
      <c r="D818" s="116">
        <v>860.52499999999998</v>
      </c>
      <c r="E818" s="116">
        <v>860.52499999999998</v>
      </c>
      <c r="F818" s="116">
        <v>1806.7</v>
      </c>
      <c r="G818">
        <v>8194</v>
      </c>
      <c r="H818" s="116"/>
      <c r="I818" s="116"/>
      <c r="L818" s="170">
        <v>45740</v>
      </c>
      <c r="M818" s="116">
        <v>907.02499999999998</v>
      </c>
      <c r="N818" s="116">
        <v>910.5</v>
      </c>
      <c r="O818" s="116">
        <v>878.85</v>
      </c>
      <c r="P818" s="116">
        <v>887.375</v>
      </c>
      <c r="Q818" s="116">
        <v>1814.05</v>
      </c>
      <c r="R818">
        <v>286778</v>
      </c>
    </row>
    <row r="819" spans="1:18" x14ac:dyDescent="0.25">
      <c r="A819" s="170">
        <v>45741</v>
      </c>
      <c r="B819" s="116">
        <v>930</v>
      </c>
      <c r="C819" s="116">
        <v>923.9</v>
      </c>
      <c r="D819" s="116">
        <v>885.8</v>
      </c>
      <c r="E819" s="116">
        <v>904.02499999999998</v>
      </c>
      <c r="F819" s="116">
        <v>1847.8</v>
      </c>
      <c r="G819">
        <v>4762</v>
      </c>
      <c r="H819" s="116"/>
      <c r="I819" s="116"/>
      <c r="L819" s="170">
        <v>45741</v>
      </c>
      <c r="M819" s="116">
        <v>923.4</v>
      </c>
      <c r="N819" s="116">
        <v>929</v>
      </c>
      <c r="O819" s="116">
        <v>885.75</v>
      </c>
      <c r="P819" s="116">
        <v>914.82500000000005</v>
      </c>
      <c r="Q819" s="116">
        <v>1846.8</v>
      </c>
      <c r="R819">
        <v>118731</v>
      </c>
    </row>
    <row r="820" spans="1:18" x14ac:dyDescent="0.25">
      <c r="A820" s="170">
        <v>45742</v>
      </c>
      <c r="B820" s="116">
        <v>928</v>
      </c>
      <c r="C820" s="116">
        <v>917.55</v>
      </c>
      <c r="D820" s="116">
        <v>899.17499999999995</v>
      </c>
      <c r="E820" s="116">
        <v>923.92499999999995</v>
      </c>
      <c r="F820" s="116">
        <v>1835.1</v>
      </c>
      <c r="G820">
        <v>8636</v>
      </c>
      <c r="H820" s="116"/>
      <c r="I820" s="116"/>
      <c r="L820" s="170">
        <v>45742</v>
      </c>
      <c r="M820" s="116">
        <v>918.75</v>
      </c>
      <c r="N820" s="116">
        <v>930</v>
      </c>
      <c r="O820" s="116">
        <v>898.45</v>
      </c>
      <c r="P820" s="116">
        <v>925</v>
      </c>
      <c r="Q820" s="116">
        <v>1837.5</v>
      </c>
      <c r="R820">
        <v>138521</v>
      </c>
    </row>
    <row r="821" spans="1:18" x14ac:dyDescent="0.25">
      <c r="A821" s="170">
        <v>45743</v>
      </c>
      <c r="B821" s="116">
        <v>947.5</v>
      </c>
      <c r="C821" s="116">
        <v>934.35</v>
      </c>
      <c r="D821" s="116">
        <v>904.9</v>
      </c>
      <c r="E821" s="116">
        <v>924.97500000000002</v>
      </c>
      <c r="F821" s="116">
        <v>1868.7</v>
      </c>
      <c r="G821">
        <v>18589</v>
      </c>
      <c r="H821" s="116"/>
      <c r="I821" s="116"/>
      <c r="L821" s="170">
        <v>45743</v>
      </c>
      <c r="M821" s="116">
        <v>935.9</v>
      </c>
      <c r="N821" s="116">
        <v>948</v>
      </c>
      <c r="O821" s="116">
        <v>903.65</v>
      </c>
      <c r="P821" s="116">
        <v>914.17499999999995</v>
      </c>
      <c r="Q821" s="116">
        <v>1871.8</v>
      </c>
      <c r="R821">
        <v>107801</v>
      </c>
    </row>
    <row r="822" spans="1:18" x14ac:dyDescent="0.25">
      <c r="A822" s="170">
        <v>45744</v>
      </c>
      <c r="B822" s="116">
        <v>975</v>
      </c>
      <c r="C822" s="116">
        <v>956.375</v>
      </c>
      <c r="D822" s="116">
        <v>927.22500000000002</v>
      </c>
      <c r="E822" s="116">
        <v>934.85</v>
      </c>
      <c r="F822" s="116">
        <v>1912.75</v>
      </c>
      <c r="G822">
        <v>3436</v>
      </c>
      <c r="H822" s="116"/>
      <c r="I822" s="116"/>
      <c r="L822" s="170">
        <v>45744</v>
      </c>
      <c r="M822" s="116">
        <v>956.1</v>
      </c>
      <c r="N822" s="116">
        <v>976.47500000000002</v>
      </c>
      <c r="O822" s="116">
        <v>927.65</v>
      </c>
      <c r="P822" s="116">
        <v>935.9</v>
      </c>
      <c r="Q822" s="116">
        <v>1912.2</v>
      </c>
      <c r="R822">
        <v>178526</v>
      </c>
    </row>
    <row r="823" spans="1:18" x14ac:dyDescent="0.25">
      <c r="A823" s="170">
        <v>45748</v>
      </c>
      <c r="B823" s="116">
        <v>949.05</v>
      </c>
      <c r="C823" s="116">
        <v>916.92499999999995</v>
      </c>
      <c r="D823" s="116">
        <v>908.52499999999998</v>
      </c>
      <c r="E823" s="116">
        <v>943.95</v>
      </c>
      <c r="F823" s="116">
        <v>1833.85</v>
      </c>
      <c r="G823">
        <v>6885</v>
      </c>
      <c r="H823" s="116"/>
      <c r="I823" s="116"/>
      <c r="L823" s="170">
        <v>45748</v>
      </c>
      <c r="M823" s="116">
        <v>916.45</v>
      </c>
      <c r="N823" s="116">
        <v>949.625</v>
      </c>
      <c r="O823" s="116">
        <v>910</v>
      </c>
      <c r="P823" s="116">
        <v>947.5</v>
      </c>
      <c r="Q823" s="116">
        <v>1832.9</v>
      </c>
      <c r="R823">
        <v>72727</v>
      </c>
    </row>
    <row r="824" spans="1:18" x14ac:dyDescent="0.25">
      <c r="A824" s="170">
        <v>45749</v>
      </c>
      <c r="B824" s="116">
        <v>951</v>
      </c>
      <c r="C824" s="116">
        <v>940.85</v>
      </c>
      <c r="D824" s="116">
        <v>907.4</v>
      </c>
      <c r="E824" s="116">
        <v>914.125</v>
      </c>
      <c r="F824" s="116">
        <v>1881.7</v>
      </c>
      <c r="G824">
        <v>3551</v>
      </c>
      <c r="H824" s="116"/>
      <c r="I824" s="116"/>
      <c r="L824" s="170">
        <v>45749</v>
      </c>
      <c r="M824" s="116">
        <v>941.27499999999998</v>
      </c>
      <c r="N824" s="116">
        <v>951.42499999999995</v>
      </c>
      <c r="O824" s="116">
        <v>906.65</v>
      </c>
      <c r="P824" s="116">
        <v>916</v>
      </c>
      <c r="Q824" s="116">
        <v>1882.55</v>
      </c>
      <c r="R824">
        <v>92854</v>
      </c>
    </row>
    <row r="825" spans="1:18" x14ac:dyDescent="0.25">
      <c r="A825" s="170">
        <v>45750</v>
      </c>
      <c r="B825" s="116">
        <v>941.95</v>
      </c>
      <c r="C825" s="116">
        <v>918.25</v>
      </c>
      <c r="D825" s="116">
        <v>915.5</v>
      </c>
      <c r="E825" s="116">
        <v>934.97500000000002</v>
      </c>
      <c r="F825" s="116">
        <v>1836.5</v>
      </c>
      <c r="G825">
        <v>2969</v>
      </c>
      <c r="H825" s="116"/>
      <c r="I825" s="116"/>
      <c r="L825" s="170">
        <v>45750</v>
      </c>
      <c r="M825" s="116">
        <v>917.25</v>
      </c>
      <c r="N825" s="116">
        <v>944.125</v>
      </c>
      <c r="O825" s="116">
        <v>915</v>
      </c>
      <c r="P825" s="116">
        <v>927.52499999999998</v>
      </c>
      <c r="Q825" s="116">
        <v>1834.5</v>
      </c>
      <c r="R825">
        <v>57174</v>
      </c>
    </row>
    <row r="826" spans="1:18" x14ac:dyDescent="0.25">
      <c r="A826" s="170">
        <v>45751</v>
      </c>
      <c r="B826" s="116">
        <v>915.65</v>
      </c>
      <c r="C826" s="116">
        <v>897.07500000000005</v>
      </c>
      <c r="D826" s="116">
        <v>889.1</v>
      </c>
      <c r="E826" s="116">
        <v>903.27499999999998</v>
      </c>
      <c r="F826" s="116">
        <v>1794.15</v>
      </c>
      <c r="G826">
        <v>7265</v>
      </c>
      <c r="H826" s="116"/>
      <c r="I826" s="116"/>
      <c r="L826" s="170">
        <v>45751</v>
      </c>
      <c r="M826" s="116">
        <v>896.42499999999995</v>
      </c>
      <c r="N826" s="116">
        <v>917.25</v>
      </c>
      <c r="O826" s="116">
        <v>886.2</v>
      </c>
      <c r="P826" s="116">
        <v>917.25</v>
      </c>
      <c r="Q826" s="116">
        <v>1792.85</v>
      </c>
      <c r="R826">
        <v>91047</v>
      </c>
    </row>
    <row r="827" spans="1:18" x14ac:dyDescent="0.25">
      <c r="A827" s="170">
        <v>45754</v>
      </c>
      <c r="B827" s="116">
        <v>907.32500000000005</v>
      </c>
      <c r="C827" s="116">
        <v>888.35</v>
      </c>
      <c r="D827" s="116">
        <v>812</v>
      </c>
      <c r="E827" s="116">
        <v>817.6</v>
      </c>
      <c r="F827" s="116">
        <v>1776.7</v>
      </c>
      <c r="G827">
        <v>16807</v>
      </c>
      <c r="H827" s="116"/>
      <c r="I827" s="116"/>
      <c r="L827" s="170">
        <v>45754</v>
      </c>
      <c r="M827" s="116">
        <v>882.9</v>
      </c>
      <c r="N827" s="116">
        <v>910</v>
      </c>
      <c r="O827" s="116">
        <v>800</v>
      </c>
      <c r="P827" s="116">
        <v>830</v>
      </c>
      <c r="Q827" s="116">
        <v>1765.8</v>
      </c>
      <c r="R827">
        <v>126284</v>
      </c>
    </row>
    <row r="828" spans="1:18" x14ac:dyDescent="0.25">
      <c r="A828" s="170">
        <v>45755</v>
      </c>
      <c r="B828" s="116">
        <v>924.47500000000002</v>
      </c>
      <c r="C828" s="116">
        <v>897.45</v>
      </c>
      <c r="D828" s="116">
        <v>889.25</v>
      </c>
      <c r="E828" s="116">
        <v>924.47500000000002</v>
      </c>
      <c r="F828" s="116">
        <v>1794.9</v>
      </c>
      <c r="G828">
        <v>3569</v>
      </c>
      <c r="H828" s="116"/>
      <c r="I828" s="116"/>
      <c r="L828" s="170">
        <v>45755</v>
      </c>
      <c r="M828" s="116">
        <v>897.57500000000005</v>
      </c>
      <c r="N828" s="116">
        <v>915</v>
      </c>
      <c r="O828" s="116">
        <v>888.15</v>
      </c>
      <c r="P828" s="116">
        <v>915</v>
      </c>
      <c r="Q828" s="116">
        <v>1795.15</v>
      </c>
      <c r="R828">
        <v>54650</v>
      </c>
    </row>
    <row r="829" spans="1:18" x14ac:dyDescent="0.25">
      <c r="A829" s="170">
        <v>45756</v>
      </c>
      <c r="B829" s="116">
        <v>907.97500000000002</v>
      </c>
      <c r="C829" s="116">
        <v>885.375</v>
      </c>
      <c r="D829" s="116">
        <v>879.17499999999995</v>
      </c>
      <c r="E829" s="116">
        <v>892.05</v>
      </c>
      <c r="F829" s="116">
        <v>1770.75</v>
      </c>
      <c r="G829">
        <v>1602</v>
      </c>
      <c r="H829" s="116"/>
      <c r="I829" s="116"/>
      <c r="L829" s="170">
        <v>45756</v>
      </c>
      <c r="M829" s="116">
        <v>884.375</v>
      </c>
      <c r="N829" s="116">
        <v>908.17499999999995</v>
      </c>
      <c r="O829" s="116">
        <v>878.27499999999998</v>
      </c>
      <c r="P829" s="116">
        <v>892</v>
      </c>
      <c r="Q829" s="116">
        <v>1768.75</v>
      </c>
      <c r="R829">
        <v>59565</v>
      </c>
    </row>
    <row r="830" spans="1:18" x14ac:dyDescent="0.25">
      <c r="A830" s="170">
        <v>45758</v>
      </c>
      <c r="B830" s="116">
        <v>917.15</v>
      </c>
      <c r="C830" s="116">
        <v>902.27499999999998</v>
      </c>
      <c r="D830" s="116">
        <v>870</v>
      </c>
      <c r="E830" s="116">
        <v>914.875</v>
      </c>
      <c r="F830" s="116">
        <v>1804.55</v>
      </c>
      <c r="G830">
        <v>12759</v>
      </c>
      <c r="H830" s="116"/>
      <c r="I830" s="116"/>
      <c r="L830" s="170">
        <v>45758</v>
      </c>
      <c r="M830" s="116">
        <v>900.2</v>
      </c>
      <c r="N830" s="116">
        <v>918.82500000000005</v>
      </c>
      <c r="O830" s="116">
        <v>867.92499999999995</v>
      </c>
      <c r="P830" s="116">
        <v>910</v>
      </c>
      <c r="Q830" s="116">
        <v>1800.4</v>
      </c>
      <c r="R830">
        <v>359645</v>
      </c>
    </row>
    <row r="831" spans="1:18" x14ac:dyDescent="0.25">
      <c r="A831" s="170">
        <v>45762</v>
      </c>
      <c r="B831" s="116">
        <v>920.5</v>
      </c>
      <c r="C831" s="116">
        <v>886</v>
      </c>
      <c r="D831" s="116">
        <v>882.85</v>
      </c>
      <c r="E831" s="116">
        <v>920.5</v>
      </c>
      <c r="F831" s="116">
        <v>1772</v>
      </c>
      <c r="G831">
        <v>9574</v>
      </c>
      <c r="H831" s="116"/>
      <c r="I831" s="116"/>
      <c r="L831" s="170">
        <v>45762</v>
      </c>
      <c r="M831" s="116">
        <v>886.95</v>
      </c>
      <c r="N831" s="116">
        <v>913.7</v>
      </c>
      <c r="O831" s="116">
        <v>882.75</v>
      </c>
      <c r="P831" s="116">
        <v>913.65</v>
      </c>
      <c r="Q831" s="116">
        <v>1773.9</v>
      </c>
      <c r="R831">
        <v>83398</v>
      </c>
    </row>
    <row r="832" spans="1:18" x14ac:dyDescent="0.25">
      <c r="A832" s="170">
        <v>45763</v>
      </c>
      <c r="B832" s="116">
        <v>894.5</v>
      </c>
      <c r="C832" s="116">
        <v>866.97500000000002</v>
      </c>
      <c r="D832" s="116">
        <v>858.5</v>
      </c>
      <c r="E832" s="116">
        <v>894.47500000000002</v>
      </c>
      <c r="F832" s="116">
        <v>1733.95</v>
      </c>
      <c r="G832">
        <v>8476</v>
      </c>
      <c r="H832" s="116"/>
      <c r="I832" s="116"/>
      <c r="L832" s="170">
        <v>45763</v>
      </c>
      <c r="M832" s="116">
        <v>866.35</v>
      </c>
      <c r="N832" s="116">
        <v>891.35</v>
      </c>
      <c r="O832" s="116">
        <v>858.25</v>
      </c>
      <c r="P832" s="116">
        <v>886.95</v>
      </c>
      <c r="Q832" s="116">
        <v>1732.7</v>
      </c>
      <c r="R832">
        <v>185484</v>
      </c>
    </row>
    <row r="833" spans="1:18" x14ac:dyDescent="0.25">
      <c r="A833" s="170">
        <v>45764</v>
      </c>
      <c r="B833" s="116">
        <v>877.5</v>
      </c>
      <c r="C833" s="116">
        <v>868.9</v>
      </c>
      <c r="D833" s="116">
        <v>855.5</v>
      </c>
      <c r="E833" s="116">
        <v>877.5</v>
      </c>
      <c r="F833" s="116">
        <v>1737.8</v>
      </c>
      <c r="G833">
        <v>7484</v>
      </c>
      <c r="H833" s="116"/>
      <c r="I833" s="116"/>
      <c r="L833" s="170">
        <v>45764</v>
      </c>
      <c r="M833" s="116">
        <v>866.95</v>
      </c>
      <c r="N833" s="116">
        <v>879.45</v>
      </c>
      <c r="O833" s="116">
        <v>855.05</v>
      </c>
      <c r="P833" s="116">
        <v>879.45</v>
      </c>
      <c r="Q833" s="116">
        <v>1733.9</v>
      </c>
      <c r="R833">
        <v>62667</v>
      </c>
    </row>
    <row r="834" spans="1:18" x14ac:dyDescent="0.25">
      <c r="A834" s="170">
        <v>45768</v>
      </c>
      <c r="B834" s="116">
        <v>880</v>
      </c>
      <c r="C834" s="116">
        <v>873.52499999999998</v>
      </c>
      <c r="D834" s="116">
        <v>858.5</v>
      </c>
      <c r="E834" s="116">
        <v>860.77499999999998</v>
      </c>
      <c r="F834" s="116">
        <v>1747.05</v>
      </c>
      <c r="G834">
        <v>6606</v>
      </c>
      <c r="H834" s="116"/>
      <c r="I834" s="116"/>
      <c r="L834" s="170">
        <v>45768</v>
      </c>
      <c r="M834" s="116">
        <v>873.5</v>
      </c>
      <c r="N834" s="116">
        <v>881.5</v>
      </c>
      <c r="O834" s="116">
        <v>857.2</v>
      </c>
      <c r="P834" s="116">
        <v>871.95</v>
      </c>
      <c r="Q834" s="116">
        <v>1747</v>
      </c>
      <c r="R834">
        <v>74618</v>
      </c>
    </row>
    <row r="835" spans="1:18" x14ac:dyDescent="0.25">
      <c r="A835" s="170">
        <v>45769</v>
      </c>
      <c r="B835" s="116">
        <v>890.55</v>
      </c>
      <c r="C835" s="116">
        <v>881.05</v>
      </c>
      <c r="D835" s="116">
        <v>867</v>
      </c>
      <c r="E835" s="116">
        <v>879.97500000000002</v>
      </c>
      <c r="F835" s="116">
        <v>1762.1</v>
      </c>
      <c r="G835">
        <v>16183</v>
      </c>
      <c r="H835" s="116"/>
      <c r="I835" s="116"/>
      <c r="L835" s="170">
        <v>45769</v>
      </c>
      <c r="M835" s="116">
        <v>882.15</v>
      </c>
      <c r="N835" s="116">
        <v>890.5</v>
      </c>
      <c r="O835" s="116">
        <v>866.5</v>
      </c>
      <c r="P835" s="116">
        <v>875</v>
      </c>
      <c r="Q835" s="116">
        <v>1764.3</v>
      </c>
      <c r="R835">
        <v>78092</v>
      </c>
    </row>
    <row r="836" spans="1:18" x14ac:dyDescent="0.25">
      <c r="A836" s="170">
        <v>45770</v>
      </c>
      <c r="B836" s="116">
        <v>899.45</v>
      </c>
      <c r="C836" s="116">
        <v>891.72500000000002</v>
      </c>
      <c r="D836" s="116">
        <v>881.5</v>
      </c>
      <c r="E836" s="116">
        <v>883.97500000000002</v>
      </c>
      <c r="F836" s="116">
        <v>1783.45</v>
      </c>
      <c r="G836">
        <v>4970</v>
      </c>
      <c r="H836" s="116"/>
      <c r="I836" s="116"/>
      <c r="L836" s="170">
        <v>45770</v>
      </c>
      <c r="M836" s="116">
        <v>891.55</v>
      </c>
      <c r="N836" s="116">
        <v>899.45</v>
      </c>
      <c r="O836" s="116">
        <v>880.1</v>
      </c>
      <c r="P836" s="116">
        <v>884.5</v>
      </c>
      <c r="Q836" s="116">
        <v>1783.1</v>
      </c>
      <c r="R836">
        <v>118488</v>
      </c>
    </row>
    <row r="837" spans="1:18" x14ac:dyDescent="0.25">
      <c r="A837" s="170">
        <v>45771</v>
      </c>
      <c r="B837" s="116">
        <v>898</v>
      </c>
      <c r="C837" s="116">
        <v>880.25</v>
      </c>
      <c r="D837" s="116">
        <v>878.47500000000002</v>
      </c>
      <c r="E837" s="116">
        <v>891.55</v>
      </c>
      <c r="F837" s="116">
        <v>1760.5</v>
      </c>
      <c r="G837">
        <v>5908</v>
      </c>
      <c r="H837" s="116"/>
      <c r="I837" s="116"/>
      <c r="L837" s="170">
        <v>45771</v>
      </c>
      <c r="M837" s="116">
        <v>881.2</v>
      </c>
      <c r="N837" s="116">
        <v>899</v>
      </c>
      <c r="O837" s="116">
        <v>877.15</v>
      </c>
      <c r="P837" s="116">
        <v>891.55</v>
      </c>
      <c r="Q837" s="116">
        <v>1762.4</v>
      </c>
      <c r="R837">
        <v>50038</v>
      </c>
    </row>
    <row r="838" spans="1:18" x14ac:dyDescent="0.25">
      <c r="A838" s="170">
        <v>45772</v>
      </c>
      <c r="B838" s="116">
        <v>884.05</v>
      </c>
      <c r="C838" s="116">
        <v>878.97500000000002</v>
      </c>
      <c r="D838" s="116">
        <v>855.52499999999998</v>
      </c>
      <c r="E838" s="116">
        <v>865.52499999999998</v>
      </c>
      <c r="F838" s="116">
        <v>1757.95</v>
      </c>
      <c r="G838">
        <v>1863</v>
      </c>
      <c r="H838" s="116"/>
      <c r="I838" s="116"/>
      <c r="L838" s="170">
        <v>45772</v>
      </c>
      <c r="M838" s="116">
        <v>879.7</v>
      </c>
      <c r="N838" s="116">
        <v>891.55</v>
      </c>
      <c r="O838" s="116">
        <v>855</v>
      </c>
      <c r="P838" s="116">
        <v>887.5</v>
      </c>
      <c r="Q838" s="116">
        <v>1759.4</v>
      </c>
      <c r="R838">
        <v>84305</v>
      </c>
    </row>
    <row r="839" spans="1:18" x14ac:dyDescent="0.25">
      <c r="A839" s="170">
        <v>45775</v>
      </c>
      <c r="B839" s="116">
        <v>889.97500000000002</v>
      </c>
      <c r="C839" s="116">
        <v>867.97500000000002</v>
      </c>
      <c r="D839" s="116">
        <v>856.75</v>
      </c>
      <c r="E839" s="116">
        <v>889.97500000000002</v>
      </c>
      <c r="F839" s="116">
        <v>1735.95</v>
      </c>
      <c r="G839">
        <v>1058</v>
      </c>
      <c r="H839" s="116"/>
      <c r="I839" s="116"/>
      <c r="L839" s="170">
        <v>45775</v>
      </c>
      <c r="M839" s="116">
        <v>867.8</v>
      </c>
      <c r="N839" s="116">
        <v>880</v>
      </c>
      <c r="O839" s="116">
        <v>855</v>
      </c>
      <c r="P839" s="116">
        <v>868.15</v>
      </c>
      <c r="Q839" s="116">
        <v>1735.6</v>
      </c>
      <c r="R839">
        <v>91913</v>
      </c>
    </row>
    <row r="840" spans="1:18" x14ac:dyDescent="0.25">
      <c r="A840" s="170">
        <v>45776</v>
      </c>
      <c r="B840" s="116">
        <v>872.75</v>
      </c>
      <c r="C840" s="116">
        <v>848.92499999999995</v>
      </c>
      <c r="D840" s="116">
        <v>846.5</v>
      </c>
      <c r="E840" s="116">
        <v>865</v>
      </c>
      <c r="F840" s="116">
        <v>1697.85</v>
      </c>
      <c r="G840">
        <v>4438</v>
      </c>
      <c r="H840" s="116"/>
      <c r="I840" s="116"/>
      <c r="L840" s="170">
        <v>45776</v>
      </c>
      <c r="M840" s="116">
        <v>850.65</v>
      </c>
      <c r="N840" s="116">
        <v>873.1</v>
      </c>
      <c r="O840" s="116">
        <v>845</v>
      </c>
      <c r="P840" s="116">
        <v>862.5</v>
      </c>
      <c r="Q840" s="116">
        <v>1701.3</v>
      </c>
      <c r="R840">
        <v>65615</v>
      </c>
    </row>
    <row r="841" spans="1:18" x14ac:dyDescent="0.25">
      <c r="A841" s="170">
        <v>45777</v>
      </c>
      <c r="B841" s="116">
        <v>862.65</v>
      </c>
      <c r="C841" s="116">
        <v>852.55</v>
      </c>
      <c r="D841" s="116">
        <v>828</v>
      </c>
      <c r="E841" s="116">
        <v>845</v>
      </c>
      <c r="F841" s="116">
        <v>1705.1</v>
      </c>
      <c r="G841">
        <v>4029</v>
      </c>
      <c r="H841" s="116"/>
      <c r="I841" s="116"/>
      <c r="L841" s="170">
        <v>45777</v>
      </c>
      <c r="M841" s="116">
        <v>850.9</v>
      </c>
      <c r="N841" s="116">
        <v>866</v>
      </c>
      <c r="O841" s="116">
        <v>827.9</v>
      </c>
      <c r="P841" s="116">
        <v>850.5</v>
      </c>
      <c r="Q841" s="116">
        <v>1701.8</v>
      </c>
      <c r="R841">
        <v>193191</v>
      </c>
    </row>
    <row r="842" spans="1:18" x14ac:dyDescent="0.25">
      <c r="A842" s="170">
        <v>45779</v>
      </c>
      <c r="B842" s="116">
        <v>865</v>
      </c>
      <c r="C842" s="116">
        <v>856.92499999999995</v>
      </c>
      <c r="D842" s="116">
        <v>836.6</v>
      </c>
      <c r="E842" s="116">
        <v>850</v>
      </c>
      <c r="F842" s="116">
        <v>1713.85</v>
      </c>
      <c r="G842">
        <v>5709</v>
      </c>
      <c r="H842" s="116"/>
      <c r="I842" s="116"/>
      <c r="L842" s="170">
        <v>45779</v>
      </c>
      <c r="M842" s="116">
        <v>857.05</v>
      </c>
      <c r="N842" s="116">
        <v>865</v>
      </c>
      <c r="O842" s="116">
        <v>835.5</v>
      </c>
      <c r="P842" s="116">
        <v>846.1</v>
      </c>
      <c r="Q842" s="116">
        <v>1714.1</v>
      </c>
      <c r="R842">
        <v>66920</v>
      </c>
    </row>
    <row r="843" spans="1:18" x14ac:dyDescent="0.25">
      <c r="A843" s="170">
        <v>45782</v>
      </c>
      <c r="B843" s="116">
        <v>876.97500000000002</v>
      </c>
      <c r="C843" s="116">
        <v>872.57500000000005</v>
      </c>
      <c r="D843" s="116">
        <v>856.67499999999995</v>
      </c>
      <c r="E843" s="116">
        <v>872.47500000000002</v>
      </c>
      <c r="F843" s="116">
        <v>1745.15</v>
      </c>
      <c r="G843">
        <v>2410</v>
      </c>
      <c r="H843" s="116"/>
      <c r="I843" s="116"/>
      <c r="L843" s="170">
        <v>45782</v>
      </c>
      <c r="M843" s="116">
        <v>872.8</v>
      </c>
      <c r="N843" s="116">
        <v>878.15</v>
      </c>
      <c r="O843" s="116">
        <v>856</v>
      </c>
      <c r="P843" s="116">
        <v>860</v>
      </c>
      <c r="Q843" s="116">
        <v>1745.6</v>
      </c>
      <c r="R843">
        <v>95215</v>
      </c>
    </row>
    <row r="844" spans="1:18" x14ac:dyDescent="0.25">
      <c r="A844" s="170">
        <v>45783</v>
      </c>
      <c r="B844" s="116">
        <v>867.77499999999998</v>
      </c>
      <c r="C844" s="116">
        <v>852.7</v>
      </c>
      <c r="D844" s="116">
        <v>851.15</v>
      </c>
      <c r="E844" s="116">
        <v>867.15</v>
      </c>
      <c r="F844" s="116">
        <v>1705.4</v>
      </c>
      <c r="G844">
        <v>652</v>
      </c>
      <c r="H844" s="116"/>
      <c r="I844" s="116"/>
      <c r="L844" s="170">
        <v>45783</v>
      </c>
      <c r="M844" s="116">
        <v>853.65</v>
      </c>
      <c r="N844" s="116">
        <v>876.6</v>
      </c>
      <c r="O844" s="116">
        <v>850.8</v>
      </c>
      <c r="P844" s="116">
        <v>874.5</v>
      </c>
      <c r="Q844" s="116">
        <v>1707.3</v>
      </c>
      <c r="R844">
        <v>44162</v>
      </c>
    </row>
    <row r="845" spans="1:18" x14ac:dyDescent="0.25">
      <c r="A845" s="170">
        <v>45784</v>
      </c>
      <c r="B845" s="116">
        <v>858.45</v>
      </c>
      <c r="C845" s="116">
        <v>850.35</v>
      </c>
      <c r="D845" s="116">
        <v>820</v>
      </c>
      <c r="E845" s="116">
        <v>820</v>
      </c>
      <c r="F845" s="116">
        <v>1700.7</v>
      </c>
      <c r="G845">
        <v>1857</v>
      </c>
      <c r="H845" s="116"/>
      <c r="I845" s="116"/>
      <c r="L845" s="170">
        <v>45784</v>
      </c>
      <c r="M845" s="116">
        <v>849.1</v>
      </c>
      <c r="N845" s="116">
        <v>862.5</v>
      </c>
      <c r="O845" s="116">
        <v>834.95</v>
      </c>
      <c r="P845" s="116">
        <v>836.5</v>
      </c>
      <c r="Q845" s="116">
        <v>1698.2</v>
      </c>
      <c r="R845">
        <v>50248</v>
      </c>
    </row>
    <row r="846" spans="1:18" x14ac:dyDescent="0.25">
      <c r="A846" s="170">
        <v>45785</v>
      </c>
      <c r="B846" s="116">
        <v>862.05</v>
      </c>
      <c r="C846" s="116">
        <v>841.97500000000002</v>
      </c>
      <c r="D846" s="116">
        <v>838.55</v>
      </c>
      <c r="E846" s="116">
        <v>862.05</v>
      </c>
      <c r="F846" s="116">
        <v>1683.95</v>
      </c>
      <c r="G846">
        <v>2678</v>
      </c>
      <c r="H846" s="116"/>
      <c r="I846" s="116"/>
      <c r="L846" s="170">
        <v>45785</v>
      </c>
      <c r="M846" s="116">
        <v>841.25</v>
      </c>
      <c r="N846" s="116">
        <v>872</v>
      </c>
      <c r="O846" s="116">
        <v>840</v>
      </c>
      <c r="P846" s="116">
        <v>849.1</v>
      </c>
      <c r="Q846" s="116">
        <v>1682.5</v>
      </c>
      <c r="R846">
        <v>39720</v>
      </c>
    </row>
    <row r="847" spans="1:18" x14ac:dyDescent="0.25">
      <c r="A847" s="170">
        <v>45786</v>
      </c>
      <c r="B847" s="116">
        <v>854.05</v>
      </c>
      <c r="C847" s="116">
        <v>839.92499999999995</v>
      </c>
      <c r="D847" s="116">
        <v>818.375</v>
      </c>
      <c r="E847" s="116">
        <v>818.375</v>
      </c>
      <c r="F847" s="116">
        <v>1679.85</v>
      </c>
      <c r="G847">
        <v>8290</v>
      </c>
      <c r="H847" s="116"/>
      <c r="I847" s="116"/>
      <c r="L847" s="170">
        <v>45786</v>
      </c>
      <c r="M847" s="116">
        <v>851.9</v>
      </c>
      <c r="N847" s="116">
        <v>856.4</v>
      </c>
      <c r="O847" s="116">
        <v>820.5</v>
      </c>
      <c r="P847" s="116">
        <v>830</v>
      </c>
      <c r="Q847" s="116">
        <v>1703.8</v>
      </c>
      <c r="R847">
        <v>161225</v>
      </c>
    </row>
    <row r="848" spans="1:18" x14ac:dyDescent="0.25">
      <c r="A848" s="170">
        <v>45789</v>
      </c>
      <c r="B848" s="116">
        <v>870.5</v>
      </c>
      <c r="C848" s="116">
        <v>856.42499999999995</v>
      </c>
      <c r="D848" s="116">
        <v>851.67499999999995</v>
      </c>
      <c r="E848" s="116">
        <v>861.9</v>
      </c>
      <c r="F848" s="116">
        <v>1712.85</v>
      </c>
      <c r="G848">
        <v>1846</v>
      </c>
      <c r="H848" s="116"/>
      <c r="I848" s="116"/>
      <c r="L848" s="170">
        <v>45789</v>
      </c>
      <c r="M848" s="116">
        <v>860.55</v>
      </c>
      <c r="N848" s="116">
        <v>871.05</v>
      </c>
      <c r="O848" s="116">
        <v>849.5</v>
      </c>
      <c r="P848" s="116">
        <v>853.5</v>
      </c>
      <c r="Q848" s="116">
        <v>1721.1</v>
      </c>
      <c r="R848">
        <v>58199</v>
      </c>
    </row>
    <row r="849" spans="1:18" x14ac:dyDescent="0.25">
      <c r="A849" s="170">
        <v>45790</v>
      </c>
      <c r="B849" s="116">
        <v>882.5</v>
      </c>
      <c r="C849" s="116">
        <v>878.3</v>
      </c>
      <c r="D849" s="116">
        <v>859.95</v>
      </c>
      <c r="E849" s="116">
        <v>859.95</v>
      </c>
      <c r="F849" s="116">
        <v>1756.6</v>
      </c>
      <c r="G849">
        <v>1989</v>
      </c>
      <c r="H849" s="116"/>
      <c r="I849" s="116"/>
      <c r="L849" s="170">
        <v>45790</v>
      </c>
      <c r="M849" s="116">
        <v>880.05</v>
      </c>
      <c r="N849" s="116">
        <v>882.5</v>
      </c>
      <c r="O849" s="116">
        <v>857.5</v>
      </c>
      <c r="P849" s="116">
        <v>865.1</v>
      </c>
      <c r="Q849" s="116">
        <v>1760.1</v>
      </c>
      <c r="R849">
        <v>56154</v>
      </c>
    </row>
    <row r="850" spans="1:18" x14ac:dyDescent="0.25">
      <c r="A850" s="170">
        <v>45791</v>
      </c>
      <c r="B850" s="116">
        <v>895.5</v>
      </c>
      <c r="C850" s="116">
        <v>894.25</v>
      </c>
      <c r="D850" s="116">
        <v>881.625</v>
      </c>
      <c r="E850" s="116">
        <v>890.5</v>
      </c>
      <c r="F850" s="116">
        <v>1788.5</v>
      </c>
      <c r="G850">
        <v>1956</v>
      </c>
      <c r="H850" s="116"/>
      <c r="I850" s="116"/>
      <c r="L850" s="170">
        <v>45791</v>
      </c>
      <c r="M850" s="116">
        <v>893.85</v>
      </c>
      <c r="N850" s="116">
        <v>896</v>
      </c>
      <c r="O850" s="116">
        <v>879.5</v>
      </c>
      <c r="P850" s="116">
        <v>882.5</v>
      </c>
      <c r="Q850" s="116">
        <v>1787.7</v>
      </c>
      <c r="R850">
        <v>50378</v>
      </c>
    </row>
    <row r="851" spans="1:18" x14ac:dyDescent="0.25">
      <c r="A851" s="170">
        <v>45792</v>
      </c>
      <c r="B851" s="116">
        <v>906.5</v>
      </c>
      <c r="C851" s="116">
        <v>896.8</v>
      </c>
      <c r="D851" s="116">
        <v>881.82500000000005</v>
      </c>
      <c r="E851" s="116">
        <v>894.97500000000002</v>
      </c>
      <c r="F851" s="116">
        <v>1793.6</v>
      </c>
      <c r="G851">
        <v>7919</v>
      </c>
      <c r="H851" s="116"/>
      <c r="I851" s="116"/>
      <c r="L851" s="170">
        <v>45792</v>
      </c>
      <c r="M851" s="116">
        <v>897.05</v>
      </c>
      <c r="N851" s="116">
        <v>907.5</v>
      </c>
      <c r="O851" s="116">
        <v>881.7</v>
      </c>
      <c r="P851" s="116">
        <v>893.85</v>
      </c>
      <c r="Q851" s="116">
        <v>1794.1</v>
      </c>
      <c r="R851">
        <v>82522</v>
      </c>
    </row>
    <row r="852" spans="1:18" x14ac:dyDescent="0.25">
      <c r="A852" s="170">
        <v>45793</v>
      </c>
      <c r="B852" s="116">
        <v>911.55</v>
      </c>
      <c r="C852" s="116">
        <v>906.6</v>
      </c>
      <c r="D852" s="116">
        <v>886.22500000000002</v>
      </c>
      <c r="E852" s="116">
        <v>904.85</v>
      </c>
      <c r="F852" s="116">
        <v>1813.2</v>
      </c>
      <c r="G852">
        <v>1547</v>
      </c>
      <c r="H852" s="116"/>
      <c r="I852" s="116"/>
      <c r="L852" s="170">
        <v>45793</v>
      </c>
      <c r="M852" s="116">
        <v>908.15</v>
      </c>
      <c r="N852" s="116">
        <v>911</v>
      </c>
      <c r="O852" s="116">
        <v>888.9</v>
      </c>
      <c r="P852" s="116">
        <v>899</v>
      </c>
      <c r="Q852" s="116">
        <v>1816.3</v>
      </c>
      <c r="R852">
        <v>52751</v>
      </c>
    </row>
    <row r="853" spans="1:18" x14ac:dyDescent="0.25">
      <c r="A853" s="170">
        <v>45796</v>
      </c>
      <c r="B853" s="116">
        <v>927.42499999999995</v>
      </c>
      <c r="C853" s="116">
        <v>916.15</v>
      </c>
      <c r="D853" s="116">
        <v>907.35</v>
      </c>
      <c r="E853" s="116">
        <v>908.02499999999998</v>
      </c>
      <c r="F853" s="116">
        <v>1832.3</v>
      </c>
      <c r="G853">
        <v>2412</v>
      </c>
      <c r="H853" s="116"/>
      <c r="I853" s="116"/>
      <c r="L853" s="170">
        <v>45796</v>
      </c>
      <c r="M853" s="116">
        <v>915.75</v>
      </c>
      <c r="N853" s="116">
        <v>927</v>
      </c>
      <c r="O853" s="116">
        <v>907.5</v>
      </c>
      <c r="P853" s="116">
        <v>909</v>
      </c>
      <c r="Q853" s="116">
        <v>1831.5</v>
      </c>
      <c r="R853">
        <v>86648</v>
      </c>
    </row>
    <row r="854" spans="1:18" x14ac:dyDescent="0.25">
      <c r="A854" s="170">
        <v>45797</v>
      </c>
      <c r="B854" s="116">
        <v>923.17499999999995</v>
      </c>
      <c r="C854" s="116">
        <v>908.625</v>
      </c>
      <c r="D854" s="116">
        <v>900</v>
      </c>
      <c r="E854" s="116">
        <v>912.5</v>
      </c>
      <c r="F854" s="116">
        <v>1817.25</v>
      </c>
      <c r="G854">
        <v>9594</v>
      </c>
      <c r="H854" s="116"/>
      <c r="I854" s="116"/>
      <c r="L854" s="170">
        <v>45797</v>
      </c>
      <c r="M854" s="116">
        <v>907.95</v>
      </c>
      <c r="N854" s="116">
        <v>923.85</v>
      </c>
      <c r="O854" s="116">
        <v>905</v>
      </c>
      <c r="P854" s="116">
        <v>920.05</v>
      </c>
      <c r="Q854" s="116">
        <v>1815.9</v>
      </c>
      <c r="R854">
        <v>174876</v>
      </c>
    </row>
    <row r="855" spans="1:18" x14ac:dyDescent="0.25">
      <c r="A855" s="170">
        <v>45798</v>
      </c>
      <c r="B855" s="116">
        <v>930.45</v>
      </c>
      <c r="C855" s="116">
        <v>915.45</v>
      </c>
      <c r="D855" s="116">
        <v>900.02499999999998</v>
      </c>
      <c r="E855" s="116">
        <v>900.02499999999998</v>
      </c>
      <c r="F855" s="116">
        <v>1830.9</v>
      </c>
      <c r="G855">
        <v>3451</v>
      </c>
      <c r="H855" s="116"/>
      <c r="I855" s="116"/>
      <c r="L855" s="170">
        <v>45798</v>
      </c>
      <c r="M855" s="116">
        <v>915.4</v>
      </c>
      <c r="N855" s="116">
        <v>930.9</v>
      </c>
      <c r="O855" s="116">
        <v>905</v>
      </c>
      <c r="P855" s="116">
        <v>915.75</v>
      </c>
      <c r="Q855" s="116">
        <v>1830.8</v>
      </c>
      <c r="R855">
        <v>45927</v>
      </c>
    </row>
    <row r="856" spans="1:18" x14ac:dyDescent="0.25">
      <c r="A856" s="170">
        <v>45799</v>
      </c>
      <c r="B856" s="116">
        <v>924</v>
      </c>
      <c r="C856" s="116">
        <v>922.375</v>
      </c>
      <c r="D856" s="116">
        <v>911.25</v>
      </c>
      <c r="E856" s="116">
        <v>913.57500000000005</v>
      </c>
      <c r="F856" s="116">
        <v>1844.75</v>
      </c>
      <c r="G856">
        <v>3084</v>
      </c>
      <c r="H856" s="116"/>
      <c r="I856" s="116"/>
      <c r="L856" s="170">
        <v>45799</v>
      </c>
      <c r="M856" s="116">
        <v>922.05</v>
      </c>
      <c r="N856" s="116">
        <v>925.5</v>
      </c>
      <c r="O856" s="116">
        <v>909.95</v>
      </c>
      <c r="P856" s="116">
        <v>915.4</v>
      </c>
      <c r="Q856" s="116">
        <v>1844.1</v>
      </c>
      <c r="R856">
        <v>46657</v>
      </c>
    </row>
    <row r="857" spans="1:18" x14ac:dyDescent="0.25">
      <c r="A857" s="170">
        <v>45800</v>
      </c>
      <c r="B857" s="116">
        <v>945</v>
      </c>
      <c r="C857" s="116">
        <v>942.1</v>
      </c>
      <c r="D857" s="116">
        <v>919.35</v>
      </c>
      <c r="E857" s="116">
        <v>919.97500000000002</v>
      </c>
      <c r="F857" s="116">
        <v>1884.2</v>
      </c>
      <c r="G857">
        <v>14748</v>
      </c>
      <c r="H857" s="116"/>
      <c r="I857" s="116"/>
      <c r="L857" s="170">
        <v>45800</v>
      </c>
      <c r="M857" s="116">
        <v>941.65</v>
      </c>
      <c r="N857" s="116">
        <v>946</v>
      </c>
      <c r="O857" s="116">
        <v>916.2</v>
      </c>
      <c r="P857" s="116">
        <v>921</v>
      </c>
      <c r="Q857" s="116">
        <v>1883.3</v>
      </c>
      <c r="R857">
        <v>99209</v>
      </c>
    </row>
    <row r="858" spans="1:18" x14ac:dyDescent="0.25">
      <c r="A858" s="170">
        <v>45803</v>
      </c>
      <c r="B858" s="116">
        <v>962.125</v>
      </c>
      <c r="C858" s="116">
        <v>958.72500000000002</v>
      </c>
      <c r="D858" s="116">
        <v>933.17499999999995</v>
      </c>
      <c r="E858" s="116">
        <v>945.32500000000005</v>
      </c>
      <c r="F858" s="116">
        <v>1917.45</v>
      </c>
      <c r="G858">
        <v>7118</v>
      </c>
      <c r="H858" s="116"/>
      <c r="I858" s="116"/>
      <c r="L858" s="170">
        <v>45803</v>
      </c>
      <c r="M858" s="116">
        <v>958.75</v>
      </c>
      <c r="N858" s="116">
        <v>961.5</v>
      </c>
      <c r="O858" s="116">
        <v>933.85</v>
      </c>
      <c r="P858" s="116">
        <v>948.5</v>
      </c>
      <c r="Q858" s="116">
        <v>1917.5</v>
      </c>
      <c r="R858">
        <v>90411</v>
      </c>
    </row>
    <row r="859" spans="1:18" x14ac:dyDescent="0.25">
      <c r="A859" s="170">
        <v>45804</v>
      </c>
      <c r="B859" s="116">
        <v>985</v>
      </c>
      <c r="C859" s="116">
        <v>968.85</v>
      </c>
      <c r="D859" s="116">
        <v>950.02499999999998</v>
      </c>
      <c r="E859" s="116">
        <v>950.02499999999998</v>
      </c>
      <c r="F859" s="116">
        <v>1937.7</v>
      </c>
      <c r="G859">
        <v>2342</v>
      </c>
      <c r="H859" s="116"/>
      <c r="I859" s="116"/>
      <c r="L859" s="170">
        <v>45804</v>
      </c>
      <c r="M859" s="116">
        <v>968.4</v>
      </c>
      <c r="N859" s="116">
        <v>985.9</v>
      </c>
      <c r="O859" s="116">
        <v>956.6</v>
      </c>
      <c r="P859" s="116">
        <v>962.4</v>
      </c>
      <c r="Q859" s="116">
        <v>1936.8</v>
      </c>
      <c r="R859">
        <v>86236</v>
      </c>
    </row>
    <row r="860" spans="1:18" x14ac:dyDescent="0.25">
      <c r="A860" s="170">
        <v>45805</v>
      </c>
      <c r="B860" s="116">
        <v>984</v>
      </c>
      <c r="C860" s="116">
        <v>947.125</v>
      </c>
      <c r="D860" s="116">
        <v>943.02499999999998</v>
      </c>
      <c r="E860" s="116">
        <v>980</v>
      </c>
      <c r="F860" s="116">
        <v>1894.25</v>
      </c>
      <c r="G860">
        <v>4572</v>
      </c>
      <c r="H860" s="116"/>
      <c r="I860" s="116"/>
      <c r="L860" s="170">
        <v>45805</v>
      </c>
      <c r="M860" s="116">
        <v>949.7</v>
      </c>
      <c r="N860" s="116">
        <v>986.95</v>
      </c>
      <c r="O860" s="116">
        <v>944</v>
      </c>
      <c r="P860" s="116">
        <v>975</v>
      </c>
      <c r="Q860" s="116">
        <v>1899.4</v>
      </c>
      <c r="R860">
        <v>71406</v>
      </c>
    </row>
    <row r="861" spans="1:18" x14ac:dyDescent="0.25">
      <c r="A861" s="170">
        <v>45806</v>
      </c>
      <c r="B861" s="116">
        <v>954</v>
      </c>
      <c r="C861" s="116">
        <v>938.3</v>
      </c>
      <c r="D861" s="116">
        <v>929.35</v>
      </c>
      <c r="E861" s="116">
        <v>943.02499999999998</v>
      </c>
      <c r="F861" s="116">
        <v>1876.6</v>
      </c>
      <c r="G861">
        <v>1761</v>
      </c>
      <c r="H861" s="116"/>
      <c r="I861" s="116"/>
      <c r="L861" s="170">
        <v>45806</v>
      </c>
      <c r="M861" s="116">
        <v>939.5</v>
      </c>
      <c r="N861" s="116">
        <v>956.15</v>
      </c>
      <c r="O861" s="116">
        <v>930</v>
      </c>
      <c r="P861" s="116">
        <v>954.15</v>
      </c>
      <c r="Q861" s="116">
        <v>1879</v>
      </c>
      <c r="R861">
        <v>135217</v>
      </c>
    </row>
    <row r="862" spans="1:18" x14ac:dyDescent="0.25">
      <c r="A862" s="170">
        <v>45807</v>
      </c>
      <c r="B862" s="116">
        <v>954</v>
      </c>
      <c r="C862" s="116">
        <v>937.125</v>
      </c>
      <c r="D862" s="116">
        <v>930.5</v>
      </c>
      <c r="E862" s="116">
        <v>940.27499999999998</v>
      </c>
      <c r="F862" s="116">
        <v>1874.25</v>
      </c>
      <c r="G862">
        <v>1009</v>
      </c>
      <c r="H862" s="116"/>
      <c r="I862" s="116"/>
      <c r="L862" s="170">
        <v>45807</v>
      </c>
      <c r="M862" s="116">
        <v>938.25</v>
      </c>
      <c r="N862" s="116">
        <v>955.5</v>
      </c>
      <c r="O862" s="116">
        <v>929.9</v>
      </c>
      <c r="P862" s="116">
        <v>937.5</v>
      </c>
      <c r="Q862" s="116">
        <v>1876.5</v>
      </c>
      <c r="R862">
        <v>150520</v>
      </c>
    </row>
    <row r="863" spans="1:18" x14ac:dyDescent="0.25">
      <c r="A863" s="170">
        <v>45810</v>
      </c>
      <c r="B863" s="116">
        <v>994.8</v>
      </c>
      <c r="C863" s="116">
        <v>984.67499999999995</v>
      </c>
      <c r="D863" s="116">
        <v>930.02499999999998</v>
      </c>
      <c r="E863" s="116">
        <v>930.02499999999998</v>
      </c>
      <c r="F863" s="116">
        <v>1969.35</v>
      </c>
      <c r="G863">
        <v>19237</v>
      </c>
      <c r="H863" s="116"/>
      <c r="I863" s="116"/>
      <c r="L863" s="170">
        <v>45810</v>
      </c>
      <c r="M863" s="116">
        <v>984.2</v>
      </c>
      <c r="N863" s="116">
        <v>995.3</v>
      </c>
      <c r="O863" s="116">
        <v>947.65</v>
      </c>
      <c r="P863" s="116">
        <v>947.65</v>
      </c>
      <c r="Q863" s="116">
        <v>1968.4</v>
      </c>
      <c r="R863">
        <v>533317</v>
      </c>
    </row>
    <row r="864" spans="1:18" x14ac:dyDescent="0.25">
      <c r="A864" s="170">
        <v>45811</v>
      </c>
      <c r="B864" s="116">
        <v>996</v>
      </c>
      <c r="C864" s="116">
        <v>981.2</v>
      </c>
      <c r="D864" s="116">
        <v>969.2</v>
      </c>
      <c r="E864" s="116">
        <v>984.57500000000005</v>
      </c>
      <c r="F864" s="116">
        <v>1962.4</v>
      </c>
      <c r="G864">
        <v>4373</v>
      </c>
      <c r="H864" s="116"/>
      <c r="I864" s="116"/>
      <c r="L864" s="170">
        <v>45811</v>
      </c>
      <c r="M864" s="116">
        <v>980.3</v>
      </c>
      <c r="N864" s="116">
        <v>996.5</v>
      </c>
      <c r="O864" s="116">
        <v>975</v>
      </c>
      <c r="P864" s="116">
        <v>994.2</v>
      </c>
      <c r="Q864" s="116">
        <v>1960.6</v>
      </c>
      <c r="R864">
        <v>80857</v>
      </c>
    </row>
    <row r="865" spans="1:18" x14ac:dyDescent="0.25">
      <c r="A865" s="170">
        <v>45812</v>
      </c>
      <c r="B865" s="116">
        <v>992.35</v>
      </c>
      <c r="C865" s="116">
        <v>983.57500000000005</v>
      </c>
      <c r="D865" s="116">
        <v>965</v>
      </c>
      <c r="E865" s="116">
        <v>977.5</v>
      </c>
      <c r="F865" s="116">
        <v>1967.15</v>
      </c>
      <c r="G865">
        <v>3311</v>
      </c>
      <c r="H865" s="116"/>
      <c r="I865" s="116"/>
      <c r="L865" s="170">
        <v>45812</v>
      </c>
      <c r="M865" s="116">
        <v>986.1</v>
      </c>
      <c r="N865" s="116">
        <v>992.5</v>
      </c>
      <c r="O865" s="116">
        <v>963.95</v>
      </c>
      <c r="P865" s="116">
        <v>985</v>
      </c>
      <c r="Q865" s="116">
        <v>1972.2</v>
      </c>
      <c r="R865">
        <v>40600</v>
      </c>
    </row>
    <row r="866" spans="1:18" x14ac:dyDescent="0.25">
      <c r="A866" s="170">
        <v>45813</v>
      </c>
      <c r="B866" s="116">
        <v>992.5</v>
      </c>
      <c r="C866" s="116">
        <v>986.92499999999995</v>
      </c>
      <c r="D866" s="116">
        <v>975</v>
      </c>
      <c r="E866" s="116">
        <v>975.02499999999998</v>
      </c>
      <c r="F866" s="116">
        <v>1973.85</v>
      </c>
      <c r="G866">
        <v>1073</v>
      </c>
      <c r="H866" s="116"/>
      <c r="I866" s="116"/>
      <c r="L866" s="170">
        <v>45813</v>
      </c>
      <c r="M866" s="116">
        <v>985.35</v>
      </c>
      <c r="N866" s="116">
        <v>995</v>
      </c>
      <c r="O866" s="116">
        <v>974.45</v>
      </c>
      <c r="P866" s="116">
        <v>994.5</v>
      </c>
      <c r="Q866" s="116">
        <v>1970.7</v>
      </c>
      <c r="R866">
        <v>44213</v>
      </c>
    </row>
    <row r="867" spans="1:18" x14ac:dyDescent="0.25">
      <c r="A867" s="170">
        <v>45814</v>
      </c>
      <c r="B867" s="116">
        <v>1002</v>
      </c>
      <c r="C867" s="116">
        <v>989.47500000000002</v>
      </c>
      <c r="D867" s="116">
        <v>982.95</v>
      </c>
      <c r="E867" s="116">
        <v>989.5</v>
      </c>
      <c r="F867" s="116">
        <v>1978.95</v>
      </c>
      <c r="G867">
        <v>6973</v>
      </c>
      <c r="H867" s="116"/>
      <c r="I867" s="116"/>
      <c r="L867" s="170">
        <v>45814</v>
      </c>
      <c r="M867" s="116">
        <v>989.1</v>
      </c>
      <c r="N867" s="116">
        <v>1002</v>
      </c>
      <c r="O867" s="116">
        <v>983.1</v>
      </c>
      <c r="P867" s="116">
        <v>990</v>
      </c>
      <c r="Q867" s="116">
        <v>1978.2</v>
      </c>
      <c r="R867">
        <v>67927</v>
      </c>
    </row>
    <row r="868" spans="1:18" x14ac:dyDescent="0.25">
      <c r="A868" s="170">
        <v>45817</v>
      </c>
      <c r="B868" s="116">
        <v>997.57500000000005</v>
      </c>
      <c r="C868" s="116">
        <v>992.1</v>
      </c>
      <c r="D868" s="116">
        <v>982.42499999999995</v>
      </c>
      <c r="E868" s="116">
        <v>988.02499999999998</v>
      </c>
      <c r="F868" s="116">
        <v>1984.2</v>
      </c>
      <c r="G868">
        <v>4101</v>
      </c>
      <c r="H868" s="116"/>
      <c r="I868" s="116"/>
      <c r="L868" s="170">
        <v>45817</v>
      </c>
      <c r="M868" s="116">
        <v>992.15</v>
      </c>
      <c r="N868" s="116">
        <v>997.5</v>
      </c>
      <c r="O868" s="116">
        <v>983.35</v>
      </c>
      <c r="P868" s="116">
        <v>993.9</v>
      </c>
      <c r="Q868" s="116">
        <v>1984.3</v>
      </c>
      <c r="R868">
        <v>52492</v>
      </c>
    </row>
    <row r="869" spans="1:18" x14ac:dyDescent="0.25">
      <c r="A869" s="170">
        <v>45818</v>
      </c>
      <c r="B869" s="116">
        <v>996</v>
      </c>
      <c r="C869" s="116">
        <v>993.02499999999998</v>
      </c>
      <c r="D869" s="116">
        <v>986.2</v>
      </c>
      <c r="E869" s="116">
        <v>987.52499999999998</v>
      </c>
      <c r="F869" s="116">
        <v>1986.05</v>
      </c>
      <c r="G869">
        <v>814</v>
      </c>
      <c r="H869" s="116"/>
      <c r="I869" s="116"/>
      <c r="L869" s="170">
        <v>45818</v>
      </c>
      <c r="M869" s="116">
        <v>993</v>
      </c>
      <c r="N869" s="116">
        <v>997.5</v>
      </c>
      <c r="O869" s="116">
        <v>985</v>
      </c>
      <c r="P869" s="116">
        <v>992.55</v>
      </c>
      <c r="Q869" s="116">
        <v>1986</v>
      </c>
      <c r="R869">
        <v>56241</v>
      </c>
    </row>
    <row r="870" spans="1:18" x14ac:dyDescent="0.25">
      <c r="A870" s="170">
        <v>45819</v>
      </c>
      <c r="B870" s="116">
        <v>1021.575</v>
      </c>
      <c r="C870" s="116">
        <v>1012.625</v>
      </c>
      <c r="D870" s="116">
        <v>986.97500000000002</v>
      </c>
      <c r="E870" s="116">
        <v>991.02499999999998</v>
      </c>
      <c r="F870" s="116">
        <v>2025.25</v>
      </c>
      <c r="G870">
        <v>10705</v>
      </c>
      <c r="H870" s="116"/>
      <c r="I870" s="116"/>
      <c r="L870" s="170">
        <v>45819</v>
      </c>
      <c r="M870" s="116">
        <v>1013.3</v>
      </c>
      <c r="N870" s="116">
        <v>1022.5</v>
      </c>
      <c r="O870" s="116">
        <v>987</v>
      </c>
      <c r="P870" s="116">
        <v>994.9</v>
      </c>
      <c r="Q870" s="116">
        <v>2026.6</v>
      </c>
      <c r="R870">
        <v>139045</v>
      </c>
    </row>
    <row r="871" spans="1:18" x14ac:dyDescent="0.25">
      <c r="A871" s="170">
        <v>45820</v>
      </c>
      <c r="B871" s="116">
        <v>1036.7</v>
      </c>
      <c r="C871" s="116">
        <v>1022.25</v>
      </c>
      <c r="D871" s="116">
        <v>1004.825</v>
      </c>
      <c r="E871" s="116">
        <v>1021.575</v>
      </c>
      <c r="F871" s="116">
        <v>2044.5</v>
      </c>
      <c r="G871">
        <v>3072</v>
      </c>
      <c r="H871" s="116"/>
      <c r="I871" s="116"/>
      <c r="L871" s="170">
        <v>45820</v>
      </c>
      <c r="M871" s="116">
        <v>1021.45</v>
      </c>
      <c r="N871" s="116">
        <v>1037.95</v>
      </c>
      <c r="O871" s="116">
        <v>1002.5</v>
      </c>
      <c r="P871" s="116">
        <v>1023.45</v>
      </c>
      <c r="Q871" s="116">
        <v>2042.9</v>
      </c>
      <c r="R871">
        <v>163095</v>
      </c>
    </row>
    <row r="872" spans="1:18" x14ac:dyDescent="0.25">
      <c r="A872" s="170">
        <v>45821</v>
      </c>
      <c r="B872" s="116">
        <v>1013.25</v>
      </c>
      <c r="C872" s="116">
        <v>1007.1</v>
      </c>
      <c r="D872" s="116">
        <v>975</v>
      </c>
      <c r="E872" s="116">
        <v>975</v>
      </c>
      <c r="F872" s="116">
        <v>2014.2</v>
      </c>
      <c r="G872">
        <v>11918</v>
      </c>
      <c r="H872" s="116"/>
      <c r="I872" s="116"/>
      <c r="L872" s="170">
        <v>45821</v>
      </c>
      <c r="M872" s="116">
        <v>1006.55</v>
      </c>
      <c r="N872" s="116">
        <v>1016.35</v>
      </c>
      <c r="O872" s="116">
        <v>989</v>
      </c>
      <c r="P872" s="116">
        <v>1016.35</v>
      </c>
      <c r="Q872" s="116">
        <v>2013.1</v>
      </c>
      <c r="R872">
        <v>89482</v>
      </c>
    </row>
    <row r="873" spans="1:18" x14ac:dyDescent="0.25">
      <c r="A873" s="170">
        <v>45824</v>
      </c>
      <c r="B873" s="116">
        <v>1075.5</v>
      </c>
      <c r="C873" s="116">
        <v>1052</v>
      </c>
      <c r="D873" s="116">
        <v>1005</v>
      </c>
      <c r="E873" s="116">
        <v>1005</v>
      </c>
      <c r="F873" s="116">
        <v>2104</v>
      </c>
      <c r="G873">
        <v>32700</v>
      </c>
      <c r="H873" s="116"/>
      <c r="I873" s="116"/>
      <c r="L873" s="170">
        <v>45824</v>
      </c>
      <c r="M873" s="116">
        <v>1052</v>
      </c>
      <c r="N873" s="116">
        <v>1076.5</v>
      </c>
      <c r="O873" s="116">
        <v>1006.05</v>
      </c>
      <c r="P873" s="116">
        <v>1011.8</v>
      </c>
      <c r="Q873" s="116">
        <v>2104</v>
      </c>
      <c r="R873">
        <v>710403</v>
      </c>
    </row>
    <row r="874" spans="1:18" x14ac:dyDescent="0.25">
      <c r="A874" s="170">
        <v>45825</v>
      </c>
      <c r="B874" s="116">
        <v>1055</v>
      </c>
      <c r="C874" s="116">
        <v>1042.05</v>
      </c>
      <c r="D874" s="116">
        <v>1036.0250000000001</v>
      </c>
      <c r="E874" s="116">
        <v>1040.5</v>
      </c>
      <c r="F874" s="116">
        <v>2084.1</v>
      </c>
      <c r="G874">
        <v>4899</v>
      </c>
      <c r="H874" s="116"/>
      <c r="I874" s="116"/>
      <c r="L874" s="170">
        <v>45825</v>
      </c>
      <c r="M874" s="116">
        <v>1043.45</v>
      </c>
      <c r="N874" s="116">
        <v>1055.75</v>
      </c>
      <c r="O874" s="116">
        <v>1036.3</v>
      </c>
      <c r="P874" s="116">
        <v>1050</v>
      </c>
      <c r="Q874" s="116">
        <v>2086.9</v>
      </c>
      <c r="R874">
        <v>73478</v>
      </c>
    </row>
    <row r="875" spans="1:18" x14ac:dyDescent="0.25">
      <c r="A875" s="170">
        <v>45826</v>
      </c>
      <c r="B875" s="116">
        <v>1065.45</v>
      </c>
      <c r="C875" s="116">
        <v>1040.9000000000001</v>
      </c>
      <c r="D875" s="116">
        <v>1025</v>
      </c>
      <c r="E875" s="116">
        <v>1025</v>
      </c>
      <c r="F875" s="116">
        <v>2081.8000000000002</v>
      </c>
      <c r="G875">
        <v>2029</v>
      </c>
      <c r="H875" s="116"/>
      <c r="I875" s="116"/>
      <c r="L875" s="170">
        <v>45826</v>
      </c>
      <c r="M875" s="116">
        <v>1039.4000000000001</v>
      </c>
      <c r="N875" s="116">
        <v>1048.5</v>
      </c>
      <c r="O875" s="116">
        <v>1025.5</v>
      </c>
      <c r="P875" s="116">
        <v>1043.45</v>
      </c>
      <c r="Q875" s="116">
        <v>2078.8000000000002</v>
      </c>
      <c r="R875">
        <v>52259</v>
      </c>
    </row>
    <row r="876" spans="1:18" x14ac:dyDescent="0.25">
      <c r="A876" s="170">
        <v>45827</v>
      </c>
      <c r="B876" s="116">
        <v>1064.1500000000001</v>
      </c>
      <c r="C876" s="116">
        <v>1022.5</v>
      </c>
      <c r="D876" s="116">
        <v>1013.95</v>
      </c>
      <c r="E876" s="116">
        <v>1064.1500000000001</v>
      </c>
      <c r="F876" s="116">
        <v>2045</v>
      </c>
      <c r="G876">
        <v>206064</v>
      </c>
      <c r="H876" s="116"/>
      <c r="I876" s="116"/>
      <c r="L876" s="170">
        <v>45827</v>
      </c>
      <c r="M876" s="116">
        <v>1024.05</v>
      </c>
      <c r="N876" s="116">
        <v>1060</v>
      </c>
      <c r="O876" s="116">
        <v>1008.75</v>
      </c>
      <c r="P876" s="116">
        <v>1039.4000000000001</v>
      </c>
      <c r="Q876" s="116">
        <v>2048.1</v>
      </c>
      <c r="R876">
        <v>485137</v>
      </c>
    </row>
    <row r="877" spans="1:18" x14ac:dyDescent="0.25">
      <c r="A877" s="170">
        <v>45828</v>
      </c>
      <c r="B877" s="116">
        <v>1047.2249999999999</v>
      </c>
      <c r="C877" s="116">
        <v>1033.7750000000001</v>
      </c>
      <c r="D877" s="116">
        <v>1019.1</v>
      </c>
      <c r="E877" s="116">
        <v>1024.25</v>
      </c>
      <c r="F877" s="116">
        <v>2067.5500000000002</v>
      </c>
      <c r="G877">
        <v>5339</v>
      </c>
      <c r="H877" s="116"/>
      <c r="I877" s="116"/>
      <c r="L877" s="170">
        <v>45828</v>
      </c>
      <c r="M877" s="116">
        <v>1033.3</v>
      </c>
      <c r="N877" s="116">
        <v>1049</v>
      </c>
      <c r="O877" s="116">
        <v>1017.25</v>
      </c>
      <c r="P877" s="116">
        <v>1023.5</v>
      </c>
      <c r="Q877" s="116">
        <v>2066.6</v>
      </c>
      <c r="R877">
        <v>83308</v>
      </c>
    </row>
    <row r="878" spans="1:18" x14ac:dyDescent="0.25">
      <c r="A878" s="170">
        <v>45831</v>
      </c>
      <c r="B878" s="116">
        <v>1056</v>
      </c>
      <c r="C878" s="116">
        <v>1048.05</v>
      </c>
      <c r="D878" s="116">
        <v>1019.225</v>
      </c>
      <c r="E878" s="116">
        <v>1019.225</v>
      </c>
      <c r="F878" s="116">
        <v>2096.1</v>
      </c>
      <c r="G878">
        <v>9182</v>
      </c>
      <c r="H878" s="116"/>
      <c r="I878" s="116"/>
      <c r="L878" s="170">
        <v>45831</v>
      </c>
      <c r="M878" s="116">
        <v>1046.4000000000001</v>
      </c>
      <c r="N878" s="116">
        <v>1056.45</v>
      </c>
      <c r="O878" s="116">
        <v>1017.6</v>
      </c>
      <c r="P878" s="116">
        <v>1025</v>
      </c>
      <c r="Q878" s="116">
        <v>2092.8000000000002</v>
      </c>
      <c r="R878">
        <v>86328</v>
      </c>
    </row>
    <row r="879" spans="1:18" x14ac:dyDescent="0.25">
      <c r="A879" s="170">
        <v>45832</v>
      </c>
      <c r="B879" s="116">
        <v>1065.375</v>
      </c>
      <c r="C879" s="116">
        <v>1040.375</v>
      </c>
      <c r="D879" s="116">
        <v>1034.4749999999999</v>
      </c>
      <c r="E879" s="116">
        <v>1054</v>
      </c>
      <c r="F879" s="116">
        <v>2080.75</v>
      </c>
      <c r="G879">
        <v>4230</v>
      </c>
      <c r="H879" s="116"/>
      <c r="I879" s="116"/>
      <c r="L879" s="170">
        <v>45832</v>
      </c>
      <c r="M879" s="116">
        <v>1040.8</v>
      </c>
      <c r="N879" s="116">
        <v>1067</v>
      </c>
      <c r="O879" s="116">
        <v>1034.05</v>
      </c>
      <c r="P879" s="116">
        <v>1067</v>
      </c>
      <c r="Q879" s="116">
        <v>2081.6</v>
      </c>
      <c r="R879">
        <v>52424</v>
      </c>
    </row>
    <row r="880" spans="1:18" x14ac:dyDescent="0.25">
      <c r="A880" s="170">
        <v>45833</v>
      </c>
      <c r="B880" s="116">
        <v>1044.6500000000001</v>
      </c>
      <c r="C880" s="116">
        <v>1034.875</v>
      </c>
      <c r="D880" s="116">
        <v>1025.375</v>
      </c>
      <c r="E880" s="116">
        <v>1035.4000000000001</v>
      </c>
      <c r="F880" s="116">
        <v>2069.75</v>
      </c>
      <c r="G880">
        <v>2496</v>
      </c>
      <c r="H880" s="116"/>
      <c r="I880" s="116"/>
      <c r="L880" s="170">
        <v>45833</v>
      </c>
      <c r="M880" s="116">
        <v>1034.8</v>
      </c>
      <c r="N880" s="116">
        <v>1046.25</v>
      </c>
      <c r="O880" s="116">
        <v>1025.5</v>
      </c>
      <c r="P880" s="116">
        <v>1046</v>
      </c>
      <c r="Q880" s="116">
        <v>2069.6</v>
      </c>
      <c r="R880">
        <v>49102</v>
      </c>
    </row>
    <row r="881" spans="1:18" x14ac:dyDescent="0.25">
      <c r="A881" s="170">
        <v>45834</v>
      </c>
      <c r="B881" s="116">
        <v>1044.8</v>
      </c>
      <c r="C881" s="116">
        <v>1036.825</v>
      </c>
      <c r="D881" s="116">
        <v>1027.5999999999999</v>
      </c>
      <c r="E881" s="116">
        <v>1044.8</v>
      </c>
      <c r="F881" s="116">
        <v>2073.65</v>
      </c>
      <c r="G881">
        <v>2586</v>
      </c>
      <c r="H881" s="116"/>
      <c r="I881" s="116"/>
      <c r="L881" s="170">
        <v>45834</v>
      </c>
      <c r="M881" s="116">
        <v>1036.3499999999999</v>
      </c>
      <c r="N881" s="116">
        <v>1048.5</v>
      </c>
      <c r="O881" s="116">
        <v>1027</v>
      </c>
      <c r="P881" s="116">
        <v>1047.45</v>
      </c>
      <c r="Q881" s="116">
        <v>2072.6999999999998</v>
      </c>
      <c r="R881">
        <v>46773</v>
      </c>
    </row>
    <row r="882" spans="1:18" x14ac:dyDescent="0.25">
      <c r="A882" s="170">
        <v>45835</v>
      </c>
      <c r="B882" s="116">
        <v>1068.7249999999999</v>
      </c>
      <c r="C882" s="116">
        <v>1036.5</v>
      </c>
      <c r="D882" s="116">
        <v>1011.65</v>
      </c>
      <c r="E882" s="116">
        <v>1036.0250000000001</v>
      </c>
      <c r="F882" s="116">
        <v>2073</v>
      </c>
      <c r="G882">
        <v>28064</v>
      </c>
      <c r="H882" s="116"/>
      <c r="I882" s="116"/>
      <c r="L882" s="170">
        <v>45835</v>
      </c>
      <c r="M882" s="116">
        <v>1038.0999999999999</v>
      </c>
      <c r="N882" s="116">
        <v>1069.8</v>
      </c>
      <c r="O882" s="116">
        <v>1010</v>
      </c>
      <c r="P882" s="116">
        <v>1041.8</v>
      </c>
      <c r="Q882" s="116">
        <v>2076.1999999999998</v>
      </c>
      <c r="R882">
        <v>655422</v>
      </c>
    </row>
    <row r="883" spans="1:18" x14ac:dyDescent="0.25">
      <c r="A883" s="170">
        <v>45838</v>
      </c>
      <c r="B883" s="116">
        <v>1094.5999999999999</v>
      </c>
      <c r="C883" s="116">
        <v>1080.55</v>
      </c>
      <c r="D883" s="116">
        <v>1036.5</v>
      </c>
      <c r="E883" s="116">
        <v>1041.675</v>
      </c>
      <c r="F883" s="116">
        <v>2161.1</v>
      </c>
      <c r="G883">
        <v>9024</v>
      </c>
      <c r="H883" s="116"/>
      <c r="I883" s="116"/>
      <c r="L883" s="170">
        <v>45838</v>
      </c>
      <c r="M883" s="116">
        <v>1079.8499999999999</v>
      </c>
      <c r="N883" s="116">
        <v>1092.5</v>
      </c>
      <c r="O883" s="116">
        <v>1035.1500000000001</v>
      </c>
      <c r="P883" s="116">
        <v>1038.0999999999999</v>
      </c>
      <c r="Q883" s="116">
        <v>2159.6999999999998</v>
      </c>
      <c r="R883">
        <v>348609</v>
      </c>
    </row>
    <row r="884" spans="1:18" x14ac:dyDescent="0.25">
      <c r="A884" s="170">
        <v>45839</v>
      </c>
      <c r="B884" s="116">
        <v>1085.2249999999999</v>
      </c>
      <c r="C884" s="116">
        <v>1052.75</v>
      </c>
      <c r="D884" s="116">
        <v>1032.5999999999999</v>
      </c>
      <c r="E884" s="116">
        <v>1032.5999999999999</v>
      </c>
      <c r="F884" s="116">
        <v>2105.5</v>
      </c>
      <c r="G884">
        <v>11057</v>
      </c>
      <c r="H884" s="116"/>
      <c r="I884" s="116"/>
      <c r="L884" s="170">
        <v>45839</v>
      </c>
      <c r="M884" s="116">
        <v>1054.3</v>
      </c>
      <c r="N884" s="116">
        <v>1087.5</v>
      </c>
      <c r="O884" s="116">
        <v>1043.75</v>
      </c>
      <c r="P884" s="116">
        <v>1085</v>
      </c>
      <c r="Q884" s="116">
        <v>2108.6</v>
      </c>
      <c r="R884">
        <v>191721</v>
      </c>
    </row>
    <row r="885" spans="1:18" x14ac:dyDescent="0.25">
      <c r="A885" s="170">
        <v>45840</v>
      </c>
      <c r="B885" s="116">
        <v>1055</v>
      </c>
      <c r="C885" s="116">
        <v>1050.4000000000001</v>
      </c>
      <c r="D885" s="116">
        <v>1017.025</v>
      </c>
      <c r="E885" s="116">
        <v>1051.2249999999999</v>
      </c>
      <c r="F885" s="116">
        <v>2100.8000000000002</v>
      </c>
      <c r="G885">
        <v>2460</v>
      </c>
      <c r="H885" s="116"/>
      <c r="I885" s="116"/>
      <c r="L885" s="170">
        <v>45840</v>
      </c>
      <c r="M885" s="116">
        <v>1050.5999999999999</v>
      </c>
      <c r="N885" s="116">
        <v>1056.25</v>
      </c>
      <c r="O885" s="116">
        <v>1017.05</v>
      </c>
      <c r="P885" s="116">
        <v>1045</v>
      </c>
      <c r="Q885" s="116">
        <v>2101.1999999999998</v>
      </c>
      <c r="R885">
        <v>101335</v>
      </c>
    </row>
    <row r="886" spans="1:18" x14ac:dyDescent="0.25">
      <c r="A886" s="170">
        <v>45841</v>
      </c>
      <c r="B886" s="116">
        <v>1057.5</v>
      </c>
      <c r="C886" s="116">
        <v>1050.0250000000001</v>
      </c>
      <c r="D886" s="116">
        <v>1040.7249999999999</v>
      </c>
      <c r="E886" s="116">
        <v>1044.425</v>
      </c>
      <c r="F886" s="116">
        <v>2100.0500000000002</v>
      </c>
      <c r="G886">
        <v>2280</v>
      </c>
      <c r="H886" s="116"/>
      <c r="I886" s="116"/>
      <c r="L886" s="170">
        <v>45841</v>
      </c>
      <c r="M886" s="116">
        <v>1050.75</v>
      </c>
      <c r="N886" s="116">
        <v>1056.45</v>
      </c>
      <c r="O886" s="116">
        <v>1040.05</v>
      </c>
      <c r="P886" s="116">
        <v>1050.5999999999999</v>
      </c>
      <c r="Q886" s="116">
        <v>2101.5</v>
      </c>
      <c r="R886">
        <v>62227</v>
      </c>
    </row>
    <row r="887" spans="1:18" x14ac:dyDescent="0.25">
      <c r="A887" s="170">
        <v>45842</v>
      </c>
      <c r="B887" s="116">
        <v>1065.2750000000001</v>
      </c>
      <c r="C887" s="116">
        <v>1053.05</v>
      </c>
      <c r="D887" s="116">
        <v>1047.8</v>
      </c>
      <c r="E887" s="116">
        <v>1060.3</v>
      </c>
      <c r="F887" s="116">
        <v>2106.1</v>
      </c>
      <c r="G887">
        <v>3197</v>
      </c>
      <c r="H887" s="116"/>
      <c r="I887" s="116"/>
      <c r="L887" s="170">
        <v>45842</v>
      </c>
      <c r="M887" s="116">
        <v>1054.1500000000001</v>
      </c>
      <c r="N887" s="116">
        <v>1064.7</v>
      </c>
      <c r="O887" s="116">
        <v>1046</v>
      </c>
      <c r="P887" s="116">
        <v>1055</v>
      </c>
      <c r="Q887" s="116">
        <v>2108.3000000000002</v>
      </c>
      <c r="R887">
        <v>73897</v>
      </c>
    </row>
    <row r="888" spans="1:18" x14ac:dyDescent="0.25">
      <c r="A888" s="170">
        <v>45845</v>
      </c>
      <c r="B888" s="116">
        <v>1063</v>
      </c>
      <c r="C888" s="116">
        <v>1050.95</v>
      </c>
      <c r="D888" s="116">
        <v>1042.95</v>
      </c>
      <c r="E888" s="116">
        <v>1050.4000000000001</v>
      </c>
      <c r="F888" s="116">
        <v>2101.9</v>
      </c>
      <c r="G888">
        <v>2012</v>
      </c>
      <c r="H888" s="116"/>
      <c r="I888" s="116"/>
      <c r="L888" s="170">
        <v>45845</v>
      </c>
      <c r="M888" s="116">
        <v>1051.0999999999999</v>
      </c>
      <c r="N888" s="116">
        <v>1062.95</v>
      </c>
      <c r="O888" s="116">
        <v>1041.8499999999999</v>
      </c>
      <c r="P888" s="116">
        <v>1051</v>
      </c>
      <c r="Q888" s="116">
        <v>2102.1999999999998</v>
      </c>
      <c r="R888">
        <v>45358</v>
      </c>
    </row>
    <row r="889" spans="1:18" x14ac:dyDescent="0.25">
      <c r="A889" s="170">
        <v>45846</v>
      </c>
      <c r="B889" s="116">
        <v>1058</v>
      </c>
      <c r="C889" s="116">
        <v>1041.1500000000001</v>
      </c>
      <c r="D889" s="116">
        <v>1031.9000000000001</v>
      </c>
      <c r="E889" s="116">
        <v>1049.5250000000001</v>
      </c>
      <c r="F889" s="116">
        <v>2082.3000000000002</v>
      </c>
      <c r="G889">
        <v>1729</v>
      </c>
      <c r="H889" s="116"/>
      <c r="I889" s="116"/>
      <c r="L889" s="170">
        <v>45846</v>
      </c>
      <c r="M889" s="116">
        <v>1040.9000000000001</v>
      </c>
      <c r="N889" s="116">
        <v>1059.0999999999999</v>
      </c>
      <c r="O889" s="116">
        <v>1031.45</v>
      </c>
      <c r="P889" s="116">
        <v>1055</v>
      </c>
      <c r="Q889" s="116">
        <v>2081.8000000000002</v>
      </c>
      <c r="R889">
        <v>50883</v>
      </c>
    </row>
    <row r="890" spans="1:18" x14ac:dyDescent="0.25">
      <c r="A890" s="170">
        <v>45847</v>
      </c>
      <c r="B890" s="116">
        <v>1055</v>
      </c>
      <c r="C890" s="116">
        <v>1050</v>
      </c>
      <c r="D890" s="116">
        <v>1038.7750000000001</v>
      </c>
      <c r="E890" s="116">
        <v>1043.8499999999999</v>
      </c>
      <c r="F890" s="116">
        <v>2100</v>
      </c>
      <c r="G890">
        <v>3196</v>
      </c>
      <c r="H890" s="116"/>
      <c r="I890" s="116"/>
      <c r="L890" s="170">
        <v>45847</v>
      </c>
      <c r="M890" s="116">
        <v>1050.3499999999999</v>
      </c>
      <c r="N890" s="116">
        <v>1055.2</v>
      </c>
      <c r="O890" s="116">
        <v>1036.45</v>
      </c>
      <c r="P890" s="116">
        <v>1036.45</v>
      </c>
      <c r="Q890" s="116">
        <v>2100.6999999999998</v>
      </c>
      <c r="R890">
        <v>76988</v>
      </c>
    </row>
    <row r="891" spans="1:18" x14ac:dyDescent="0.25">
      <c r="A891" s="170">
        <v>45848</v>
      </c>
      <c r="B891" s="116">
        <v>1068.5250000000001</v>
      </c>
      <c r="C891" s="116">
        <v>1060.95</v>
      </c>
      <c r="D891" s="116">
        <v>1050</v>
      </c>
      <c r="E891" s="116">
        <v>1050.0250000000001</v>
      </c>
      <c r="F891" s="116">
        <v>2121.9</v>
      </c>
      <c r="G891">
        <v>2770</v>
      </c>
      <c r="H891" s="116"/>
      <c r="I891" s="116"/>
      <c r="L891" s="170">
        <v>45848</v>
      </c>
      <c r="M891" s="116">
        <v>1059.95</v>
      </c>
      <c r="N891" s="116">
        <v>1070</v>
      </c>
      <c r="O891" s="116">
        <v>1054.4000000000001</v>
      </c>
      <c r="P891" s="116">
        <v>1059</v>
      </c>
      <c r="Q891" s="116">
        <v>2119.9</v>
      </c>
      <c r="R891">
        <v>86029</v>
      </c>
    </row>
    <row r="892" spans="1:18" x14ac:dyDescent="0.25">
      <c r="A892" s="170">
        <v>45849</v>
      </c>
      <c r="B892" s="116">
        <v>1125</v>
      </c>
      <c r="C892" s="116">
        <v>1105.7249999999999</v>
      </c>
      <c r="D892" s="116">
        <v>1094.5999999999999</v>
      </c>
      <c r="E892" s="116">
        <v>1099.7750000000001</v>
      </c>
      <c r="F892" s="116">
        <v>2211.4499999999998</v>
      </c>
      <c r="G892">
        <v>95754</v>
      </c>
      <c r="H892" s="116"/>
      <c r="I892" s="116"/>
      <c r="L892" s="170">
        <v>45849</v>
      </c>
      <c r="M892" s="116">
        <v>1105.8499999999999</v>
      </c>
      <c r="N892" s="116">
        <v>1125</v>
      </c>
      <c r="O892" s="116">
        <v>1092.5</v>
      </c>
      <c r="P892" s="116">
        <v>1094</v>
      </c>
      <c r="Q892" s="116">
        <v>2211.6999999999998</v>
      </c>
      <c r="R892">
        <v>1709770</v>
      </c>
    </row>
    <row r="893" spans="1:18" x14ac:dyDescent="0.25">
      <c r="A893" s="170">
        <v>45852</v>
      </c>
      <c r="B893" s="116">
        <v>1299.0999999999999</v>
      </c>
      <c r="C893" s="116">
        <v>1273.175</v>
      </c>
      <c r="D893" s="116">
        <v>1110.625</v>
      </c>
      <c r="E893" s="116">
        <v>1116.2750000000001</v>
      </c>
      <c r="F893" s="116">
        <v>2546.35</v>
      </c>
      <c r="G893">
        <v>155643</v>
      </c>
      <c r="H893" s="116"/>
      <c r="I893" s="116"/>
      <c r="L893" s="170">
        <v>45852</v>
      </c>
      <c r="M893" s="116">
        <v>1270.0999999999999</v>
      </c>
      <c r="N893" s="116">
        <v>1298.4000000000001</v>
      </c>
      <c r="O893" s="116">
        <v>1108.1500000000001</v>
      </c>
      <c r="P893" s="116">
        <v>1114.5</v>
      </c>
      <c r="Q893" s="116">
        <v>2540.1999999999998</v>
      </c>
      <c r="R893">
        <v>4087689</v>
      </c>
    </row>
    <row r="894" spans="1:18" x14ac:dyDescent="0.25">
      <c r="A894" s="170">
        <v>45853</v>
      </c>
      <c r="B894" s="116">
        <v>1268.8499999999999</v>
      </c>
      <c r="C894" s="116">
        <v>1227.3</v>
      </c>
      <c r="D894" s="116">
        <v>1217.45</v>
      </c>
      <c r="E894" s="116">
        <v>1254.9749999999999</v>
      </c>
      <c r="F894" s="116">
        <v>2454.6</v>
      </c>
      <c r="G894">
        <v>48619</v>
      </c>
      <c r="H894" s="116"/>
      <c r="I894" s="116"/>
      <c r="L894" s="170">
        <v>45853</v>
      </c>
      <c r="M894" s="116">
        <v>1228.2</v>
      </c>
      <c r="N894" s="116">
        <v>1269.95</v>
      </c>
      <c r="O894" s="116">
        <v>1215</v>
      </c>
      <c r="P894" s="116">
        <v>1250</v>
      </c>
      <c r="Q894" s="116">
        <v>2456.4</v>
      </c>
      <c r="R894">
        <v>735560</v>
      </c>
    </row>
    <row r="895" spans="1:18" x14ac:dyDescent="0.25">
      <c r="A895" s="170">
        <v>45854</v>
      </c>
      <c r="B895" s="116">
        <v>1266.425</v>
      </c>
      <c r="C895" s="116">
        <v>1252.5</v>
      </c>
      <c r="D895" s="116">
        <v>1228.3499999999999</v>
      </c>
      <c r="E895" s="116">
        <v>1239.2</v>
      </c>
      <c r="F895" s="116">
        <v>2505</v>
      </c>
      <c r="G895">
        <v>34858</v>
      </c>
      <c r="H895" s="116"/>
      <c r="I895" s="116"/>
      <c r="L895" s="170">
        <v>45854</v>
      </c>
      <c r="M895" s="116">
        <v>1252.25</v>
      </c>
      <c r="N895" s="116">
        <v>1267.5</v>
      </c>
      <c r="O895" s="116">
        <v>1225.5</v>
      </c>
      <c r="P895" s="116">
        <v>1235</v>
      </c>
      <c r="Q895" s="116">
        <v>2504.5</v>
      </c>
      <c r="R895">
        <v>571263</v>
      </c>
    </row>
    <row r="896" spans="1:18" x14ac:dyDescent="0.25">
      <c r="A896" s="170">
        <v>45855</v>
      </c>
      <c r="B896" s="116">
        <v>1314.7249999999999</v>
      </c>
      <c r="C896" s="116">
        <v>1294.0250000000001</v>
      </c>
      <c r="D896" s="116">
        <v>1251</v>
      </c>
      <c r="E896" s="116">
        <v>1252.0999999999999</v>
      </c>
      <c r="F896" s="116">
        <v>2588.0500000000002</v>
      </c>
      <c r="G896">
        <v>57159</v>
      </c>
      <c r="H896" s="116"/>
      <c r="I896" s="116"/>
      <c r="L896" s="170">
        <v>45855</v>
      </c>
      <c r="M896" s="116">
        <v>1293.25</v>
      </c>
      <c r="N896" s="116">
        <v>1309</v>
      </c>
      <c r="O896" s="116">
        <v>1253.3</v>
      </c>
      <c r="P896" s="116">
        <v>1253.9000000000001</v>
      </c>
      <c r="Q896" s="116">
        <v>2586.5</v>
      </c>
      <c r="R896">
        <v>830515</v>
      </c>
    </row>
    <row r="897" spans="1:18" x14ac:dyDescent="0.25">
      <c r="A897" s="170">
        <v>45856</v>
      </c>
      <c r="B897" s="116">
        <v>1346</v>
      </c>
      <c r="C897" s="116">
        <v>1309.075</v>
      </c>
      <c r="D897" s="116">
        <v>1287.05</v>
      </c>
      <c r="E897" s="116">
        <v>1293</v>
      </c>
      <c r="F897" s="116">
        <v>2618.15</v>
      </c>
      <c r="G897">
        <v>54997</v>
      </c>
      <c r="H897" s="116"/>
      <c r="I897" s="116"/>
      <c r="L897" s="170">
        <v>45856</v>
      </c>
      <c r="M897" s="116">
        <v>1310.5999999999999</v>
      </c>
      <c r="N897" s="116">
        <v>1345</v>
      </c>
      <c r="O897" s="116">
        <v>1285</v>
      </c>
      <c r="P897" s="116">
        <v>1295</v>
      </c>
      <c r="Q897" s="116">
        <v>2621.1999999999998</v>
      </c>
      <c r="R897">
        <v>804180</v>
      </c>
    </row>
    <row r="898" spans="1:18" x14ac:dyDescent="0.25">
      <c r="A898" s="170">
        <v>45859</v>
      </c>
      <c r="B898" s="116">
        <v>1322.15</v>
      </c>
      <c r="C898" s="116">
        <v>1309.95</v>
      </c>
      <c r="D898" s="116">
        <v>1282.25</v>
      </c>
      <c r="E898" s="116">
        <v>1322.15</v>
      </c>
      <c r="F898" s="116">
        <v>2619.9</v>
      </c>
      <c r="G898">
        <v>9992</v>
      </c>
      <c r="H898" s="116"/>
      <c r="I898" s="116"/>
      <c r="L898" s="170">
        <v>45859</v>
      </c>
      <c r="M898" s="116">
        <v>1312</v>
      </c>
      <c r="N898" s="116">
        <v>1321.5</v>
      </c>
      <c r="O898" s="116">
        <v>1281.1500000000001</v>
      </c>
      <c r="P898" s="116">
        <v>1313</v>
      </c>
      <c r="Q898" s="116">
        <v>2624</v>
      </c>
      <c r="R898">
        <v>205075</v>
      </c>
    </row>
    <row r="899" spans="1:18" x14ac:dyDescent="0.25">
      <c r="A899" s="170">
        <v>45860</v>
      </c>
      <c r="B899" s="116">
        <v>1343.15</v>
      </c>
      <c r="C899" s="116">
        <v>1321.675</v>
      </c>
      <c r="D899" s="116">
        <v>1295.7750000000001</v>
      </c>
      <c r="E899" s="116">
        <v>1295.7750000000001</v>
      </c>
      <c r="F899" s="116">
        <v>2643.35</v>
      </c>
      <c r="G899">
        <v>8949</v>
      </c>
      <c r="H899" s="116"/>
      <c r="I899" s="116"/>
      <c r="L899" s="170">
        <v>45860</v>
      </c>
      <c r="M899" s="116">
        <v>1322.7</v>
      </c>
      <c r="N899" s="116">
        <v>1342.25</v>
      </c>
      <c r="O899" s="116">
        <v>1311.1</v>
      </c>
      <c r="P899" s="116">
        <v>1315</v>
      </c>
      <c r="Q899" s="116">
        <v>2645.4</v>
      </c>
      <c r="R899">
        <v>282103</v>
      </c>
    </row>
    <row r="900" spans="1:18" x14ac:dyDescent="0.25">
      <c r="A900" s="170">
        <v>45861</v>
      </c>
      <c r="B900" s="116">
        <v>1347.7</v>
      </c>
      <c r="C900" s="116">
        <v>1342.3</v>
      </c>
      <c r="D900" s="116">
        <v>1308</v>
      </c>
      <c r="E900" s="116">
        <v>1347.675</v>
      </c>
      <c r="F900" s="116">
        <v>2684.6</v>
      </c>
      <c r="G900">
        <v>5670</v>
      </c>
      <c r="H900" s="116"/>
      <c r="I900" s="116"/>
      <c r="L900" s="170">
        <v>45861</v>
      </c>
      <c r="M900" s="116">
        <v>1343.25</v>
      </c>
      <c r="N900" s="116">
        <v>1349.1</v>
      </c>
      <c r="O900" s="116">
        <v>1308.3</v>
      </c>
      <c r="P900" s="116">
        <v>1325</v>
      </c>
      <c r="Q900" s="116">
        <v>2686.5</v>
      </c>
      <c r="R900">
        <v>234266</v>
      </c>
    </row>
    <row r="901" spans="1:18" x14ac:dyDescent="0.25">
      <c r="A901" s="170">
        <v>45862</v>
      </c>
      <c r="B901" s="116">
        <v>1349.9749999999999</v>
      </c>
      <c r="C901" s="116">
        <v>1314.85</v>
      </c>
      <c r="D901" s="116">
        <v>1296.075</v>
      </c>
      <c r="E901" s="116">
        <v>1349.9749999999999</v>
      </c>
      <c r="F901" s="116">
        <v>2629.7</v>
      </c>
      <c r="G901">
        <v>6500</v>
      </c>
      <c r="H901" s="116"/>
      <c r="I901" s="116"/>
      <c r="L901" s="170">
        <v>45862</v>
      </c>
      <c r="M901" s="116">
        <v>1315.6</v>
      </c>
      <c r="N901" s="116">
        <v>1344.9</v>
      </c>
      <c r="O901" s="116">
        <v>1296.45</v>
      </c>
      <c r="P901" s="116">
        <v>1344.45</v>
      </c>
      <c r="Q901" s="116">
        <v>2631.2</v>
      </c>
      <c r="R901">
        <v>166197</v>
      </c>
    </row>
    <row r="902" spans="1:18" x14ac:dyDescent="0.25">
      <c r="A902" s="170">
        <v>45863</v>
      </c>
      <c r="B902" s="116">
        <v>1321.0250000000001</v>
      </c>
      <c r="C902" s="116">
        <v>1298.5250000000001</v>
      </c>
      <c r="D902" s="116">
        <v>1293.925</v>
      </c>
      <c r="E902" s="116">
        <v>1314.85</v>
      </c>
      <c r="F902" s="116">
        <v>2597.0500000000002</v>
      </c>
      <c r="G902">
        <v>4340</v>
      </c>
      <c r="H902" s="116"/>
      <c r="I902" s="116"/>
      <c r="L902" s="170">
        <v>45863</v>
      </c>
      <c r="M902" s="116">
        <v>1298.0999999999999</v>
      </c>
      <c r="N902" s="116">
        <v>1321.95</v>
      </c>
      <c r="O902" s="116">
        <v>1291.05</v>
      </c>
      <c r="P902" s="116">
        <v>1315</v>
      </c>
      <c r="Q902" s="116">
        <v>2596.1999999999998</v>
      </c>
      <c r="R902">
        <v>122309</v>
      </c>
    </row>
    <row r="903" spans="1:18" x14ac:dyDescent="0.25">
      <c r="A903" s="170">
        <v>45866</v>
      </c>
      <c r="B903" s="116">
        <v>1340.65</v>
      </c>
      <c r="C903" s="116">
        <v>1322.05</v>
      </c>
      <c r="D903" s="116">
        <v>1294.4749999999999</v>
      </c>
      <c r="E903" s="116">
        <v>1298.5250000000001</v>
      </c>
      <c r="F903" s="116">
        <v>2644.1</v>
      </c>
      <c r="G903">
        <v>18742</v>
      </c>
      <c r="H903" s="116"/>
      <c r="I903" s="116"/>
      <c r="L903" s="170">
        <v>45866</v>
      </c>
      <c r="M903" s="116">
        <v>1321.8</v>
      </c>
      <c r="N903" s="116">
        <v>1342</v>
      </c>
      <c r="O903" s="116">
        <v>1292.05</v>
      </c>
      <c r="P903" s="116">
        <v>1300</v>
      </c>
      <c r="Q903" s="116">
        <v>2643.6</v>
      </c>
      <c r="R903">
        <v>236175</v>
      </c>
    </row>
    <row r="904" spans="1:18" x14ac:dyDescent="0.25">
      <c r="A904" s="170">
        <v>45867</v>
      </c>
      <c r="B904" s="116">
        <v>1347.375</v>
      </c>
      <c r="C904" s="116">
        <v>1342.825</v>
      </c>
      <c r="D904" s="116">
        <v>1315</v>
      </c>
      <c r="E904" s="116">
        <v>1320</v>
      </c>
      <c r="F904" s="116">
        <v>2685.65</v>
      </c>
      <c r="G904">
        <v>10699</v>
      </c>
      <c r="H904" s="116"/>
      <c r="I904" s="116"/>
      <c r="L904" s="170">
        <v>45867</v>
      </c>
      <c r="M904" s="116">
        <v>1344.15</v>
      </c>
      <c r="N904" s="116">
        <v>1347.5</v>
      </c>
      <c r="O904" s="116">
        <v>1317.55</v>
      </c>
      <c r="P904" s="116">
        <v>1325</v>
      </c>
      <c r="Q904" s="116">
        <v>2688.3</v>
      </c>
      <c r="R904">
        <v>150556</v>
      </c>
    </row>
    <row r="905" spans="1:18" x14ac:dyDescent="0.25">
      <c r="A905" s="170">
        <v>45868</v>
      </c>
      <c r="B905" s="116">
        <v>1364.425</v>
      </c>
      <c r="C905" s="116">
        <v>1336.175</v>
      </c>
      <c r="D905" s="116">
        <v>1328.375</v>
      </c>
      <c r="E905" s="116">
        <v>1344.25</v>
      </c>
      <c r="F905" s="116">
        <v>2672.35</v>
      </c>
      <c r="G905">
        <v>5837</v>
      </c>
      <c r="H905" s="116"/>
      <c r="I905" s="116"/>
      <c r="L905" s="170">
        <v>45868</v>
      </c>
      <c r="M905" s="116">
        <v>1335.7</v>
      </c>
      <c r="N905" s="116">
        <v>1365</v>
      </c>
      <c r="O905" s="116">
        <v>1329.9</v>
      </c>
      <c r="P905" s="116">
        <v>1348</v>
      </c>
      <c r="Q905" s="116">
        <v>2671.4</v>
      </c>
      <c r="R905">
        <v>141168</v>
      </c>
    </row>
    <row r="906" spans="1:18" x14ac:dyDescent="0.25">
      <c r="A906" s="170">
        <v>45869</v>
      </c>
      <c r="B906" s="116">
        <v>1347.8</v>
      </c>
      <c r="C906" s="116">
        <v>1323.1</v>
      </c>
      <c r="D906" s="116">
        <v>1304.2</v>
      </c>
      <c r="E906" s="116">
        <v>1311.7750000000001</v>
      </c>
      <c r="F906" s="116">
        <v>2646.2</v>
      </c>
      <c r="G906">
        <v>12322</v>
      </c>
      <c r="H906" s="116"/>
      <c r="I906" s="116"/>
      <c r="L906" s="170">
        <v>45869</v>
      </c>
      <c r="M906" s="116">
        <v>1322.8</v>
      </c>
      <c r="N906" s="116">
        <v>1350</v>
      </c>
      <c r="O906" s="116">
        <v>1304.05</v>
      </c>
      <c r="P906" s="116">
        <v>1320</v>
      </c>
      <c r="Q906" s="116">
        <v>2645.6</v>
      </c>
      <c r="R906">
        <v>112764</v>
      </c>
    </row>
    <row r="907" spans="1:18" x14ac:dyDescent="0.25">
      <c r="A907" s="170">
        <v>45870</v>
      </c>
      <c r="B907" s="116">
        <v>1319.75</v>
      </c>
      <c r="C907" s="116">
        <v>1299</v>
      </c>
      <c r="D907" s="116">
        <v>1286.25</v>
      </c>
      <c r="E907" s="116">
        <v>1300.325</v>
      </c>
      <c r="F907" s="116">
        <v>2598</v>
      </c>
      <c r="G907">
        <v>9746</v>
      </c>
      <c r="H907" s="116"/>
      <c r="I907" s="116"/>
      <c r="L907" s="170">
        <v>45870</v>
      </c>
      <c r="M907" s="116">
        <v>1300.55</v>
      </c>
      <c r="N907" s="116">
        <v>1324.25</v>
      </c>
      <c r="O907" s="116">
        <v>1284.8499999999999</v>
      </c>
      <c r="P907" s="116">
        <v>1322.5</v>
      </c>
      <c r="Q907" s="116">
        <v>2601.1</v>
      </c>
      <c r="R907">
        <v>96658</v>
      </c>
    </row>
    <row r="908" spans="1:18" x14ac:dyDescent="0.25">
      <c r="A908" s="170">
        <v>45873</v>
      </c>
      <c r="B908" s="116">
        <v>1499.9</v>
      </c>
      <c r="C908" s="116">
        <v>1323.875</v>
      </c>
      <c r="D908" s="116">
        <v>1299</v>
      </c>
      <c r="E908" s="116">
        <v>1499.9</v>
      </c>
      <c r="F908" s="116">
        <v>2647.75</v>
      </c>
      <c r="G908">
        <v>4926</v>
      </c>
      <c r="H908" s="116"/>
      <c r="I908" s="116"/>
      <c r="L908" s="170">
        <v>45873</v>
      </c>
      <c r="M908" s="116">
        <v>1324.65</v>
      </c>
      <c r="N908" s="116">
        <v>1339.45</v>
      </c>
      <c r="O908" s="116">
        <v>1298.05</v>
      </c>
      <c r="P908" s="116">
        <v>1300</v>
      </c>
      <c r="Q908" s="116">
        <v>2649.3</v>
      </c>
      <c r="R908">
        <v>141592</v>
      </c>
    </row>
    <row r="909" spans="1:18" x14ac:dyDescent="0.25">
      <c r="A909" s="170">
        <v>45874</v>
      </c>
      <c r="B909" s="116">
        <v>1341.5250000000001</v>
      </c>
      <c r="C909" s="116">
        <v>1319.325</v>
      </c>
      <c r="D909" s="116">
        <v>1313.675</v>
      </c>
      <c r="E909" s="116">
        <v>1331.9749999999999</v>
      </c>
      <c r="F909" s="116">
        <v>2638.65</v>
      </c>
      <c r="G909">
        <v>1818</v>
      </c>
      <c r="H909" s="116"/>
      <c r="I909" s="116"/>
      <c r="L909" s="170">
        <v>45874</v>
      </c>
      <c r="M909" s="116">
        <v>1318.85</v>
      </c>
      <c r="N909" s="116">
        <v>1345</v>
      </c>
      <c r="O909" s="116">
        <v>1313.5</v>
      </c>
      <c r="P909" s="116">
        <v>1325</v>
      </c>
      <c r="Q909" s="116">
        <v>2637.7</v>
      </c>
      <c r="R909">
        <v>65961</v>
      </c>
    </row>
    <row r="910" spans="1:18" x14ac:dyDescent="0.25">
      <c r="A910" s="170">
        <v>45875</v>
      </c>
      <c r="B910" s="116">
        <v>1319.325</v>
      </c>
      <c r="C910" s="116">
        <v>1313.675</v>
      </c>
      <c r="D910" s="116">
        <v>1292.4000000000001</v>
      </c>
      <c r="E910" s="116">
        <v>1300.0250000000001</v>
      </c>
      <c r="F910" s="116">
        <v>2627.35</v>
      </c>
      <c r="G910">
        <v>7995</v>
      </c>
      <c r="H910" s="116"/>
      <c r="I910" s="116"/>
      <c r="L910" s="170">
        <v>45875</v>
      </c>
      <c r="M910" s="116">
        <v>1315.35</v>
      </c>
      <c r="N910" s="116">
        <v>1320</v>
      </c>
      <c r="O910" s="116">
        <v>1290.6500000000001</v>
      </c>
      <c r="P910" s="116">
        <v>1317.9</v>
      </c>
      <c r="Q910" s="116">
        <v>2630.7</v>
      </c>
      <c r="R910">
        <v>77132</v>
      </c>
    </row>
    <row r="911" spans="1:18" x14ac:dyDescent="0.25">
      <c r="A911" s="170">
        <v>45876</v>
      </c>
      <c r="B911" s="116">
        <v>1312.4749999999999</v>
      </c>
      <c r="C911" s="116">
        <v>1297.7</v>
      </c>
      <c r="D911" s="116">
        <v>1287.125</v>
      </c>
      <c r="E911" s="116">
        <v>1312.4749999999999</v>
      </c>
      <c r="F911" s="116">
        <v>2595.4</v>
      </c>
      <c r="G911">
        <v>2618</v>
      </c>
      <c r="H911" s="116"/>
      <c r="I911" s="116"/>
      <c r="L911" s="170">
        <v>45876</v>
      </c>
      <c r="M911" s="116">
        <v>1299.55</v>
      </c>
      <c r="N911" s="116">
        <v>1312.9</v>
      </c>
      <c r="O911" s="116">
        <v>1285.05</v>
      </c>
      <c r="P911" s="116">
        <v>1306.25</v>
      </c>
      <c r="Q911" s="116">
        <v>2599.1</v>
      </c>
      <c r="R911">
        <v>64998</v>
      </c>
    </row>
    <row r="912" spans="1:18" x14ac:dyDescent="0.25">
      <c r="A912" s="170">
        <v>45877</v>
      </c>
      <c r="B912" s="116">
        <v>1329.55</v>
      </c>
      <c r="C912" s="116">
        <v>1291.625</v>
      </c>
      <c r="D912" s="116">
        <v>1269.5</v>
      </c>
      <c r="E912" s="116">
        <v>1329.55</v>
      </c>
      <c r="F912" s="116">
        <v>2583.25</v>
      </c>
      <c r="G912">
        <v>5538</v>
      </c>
      <c r="H912" s="116"/>
      <c r="I912" s="116"/>
      <c r="L912" s="170">
        <v>45877</v>
      </c>
      <c r="M912" s="116">
        <v>1293.9000000000001</v>
      </c>
      <c r="N912" s="116">
        <v>1306</v>
      </c>
      <c r="O912" s="116">
        <v>1270</v>
      </c>
      <c r="P912" s="116">
        <v>1306</v>
      </c>
      <c r="Q912" s="116">
        <v>2587.8000000000002</v>
      </c>
      <c r="R912">
        <v>76076</v>
      </c>
    </row>
    <row r="913" spans="1:18" x14ac:dyDescent="0.25">
      <c r="A913" s="170">
        <v>45880</v>
      </c>
      <c r="B913" s="116">
        <v>1357.175</v>
      </c>
      <c r="C913" s="116">
        <v>1347.1</v>
      </c>
      <c r="D913" s="116">
        <v>1292.0250000000001</v>
      </c>
      <c r="E913" s="116">
        <v>1292.0250000000001</v>
      </c>
      <c r="F913" s="116">
        <v>2694.2</v>
      </c>
      <c r="G913">
        <v>11719</v>
      </c>
      <c r="H913" s="116"/>
      <c r="I913" s="116"/>
      <c r="L913" s="170">
        <v>45880</v>
      </c>
      <c r="M913" s="116">
        <v>1346.8</v>
      </c>
      <c r="N913" s="116">
        <v>1357.4</v>
      </c>
      <c r="O913" s="116">
        <v>1295.1500000000001</v>
      </c>
      <c r="P913" s="116">
        <v>1295.1500000000001</v>
      </c>
      <c r="Q913" s="116">
        <v>2693.6</v>
      </c>
      <c r="R913">
        <v>381750</v>
      </c>
    </row>
    <row r="914" spans="1:18" x14ac:dyDescent="0.25">
      <c r="A914" s="170">
        <v>45881</v>
      </c>
      <c r="B914" s="116">
        <v>1391.175</v>
      </c>
      <c r="C914" s="116">
        <v>1377.675</v>
      </c>
      <c r="D914" s="116">
        <v>1340.45</v>
      </c>
      <c r="E914" s="116">
        <v>1345</v>
      </c>
      <c r="F914" s="116">
        <v>2755.35</v>
      </c>
      <c r="G914">
        <v>20338</v>
      </c>
      <c r="H914" s="116"/>
      <c r="I914" s="116"/>
      <c r="L914" s="170">
        <v>45881</v>
      </c>
      <c r="M914" s="116">
        <v>1377.8</v>
      </c>
      <c r="N914" s="116">
        <v>1391.9</v>
      </c>
      <c r="O914" s="116">
        <v>1339.35</v>
      </c>
      <c r="P914" s="116">
        <v>1349.45</v>
      </c>
      <c r="Q914" s="116">
        <v>2755.6</v>
      </c>
      <c r="R914">
        <v>377517</v>
      </c>
    </row>
    <row r="915" spans="1:18" x14ac:dyDescent="0.25">
      <c r="A915" s="170">
        <v>45882</v>
      </c>
      <c r="B915" s="116">
        <v>1398.5</v>
      </c>
      <c r="C915" s="116">
        <v>1382.875</v>
      </c>
      <c r="D915" s="116">
        <v>1375.3</v>
      </c>
      <c r="E915" s="116">
        <v>1377.5</v>
      </c>
      <c r="F915" s="116">
        <v>2765.75</v>
      </c>
      <c r="G915">
        <v>5948</v>
      </c>
      <c r="H915" s="116"/>
      <c r="I915" s="116"/>
      <c r="L915" s="170">
        <v>45882</v>
      </c>
      <c r="M915" s="116">
        <v>1383.95</v>
      </c>
      <c r="N915" s="116">
        <v>1399</v>
      </c>
      <c r="O915" s="116">
        <v>1375.85</v>
      </c>
      <c r="P915" s="116">
        <v>1386.85</v>
      </c>
      <c r="Q915" s="116">
        <v>2767.9</v>
      </c>
      <c r="R915">
        <v>128976</v>
      </c>
    </row>
    <row r="916" spans="1:18" x14ac:dyDescent="0.25">
      <c r="A916" s="170">
        <v>45883</v>
      </c>
      <c r="B916" s="116">
        <v>1384.925</v>
      </c>
      <c r="C916" s="116">
        <v>1353.2750000000001</v>
      </c>
      <c r="D916" s="116">
        <v>1335.0250000000001</v>
      </c>
      <c r="E916" s="116">
        <v>1384.925</v>
      </c>
      <c r="F916" s="116">
        <v>2706.55</v>
      </c>
      <c r="G916">
        <v>7734</v>
      </c>
      <c r="H916" s="116"/>
      <c r="I916" s="116"/>
      <c r="L916" s="170">
        <v>45883</v>
      </c>
      <c r="M916" s="116">
        <v>1355.2</v>
      </c>
      <c r="N916" s="116">
        <v>1383.55</v>
      </c>
      <c r="O916" s="116">
        <v>1334.05</v>
      </c>
      <c r="P916" s="116">
        <v>1383.55</v>
      </c>
      <c r="Q916" s="116">
        <v>2710.4</v>
      </c>
      <c r="R916">
        <v>126292</v>
      </c>
    </row>
    <row r="917" spans="1:18" x14ac:dyDescent="0.25">
      <c r="A917" s="170">
        <v>45887</v>
      </c>
      <c r="B917" s="116">
        <v>1424</v>
      </c>
      <c r="C917" s="116">
        <v>1394.925</v>
      </c>
      <c r="D917" s="116">
        <v>1363.125</v>
      </c>
      <c r="E917" s="116">
        <v>1389.9749999999999</v>
      </c>
      <c r="F917" s="116">
        <v>2789.85</v>
      </c>
      <c r="G917">
        <v>10146</v>
      </c>
      <c r="H917" s="116"/>
      <c r="I917" s="116"/>
      <c r="L917" s="170">
        <v>45887</v>
      </c>
      <c r="M917" s="116">
        <v>1394.55</v>
      </c>
      <c r="N917" s="116">
        <v>1424.55</v>
      </c>
      <c r="O917" s="116">
        <v>1359</v>
      </c>
      <c r="P917" s="116">
        <v>1381.5</v>
      </c>
      <c r="Q917" s="116">
        <v>2789.1</v>
      </c>
      <c r="R917">
        <v>239516</v>
      </c>
    </row>
    <row r="918" spans="1:18" x14ac:dyDescent="0.25">
      <c r="A918" s="170">
        <v>45888</v>
      </c>
      <c r="B918" s="116">
        <v>1416.9749999999999</v>
      </c>
      <c r="C918" s="116">
        <v>1411.75</v>
      </c>
      <c r="D918" s="116">
        <v>1380</v>
      </c>
      <c r="E918" s="116">
        <v>1406.1</v>
      </c>
      <c r="F918" s="116">
        <v>2823.5</v>
      </c>
      <c r="G918">
        <v>8914</v>
      </c>
      <c r="H918" s="116"/>
      <c r="I918" s="116"/>
      <c r="L918" s="170">
        <v>45888</v>
      </c>
      <c r="M918" s="116">
        <v>1411.4</v>
      </c>
      <c r="N918" s="116">
        <v>1417.5</v>
      </c>
      <c r="O918" s="116">
        <v>1380</v>
      </c>
      <c r="P918" s="116">
        <v>1394.65</v>
      </c>
      <c r="Q918" s="116">
        <v>2822.8</v>
      </c>
      <c r="R918">
        <v>118977</v>
      </c>
    </row>
    <row r="919" spans="1:18" x14ac:dyDescent="0.25">
      <c r="A919" s="170">
        <v>45889</v>
      </c>
      <c r="B919" s="116">
        <v>1421.4749999999999</v>
      </c>
      <c r="C919" s="116">
        <v>1397.05</v>
      </c>
      <c r="D919" s="116">
        <v>1394</v>
      </c>
      <c r="E919" s="116">
        <v>1411.7249999999999</v>
      </c>
      <c r="F919" s="116">
        <v>2794.1</v>
      </c>
      <c r="G919">
        <v>9204</v>
      </c>
      <c r="H919" s="116"/>
      <c r="I919" s="116"/>
      <c r="L919" s="170">
        <v>45889</v>
      </c>
      <c r="M919" s="116">
        <v>1398.2</v>
      </c>
      <c r="N919" s="116">
        <v>1422</v>
      </c>
      <c r="O919" s="116">
        <v>1392.6</v>
      </c>
      <c r="P919" s="116">
        <v>1410.3</v>
      </c>
      <c r="Q919" s="116">
        <v>2796.4</v>
      </c>
      <c r="R919">
        <v>95152</v>
      </c>
    </row>
    <row r="920" spans="1:18" x14ac:dyDescent="0.25">
      <c r="A920" s="170">
        <v>45890</v>
      </c>
      <c r="B920" s="116">
        <v>1419.25</v>
      </c>
      <c r="C920" s="116">
        <v>1406.375</v>
      </c>
      <c r="D920" s="116">
        <v>1392.325</v>
      </c>
      <c r="E920" s="116">
        <v>1407.45</v>
      </c>
      <c r="F920" s="116">
        <v>2812.75</v>
      </c>
      <c r="G920">
        <v>3041</v>
      </c>
      <c r="H920" s="116"/>
      <c r="I920" s="116"/>
      <c r="L920" s="170">
        <v>45890</v>
      </c>
      <c r="M920" s="116">
        <v>1405.7</v>
      </c>
      <c r="N920" s="116">
        <v>1422</v>
      </c>
      <c r="O920" s="116">
        <v>1391.3</v>
      </c>
      <c r="P920" s="116">
        <v>1399.5</v>
      </c>
      <c r="Q920" s="116">
        <v>2811.4</v>
      </c>
      <c r="R920">
        <v>76558</v>
      </c>
    </row>
    <row r="921" spans="1:18" x14ac:dyDescent="0.25">
      <c r="A921" s="170">
        <v>45891</v>
      </c>
      <c r="B921" s="116">
        <v>1410</v>
      </c>
      <c r="C921" s="116">
        <v>1401.9749999999999</v>
      </c>
      <c r="D921" s="116">
        <v>1390.0250000000001</v>
      </c>
      <c r="E921" s="116">
        <v>1405.25</v>
      </c>
      <c r="F921" s="116">
        <v>2803.95</v>
      </c>
      <c r="G921">
        <v>7722</v>
      </c>
      <c r="H921" s="116"/>
      <c r="I921" s="116"/>
      <c r="L921" s="170">
        <v>45891</v>
      </c>
      <c r="M921" s="116">
        <v>1403.1</v>
      </c>
      <c r="N921" s="116">
        <v>1411.3</v>
      </c>
      <c r="O921" s="116">
        <v>1390.5</v>
      </c>
      <c r="P921" s="116">
        <v>1411.3</v>
      </c>
      <c r="Q921" s="116">
        <v>2806.2</v>
      </c>
      <c r="R921">
        <v>49427</v>
      </c>
    </row>
    <row r="922" spans="1:18" x14ac:dyDescent="0.25">
      <c r="A922" s="170">
        <v>45894</v>
      </c>
      <c r="B922" s="116">
        <v>1423</v>
      </c>
      <c r="C922" s="116">
        <v>1401.2249999999999</v>
      </c>
      <c r="D922" s="116">
        <v>1395</v>
      </c>
      <c r="E922" s="116">
        <v>1408.9749999999999</v>
      </c>
      <c r="F922" s="116">
        <v>2802.45</v>
      </c>
      <c r="G922">
        <v>4628</v>
      </c>
      <c r="H922" s="116"/>
      <c r="I922" s="116"/>
      <c r="L922" s="170">
        <v>45894</v>
      </c>
      <c r="M922" s="116">
        <v>1401.9</v>
      </c>
      <c r="N922" s="116">
        <v>1424.45</v>
      </c>
      <c r="O922" s="116">
        <v>1395.05</v>
      </c>
      <c r="P922" s="116">
        <v>1403.1</v>
      </c>
      <c r="Q922" s="116">
        <v>2803.8</v>
      </c>
      <c r="R922">
        <v>75061</v>
      </c>
    </row>
    <row r="923" spans="1:18" x14ac:dyDescent="0.25">
      <c r="A923" s="170">
        <v>45895</v>
      </c>
      <c r="B923" s="116">
        <v>1421.375</v>
      </c>
      <c r="C923" s="116">
        <v>1402.7750000000001</v>
      </c>
      <c r="D923" s="116">
        <v>1376.8</v>
      </c>
      <c r="E923" s="116">
        <v>1421.375</v>
      </c>
      <c r="F923" s="116">
        <v>2805.55</v>
      </c>
      <c r="G923">
        <v>3274</v>
      </c>
      <c r="H923" s="116"/>
      <c r="I923" s="116"/>
      <c r="L923" s="170">
        <v>45895</v>
      </c>
      <c r="M923" s="116">
        <v>1400.85</v>
      </c>
      <c r="N923" s="116">
        <v>1411</v>
      </c>
      <c r="O923" s="116">
        <v>1373.75</v>
      </c>
      <c r="P923" s="116">
        <v>1397.5</v>
      </c>
      <c r="Q923" s="116">
        <v>2801.7</v>
      </c>
      <c r="R923">
        <v>119666</v>
      </c>
    </row>
    <row r="924" spans="1:18" x14ac:dyDescent="0.25">
      <c r="A924" s="170">
        <v>45897</v>
      </c>
      <c r="B924" s="116">
        <v>1396.5</v>
      </c>
      <c r="C924" s="116">
        <v>1383</v>
      </c>
      <c r="D924" s="116">
        <v>1369.5250000000001</v>
      </c>
      <c r="E924" s="116">
        <v>1376.675</v>
      </c>
      <c r="F924" s="116">
        <v>2766</v>
      </c>
      <c r="G924">
        <v>7491</v>
      </c>
      <c r="H924" s="116"/>
      <c r="I924" s="116"/>
      <c r="L924" s="170">
        <v>45897</v>
      </c>
      <c r="M924" s="116">
        <v>1384.1</v>
      </c>
      <c r="N924" s="116">
        <v>1398</v>
      </c>
      <c r="O924" s="116">
        <v>1367.8</v>
      </c>
      <c r="P924" s="116">
        <v>1398</v>
      </c>
      <c r="Q924" s="116">
        <v>2768.2</v>
      </c>
      <c r="R924">
        <v>72550</v>
      </c>
    </row>
    <row r="925" spans="1:18" x14ac:dyDescent="0.25">
      <c r="A925" s="170">
        <v>45898</v>
      </c>
      <c r="B925" s="116">
        <v>1417.5</v>
      </c>
      <c r="C925" s="116">
        <v>1398.875</v>
      </c>
      <c r="D925" s="116">
        <v>1380.05</v>
      </c>
      <c r="E925" s="116">
        <v>1380.325</v>
      </c>
      <c r="F925" s="116">
        <v>2797.75</v>
      </c>
      <c r="G925">
        <v>9392</v>
      </c>
      <c r="H925" s="116"/>
      <c r="I925" s="116"/>
      <c r="L925" s="170">
        <v>45898</v>
      </c>
      <c r="M925" s="116">
        <v>1396.95</v>
      </c>
      <c r="N925" s="116">
        <v>1419.5</v>
      </c>
      <c r="O925" s="116">
        <v>1381.35</v>
      </c>
      <c r="P925" s="116">
        <v>1390.15</v>
      </c>
      <c r="Q925" s="116">
        <v>2793.9</v>
      </c>
      <c r="R925">
        <v>91171</v>
      </c>
    </row>
    <row r="926" spans="1:18" x14ac:dyDescent="0.25">
      <c r="A926" s="170">
        <v>45901</v>
      </c>
      <c r="B926" s="116">
        <v>1472.0250000000001</v>
      </c>
      <c r="C926" s="116">
        <v>1461.675</v>
      </c>
      <c r="D926" s="116">
        <v>1399.45</v>
      </c>
      <c r="E926" s="116">
        <v>1399.45</v>
      </c>
      <c r="F926" s="116">
        <v>2923.35</v>
      </c>
      <c r="G926">
        <v>21427</v>
      </c>
      <c r="H926" s="116"/>
      <c r="I926" s="116"/>
      <c r="L926" s="170">
        <v>45901</v>
      </c>
      <c r="M926" s="116">
        <v>1460.15</v>
      </c>
      <c r="N926" s="116">
        <v>1474</v>
      </c>
      <c r="O926" s="116">
        <v>1402.2</v>
      </c>
      <c r="P926" s="116">
        <v>1403.5</v>
      </c>
      <c r="Q926" s="116">
        <v>2920.3</v>
      </c>
      <c r="R926">
        <v>490346</v>
      </c>
    </row>
    <row r="927" spans="1:18" x14ac:dyDescent="0.25">
      <c r="A927" s="170">
        <v>45902</v>
      </c>
      <c r="B927" s="116">
        <v>1482.2750000000001</v>
      </c>
      <c r="C927" s="116">
        <v>1467.7750000000001</v>
      </c>
      <c r="D927" s="116">
        <v>1450</v>
      </c>
      <c r="E927" s="116">
        <v>1461.65</v>
      </c>
      <c r="F927" s="116">
        <v>2935.55</v>
      </c>
      <c r="G927">
        <v>8547</v>
      </c>
      <c r="H927" s="116"/>
      <c r="I927" s="116"/>
      <c r="L927" s="170">
        <v>45902</v>
      </c>
      <c r="M927" s="116">
        <v>1468.35</v>
      </c>
      <c r="N927" s="116">
        <v>1482.5</v>
      </c>
      <c r="O927" s="116">
        <v>1450</v>
      </c>
      <c r="P927" s="116">
        <v>1460</v>
      </c>
      <c r="Q927" s="116">
        <v>2936.7</v>
      </c>
      <c r="R927">
        <v>149635</v>
      </c>
    </row>
    <row r="928" spans="1:18" x14ac:dyDescent="0.25">
      <c r="A928" s="170">
        <v>45903</v>
      </c>
      <c r="B928" s="116">
        <v>1465.5</v>
      </c>
      <c r="C928" s="116">
        <v>1462.425</v>
      </c>
      <c r="D928" s="116">
        <v>1436.75</v>
      </c>
      <c r="E928" s="116">
        <v>1450.9749999999999</v>
      </c>
      <c r="F928" s="116">
        <v>2924.85</v>
      </c>
      <c r="G928">
        <v>3469</v>
      </c>
      <c r="H928" s="116"/>
      <c r="I928" s="116"/>
      <c r="L928" s="170">
        <v>45903</v>
      </c>
      <c r="M928" s="116">
        <v>1463.45</v>
      </c>
      <c r="N928" s="116">
        <v>1466</v>
      </c>
      <c r="O928" s="116">
        <v>1437.5</v>
      </c>
      <c r="P928" s="116">
        <v>1464</v>
      </c>
      <c r="Q928" s="116">
        <v>2926.9</v>
      </c>
      <c r="R928">
        <v>81690</v>
      </c>
    </row>
    <row r="929" spans="1:18" x14ac:dyDescent="0.25">
      <c r="A929" s="170">
        <v>45904</v>
      </c>
      <c r="B929" s="116">
        <v>1489.5</v>
      </c>
      <c r="C929" s="116">
        <v>1476.6</v>
      </c>
      <c r="D929" s="116">
        <v>1440.5250000000001</v>
      </c>
      <c r="E929" s="116">
        <v>1469.7</v>
      </c>
      <c r="F929" s="116">
        <v>2953.2</v>
      </c>
      <c r="G929">
        <v>5732</v>
      </c>
      <c r="H929" s="116"/>
      <c r="I929" s="116"/>
      <c r="L929" s="170">
        <v>45904</v>
      </c>
      <c r="M929" s="116">
        <v>1478.1</v>
      </c>
      <c r="N929" s="116">
        <v>1489.5</v>
      </c>
      <c r="O929" s="116">
        <v>1440.5</v>
      </c>
      <c r="P929" s="116">
        <v>1469.95</v>
      </c>
      <c r="Q929" s="116">
        <v>2956.2</v>
      </c>
      <c r="R929">
        <v>133174</v>
      </c>
    </row>
    <row r="930" spans="1:18" x14ac:dyDescent="0.25">
      <c r="A930" s="170">
        <v>45905</v>
      </c>
      <c r="B930" s="116">
        <v>1488.9749999999999</v>
      </c>
      <c r="C930" s="116">
        <v>1471.7750000000001</v>
      </c>
      <c r="D930" s="116">
        <v>1467.2750000000001</v>
      </c>
      <c r="E930" s="116">
        <v>1477.5</v>
      </c>
      <c r="F930" s="116">
        <v>2943.55</v>
      </c>
      <c r="G930">
        <v>2234</v>
      </c>
      <c r="H930" s="116"/>
      <c r="I930" s="116"/>
      <c r="L930" s="170">
        <v>45905</v>
      </c>
      <c r="M930" s="116">
        <v>1470.95</v>
      </c>
      <c r="N930" s="116">
        <v>1490.25</v>
      </c>
      <c r="O930" s="116">
        <v>1466</v>
      </c>
      <c r="P930" s="116">
        <v>1490.25</v>
      </c>
      <c r="Q930" s="116">
        <v>2941.9</v>
      </c>
      <c r="R930">
        <v>60837</v>
      </c>
    </row>
    <row r="931" spans="1:18" x14ac:dyDescent="0.25">
      <c r="A931" s="170">
        <v>45908</v>
      </c>
      <c r="B931" s="116">
        <v>1485.2750000000001</v>
      </c>
      <c r="C931" s="116">
        <v>1476.4749999999999</v>
      </c>
      <c r="D931" s="116">
        <v>1453.25</v>
      </c>
      <c r="E931" s="116">
        <v>1459.9749999999999</v>
      </c>
      <c r="F931" s="116">
        <v>2952.95</v>
      </c>
      <c r="G931">
        <v>3709</v>
      </c>
      <c r="H931" s="116"/>
      <c r="I931" s="116"/>
      <c r="L931" s="170">
        <v>45908</v>
      </c>
      <c r="M931" s="116">
        <v>1477</v>
      </c>
      <c r="N931" s="116">
        <v>1487.25</v>
      </c>
      <c r="O931" s="116">
        <v>1452.05</v>
      </c>
      <c r="P931" s="116">
        <v>1453</v>
      </c>
      <c r="Q931" s="116">
        <v>2954</v>
      </c>
      <c r="R931">
        <v>54947</v>
      </c>
    </row>
    <row r="932" spans="1:18" x14ac:dyDescent="0.25">
      <c r="A932" s="170">
        <v>45909</v>
      </c>
      <c r="B932" s="116">
        <v>1492.675</v>
      </c>
      <c r="C932" s="116">
        <v>1462.575</v>
      </c>
      <c r="D932" s="116">
        <v>1452.675</v>
      </c>
      <c r="E932" s="116">
        <v>1491.875</v>
      </c>
      <c r="F932" s="116">
        <v>2925.15</v>
      </c>
      <c r="G932">
        <v>2881</v>
      </c>
      <c r="H932" s="116"/>
      <c r="I932" s="116"/>
      <c r="L932" s="170">
        <v>45909</v>
      </c>
      <c r="M932" s="116">
        <v>1463.4</v>
      </c>
      <c r="N932" s="116">
        <v>1493.85</v>
      </c>
      <c r="O932" s="116">
        <v>1452.4</v>
      </c>
      <c r="P932" s="116">
        <v>1477</v>
      </c>
      <c r="Q932" s="116">
        <v>2926.8</v>
      </c>
      <c r="R932">
        <v>85456</v>
      </c>
    </row>
    <row r="933" spans="1:18" x14ac:dyDescent="0.25">
      <c r="A933" s="170">
        <v>45910</v>
      </c>
      <c r="B933" s="116">
        <v>1488.375</v>
      </c>
      <c r="C933" s="116">
        <v>1465.2249999999999</v>
      </c>
      <c r="D933" s="116">
        <v>1450.5</v>
      </c>
      <c r="E933" s="116">
        <v>1488.375</v>
      </c>
      <c r="F933" s="116">
        <v>2930.45</v>
      </c>
      <c r="G933">
        <v>2795</v>
      </c>
      <c r="H933" s="116"/>
      <c r="I933" s="116"/>
      <c r="L933" s="170">
        <v>45910</v>
      </c>
      <c r="M933" s="116">
        <v>1465.35</v>
      </c>
      <c r="N933" s="116">
        <v>1486.55</v>
      </c>
      <c r="O933" s="116">
        <v>1450</v>
      </c>
      <c r="P933" s="116">
        <v>1475.5</v>
      </c>
      <c r="Q933" s="116">
        <v>2930.7</v>
      </c>
      <c r="R933">
        <v>103551</v>
      </c>
    </row>
    <row r="934" spans="1:18" x14ac:dyDescent="0.25">
      <c r="A934" s="170">
        <v>45911</v>
      </c>
      <c r="B934" s="116">
        <v>1477.0250000000001</v>
      </c>
      <c r="C934" s="116">
        <v>1473.6</v>
      </c>
      <c r="D934" s="116">
        <v>1455.0250000000001</v>
      </c>
      <c r="E934" s="116">
        <v>1465.2249999999999</v>
      </c>
      <c r="F934" s="116">
        <v>2947.2</v>
      </c>
      <c r="G934">
        <v>1959</v>
      </c>
      <c r="H934" s="116"/>
      <c r="I934" s="116"/>
      <c r="L934" s="170">
        <v>45911</v>
      </c>
      <c r="M934" s="116">
        <v>1473.95</v>
      </c>
      <c r="N934" s="116">
        <v>1477.5</v>
      </c>
      <c r="O934" s="116">
        <v>1455</v>
      </c>
      <c r="P934" s="116">
        <v>1468.85</v>
      </c>
      <c r="Q934" s="116">
        <v>2947.9</v>
      </c>
      <c r="R934">
        <v>61329</v>
      </c>
    </row>
    <row r="935" spans="1:18" x14ac:dyDescent="0.25">
      <c r="A935" s="170">
        <v>45912</v>
      </c>
      <c r="B935" s="116">
        <v>1502</v>
      </c>
      <c r="C935" s="116">
        <v>1488.75</v>
      </c>
      <c r="D935" s="116">
        <v>1476.45</v>
      </c>
      <c r="E935" s="116">
        <v>1493.95</v>
      </c>
      <c r="F935" s="116">
        <v>2977.5</v>
      </c>
      <c r="G935">
        <v>2953</v>
      </c>
      <c r="H935" s="116"/>
      <c r="I935" s="116"/>
      <c r="L935" s="170">
        <v>45912</v>
      </c>
      <c r="M935" s="116">
        <v>1488.55</v>
      </c>
      <c r="N935" s="116">
        <v>1502</v>
      </c>
      <c r="O935" s="116">
        <v>1477.5</v>
      </c>
      <c r="P935" s="116">
        <v>1480</v>
      </c>
      <c r="Q935" s="116">
        <v>2977.1</v>
      </c>
      <c r="R935">
        <v>135502</v>
      </c>
    </row>
    <row r="936" spans="1:18" x14ac:dyDescent="0.25">
      <c r="A936" s="170">
        <v>45915</v>
      </c>
      <c r="B936" s="116">
        <v>1533.425</v>
      </c>
      <c r="C936" s="116">
        <v>1520.9</v>
      </c>
      <c r="D936" s="116">
        <v>1477.2</v>
      </c>
      <c r="E936" s="116">
        <v>1490</v>
      </c>
      <c r="F936" s="116">
        <v>3041.8</v>
      </c>
      <c r="G936">
        <v>11006</v>
      </c>
      <c r="H936" s="116"/>
      <c r="I936" s="116"/>
      <c r="L936" s="170">
        <v>45915</v>
      </c>
      <c r="M936" s="116">
        <v>1519.85</v>
      </c>
      <c r="N936" s="116">
        <v>1533.9</v>
      </c>
      <c r="O936" s="116">
        <v>1476.65</v>
      </c>
      <c r="P936" s="116">
        <v>1488.55</v>
      </c>
      <c r="Q936" s="116">
        <v>3039.7</v>
      </c>
      <c r="R936">
        <v>180616</v>
      </c>
    </row>
    <row r="937" spans="1:18" x14ac:dyDescent="0.25">
      <c r="A937" s="170">
        <v>45916</v>
      </c>
      <c r="B937" s="116">
        <v>1537.4749999999999</v>
      </c>
      <c r="C937" s="116">
        <v>1529.25</v>
      </c>
      <c r="D937" s="116">
        <v>1508.2750000000001</v>
      </c>
      <c r="E937" s="116">
        <v>1515.0250000000001</v>
      </c>
      <c r="F937" s="116">
        <v>3058.5</v>
      </c>
      <c r="G937">
        <v>4984</v>
      </c>
      <c r="H937" s="116"/>
      <c r="I937" s="116"/>
      <c r="L937" s="170">
        <v>45916</v>
      </c>
      <c r="M937" s="116">
        <v>1531.9</v>
      </c>
      <c r="N937" s="116">
        <v>1537</v>
      </c>
      <c r="O937" s="116">
        <v>1507.5</v>
      </c>
      <c r="P937" s="116">
        <v>1525</v>
      </c>
      <c r="Q937" s="116">
        <v>3063.8</v>
      </c>
      <c r="R937">
        <v>79545</v>
      </c>
    </row>
    <row r="938" spans="1:18" x14ac:dyDescent="0.25">
      <c r="A938" s="170">
        <v>45917</v>
      </c>
      <c r="B938" s="116">
        <v>1531.25</v>
      </c>
      <c r="C938" s="116">
        <v>1528.425</v>
      </c>
      <c r="D938" s="116">
        <v>1515.15</v>
      </c>
      <c r="E938" s="116">
        <v>1523.3</v>
      </c>
      <c r="F938" s="116">
        <v>3056.85</v>
      </c>
      <c r="G938">
        <v>1268</v>
      </c>
      <c r="H938" s="116"/>
      <c r="I938" s="116"/>
      <c r="L938" s="170">
        <v>45917</v>
      </c>
      <c r="M938" s="116">
        <v>1529.1</v>
      </c>
      <c r="N938" s="116">
        <v>1534.4</v>
      </c>
      <c r="O938" s="116">
        <v>1515</v>
      </c>
      <c r="P938" s="116">
        <v>1531.9</v>
      </c>
      <c r="Q938" s="116">
        <v>3058.2</v>
      </c>
      <c r="R938">
        <v>55432</v>
      </c>
    </row>
    <row r="939" spans="1:18" x14ac:dyDescent="0.25">
      <c r="A939" s="170">
        <v>45918</v>
      </c>
      <c r="B939" s="116">
        <v>1547.5</v>
      </c>
      <c r="C939" s="116">
        <v>1531.55</v>
      </c>
      <c r="D939" s="116">
        <v>1518.075</v>
      </c>
      <c r="E939" s="116">
        <v>1524.5250000000001</v>
      </c>
      <c r="F939" s="116">
        <v>3063.1</v>
      </c>
      <c r="G939">
        <v>3452</v>
      </c>
      <c r="H939" s="116"/>
      <c r="I939" s="116"/>
      <c r="L939" s="170">
        <v>45918</v>
      </c>
      <c r="M939" s="116">
        <v>1532.8</v>
      </c>
      <c r="N939" s="116">
        <v>1545.2</v>
      </c>
      <c r="O939" s="116">
        <v>1517.75</v>
      </c>
      <c r="P939" s="116">
        <v>1529.95</v>
      </c>
      <c r="Q939" s="116">
        <v>3065.6</v>
      </c>
      <c r="R939">
        <v>56701</v>
      </c>
    </row>
    <row r="940" spans="1:18" x14ac:dyDescent="0.25">
      <c r="A940" s="170">
        <v>45919</v>
      </c>
      <c r="B940" s="116">
        <v>1540.55</v>
      </c>
      <c r="C940" s="116">
        <v>1520.075</v>
      </c>
      <c r="D940" s="116">
        <v>1508</v>
      </c>
      <c r="E940" s="116">
        <v>1538.675</v>
      </c>
      <c r="F940" s="116">
        <v>3040.15</v>
      </c>
      <c r="G940">
        <v>2167</v>
      </c>
      <c r="H940" s="116"/>
      <c r="I940" s="116"/>
      <c r="L940" s="170">
        <v>45919</v>
      </c>
      <c r="M940" s="116">
        <v>1521</v>
      </c>
      <c r="N940" s="116">
        <v>1540.5</v>
      </c>
      <c r="O940" s="116">
        <v>1507.8</v>
      </c>
      <c r="P940" s="116">
        <v>1532.5</v>
      </c>
      <c r="Q940" s="116">
        <v>3042</v>
      </c>
      <c r="R940">
        <v>102587</v>
      </c>
    </row>
    <row r="941" spans="1:18" x14ac:dyDescent="0.25">
      <c r="A941" s="170">
        <v>45922</v>
      </c>
      <c r="B941" s="116">
        <v>1545.925</v>
      </c>
      <c r="C941" s="116">
        <v>1517.45</v>
      </c>
      <c r="D941" s="116">
        <v>1510.825</v>
      </c>
      <c r="E941" s="116">
        <v>1530</v>
      </c>
      <c r="F941" s="116">
        <v>3034.9</v>
      </c>
      <c r="G941">
        <v>2855</v>
      </c>
      <c r="H941" s="116"/>
      <c r="I941" s="116"/>
      <c r="L941" s="170">
        <v>45922</v>
      </c>
      <c r="M941" s="116">
        <v>1516.5</v>
      </c>
      <c r="N941" s="116">
        <v>1545</v>
      </c>
      <c r="O941" s="116">
        <v>1510.05</v>
      </c>
      <c r="P941" s="116">
        <v>1521</v>
      </c>
      <c r="Q941" s="116">
        <v>3033</v>
      </c>
      <c r="R941">
        <v>69150</v>
      </c>
    </row>
    <row r="942" spans="1:18" x14ac:dyDescent="0.25">
      <c r="A942" s="170">
        <v>45923</v>
      </c>
      <c r="B942" s="116">
        <v>1527.925</v>
      </c>
      <c r="C942" s="116">
        <v>1486.55</v>
      </c>
      <c r="D942" s="116">
        <v>1479.575</v>
      </c>
      <c r="E942" s="116">
        <v>1527.925</v>
      </c>
      <c r="F942" s="116">
        <v>2973.1</v>
      </c>
      <c r="G942">
        <v>7055</v>
      </c>
      <c r="H942" s="116"/>
      <c r="I942" s="116"/>
      <c r="L942" s="170">
        <v>45923</v>
      </c>
      <c r="M942" s="116">
        <v>1486.5</v>
      </c>
      <c r="N942" s="116">
        <v>1523</v>
      </c>
      <c r="O942" s="116">
        <v>1475.75</v>
      </c>
      <c r="P942" s="116">
        <v>1523</v>
      </c>
      <c r="Q942" s="116">
        <v>2973</v>
      </c>
      <c r="R942">
        <v>78208</v>
      </c>
    </row>
    <row r="943" spans="1:18" x14ac:dyDescent="0.25">
      <c r="A943" s="170">
        <v>45924</v>
      </c>
      <c r="B943" s="116">
        <v>1486.5250000000001</v>
      </c>
      <c r="C943" s="116">
        <v>1440.15</v>
      </c>
      <c r="D943" s="116">
        <v>1425</v>
      </c>
      <c r="E943" s="116">
        <v>1486.5</v>
      </c>
      <c r="F943" s="116">
        <v>2880.3</v>
      </c>
      <c r="G943">
        <v>21064</v>
      </c>
      <c r="H943" s="116"/>
      <c r="I943" s="116"/>
      <c r="L943" s="170">
        <v>45924</v>
      </c>
      <c r="M943" s="116">
        <v>1441.2</v>
      </c>
      <c r="N943" s="116">
        <v>1488.75</v>
      </c>
      <c r="O943" s="116">
        <v>1425.05</v>
      </c>
      <c r="P943" s="116">
        <v>1488.75</v>
      </c>
      <c r="Q943" s="116">
        <v>2882.4</v>
      </c>
      <c r="R943">
        <v>103874</v>
      </c>
    </row>
    <row r="944" spans="1:18" x14ac:dyDescent="0.25">
      <c r="A944" s="170">
        <v>45925</v>
      </c>
      <c r="B944" s="116">
        <v>1442.7750000000001</v>
      </c>
      <c r="C944" s="116">
        <v>1437.95</v>
      </c>
      <c r="D944" s="116">
        <v>1419.0250000000001</v>
      </c>
      <c r="E944" s="116">
        <v>1433.5250000000001</v>
      </c>
      <c r="F944" s="116">
        <v>2875.9</v>
      </c>
      <c r="G944">
        <v>3291</v>
      </c>
      <c r="H944" s="116"/>
      <c r="I944" s="116"/>
      <c r="L944" s="170">
        <v>45925</v>
      </c>
      <c r="M944" s="116">
        <v>1437.2</v>
      </c>
      <c r="N944" s="116">
        <v>1446.95</v>
      </c>
      <c r="O944" s="116">
        <v>1419.05</v>
      </c>
      <c r="P944" s="116">
        <v>1441.4</v>
      </c>
      <c r="Q944" s="116">
        <v>2874.4</v>
      </c>
      <c r="R944">
        <v>68346</v>
      </c>
    </row>
    <row r="945" spans="1:18" x14ac:dyDescent="0.25">
      <c r="A945" s="170">
        <v>45926</v>
      </c>
      <c r="B945" s="116">
        <v>1462.425</v>
      </c>
      <c r="C945" s="116">
        <v>1434.0250000000001</v>
      </c>
      <c r="D945" s="116">
        <v>1414.5250000000001</v>
      </c>
      <c r="E945" s="116">
        <v>1459.4749999999999</v>
      </c>
      <c r="F945" s="116">
        <v>2868.05</v>
      </c>
      <c r="G945">
        <v>8462</v>
      </c>
      <c r="H945" s="116"/>
      <c r="I945" s="116"/>
      <c r="L945" s="170">
        <v>45926</v>
      </c>
      <c r="M945" s="116">
        <v>1433.35</v>
      </c>
      <c r="N945" s="116">
        <v>1462</v>
      </c>
      <c r="O945" s="116">
        <v>1417.05</v>
      </c>
      <c r="P945" s="116">
        <v>1437.3</v>
      </c>
      <c r="Q945" s="116">
        <v>2866.7</v>
      </c>
      <c r="R945">
        <v>95074</v>
      </c>
    </row>
    <row r="946" spans="1:18" x14ac:dyDescent="0.25">
      <c r="A946" s="170">
        <v>45929</v>
      </c>
      <c r="B946" s="116">
        <v>1424.9749999999999</v>
      </c>
      <c r="C946" s="116">
        <v>1404.425</v>
      </c>
      <c r="D946" s="116">
        <v>1362.5</v>
      </c>
      <c r="E946" s="116">
        <v>1424.9749999999999</v>
      </c>
      <c r="F946" s="116">
        <v>2808.85</v>
      </c>
      <c r="G946">
        <v>23386</v>
      </c>
      <c r="H946" s="116"/>
      <c r="I946" s="116"/>
      <c r="L946" s="170">
        <v>45929</v>
      </c>
      <c r="M946" s="116">
        <v>1405.9</v>
      </c>
      <c r="N946" s="116">
        <v>1427.75</v>
      </c>
      <c r="O946" s="116">
        <v>1380</v>
      </c>
      <c r="P946" s="116">
        <v>1427.75</v>
      </c>
      <c r="Q946" s="116">
        <v>2811.8</v>
      </c>
      <c r="R946">
        <v>325266</v>
      </c>
    </row>
    <row r="947" spans="1:18" x14ac:dyDescent="0.25">
      <c r="A947" s="170">
        <v>45930</v>
      </c>
      <c r="B947" s="116">
        <v>1457.0250000000001</v>
      </c>
      <c r="C947" s="116">
        <v>1412.4</v>
      </c>
      <c r="D947" s="116">
        <v>1390.0250000000001</v>
      </c>
      <c r="E947" s="116">
        <v>1390.0250000000001</v>
      </c>
      <c r="F947" s="116">
        <v>2824.8</v>
      </c>
      <c r="G947">
        <v>8118</v>
      </c>
      <c r="H947" s="116"/>
      <c r="I947" s="116"/>
      <c r="L947" s="170">
        <v>45930</v>
      </c>
      <c r="M947" s="116">
        <v>1413.4</v>
      </c>
      <c r="N947" s="116">
        <v>1459.95</v>
      </c>
      <c r="O947" s="116">
        <v>1396</v>
      </c>
      <c r="P947" s="116">
        <v>1396</v>
      </c>
      <c r="Q947" s="116">
        <v>2826.8</v>
      </c>
      <c r="R947">
        <v>258690</v>
      </c>
    </row>
    <row r="948" spans="1:18" x14ac:dyDescent="0.25">
      <c r="A948" s="170">
        <v>45931</v>
      </c>
      <c r="B948" s="116">
        <v>1448.7249999999999</v>
      </c>
      <c r="C948" s="116">
        <v>1441.675</v>
      </c>
      <c r="D948" s="116">
        <v>1389.3</v>
      </c>
      <c r="E948" s="116">
        <v>1400.0250000000001</v>
      </c>
      <c r="F948" s="116">
        <v>2883.35</v>
      </c>
      <c r="G948">
        <v>2621</v>
      </c>
      <c r="H948" s="116"/>
      <c r="I948" s="116"/>
      <c r="L948" s="170">
        <v>45931</v>
      </c>
      <c r="M948" s="116">
        <v>1443.55</v>
      </c>
      <c r="N948" s="116">
        <v>1448.75</v>
      </c>
      <c r="O948" s="116">
        <v>1387.55</v>
      </c>
      <c r="P948" s="116">
        <v>1414.5</v>
      </c>
      <c r="Q948" s="116">
        <v>2887.1</v>
      </c>
      <c r="R948">
        <v>211183</v>
      </c>
    </row>
    <row r="949" spans="1:18" x14ac:dyDescent="0.25">
      <c r="A949" s="170">
        <v>45933</v>
      </c>
      <c r="B949" s="116">
        <v>1500.925</v>
      </c>
      <c r="C949" s="116">
        <v>1438.5</v>
      </c>
      <c r="D949" s="116">
        <v>1423.95</v>
      </c>
      <c r="E949" s="116">
        <v>1500.925</v>
      </c>
      <c r="F949" s="116">
        <v>2877</v>
      </c>
      <c r="G949">
        <v>1309</v>
      </c>
      <c r="H949" s="116"/>
      <c r="I949" s="116"/>
      <c r="L949" s="170">
        <v>45933</v>
      </c>
      <c r="M949" s="116">
        <v>1436.2</v>
      </c>
      <c r="N949" s="116">
        <v>1457.95</v>
      </c>
      <c r="O949" s="116">
        <v>1423</v>
      </c>
      <c r="P949" s="116">
        <v>1450.05</v>
      </c>
      <c r="Q949" s="116">
        <v>2872.4</v>
      </c>
      <c r="R949">
        <v>74429</v>
      </c>
    </row>
    <row r="950" spans="1:18" x14ac:dyDescent="0.25">
      <c r="A950" s="170">
        <v>45936</v>
      </c>
      <c r="B950" s="116">
        <v>1467.95</v>
      </c>
      <c r="C950" s="116">
        <v>1461.25</v>
      </c>
      <c r="D950" s="116">
        <v>1410</v>
      </c>
      <c r="E950" s="116">
        <v>1433.9749999999999</v>
      </c>
      <c r="F950" s="116">
        <v>2922.5</v>
      </c>
      <c r="G950">
        <v>9552</v>
      </c>
      <c r="H950" s="116"/>
      <c r="I950" s="116"/>
      <c r="L950" s="170">
        <v>45936</v>
      </c>
      <c r="M950" s="116">
        <v>1461</v>
      </c>
      <c r="N950" s="116">
        <v>1467</v>
      </c>
      <c r="O950" s="116">
        <v>1408.45</v>
      </c>
      <c r="P950" s="116">
        <v>1435</v>
      </c>
      <c r="Q950" s="116">
        <v>2922</v>
      </c>
      <c r="R950">
        <v>129448</v>
      </c>
    </row>
    <row r="951" spans="1:18" x14ac:dyDescent="0.25">
      <c r="A951" s="170">
        <v>45937</v>
      </c>
      <c r="B951" s="116">
        <v>1515.5</v>
      </c>
      <c r="C951" s="116">
        <v>1457.9</v>
      </c>
      <c r="D951" s="116">
        <v>1449</v>
      </c>
      <c r="E951" s="116">
        <v>1460.1</v>
      </c>
      <c r="F951" s="116">
        <v>2915.8</v>
      </c>
      <c r="G951">
        <v>10389</v>
      </c>
      <c r="H951" s="116"/>
      <c r="I951" s="116"/>
      <c r="L951" s="170">
        <v>45937</v>
      </c>
      <c r="M951" s="116">
        <v>1457.1</v>
      </c>
      <c r="N951" s="116">
        <v>1515</v>
      </c>
      <c r="O951" s="116">
        <v>1449.65</v>
      </c>
      <c r="P951" s="116">
        <v>1467.2</v>
      </c>
      <c r="Q951" s="116">
        <v>2914.2</v>
      </c>
      <c r="R951">
        <v>200052</v>
      </c>
    </row>
    <row r="952" spans="1:18" x14ac:dyDescent="0.25">
      <c r="A952" s="170">
        <v>45938</v>
      </c>
      <c r="B952" s="116">
        <v>1508.625</v>
      </c>
      <c r="C952" s="116">
        <v>1492.4</v>
      </c>
      <c r="D952" s="116">
        <v>1459.7249999999999</v>
      </c>
      <c r="E952" s="116">
        <v>1459.75</v>
      </c>
      <c r="F952" s="116">
        <v>2984.8</v>
      </c>
      <c r="G952">
        <v>8106</v>
      </c>
      <c r="H952" s="116"/>
      <c r="I952" s="116"/>
      <c r="L952" s="170">
        <v>45938</v>
      </c>
      <c r="M952" s="116">
        <v>1495.3</v>
      </c>
      <c r="N952" s="116">
        <v>1510</v>
      </c>
      <c r="O952" s="116">
        <v>1457.1</v>
      </c>
      <c r="P952" s="116">
        <v>1457.15</v>
      </c>
      <c r="Q952" s="116">
        <v>2990.6</v>
      </c>
      <c r="R952">
        <v>137431</v>
      </c>
    </row>
    <row r="953" spans="1:18" x14ac:dyDescent="0.25">
      <c r="A953" s="170">
        <v>45939</v>
      </c>
      <c r="B953" s="116">
        <v>1494.4749999999999</v>
      </c>
      <c r="C953" s="116">
        <v>1474.875</v>
      </c>
      <c r="D953" s="116">
        <v>1465.575</v>
      </c>
      <c r="E953" s="116">
        <v>1477.75</v>
      </c>
      <c r="F953" s="116">
        <v>2949.75</v>
      </c>
      <c r="G953">
        <v>2162</v>
      </c>
      <c r="H953" s="116"/>
      <c r="I953" s="116"/>
      <c r="L953" s="170">
        <v>45939</v>
      </c>
      <c r="M953" s="116">
        <v>1475.85</v>
      </c>
      <c r="N953" s="116">
        <v>1498.75</v>
      </c>
      <c r="O953" s="116">
        <v>1465</v>
      </c>
      <c r="P953" s="116">
        <v>1495.3</v>
      </c>
      <c r="Q953" s="116">
        <v>2951.7</v>
      </c>
      <c r="R953">
        <v>59499</v>
      </c>
    </row>
    <row r="954" spans="1:18" x14ac:dyDescent="0.25">
      <c r="A954" s="170">
        <v>45940</v>
      </c>
      <c r="B954" s="116">
        <v>1524.9749999999999</v>
      </c>
      <c r="C954" s="116">
        <v>1477.825</v>
      </c>
      <c r="D954" s="116">
        <v>1461.45</v>
      </c>
      <c r="E954" s="116">
        <v>1524.9749999999999</v>
      </c>
      <c r="F954" s="116">
        <v>2955.65</v>
      </c>
      <c r="G954">
        <v>1642</v>
      </c>
      <c r="H954" s="116"/>
      <c r="I954" s="116"/>
      <c r="L954" s="170">
        <v>45940</v>
      </c>
      <c r="M954" s="116">
        <v>1478.05</v>
      </c>
      <c r="N954" s="116">
        <v>1495</v>
      </c>
      <c r="O954" s="116">
        <v>1461.35</v>
      </c>
      <c r="P954" s="116">
        <v>1482.85</v>
      </c>
      <c r="Q954" s="116">
        <v>2956.1</v>
      </c>
      <c r="R954">
        <v>75564</v>
      </c>
    </row>
    <row r="955" spans="1:18" x14ac:dyDescent="0.25">
      <c r="A955" s="170">
        <v>45943</v>
      </c>
      <c r="B955" s="116">
        <v>1510</v>
      </c>
      <c r="C955" s="116">
        <v>1466.4</v>
      </c>
      <c r="D955" s="116">
        <v>1451.425</v>
      </c>
      <c r="E955" s="116">
        <v>1473.0250000000001</v>
      </c>
      <c r="F955" s="116">
        <v>2932.8</v>
      </c>
      <c r="G955">
        <v>6901</v>
      </c>
      <c r="H955" s="116"/>
      <c r="I955" s="116"/>
      <c r="L955" s="170">
        <v>45943</v>
      </c>
      <c r="M955" s="116">
        <v>1467.45</v>
      </c>
      <c r="N955" s="116">
        <v>1512.45</v>
      </c>
      <c r="O955" s="116">
        <v>1452.5</v>
      </c>
      <c r="P955" s="116">
        <v>1475</v>
      </c>
      <c r="Q955" s="116">
        <v>2934.9</v>
      </c>
      <c r="R955">
        <v>222162</v>
      </c>
    </row>
    <row r="956" spans="1:18" x14ac:dyDescent="0.25">
      <c r="A956" s="170">
        <v>45944</v>
      </c>
      <c r="B956" s="116">
        <v>1661.925</v>
      </c>
      <c r="C956" s="116">
        <v>1577.5</v>
      </c>
      <c r="D956" s="116">
        <v>1513.2750000000001</v>
      </c>
      <c r="E956" s="116">
        <v>1520</v>
      </c>
      <c r="F956" s="116">
        <v>3155</v>
      </c>
      <c r="G956">
        <v>318326</v>
      </c>
      <c r="H956" s="116"/>
      <c r="I956" s="116"/>
      <c r="L956" s="170">
        <v>45944</v>
      </c>
      <c r="M956" s="116">
        <v>1581.6</v>
      </c>
      <c r="N956" s="116">
        <v>1660.7</v>
      </c>
      <c r="O956" s="116">
        <v>1510</v>
      </c>
      <c r="P956" s="116">
        <v>1523</v>
      </c>
      <c r="Q956" s="116">
        <v>3163.2</v>
      </c>
      <c r="R956">
        <v>6829454</v>
      </c>
    </row>
    <row r="957" spans="1:18" x14ac:dyDescent="0.25">
      <c r="A957" s="170">
        <v>45945</v>
      </c>
      <c r="B957" s="116">
        <v>1609.05</v>
      </c>
      <c r="C957" s="116">
        <v>1564.325</v>
      </c>
      <c r="D957" s="116">
        <v>1550</v>
      </c>
      <c r="E957" s="116">
        <v>1585</v>
      </c>
      <c r="F957" s="116">
        <v>3128.65</v>
      </c>
      <c r="G957">
        <v>35414</v>
      </c>
      <c r="H957" s="116"/>
      <c r="I957" s="116"/>
      <c r="L957" s="170">
        <v>45945</v>
      </c>
      <c r="M957" s="116">
        <v>1565.45</v>
      </c>
      <c r="N957" s="116">
        <v>1608.95</v>
      </c>
      <c r="O957" s="116">
        <v>1550.7</v>
      </c>
      <c r="P957" s="116">
        <v>1584.5</v>
      </c>
      <c r="Q957" s="116">
        <v>3130.9</v>
      </c>
      <c r="R957">
        <v>655066</v>
      </c>
    </row>
    <row r="958" spans="1:18" x14ac:dyDescent="0.25">
      <c r="A958" s="170">
        <v>45946</v>
      </c>
      <c r="B958" s="116">
        <v>1574.625</v>
      </c>
      <c r="C958" s="116">
        <v>1551.4749999999999</v>
      </c>
      <c r="D958" s="116">
        <v>1526.45</v>
      </c>
      <c r="E958" s="116">
        <v>1574.6</v>
      </c>
      <c r="F958" s="116">
        <v>3102.95</v>
      </c>
      <c r="G958">
        <v>5769</v>
      </c>
      <c r="H958" s="116"/>
      <c r="I958" s="116"/>
      <c r="L958" s="170">
        <v>45946</v>
      </c>
      <c r="M958" s="116">
        <v>1551.6</v>
      </c>
      <c r="N958" s="116">
        <v>1570.2</v>
      </c>
      <c r="O958" s="116">
        <v>1526.5</v>
      </c>
      <c r="P958" s="116">
        <v>1564.95</v>
      </c>
      <c r="Q958" s="116">
        <v>3103.2</v>
      </c>
      <c r="R958">
        <v>234392</v>
      </c>
    </row>
    <row r="959" spans="1:18" x14ac:dyDescent="0.25">
      <c r="A959" s="170">
        <v>45947</v>
      </c>
      <c r="B959" s="116">
        <v>1607.3</v>
      </c>
      <c r="C959" s="116">
        <v>1560.45</v>
      </c>
      <c r="D959" s="116">
        <v>1550.3</v>
      </c>
      <c r="E959" s="116">
        <v>1552.75</v>
      </c>
      <c r="F959" s="116">
        <v>3120.9</v>
      </c>
      <c r="G959">
        <v>20488</v>
      </c>
      <c r="H959" s="116"/>
      <c r="I959" s="116"/>
      <c r="L959" s="170">
        <v>45947</v>
      </c>
      <c r="M959" s="116">
        <v>1562.55</v>
      </c>
      <c r="N959" s="116">
        <v>1608</v>
      </c>
      <c r="O959" s="116">
        <v>1548.05</v>
      </c>
      <c r="P959" s="116">
        <v>1551.65</v>
      </c>
      <c r="Q959" s="116">
        <v>3125.1</v>
      </c>
      <c r="R959">
        <v>478299</v>
      </c>
    </row>
    <row r="960" spans="1:18" x14ac:dyDescent="0.25">
      <c r="A960" s="170">
        <v>45950</v>
      </c>
      <c r="B960" s="116">
        <v>1615.4749999999999</v>
      </c>
      <c r="C960" s="116">
        <v>1600.0250000000001</v>
      </c>
      <c r="D960" s="116">
        <v>1564</v>
      </c>
      <c r="E960" s="116">
        <v>1576</v>
      </c>
      <c r="F960" s="116">
        <v>3200.05</v>
      </c>
      <c r="G960">
        <v>19156</v>
      </c>
      <c r="H960" s="116"/>
      <c r="I960" s="116"/>
      <c r="L960" s="170">
        <v>45950</v>
      </c>
      <c r="M960" s="116">
        <v>1601.15</v>
      </c>
      <c r="N960" s="116">
        <v>1615.2</v>
      </c>
      <c r="O960" s="116">
        <v>1563.5</v>
      </c>
      <c r="P960" s="116">
        <v>1574.5</v>
      </c>
      <c r="Q960" s="116">
        <v>3202.3</v>
      </c>
      <c r="R960">
        <v>541292</v>
      </c>
    </row>
    <row r="961" spans="1:18" x14ac:dyDescent="0.25">
      <c r="A961" s="170">
        <v>45951</v>
      </c>
      <c r="B961" s="116">
        <v>1623.9749999999999</v>
      </c>
      <c r="C961" s="116">
        <v>1593.4</v>
      </c>
      <c r="D961" s="116">
        <v>1583.825</v>
      </c>
      <c r="E961" s="116">
        <v>1623.9749999999999</v>
      </c>
      <c r="F961" s="116">
        <v>3186.8</v>
      </c>
      <c r="G961">
        <v>2186</v>
      </c>
      <c r="H961" s="116"/>
      <c r="I961" s="116"/>
      <c r="L961" s="170">
        <v>45951</v>
      </c>
      <c r="M961" s="116">
        <v>1595.55</v>
      </c>
      <c r="N961" s="116">
        <v>1624</v>
      </c>
      <c r="O961" s="116">
        <v>1582.55</v>
      </c>
      <c r="P961" s="116">
        <v>1612</v>
      </c>
      <c r="Q961" s="116">
        <v>3191.1</v>
      </c>
      <c r="R961">
        <v>52729</v>
      </c>
    </row>
    <row r="962" spans="1:18" x14ac:dyDescent="0.25">
      <c r="A962" s="170">
        <v>45953</v>
      </c>
      <c r="B962" s="116">
        <v>1600</v>
      </c>
      <c r="C962" s="116">
        <v>1552.2750000000001</v>
      </c>
      <c r="D962" s="116">
        <v>1542.5</v>
      </c>
      <c r="E962" s="116">
        <v>1600</v>
      </c>
      <c r="F962" s="116">
        <v>3104.55</v>
      </c>
      <c r="G962">
        <v>8210</v>
      </c>
      <c r="H962" s="116"/>
      <c r="I962" s="116"/>
      <c r="L962" s="170">
        <v>45953</v>
      </c>
      <c r="M962" s="116">
        <v>1554.15</v>
      </c>
      <c r="N962" s="116">
        <v>1601.05</v>
      </c>
      <c r="O962" s="116">
        <v>1540.55</v>
      </c>
      <c r="P962" s="116">
        <v>1599.65</v>
      </c>
      <c r="Q962" s="116">
        <v>3108.3</v>
      </c>
      <c r="R962">
        <v>240666</v>
      </c>
    </row>
    <row r="963" spans="1:18" x14ac:dyDescent="0.25">
      <c r="A963" s="170">
        <v>45954</v>
      </c>
      <c r="B963" s="116">
        <v>1560.4</v>
      </c>
      <c r="C963" s="116">
        <v>1557.7</v>
      </c>
      <c r="D963" s="116">
        <v>1520.3</v>
      </c>
      <c r="E963" s="116">
        <v>1550</v>
      </c>
      <c r="F963" s="116">
        <v>3115.4</v>
      </c>
      <c r="G963">
        <v>5732</v>
      </c>
      <c r="H963" s="116"/>
      <c r="I963" s="116"/>
      <c r="L963" s="170">
        <v>45954</v>
      </c>
      <c r="M963" s="116">
        <v>1556.7</v>
      </c>
      <c r="N963" s="116">
        <v>1562.2</v>
      </c>
      <c r="O963" s="116">
        <v>1518.9</v>
      </c>
      <c r="P963" s="116">
        <v>1535.15</v>
      </c>
      <c r="Q963" s="116">
        <v>3113.4</v>
      </c>
      <c r="R963">
        <v>178404</v>
      </c>
    </row>
    <row r="964" spans="1:18" x14ac:dyDescent="0.25">
      <c r="A964" s="170">
        <v>45957</v>
      </c>
      <c r="B964" s="116">
        <v>1619</v>
      </c>
      <c r="C964" s="116">
        <v>1613.4</v>
      </c>
      <c r="D964" s="116">
        <v>1562.5</v>
      </c>
      <c r="E964" s="116">
        <v>1563.15</v>
      </c>
      <c r="F964" s="116">
        <v>3226.8</v>
      </c>
      <c r="G964">
        <v>23814</v>
      </c>
      <c r="H964" s="116"/>
      <c r="I964" s="116"/>
      <c r="L964" s="170">
        <v>45957</v>
      </c>
      <c r="M964" s="116">
        <v>1613</v>
      </c>
      <c r="N964" s="116">
        <v>1620</v>
      </c>
      <c r="O964" s="116">
        <v>1566</v>
      </c>
      <c r="P964" s="116">
        <v>1566.95</v>
      </c>
      <c r="Q964" s="116">
        <v>3226</v>
      </c>
      <c r="R964">
        <v>414428</v>
      </c>
    </row>
    <row r="965" spans="1:18" x14ac:dyDescent="0.25">
      <c r="A965" s="170">
        <v>45958</v>
      </c>
      <c r="B965" s="116">
        <v>1614.625</v>
      </c>
      <c r="C965" s="116">
        <v>1594.125</v>
      </c>
      <c r="D965" s="116">
        <v>1584.925</v>
      </c>
      <c r="E965" s="116">
        <v>1614.625</v>
      </c>
      <c r="F965" s="116">
        <v>3188.25</v>
      </c>
      <c r="G965">
        <v>9340</v>
      </c>
      <c r="H965" s="116"/>
      <c r="I965" s="116"/>
      <c r="L965" s="170">
        <v>45958</v>
      </c>
      <c r="M965" s="116">
        <v>1592.2</v>
      </c>
      <c r="N965" s="116">
        <v>1612.05</v>
      </c>
      <c r="O965" s="116">
        <v>1585</v>
      </c>
      <c r="P965" s="116">
        <v>1612.05</v>
      </c>
      <c r="Q965" s="116">
        <v>3184.4</v>
      </c>
      <c r="R965">
        <v>112048</v>
      </c>
    </row>
    <row r="966" spans="1:18" x14ac:dyDescent="0.25">
      <c r="A966" s="170">
        <v>45959</v>
      </c>
      <c r="B966" s="116">
        <v>1572.3</v>
      </c>
      <c r="C966" s="116">
        <v>1540.7249999999999</v>
      </c>
      <c r="D966" s="116">
        <v>1521.7750000000001</v>
      </c>
      <c r="E966" s="116">
        <v>1565.375</v>
      </c>
      <c r="F966" s="116">
        <v>3081.45</v>
      </c>
      <c r="G966">
        <v>18011</v>
      </c>
      <c r="H966" s="116"/>
      <c r="I966" s="116"/>
      <c r="L966" s="170">
        <v>45959</v>
      </c>
      <c r="M966" s="116">
        <v>1543.2</v>
      </c>
      <c r="N966" s="116">
        <v>1575</v>
      </c>
      <c r="O966" s="116">
        <v>1522.5</v>
      </c>
      <c r="P966" s="116">
        <v>1575</v>
      </c>
      <c r="Q966" s="116">
        <v>3086.4</v>
      </c>
      <c r="R966">
        <v>286556</v>
      </c>
    </row>
    <row r="967" spans="1:18" x14ac:dyDescent="0.25">
      <c r="A967" s="170">
        <v>45960</v>
      </c>
      <c r="B967" s="116">
        <v>1580.35</v>
      </c>
      <c r="C967" s="116">
        <v>1569.2</v>
      </c>
      <c r="D967" s="116">
        <v>1543.45</v>
      </c>
      <c r="E967" s="116">
        <v>1544.5250000000001</v>
      </c>
      <c r="F967" s="116">
        <v>3138.4</v>
      </c>
      <c r="G967">
        <v>4002</v>
      </c>
      <c r="H967" s="116"/>
      <c r="I967" s="116"/>
      <c r="L967" s="170">
        <v>45960</v>
      </c>
      <c r="M967" s="116">
        <v>1569.7</v>
      </c>
      <c r="N967" s="116">
        <v>1582.5</v>
      </c>
      <c r="O967" s="116">
        <v>1543.25</v>
      </c>
      <c r="P967" s="116">
        <v>1547.4</v>
      </c>
      <c r="Q967" s="116">
        <v>3139.4</v>
      </c>
      <c r="R967">
        <v>188551</v>
      </c>
    </row>
    <row r="968" spans="1:18" x14ac:dyDescent="0.25">
      <c r="A968" s="170">
        <v>45961</v>
      </c>
      <c r="B968" s="116">
        <v>1576.0250000000001</v>
      </c>
      <c r="C968" s="116">
        <v>1543.95</v>
      </c>
      <c r="D968" s="116">
        <v>1540.75</v>
      </c>
      <c r="E968" s="116">
        <v>1568.5250000000001</v>
      </c>
      <c r="F968" s="116">
        <v>3087.9</v>
      </c>
      <c r="G968">
        <v>1293</v>
      </c>
      <c r="H968" s="116"/>
      <c r="I968" s="116"/>
      <c r="L968" s="170">
        <v>45961</v>
      </c>
      <c r="M968" s="116">
        <v>1544.2</v>
      </c>
      <c r="N968" s="116">
        <v>1578.25</v>
      </c>
      <c r="O968" s="116">
        <v>1540.6</v>
      </c>
      <c r="P968" s="116">
        <v>1569.7</v>
      </c>
      <c r="Q968" s="116">
        <v>3088.4</v>
      </c>
      <c r="R968">
        <v>119388</v>
      </c>
    </row>
    <row r="969" spans="1:18" x14ac:dyDescent="0.25">
      <c r="A969" s="170">
        <v>45964</v>
      </c>
      <c r="B969" s="116">
        <v>1580.675</v>
      </c>
      <c r="C969" s="116">
        <v>1552.7750000000001</v>
      </c>
      <c r="D969" s="116">
        <v>1545.05</v>
      </c>
      <c r="E969" s="116">
        <v>1563.075</v>
      </c>
      <c r="F969" s="116">
        <v>3105.55</v>
      </c>
      <c r="G969">
        <v>3727</v>
      </c>
      <c r="H969" s="116"/>
      <c r="I969" s="116"/>
      <c r="L969" s="170">
        <v>45964</v>
      </c>
      <c r="M969" s="116">
        <v>1549.55</v>
      </c>
      <c r="N969" s="116">
        <v>1579.95</v>
      </c>
      <c r="O969" s="116">
        <v>1544.25</v>
      </c>
      <c r="P969" s="116">
        <v>1555.65</v>
      </c>
      <c r="Q969" s="116">
        <v>3099.1</v>
      </c>
      <c r="R969">
        <v>112898</v>
      </c>
    </row>
    <row r="970" spans="1:18" x14ac:dyDescent="0.25">
      <c r="A970" s="170">
        <v>45965</v>
      </c>
      <c r="B970" s="116">
        <v>1574.5</v>
      </c>
      <c r="C970" s="116">
        <v>1560.2</v>
      </c>
      <c r="D970" s="116">
        <v>1533.625</v>
      </c>
      <c r="E970" s="116">
        <v>1552.9749999999999</v>
      </c>
      <c r="F970" s="116">
        <v>3120.4</v>
      </c>
      <c r="G970">
        <v>6871</v>
      </c>
      <c r="H970" s="116"/>
      <c r="I970" s="116"/>
      <c r="L970" s="170">
        <v>45965</v>
      </c>
      <c r="M970" s="116">
        <v>1559.8</v>
      </c>
      <c r="N970" s="116">
        <v>1574.5</v>
      </c>
      <c r="O970" s="116">
        <v>1532.5</v>
      </c>
      <c r="P970" s="116">
        <v>1549.55</v>
      </c>
      <c r="Q970" s="116">
        <v>3119.6</v>
      </c>
      <c r="R970">
        <v>178488</v>
      </c>
    </row>
    <row r="971" spans="1:18" x14ac:dyDescent="0.25">
      <c r="A971" s="170">
        <v>45967</v>
      </c>
      <c r="B971" s="116">
        <v>1582.5</v>
      </c>
      <c r="C971" s="116">
        <v>1552.175</v>
      </c>
      <c r="D971" s="116">
        <v>1542.5</v>
      </c>
      <c r="E971" s="116">
        <v>1561.925</v>
      </c>
      <c r="F971" s="116">
        <v>3104.35</v>
      </c>
      <c r="G971">
        <v>6315</v>
      </c>
      <c r="H971" s="116"/>
      <c r="I971" s="116"/>
      <c r="L971" s="170">
        <v>45967</v>
      </c>
      <c r="M971" s="116">
        <v>1552.2</v>
      </c>
      <c r="N971" s="116">
        <v>1584</v>
      </c>
      <c r="O971" s="116">
        <v>1540.3</v>
      </c>
      <c r="P971" s="116">
        <v>1570.95</v>
      </c>
      <c r="Q971" s="116">
        <v>3104.4</v>
      </c>
      <c r="R971">
        <v>129581</v>
      </c>
    </row>
    <row r="972" spans="1:18" x14ac:dyDescent="0.25">
      <c r="A972" s="170">
        <v>45968</v>
      </c>
      <c r="B972" s="116">
        <v>1568.05</v>
      </c>
      <c r="C972" s="116">
        <v>1562.15</v>
      </c>
      <c r="D972" s="116">
        <v>1533.0250000000001</v>
      </c>
      <c r="E972" s="116">
        <v>1550</v>
      </c>
      <c r="F972" s="116">
        <v>3124.3</v>
      </c>
      <c r="G972">
        <v>4938</v>
      </c>
      <c r="H972" s="116"/>
      <c r="I972" s="116"/>
      <c r="L972" s="170">
        <v>45968</v>
      </c>
      <c r="M972" s="116">
        <v>1560.75</v>
      </c>
      <c r="N972" s="116">
        <v>1568.5</v>
      </c>
      <c r="O972" s="116">
        <v>1530.3</v>
      </c>
      <c r="P972" s="116">
        <v>1549.5</v>
      </c>
      <c r="Q972" s="116">
        <v>3121.5</v>
      </c>
      <c r="R972">
        <v>117075</v>
      </c>
    </row>
    <row r="973" spans="1:18" x14ac:dyDescent="0.25">
      <c r="A973" s="170">
        <v>45971</v>
      </c>
      <c r="B973" s="116">
        <v>1574.9</v>
      </c>
      <c r="C973" s="116">
        <v>1559.75</v>
      </c>
      <c r="D973" s="116">
        <v>1541.75</v>
      </c>
      <c r="E973" s="116">
        <v>1551.925</v>
      </c>
      <c r="F973" s="116">
        <v>3119.5</v>
      </c>
      <c r="G973">
        <v>4904</v>
      </c>
      <c r="H973" s="116"/>
      <c r="I973" s="116"/>
      <c r="L973" s="170">
        <v>45971</v>
      </c>
      <c r="M973" s="116">
        <v>1560.65</v>
      </c>
      <c r="N973" s="116">
        <v>1575</v>
      </c>
      <c r="O973" s="116">
        <v>1542.5</v>
      </c>
      <c r="P973" s="116">
        <v>1560.75</v>
      </c>
      <c r="Q973" s="116">
        <v>3121.3</v>
      </c>
      <c r="R973">
        <v>101638</v>
      </c>
    </row>
    <row r="974" spans="1:18" x14ac:dyDescent="0.25">
      <c r="A974" s="170">
        <v>45972</v>
      </c>
      <c r="B974" s="116">
        <v>1562.6</v>
      </c>
      <c r="C974" s="116">
        <v>1544.8</v>
      </c>
      <c r="D974" s="116">
        <v>1520</v>
      </c>
      <c r="E974" s="116">
        <v>1550.075</v>
      </c>
      <c r="F974" s="116">
        <v>3089.6</v>
      </c>
      <c r="G974">
        <v>3432</v>
      </c>
      <c r="H974" s="116"/>
      <c r="I974" s="116"/>
      <c r="L974" s="170">
        <v>45972</v>
      </c>
      <c r="M974" s="116">
        <v>1542.45</v>
      </c>
      <c r="N974" s="116">
        <v>1569.95</v>
      </c>
      <c r="O974" s="116">
        <v>1520</v>
      </c>
      <c r="P974" s="116">
        <v>1562.5</v>
      </c>
      <c r="Q974" s="116">
        <v>3084.9</v>
      </c>
      <c r="R974">
        <v>151685</v>
      </c>
    </row>
    <row r="975" spans="1:18" x14ac:dyDescent="0.25">
      <c r="A975" s="170">
        <v>45973</v>
      </c>
      <c r="B975" s="116">
        <v>1559.4749999999999</v>
      </c>
      <c r="C975" s="116">
        <v>1549.425</v>
      </c>
      <c r="D975" s="116">
        <v>1512.5</v>
      </c>
      <c r="E975" s="116">
        <v>1559.4749999999999</v>
      </c>
      <c r="F975" s="116">
        <v>3098.85</v>
      </c>
      <c r="G975">
        <v>8010</v>
      </c>
      <c r="H975" s="116"/>
      <c r="I975" s="116"/>
      <c r="L975" s="170">
        <v>45973</v>
      </c>
      <c r="M975" s="116">
        <v>1548.85</v>
      </c>
      <c r="N975" s="116">
        <v>1555.25</v>
      </c>
      <c r="O975" s="116">
        <v>1512.5</v>
      </c>
      <c r="P975" s="116">
        <v>1549.45</v>
      </c>
      <c r="Q975" s="116">
        <v>3097.7</v>
      </c>
      <c r="R975">
        <v>135318</v>
      </c>
    </row>
    <row r="976" spans="1:18" x14ac:dyDescent="0.25">
      <c r="A976" s="170">
        <v>45974</v>
      </c>
      <c r="B976" s="116">
        <v>1548.9749999999999</v>
      </c>
      <c r="C976" s="116">
        <v>1535.1</v>
      </c>
      <c r="D976" s="116">
        <v>1511.375</v>
      </c>
      <c r="E976" s="116">
        <v>1548.9749999999999</v>
      </c>
      <c r="F976" s="116">
        <v>3070.2</v>
      </c>
      <c r="G976">
        <v>7366</v>
      </c>
      <c r="H976" s="116"/>
      <c r="I976" s="116"/>
      <c r="L976" s="170">
        <v>45974</v>
      </c>
      <c r="M976" s="116">
        <v>1536.9</v>
      </c>
      <c r="N976" s="116">
        <v>1547.95</v>
      </c>
      <c r="O976" s="116">
        <v>1512.5</v>
      </c>
      <c r="P976" s="116">
        <v>1544.05</v>
      </c>
      <c r="Q976" s="116">
        <v>3073.8</v>
      </c>
      <c r="R976">
        <v>149866</v>
      </c>
    </row>
    <row r="977" spans="1:18" x14ac:dyDescent="0.25">
      <c r="A977" s="170">
        <v>45975</v>
      </c>
      <c r="B977" s="116">
        <v>1539.4</v>
      </c>
      <c r="C977" s="116">
        <v>1511.7249999999999</v>
      </c>
      <c r="D977" s="116">
        <v>1506.5</v>
      </c>
      <c r="E977" s="116">
        <v>1515.9749999999999</v>
      </c>
      <c r="F977" s="116">
        <v>3023.45</v>
      </c>
      <c r="G977">
        <v>3087</v>
      </c>
      <c r="H977" s="116"/>
      <c r="I977" s="116"/>
      <c r="L977" s="170">
        <v>45975</v>
      </c>
      <c r="M977" s="116">
        <v>1511.15</v>
      </c>
      <c r="N977" s="116">
        <v>1542</v>
      </c>
      <c r="O977" s="116">
        <v>1505</v>
      </c>
      <c r="P977" s="116">
        <v>1525</v>
      </c>
      <c r="Q977" s="116">
        <v>3022.3</v>
      </c>
      <c r="R977">
        <v>96541</v>
      </c>
    </row>
    <row r="978" spans="1:18" x14ac:dyDescent="0.25">
      <c r="A978" s="170">
        <v>45978</v>
      </c>
      <c r="B978" s="116">
        <v>1532.35</v>
      </c>
      <c r="C978" s="116">
        <v>1516.2750000000001</v>
      </c>
      <c r="D978" s="116">
        <v>1508.4749999999999</v>
      </c>
      <c r="E978" s="116">
        <v>1508.4749999999999</v>
      </c>
      <c r="F978" s="116">
        <v>3032.55</v>
      </c>
      <c r="G978">
        <v>6268</v>
      </c>
      <c r="H978" s="116"/>
      <c r="I978" s="116"/>
      <c r="L978" s="170">
        <v>45978</v>
      </c>
      <c r="M978" s="116">
        <v>1517.45</v>
      </c>
      <c r="N978" s="116">
        <v>1531.1</v>
      </c>
      <c r="O978" s="116">
        <v>1510</v>
      </c>
      <c r="P978" s="116">
        <v>1517.5</v>
      </c>
      <c r="Q978" s="116">
        <v>3034.9</v>
      </c>
      <c r="R978">
        <v>88492</v>
      </c>
    </row>
    <row r="979" spans="1:18" x14ac:dyDescent="0.25">
      <c r="A979" s="170">
        <v>45979</v>
      </c>
      <c r="B979" s="116">
        <v>1521.5</v>
      </c>
      <c r="C979" s="116">
        <v>1472.95</v>
      </c>
      <c r="D979" s="116">
        <v>1467.95</v>
      </c>
      <c r="E979" s="116">
        <v>1516.5</v>
      </c>
      <c r="F979" s="116">
        <v>2945.9</v>
      </c>
      <c r="G979">
        <v>3753</v>
      </c>
      <c r="H979" s="116"/>
      <c r="I979" s="116"/>
      <c r="L979" s="170">
        <v>45979</v>
      </c>
      <c r="M979" s="116">
        <v>1472.8</v>
      </c>
      <c r="N979" s="116">
        <v>1524.9</v>
      </c>
      <c r="O979" s="116">
        <v>1466</v>
      </c>
      <c r="P979" s="116">
        <v>1524.9</v>
      </c>
      <c r="Q979" s="116">
        <v>2945.6</v>
      </c>
      <c r="R979">
        <v>95073</v>
      </c>
    </row>
    <row r="980" spans="1:18" x14ac:dyDescent="0.25">
      <c r="A980" s="170">
        <v>45980</v>
      </c>
      <c r="B980" s="116">
        <v>1484.5250000000001</v>
      </c>
      <c r="C980" s="116">
        <v>1469.625</v>
      </c>
      <c r="D980" s="116">
        <v>1457.925</v>
      </c>
      <c r="E980" s="116">
        <v>1475</v>
      </c>
      <c r="F980" s="116">
        <v>2939.25</v>
      </c>
      <c r="G980">
        <v>7261</v>
      </c>
      <c r="H980" s="116"/>
      <c r="I980" s="116"/>
      <c r="L980" s="170">
        <v>45980</v>
      </c>
      <c r="M980" s="116">
        <v>1470.75</v>
      </c>
      <c r="N980" s="116">
        <v>1482.75</v>
      </c>
      <c r="O980" s="116">
        <v>1458</v>
      </c>
      <c r="P980" s="116">
        <v>1476.5</v>
      </c>
      <c r="Q980" s="116">
        <v>2941.5</v>
      </c>
      <c r="R980">
        <v>55567</v>
      </c>
    </row>
    <row r="981" spans="1:18" x14ac:dyDescent="0.25">
      <c r="A981" s="170">
        <v>45981</v>
      </c>
      <c r="B981" s="116">
        <v>1475.175</v>
      </c>
      <c r="C981" s="116">
        <v>1434.5250000000001</v>
      </c>
      <c r="D981" s="116">
        <v>1432</v>
      </c>
      <c r="E981" s="116">
        <v>1452.575</v>
      </c>
      <c r="F981" s="116">
        <v>2869.05</v>
      </c>
      <c r="G981">
        <v>5998</v>
      </c>
      <c r="H981" s="116"/>
      <c r="I981" s="116"/>
      <c r="L981" s="170">
        <v>45981</v>
      </c>
      <c r="M981" s="116">
        <v>1435.2</v>
      </c>
      <c r="N981" s="116">
        <v>1474.75</v>
      </c>
      <c r="O981" s="116">
        <v>1425.55</v>
      </c>
      <c r="P981" s="116">
        <v>1474</v>
      </c>
      <c r="Q981" s="116">
        <v>2870.4</v>
      </c>
      <c r="R981">
        <v>136417</v>
      </c>
    </row>
    <row r="982" spans="1:18" x14ac:dyDescent="0.25">
      <c r="A982" s="170">
        <v>45982</v>
      </c>
      <c r="B982" s="116">
        <v>1447.075</v>
      </c>
      <c r="C982" s="116">
        <v>1426.15</v>
      </c>
      <c r="D982" s="116">
        <v>1399.9749999999999</v>
      </c>
      <c r="E982" s="116">
        <v>1399.9749999999999</v>
      </c>
      <c r="F982" s="116">
        <v>2852.3</v>
      </c>
      <c r="G982">
        <v>4760</v>
      </c>
      <c r="H982" s="116"/>
      <c r="I982" s="116"/>
      <c r="L982" s="170">
        <v>45982</v>
      </c>
      <c r="M982" s="116">
        <v>1427.95</v>
      </c>
      <c r="N982" s="116">
        <v>1448.5</v>
      </c>
      <c r="O982" s="116">
        <v>1401</v>
      </c>
      <c r="P982" s="116">
        <v>1401</v>
      </c>
      <c r="Q982" s="116">
        <v>2855.9</v>
      </c>
      <c r="R982">
        <v>126021</v>
      </c>
    </row>
    <row r="983" spans="1:18" x14ac:dyDescent="0.25">
      <c r="A983" s="170">
        <v>45985</v>
      </c>
      <c r="B983" s="116">
        <v>1441.05</v>
      </c>
      <c r="C983" s="116">
        <v>1430.4</v>
      </c>
      <c r="D983" s="116">
        <v>1387.5</v>
      </c>
      <c r="E983" s="116">
        <v>1410.675</v>
      </c>
      <c r="F983" s="116">
        <v>2860.8</v>
      </c>
      <c r="G983">
        <v>5762</v>
      </c>
      <c r="H983" s="116"/>
      <c r="I983" s="116"/>
      <c r="L983" s="170">
        <v>45985</v>
      </c>
      <c r="M983" s="116">
        <v>1432.4</v>
      </c>
      <c r="N983" s="116">
        <v>1440</v>
      </c>
      <c r="O983" s="116">
        <v>1385.75</v>
      </c>
      <c r="P983" s="116">
        <v>1415.45</v>
      </c>
      <c r="Q983" s="116">
        <v>2864.8</v>
      </c>
      <c r="R983">
        <v>332035</v>
      </c>
    </row>
    <row r="984" spans="1:18" x14ac:dyDescent="0.25">
      <c r="A984" s="170">
        <v>45986</v>
      </c>
      <c r="B984" s="116">
        <v>1449.5</v>
      </c>
      <c r="C984" s="116">
        <v>1444.7</v>
      </c>
      <c r="D984" s="116">
        <v>1426.325</v>
      </c>
      <c r="E984" s="116">
        <v>1427.5</v>
      </c>
      <c r="F984" s="116">
        <v>2889.4</v>
      </c>
      <c r="G984">
        <v>1639</v>
      </c>
      <c r="H984" s="116"/>
      <c r="I984" s="116"/>
      <c r="L984" s="170">
        <v>45986</v>
      </c>
      <c r="M984" s="116">
        <v>1444.4</v>
      </c>
      <c r="N984" s="116">
        <v>1449.95</v>
      </c>
      <c r="O984" s="116">
        <v>1425.35</v>
      </c>
      <c r="P984" s="116">
        <v>1430</v>
      </c>
      <c r="Q984" s="116">
        <v>2888.8</v>
      </c>
      <c r="R984">
        <v>63159</v>
      </c>
    </row>
    <row r="985" spans="1:18" x14ac:dyDescent="0.25">
      <c r="A985" s="170">
        <v>45987</v>
      </c>
      <c r="B985" s="116">
        <v>1466.7</v>
      </c>
      <c r="C985" s="116">
        <v>1446.45</v>
      </c>
      <c r="D985" s="116">
        <v>1439.325</v>
      </c>
      <c r="E985" s="116">
        <v>1444.8</v>
      </c>
      <c r="F985" s="116">
        <v>2892.9</v>
      </c>
      <c r="G985">
        <v>4045</v>
      </c>
      <c r="H985" s="116"/>
      <c r="I985" s="116"/>
      <c r="L985" s="170">
        <v>45987</v>
      </c>
      <c r="M985" s="116">
        <v>1447.8</v>
      </c>
      <c r="N985" s="116">
        <v>1466.7</v>
      </c>
      <c r="O985" s="116">
        <v>1440</v>
      </c>
      <c r="P985" s="116">
        <v>1450.45</v>
      </c>
      <c r="Q985" s="116">
        <v>2895.6</v>
      </c>
      <c r="R985">
        <v>74283</v>
      </c>
    </row>
    <row r="986" spans="1:18" x14ac:dyDescent="0.25">
      <c r="A986" s="170">
        <v>45988</v>
      </c>
      <c r="B986" s="116">
        <v>1454</v>
      </c>
      <c r="C986" s="116">
        <v>1444.4</v>
      </c>
      <c r="D986" s="116">
        <v>1435</v>
      </c>
      <c r="E986" s="116">
        <v>1453.0250000000001</v>
      </c>
      <c r="F986" s="116">
        <v>2888.8</v>
      </c>
      <c r="G986">
        <v>1991</v>
      </c>
      <c r="H986" s="116"/>
      <c r="I986" s="116"/>
      <c r="L986" s="170">
        <v>45988</v>
      </c>
      <c r="M986" s="116">
        <v>1444.8</v>
      </c>
      <c r="N986" s="116">
        <v>1455</v>
      </c>
      <c r="O986" s="116">
        <v>1432</v>
      </c>
      <c r="P986" s="116">
        <v>1450</v>
      </c>
      <c r="Q986" s="116">
        <v>2889.6</v>
      </c>
      <c r="R986">
        <v>42841</v>
      </c>
    </row>
    <row r="987" spans="1:18" x14ac:dyDescent="0.25">
      <c r="A987" s="170">
        <v>45989</v>
      </c>
      <c r="B987" s="116">
        <v>1448.375</v>
      </c>
      <c r="C987" s="116">
        <v>1444.95</v>
      </c>
      <c r="D987" s="116">
        <v>1426.9749999999999</v>
      </c>
      <c r="E987" s="116">
        <v>1438</v>
      </c>
      <c r="F987" s="116">
        <v>2889.9</v>
      </c>
      <c r="G987">
        <v>3022</v>
      </c>
      <c r="H987" s="116"/>
      <c r="I987" s="116"/>
      <c r="L987" s="170">
        <v>45989</v>
      </c>
      <c r="M987" s="116">
        <v>1444.45</v>
      </c>
      <c r="N987" s="116">
        <v>1449.5</v>
      </c>
      <c r="O987" s="116">
        <v>1427.05</v>
      </c>
      <c r="P987" s="116">
        <v>1440</v>
      </c>
      <c r="Q987" s="116">
        <v>2888.9</v>
      </c>
      <c r="R987">
        <v>56697</v>
      </c>
    </row>
    <row r="988" spans="1:18" x14ac:dyDescent="0.25">
      <c r="A988" s="170">
        <v>45992</v>
      </c>
      <c r="B988" s="116">
        <v>1472</v>
      </c>
      <c r="C988" s="116">
        <v>1462.375</v>
      </c>
      <c r="D988" s="116">
        <v>1452.175</v>
      </c>
      <c r="E988" s="116">
        <v>1452.5</v>
      </c>
      <c r="F988" s="116">
        <v>2924.75</v>
      </c>
      <c r="G988">
        <v>9849</v>
      </c>
      <c r="H988" s="116"/>
      <c r="I988" s="116"/>
      <c r="L988" s="170">
        <v>45992</v>
      </c>
      <c r="M988" s="116">
        <v>1462.45</v>
      </c>
      <c r="N988" s="116">
        <v>1471.5</v>
      </c>
      <c r="O988" s="116">
        <v>1450.75</v>
      </c>
      <c r="P988" s="116">
        <v>1461.6</v>
      </c>
      <c r="Q988" s="116">
        <v>2924.9</v>
      </c>
      <c r="R988">
        <v>119486</v>
      </c>
    </row>
    <row r="989" spans="1:18" x14ac:dyDescent="0.25">
      <c r="A989" s="170">
        <v>45993</v>
      </c>
      <c r="B989" s="116">
        <v>1464.55</v>
      </c>
      <c r="C989" s="116">
        <v>1462.9</v>
      </c>
      <c r="D989" s="116">
        <v>1445.5</v>
      </c>
      <c r="E989" s="116">
        <v>1462.375</v>
      </c>
      <c r="F989" s="116">
        <v>2925.8</v>
      </c>
      <c r="G989">
        <v>1255</v>
      </c>
      <c r="H989" s="116"/>
      <c r="I989" s="116"/>
      <c r="L989" s="170">
        <v>45993</v>
      </c>
      <c r="M989" s="116">
        <v>1462.4</v>
      </c>
      <c r="N989" s="116">
        <v>1466.6</v>
      </c>
      <c r="O989" s="116">
        <v>1442.55</v>
      </c>
      <c r="P989" s="116">
        <v>1462.45</v>
      </c>
      <c r="Q989" s="116">
        <v>2924.8</v>
      </c>
      <c r="R989">
        <v>58419</v>
      </c>
    </row>
    <row r="990" spans="1:18" x14ac:dyDescent="0.25">
      <c r="A990" s="170">
        <v>45994</v>
      </c>
      <c r="B990" s="116">
        <v>1475</v>
      </c>
      <c r="C990" s="116">
        <v>1453.5</v>
      </c>
      <c r="D990" s="116">
        <v>1443</v>
      </c>
      <c r="E990" s="116">
        <v>1475</v>
      </c>
      <c r="F990" s="116">
        <v>2907</v>
      </c>
      <c r="G990">
        <v>3079</v>
      </c>
      <c r="H990" s="116"/>
      <c r="I990" s="116"/>
      <c r="L990" s="170">
        <v>45994</v>
      </c>
      <c r="M990" s="116">
        <v>1454.5</v>
      </c>
      <c r="N990" s="116">
        <v>1466.35</v>
      </c>
      <c r="O990" s="116">
        <v>1444.65</v>
      </c>
      <c r="P990" s="116">
        <v>1465</v>
      </c>
      <c r="Q990" s="116">
        <v>2909</v>
      </c>
      <c r="R990">
        <v>40893</v>
      </c>
    </row>
    <row r="991" spans="1:18" x14ac:dyDescent="0.25">
      <c r="A991" s="170">
        <v>45995</v>
      </c>
      <c r="B991" s="116">
        <v>1469.575</v>
      </c>
      <c r="C991" s="116">
        <v>1466.3</v>
      </c>
      <c r="D991" s="116">
        <v>1445.2750000000001</v>
      </c>
      <c r="E991" s="116">
        <v>1462.9749999999999</v>
      </c>
      <c r="F991" s="116">
        <v>2932.6</v>
      </c>
      <c r="G991">
        <v>1278</v>
      </c>
      <c r="H991" s="116"/>
      <c r="I991" s="116"/>
      <c r="L991" s="170">
        <v>45995</v>
      </c>
      <c r="M991" s="116">
        <v>1467.1</v>
      </c>
      <c r="N991" s="116">
        <v>1471.65</v>
      </c>
      <c r="O991" s="116">
        <v>1445</v>
      </c>
      <c r="P991" s="116">
        <v>1460.05</v>
      </c>
      <c r="Q991" s="116">
        <v>2934.2</v>
      </c>
      <c r="R991">
        <v>62744</v>
      </c>
    </row>
    <row r="992" spans="1:18" x14ac:dyDescent="0.25">
      <c r="A992" s="170">
        <v>45996</v>
      </c>
      <c r="B992" s="116">
        <v>1460.95</v>
      </c>
      <c r="C992" s="116">
        <v>1446.45</v>
      </c>
      <c r="D992" s="116">
        <v>1440</v>
      </c>
      <c r="E992" s="116">
        <v>1459</v>
      </c>
      <c r="F992" s="116">
        <v>2892.9</v>
      </c>
      <c r="G992">
        <v>850</v>
      </c>
      <c r="H992" s="116"/>
      <c r="I992" s="116"/>
      <c r="L992" s="170">
        <v>45996</v>
      </c>
      <c r="M992" s="116">
        <v>1448.95</v>
      </c>
      <c r="N992" s="116">
        <v>1464.5</v>
      </c>
      <c r="O992" s="116">
        <v>1439</v>
      </c>
      <c r="P992" s="116">
        <v>1459</v>
      </c>
      <c r="Q992" s="116">
        <v>2897.9</v>
      </c>
      <c r="R992">
        <v>51411</v>
      </c>
    </row>
    <row r="993" spans="1:18" x14ac:dyDescent="0.25">
      <c r="A993" s="170">
        <v>45999</v>
      </c>
      <c r="B993" s="116">
        <v>1451.55</v>
      </c>
      <c r="C993" s="116">
        <v>1412.375</v>
      </c>
      <c r="D993" s="116">
        <v>1402.35</v>
      </c>
      <c r="E993" s="116">
        <v>1446.45</v>
      </c>
      <c r="F993" s="116">
        <v>2824.75</v>
      </c>
      <c r="G993">
        <v>7092</v>
      </c>
      <c r="H993" s="116"/>
      <c r="I993" s="116"/>
      <c r="L993" s="170">
        <v>45999</v>
      </c>
      <c r="M993" s="116">
        <v>1419.75</v>
      </c>
      <c r="N993" s="116">
        <v>1455</v>
      </c>
      <c r="O993" s="116">
        <v>1400</v>
      </c>
      <c r="P993" s="116">
        <v>1448.95</v>
      </c>
      <c r="Q993" s="116">
        <v>2839.5</v>
      </c>
      <c r="R993">
        <v>283111</v>
      </c>
    </row>
    <row r="994" spans="1:18" x14ac:dyDescent="0.25">
      <c r="A994" s="170">
        <v>46000</v>
      </c>
      <c r="B994" s="116">
        <v>1442.075</v>
      </c>
      <c r="C994" s="116">
        <v>1434.95</v>
      </c>
      <c r="D994" s="116">
        <v>1398.5</v>
      </c>
      <c r="E994" s="116">
        <v>1401.375</v>
      </c>
      <c r="F994" s="116">
        <v>2869.9</v>
      </c>
      <c r="G994">
        <v>15122</v>
      </c>
      <c r="H994" s="116"/>
      <c r="I994" s="116"/>
      <c r="L994" s="170">
        <v>46000</v>
      </c>
      <c r="M994" s="116">
        <v>1434</v>
      </c>
      <c r="N994" s="116">
        <v>1441.9</v>
      </c>
      <c r="O994" s="116">
        <v>1396.5</v>
      </c>
      <c r="P994" s="116">
        <v>1410</v>
      </c>
      <c r="Q994" s="116">
        <v>2868</v>
      </c>
      <c r="R994">
        <v>2822994</v>
      </c>
    </row>
    <row r="995" spans="1:18" x14ac:dyDescent="0.25">
      <c r="A995" s="170">
        <v>46001</v>
      </c>
      <c r="B995" s="116">
        <v>1451.825</v>
      </c>
      <c r="C995" s="116">
        <v>1435.825</v>
      </c>
      <c r="D995" s="116">
        <v>1427.9749999999999</v>
      </c>
      <c r="E995" s="116">
        <v>1436.5250000000001</v>
      </c>
      <c r="F995" s="116">
        <v>2871.65</v>
      </c>
      <c r="G995">
        <v>5066</v>
      </c>
      <c r="H995" s="116"/>
      <c r="I995" s="116"/>
      <c r="L995" s="170">
        <v>46001</v>
      </c>
      <c r="M995" s="116">
        <v>1434.8</v>
      </c>
      <c r="N995" s="116">
        <v>1457.5</v>
      </c>
      <c r="O995" s="116">
        <v>1427</v>
      </c>
      <c r="P995" s="116">
        <v>1441</v>
      </c>
      <c r="Q995" s="116">
        <v>2869.6</v>
      </c>
      <c r="R995">
        <v>419109</v>
      </c>
    </row>
    <row r="996" spans="1:18" x14ac:dyDescent="0.25">
      <c r="A996" s="170">
        <v>46002</v>
      </c>
      <c r="B996" s="116">
        <v>1464</v>
      </c>
      <c r="C996" s="116">
        <v>1442.5</v>
      </c>
      <c r="D996" s="116">
        <v>1435</v>
      </c>
      <c r="E996" s="116">
        <v>1435.825</v>
      </c>
      <c r="F996" s="116">
        <v>2885</v>
      </c>
      <c r="G996">
        <v>23788</v>
      </c>
      <c r="H996" s="116"/>
      <c r="I996" s="116"/>
      <c r="L996" s="170">
        <v>46002</v>
      </c>
      <c r="M996" s="116">
        <v>1442.25</v>
      </c>
      <c r="N996" s="116">
        <v>1464.95</v>
      </c>
      <c r="O996" s="116">
        <v>1434</v>
      </c>
      <c r="P996" s="116">
        <v>1435</v>
      </c>
      <c r="Q996" s="116">
        <v>2884.5</v>
      </c>
      <c r="R996">
        <v>429405</v>
      </c>
    </row>
    <row r="997" spans="1:18" x14ac:dyDescent="0.25">
      <c r="A997" s="170">
        <v>46003</v>
      </c>
      <c r="B997" s="116">
        <v>1475</v>
      </c>
      <c r="C997" s="116">
        <v>1471.625</v>
      </c>
      <c r="D997" s="116">
        <v>1440.625</v>
      </c>
      <c r="E997" s="116">
        <v>1450.2</v>
      </c>
      <c r="F997" s="116">
        <v>2943.25</v>
      </c>
      <c r="G997">
        <v>13070</v>
      </c>
      <c r="H997" s="116"/>
      <c r="I997" s="116"/>
      <c r="L997" s="170">
        <v>46003</v>
      </c>
      <c r="M997" s="116">
        <v>1469.5</v>
      </c>
      <c r="N997" s="116">
        <v>1475</v>
      </c>
      <c r="O997" s="116">
        <v>1441</v>
      </c>
      <c r="P997" s="116">
        <v>1454.9</v>
      </c>
      <c r="Q997" s="116">
        <v>2939</v>
      </c>
      <c r="R997">
        <v>375152</v>
      </c>
    </row>
    <row r="998" spans="1:18" x14ac:dyDescent="0.25">
      <c r="A998" s="170">
        <v>46006</v>
      </c>
      <c r="B998" s="116">
        <v>1499.9749999999999</v>
      </c>
      <c r="C998" s="116">
        <v>1490.4749999999999</v>
      </c>
      <c r="D998" s="116">
        <v>1462.5</v>
      </c>
      <c r="E998" s="116">
        <v>1475.9749999999999</v>
      </c>
      <c r="F998" s="116">
        <v>2980.95</v>
      </c>
      <c r="G998">
        <v>13867</v>
      </c>
      <c r="H998" s="116"/>
      <c r="I998" s="116"/>
      <c r="L998" s="170">
        <v>46006</v>
      </c>
      <c r="M998" s="116">
        <v>1490.65</v>
      </c>
      <c r="N998" s="116">
        <v>1498.9</v>
      </c>
      <c r="O998" s="116">
        <v>1462.45</v>
      </c>
      <c r="P998" s="116">
        <v>1471.05</v>
      </c>
      <c r="Q998" s="116">
        <v>2981.3</v>
      </c>
      <c r="R998">
        <v>240708</v>
      </c>
    </row>
    <row r="999" spans="1:18" x14ac:dyDescent="0.25">
      <c r="A999" s="170">
        <v>46007</v>
      </c>
      <c r="B999" s="116">
        <v>1506.9749999999999</v>
      </c>
      <c r="C999" s="116">
        <v>1496.15</v>
      </c>
      <c r="D999" s="116">
        <v>1446.075</v>
      </c>
      <c r="E999" s="116">
        <v>1446.075</v>
      </c>
      <c r="F999" s="116">
        <v>2992.3</v>
      </c>
      <c r="G999">
        <v>5095</v>
      </c>
      <c r="H999" s="116"/>
      <c r="I999" s="116"/>
      <c r="L999" s="170">
        <v>46007</v>
      </c>
      <c r="M999" s="116">
        <v>1496.2</v>
      </c>
      <c r="N999" s="116">
        <v>1506.5</v>
      </c>
      <c r="O999" s="116">
        <v>1480.05</v>
      </c>
      <c r="P999" s="116">
        <v>1490</v>
      </c>
      <c r="Q999" s="116">
        <v>2992.4</v>
      </c>
      <c r="R999">
        <v>245470</v>
      </c>
    </row>
    <row r="1000" spans="1:18" x14ac:dyDescent="0.25">
      <c r="A1000" s="170">
        <v>46008</v>
      </c>
      <c r="B1000" s="116">
        <v>1505.15</v>
      </c>
      <c r="C1000" s="116">
        <v>1491.35</v>
      </c>
      <c r="D1000" s="116">
        <v>1487.7</v>
      </c>
      <c r="E1000" s="116">
        <v>1496.15</v>
      </c>
      <c r="F1000" s="116">
        <v>2982.7</v>
      </c>
      <c r="G1000">
        <v>3532</v>
      </c>
      <c r="H1000" s="116"/>
      <c r="I1000" s="116"/>
      <c r="L1000" s="170">
        <v>46008</v>
      </c>
      <c r="M1000" s="116">
        <v>1494.8</v>
      </c>
      <c r="N1000" s="116">
        <v>1504.95</v>
      </c>
      <c r="O1000" s="116">
        <v>1487.5</v>
      </c>
      <c r="P1000" s="116">
        <v>1498.95</v>
      </c>
      <c r="Q1000" s="116">
        <v>2989.6</v>
      </c>
      <c r="R1000">
        <v>199131</v>
      </c>
    </row>
    <row r="1001" spans="1:18" x14ac:dyDescent="0.25">
      <c r="A1001" s="170">
        <v>46009</v>
      </c>
      <c r="B1001" s="116">
        <v>1501.825</v>
      </c>
      <c r="C1001" s="116">
        <v>1493.7</v>
      </c>
      <c r="D1001" s="116">
        <v>1471.325</v>
      </c>
      <c r="E1001" s="116">
        <v>1501.825</v>
      </c>
      <c r="F1001" s="116">
        <v>2987.4</v>
      </c>
      <c r="G1001">
        <v>8497</v>
      </c>
      <c r="H1001" s="116"/>
      <c r="I1001" s="116"/>
      <c r="L1001" s="170">
        <v>46009</v>
      </c>
      <c r="M1001" s="116">
        <v>1495.2</v>
      </c>
      <c r="N1001" s="116">
        <v>1501.4</v>
      </c>
      <c r="O1001" s="116">
        <v>1486.35</v>
      </c>
      <c r="P1001" s="116">
        <v>1496.55</v>
      </c>
      <c r="Q1001" s="116">
        <v>2990.4</v>
      </c>
      <c r="R1001">
        <v>235468</v>
      </c>
    </row>
    <row r="1002" spans="1:18" x14ac:dyDescent="0.25">
      <c r="A1002" s="170">
        <v>46010</v>
      </c>
      <c r="B1002" s="116">
        <v>1515.5</v>
      </c>
      <c r="C1002" s="116">
        <v>1502.625</v>
      </c>
      <c r="D1002" s="116">
        <v>1486.825</v>
      </c>
      <c r="E1002" s="116">
        <v>1493.85</v>
      </c>
      <c r="F1002" s="116">
        <v>3005.25</v>
      </c>
      <c r="G1002">
        <v>7410</v>
      </c>
      <c r="H1002" s="116"/>
      <c r="I1002" s="116"/>
      <c r="L1002" s="170">
        <v>46010</v>
      </c>
      <c r="M1002" s="116">
        <v>1501.6</v>
      </c>
      <c r="N1002" s="116">
        <v>1517.1</v>
      </c>
      <c r="O1002" s="116">
        <v>1485.85</v>
      </c>
      <c r="P1002" s="116">
        <v>1501</v>
      </c>
      <c r="Q1002" s="116">
        <v>3003.2</v>
      </c>
      <c r="R1002">
        <v>419182</v>
      </c>
    </row>
    <row r="1003" spans="1:18" x14ac:dyDescent="0.25">
      <c r="A1003" s="170">
        <v>46013</v>
      </c>
      <c r="B1003" s="116">
        <v>1511.2750000000001</v>
      </c>
      <c r="C1003" s="116">
        <v>1499.1</v>
      </c>
      <c r="D1003" s="116">
        <v>1487.6</v>
      </c>
      <c r="E1003" s="116">
        <v>1487.6</v>
      </c>
      <c r="F1003" s="116">
        <v>2998.2</v>
      </c>
      <c r="G1003">
        <v>15263</v>
      </c>
      <c r="H1003" s="116"/>
      <c r="I1003" s="116"/>
      <c r="L1003" s="170">
        <v>46013</v>
      </c>
      <c r="M1003" s="116">
        <v>1499.35</v>
      </c>
      <c r="N1003" s="116">
        <v>1511.45</v>
      </c>
      <c r="O1003" s="116">
        <v>1486.3</v>
      </c>
      <c r="P1003" s="116">
        <v>1490.5</v>
      </c>
      <c r="Q1003" s="116">
        <v>2998.7</v>
      </c>
      <c r="R1003">
        <v>219418</v>
      </c>
    </row>
    <row r="1004" spans="1:18" x14ac:dyDescent="0.25">
      <c r="A1004" s="170">
        <v>46014</v>
      </c>
      <c r="B1004" s="116">
        <v>1525</v>
      </c>
      <c r="C1004" s="116">
        <v>1518.8</v>
      </c>
      <c r="D1004" s="116">
        <v>1490</v>
      </c>
      <c r="E1004" s="116">
        <v>1490</v>
      </c>
      <c r="F1004" s="116">
        <v>3037.6</v>
      </c>
      <c r="G1004">
        <v>4707</v>
      </c>
      <c r="H1004" s="116"/>
      <c r="I1004" s="116"/>
      <c r="L1004" s="170">
        <v>46014</v>
      </c>
      <c r="M1004" s="116">
        <v>1515.25</v>
      </c>
      <c r="N1004" s="116">
        <v>1525</v>
      </c>
      <c r="O1004" s="116">
        <v>1490</v>
      </c>
      <c r="P1004" s="116">
        <v>1490</v>
      </c>
      <c r="Q1004" s="116">
        <v>3030.5</v>
      </c>
      <c r="R1004">
        <v>288928</v>
      </c>
    </row>
    <row r="1005" spans="1:18" x14ac:dyDescent="0.25">
      <c r="A1005" s="170">
        <v>46015</v>
      </c>
      <c r="B1005" s="116">
        <v>1542.375</v>
      </c>
      <c r="C1005" s="116">
        <v>1530.85</v>
      </c>
      <c r="D1005" s="116">
        <v>1514.5250000000001</v>
      </c>
      <c r="E1005" s="116">
        <v>1518.2750000000001</v>
      </c>
      <c r="F1005" s="116">
        <v>3061.7</v>
      </c>
      <c r="G1005">
        <v>6670</v>
      </c>
      <c r="H1005" s="116"/>
      <c r="I1005" s="116"/>
      <c r="L1005" s="170">
        <v>46015</v>
      </c>
      <c r="M1005" s="116">
        <v>1531.25</v>
      </c>
      <c r="N1005" s="116">
        <v>1542.5</v>
      </c>
      <c r="O1005" s="116">
        <v>1512.45</v>
      </c>
      <c r="P1005" s="116">
        <v>1515</v>
      </c>
      <c r="Q1005" s="116">
        <v>3062.5</v>
      </c>
      <c r="R1005">
        <v>126386</v>
      </c>
    </row>
    <row r="1006" spans="1:18" x14ac:dyDescent="0.25">
      <c r="A1006" s="170">
        <v>46017</v>
      </c>
      <c r="B1006" s="116">
        <v>1554.7</v>
      </c>
      <c r="C1006" s="116">
        <v>1516.075</v>
      </c>
      <c r="D1006" s="116">
        <v>1506.35</v>
      </c>
      <c r="E1006" s="116">
        <v>1544.425</v>
      </c>
      <c r="F1006" s="116">
        <v>3032.15</v>
      </c>
      <c r="G1006">
        <v>3939</v>
      </c>
      <c r="H1006" s="116"/>
      <c r="I1006" s="116"/>
      <c r="L1006" s="170">
        <v>46017</v>
      </c>
      <c r="M1006" s="116">
        <v>1516.75</v>
      </c>
      <c r="N1006" s="116">
        <v>1554.45</v>
      </c>
      <c r="O1006" s="116">
        <v>1506.25</v>
      </c>
      <c r="P1006" s="116">
        <v>1535</v>
      </c>
      <c r="Q1006" s="116">
        <v>3033.5</v>
      </c>
      <c r="R1006">
        <v>314680</v>
      </c>
    </row>
    <row r="1007" spans="1:18" x14ac:dyDescent="0.25">
      <c r="A1007" s="170">
        <v>46020</v>
      </c>
      <c r="B1007" s="116">
        <v>1557.5</v>
      </c>
      <c r="C1007" s="116">
        <v>1543.7</v>
      </c>
      <c r="D1007" s="116">
        <v>1516.4749999999999</v>
      </c>
      <c r="E1007" s="116">
        <v>1516.4749999999999</v>
      </c>
      <c r="F1007" s="116">
        <v>3087.4</v>
      </c>
      <c r="G1007">
        <v>13499</v>
      </c>
      <c r="H1007" s="116"/>
      <c r="I1007" s="116"/>
      <c r="L1007" s="170">
        <v>46020</v>
      </c>
      <c r="M1007" s="116">
        <v>1540.85</v>
      </c>
      <c r="N1007" s="116">
        <v>1558.4</v>
      </c>
      <c r="O1007" s="116">
        <v>1516.75</v>
      </c>
      <c r="P1007" s="116">
        <v>1525.95</v>
      </c>
      <c r="Q1007" s="116">
        <v>3081.7</v>
      </c>
      <c r="R1007">
        <v>369827</v>
      </c>
    </row>
    <row r="1008" spans="1:18" x14ac:dyDescent="0.25">
      <c r="A1008" s="170">
        <v>46021</v>
      </c>
      <c r="B1008" s="116">
        <v>1568.8</v>
      </c>
      <c r="C1008" s="116">
        <v>1544.9749999999999</v>
      </c>
      <c r="D1008" s="116">
        <v>1522</v>
      </c>
      <c r="E1008" s="116">
        <v>1543.75</v>
      </c>
      <c r="F1008" s="116">
        <v>3089.95</v>
      </c>
      <c r="G1008">
        <v>12817</v>
      </c>
      <c r="H1008" s="116"/>
      <c r="I1008" s="116"/>
      <c r="L1008" s="170">
        <v>46021</v>
      </c>
      <c r="M1008" s="116">
        <v>1545.95</v>
      </c>
      <c r="N1008" s="116">
        <v>1568.5</v>
      </c>
      <c r="O1008" s="116">
        <v>1520.8</v>
      </c>
      <c r="P1008" s="116">
        <v>1542.8</v>
      </c>
      <c r="Q1008" s="116">
        <v>3091.9</v>
      </c>
      <c r="R1008">
        <v>711830</v>
      </c>
    </row>
    <row r="1009" spans="1:18" x14ac:dyDescent="0.25">
      <c r="A1009" s="170">
        <v>46022</v>
      </c>
      <c r="B1009" s="116">
        <v>1566.425</v>
      </c>
      <c r="C1009" s="116">
        <v>1556.35</v>
      </c>
      <c r="D1009" s="116">
        <v>1541.7</v>
      </c>
      <c r="E1009" s="116">
        <v>1542.575</v>
      </c>
      <c r="F1009" s="116">
        <v>3112.7</v>
      </c>
      <c r="G1009">
        <v>6850</v>
      </c>
      <c r="H1009" s="116"/>
      <c r="I1009" s="116"/>
      <c r="L1009" s="170">
        <v>46022</v>
      </c>
      <c r="M1009" s="116">
        <v>1556.2</v>
      </c>
      <c r="N1009" s="116">
        <v>1567.5</v>
      </c>
      <c r="O1009" s="116">
        <v>1539.45</v>
      </c>
      <c r="P1009" s="116">
        <v>1546.5</v>
      </c>
      <c r="Q1009" s="116">
        <v>3112.4</v>
      </c>
      <c r="R1009">
        <v>233120</v>
      </c>
    </row>
    <row r="1010" spans="1:18" x14ac:dyDescent="0.25">
      <c r="A1010" s="170">
        <v>46023</v>
      </c>
      <c r="B1010" s="116">
        <v>1550.95</v>
      </c>
      <c r="C1010" s="116">
        <v>1546.6</v>
      </c>
      <c r="D1010" s="116">
        <v>1530.125</v>
      </c>
      <c r="E1010" s="116">
        <v>1545.325</v>
      </c>
      <c r="F1010" s="116">
        <v>3093.2</v>
      </c>
      <c r="G1010">
        <v>5731</v>
      </c>
      <c r="H1010" s="116"/>
      <c r="I1010" s="116"/>
      <c r="L1010" s="170">
        <v>46023</v>
      </c>
      <c r="M1010" s="116">
        <v>1547.45</v>
      </c>
      <c r="N1010" s="116">
        <v>1551.8</v>
      </c>
      <c r="O1010" s="116">
        <v>1531</v>
      </c>
      <c r="P1010" s="116">
        <v>1551.5</v>
      </c>
      <c r="Q1010" s="116">
        <v>3094.9</v>
      </c>
      <c r="R1010">
        <v>265253</v>
      </c>
    </row>
    <row r="1011" spans="1:18" x14ac:dyDescent="0.25">
      <c r="A1011" s="170">
        <v>46024</v>
      </c>
      <c r="B1011" s="116">
        <v>1553.35</v>
      </c>
      <c r="C1011" s="116">
        <v>1539.2750000000001</v>
      </c>
      <c r="D1011" s="116">
        <v>1528.6</v>
      </c>
      <c r="E1011" s="116">
        <v>1540</v>
      </c>
      <c r="F1011" s="116">
        <v>3078.55</v>
      </c>
      <c r="G1011">
        <v>2856</v>
      </c>
      <c r="H1011" s="116"/>
      <c r="I1011" s="116"/>
      <c r="L1011" s="170">
        <v>46024</v>
      </c>
      <c r="M1011" s="116">
        <v>1539.7</v>
      </c>
      <c r="N1011" s="116">
        <v>1553.75</v>
      </c>
      <c r="O1011" s="116">
        <v>1527.5</v>
      </c>
      <c r="P1011" s="116">
        <v>1537</v>
      </c>
      <c r="Q1011" s="116">
        <v>3079.4</v>
      </c>
      <c r="R1011">
        <v>149134</v>
      </c>
    </row>
    <row r="1012" spans="1:18" x14ac:dyDescent="0.25">
      <c r="A1012" s="170">
        <v>46027</v>
      </c>
      <c r="B1012" s="116">
        <v>1572.7249999999999</v>
      </c>
      <c r="C1012" s="116">
        <v>1562.45</v>
      </c>
      <c r="D1012" s="116">
        <v>1545.45</v>
      </c>
      <c r="E1012" s="116">
        <v>1562.125</v>
      </c>
      <c r="F1012" s="116">
        <v>3124.9</v>
      </c>
      <c r="G1012">
        <v>4690</v>
      </c>
      <c r="H1012" s="116"/>
      <c r="I1012" s="116"/>
      <c r="L1012" s="170">
        <v>46027</v>
      </c>
      <c r="M1012" s="116">
        <v>1561.8</v>
      </c>
      <c r="N1012" s="116">
        <v>1572.5</v>
      </c>
      <c r="O1012" s="116">
        <v>1541.3</v>
      </c>
      <c r="P1012" s="116">
        <v>1549.5</v>
      </c>
      <c r="Q1012" s="116">
        <v>3123.6</v>
      </c>
      <c r="R1012">
        <v>154296</v>
      </c>
    </row>
    <row r="1013" spans="1:18" x14ac:dyDescent="0.25">
      <c r="A1013" s="170">
        <v>46028</v>
      </c>
      <c r="B1013" s="116">
        <v>1585</v>
      </c>
      <c r="C1013" s="116">
        <v>1574.05</v>
      </c>
      <c r="D1013" s="116">
        <v>1551.8</v>
      </c>
      <c r="E1013" s="116">
        <v>1551.8</v>
      </c>
      <c r="F1013" s="116">
        <v>3148.1</v>
      </c>
      <c r="G1013">
        <v>8780</v>
      </c>
      <c r="H1013" s="116"/>
      <c r="I1013" s="116"/>
      <c r="L1013" s="170">
        <v>46028</v>
      </c>
      <c r="M1013" s="116">
        <v>1574.6</v>
      </c>
      <c r="N1013" s="116">
        <v>1585</v>
      </c>
      <c r="O1013" s="116">
        <v>1550.5</v>
      </c>
      <c r="P1013" s="116">
        <v>1552.8</v>
      </c>
      <c r="Q1013" s="116">
        <v>3149.2</v>
      </c>
      <c r="R1013">
        <v>183406</v>
      </c>
    </row>
    <row r="1014" spans="1:18" x14ac:dyDescent="0.25">
      <c r="A1014" s="170">
        <v>46029</v>
      </c>
      <c r="B1014" s="116">
        <v>1590.05</v>
      </c>
      <c r="C1014" s="116">
        <v>1581.4749999999999</v>
      </c>
      <c r="D1014" s="116">
        <v>1564.675</v>
      </c>
      <c r="E1014" s="116">
        <v>1564.675</v>
      </c>
      <c r="F1014" s="116">
        <v>3162.95</v>
      </c>
      <c r="G1014">
        <v>2300</v>
      </c>
      <c r="H1014" s="116"/>
      <c r="I1014" s="116"/>
      <c r="L1014" s="170">
        <v>46029</v>
      </c>
      <c r="M1014" s="116">
        <v>1583.05</v>
      </c>
      <c r="N1014" s="116">
        <v>1590.25</v>
      </c>
      <c r="O1014" s="116">
        <v>1575</v>
      </c>
      <c r="P1014" s="116">
        <v>1575</v>
      </c>
      <c r="Q1014" s="116">
        <v>3166.1</v>
      </c>
      <c r="R1014">
        <v>182284</v>
      </c>
    </row>
    <row r="1015" spans="1:18" x14ac:dyDescent="0.25">
      <c r="A1015" s="170">
        <v>46030</v>
      </c>
      <c r="B1015" s="116">
        <v>1595</v>
      </c>
      <c r="C1015" s="116">
        <v>1570.1</v>
      </c>
      <c r="D1015" s="116">
        <v>1565.625</v>
      </c>
      <c r="E1015" s="116">
        <v>1567.675</v>
      </c>
      <c r="F1015" s="116">
        <v>3140.2</v>
      </c>
      <c r="G1015">
        <v>3271</v>
      </c>
      <c r="H1015" s="116"/>
      <c r="I1015" s="116"/>
      <c r="L1015" s="170">
        <v>46030</v>
      </c>
      <c r="M1015" s="116">
        <v>1571.15</v>
      </c>
      <c r="N1015" s="116">
        <v>1594</v>
      </c>
      <c r="O1015" s="116">
        <v>1565</v>
      </c>
      <c r="P1015" s="116">
        <v>1594</v>
      </c>
      <c r="Q1015" s="116">
        <v>3142.3</v>
      </c>
      <c r="R1015">
        <v>183231</v>
      </c>
    </row>
    <row r="1016" spans="1:18" x14ac:dyDescent="0.25">
      <c r="A1016" s="170">
        <v>46031</v>
      </c>
      <c r="B1016" s="116">
        <v>1577.65</v>
      </c>
      <c r="C1016" s="116">
        <v>1572.6</v>
      </c>
      <c r="D1016" s="116">
        <v>1552.425</v>
      </c>
      <c r="E1016" s="116">
        <v>1554.325</v>
      </c>
      <c r="F1016" s="116">
        <v>3145.2</v>
      </c>
      <c r="G1016">
        <v>5425</v>
      </c>
      <c r="H1016" s="116"/>
      <c r="I1016" s="116"/>
      <c r="L1016" s="170">
        <v>46031</v>
      </c>
      <c r="M1016" s="116">
        <v>1572.7</v>
      </c>
      <c r="N1016" s="116">
        <v>1577.5</v>
      </c>
      <c r="O1016" s="116">
        <v>1551.05</v>
      </c>
      <c r="P1016" s="116">
        <v>1569.8</v>
      </c>
      <c r="Q1016" s="116">
        <v>3145.4</v>
      </c>
      <c r="R1016">
        <v>214935</v>
      </c>
    </row>
    <row r="1017" spans="1:18" x14ac:dyDescent="0.25">
      <c r="A1017" s="170">
        <v>46034</v>
      </c>
      <c r="B1017" s="116">
        <v>1579.85</v>
      </c>
      <c r="C1017" s="116">
        <v>1563.95</v>
      </c>
      <c r="D1017" s="116">
        <v>1500.425</v>
      </c>
      <c r="E1017" s="116">
        <v>1500.425</v>
      </c>
      <c r="F1017" s="116">
        <v>3127.9</v>
      </c>
      <c r="G1017">
        <v>4821</v>
      </c>
      <c r="H1017" s="116"/>
      <c r="I1017" s="116"/>
      <c r="L1017" s="170">
        <v>46034</v>
      </c>
      <c r="M1017" s="116">
        <v>1565.85</v>
      </c>
      <c r="N1017" s="116">
        <v>1581.75</v>
      </c>
      <c r="O1017" s="116">
        <v>1539</v>
      </c>
      <c r="P1017" s="116">
        <v>1574.95</v>
      </c>
      <c r="Q1017" s="116">
        <v>3131.7</v>
      </c>
      <c r="R1017">
        <v>391470</v>
      </c>
    </row>
    <row r="1018" spans="1:18" x14ac:dyDescent="0.25">
      <c r="A1018" s="170">
        <v>46035</v>
      </c>
      <c r="B1018" s="116">
        <v>1602</v>
      </c>
      <c r="C1018" s="116">
        <v>1574.7750000000001</v>
      </c>
      <c r="D1018" s="116">
        <v>1527.9749999999999</v>
      </c>
      <c r="E1018" s="116">
        <v>1573.4749999999999</v>
      </c>
      <c r="F1018" s="116">
        <v>3149.55</v>
      </c>
      <c r="G1018">
        <v>25458</v>
      </c>
      <c r="H1018" s="116"/>
      <c r="I1018" s="116"/>
      <c r="L1018" s="170">
        <v>46035</v>
      </c>
      <c r="M1018" s="116">
        <v>1576.1</v>
      </c>
      <c r="N1018" s="116">
        <v>1602.75</v>
      </c>
      <c r="O1018" s="116">
        <v>1512.2</v>
      </c>
      <c r="P1018" s="116">
        <v>1564.9</v>
      </c>
      <c r="Q1018" s="116">
        <v>3152.2</v>
      </c>
      <c r="R1018">
        <v>633595</v>
      </c>
    </row>
    <row r="1019" spans="1:18" x14ac:dyDescent="0.25">
      <c r="A1019" s="170">
        <v>46036</v>
      </c>
      <c r="B1019" s="116">
        <v>1573.45</v>
      </c>
      <c r="C1019" s="116">
        <v>1539.825</v>
      </c>
      <c r="D1019" s="116">
        <v>1531.125</v>
      </c>
      <c r="E1019" s="116">
        <v>1571.2750000000001</v>
      </c>
      <c r="F1019" s="116">
        <v>3079.65</v>
      </c>
      <c r="G1019">
        <v>9740</v>
      </c>
      <c r="H1019" s="116"/>
      <c r="I1019" s="116"/>
      <c r="L1019" s="170">
        <v>46036</v>
      </c>
      <c r="M1019" s="116">
        <v>1542.1</v>
      </c>
      <c r="N1019" s="116">
        <v>1574.5</v>
      </c>
      <c r="O1019" s="116">
        <v>1530.6</v>
      </c>
      <c r="P1019" s="116">
        <v>1567.5</v>
      </c>
      <c r="Q1019" s="116">
        <v>3084.2</v>
      </c>
      <c r="R1019">
        <v>236135</v>
      </c>
    </row>
    <row r="1020" spans="1:18" x14ac:dyDescent="0.25">
      <c r="A1020" s="170">
        <v>46038</v>
      </c>
      <c r="B1020" s="116">
        <v>1570</v>
      </c>
      <c r="C1020" s="116">
        <v>1546.425</v>
      </c>
      <c r="D1020" s="116">
        <v>1527.5</v>
      </c>
      <c r="E1020" s="116">
        <v>1545.4</v>
      </c>
      <c r="F1020" s="116">
        <v>3092.85</v>
      </c>
      <c r="G1020">
        <v>3371</v>
      </c>
      <c r="H1020" s="116"/>
      <c r="I1020" s="116"/>
      <c r="L1020" s="170">
        <v>46038</v>
      </c>
      <c r="M1020" s="116">
        <v>1546.1</v>
      </c>
      <c r="N1020" s="116">
        <v>1570</v>
      </c>
      <c r="O1020" s="116">
        <v>1527.5</v>
      </c>
      <c r="P1020" s="116">
        <v>1542.1</v>
      </c>
      <c r="Q1020" s="116">
        <v>3092.2</v>
      </c>
      <c r="R1020">
        <v>175899</v>
      </c>
    </row>
    <row r="1021" spans="1:18" x14ac:dyDescent="0.25">
      <c r="A1021" s="170">
        <v>46041</v>
      </c>
      <c r="B1021" s="116">
        <v>1565.2750000000001</v>
      </c>
      <c r="C1021" s="116">
        <v>1548.2750000000001</v>
      </c>
      <c r="D1021" s="116">
        <v>1524.2</v>
      </c>
      <c r="E1021" s="116">
        <v>1525</v>
      </c>
      <c r="F1021" s="116">
        <v>3096.55</v>
      </c>
      <c r="G1021">
        <v>7294</v>
      </c>
      <c r="H1021" s="116"/>
      <c r="I1021" s="116"/>
      <c r="L1021" s="170">
        <v>46041</v>
      </c>
      <c r="M1021" s="116">
        <v>1548.9</v>
      </c>
      <c r="N1021" s="116">
        <v>1564.7</v>
      </c>
      <c r="O1021" s="116">
        <v>1522.5</v>
      </c>
      <c r="P1021" s="116">
        <v>1535</v>
      </c>
      <c r="Q1021" s="116">
        <v>3097.8</v>
      </c>
      <c r="R1021">
        <v>188628</v>
      </c>
    </row>
    <row r="1022" spans="1:18" x14ac:dyDescent="0.25">
      <c r="A1022" s="170">
        <v>46042</v>
      </c>
      <c r="B1022" s="116">
        <v>1545.5</v>
      </c>
      <c r="C1022" s="116">
        <v>1534.85</v>
      </c>
      <c r="D1022" s="116">
        <v>1510</v>
      </c>
      <c r="E1022" s="116">
        <v>1544.75</v>
      </c>
      <c r="F1022" s="116">
        <v>3069.7</v>
      </c>
      <c r="G1022">
        <v>4801</v>
      </c>
      <c r="H1022" s="116"/>
      <c r="I1022" s="116"/>
      <c r="L1022" s="170">
        <v>46042</v>
      </c>
      <c r="M1022" s="116">
        <v>1533.45</v>
      </c>
      <c r="N1022" s="116">
        <v>1546.45</v>
      </c>
      <c r="O1022" s="116">
        <v>1508.8</v>
      </c>
      <c r="P1022" s="116">
        <v>1541.9</v>
      </c>
      <c r="Q1022" s="116">
        <v>3066.9</v>
      </c>
      <c r="R1022">
        <v>214088</v>
      </c>
    </row>
    <row r="1023" spans="1:18" x14ac:dyDescent="0.25">
      <c r="A1023" s="170">
        <v>46043</v>
      </c>
      <c r="B1023" s="116">
        <v>1530.9749999999999</v>
      </c>
      <c r="C1023" s="116">
        <v>1524.5</v>
      </c>
      <c r="D1023" s="116">
        <v>1494.125</v>
      </c>
      <c r="E1023" s="116">
        <v>1503.425</v>
      </c>
      <c r="F1023" s="116">
        <v>3049</v>
      </c>
      <c r="G1023">
        <v>14917</v>
      </c>
      <c r="H1023" s="116"/>
      <c r="I1023" s="116"/>
      <c r="L1023" s="170">
        <v>46043</v>
      </c>
      <c r="M1023" s="116">
        <v>1526.75</v>
      </c>
      <c r="N1023" s="116">
        <v>1530</v>
      </c>
      <c r="O1023" s="116">
        <v>1493.05</v>
      </c>
      <c r="P1023" s="116">
        <v>1520</v>
      </c>
      <c r="Q1023" s="116">
        <v>3053.5</v>
      </c>
      <c r="R1023">
        <v>220599</v>
      </c>
    </row>
    <row r="1024" spans="1:18" x14ac:dyDescent="0.25">
      <c r="A1024" s="170">
        <v>46044</v>
      </c>
      <c r="B1024" s="116">
        <v>1535.4</v>
      </c>
      <c r="C1024" s="116">
        <v>1499.5</v>
      </c>
      <c r="D1024" s="116">
        <v>1494.15</v>
      </c>
      <c r="E1024" s="116">
        <v>1532.5250000000001</v>
      </c>
      <c r="F1024" s="116">
        <v>2999</v>
      </c>
      <c r="G1024">
        <v>3612</v>
      </c>
      <c r="H1024" s="116"/>
      <c r="I1024" s="116"/>
      <c r="L1024" s="170">
        <v>46044</v>
      </c>
      <c r="M1024" s="116">
        <v>1504.15</v>
      </c>
      <c r="N1024" s="116">
        <v>1537.45</v>
      </c>
      <c r="O1024" s="116">
        <v>1492.5</v>
      </c>
      <c r="P1024" s="116">
        <v>1534.15</v>
      </c>
      <c r="Q1024" s="116">
        <v>3008.3</v>
      </c>
      <c r="R1024">
        <v>206453</v>
      </c>
    </row>
    <row r="1025" spans="1:18" x14ac:dyDescent="0.25">
      <c r="A1025" s="170">
        <v>46045</v>
      </c>
      <c r="B1025" s="116">
        <v>1524.9</v>
      </c>
      <c r="C1025" s="116">
        <v>1479.15</v>
      </c>
      <c r="D1025" s="116">
        <v>1469.0250000000001</v>
      </c>
      <c r="E1025" s="116">
        <v>1524.9</v>
      </c>
      <c r="F1025" s="116">
        <v>2958.3</v>
      </c>
      <c r="G1025">
        <v>12203</v>
      </c>
      <c r="H1025" s="116"/>
      <c r="I1025" s="116"/>
      <c r="L1025" s="170">
        <v>46045</v>
      </c>
      <c r="M1025" s="116">
        <v>1479.7</v>
      </c>
      <c r="N1025" s="116">
        <v>1519.5</v>
      </c>
      <c r="O1025" s="116">
        <v>1468.45</v>
      </c>
      <c r="P1025" s="116">
        <v>1519.5</v>
      </c>
      <c r="Q1025" s="116">
        <v>2959.4</v>
      </c>
      <c r="R1025">
        <v>474666</v>
      </c>
    </row>
    <row r="1026" spans="1:18" x14ac:dyDescent="0.25">
      <c r="A1026" s="170">
        <v>46049</v>
      </c>
      <c r="B1026" s="116">
        <v>1468.4749999999999</v>
      </c>
      <c r="C1026" s="116">
        <v>1447</v>
      </c>
      <c r="D1026" s="116">
        <v>1354</v>
      </c>
      <c r="E1026" s="116">
        <v>1456.5</v>
      </c>
      <c r="F1026" s="116">
        <v>2894</v>
      </c>
      <c r="G1026">
        <v>28266</v>
      </c>
      <c r="H1026" s="116"/>
      <c r="I1026" s="116"/>
      <c r="L1026" s="170">
        <v>46049</v>
      </c>
      <c r="M1026" s="116">
        <v>1450.35</v>
      </c>
      <c r="N1026" s="116">
        <v>1474.7</v>
      </c>
      <c r="O1026" s="116">
        <v>1353.85</v>
      </c>
      <c r="P1026" s="116">
        <v>1460.85</v>
      </c>
      <c r="Q1026" s="116">
        <v>2900.7</v>
      </c>
      <c r="R1026">
        <v>686816</v>
      </c>
    </row>
    <row r="1027" spans="1:18" x14ac:dyDescent="0.25">
      <c r="A1027" s="170">
        <v>46050</v>
      </c>
      <c r="B1027" s="116">
        <v>1461</v>
      </c>
      <c r="C1027" s="116">
        <v>1437</v>
      </c>
      <c r="D1027" s="116">
        <v>1385.2</v>
      </c>
      <c r="E1027" s="116">
        <v>1450</v>
      </c>
      <c r="F1027" s="116">
        <v>2874</v>
      </c>
      <c r="G1027">
        <v>20175</v>
      </c>
      <c r="H1027" s="116"/>
      <c r="I1027" s="116"/>
      <c r="L1027" s="170">
        <v>46050</v>
      </c>
      <c r="M1027" s="116">
        <v>1439.75</v>
      </c>
      <c r="N1027" s="116">
        <v>1462.5</v>
      </c>
      <c r="O1027" s="116">
        <v>1385</v>
      </c>
      <c r="P1027" s="116">
        <v>1450.35</v>
      </c>
      <c r="Q1027" s="116">
        <v>2879.5</v>
      </c>
      <c r="R1027">
        <v>426370</v>
      </c>
    </row>
    <row r="1028" spans="1:18" x14ac:dyDescent="0.25">
      <c r="A1028" s="170">
        <v>46051</v>
      </c>
      <c r="B1028" s="116">
        <v>1470.425</v>
      </c>
      <c r="C1028" s="116">
        <v>1462.25</v>
      </c>
      <c r="D1028" s="116">
        <v>1431.325</v>
      </c>
      <c r="E1028" s="116">
        <v>1450</v>
      </c>
      <c r="F1028" s="116">
        <v>2924.5</v>
      </c>
      <c r="G1028">
        <v>3584</v>
      </c>
      <c r="H1028" s="116"/>
      <c r="I1028" s="116"/>
      <c r="L1028" s="170">
        <v>46051</v>
      </c>
      <c r="M1028" s="116">
        <v>1464.2</v>
      </c>
      <c r="N1028" s="116">
        <v>1472</v>
      </c>
      <c r="O1028" s="116">
        <v>1431.2</v>
      </c>
      <c r="P1028" s="116">
        <v>1446.9</v>
      </c>
      <c r="Q1028" s="116">
        <v>2928.4</v>
      </c>
      <c r="R1028">
        <v>202622</v>
      </c>
    </row>
    <row r="1029" spans="1:18" x14ac:dyDescent="0.25">
      <c r="A1029" s="170">
        <v>46052</v>
      </c>
      <c r="B1029" s="116">
        <v>1450.2249999999999</v>
      </c>
      <c r="C1029" s="116">
        <v>1441.325</v>
      </c>
      <c r="D1029" s="116">
        <v>1410</v>
      </c>
      <c r="E1029" s="116">
        <v>1450</v>
      </c>
      <c r="F1029" s="116">
        <v>2882.65</v>
      </c>
      <c r="G1029">
        <v>6926</v>
      </c>
      <c r="H1029" s="116"/>
      <c r="I1029" s="116"/>
      <c r="L1029" s="170">
        <v>46052</v>
      </c>
      <c r="M1029" s="116">
        <v>1442.7</v>
      </c>
      <c r="N1029" s="116">
        <v>1452.35</v>
      </c>
      <c r="O1029" s="116">
        <v>1407.95</v>
      </c>
      <c r="P1029" s="116">
        <v>1452.35</v>
      </c>
      <c r="Q1029" s="116">
        <v>2885.4</v>
      </c>
      <c r="R1029">
        <v>316738</v>
      </c>
    </row>
    <row r="1030" spans="1:18" x14ac:dyDescent="0.25">
      <c r="A1030" s="170">
        <v>46054</v>
      </c>
      <c r="B1030" s="116">
        <v>1472.25</v>
      </c>
      <c r="C1030" s="116">
        <v>1447.2249999999999</v>
      </c>
      <c r="D1030" s="116">
        <v>1420.1</v>
      </c>
      <c r="E1030" s="116">
        <v>1433.7</v>
      </c>
      <c r="F1030" s="116">
        <v>2894.45</v>
      </c>
      <c r="G1030">
        <v>4658</v>
      </c>
      <c r="H1030" s="116"/>
      <c r="I1030" s="116"/>
      <c r="L1030" s="170">
        <v>46054</v>
      </c>
      <c r="M1030" s="116">
        <v>1448.75</v>
      </c>
      <c r="N1030" s="116">
        <v>1472.3</v>
      </c>
      <c r="O1030" s="116">
        <v>1417.5</v>
      </c>
      <c r="P1030" s="116">
        <v>1437.5</v>
      </c>
      <c r="Q1030" s="116">
        <v>2897.5</v>
      </c>
      <c r="R1030">
        <v>168118</v>
      </c>
    </row>
    <row r="1031" spans="1:18" x14ac:dyDescent="0.25">
      <c r="A1031" s="170">
        <v>46055</v>
      </c>
      <c r="B1031" s="116">
        <v>1445.6</v>
      </c>
      <c r="C1031" s="116">
        <v>1433.65</v>
      </c>
      <c r="D1031" s="116">
        <v>1415.15</v>
      </c>
      <c r="E1031" s="116">
        <v>1445.6</v>
      </c>
      <c r="F1031" s="116">
        <v>2867.3</v>
      </c>
      <c r="G1031">
        <v>6841</v>
      </c>
      <c r="H1031" s="116"/>
      <c r="I1031" s="116"/>
      <c r="L1031" s="170">
        <v>46055</v>
      </c>
      <c r="M1031" s="116">
        <v>1435.55</v>
      </c>
      <c r="N1031" s="116">
        <v>1446</v>
      </c>
      <c r="O1031" s="116">
        <v>1413.5</v>
      </c>
      <c r="P1031" s="116">
        <v>1439.75</v>
      </c>
      <c r="Q1031" s="116">
        <v>2871.1</v>
      </c>
      <c r="R1031">
        <v>194360</v>
      </c>
    </row>
    <row r="1032" spans="1:18" x14ac:dyDescent="0.25">
      <c r="A1032" s="170">
        <v>46056</v>
      </c>
      <c r="B1032" s="116">
        <v>1485.95</v>
      </c>
      <c r="C1032" s="116">
        <v>1475.7249999999999</v>
      </c>
      <c r="D1032" s="116">
        <v>1448.2249999999999</v>
      </c>
      <c r="E1032" s="116">
        <v>1455.85</v>
      </c>
      <c r="F1032" s="116">
        <v>2951.45</v>
      </c>
      <c r="G1032">
        <v>2909</v>
      </c>
      <c r="H1032" s="116"/>
      <c r="I1032" s="116"/>
      <c r="L1032" s="170">
        <v>46056</v>
      </c>
      <c r="M1032" s="116">
        <v>1475.85</v>
      </c>
      <c r="N1032" s="116">
        <v>1486.75</v>
      </c>
      <c r="O1032" s="116">
        <v>1446.5</v>
      </c>
      <c r="P1032" s="116">
        <v>1475</v>
      </c>
      <c r="Q1032" s="116">
        <v>2951.7</v>
      </c>
      <c r="R1032">
        <v>165912</v>
      </c>
    </row>
    <row r="1033" spans="1:18" x14ac:dyDescent="0.25">
      <c r="A1033" s="170">
        <v>46057</v>
      </c>
      <c r="B1033" s="116">
        <v>1489.0250000000001</v>
      </c>
      <c r="C1033" s="116">
        <v>1479.2</v>
      </c>
      <c r="D1033" s="116">
        <v>1460.5</v>
      </c>
      <c r="E1033" s="116">
        <v>1474.5</v>
      </c>
      <c r="F1033" s="116">
        <v>2958.4</v>
      </c>
      <c r="G1033">
        <v>2608</v>
      </c>
      <c r="H1033" s="116"/>
      <c r="I1033" s="116"/>
      <c r="L1033" s="170">
        <v>46057</v>
      </c>
      <c r="M1033" s="116">
        <v>1477.9</v>
      </c>
      <c r="N1033" s="116">
        <v>1488.45</v>
      </c>
      <c r="O1033" s="116">
        <v>1460.5</v>
      </c>
      <c r="P1033" s="116">
        <v>1475</v>
      </c>
      <c r="Q1033" s="116">
        <v>2955.8</v>
      </c>
      <c r="R1033">
        <v>141649</v>
      </c>
    </row>
    <row r="1034" spans="1:18" x14ac:dyDescent="0.25">
      <c r="A1034" s="170">
        <v>46058</v>
      </c>
      <c r="B1034" s="116">
        <v>1486.2249999999999</v>
      </c>
      <c r="C1034" s="116">
        <v>1472.2</v>
      </c>
      <c r="D1034" s="116">
        <v>1462.55</v>
      </c>
      <c r="E1034" s="116">
        <v>1465.7750000000001</v>
      </c>
      <c r="F1034" s="116">
        <v>2944.4</v>
      </c>
      <c r="G1034">
        <v>4930</v>
      </c>
      <c r="H1034" s="116"/>
      <c r="I1034" s="116"/>
      <c r="L1034" s="170">
        <v>46058</v>
      </c>
      <c r="M1034" s="116">
        <v>1471.8</v>
      </c>
      <c r="N1034" s="116">
        <v>1489.8</v>
      </c>
      <c r="O1034" s="116">
        <v>1462.55</v>
      </c>
      <c r="P1034" s="116">
        <v>1477.9</v>
      </c>
      <c r="Q1034" s="116">
        <v>2943.6</v>
      </c>
      <c r="R1034">
        <v>133796</v>
      </c>
    </row>
    <row r="1035" spans="1:18" x14ac:dyDescent="0.25">
      <c r="A1035" s="170">
        <v>46059</v>
      </c>
      <c r="B1035" s="116">
        <v>1486.7750000000001</v>
      </c>
      <c r="C1035" s="116">
        <v>1476.375</v>
      </c>
      <c r="D1035" s="116">
        <v>1453.3</v>
      </c>
      <c r="E1035" s="116">
        <v>1481.825</v>
      </c>
      <c r="F1035" s="116">
        <v>2952.75</v>
      </c>
      <c r="G1035">
        <v>3210</v>
      </c>
      <c r="H1035" s="116"/>
      <c r="I1035" s="116"/>
      <c r="L1035" s="170">
        <v>46059</v>
      </c>
      <c r="M1035" s="116">
        <v>1475.7</v>
      </c>
      <c r="N1035" s="116">
        <v>1486.65</v>
      </c>
      <c r="O1035" s="116">
        <v>1453.7</v>
      </c>
      <c r="P1035" s="116">
        <v>1471.8</v>
      </c>
      <c r="Q1035" s="116">
        <v>2951.4</v>
      </c>
      <c r="R1035">
        <v>125655</v>
      </c>
    </row>
    <row r="1036" spans="1:18" x14ac:dyDescent="0.25">
      <c r="A1036" s="170">
        <v>46062</v>
      </c>
      <c r="B1036" s="116">
        <v>1495</v>
      </c>
      <c r="C1036" s="116">
        <v>1485.2750000000001</v>
      </c>
      <c r="D1036" s="116">
        <v>1455.575</v>
      </c>
      <c r="E1036" s="116">
        <v>1455.575</v>
      </c>
      <c r="F1036" s="116">
        <v>2970.55</v>
      </c>
      <c r="G1036">
        <v>4730</v>
      </c>
      <c r="H1036" s="116"/>
      <c r="I1036" s="116"/>
      <c r="L1036" s="170">
        <v>46062</v>
      </c>
      <c r="M1036" s="116">
        <v>1486.6</v>
      </c>
      <c r="N1036" s="116">
        <v>1496.6</v>
      </c>
      <c r="O1036" s="116">
        <v>1467.5</v>
      </c>
      <c r="P1036" s="116">
        <v>1472.5</v>
      </c>
      <c r="Q1036" s="116">
        <v>2973.2</v>
      </c>
      <c r="R1036">
        <v>161033</v>
      </c>
    </row>
    <row r="1037" spans="1:18" x14ac:dyDescent="0.25">
      <c r="A1037" s="170">
        <v>46063</v>
      </c>
      <c r="B1037" s="116">
        <v>1489</v>
      </c>
      <c r="C1037" s="116">
        <v>1480.4749999999999</v>
      </c>
      <c r="D1037" s="116">
        <v>1470.175</v>
      </c>
      <c r="E1037" s="116">
        <v>1484.0250000000001</v>
      </c>
      <c r="F1037" s="116">
        <v>2960.95</v>
      </c>
      <c r="G1037">
        <v>2414</v>
      </c>
      <c r="H1037" s="116"/>
      <c r="I1037" s="116"/>
      <c r="L1037" s="170">
        <v>46063</v>
      </c>
      <c r="M1037" s="116">
        <v>1481.7</v>
      </c>
      <c r="N1037" s="116">
        <v>1490</v>
      </c>
      <c r="O1037" s="116">
        <v>1471</v>
      </c>
      <c r="P1037" s="116">
        <v>1484.95</v>
      </c>
      <c r="Q1037" s="116">
        <v>2963.4</v>
      </c>
      <c r="R1037">
        <v>183987</v>
      </c>
    </row>
    <row r="1038" spans="1:18" x14ac:dyDescent="0.25">
      <c r="A1038" s="170">
        <v>46064</v>
      </c>
      <c r="B1038" s="116">
        <v>1518.375</v>
      </c>
      <c r="C1038" s="116">
        <v>1508.65</v>
      </c>
      <c r="D1038" s="116">
        <v>1478.5</v>
      </c>
      <c r="E1038" s="116">
        <v>1480</v>
      </c>
      <c r="F1038" s="116">
        <v>3017.3</v>
      </c>
      <c r="G1038">
        <v>2298</v>
      </c>
      <c r="H1038" s="116"/>
      <c r="I1038" s="116"/>
      <c r="L1038" s="170">
        <v>46064</v>
      </c>
      <c r="M1038" s="116">
        <v>1508.55</v>
      </c>
      <c r="N1038" s="116">
        <v>1517.9</v>
      </c>
      <c r="O1038" s="116">
        <v>1477.65</v>
      </c>
      <c r="P1038" s="116">
        <v>1487.5</v>
      </c>
      <c r="Q1038" s="116">
        <v>3017.1</v>
      </c>
      <c r="R1038">
        <v>108318</v>
      </c>
    </row>
    <row r="1039" spans="1:18" x14ac:dyDescent="0.25">
      <c r="A1039" s="170">
        <v>46065</v>
      </c>
      <c r="B1039" s="116">
        <v>1514.7249999999999</v>
      </c>
      <c r="C1039" s="116">
        <v>1494.9</v>
      </c>
      <c r="D1039" s="116">
        <v>1478.925</v>
      </c>
      <c r="E1039" s="116">
        <v>1514.7249999999999</v>
      </c>
      <c r="F1039" s="116">
        <v>2989.8</v>
      </c>
      <c r="G1039">
        <v>6664</v>
      </c>
      <c r="H1039" s="116"/>
      <c r="I1039" s="116"/>
      <c r="L1039" s="170">
        <v>46065</v>
      </c>
      <c r="M1039" s="116">
        <v>1493.35</v>
      </c>
      <c r="N1039" s="116">
        <v>1509.9</v>
      </c>
      <c r="O1039" s="116">
        <v>1480</v>
      </c>
      <c r="P1039" s="116">
        <v>1509.9</v>
      </c>
      <c r="Q1039" s="116">
        <v>2986.7</v>
      </c>
      <c r="R1039">
        <v>125590</v>
      </c>
    </row>
    <row r="1040" spans="1:18" x14ac:dyDescent="0.25">
      <c r="A1040" s="170">
        <v>46066</v>
      </c>
      <c r="B1040" s="116">
        <v>1503.425</v>
      </c>
      <c r="C1040" s="116">
        <v>1492.7750000000001</v>
      </c>
      <c r="D1040" s="116">
        <v>1464.45</v>
      </c>
      <c r="E1040" s="116">
        <v>1486</v>
      </c>
      <c r="F1040" s="116">
        <v>2985.55</v>
      </c>
      <c r="G1040">
        <v>6182</v>
      </c>
      <c r="H1040" s="116"/>
      <c r="I1040" s="116"/>
      <c r="L1040" s="170">
        <v>46066</v>
      </c>
      <c r="M1040" s="116">
        <v>1494.55</v>
      </c>
      <c r="N1040" s="116">
        <v>1503.9</v>
      </c>
      <c r="O1040" s="116">
        <v>1464.05</v>
      </c>
      <c r="P1040" s="116">
        <v>1493.35</v>
      </c>
      <c r="Q1040" s="116">
        <v>2989.1</v>
      </c>
      <c r="R1040">
        <v>113747</v>
      </c>
    </row>
    <row r="1041" spans="1:18" x14ac:dyDescent="0.25">
      <c r="A1041" s="170">
        <v>46069</v>
      </c>
      <c r="B1041" s="116">
        <v>1529.95</v>
      </c>
      <c r="C1041" s="116">
        <v>1499.35</v>
      </c>
      <c r="D1041" s="116">
        <v>1494.1</v>
      </c>
      <c r="E1041" s="116">
        <v>1529.95</v>
      </c>
      <c r="F1041" s="116">
        <v>2998.7</v>
      </c>
      <c r="G1041">
        <v>2857</v>
      </c>
      <c r="H1041" s="116"/>
      <c r="I1041" s="116"/>
      <c r="L1041" s="170">
        <v>46069</v>
      </c>
      <c r="M1041" s="116">
        <v>1499.95</v>
      </c>
      <c r="N1041" s="116">
        <v>1522.45</v>
      </c>
      <c r="O1041" s="116">
        <v>1491.7</v>
      </c>
      <c r="P1041" s="116">
        <v>1511.1</v>
      </c>
      <c r="Q1041" s="116">
        <v>2999.9</v>
      </c>
      <c r="R1041">
        <v>153501</v>
      </c>
    </row>
    <row r="1042" spans="1:18" x14ac:dyDescent="0.25">
      <c r="A1042" s="170">
        <v>46070</v>
      </c>
      <c r="B1042" s="116">
        <v>1507.35</v>
      </c>
      <c r="C1042" s="116">
        <v>1498.05</v>
      </c>
      <c r="D1042" s="116">
        <v>1493.2</v>
      </c>
      <c r="E1042" s="116">
        <v>1498.2249999999999</v>
      </c>
      <c r="F1042" s="116">
        <v>2996.1</v>
      </c>
      <c r="G1042">
        <v>1600</v>
      </c>
      <c r="H1042" s="116"/>
      <c r="I1042" s="116"/>
      <c r="L1042" s="170">
        <v>46070</v>
      </c>
      <c r="M1042" s="116">
        <v>1501</v>
      </c>
      <c r="N1042" s="116">
        <v>1510</v>
      </c>
      <c r="O1042" s="116">
        <v>1493.5</v>
      </c>
      <c r="P1042" s="116">
        <v>1510</v>
      </c>
      <c r="Q1042" s="116">
        <v>3002</v>
      </c>
      <c r="R1042">
        <v>104802</v>
      </c>
    </row>
    <row r="1043" spans="1:18" x14ac:dyDescent="0.25">
      <c r="A1043" s="170">
        <v>46071</v>
      </c>
      <c r="B1043" s="116">
        <v>1509.175</v>
      </c>
      <c r="C1043" s="116">
        <v>1504.925</v>
      </c>
      <c r="D1043" s="116">
        <v>1502.2249999999999</v>
      </c>
      <c r="E1043" s="116">
        <v>1506.45</v>
      </c>
      <c r="F1043" s="116">
        <v>3009.85</v>
      </c>
      <c r="G1043">
        <v>1273</v>
      </c>
      <c r="H1043" s="116"/>
      <c r="I1043" s="116"/>
      <c r="L1043" s="170">
        <v>46071</v>
      </c>
      <c r="M1043" s="116">
        <v>1504</v>
      </c>
      <c r="N1043" s="116">
        <v>1510</v>
      </c>
      <c r="O1043" s="116">
        <v>1498.5</v>
      </c>
      <c r="P1043" s="116">
        <v>1501</v>
      </c>
      <c r="Q1043" s="116">
        <v>3008</v>
      </c>
      <c r="R1043">
        <v>67963</v>
      </c>
    </row>
    <row r="1044" spans="1:18" x14ac:dyDescent="0.25">
      <c r="A1044" s="170">
        <v>46072</v>
      </c>
      <c r="B1044" s="116">
        <v>1521.1</v>
      </c>
      <c r="C1044" s="116">
        <v>1511.075</v>
      </c>
      <c r="D1044" s="116">
        <v>1505.25</v>
      </c>
      <c r="E1044" s="116">
        <v>1506.575</v>
      </c>
      <c r="F1044" s="116">
        <v>3022.15</v>
      </c>
      <c r="G1044">
        <v>2869</v>
      </c>
      <c r="H1044" s="116"/>
      <c r="I1044" s="116"/>
      <c r="L1044" s="170">
        <v>46072</v>
      </c>
      <c r="M1044" s="116">
        <v>1511.35</v>
      </c>
      <c r="N1044" s="116">
        <v>1524.5</v>
      </c>
      <c r="O1044" s="116">
        <v>1504.25</v>
      </c>
      <c r="P1044" s="116">
        <v>1511</v>
      </c>
      <c r="Q1044" s="116">
        <v>3022.7</v>
      </c>
      <c r="R1044">
        <v>132240</v>
      </c>
    </row>
    <row r="1045" spans="1:18" x14ac:dyDescent="0.25">
      <c r="A1045" s="170">
        <v>46073</v>
      </c>
      <c r="B1045" s="116">
        <v>1527.55</v>
      </c>
      <c r="C1045" s="116">
        <v>1508.575</v>
      </c>
      <c r="D1045" s="116">
        <v>1502.45</v>
      </c>
      <c r="E1045" s="116">
        <v>1522.0250000000001</v>
      </c>
      <c r="F1045" s="116">
        <v>3017.15</v>
      </c>
      <c r="G1045">
        <v>3850</v>
      </c>
      <c r="H1045" s="116"/>
      <c r="I1045" s="116"/>
      <c r="L1045" s="170">
        <v>46073</v>
      </c>
      <c r="M1045" s="116">
        <v>1508.7</v>
      </c>
      <c r="N1045" s="116">
        <v>1530.35</v>
      </c>
      <c r="O1045" s="116">
        <v>1501.1</v>
      </c>
      <c r="P1045" s="116">
        <v>1507.05</v>
      </c>
      <c r="Q1045" s="116">
        <v>3017.4</v>
      </c>
      <c r="R1045">
        <v>159354</v>
      </c>
    </row>
    <row r="1046" spans="1:18" x14ac:dyDescent="0.25">
      <c r="A1046" s="170">
        <v>46076</v>
      </c>
      <c r="B1046" s="116">
        <v>1538.4749999999999</v>
      </c>
      <c r="C1046" s="116">
        <v>1533.1</v>
      </c>
      <c r="D1046" s="116">
        <v>1505.875</v>
      </c>
      <c r="E1046" s="116">
        <v>1508.825</v>
      </c>
      <c r="F1046" s="116">
        <v>3066.2</v>
      </c>
      <c r="G1046">
        <v>5058</v>
      </c>
      <c r="H1046" s="116"/>
      <c r="I1046" s="116"/>
      <c r="L1046" s="170">
        <v>46076</v>
      </c>
      <c r="M1046" s="116">
        <v>1533.8</v>
      </c>
      <c r="N1046" s="116">
        <v>1539</v>
      </c>
      <c r="O1046" s="116">
        <v>1506.5</v>
      </c>
      <c r="P1046" s="116">
        <v>1518.5</v>
      </c>
      <c r="Q1046" s="116">
        <v>3067.6</v>
      </c>
      <c r="R1046">
        <v>150233</v>
      </c>
    </row>
    <row r="1047" spans="1:18" x14ac:dyDescent="0.25">
      <c r="A1047" s="170">
        <v>46077</v>
      </c>
      <c r="B1047" s="116">
        <v>1534.1</v>
      </c>
      <c r="C1047" s="116">
        <v>1527.9749999999999</v>
      </c>
      <c r="D1047" s="116">
        <v>1504.8</v>
      </c>
      <c r="E1047" s="116">
        <v>1533.125</v>
      </c>
      <c r="F1047" s="116">
        <v>3055.95</v>
      </c>
      <c r="G1047">
        <v>2632</v>
      </c>
      <c r="H1047" s="116"/>
      <c r="I1047" s="116"/>
      <c r="L1047" s="170">
        <v>46077</v>
      </c>
      <c r="M1047" s="116">
        <v>1528.25</v>
      </c>
      <c r="N1047" s="116">
        <v>1532</v>
      </c>
      <c r="O1047" s="116">
        <v>1505.1</v>
      </c>
      <c r="P1047" s="116">
        <v>1530</v>
      </c>
      <c r="Q1047" s="116">
        <v>3056.5</v>
      </c>
      <c r="R1047">
        <v>175954</v>
      </c>
    </row>
    <row r="1048" spans="1:18" x14ac:dyDescent="0.25">
      <c r="A1048" s="170">
        <v>46078</v>
      </c>
      <c r="B1048" s="116">
        <v>1539.575</v>
      </c>
      <c r="C1048" s="116">
        <v>1527.7</v>
      </c>
      <c r="D1048" s="116">
        <v>1520</v>
      </c>
      <c r="E1048" s="116">
        <v>1526.5</v>
      </c>
      <c r="F1048" s="116">
        <v>3055.4</v>
      </c>
      <c r="G1048">
        <v>3010</v>
      </c>
      <c r="H1048" s="116"/>
      <c r="I1048" s="116"/>
      <c r="L1048" s="170">
        <v>46078</v>
      </c>
      <c r="M1048" s="116">
        <v>1527.95</v>
      </c>
      <c r="N1048" s="116">
        <v>1539.95</v>
      </c>
      <c r="O1048" s="116">
        <v>1520.15</v>
      </c>
      <c r="P1048" s="116">
        <v>1532.45</v>
      </c>
      <c r="Q1048" s="116">
        <v>3055.9</v>
      </c>
      <c r="R1048">
        <v>165189</v>
      </c>
    </row>
    <row r="1049" spans="1:18" x14ac:dyDescent="0.25">
      <c r="A1049" s="170">
        <v>46079</v>
      </c>
      <c r="B1049" s="116">
        <v>1546</v>
      </c>
      <c r="C1049" s="116">
        <v>1535.2249999999999</v>
      </c>
      <c r="D1049" s="116">
        <v>1525</v>
      </c>
      <c r="E1049" s="116">
        <v>1527.875</v>
      </c>
      <c r="F1049" s="116">
        <v>3070.45</v>
      </c>
      <c r="G1049">
        <v>4652</v>
      </c>
      <c r="H1049" s="116"/>
      <c r="I1049" s="116"/>
      <c r="L1049" s="170">
        <v>46079</v>
      </c>
      <c r="M1049" s="116">
        <v>1536.55</v>
      </c>
      <c r="N1049" s="116">
        <v>1546</v>
      </c>
      <c r="O1049" s="116">
        <v>1522.5</v>
      </c>
      <c r="P1049" s="116">
        <v>1522.5</v>
      </c>
      <c r="Q1049" s="116">
        <v>3073.1</v>
      </c>
      <c r="R1049">
        <v>215905</v>
      </c>
    </row>
    <row r="1050" spans="1:18" x14ac:dyDescent="0.25">
      <c r="A1050" s="170">
        <v>46080</v>
      </c>
      <c r="B1050" s="116">
        <v>1547.95</v>
      </c>
      <c r="C1050" s="116">
        <v>1537.75</v>
      </c>
      <c r="D1050" s="116">
        <v>1517.5</v>
      </c>
      <c r="E1050" s="116">
        <v>1532.4749999999999</v>
      </c>
      <c r="F1050" s="116">
        <v>3075.5</v>
      </c>
      <c r="G1050">
        <v>4506</v>
      </c>
      <c r="H1050" s="116"/>
      <c r="I1050" s="116"/>
      <c r="L1050" s="170">
        <v>46080</v>
      </c>
      <c r="M1050" s="116">
        <v>1537.95</v>
      </c>
      <c r="N1050" s="116">
        <v>1548.5</v>
      </c>
      <c r="O1050" s="116">
        <v>1516.4</v>
      </c>
      <c r="P1050" s="116">
        <v>1530.5</v>
      </c>
      <c r="Q1050" s="116">
        <v>3075.9</v>
      </c>
      <c r="R1050">
        <v>262040</v>
      </c>
    </row>
    <row r="1051" spans="1:18" x14ac:dyDescent="0.25">
      <c r="A1051" s="170">
        <v>46083</v>
      </c>
      <c r="B1051" s="116">
        <v>1590.8</v>
      </c>
      <c r="C1051" s="116">
        <v>1574.7249999999999</v>
      </c>
      <c r="D1051" s="116">
        <v>1499.5</v>
      </c>
      <c r="E1051" s="116">
        <v>1529.825</v>
      </c>
      <c r="F1051" s="116">
        <v>3149.45</v>
      </c>
      <c r="G1051">
        <v>13449</v>
      </c>
      <c r="H1051" s="116"/>
      <c r="I1051" s="116"/>
      <c r="L1051" s="170">
        <v>46083</v>
      </c>
      <c r="M1051" s="116">
        <v>1574.25</v>
      </c>
      <c r="N1051" s="116">
        <v>1589.55</v>
      </c>
      <c r="O1051" s="116">
        <v>1500</v>
      </c>
      <c r="P1051" s="116">
        <v>1501.35</v>
      </c>
      <c r="Q1051" s="116">
        <v>3148.5</v>
      </c>
      <c r="R1051">
        <v>265646</v>
      </c>
    </row>
    <row r="1052" spans="1:18" x14ac:dyDescent="0.25">
      <c r="A1052" s="170">
        <v>46085</v>
      </c>
      <c r="B1052" s="116">
        <v>1583.9</v>
      </c>
      <c r="C1052" s="116">
        <v>1566.4749999999999</v>
      </c>
      <c r="D1052" s="116">
        <v>1545</v>
      </c>
      <c r="E1052" s="116">
        <v>1560.125</v>
      </c>
      <c r="F1052" s="116">
        <v>3132.95</v>
      </c>
      <c r="G1052">
        <v>9223</v>
      </c>
      <c r="H1052" s="116"/>
      <c r="I1052" s="116"/>
      <c r="L1052" s="170">
        <v>46085</v>
      </c>
      <c r="M1052" s="116">
        <v>1569.35</v>
      </c>
      <c r="N1052" s="116">
        <v>1584.4</v>
      </c>
      <c r="O1052" s="116">
        <v>1547.5</v>
      </c>
      <c r="P1052" s="116">
        <v>1557.5</v>
      </c>
      <c r="Q1052" s="116">
        <v>3138.7</v>
      </c>
      <c r="R1052">
        <v>180668</v>
      </c>
    </row>
    <row r="1053" spans="1:18" x14ac:dyDescent="0.25">
      <c r="A1053" s="170">
        <v>46086</v>
      </c>
      <c r="B1053" s="116">
        <v>1620.85</v>
      </c>
      <c r="C1053" s="116">
        <v>1600.5250000000001</v>
      </c>
      <c r="D1053" s="116">
        <v>1569</v>
      </c>
      <c r="E1053" s="116">
        <v>1569</v>
      </c>
      <c r="F1053" s="116">
        <v>3201.05</v>
      </c>
      <c r="G1053">
        <v>8638</v>
      </c>
      <c r="H1053" s="116"/>
      <c r="I1053" s="116"/>
      <c r="L1053" s="170">
        <v>46086</v>
      </c>
      <c r="M1053" s="116">
        <v>1598.95</v>
      </c>
      <c r="N1053" s="116">
        <v>1620.5</v>
      </c>
      <c r="O1053" s="116">
        <v>1569.35</v>
      </c>
      <c r="P1053" s="116">
        <v>1569.35</v>
      </c>
      <c r="Q1053" s="116">
        <v>3197.9</v>
      </c>
      <c r="R1053">
        <v>200081</v>
      </c>
    </row>
    <row r="1054" spans="1:18" x14ac:dyDescent="0.25">
      <c r="A1054" s="170">
        <v>46087</v>
      </c>
      <c r="B1054" s="116">
        <v>1615</v>
      </c>
      <c r="C1054" s="116">
        <v>1596</v>
      </c>
      <c r="D1054" s="116">
        <v>1589.875</v>
      </c>
      <c r="E1054" s="116">
        <v>1600.55</v>
      </c>
      <c r="F1054" s="116">
        <v>3192</v>
      </c>
      <c r="G1054">
        <v>8661</v>
      </c>
      <c r="H1054" s="116"/>
      <c r="I1054" s="116"/>
      <c r="L1054" s="170">
        <v>46087</v>
      </c>
      <c r="M1054" s="116">
        <v>1599.35</v>
      </c>
      <c r="N1054" s="116">
        <v>1617.45</v>
      </c>
      <c r="O1054" s="116">
        <v>1590</v>
      </c>
      <c r="P1054" s="116">
        <v>1600</v>
      </c>
      <c r="Q1054" s="116">
        <v>3198.7</v>
      </c>
      <c r="R1054">
        <v>146072</v>
      </c>
    </row>
    <row r="1055" spans="1:18" x14ac:dyDescent="0.25">
      <c r="A1055" s="170">
        <v>46090</v>
      </c>
      <c r="B1055" s="116">
        <v>1598.6</v>
      </c>
      <c r="C1055" s="116">
        <v>1572.675</v>
      </c>
      <c r="D1055" s="116">
        <v>1550.0250000000001</v>
      </c>
      <c r="E1055" s="116">
        <v>1550.0250000000001</v>
      </c>
      <c r="F1055" s="116">
        <v>3145.35</v>
      </c>
      <c r="G1055">
        <v>5389</v>
      </c>
      <c r="H1055" s="116"/>
      <c r="I1055" s="116"/>
      <c r="L1055" s="170">
        <v>46090</v>
      </c>
      <c r="M1055" s="116">
        <v>1575.5</v>
      </c>
      <c r="N1055" s="116">
        <v>1602.65</v>
      </c>
      <c r="O1055" s="116">
        <v>1555</v>
      </c>
      <c r="P1055" s="116">
        <v>1595</v>
      </c>
      <c r="Q1055" s="116">
        <v>3151</v>
      </c>
      <c r="R1055">
        <v>212633</v>
      </c>
    </row>
    <row r="1056" spans="1:18" x14ac:dyDescent="0.25">
      <c r="A1056" s="170">
        <v>46091</v>
      </c>
      <c r="B1056" s="116">
        <v>1585.5</v>
      </c>
      <c r="C1056" s="116">
        <v>1576.125</v>
      </c>
      <c r="D1056" s="116">
        <v>1555</v>
      </c>
      <c r="E1056" s="116">
        <v>1572.825</v>
      </c>
      <c r="F1056" s="116">
        <v>3152.25</v>
      </c>
      <c r="G1056">
        <v>3620</v>
      </c>
      <c r="H1056" s="116"/>
      <c r="I1056" s="116"/>
      <c r="L1056" s="170">
        <v>46091</v>
      </c>
      <c r="M1056" s="116">
        <v>1577.85</v>
      </c>
      <c r="N1056" s="116">
        <v>1585.5</v>
      </c>
      <c r="O1056" s="116">
        <v>1552.5</v>
      </c>
      <c r="P1056" s="116">
        <v>1585.5</v>
      </c>
      <c r="Q1056" s="116">
        <v>3155.7</v>
      </c>
      <c r="R1056">
        <v>143439</v>
      </c>
    </row>
    <row r="1057" spans="1:18" x14ac:dyDescent="0.25">
      <c r="A1057" s="170">
        <v>46092</v>
      </c>
      <c r="B1057" s="116">
        <v>1590.625</v>
      </c>
      <c r="C1057" s="116">
        <v>1559.075</v>
      </c>
      <c r="D1057" s="116">
        <v>1555</v>
      </c>
      <c r="E1057" s="116">
        <v>1574.65</v>
      </c>
      <c r="F1057" s="116">
        <v>3118.15</v>
      </c>
      <c r="G1057">
        <v>2099</v>
      </c>
      <c r="H1057" s="116"/>
      <c r="I1057" s="116"/>
      <c r="L1057" s="170">
        <v>46092</v>
      </c>
      <c r="M1057" s="116">
        <v>1562.6</v>
      </c>
      <c r="N1057" s="116">
        <v>1588.6</v>
      </c>
      <c r="O1057" s="116">
        <v>1555</v>
      </c>
      <c r="P1057" s="116">
        <v>1575</v>
      </c>
      <c r="Q1057" s="116">
        <v>3125.2</v>
      </c>
      <c r="R1057">
        <v>121584</v>
      </c>
    </row>
    <row r="1058" spans="1:18" x14ac:dyDescent="0.25">
      <c r="A1058" s="170">
        <v>46093</v>
      </c>
      <c r="B1058" s="116">
        <v>1591.55</v>
      </c>
      <c r="C1058" s="116">
        <v>1536</v>
      </c>
      <c r="D1058" s="116">
        <v>1528.4749999999999</v>
      </c>
      <c r="E1058" s="116">
        <v>1591.55</v>
      </c>
      <c r="F1058" s="116">
        <v>3072</v>
      </c>
      <c r="G1058">
        <v>4780</v>
      </c>
      <c r="H1058" s="116"/>
      <c r="I1058" s="116"/>
      <c r="L1058" s="170">
        <v>46093</v>
      </c>
      <c r="M1058" s="116">
        <v>1537.55</v>
      </c>
      <c r="N1058" s="116">
        <v>1572.45</v>
      </c>
      <c r="O1058" s="116">
        <v>1526.3</v>
      </c>
      <c r="P1058" s="116">
        <v>1562.5</v>
      </c>
      <c r="Q1058" s="116">
        <v>3075.1</v>
      </c>
      <c r="R1058">
        <v>218204</v>
      </c>
    </row>
    <row r="1059" spans="1:18" x14ac:dyDescent="0.25">
      <c r="A1059" s="170">
        <v>46094</v>
      </c>
      <c r="B1059" s="116">
        <v>1537.825</v>
      </c>
      <c r="C1059" s="116">
        <v>1518.65</v>
      </c>
      <c r="D1059" s="116">
        <v>1497.0250000000001</v>
      </c>
      <c r="E1059" s="116">
        <v>1534.5</v>
      </c>
      <c r="F1059" s="116">
        <v>3037.3</v>
      </c>
      <c r="G1059">
        <v>6657</v>
      </c>
      <c r="H1059" s="116"/>
      <c r="I1059" s="116"/>
      <c r="L1059" s="170">
        <v>46094</v>
      </c>
      <c r="M1059" s="116">
        <v>1519.65</v>
      </c>
      <c r="N1059" s="116">
        <v>1538.35</v>
      </c>
      <c r="O1059" s="116">
        <v>1496.05</v>
      </c>
      <c r="P1059" s="116">
        <v>1534</v>
      </c>
      <c r="Q1059" s="116">
        <v>3039.3</v>
      </c>
      <c r="R1059">
        <v>203434</v>
      </c>
    </row>
    <row r="1060" spans="1:18" x14ac:dyDescent="0.25">
      <c r="A1060" s="170">
        <v>46097</v>
      </c>
      <c r="B1060" s="116">
        <v>1543.3</v>
      </c>
      <c r="C1060" s="116">
        <v>1535.825</v>
      </c>
      <c r="D1060" s="116">
        <v>1510.5250000000001</v>
      </c>
      <c r="E1060" s="116">
        <v>1532.55</v>
      </c>
      <c r="F1060" s="116">
        <v>3071.65</v>
      </c>
      <c r="G1060">
        <v>2616</v>
      </c>
      <c r="H1060" s="116"/>
      <c r="I1060" s="116"/>
      <c r="L1060" s="170">
        <v>46097</v>
      </c>
      <c r="M1060" s="116">
        <v>1535.35</v>
      </c>
      <c r="N1060" s="116">
        <v>1541.7</v>
      </c>
      <c r="O1060" s="116">
        <v>1505.95</v>
      </c>
      <c r="P1060" s="116">
        <v>1525</v>
      </c>
      <c r="Q1060" s="116">
        <v>3070.7</v>
      </c>
      <c r="R1060">
        <v>246486</v>
      </c>
    </row>
    <row r="1061" spans="1:18" x14ac:dyDescent="0.25">
      <c r="A1061" s="170">
        <v>46098</v>
      </c>
      <c r="B1061" s="116">
        <v>1538.7249999999999</v>
      </c>
      <c r="C1061" s="116">
        <v>1532.75</v>
      </c>
      <c r="D1061" s="116">
        <v>1511.0250000000001</v>
      </c>
      <c r="E1061" s="116">
        <v>1511.0250000000001</v>
      </c>
      <c r="F1061" s="116">
        <v>3065.5</v>
      </c>
      <c r="G1061">
        <v>3229</v>
      </c>
      <c r="H1061" s="116"/>
      <c r="I1061" s="116"/>
      <c r="L1061" s="170">
        <v>46098</v>
      </c>
      <c r="M1061" s="116">
        <v>1531.5</v>
      </c>
      <c r="N1061" s="116">
        <v>1542.05</v>
      </c>
      <c r="O1061" s="116">
        <v>1517.5</v>
      </c>
      <c r="P1061" s="116">
        <v>1539.8</v>
      </c>
      <c r="Q1061" s="116">
        <v>3063</v>
      </c>
      <c r="R1061">
        <v>85513</v>
      </c>
    </row>
    <row r="1062" spans="1:18" x14ac:dyDescent="0.25">
      <c r="A1062" s="170">
        <v>46099</v>
      </c>
      <c r="B1062" s="116">
        <v>1553.85</v>
      </c>
      <c r="C1062" s="116">
        <v>1530.5250000000001</v>
      </c>
      <c r="D1062" s="116">
        <v>1521.5250000000001</v>
      </c>
      <c r="E1062" s="116">
        <v>1521.875</v>
      </c>
      <c r="F1062" s="116">
        <v>3061.05</v>
      </c>
      <c r="G1062">
        <v>3951</v>
      </c>
      <c r="H1062" s="116"/>
      <c r="I1062" s="116"/>
      <c r="L1062" s="170">
        <v>46099</v>
      </c>
      <c r="M1062" s="116">
        <v>1531.95</v>
      </c>
      <c r="N1062" s="116">
        <v>1554.95</v>
      </c>
      <c r="O1062" s="116">
        <v>1520.8</v>
      </c>
      <c r="P1062" s="116">
        <v>1541</v>
      </c>
      <c r="Q1062" s="116">
        <v>3063.9</v>
      </c>
      <c r="R1062">
        <v>108932</v>
      </c>
    </row>
    <row r="1063" spans="1:18" x14ac:dyDescent="0.25">
      <c r="A1063" s="170">
        <v>46100</v>
      </c>
      <c r="B1063" s="116">
        <v>1529.5</v>
      </c>
      <c r="C1063" s="116">
        <v>1510.3</v>
      </c>
      <c r="D1063" s="116">
        <v>1496</v>
      </c>
      <c r="E1063" s="116">
        <v>1515</v>
      </c>
      <c r="F1063" s="116">
        <v>3020.6</v>
      </c>
      <c r="G1063">
        <v>2867</v>
      </c>
      <c r="H1063" s="116"/>
      <c r="I1063" s="116"/>
      <c r="L1063" s="170">
        <v>46100</v>
      </c>
      <c r="M1063" s="116">
        <v>1511.45</v>
      </c>
      <c r="N1063" s="116">
        <v>1529.5</v>
      </c>
      <c r="O1063" s="116">
        <v>1496.8</v>
      </c>
      <c r="P1063" s="116">
        <v>1520</v>
      </c>
      <c r="Q1063" s="116">
        <v>3022.9</v>
      </c>
      <c r="R1063">
        <v>115357</v>
      </c>
    </row>
    <row r="1064" spans="1:18" x14ac:dyDescent="0.25">
      <c r="A1064" s="170">
        <v>46101</v>
      </c>
      <c r="B1064" s="116">
        <v>1536.625</v>
      </c>
      <c r="C1064" s="116">
        <v>1499.05</v>
      </c>
      <c r="D1064" s="116">
        <v>1451.65</v>
      </c>
      <c r="E1064" s="116">
        <v>1536.625</v>
      </c>
      <c r="F1064" s="116">
        <v>2998.1</v>
      </c>
      <c r="G1064">
        <v>8455</v>
      </c>
      <c r="H1064" s="116"/>
      <c r="I1064" s="116"/>
      <c r="L1064" s="170">
        <v>46101</v>
      </c>
      <c r="M1064" s="116">
        <v>1501.7</v>
      </c>
      <c r="N1064" s="116">
        <v>1515</v>
      </c>
      <c r="O1064" s="116">
        <v>1451.65</v>
      </c>
      <c r="P1064" s="116">
        <v>1515</v>
      </c>
      <c r="Q1064" s="116">
        <v>3003.4</v>
      </c>
      <c r="R1064">
        <v>339136</v>
      </c>
    </row>
    <row r="1065" spans="1:18" x14ac:dyDescent="0.25">
      <c r="A1065" s="170">
        <v>46104</v>
      </c>
      <c r="B1065" s="116">
        <v>1492.575</v>
      </c>
      <c r="C1065" s="116">
        <v>1459.675</v>
      </c>
      <c r="D1065" s="116">
        <v>1449.575</v>
      </c>
      <c r="E1065" s="116">
        <v>1491.5250000000001</v>
      </c>
      <c r="F1065" s="116">
        <v>2919.35</v>
      </c>
      <c r="G1065">
        <v>5688</v>
      </c>
      <c r="H1065" s="116"/>
      <c r="I1065" s="116"/>
      <c r="L1065" s="170">
        <v>46104</v>
      </c>
      <c r="M1065" s="116">
        <v>1456.2</v>
      </c>
      <c r="N1065" s="116">
        <v>1495</v>
      </c>
      <c r="O1065" s="116">
        <v>1451.5</v>
      </c>
      <c r="P1065" s="116">
        <v>1495</v>
      </c>
      <c r="Q1065" s="116">
        <v>2912.4</v>
      </c>
      <c r="R1065">
        <v>145086</v>
      </c>
    </row>
    <row r="1066" spans="1:18" x14ac:dyDescent="0.25">
      <c r="A1066" s="170">
        <v>46105</v>
      </c>
      <c r="B1066" s="116">
        <v>1496.85</v>
      </c>
      <c r="C1066" s="116">
        <v>1482.3</v>
      </c>
      <c r="D1066" s="116">
        <v>1460.75</v>
      </c>
      <c r="E1066" s="116">
        <v>1460.75</v>
      </c>
      <c r="F1066" s="116">
        <v>2964.6</v>
      </c>
      <c r="G1066">
        <v>5531</v>
      </c>
      <c r="H1066" s="116"/>
      <c r="I1066" s="116"/>
      <c r="L1066" s="170">
        <v>46105</v>
      </c>
      <c r="M1066" s="116">
        <v>1485.3</v>
      </c>
      <c r="N1066" s="116">
        <v>1497.5</v>
      </c>
      <c r="O1066" s="116">
        <v>1465</v>
      </c>
      <c r="P1066" s="116">
        <v>1465</v>
      </c>
      <c r="Q1066" s="116">
        <v>2970.6</v>
      </c>
      <c r="R1066">
        <v>102694</v>
      </c>
    </row>
    <row r="1067" spans="1:18" x14ac:dyDescent="0.25">
      <c r="A1067" s="170">
        <v>46106</v>
      </c>
      <c r="B1067" s="116">
        <v>1507.5</v>
      </c>
      <c r="C1067" s="116">
        <v>1496.0250000000001</v>
      </c>
      <c r="D1067" s="116">
        <v>1481.325</v>
      </c>
      <c r="E1067" s="116">
        <v>1481.325</v>
      </c>
      <c r="F1067" s="116">
        <v>2992.05</v>
      </c>
      <c r="G1067">
        <v>2450</v>
      </c>
      <c r="H1067" s="116"/>
      <c r="I1067" s="116"/>
      <c r="L1067" s="170">
        <v>46106</v>
      </c>
      <c r="M1067" s="116">
        <v>1496.35</v>
      </c>
      <c r="N1067" s="116">
        <v>1507.5</v>
      </c>
      <c r="O1067" s="116">
        <v>1485</v>
      </c>
      <c r="P1067" s="116">
        <v>1492.5</v>
      </c>
      <c r="Q1067" s="116">
        <v>2992.7</v>
      </c>
      <c r="R1067">
        <v>105057</v>
      </c>
    </row>
    <row r="1068" spans="1:18" x14ac:dyDescent="0.25">
      <c r="A1068" s="170">
        <v>46108</v>
      </c>
      <c r="B1068" s="116">
        <v>1538.55</v>
      </c>
      <c r="C1068" s="116">
        <v>1514.6</v>
      </c>
      <c r="D1068" s="116">
        <v>1484</v>
      </c>
      <c r="E1068" s="116">
        <v>1512.625</v>
      </c>
      <c r="F1068" s="116">
        <v>3029.2</v>
      </c>
      <c r="G1068">
        <v>6523</v>
      </c>
      <c r="H1068" s="116"/>
      <c r="I1068" s="116"/>
      <c r="L1068" s="170">
        <v>46108</v>
      </c>
      <c r="M1068" s="116">
        <v>1516.3</v>
      </c>
      <c r="N1068" s="116">
        <v>1539.45</v>
      </c>
      <c r="O1068" s="116">
        <v>1481.25</v>
      </c>
      <c r="P1068" s="116">
        <v>1487.5</v>
      </c>
      <c r="Q1068" s="116">
        <v>3032.6</v>
      </c>
      <c r="R1068">
        <v>195670</v>
      </c>
    </row>
    <row r="1069" spans="1:18" x14ac:dyDescent="0.25">
      <c r="A1069" s="170">
        <v>46111</v>
      </c>
      <c r="B1069" s="116">
        <v>1537.3</v>
      </c>
      <c r="C1069" s="116">
        <v>1517.925</v>
      </c>
      <c r="D1069" s="116">
        <v>1479.85</v>
      </c>
      <c r="E1069" s="116">
        <v>1514.425</v>
      </c>
      <c r="F1069" s="116">
        <v>3035.85</v>
      </c>
      <c r="G1069">
        <v>4964</v>
      </c>
      <c r="H1069" s="116"/>
      <c r="I1069" s="116"/>
      <c r="L1069" s="170">
        <v>46111</v>
      </c>
      <c r="M1069" s="116">
        <v>1517.7</v>
      </c>
      <c r="N1069" s="116">
        <v>1535.9</v>
      </c>
      <c r="O1069" s="116">
        <v>1477.8</v>
      </c>
      <c r="P1069" s="116">
        <v>1506</v>
      </c>
      <c r="Q1069" s="116">
        <v>3035.4</v>
      </c>
      <c r="R1069">
        <v>120372</v>
      </c>
    </row>
    <row r="1070" spans="1:18" x14ac:dyDescent="0.25">
      <c r="A1070" s="170">
        <v>46113</v>
      </c>
      <c r="B1070" s="116">
        <v>1580</v>
      </c>
      <c r="C1070" s="116">
        <v>1556.3</v>
      </c>
      <c r="D1070" s="116">
        <v>1490.25</v>
      </c>
      <c r="E1070" s="116">
        <v>1490.25</v>
      </c>
      <c r="F1070" s="116">
        <v>3112.6</v>
      </c>
      <c r="G1070">
        <v>12046</v>
      </c>
      <c r="H1070" s="116"/>
      <c r="I1070" s="116"/>
      <c r="L1070" s="170">
        <v>46113</v>
      </c>
      <c r="M1070" s="116">
        <v>1557.3</v>
      </c>
      <c r="N1070" s="116">
        <v>1580</v>
      </c>
      <c r="O1070" s="116">
        <v>1525</v>
      </c>
      <c r="P1070" s="116">
        <v>1527.5</v>
      </c>
      <c r="Q1070" s="116">
        <v>3114.6</v>
      </c>
      <c r="R1070">
        <v>125964</v>
      </c>
    </row>
    <row r="1071" spans="1:18" x14ac:dyDescent="0.25">
      <c r="A1071" s="170">
        <v>46114</v>
      </c>
      <c r="B1071" s="116">
        <v>1612.4</v>
      </c>
      <c r="C1071" s="116">
        <v>1602.4</v>
      </c>
      <c r="D1071" s="116">
        <v>1527.5</v>
      </c>
      <c r="E1071" s="116">
        <v>1548.45</v>
      </c>
      <c r="F1071" s="116">
        <v>3204.8</v>
      </c>
      <c r="G1071">
        <v>7434</v>
      </c>
      <c r="H1071" s="116"/>
      <c r="I1071" s="116"/>
      <c r="L1071" s="170">
        <v>46114</v>
      </c>
      <c r="M1071" s="116">
        <v>1604.1</v>
      </c>
      <c r="N1071" s="116">
        <v>1612</v>
      </c>
      <c r="O1071" s="116">
        <v>1526.3</v>
      </c>
      <c r="P1071" s="116">
        <v>1544.55</v>
      </c>
      <c r="Q1071" s="116">
        <v>3208.2</v>
      </c>
      <c r="R1071">
        <v>274350</v>
      </c>
    </row>
    <row r="1072" spans="1:18" x14ac:dyDescent="0.25">
      <c r="A1072" s="170">
        <v>46118</v>
      </c>
      <c r="B1072" s="116">
        <v>1653.925</v>
      </c>
      <c r="C1072" s="116">
        <v>1643.2750000000001</v>
      </c>
      <c r="D1072" s="116">
        <v>1590.675</v>
      </c>
      <c r="E1072" s="116">
        <v>1634.425</v>
      </c>
      <c r="F1072" s="116">
        <v>3286.55</v>
      </c>
      <c r="G1072">
        <v>6485</v>
      </c>
      <c r="H1072" s="116"/>
      <c r="I1072" s="116"/>
      <c r="L1072" s="170">
        <v>46118</v>
      </c>
      <c r="M1072" s="116">
        <v>1641.45</v>
      </c>
      <c r="N1072" s="116">
        <v>1654.5</v>
      </c>
      <c r="O1072" s="116">
        <v>1590.5</v>
      </c>
      <c r="P1072" s="116">
        <v>1600.05</v>
      </c>
      <c r="Q1072" s="116">
        <v>3282.9</v>
      </c>
      <c r="R1072">
        <v>326562</v>
      </c>
    </row>
    <row r="1073" spans="1:18" x14ac:dyDescent="0.25">
      <c r="A1073" s="170">
        <v>46119</v>
      </c>
      <c r="B1073" s="116">
        <v>1664</v>
      </c>
      <c r="C1073" s="116">
        <v>1643.125</v>
      </c>
      <c r="D1073" s="116">
        <v>1626.825</v>
      </c>
      <c r="E1073" s="116">
        <v>1649.5</v>
      </c>
      <c r="F1073" s="116">
        <v>3286.25</v>
      </c>
      <c r="G1073">
        <v>13364</v>
      </c>
      <c r="H1073" s="116"/>
      <c r="I1073" s="116"/>
      <c r="L1073" s="170">
        <v>46119</v>
      </c>
      <c r="M1073" s="116">
        <v>1646.3</v>
      </c>
      <c r="N1073" s="116">
        <v>1664.25</v>
      </c>
      <c r="O1073" s="116">
        <v>1627.75</v>
      </c>
      <c r="P1073" s="116">
        <v>1649.5</v>
      </c>
      <c r="Q1073" s="116">
        <v>3292.6</v>
      </c>
      <c r="R1073">
        <v>221720</v>
      </c>
    </row>
    <row r="1074" spans="1:18" x14ac:dyDescent="0.25">
      <c r="A1074" s="170">
        <v>46120</v>
      </c>
      <c r="B1074" s="116">
        <v>1705.575</v>
      </c>
      <c r="C1074" s="116">
        <v>1698.9</v>
      </c>
      <c r="D1074" s="116">
        <v>1661.5250000000001</v>
      </c>
      <c r="E1074" s="116">
        <v>1688.95</v>
      </c>
      <c r="F1074" s="116">
        <v>3397.8</v>
      </c>
      <c r="G1074">
        <v>15991</v>
      </c>
      <c r="H1074" s="116"/>
      <c r="I1074" s="116"/>
      <c r="L1074" s="170">
        <v>46120</v>
      </c>
      <c r="M1074" s="116">
        <v>1699.25</v>
      </c>
      <c r="N1074" s="116">
        <v>1705.1</v>
      </c>
      <c r="O1074" s="116">
        <v>1660.3</v>
      </c>
      <c r="P1074" s="116">
        <v>1677.55</v>
      </c>
      <c r="Q1074" s="116">
        <v>3398.5</v>
      </c>
      <c r="R1074">
        <v>421720</v>
      </c>
    </row>
    <row r="1075" spans="1:18" x14ac:dyDescent="0.25">
      <c r="A1075" s="170">
        <v>46121</v>
      </c>
      <c r="B1075" s="116">
        <v>1788.375</v>
      </c>
      <c r="C1075" s="116">
        <v>1774.45</v>
      </c>
      <c r="D1075" s="116">
        <v>1674.175</v>
      </c>
      <c r="E1075" s="116">
        <v>1724.875</v>
      </c>
      <c r="F1075" s="116">
        <v>3548.9</v>
      </c>
      <c r="G1075">
        <v>42446</v>
      </c>
      <c r="H1075" s="116"/>
      <c r="I1075" s="116"/>
      <c r="L1075" s="170">
        <v>46121</v>
      </c>
      <c r="M1075" s="116">
        <v>1776.85</v>
      </c>
      <c r="N1075" s="116">
        <v>1788</v>
      </c>
      <c r="O1075" s="116">
        <v>1672.5</v>
      </c>
      <c r="P1075" s="116">
        <v>1714.5</v>
      </c>
      <c r="Q1075" s="116">
        <v>3553.7</v>
      </c>
      <c r="R1075">
        <v>1704537</v>
      </c>
    </row>
    <row r="1076" spans="1:18" x14ac:dyDescent="0.25">
      <c r="A1076" s="170">
        <v>46122</v>
      </c>
      <c r="B1076" s="116">
        <v>1839.325</v>
      </c>
      <c r="C1076" s="116">
        <v>1792.125</v>
      </c>
      <c r="D1076" s="116">
        <v>1725</v>
      </c>
      <c r="E1076" s="116">
        <v>1839.325</v>
      </c>
      <c r="F1076" s="116">
        <v>3584.25</v>
      </c>
      <c r="G1076">
        <v>31361</v>
      </c>
      <c r="H1076" s="116"/>
      <c r="I1076" s="116"/>
      <c r="L1076" s="170">
        <v>46122</v>
      </c>
      <c r="M1076" s="116">
        <v>1789.25</v>
      </c>
      <c r="N1076" s="116">
        <v>1801.85</v>
      </c>
      <c r="O1076" s="116">
        <v>1725</v>
      </c>
      <c r="P1076" s="116">
        <v>1799</v>
      </c>
      <c r="Q1076" s="116">
        <v>3578.5</v>
      </c>
      <c r="R1076">
        <v>683488</v>
      </c>
    </row>
    <row r="1077" spans="1:18" x14ac:dyDescent="0.25">
      <c r="A1077" s="170">
        <v>46125</v>
      </c>
      <c r="B1077" s="116">
        <v>1811.0250000000001</v>
      </c>
      <c r="C1077" s="116">
        <v>1795.3</v>
      </c>
      <c r="D1077" s="116">
        <v>1737.7</v>
      </c>
      <c r="E1077" s="116">
        <v>1765.65</v>
      </c>
      <c r="F1077" s="116">
        <v>3590.6</v>
      </c>
      <c r="G1077">
        <v>25047</v>
      </c>
      <c r="H1077" s="116"/>
      <c r="I1077" s="116"/>
      <c r="L1077" s="170">
        <v>46125</v>
      </c>
      <c r="M1077" s="116">
        <v>1796.1</v>
      </c>
      <c r="N1077" s="116">
        <v>1813.9</v>
      </c>
      <c r="O1077" s="116">
        <v>1740</v>
      </c>
      <c r="P1077" s="116">
        <v>1769.95</v>
      </c>
      <c r="Q1077" s="116">
        <v>3592.2</v>
      </c>
      <c r="R1077">
        <v>632040</v>
      </c>
    </row>
    <row r="1078" spans="1:18" x14ac:dyDescent="0.25">
      <c r="A1078" s="170">
        <v>46127</v>
      </c>
      <c r="B1078" s="116">
        <v>1848.2249999999999</v>
      </c>
      <c r="C1078" s="116">
        <v>1828.35</v>
      </c>
      <c r="D1078" s="116">
        <v>1807.5</v>
      </c>
      <c r="E1078" s="116">
        <v>1824.925</v>
      </c>
      <c r="F1078" s="116">
        <v>3656.7</v>
      </c>
      <c r="G1078">
        <v>15073</v>
      </c>
      <c r="H1078" s="116"/>
      <c r="I1078" s="116"/>
      <c r="L1078" s="170">
        <v>46127</v>
      </c>
      <c r="M1078" s="116">
        <v>1827.25</v>
      </c>
      <c r="N1078" s="116">
        <v>1847.5</v>
      </c>
      <c r="O1078" s="116">
        <v>1807</v>
      </c>
      <c r="P1078" s="116">
        <v>1814.95</v>
      </c>
      <c r="Q1078" s="116">
        <v>3654.5</v>
      </c>
      <c r="R1078">
        <v>418788</v>
      </c>
    </row>
    <row r="1079" spans="1:18" x14ac:dyDescent="0.25">
      <c r="A1079" s="170">
        <v>46128</v>
      </c>
      <c r="B1079" s="116">
        <v>1846.7750000000001</v>
      </c>
      <c r="C1079" s="116">
        <v>1814.625</v>
      </c>
      <c r="D1079" s="116">
        <v>1798.15</v>
      </c>
      <c r="E1079" s="116">
        <v>1812.425</v>
      </c>
      <c r="F1079" s="116">
        <v>3629.25</v>
      </c>
      <c r="G1079">
        <v>16910</v>
      </c>
      <c r="H1079" s="116"/>
      <c r="I1079" s="116"/>
      <c r="L1079" s="170">
        <v>46128</v>
      </c>
      <c r="M1079" s="116">
        <v>1816.45</v>
      </c>
      <c r="N1079" s="116">
        <v>1838.85</v>
      </c>
      <c r="O1079" s="116">
        <v>1784.8</v>
      </c>
      <c r="P1079" s="116">
        <v>1827.45</v>
      </c>
      <c r="Q1079" s="116">
        <v>3632.9</v>
      </c>
      <c r="R1079">
        <v>179019</v>
      </c>
    </row>
    <row r="1080" spans="1:18" x14ac:dyDescent="0.25">
      <c r="A1080" s="170">
        <v>46129</v>
      </c>
      <c r="B1080" s="116">
        <v>1866.95</v>
      </c>
      <c r="C1080" s="116">
        <v>1844.7750000000001</v>
      </c>
      <c r="D1080" s="116">
        <v>1810.4</v>
      </c>
      <c r="E1080" s="116">
        <v>1816.5</v>
      </c>
      <c r="F1080" s="116">
        <v>3689.55</v>
      </c>
      <c r="G1080">
        <v>6547</v>
      </c>
      <c r="H1080" s="116"/>
      <c r="I1080" s="116"/>
      <c r="L1080" s="170">
        <v>46129</v>
      </c>
      <c r="M1080" s="116">
        <v>1844.9</v>
      </c>
      <c r="N1080" s="116">
        <v>1867.5</v>
      </c>
      <c r="O1080" s="116">
        <v>1815</v>
      </c>
      <c r="P1080" s="116">
        <v>1815</v>
      </c>
      <c r="Q1080" s="116">
        <v>3689.8</v>
      </c>
      <c r="R1080">
        <v>262676</v>
      </c>
    </row>
    <row r="1081" spans="1:18" x14ac:dyDescent="0.25">
      <c r="A1081" s="170">
        <v>46132</v>
      </c>
      <c r="B1081" s="116">
        <v>1861.3</v>
      </c>
      <c r="C1081" s="116">
        <v>1832.825</v>
      </c>
      <c r="D1081" s="116">
        <v>1822.5250000000001</v>
      </c>
      <c r="E1081" s="116">
        <v>1861.3</v>
      </c>
      <c r="F1081" s="116">
        <v>3665.65</v>
      </c>
      <c r="G1081">
        <v>3505</v>
      </c>
      <c r="H1081" s="116"/>
      <c r="I1081" s="116"/>
      <c r="L1081" s="170">
        <v>46132</v>
      </c>
      <c r="M1081" s="116">
        <v>1831.95</v>
      </c>
      <c r="N1081" s="116">
        <v>1855</v>
      </c>
      <c r="O1081" s="116">
        <v>1822</v>
      </c>
      <c r="P1081" s="116">
        <v>1840.7</v>
      </c>
      <c r="Q1081" s="116">
        <v>3663.9</v>
      </c>
      <c r="R1081">
        <v>122802</v>
      </c>
    </row>
    <row r="1082" spans="1:18" x14ac:dyDescent="0.25">
      <c r="A1082" s="170">
        <v>46133</v>
      </c>
      <c r="B1082" s="116">
        <v>1831.375</v>
      </c>
      <c r="C1082" s="116">
        <v>1824.325</v>
      </c>
      <c r="D1082" s="116">
        <v>1809.2750000000001</v>
      </c>
      <c r="E1082" s="116">
        <v>1824.0250000000001</v>
      </c>
      <c r="F1082" s="116">
        <v>3648.65</v>
      </c>
      <c r="G1082">
        <v>6489</v>
      </c>
      <c r="H1082" s="116"/>
      <c r="I1082" s="116"/>
      <c r="L1082" s="170">
        <v>46133</v>
      </c>
      <c r="M1082" s="116">
        <v>1823.2</v>
      </c>
      <c r="N1082" s="116">
        <v>1831.95</v>
      </c>
      <c r="O1082" s="116">
        <v>1808.5</v>
      </c>
      <c r="P1082" s="116">
        <v>1829.5</v>
      </c>
      <c r="Q1082" s="116">
        <v>3646.4</v>
      </c>
      <c r="R1082">
        <v>100076</v>
      </c>
    </row>
    <row r="1083" spans="1:18" x14ac:dyDescent="0.25">
      <c r="A1083" s="170">
        <v>46134</v>
      </c>
      <c r="B1083" s="116">
        <v>1834.3</v>
      </c>
      <c r="C1083" s="116">
        <v>1806.25</v>
      </c>
      <c r="D1083" s="116">
        <v>1800.35</v>
      </c>
      <c r="E1083" s="116">
        <v>1811.0250000000001</v>
      </c>
      <c r="F1083" s="116">
        <v>3612.5</v>
      </c>
      <c r="G1083">
        <v>9008</v>
      </c>
      <c r="H1083" s="116"/>
      <c r="I1083" s="116"/>
      <c r="L1083" s="170">
        <v>46134</v>
      </c>
      <c r="M1083" s="116">
        <v>1807</v>
      </c>
      <c r="N1083" s="116">
        <v>1835</v>
      </c>
      <c r="O1083" s="116">
        <v>1800</v>
      </c>
      <c r="P1083" s="116">
        <v>1815</v>
      </c>
      <c r="Q1083" s="116">
        <v>3614</v>
      </c>
      <c r="R1083">
        <v>110617</v>
      </c>
    </row>
    <row r="1084" spans="1:18" x14ac:dyDescent="0.25">
      <c r="A1084" s="170">
        <v>46135</v>
      </c>
      <c r="B1084" s="116">
        <v>1825</v>
      </c>
      <c r="C1084" s="116">
        <v>1806.15</v>
      </c>
      <c r="D1084" s="116">
        <v>1792.55</v>
      </c>
      <c r="E1084" s="116">
        <v>1805</v>
      </c>
      <c r="F1084" s="116">
        <v>3612.3</v>
      </c>
      <c r="G1084">
        <v>1825</v>
      </c>
      <c r="H1084" s="116"/>
      <c r="I1084" s="116"/>
      <c r="L1084" s="170">
        <v>46135</v>
      </c>
      <c r="M1084" s="116">
        <v>1806.3</v>
      </c>
      <c r="N1084" s="116">
        <v>1828.45</v>
      </c>
      <c r="O1084" s="116">
        <v>1791.35</v>
      </c>
      <c r="P1084" s="116">
        <v>1805</v>
      </c>
      <c r="Q1084" s="116">
        <v>3612.6</v>
      </c>
      <c r="R1084">
        <v>102525</v>
      </c>
    </row>
    <row r="1085" spans="1:18" x14ac:dyDescent="0.25">
      <c r="A1085" s="170">
        <v>46136</v>
      </c>
      <c r="B1085" s="116">
        <v>1820.075</v>
      </c>
      <c r="C1085" s="116">
        <v>1789.7</v>
      </c>
      <c r="D1085" s="116">
        <v>1774.8</v>
      </c>
      <c r="E1085" s="116">
        <v>1799</v>
      </c>
      <c r="F1085" s="116">
        <v>3579.4</v>
      </c>
      <c r="G1085">
        <v>7438</v>
      </c>
      <c r="H1085" s="116"/>
      <c r="I1085" s="116"/>
      <c r="L1085" s="170">
        <v>46136</v>
      </c>
      <c r="M1085" s="116">
        <v>1790.45</v>
      </c>
      <c r="N1085" s="116">
        <v>1820.1</v>
      </c>
      <c r="O1085" s="116">
        <v>1775</v>
      </c>
      <c r="P1085" s="116">
        <v>1810</v>
      </c>
      <c r="Q1085" s="116">
        <v>3580.9</v>
      </c>
      <c r="R1085">
        <v>240604</v>
      </c>
    </row>
    <row r="1086" spans="1:18" x14ac:dyDescent="0.25">
      <c r="A1086" s="170">
        <v>46139</v>
      </c>
      <c r="B1086" s="116">
        <v>1808.35</v>
      </c>
      <c r="C1086" s="116">
        <v>1775.7249999999999</v>
      </c>
      <c r="D1086" s="116">
        <v>1767.175</v>
      </c>
      <c r="E1086" s="116">
        <v>1808.35</v>
      </c>
      <c r="F1086" s="116">
        <v>3551.45</v>
      </c>
      <c r="G1086">
        <v>2971</v>
      </c>
      <c r="H1086" s="116"/>
      <c r="I1086" s="116"/>
      <c r="L1086" s="170">
        <v>46139</v>
      </c>
      <c r="M1086" s="116">
        <v>1779.25</v>
      </c>
      <c r="N1086" s="116">
        <v>1804.9</v>
      </c>
      <c r="O1086" s="116">
        <v>1766.35</v>
      </c>
      <c r="P1086" s="116">
        <v>1791.6</v>
      </c>
      <c r="Q1086" s="116">
        <v>3558.5</v>
      </c>
      <c r="R1086">
        <v>245247</v>
      </c>
    </row>
    <row r="1087" spans="1:18" x14ac:dyDescent="0.25">
      <c r="A1087" s="170">
        <v>46140</v>
      </c>
      <c r="B1087" s="116">
        <v>1820</v>
      </c>
      <c r="C1087" s="116">
        <v>1790.175</v>
      </c>
      <c r="D1087" s="116">
        <v>1776.3</v>
      </c>
      <c r="E1087" s="116">
        <v>1799.875</v>
      </c>
      <c r="F1087" s="116">
        <v>3580.35</v>
      </c>
      <c r="G1087">
        <v>3301</v>
      </c>
      <c r="H1087" s="116"/>
      <c r="I1087" s="116"/>
      <c r="L1087" s="170">
        <v>46140</v>
      </c>
      <c r="M1087" s="116">
        <v>1789.55</v>
      </c>
      <c r="N1087" s="116">
        <v>1820</v>
      </c>
      <c r="O1087" s="116">
        <v>1774.5</v>
      </c>
      <c r="P1087" s="116">
        <v>1779.25</v>
      </c>
      <c r="Q1087" s="116">
        <v>3579.1</v>
      </c>
      <c r="R1087">
        <v>170964</v>
      </c>
    </row>
    <row r="1088" spans="1:18" x14ac:dyDescent="0.25">
      <c r="A1088" s="170">
        <v>46141</v>
      </c>
      <c r="B1088" s="116">
        <v>1818</v>
      </c>
      <c r="C1088" s="116">
        <v>1793.125</v>
      </c>
      <c r="D1088" s="116">
        <v>1776.5250000000001</v>
      </c>
      <c r="E1088" s="116">
        <v>1790.85</v>
      </c>
      <c r="F1088" s="116">
        <v>3586.25</v>
      </c>
      <c r="G1088">
        <v>9573</v>
      </c>
      <c r="H1088" s="116"/>
      <c r="I1088" s="116"/>
      <c r="L1088" s="170">
        <v>46141</v>
      </c>
      <c r="M1088" s="116">
        <v>1793.25</v>
      </c>
      <c r="N1088" s="116">
        <v>1819.55</v>
      </c>
      <c r="O1088" s="116">
        <v>1778.4</v>
      </c>
      <c r="P1088" s="116">
        <v>1798.1</v>
      </c>
      <c r="Q1088" s="116">
        <v>3586.5</v>
      </c>
      <c r="R1088">
        <v>170106</v>
      </c>
    </row>
    <row r="1089" spans="1:18" x14ac:dyDescent="0.25">
      <c r="A1089" s="170">
        <v>46142</v>
      </c>
      <c r="B1089" s="116">
        <v>1818.2249999999999</v>
      </c>
      <c r="C1089" s="116">
        <v>1798.825</v>
      </c>
      <c r="D1089" s="116">
        <v>1787.5</v>
      </c>
      <c r="E1089" s="116">
        <v>1792.95</v>
      </c>
      <c r="F1089" s="116">
        <v>3597.65</v>
      </c>
      <c r="G1089">
        <v>4678</v>
      </c>
      <c r="H1089" s="116"/>
      <c r="I1089" s="116"/>
      <c r="L1089" s="170">
        <v>46142</v>
      </c>
      <c r="M1089" s="116">
        <v>1800.8</v>
      </c>
      <c r="N1089" s="116">
        <v>1817.5</v>
      </c>
      <c r="O1089" s="116">
        <v>1782.55</v>
      </c>
      <c r="P1089" s="116">
        <v>1800</v>
      </c>
      <c r="Q1089" s="116">
        <v>3601.6</v>
      </c>
      <c r="R1089">
        <v>208128</v>
      </c>
    </row>
    <row r="1090" spans="1:18" x14ac:dyDescent="0.25">
      <c r="A1090" s="170">
        <v>46146</v>
      </c>
      <c r="B1090" s="116">
        <v>1835.675</v>
      </c>
      <c r="C1090" s="116">
        <v>1807.45</v>
      </c>
      <c r="D1090" s="116">
        <v>1788.125</v>
      </c>
      <c r="E1090" s="116">
        <v>1801.9749999999999</v>
      </c>
      <c r="F1090" s="116">
        <v>3614.9</v>
      </c>
      <c r="G1090">
        <v>5291</v>
      </c>
      <c r="H1090" s="116"/>
      <c r="I1090" s="116"/>
      <c r="L1090" s="170">
        <v>46146</v>
      </c>
      <c r="M1090" s="116">
        <v>1803.3</v>
      </c>
      <c r="N1090" s="116">
        <v>1835.95</v>
      </c>
      <c r="O1090" s="116">
        <v>1787.55</v>
      </c>
      <c r="P1090" s="116">
        <v>1810</v>
      </c>
      <c r="Q1090" s="116">
        <v>3606.6</v>
      </c>
      <c r="R1090">
        <v>196134</v>
      </c>
    </row>
    <row r="1091" spans="1:18" x14ac:dyDescent="0.25">
      <c r="A1091" s="170">
        <v>46147</v>
      </c>
      <c r="B1091" s="116">
        <v>1822.5</v>
      </c>
      <c r="C1091" s="116">
        <v>1807.375</v>
      </c>
      <c r="D1091" s="116">
        <v>1790.0250000000001</v>
      </c>
      <c r="E1091" s="116">
        <v>1790.0250000000001</v>
      </c>
      <c r="F1091" s="116">
        <v>3614.75</v>
      </c>
      <c r="G1091">
        <v>10790</v>
      </c>
      <c r="H1091" s="116"/>
      <c r="I1091" s="116"/>
      <c r="L1091" s="170">
        <v>46147</v>
      </c>
      <c r="M1091" s="116">
        <v>1806.4</v>
      </c>
      <c r="N1091" s="116">
        <v>1823.85</v>
      </c>
      <c r="O1091" s="116">
        <v>1793</v>
      </c>
      <c r="P1091" s="116">
        <v>1793</v>
      </c>
      <c r="Q1091" s="116">
        <v>3612.8</v>
      </c>
      <c r="R1091">
        <v>310305</v>
      </c>
    </row>
    <row r="1092" spans="1:18" x14ac:dyDescent="0.25">
      <c r="A1092" s="170">
        <v>46148</v>
      </c>
      <c r="B1092" s="116">
        <v>1823.4749999999999</v>
      </c>
      <c r="C1092" s="116">
        <v>1809.3</v>
      </c>
      <c r="D1092" s="116">
        <v>1769.375</v>
      </c>
      <c r="E1092" s="116">
        <v>1805.075</v>
      </c>
      <c r="F1092" s="116">
        <v>3618.6</v>
      </c>
      <c r="G1092">
        <v>16675</v>
      </c>
      <c r="H1092" s="116"/>
      <c r="I1092" s="116"/>
      <c r="L1092" s="170">
        <v>46148</v>
      </c>
      <c r="M1092" s="116">
        <v>1809.2</v>
      </c>
      <c r="N1092" s="116">
        <v>1822.5</v>
      </c>
      <c r="O1092" s="116">
        <v>1768.6</v>
      </c>
      <c r="P1092" s="116">
        <v>1812.8</v>
      </c>
      <c r="Q1092" s="116">
        <v>3618.4</v>
      </c>
      <c r="R1092">
        <v>432163</v>
      </c>
    </row>
    <row r="1093" spans="1:18" x14ac:dyDescent="0.25">
      <c r="A1093" s="170">
        <v>46149</v>
      </c>
      <c r="B1093" s="116">
        <v>1848</v>
      </c>
      <c r="C1093" s="116">
        <v>1806.6</v>
      </c>
      <c r="D1093" s="116">
        <v>1804.6</v>
      </c>
      <c r="E1093" s="116">
        <v>1810.55</v>
      </c>
      <c r="F1093" s="116">
        <v>3613.2</v>
      </c>
      <c r="G1093">
        <v>7187</v>
      </c>
      <c r="H1093" s="116"/>
      <c r="I1093" s="116"/>
      <c r="L1093" s="170">
        <v>46149</v>
      </c>
      <c r="M1093" s="116">
        <v>1807.1</v>
      </c>
      <c r="N1093" s="116">
        <v>1849.5</v>
      </c>
      <c r="O1093" s="116">
        <v>1804</v>
      </c>
      <c r="P1093" s="116">
        <v>1820</v>
      </c>
      <c r="Q1093" s="116">
        <v>3614.2</v>
      </c>
      <c r="R1093">
        <v>154808</v>
      </c>
    </row>
    <row r="1094" spans="1:18" x14ac:dyDescent="0.25">
      <c r="A1094" s="170">
        <v>46150</v>
      </c>
      <c r="B1094" s="116">
        <v>1815.55</v>
      </c>
      <c r="C1094" s="116">
        <v>1805.9</v>
      </c>
      <c r="D1094" s="116">
        <v>1801</v>
      </c>
      <c r="E1094" s="116">
        <v>1805.25</v>
      </c>
      <c r="F1094" s="116">
        <v>3611.8</v>
      </c>
      <c r="G1094">
        <v>1956</v>
      </c>
      <c r="H1094" s="116"/>
      <c r="I1094" s="116"/>
      <c r="L1094" s="170">
        <v>46150</v>
      </c>
      <c r="M1094" s="116">
        <v>1804.4</v>
      </c>
      <c r="N1094" s="116">
        <v>1817</v>
      </c>
      <c r="O1094" s="116">
        <v>1800</v>
      </c>
      <c r="P1094" s="116">
        <v>1817</v>
      </c>
      <c r="Q1094" s="116">
        <v>3608.8</v>
      </c>
      <c r="R1094">
        <v>110847</v>
      </c>
    </row>
    <row r="1095" spans="1:18" x14ac:dyDescent="0.25">
      <c r="A1095" s="170">
        <v>46153</v>
      </c>
      <c r="B1095" s="116">
        <v>1802.4749999999999</v>
      </c>
      <c r="C1095" s="116">
        <v>1788.925</v>
      </c>
      <c r="D1095" s="116">
        <v>1775.0250000000001</v>
      </c>
      <c r="E1095" s="116">
        <v>1775.0250000000001</v>
      </c>
      <c r="F1095" s="116">
        <v>3577.85</v>
      </c>
      <c r="G1095">
        <v>9758</v>
      </c>
      <c r="H1095" s="116"/>
      <c r="I1095" s="116"/>
      <c r="L1095" s="170">
        <v>46153</v>
      </c>
      <c r="M1095" s="116">
        <v>1790.1</v>
      </c>
      <c r="N1095" s="116">
        <v>1802.85</v>
      </c>
      <c r="O1095" s="116">
        <v>1780</v>
      </c>
      <c r="P1095" s="116">
        <v>1790.55</v>
      </c>
      <c r="Q1095" s="116">
        <v>3580.2</v>
      </c>
      <c r="R1095">
        <v>201660</v>
      </c>
    </row>
    <row r="1096" spans="1:18" x14ac:dyDescent="0.25">
      <c r="A1096" s="170">
        <v>46154</v>
      </c>
      <c r="B1096" s="116">
        <v>1805.85</v>
      </c>
      <c r="C1096" s="116">
        <v>1763.0250000000001</v>
      </c>
      <c r="D1096" s="116">
        <v>1740.5</v>
      </c>
      <c r="E1096" s="116">
        <v>1782.6</v>
      </c>
      <c r="F1096" s="116">
        <v>3526.05</v>
      </c>
      <c r="G1096">
        <v>9058</v>
      </c>
      <c r="H1096" s="116"/>
      <c r="I1096" s="116"/>
      <c r="L1096" s="170">
        <v>46154</v>
      </c>
      <c r="M1096" s="116">
        <v>1764.9</v>
      </c>
      <c r="N1096" s="116">
        <v>1808.45</v>
      </c>
      <c r="O1096" s="116">
        <v>1740</v>
      </c>
      <c r="P1096" s="116">
        <v>1790.1</v>
      </c>
      <c r="Q1096" s="116">
        <v>3529.8</v>
      </c>
      <c r="R1096">
        <v>888020</v>
      </c>
    </row>
    <row r="1097" spans="1:18" x14ac:dyDescent="0.25">
      <c r="A1097" s="170">
        <v>46155</v>
      </c>
      <c r="B1097" s="116">
        <v>1781.6</v>
      </c>
      <c r="C1097" s="116">
        <v>1775.4749999999999</v>
      </c>
      <c r="D1097" s="116">
        <v>1753.55</v>
      </c>
      <c r="E1097" s="116">
        <v>1776.2249999999999</v>
      </c>
      <c r="F1097" s="116">
        <v>3550.95</v>
      </c>
      <c r="G1097">
        <v>3404</v>
      </c>
      <c r="H1097" s="116"/>
      <c r="I1097" s="116"/>
      <c r="L1097" s="170">
        <v>46155</v>
      </c>
      <c r="M1097" s="116">
        <v>1775.05</v>
      </c>
      <c r="N1097" s="116">
        <v>1780.9</v>
      </c>
      <c r="O1097" s="116">
        <v>1754</v>
      </c>
      <c r="P1097" s="116">
        <v>1756.1</v>
      </c>
      <c r="Q1097" s="116">
        <v>3550.1</v>
      </c>
      <c r="R1097">
        <v>181082</v>
      </c>
    </row>
    <row r="1098" spans="1:18" x14ac:dyDescent="0.25">
      <c r="A1098" s="170">
        <v>46156</v>
      </c>
      <c r="B1098" s="116">
        <v>1790</v>
      </c>
      <c r="C1098" s="116">
        <v>1788.2750000000001</v>
      </c>
      <c r="D1098" s="116">
        <v>1756.4</v>
      </c>
      <c r="E1098" s="116">
        <v>1775</v>
      </c>
      <c r="F1098" s="116">
        <v>3576.55</v>
      </c>
      <c r="G1098">
        <v>7192</v>
      </c>
      <c r="H1098" s="116"/>
      <c r="I1098" s="116"/>
      <c r="L1098" s="170">
        <v>46156</v>
      </c>
      <c r="M1098" s="116">
        <v>1787.6</v>
      </c>
      <c r="N1098" s="116">
        <v>1792</v>
      </c>
      <c r="O1098" s="116">
        <v>1757.5</v>
      </c>
      <c r="P1098" s="116">
        <v>1775.1</v>
      </c>
      <c r="Q1098" s="116">
        <v>3575.2</v>
      </c>
      <c r="R1098">
        <v>115860</v>
      </c>
    </row>
    <row r="1099" spans="1:18" x14ac:dyDescent="0.25">
      <c r="A1099" s="170">
        <v>46157</v>
      </c>
      <c r="B1099" s="116">
        <v>1810</v>
      </c>
      <c r="C1099" s="116">
        <v>1792.375</v>
      </c>
      <c r="D1099" s="116">
        <v>1773.925</v>
      </c>
      <c r="E1099" s="116">
        <v>1798.925</v>
      </c>
      <c r="F1099" s="116">
        <v>3584.75</v>
      </c>
      <c r="G1099">
        <v>7281</v>
      </c>
      <c r="H1099" s="116"/>
      <c r="I1099" s="116"/>
      <c r="L1099" s="170">
        <v>46157</v>
      </c>
      <c r="M1099" s="116">
        <v>1791.55</v>
      </c>
      <c r="N1099" s="116">
        <v>1809.5</v>
      </c>
      <c r="O1099" s="116">
        <v>1774.1</v>
      </c>
      <c r="P1099" s="116">
        <v>1792</v>
      </c>
      <c r="Q1099" s="116">
        <v>3583.1</v>
      </c>
      <c r="R1099">
        <v>136679</v>
      </c>
    </row>
    <row r="1100" spans="1:18" x14ac:dyDescent="0.25">
      <c r="A1100" s="170">
        <v>46160</v>
      </c>
      <c r="B1100" s="116">
        <v>1797.9</v>
      </c>
      <c r="C1100" s="116">
        <v>1787.7</v>
      </c>
      <c r="D1100" s="116">
        <v>1775.25</v>
      </c>
      <c r="E1100" s="116">
        <v>1784.85</v>
      </c>
      <c r="F1100" s="116">
        <v>3575.4</v>
      </c>
      <c r="G1100">
        <v>7483</v>
      </c>
      <c r="H1100" s="116"/>
      <c r="I1100" s="116"/>
      <c r="L1100" s="170">
        <v>46160</v>
      </c>
      <c r="M1100" s="116">
        <v>1787.85</v>
      </c>
      <c r="N1100" s="116">
        <v>1799</v>
      </c>
      <c r="O1100" s="116">
        <v>1775</v>
      </c>
      <c r="P1100" s="116">
        <v>1794.45</v>
      </c>
      <c r="Q1100" s="116">
        <v>3575.7</v>
      </c>
      <c r="R1100">
        <v>123536</v>
      </c>
    </row>
    <row r="1101" spans="1:18" x14ac:dyDescent="0.25">
      <c r="A1101" s="170">
        <v>46161</v>
      </c>
      <c r="B1101" s="116">
        <v>1794.9749999999999</v>
      </c>
      <c r="C1101" s="116">
        <v>1781.4</v>
      </c>
      <c r="D1101" s="116">
        <v>1767.6</v>
      </c>
      <c r="E1101" s="116">
        <v>1781.7750000000001</v>
      </c>
      <c r="F1101" s="116">
        <v>3562.8</v>
      </c>
      <c r="G1101">
        <v>4018</v>
      </c>
      <c r="H1101" s="116"/>
      <c r="I1101" s="116"/>
      <c r="L1101" s="170">
        <v>46161</v>
      </c>
      <c r="M1101" s="116">
        <v>1783.35</v>
      </c>
      <c r="N1101" s="116">
        <v>1797.45</v>
      </c>
      <c r="O1101" s="116">
        <v>1765.6</v>
      </c>
      <c r="P1101" s="116">
        <v>1786</v>
      </c>
      <c r="Q1101" s="116">
        <v>3566.7</v>
      </c>
      <c r="R1101">
        <v>193842</v>
      </c>
    </row>
    <row r="1102" spans="1:18" x14ac:dyDescent="0.25">
      <c r="A1102" s="170">
        <v>46162</v>
      </c>
      <c r="B1102" s="116">
        <v>1795.5</v>
      </c>
      <c r="C1102" s="116">
        <v>1766.5250000000001</v>
      </c>
      <c r="D1102" s="116">
        <v>1742.875</v>
      </c>
      <c r="E1102" s="116">
        <v>1795.5</v>
      </c>
      <c r="F1102" s="116">
        <v>3533.05</v>
      </c>
      <c r="G1102">
        <v>10554</v>
      </c>
      <c r="H1102" s="116"/>
      <c r="I1102" s="116"/>
      <c r="L1102" s="170">
        <v>46162</v>
      </c>
      <c r="M1102" s="116">
        <v>1766.85</v>
      </c>
      <c r="N1102" s="116">
        <v>1783.75</v>
      </c>
      <c r="O1102" s="116">
        <v>1740.05</v>
      </c>
      <c r="P1102" s="116">
        <v>1783.35</v>
      </c>
      <c r="Q1102" s="116">
        <v>3533.7</v>
      </c>
      <c r="R1102">
        <v>797104</v>
      </c>
    </row>
    <row r="1103" spans="1:18" x14ac:dyDescent="0.25">
      <c r="A1103" s="170">
        <v>46163</v>
      </c>
      <c r="B1103" s="116">
        <v>1822.5</v>
      </c>
      <c r="C1103" s="116">
        <v>1796.675</v>
      </c>
      <c r="D1103" s="116">
        <v>1760.6</v>
      </c>
      <c r="E1103" s="116">
        <v>1764.925</v>
      </c>
      <c r="F1103" s="116">
        <v>3593.35</v>
      </c>
      <c r="G1103">
        <v>5838</v>
      </c>
      <c r="H1103" s="116"/>
      <c r="I1103" s="116"/>
      <c r="L1103" s="170">
        <v>46163</v>
      </c>
      <c r="M1103" s="116">
        <v>1797.8</v>
      </c>
      <c r="N1103" s="116">
        <v>1822.05</v>
      </c>
      <c r="O1103" s="116">
        <v>1755.8</v>
      </c>
      <c r="P1103" s="116">
        <v>1760</v>
      </c>
      <c r="Q1103" s="116">
        <v>3595.6</v>
      </c>
      <c r="R1103">
        <v>265622</v>
      </c>
    </row>
    <row r="1104" spans="1:18" x14ac:dyDescent="0.25">
      <c r="A1104" s="170">
        <v>46164</v>
      </c>
      <c r="B1104" s="116">
        <v>1808</v>
      </c>
      <c r="C1104" s="116">
        <v>1787.4749999999999</v>
      </c>
      <c r="D1104" s="116">
        <v>1785</v>
      </c>
      <c r="E1104" s="116">
        <v>1800</v>
      </c>
      <c r="F1104" s="116">
        <v>3574.95</v>
      </c>
      <c r="G1104">
        <v>3087</v>
      </c>
      <c r="H1104" s="116"/>
      <c r="I1104" s="116"/>
      <c r="L1104" s="170">
        <v>46164</v>
      </c>
      <c r="M1104" s="116">
        <v>1787.75</v>
      </c>
      <c r="N1104" s="116">
        <v>1810</v>
      </c>
      <c r="O1104" s="116">
        <v>1785</v>
      </c>
      <c r="P1104" s="116">
        <v>1799</v>
      </c>
      <c r="Q1104" s="116">
        <v>3575.5</v>
      </c>
      <c r="R1104">
        <v>97984</v>
      </c>
    </row>
    <row r="1105" spans="1:18" x14ac:dyDescent="0.25">
      <c r="A1105" s="170">
        <v>46167</v>
      </c>
      <c r="B1105" s="116">
        <v>1889.7750000000001</v>
      </c>
      <c r="C1105" s="116">
        <v>1809.9</v>
      </c>
      <c r="D1105" s="116">
        <v>1791.5</v>
      </c>
      <c r="E1105" s="116">
        <v>1889.7750000000001</v>
      </c>
      <c r="F1105" s="116">
        <v>3619.8</v>
      </c>
      <c r="G1105">
        <v>7973</v>
      </c>
      <c r="H1105" s="116"/>
      <c r="I1105" s="116"/>
      <c r="L1105" s="170">
        <v>46167</v>
      </c>
      <c r="M1105" s="116">
        <v>1808.65</v>
      </c>
      <c r="N1105" s="116">
        <v>1820</v>
      </c>
      <c r="O1105" s="116">
        <v>1790.1</v>
      </c>
      <c r="P1105" s="116">
        <v>1809.9</v>
      </c>
      <c r="Q1105" s="116">
        <v>3617.3</v>
      </c>
      <c r="R1105">
        <v>191835</v>
      </c>
    </row>
    <row r="1106" spans="1:18" x14ac:dyDescent="0.25">
      <c r="A1106" s="170">
        <v>46168</v>
      </c>
      <c r="B1106" s="116">
        <v>1838</v>
      </c>
      <c r="C1106" s="116">
        <v>1794.75</v>
      </c>
      <c r="D1106" s="116">
        <v>1792.425</v>
      </c>
      <c r="E1106" s="116">
        <v>1808.5</v>
      </c>
      <c r="F1106" s="116">
        <v>3589.5</v>
      </c>
      <c r="G1106">
        <v>15051</v>
      </c>
      <c r="H1106" s="116"/>
      <c r="I1106" s="116"/>
      <c r="L1106" s="170">
        <v>46168</v>
      </c>
      <c r="M1106" s="116">
        <v>1793.6</v>
      </c>
      <c r="N1106" s="116">
        <v>1839.9</v>
      </c>
      <c r="O1106" s="116">
        <v>1787.5</v>
      </c>
      <c r="P1106" s="116">
        <v>1814.8</v>
      </c>
      <c r="Q1106" s="116">
        <v>3587.2</v>
      </c>
      <c r="R1106">
        <v>232552</v>
      </c>
    </row>
    <row r="1107" spans="1:18" x14ac:dyDescent="0.25">
      <c r="A1107" s="170">
        <v>46169</v>
      </c>
      <c r="B1107" s="116">
        <v>1814.325</v>
      </c>
      <c r="C1107" s="116">
        <v>1782.6</v>
      </c>
      <c r="D1107" s="116">
        <v>1773.7750000000001</v>
      </c>
      <c r="E1107" s="116">
        <v>1804.95</v>
      </c>
      <c r="F1107" s="116">
        <v>3565.2</v>
      </c>
      <c r="G1107">
        <v>11345</v>
      </c>
      <c r="H1107" s="116"/>
      <c r="I1107" s="116"/>
      <c r="L1107" s="170">
        <v>46169</v>
      </c>
      <c r="M1107" s="116">
        <v>1783.35</v>
      </c>
      <c r="N1107" s="116">
        <v>1812.5</v>
      </c>
      <c r="O1107" s="116">
        <v>1775</v>
      </c>
      <c r="P1107" s="116">
        <v>1800</v>
      </c>
      <c r="Q1107" s="116">
        <v>3566.7</v>
      </c>
      <c r="R1107">
        <v>151771</v>
      </c>
    </row>
    <row r="1108" spans="1:18" x14ac:dyDescent="0.25">
      <c r="A1108" s="170">
        <v>46171</v>
      </c>
      <c r="B1108" s="116">
        <v>1991.7</v>
      </c>
      <c r="C1108" s="116">
        <v>1725.2249999999999</v>
      </c>
      <c r="D1108" s="116">
        <v>1716</v>
      </c>
      <c r="E1108" s="116">
        <v>1991.7</v>
      </c>
      <c r="F1108" s="116">
        <v>3450.45</v>
      </c>
      <c r="G1108">
        <v>160568</v>
      </c>
      <c r="H1108" s="116"/>
      <c r="I1108" s="116"/>
      <c r="L1108" s="170">
        <v>46171</v>
      </c>
      <c r="M1108" s="116">
        <v>1725.35</v>
      </c>
      <c r="N1108" s="116">
        <v>1805</v>
      </c>
      <c r="O1108" s="116">
        <v>1715.35</v>
      </c>
      <c r="P1108" s="116">
        <v>1785</v>
      </c>
      <c r="Q1108" s="116">
        <v>3450.7</v>
      </c>
      <c r="R1108">
        <v>2815197</v>
      </c>
    </row>
    <row r="1109" spans="1:18" x14ac:dyDescent="0.25">
      <c r="A1109" s="170">
        <v>46174</v>
      </c>
      <c r="B1109" s="116">
        <v>1760.8</v>
      </c>
      <c r="C1109" s="116">
        <v>1751.55</v>
      </c>
      <c r="D1109" s="116">
        <v>1728.7</v>
      </c>
      <c r="E1109" s="116">
        <v>1759.1</v>
      </c>
      <c r="F1109" s="116">
        <v>3503.1</v>
      </c>
      <c r="G1109">
        <v>27386</v>
      </c>
      <c r="H1109" s="116"/>
      <c r="I1109" s="116"/>
      <c r="L1109" s="170">
        <v>46174</v>
      </c>
      <c r="M1109" s="116">
        <v>1751.2</v>
      </c>
      <c r="N1109" s="116">
        <v>1760</v>
      </c>
      <c r="O1109" s="116">
        <v>1730.1</v>
      </c>
      <c r="P1109" s="116">
        <v>1748.95</v>
      </c>
      <c r="Q1109" s="116">
        <v>3502.4</v>
      </c>
      <c r="R1109">
        <v>1106501</v>
      </c>
    </row>
    <row r="1110" spans="1:18" x14ac:dyDescent="0.25">
      <c r="A1110" s="170">
        <v>46175</v>
      </c>
      <c r="B1110" s="116">
        <v>1777.5</v>
      </c>
      <c r="C1110" s="116">
        <v>1770.2750000000001</v>
      </c>
      <c r="D1110" s="116">
        <v>1735.7750000000001</v>
      </c>
      <c r="E1110" s="116">
        <v>1762.175</v>
      </c>
      <c r="F1110" s="116">
        <v>3540.55</v>
      </c>
      <c r="G1110">
        <v>45694</v>
      </c>
      <c r="H1110" s="116"/>
      <c r="I1110" s="116"/>
      <c r="L1110" s="170">
        <v>46175</v>
      </c>
      <c r="M1110" s="116">
        <v>1769.65</v>
      </c>
      <c r="N1110" s="116">
        <v>1778.5</v>
      </c>
      <c r="O1110" s="116">
        <v>1725</v>
      </c>
      <c r="P1110" s="116">
        <v>1756.7</v>
      </c>
      <c r="Q1110" s="116">
        <v>3539.3</v>
      </c>
      <c r="R1110">
        <v>881607</v>
      </c>
    </row>
    <row r="1111" spans="1:18" x14ac:dyDescent="0.25">
      <c r="A1111" s="170">
        <v>46176</v>
      </c>
      <c r="B1111" s="116">
        <v>1820.4</v>
      </c>
      <c r="C1111" s="116">
        <v>1784.9</v>
      </c>
      <c r="D1111" s="116">
        <v>1721.5</v>
      </c>
      <c r="E1111" s="116">
        <v>1770.35</v>
      </c>
      <c r="F1111" s="116">
        <v>1784.9</v>
      </c>
      <c r="G1111">
        <v>38015</v>
      </c>
      <c r="H1111" s="116"/>
      <c r="I1111" s="116"/>
      <c r="L1111" s="170">
        <v>46176</v>
      </c>
      <c r="M1111" s="116">
        <v>1785.2</v>
      </c>
      <c r="N1111" s="116">
        <v>1821.3</v>
      </c>
      <c r="O1111" s="116">
        <v>1721</v>
      </c>
      <c r="P1111" s="116">
        <v>1779.8</v>
      </c>
      <c r="Q1111" s="116">
        <v>1785.2</v>
      </c>
      <c r="R1111">
        <v>686802</v>
      </c>
    </row>
    <row r="1112" spans="1:18" x14ac:dyDescent="0.25">
      <c r="A1112" s="170">
        <v>46177</v>
      </c>
      <c r="B1112" s="116">
        <v>1783.95</v>
      </c>
      <c r="C1112" s="116">
        <v>1751.6</v>
      </c>
      <c r="D1112" s="116">
        <v>1735</v>
      </c>
      <c r="E1112" s="116">
        <v>1783.95</v>
      </c>
      <c r="F1112" s="116">
        <v>1751.6</v>
      </c>
      <c r="G1112">
        <v>10564</v>
      </c>
      <c r="H1112" s="116"/>
      <c r="I1112" s="116"/>
      <c r="L1112" s="170">
        <v>46177</v>
      </c>
      <c r="M1112" s="116">
        <v>1750.6</v>
      </c>
      <c r="N1112" s="116">
        <v>1780</v>
      </c>
      <c r="O1112" s="116">
        <v>1735</v>
      </c>
      <c r="P1112" s="116">
        <v>1780</v>
      </c>
      <c r="Q1112" s="116">
        <v>1750.6</v>
      </c>
      <c r="R1112">
        <v>289842</v>
      </c>
    </row>
    <row r="1113" spans="1:18" x14ac:dyDescent="0.25">
      <c r="A1113" s="170">
        <v>46178</v>
      </c>
      <c r="B1113" s="116">
        <v>1763.9</v>
      </c>
      <c r="C1113" s="116">
        <v>1754.7</v>
      </c>
      <c r="D1113" s="116">
        <v>1735.05</v>
      </c>
      <c r="E1113" s="116">
        <v>1735.05</v>
      </c>
      <c r="F1113" s="116">
        <v>1754.7</v>
      </c>
      <c r="G1113">
        <v>22016</v>
      </c>
      <c r="H1113" s="116"/>
      <c r="I1113" s="116"/>
      <c r="L1113" s="170">
        <v>46178</v>
      </c>
      <c r="M1113" s="116">
        <v>1753.3</v>
      </c>
      <c r="N1113" s="116">
        <v>1763</v>
      </c>
      <c r="O1113" s="116">
        <v>1734.6</v>
      </c>
      <c r="P1113" s="116">
        <v>1748.9</v>
      </c>
      <c r="Q1113" s="116">
        <v>1753.3</v>
      </c>
      <c r="R1113">
        <v>356008</v>
      </c>
    </row>
    <row r="1114" spans="1:18" x14ac:dyDescent="0.25">
      <c r="A1114" s="170">
        <v>46181</v>
      </c>
      <c r="B1114" s="116">
        <v>1760</v>
      </c>
      <c r="C1114" s="116">
        <v>1753.6</v>
      </c>
      <c r="D1114" s="116">
        <v>1726.05</v>
      </c>
      <c r="E1114" s="116">
        <v>1726.05</v>
      </c>
      <c r="F1114" s="116">
        <v>1753.6</v>
      </c>
      <c r="G1114">
        <v>34926</v>
      </c>
      <c r="H1114" s="116"/>
      <c r="I1114" s="116"/>
      <c r="L1114" s="170">
        <v>46181</v>
      </c>
      <c r="M1114" s="116">
        <v>1754</v>
      </c>
      <c r="N1114" s="116">
        <v>1761</v>
      </c>
      <c r="O1114" s="116">
        <v>1727.1</v>
      </c>
      <c r="P1114" s="116">
        <v>1747</v>
      </c>
      <c r="Q1114" s="116">
        <v>1754</v>
      </c>
      <c r="R1114">
        <v>706263</v>
      </c>
    </row>
    <row r="1115" spans="1:18" x14ac:dyDescent="0.25">
      <c r="A1115" s="170">
        <v>46182</v>
      </c>
      <c r="B1115" s="116">
        <v>1767.95</v>
      </c>
      <c r="C1115" s="116">
        <v>1730.15</v>
      </c>
      <c r="D1115" s="116">
        <v>1710.05</v>
      </c>
      <c r="E1115" s="116">
        <v>1767.95</v>
      </c>
      <c r="F1115" s="116">
        <v>1730.15</v>
      </c>
      <c r="G1115">
        <v>17284</v>
      </c>
      <c r="H1115" s="116"/>
      <c r="I1115" s="116"/>
      <c r="L1115" s="170">
        <v>46182</v>
      </c>
      <c r="M1115" s="116">
        <v>1730.7</v>
      </c>
      <c r="N1115" s="116">
        <v>1765</v>
      </c>
      <c r="O1115" s="116">
        <v>1710.6</v>
      </c>
      <c r="P1115" s="116">
        <v>1765</v>
      </c>
      <c r="Q1115" s="116">
        <v>1730.7</v>
      </c>
      <c r="R1115">
        <v>635798</v>
      </c>
    </row>
    <row r="1116" spans="1:18" x14ac:dyDescent="0.25">
      <c r="A1116" s="170">
        <v>46183</v>
      </c>
      <c r="B1116" s="116">
        <v>1746.25</v>
      </c>
      <c r="C1116" s="116">
        <v>1738.45</v>
      </c>
      <c r="D1116" s="116">
        <v>1725.55</v>
      </c>
      <c r="E1116" s="116">
        <v>1727.75</v>
      </c>
      <c r="F1116" s="116">
        <v>1738.45</v>
      </c>
      <c r="G1116">
        <v>6313</v>
      </c>
      <c r="H1116" s="116"/>
      <c r="I1116" s="116"/>
      <c r="L1116" s="170">
        <v>46183</v>
      </c>
      <c r="M1116" s="116">
        <v>1737.5</v>
      </c>
      <c r="N1116" s="116">
        <v>1745</v>
      </c>
      <c r="O1116" s="116">
        <v>1725.1</v>
      </c>
      <c r="P1116" s="116">
        <v>1725.1</v>
      </c>
      <c r="Q1116" s="116">
        <v>1737.5</v>
      </c>
      <c r="R1116">
        <v>229752</v>
      </c>
    </row>
    <row r="1117" spans="1:18" x14ac:dyDescent="0.25">
      <c r="A1117" s="170">
        <v>46184</v>
      </c>
      <c r="B1117" s="116">
        <v>1753.85</v>
      </c>
      <c r="C1117" s="116">
        <v>1742.8</v>
      </c>
      <c r="D1117" s="116">
        <v>1730.3</v>
      </c>
      <c r="E1117" s="116">
        <v>1735.5</v>
      </c>
      <c r="F1117" s="116">
        <v>1742.8</v>
      </c>
      <c r="G1117">
        <v>15446</v>
      </c>
      <c r="H1117" s="116"/>
      <c r="I1117" s="116"/>
      <c r="L1117" s="170">
        <v>46184</v>
      </c>
      <c r="M1117" s="116">
        <v>1743.9</v>
      </c>
      <c r="N1117" s="116">
        <v>1754</v>
      </c>
      <c r="O1117" s="116">
        <v>1729.2</v>
      </c>
      <c r="P1117" s="116">
        <v>1731</v>
      </c>
      <c r="Q1117" s="116">
        <v>1743.9</v>
      </c>
      <c r="R1117">
        <v>250526</v>
      </c>
    </row>
    <row r="1118" spans="1:18" x14ac:dyDescent="0.25">
      <c r="A1118" s="170">
        <v>46185</v>
      </c>
      <c r="B1118" s="116">
        <v>1769.7</v>
      </c>
      <c r="C1118" s="116">
        <v>1764.35</v>
      </c>
      <c r="D1118" s="116">
        <v>1741</v>
      </c>
      <c r="E1118" s="116">
        <v>1766.4</v>
      </c>
      <c r="F1118" s="116">
        <v>1764.35</v>
      </c>
      <c r="G1118">
        <v>10374</v>
      </c>
      <c r="H1118" s="116"/>
      <c r="I1118" s="116"/>
      <c r="L1118" s="170">
        <v>46185</v>
      </c>
      <c r="M1118" s="116">
        <v>1765.3</v>
      </c>
      <c r="N1118" s="116">
        <v>1769.7</v>
      </c>
      <c r="O1118" s="116">
        <v>1740.1</v>
      </c>
      <c r="P1118" s="116">
        <v>1755</v>
      </c>
      <c r="Q1118" s="116">
        <v>1765.3</v>
      </c>
      <c r="R1118">
        <v>172009</v>
      </c>
    </row>
    <row r="1119" spans="1:18" x14ac:dyDescent="0.25">
      <c r="A1119" s="170"/>
      <c r="B1119" s="116"/>
      <c r="C1119" s="116"/>
      <c r="D1119" s="116"/>
      <c r="E1119" s="116"/>
      <c r="F1119" s="116"/>
      <c r="H1119" s="116"/>
      <c r="I1119" s="116"/>
      <c r="L1119" s="170"/>
    </row>
    <row r="1120" spans="1:18" x14ac:dyDescent="0.25">
      <c r="A1120" s="170"/>
      <c r="B1120" s="116"/>
      <c r="C1120" s="116"/>
      <c r="D1120" s="116"/>
      <c r="E1120" s="116"/>
      <c r="F1120" s="116"/>
      <c r="H1120" s="116"/>
      <c r="I1120" s="116"/>
      <c r="L1120" s="170"/>
    </row>
    <row r="1121" spans="1:12" x14ac:dyDescent="0.25">
      <c r="A1121" s="170"/>
      <c r="B1121" s="116"/>
      <c r="C1121" s="116"/>
      <c r="D1121" s="116"/>
      <c r="E1121" s="116"/>
      <c r="F1121" s="116"/>
      <c r="H1121" s="116"/>
      <c r="I1121" s="116"/>
      <c r="L1121" s="170"/>
    </row>
    <row r="1122" spans="1:12" x14ac:dyDescent="0.25">
      <c r="A1122" s="170"/>
      <c r="B1122" s="116"/>
      <c r="C1122" s="116"/>
      <c r="D1122" s="116"/>
      <c r="E1122" s="116"/>
      <c r="F1122" s="116"/>
      <c r="H1122" s="116"/>
      <c r="I1122" s="116"/>
      <c r="L1122" s="170"/>
    </row>
    <row r="1123" spans="1:12" x14ac:dyDescent="0.25">
      <c r="A1123" s="170"/>
      <c r="B1123" s="116"/>
      <c r="C1123" s="116"/>
      <c r="D1123" s="116"/>
      <c r="E1123" s="116"/>
      <c r="F1123" s="116"/>
      <c r="H1123" s="116"/>
      <c r="I1123" s="116"/>
      <c r="L1123" s="170"/>
    </row>
    <row r="1124" spans="1:12" x14ac:dyDescent="0.25">
      <c r="A1124" s="170"/>
      <c r="B1124" s="116"/>
      <c r="C1124" s="116"/>
      <c r="D1124" s="116"/>
      <c r="E1124" s="116"/>
      <c r="F1124" s="116"/>
      <c r="H1124" s="116"/>
      <c r="I1124" s="116"/>
      <c r="L1124" s="170"/>
    </row>
    <row r="1125" spans="1:12" x14ac:dyDescent="0.25">
      <c r="A1125" s="170"/>
      <c r="B1125" s="116"/>
      <c r="C1125" s="116"/>
      <c r="D1125" s="116"/>
      <c r="E1125" s="116"/>
      <c r="F1125" s="116"/>
      <c r="H1125" s="116"/>
      <c r="I1125" s="116"/>
      <c r="L1125" s="170"/>
    </row>
    <row r="1126" spans="1:12" x14ac:dyDescent="0.25">
      <c r="A1126" s="170"/>
      <c r="B1126" s="116"/>
      <c r="C1126" s="116"/>
      <c r="D1126" s="116"/>
      <c r="E1126" s="116"/>
      <c r="F1126" s="116"/>
      <c r="H1126" s="116"/>
      <c r="I1126" s="116"/>
      <c r="L1126" s="170"/>
    </row>
    <row r="1127" spans="1:12" x14ac:dyDescent="0.25">
      <c r="A1127" s="170"/>
      <c r="B1127" s="116"/>
      <c r="C1127" s="116"/>
      <c r="D1127" s="116"/>
      <c r="E1127" s="116"/>
      <c r="F1127" s="116"/>
      <c r="H1127" s="116"/>
      <c r="I1127" s="116"/>
      <c r="L1127" s="170"/>
    </row>
    <row r="1128" spans="1:12" x14ac:dyDescent="0.25">
      <c r="A1128" s="170"/>
      <c r="B1128" s="116"/>
      <c r="C1128" s="116"/>
      <c r="D1128" s="116"/>
      <c r="E1128" s="116"/>
      <c r="F1128" s="116"/>
      <c r="H1128" s="116"/>
      <c r="I1128" s="116"/>
      <c r="L1128" s="170"/>
    </row>
    <row r="1129" spans="1:12" x14ac:dyDescent="0.25">
      <c r="A1129" s="170"/>
      <c r="B1129" s="116"/>
      <c r="C1129" s="116"/>
      <c r="D1129" s="116"/>
      <c r="E1129" s="116"/>
      <c r="F1129" s="116"/>
      <c r="H1129" s="116"/>
      <c r="I1129" s="116"/>
      <c r="L1129" s="170"/>
    </row>
    <row r="1130" spans="1:12" x14ac:dyDescent="0.25">
      <c r="A1130" s="170"/>
      <c r="B1130" s="116"/>
      <c r="C1130" s="116"/>
      <c r="D1130" s="116"/>
      <c r="E1130" s="116"/>
      <c r="F1130" s="116"/>
      <c r="H1130" s="116"/>
      <c r="I1130" s="116"/>
      <c r="L1130" s="170"/>
    </row>
    <row r="1131" spans="1:12" x14ac:dyDescent="0.25">
      <c r="A1131" s="170"/>
      <c r="B1131" s="116"/>
      <c r="C1131" s="116"/>
      <c r="D1131" s="116"/>
      <c r="E1131" s="116"/>
      <c r="F1131" s="116"/>
      <c r="H1131" s="116"/>
      <c r="I1131" s="116"/>
      <c r="L1131" s="170"/>
    </row>
    <row r="1132" spans="1:12" x14ac:dyDescent="0.25">
      <c r="A1132" s="170"/>
      <c r="B1132" s="116"/>
      <c r="C1132" s="116"/>
      <c r="D1132" s="116"/>
      <c r="E1132" s="116"/>
      <c r="F1132" s="116"/>
      <c r="H1132" s="116"/>
      <c r="I1132" s="116"/>
      <c r="L1132" s="170"/>
    </row>
    <row r="1133" spans="1:12" x14ac:dyDescent="0.25">
      <c r="A1133" s="170"/>
      <c r="B1133" s="116"/>
      <c r="C1133" s="116"/>
      <c r="D1133" s="116"/>
      <c r="E1133" s="116"/>
      <c r="F1133" s="116"/>
      <c r="H1133" s="116"/>
      <c r="I1133" s="116"/>
      <c r="L1133" s="170"/>
    </row>
    <row r="1134" spans="1:12" x14ac:dyDescent="0.25">
      <c r="A1134" s="170"/>
      <c r="B1134" s="116"/>
      <c r="C1134" s="116"/>
      <c r="D1134" s="116"/>
      <c r="E1134" s="116"/>
      <c r="F1134" s="116"/>
      <c r="H1134" s="116"/>
      <c r="I1134" s="116"/>
      <c r="L1134" s="170"/>
    </row>
    <row r="1135" spans="1:12" x14ac:dyDescent="0.25">
      <c r="A1135" s="170"/>
      <c r="B1135" s="116"/>
      <c r="C1135" s="116"/>
      <c r="D1135" s="116"/>
      <c r="E1135" s="116"/>
      <c r="F1135" s="116"/>
      <c r="H1135" s="116"/>
      <c r="I1135" s="116"/>
      <c r="L1135" s="170"/>
    </row>
    <row r="1136" spans="1:12" x14ac:dyDescent="0.25">
      <c r="A1136" s="170"/>
      <c r="B1136" s="116"/>
      <c r="C1136" s="116"/>
      <c r="D1136" s="116"/>
      <c r="E1136" s="116"/>
      <c r="F1136" s="116"/>
      <c r="H1136" s="116"/>
      <c r="I1136" s="116"/>
      <c r="L1136" s="170"/>
    </row>
    <row r="1137" spans="1:12" x14ac:dyDescent="0.25">
      <c r="A1137" s="170"/>
      <c r="B1137" s="116"/>
      <c r="C1137" s="116"/>
      <c r="D1137" s="116"/>
      <c r="E1137" s="116"/>
      <c r="F1137" s="116"/>
      <c r="H1137" s="116"/>
      <c r="I1137" s="116"/>
      <c r="L1137" s="170"/>
    </row>
    <row r="1138" spans="1:12" x14ac:dyDescent="0.25">
      <c r="A1138" s="170"/>
      <c r="B1138" s="116"/>
      <c r="C1138" s="116"/>
      <c r="D1138" s="116"/>
      <c r="E1138" s="116"/>
      <c r="F1138" s="116"/>
      <c r="H1138" s="116"/>
      <c r="I1138" s="116"/>
      <c r="L1138" s="170"/>
    </row>
    <row r="1139" spans="1:12" x14ac:dyDescent="0.25">
      <c r="A1139" s="170"/>
      <c r="B1139" s="116"/>
      <c r="C1139" s="116"/>
      <c r="D1139" s="116"/>
      <c r="E1139" s="116"/>
      <c r="F1139" s="116"/>
      <c r="H1139" s="116"/>
      <c r="I1139" s="116"/>
      <c r="L1139" s="170"/>
    </row>
    <row r="1140" spans="1:12" x14ac:dyDescent="0.25">
      <c r="A1140" s="170"/>
      <c r="B1140" s="116"/>
      <c r="C1140" s="116"/>
      <c r="D1140" s="116"/>
      <c r="E1140" s="116"/>
      <c r="F1140" s="116"/>
      <c r="H1140" s="116"/>
      <c r="I1140" s="116"/>
      <c r="L1140" s="170"/>
    </row>
    <row r="1141" spans="1:12" x14ac:dyDescent="0.25">
      <c r="A1141" s="170"/>
      <c r="B1141" s="116"/>
      <c r="C1141" s="116"/>
      <c r="D1141" s="116"/>
      <c r="E1141" s="116"/>
      <c r="F1141" s="116"/>
      <c r="H1141" s="116"/>
      <c r="I1141" s="116"/>
      <c r="L1141" s="170"/>
    </row>
    <row r="1142" spans="1:12" x14ac:dyDescent="0.25">
      <c r="A1142" s="170"/>
      <c r="B1142" s="116"/>
      <c r="C1142" s="116"/>
      <c r="D1142" s="116"/>
      <c r="E1142" s="116"/>
      <c r="F1142" s="116"/>
      <c r="H1142" s="116"/>
      <c r="I1142" s="116"/>
      <c r="L1142" s="170"/>
    </row>
    <row r="1143" spans="1:12" x14ac:dyDescent="0.25">
      <c r="A1143" s="170"/>
      <c r="B1143" s="116"/>
      <c r="C1143" s="116"/>
      <c r="D1143" s="116"/>
      <c r="E1143" s="116"/>
      <c r="F1143" s="116"/>
      <c r="H1143" s="116"/>
      <c r="I1143" s="116"/>
      <c r="L1143" s="170"/>
    </row>
    <row r="1144" spans="1:12" x14ac:dyDescent="0.25">
      <c r="A1144" s="170"/>
      <c r="B1144" s="116"/>
      <c r="C1144" s="116"/>
      <c r="D1144" s="116"/>
      <c r="E1144" s="116"/>
      <c r="F1144" s="116"/>
      <c r="H1144" s="116"/>
      <c r="I1144" s="116"/>
      <c r="L1144" s="170"/>
    </row>
    <row r="1145" spans="1:12" x14ac:dyDescent="0.25">
      <c r="A1145" s="170"/>
      <c r="B1145" s="116"/>
      <c r="C1145" s="116"/>
      <c r="D1145" s="116"/>
      <c r="E1145" s="116"/>
      <c r="F1145" s="116"/>
      <c r="H1145" s="116"/>
      <c r="I1145" s="116"/>
      <c r="L1145" s="170"/>
    </row>
    <row r="1146" spans="1:12" x14ac:dyDescent="0.25">
      <c r="A1146" s="170"/>
      <c r="B1146" s="116"/>
      <c r="C1146" s="116"/>
      <c r="D1146" s="116"/>
      <c r="E1146" s="116"/>
      <c r="F1146" s="116"/>
      <c r="H1146" s="116"/>
      <c r="I1146" s="116"/>
      <c r="L1146" s="170"/>
    </row>
    <row r="1147" spans="1:12" x14ac:dyDescent="0.25">
      <c r="A1147" s="170"/>
      <c r="B1147" s="116"/>
      <c r="C1147" s="116"/>
      <c r="D1147" s="116"/>
      <c r="E1147" s="116"/>
      <c r="F1147" s="116"/>
      <c r="H1147" s="116"/>
      <c r="I1147" s="116"/>
      <c r="L1147" s="170"/>
    </row>
    <row r="1148" spans="1:12" x14ac:dyDescent="0.25">
      <c r="A1148" s="170"/>
      <c r="B1148" s="116"/>
      <c r="C1148" s="116"/>
      <c r="D1148" s="116"/>
      <c r="E1148" s="116"/>
      <c r="F1148" s="116"/>
      <c r="H1148" s="116"/>
      <c r="I1148" s="116"/>
      <c r="L1148" s="170"/>
    </row>
    <row r="1149" spans="1:12" x14ac:dyDescent="0.25">
      <c r="A1149" s="170"/>
      <c r="B1149" s="116"/>
      <c r="C1149" s="116"/>
      <c r="D1149" s="116"/>
      <c r="E1149" s="116"/>
      <c r="F1149" s="116"/>
      <c r="H1149" s="116"/>
      <c r="I1149" s="116"/>
      <c r="L1149" s="170"/>
    </row>
    <row r="1150" spans="1:12" x14ac:dyDescent="0.25">
      <c r="A1150" s="170"/>
      <c r="B1150" s="116"/>
      <c r="C1150" s="116"/>
      <c r="D1150" s="116"/>
      <c r="E1150" s="116"/>
      <c r="F1150" s="116"/>
      <c r="H1150" s="116"/>
      <c r="I1150" s="116"/>
      <c r="L1150" s="170"/>
    </row>
    <row r="1151" spans="1:12" x14ac:dyDescent="0.25">
      <c r="A1151" s="170"/>
      <c r="B1151" s="116"/>
      <c r="C1151" s="116"/>
      <c r="D1151" s="116"/>
      <c r="E1151" s="116"/>
      <c r="F1151" s="116"/>
      <c r="H1151" s="116"/>
      <c r="I1151" s="116"/>
      <c r="L1151" s="170"/>
    </row>
    <row r="1152" spans="1:12" x14ac:dyDescent="0.25">
      <c r="A1152" s="170"/>
      <c r="B1152" s="116"/>
      <c r="C1152" s="116"/>
      <c r="D1152" s="116"/>
      <c r="E1152" s="116"/>
      <c r="F1152" s="116"/>
      <c r="H1152" s="116"/>
      <c r="I1152" s="116"/>
      <c r="L1152" s="170"/>
    </row>
    <row r="1153" spans="1:12" x14ac:dyDescent="0.25">
      <c r="A1153" s="170"/>
      <c r="B1153" s="116"/>
      <c r="C1153" s="116"/>
      <c r="D1153" s="116"/>
      <c r="E1153" s="116"/>
      <c r="F1153" s="116"/>
      <c r="H1153" s="116"/>
      <c r="I1153" s="116"/>
      <c r="L1153" s="170"/>
    </row>
    <row r="1154" spans="1:12" x14ac:dyDescent="0.25">
      <c r="A1154" s="170"/>
      <c r="B1154" s="116"/>
      <c r="C1154" s="116"/>
      <c r="D1154" s="116"/>
      <c r="E1154" s="116"/>
      <c r="F1154" s="116"/>
      <c r="H1154" s="116"/>
      <c r="I1154" s="116"/>
      <c r="L1154" s="170"/>
    </row>
    <row r="1155" spans="1:12" x14ac:dyDescent="0.25">
      <c r="A1155" s="170"/>
      <c r="B1155" s="116"/>
      <c r="C1155" s="116"/>
      <c r="D1155" s="116"/>
      <c r="E1155" s="116"/>
      <c r="F1155" s="116"/>
      <c r="H1155" s="116"/>
      <c r="I1155" s="116"/>
      <c r="L1155" s="170"/>
    </row>
    <row r="1156" spans="1:12" x14ac:dyDescent="0.25">
      <c r="A1156" s="170"/>
      <c r="B1156" s="116"/>
      <c r="C1156" s="116"/>
      <c r="D1156" s="116"/>
      <c r="E1156" s="116"/>
      <c r="F1156" s="116"/>
      <c r="H1156" s="116"/>
      <c r="I1156" s="116"/>
      <c r="L1156" s="170"/>
    </row>
    <row r="1157" spans="1:12" x14ac:dyDescent="0.25">
      <c r="A1157" s="170"/>
      <c r="B1157" s="116"/>
      <c r="C1157" s="116"/>
      <c r="D1157" s="116"/>
      <c r="E1157" s="116"/>
      <c r="F1157" s="116"/>
      <c r="H1157" s="116"/>
      <c r="I1157" s="116"/>
      <c r="L1157" s="170"/>
    </row>
    <row r="1158" spans="1:12" x14ac:dyDescent="0.25">
      <c r="A1158" s="170"/>
      <c r="B1158" s="116"/>
      <c r="C1158" s="116"/>
      <c r="D1158" s="116"/>
      <c r="E1158" s="116"/>
      <c r="F1158" s="116"/>
      <c r="H1158" s="116"/>
      <c r="I1158" s="116"/>
      <c r="L1158" s="170"/>
    </row>
    <row r="1159" spans="1:12" x14ac:dyDescent="0.25">
      <c r="A1159" s="170"/>
      <c r="B1159" s="116"/>
      <c r="C1159" s="116"/>
      <c r="D1159" s="116"/>
      <c r="E1159" s="116"/>
      <c r="F1159" s="116"/>
      <c r="H1159" s="116"/>
      <c r="I1159" s="116"/>
      <c r="L1159" s="170"/>
    </row>
    <row r="1160" spans="1:12" x14ac:dyDescent="0.25">
      <c r="A1160" s="170"/>
      <c r="B1160" s="116"/>
      <c r="C1160" s="116"/>
      <c r="D1160" s="116"/>
      <c r="E1160" s="116"/>
      <c r="F1160" s="116"/>
      <c r="H1160" s="116"/>
      <c r="I1160" s="116"/>
      <c r="L1160" s="170"/>
    </row>
    <row r="1161" spans="1:12" x14ac:dyDescent="0.25">
      <c r="A1161" s="170"/>
      <c r="B1161" s="116"/>
      <c r="C1161" s="116"/>
      <c r="D1161" s="116"/>
      <c r="E1161" s="116"/>
      <c r="F1161" s="116"/>
      <c r="H1161" s="116"/>
      <c r="I1161" s="116"/>
      <c r="L1161" s="170"/>
    </row>
    <row r="1162" spans="1:12" x14ac:dyDescent="0.25">
      <c r="A1162" s="170"/>
      <c r="B1162" s="116"/>
      <c r="C1162" s="116"/>
      <c r="D1162" s="116"/>
      <c r="E1162" s="116"/>
      <c r="F1162" s="116"/>
      <c r="H1162" s="116"/>
      <c r="I1162" s="116"/>
      <c r="L1162" s="170"/>
    </row>
    <row r="1163" spans="1:12" x14ac:dyDescent="0.25">
      <c r="A1163" s="170"/>
      <c r="B1163" s="116"/>
      <c r="C1163" s="116"/>
      <c r="D1163" s="116"/>
      <c r="E1163" s="116"/>
      <c r="F1163" s="116"/>
      <c r="H1163" s="116"/>
      <c r="I1163" s="116"/>
      <c r="L1163" s="170"/>
    </row>
    <row r="1164" spans="1:12" x14ac:dyDescent="0.25">
      <c r="A1164" s="170"/>
      <c r="B1164" s="116"/>
      <c r="C1164" s="116"/>
      <c r="D1164" s="116"/>
      <c r="E1164" s="116"/>
      <c r="F1164" s="116"/>
      <c r="H1164" s="116"/>
      <c r="I1164" s="116"/>
      <c r="L1164" s="170"/>
    </row>
    <row r="1165" spans="1:12" x14ac:dyDescent="0.25">
      <c r="A1165" s="170"/>
      <c r="B1165" s="116"/>
      <c r="C1165" s="116"/>
      <c r="D1165" s="116"/>
      <c r="E1165" s="116"/>
      <c r="F1165" s="116"/>
      <c r="H1165" s="116"/>
      <c r="I1165" s="116"/>
      <c r="L1165" s="170"/>
    </row>
    <row r="1166" spans="1:12" x14ac:dyDescent="0.25">
      <c r="A1166" s="170"/>
      <c r="B1166" s="116"/>
      <c r="C1166" s="116"/>
      <c r="D1166" s="116"/>
      <c r="E1166" s="116"/>
      <c r="F1166" s="116"/>
      <c r="H1166" s="116"/>
      <c r="I1166" s="116"/>
      <c r="L1166" s="170"/>
    </row>
    <row r="1167" spans="1:12" x14ac:dyDescent="0.25">
      <c r="A1167" s="170"/>
      <c r="B1167" s="116"/>
      <c r="C1167" s="116"/>
      <c r="D1167" s="116"/>
      <c r="E1167" s="116"/>
      <c r="F1167" s="116"/>
      <c r="H1167" s="116"/>
      <c r="I1167" s="116"/>
      <c r="L1167" s="170"/>
    </row>
    <row r="1168" spans="1:12" x14ac:dyDescent="0.25">
      <c r="A1168" s="170"/>
      <c r="B1168" s="116"/>
      <c r="C1168" s="116"/>
      <c r="D1168" s="116"/>
      <c r="E1168" s="116"/>
      <c r="F1168" s="116"/>
      <c r="H1168" s="116"/>
      <c r="I1168" s="116"/>
      <c r="L1168" s="170"/>
    </row>
    <row r="1169" spans="1:12" x14ac:dyDescent="0.25">
      <c r="A1169" s="170"/>
      <c r="B1169" s="116"/>
      <c r="C1169" s="116"/>
      <c r="D1169" s="116"/>
      <c r="E1169" s="116"/>
      <c r="F1169" s="116"/>
      <c r="H1169" s="116"/>
      <c r="I1169" s="116"/>
      <c r="L1169" s="170"/>
    </row>
    <row r="1170" spans="1:12" x14ac:dyDescent="0.25">
      <c r="A1170" s="170"/>
      <c r="B1170" s="116"/>
      <c r="C1170" s="116"/>
      <c r="D1170" s="116"/>
      <c r="E1170" s="116"/>
      <c r="F1170" s="116"/>
      <c r="H1170" s="116"/>
      <c r="I1170" s="116"/>
      <c r="L1170" s="170"/>
    </row>
    <row r="1171" spans="1:12" x14ac:dyDescent="0.25">
      <c r="A1171" s="170"/>
      <c r="B1171" s="116"/>
      <c r="C1171" s="116"/>
      <c r="D1171" s="116"/>
      <c r="E1171" s="116"/>
      <c r="F1171" s="116"/>
      <c r="H1171" s="116"/>
      <c r="I1171" s="116"/>
      <c r="L1171" s="170"/>
    </row>
    <row r="1172" spans="1:12" x14ac:dyDescent="0.25">
      <c r="A1172" s="170"/>
      <c r="B1172" s="116"/>
      <c r="C1172" s="116"/>
      <c r="D1172" s="116"/>
      <c r="E1172" s="116"/>
      <c r="F1172" s="116"/>
      <c r="H1172" s="116"/>
      <c r="I1172" s="116"/>
      <c r="L1172" s="170"/>
    </row>
    <row r="1173" spans="1:12" x14ac:dyDescent="0.25">
      <c r="A1173" s="170"/>
      <c r="B1173" s="116"/>
      <c r="C1173" s="116"/>
      <c r="D1173" s="116"/>
      <c r="E1173" s="116"/>
      <c r="F1173" s="116"/>
      <c r="H1173" s="116"/>
      <c r="I1173" s="116"/>
      <c r="L1173" s="170"/>
    </row>
    <row r="1174" spans="1:12" x14ac:dyDescent="0.25">
      <c r="A1174" s="170"/>
      <c r="B1174" s="116"/>
      <c r="C1174" s="116"/>
      <c r="D1174" s="116"/>
      <c r="E1174" s="116"/>
      <c r="F1174" s="116"/>
      <c r="H1174" s="116"/>
      <c r="I1174" s="116"/>
      <c r="L1174" s="170"/>
    </row>
    <row r="1175" spans="1:12" x14ac:dyDescent="0.25">
      <c r="A1175" s="170"/>
      <c r="B1175" s="116"/>
      <c r="C1175" s="116"/>
      <c r="D1175" s="116"/>
      <c r="E1175" s="116"/>
      <c r="F1175" s="116"/>
      <c r="H1175" s="116"/>
      <c r="I1175" s="116"/>
      <c r="L1175" s="170"/>
    </row>
    <row r="1176" spans="1:12" x14ac:dyDescent="0.25">
      <c r="A1176" s="170"/>
      <c r="B1176" s="116"/>
      <c r="C1176" s="116"/>
      <c r="D1176" s="116"/>
      <c r="E1176" s="116"/>
      <c r="F1176" s="116"/>
      <c r="H1176" s="116"/>
      <c r="I1176" s="116"/>
      <c r="L1176" s="170"/>
    </row>
    <row r="1177" spans="1:12" x14ac:dyDescent="0.25">
      <c r="A1177" s="170"/>
      <c r="B1177" s="116"/>
      <c r="C1177" s="116"/>
      <c r="D1177" s="116"/>
      <c r="E1177" s="116"/>
      <c r="F1177" s="116"/>
      <c r="H1177" s="116"/>
      <c r="I1177" s="116"/>
      <c r="L1177" s="170"/>
    </row>
    <row r="1178" spans="1:12" x14ac:dyDescent="0.25">
      <c r="A1178" s="170"/>
      <c r="B1178" s="116"/>
      <c r="C1178" s="116"/>
      <c r="D1178" s="116"/>
      <c r="E1178" s="116"/>
      <c r="F1178" s="116"/>
      <c r="H1178" s="116"/>
      <c r="I1178" s="116"/>
      <c r="L1178" s="170"/>
    </row>
    <row r="1179" spans="1:12" x14ac:dyDescent="0.25">
      <c r="A1179" s="170"/>
      <c r="B1179" s="116"/>
      <c r="C1179" s="116"/>
      <c r="D1179" s="116"/>
      <c r="E1179" s="116"/>
      <c r="F1179" s="116"/>
      <c r="H1179" s="116"/>
      <c r="I1179" s="116"/>
      <c r="L1179" s="170"/>
    </row>
    <row r="1180" spans="1:12" x14ac:dyDescent="0.25">
      <c r="A1180" s="170"/>
      <c r="B1180" s="116"/>
      <c r="C1180" s="116"/>
      <c r="D1180" s="116"/>
      <c r="E1180" s="116"/>
      <c r="F1180" s="116"/>
      <c r="H1180" s="116"/>
      <c r="I1180" s="116"/>
      <c r="L1180" s="170"/>
    </row>
    <row r="1181" spans="1:12" x14ac:dyDescent="0.25">
      <c r="A1181" s="170"/>
      <c r="B1181" s="116"/>
      <c r="C1181" s="116"/>
      <c r="D1181" s="116"/>
      <c r="E1181" s="116"/>
      <c r="F1181" s="116"/>
      <c r="H1181" s="116"/>
      <c r="I1181" s="116"/>
      <c r="L1181" s="170"/>
    </row>
    <row r="1182" spans="1:12" x14ac:dyDescent="0.25">
      <c r="A1182" s="170"/>
      <c r="B1182" s="116"/>
      <c r="C1182" s="116"/>
      <c r="D1182" s="116"/>
      <c r="E1182" s="116"/>
      <c r="F1182" s="116"/>
      <c r="H1182" s="116"/>
      <c r="I1182" s="116"/>
      <c r="L1182" s="170"/>
    </row>
    <row r="1183" spans="1:12" x14ac:dyDescent="0.25">
      <c r="A1183" s="170"/>
      <c r="B1183" s="116"/>
      <c r="C1183" s="116"/>
      <c r="D1183" s="116"/>
      <c r="E1183" s="116"/>
      <c r="F1183" s="116"/>
      <c r="H1183" s="116"/>
      <c r="I1183" s="116"/>
      <c r="L1183" s="170"/>
    </row>
    <row r="1184" spans="1:12" x14ac:dyDescent="0.25">
      <c r="A1184" s="170"/>
      <c r="B1184" s="116"/>
      <c r="C1184" s="116"/>
      <c r="D1184" s="116"/>
      <c r="E1184" s="116"/>
      <c r="F1184" s="116"/>
      <c r="H1184" s="116"/>
      <c r="I1184" s="116"/>
      <c r="L1184" s="170"/>
    </row>
    <row r="1185" spans="1:12" x14ac:dyDescent="0.25">
      <c r="A1185" s="170"/>
      <c r="B1185" s="116"/>
      <c r="C1185" s="116"/>
      <c r="D1185" s="116"/>
      <c r="E1185" s="116"/>
      <c r="F1185" s="116"/>
      <c r="H1185" s="116"/>
      <c r="I1185" s="116"/>
      <c r="L1185" s="170"/>
    </row>
    <row r="1186" spans="1:12" x14ac:dyDescent="0.25">
      <c r="A1186" s="170"/>
      <c r="B1186" s="116"/>
      <c r="C1186" s="116"/>
      <c r="D1186" s="116"/>
      <c r="E1186" s="116"/>
      <c r="F1186" s="116"/>
      <c r="H1186" s="116"/>
      <c r="I1186" s="116"/>
      <c r="L1186" s="170"/>
    </row>
    <row r="1187" spans="1:12" x14ac:dyDescent="0.25">
      <c r="A1187" s="170"/>
      <c r="B1187" s="116"/>
      <c r="C1187" s="116"/>
      <c r="D1187" s="116"/>
      <c r="E1187" s="116"/>
      <c r="F1187" s="116"/>
      <c r="H1187" s="116"/>
      <c r="I1187" s="116"/>
      <c r="L1187" s="170"/>
    </row>
    <row r="1188" spans="1:12" x14ac:dyDescent="0.25">
      <c r="A1188" s="170"/>
      <c r="B1188" s="116"/>
      <c r="C1188" s="116"/>
      <c r="D1188" s="116"/>
      <c r="E1188" s="116"/>
      <c r="F1188" s="116"/>
      <c r="H1188" s="116"/>
      <c r="I1188" s="116"/>
      <c r="L1188" s="170"/>
    </row>
    <row r="1189" spans="1:12" x14ac:dyDescent="0.25">
      <c r="A1189" s="170"/>
      <c r="B1189" s="116"/>
      <c r="C1189" s="116"/>
      <c r="D1189" s="116"/>
      <c r="E1189" s="116"/>
      <c r="F1189" s="116"/>
      <c r="H1189" s="116"/>
      <c r="I1189" s="116"/>
      <c r="L1189" s="170"/>
    </row>
    <row r="1190" spans="1:12" x14ac:dyDescent="0.25">
      <c r="A1190" s="170"/>
      <c r="B1190" s="116"/>
      <c r="C1190" s="116"/>
      <c r="D1190" s="116"/>
      <c r="E1190" s="116"/>
      <c r="F1190" s="116"/>
      <c r="H1190" s="116"/>
      <c r="I1190" s="116"/>
      <c r="L1190" s="170"/>
    </row>
    <row r="1191" spans="1:12" x14ac:dyDescent="0.25">
      <c r="A1191" s="170"/>
      <c r="B1191" s="116"/>
      <c r="C1191" s="116"/>
      <c r="D1191" s="116"/>
      <c r="E1191" s="116"/>
      <c r="F1191" s="116"/>
      <c r="H1191" s="116"/>
      <c r="I1191" s="116"/>
      <c r="L1191" s="170"/>
    </row>
    <row r="1192" spans="1:12" x14ac:dyDescent="0.25">
      <c r="A1192" s="170"/>
      <c r="B1192" s="116"/>
      <c r="C1192" s="116"/>
      <c r="D1192" s="116"/>
      <c r="E1192" s="116"/>
      <c r="F1192" s="116"/>
      <c r="H1192" s="116"/>
      <c r="I1192" s="116"/>
      <c r="L1192" s="170"/>
    </row>
    <row r="1193" spans="1:12" x14ac:dyDescent="0.25">
      <c r="A1193" s="170"/>
      <c r="B1193" s="116"/>
      <c r="C1193" s="116"/>
      <c r="D1193" s="116"/>
      <c r="E1193" s="116"/>
      <c r="F1193" s="116"/>
      <c r="H1193" s="116"/>
      <c r="I1193" s="116"/>
      <c r="L1193" s="170"/>
    </row>
    <row r="1194" spans="1:12" x14ac:dyDescent="0.25">
      <c r="A1194" s="170"/>
      <c r="B1194" s="116"/>
      <c r="C1194" s="116"/>
      <c r="D1194" s="116"/>
      <c r="E1194" s="116"/>
      <c r="F1194" s="116"/>
      <c r="H1194" s="116"/>
      <c r="I1194" s="116"/>
      <c r="L1194" s="170"/>
    </row>
    <row r="1195" spans="1:12" x14ac:dyDescent="0.25">
      <c r="A1195" s="170"/>
      <c r="B1195" s="116"/>
      <c r="C1195" s="116"/>
      <c r="D1195" s="116"/>
      <c r="E1195" s="116"/>
      <c r="F1195" s="116"/>
      <c r="H1195" s="116"/>
      <c r="I1195" s="116"/>
      <c r="L1195" s="170"/>
    </row>
    <row r="1196" spans="1:12" x14ac:dyDescent="0.25">
      <c r="A1196" s="170"/>
      <c r="B1196" s="116"/>
      <c r="C1196" s="116"/>
      <c r="D1196" s="116"/>
      <c r="E1196" s="116"/>
      <c r="F1196" s="116"/>
      <c r="H1196" s="116"/>
      <c r="I1196" s="116"/>
      <c r="L1196" s="170"/>
    </row>
    <row r="1197" spans="1:12" x14ac:dyDescent="0.25">
      <c r="A1197" s="170"/>
      <c r="B1197" s="116"/>
      <c r="C1197" s="116"/>
      <c r="D1197" s="116"/>
      <c r="E1197" s="116"/>
      <c r="F1197" s="116"/>
      <c r="H1197" s="116"/>
      <c r="I1197" s="116"/>
      <c r="L1197" s="170"/>
    </row>
    <row r="1198" spans="1:12" x14ac:dyDescent="0.25">
      <c r="A1198" s="170"/>
      <c r="B1198" s="116"/>
      <c r="C1198" s="116"/>
      <c r="D1198" s="116"/>
      <c r="E1198" s="116"/>
      <c r="F1198" s="116"/>
      <c r="H1198" s="116"/>
      <c r="I1198" s="116"/>
      <c r="L1198" s="170"/>
    </row>
    <row r="1199" spans="1:12" x14ac:dyDescent="0.25">
      <c r="A1199" s="170"/>
      <c r="B1199" s="116"/>
      <c r="C1199" s="116"/>
      <c r="D1199" s="116"/>
      <c r="E1199" s="116"/>
      <c r="F1199" s="116"/>
      <c r="H1199" s="116"/>
      <c r="I1199" s="116"/>
      <c r="L1199" s="170"/>
    </row>
    <row r="1200" spans="1:12" x14ac:dyDescent="0.25">
      <c r="A1200" s="170"/>
      <c r="B1200" s="116"/>
      <c r="C1200" s="116"/>
      <c r="D1200" s="116"/>
      <c r="E1200" s="116"/>
      <c r="F1200" s="116"/>
      <c r="H1200" s="116"/>
      <c r="I1200" s="116"/>
      <c r="L1200" s="170"/>
    </row>
    <row r="1201" spans="1:12" x14ac:dyDescent="0.25">
      <c r="A1201" s="170"/>
      <c r="B1201" s="116"/>
      <c r="C1201" s="116"/>
      <c r="D1201" s="116"/>
      <c r="E1201" s="116"/>
      <c r="F1201" s="116"/>
      <c r="H1201" s="116"/>
      <c r="I1201" s="116"/>
      <c r="L1201" s="170"/>
    </row>
    <row r="1202" spans="1:12" x14ac:dyDescent="0.25">
      <c r="A1202" s="170"/>
      <c r="B1202" s="116"/>
      <c r="C1202" s="116"/>
      <c r="D1202" s="116"/>
      <c r="E1202" s="116"/>
      <c r="F1202" s="116"/>
      <c r="H1202" s="116"/>
      <c r="I1202" s="116"/>
      <c r="L1202" s="170"/>
    </row>
    <row r="1203" spans="1:12" x14ac:dyDescent="0.25">
      <c r="A1203" s="170"/>
      <c r="B1203" s="116"/>
      <c r="C1203" s="116"/>
      <c r="D1203" s="116"/>
      <c r="E1203" s="116"/>
      <c r="F1203" s="116"/>
      <c r="H1203" s="116"/>
      <c r="I1203" s="116"/>
      <c r="L1203" s="170"/>
    </row>
    <row r="1204" spans="1:12" x14ac:dyDescent="0.25">
      <c r="A1204" s="170"/>
      <c r="B1204" s="116"/>
      <c r="C1204" s="116"/>
      <c r="D1204" s="116"/>
      <c r="E1204" s="116"/>
      <c r="F1204" s="116"/>
      <c r="H1204" s="116"/>
      <c r="I1204" s="116"/>
      <c r="L1204" s="170"/>
    </row>
    <row r="1205" spans="1:12" x14ac:dyDescent="0.25">
      <c r="A1205" s="170"/>
      <c r="B1205" s="116"/>
      <c r="C1205" s="116"/>
      <c r="D1205" s="116"/>
      <c r="E1205" s="116"/>
      <c r="F1205" s="116"/>
      <c r="H1205" s="116"/>
      <c r="I1205" s="116"/>
      <c r="L1205" s="170"/>
    </row>
    <row r="1206" spans="1:12" x14ac:dyDescent="0.25">
      <c r="A1206" s="170"/>
      <c r="B1206" s="116"/>
      <c r="C1206" s="116"/>
      <c r="D1206" s="116"/>
      <c r="E1206" s="116"/>
      <c r="F1206" s="116"/>
      <c r="H1206" s="116"/>
      <c r="I1206" s="116"/>
      <c r="L1206" s="170"/>
    </row>
    <row r="1207" spans="1:12" x14ac:dyDescent="0.25">
      <c r="A1207" s="170"/>
      <c r="B1207" s="116"/>
      <c r="C1207" s="116"/>
      <c r="D1207" s="116"/>
      <c r="E1207" s="116"/>
      <c r="F1207" s="116"/>
      <c r="H1207" s="116"/>
      <c r="I1207" s="116"/>
      <c r="L1207" s="170"/>
    </row>
    <row r="1208" spans="1:12" x14ac:dyDescent="0.25">
      <c r="A1208" s="170"/>
      <c r="B1208" s="116"/>
      <c r="C1208" s="116"/>
      <c r="D1208" s="116"/>
      <c r="E1208" s="116"/>
      <c r="F1208" s="116"/>
      <c r="H1208" s="116"/>
      <c r="I1208" s="116"/>
      <c r="L1208" s="170"/>
    </row>
    <row r="1209" spans="1:12" x14ac:dyDescent="0.25">
      <c r="A1209" s="170"/>
      <c r="B1209" s="116"/>
      <c r="C1209" s="116"/>
      <c r="D1209" s="116"/>
      <c r="E1209" s="116"/>
      <c r="F1209" s="116"/>
      <c r="H1209" s="116"/>
      <c r="I1209" s="116"/>
      <c r="L1209" s="170"/>
    </row>
    <row r="1210" spans="1:12" x14ac:dyDescent="0.25">
      <c r="A1210" s="170"/>
      <c r="B1210" s="116"/>
      <c r="C1210" s="116"/>
      <c r="D1210" s="116"/>
      <c r="E1210" s="116"/>
      <c r="F1210" s="116"/>
      <c r="H1210" s="116"/>
      <c r="I1210" s="116"/>
      <c r="L1210" s="170"/>
    </row>
    <row r="1211" spans="1:12" x14ac:dyDescent="0.25">
      <c r="A1211" s="170"/>
      <c r="B1211" s="116"/>
      <c r="C1211" s="116"/>
      <c r="D1211" s="116"/>
      <c r="E1211" s="116"/>
      <c r="F1211" s="116"/>
      <c r="H1211" s="116"/>
      <c r="I1211" s="116"/>
      <c r="L1211" s="170"/>
    </row>
    <row r="1212" spans="1:12" x14ac:dyDescent="0.25">
      <c r="A1212" s="170"/>
      <c r="B1212" s="116"/>
      <c r="C1212" s="116"/>
      <c r="D1212" s="116"/>
      <c r="E1212" s="116"/>
      <c r="F1212" s="116"/>
      <c r="H1212" s="116"/>
      <c r="I1212" s="116"/>
      <c r="L1212" s="170"/>
    </row>
    <row r="1213" spans="1:12" x14ac:dyDescent="0.25">
      <c r="A1213" s="170"/>
      <c r="B1213" s="116"/>
      <c r="C1213" s="116"/>
      <c r="D1213" s="116"/>
      <c r="E1213" s="116"/>
      <c r="F1213" s="116"/>
      <c r="H1213" s="116"/>
      <c r="I1213" s="116"/>
      <c r="L1213" s="170"/>
    </row>
    <row r="1214" spans="1:12" x14ac:dyDescent="0.25">
      <c r="A1214" s="170"/>
      <c r="B1214" s="116"/>
      <c r="C1214" s="116"/>
      <c r="D1214" s="116"/>
      <c r="E1214" s="116"/>
      <c r="F1214" s="116"/>
      <c r="H1214" s="116"/>
      <c r="I1214" s="116"/>
      <c r="L1214" s="170"/>
    </row>
    <row r="1215" spans="1:12" x14ac:dyDescent="0.25">
      <c r="A1215" s="170"/>
      <c r="B1215" s="116"/>
      <c r="C1215" s="116"/>
      <c r="D1215" s="116"/>
      <c r="E1215" s="116"/>
      <c r="F1215" s="116"/>
      <c r="H1215" s="116"/>
      <c r="I1215" s="116"/>
      <c r="L1215" s="170"/>
    </row>
    <row r="1216" spans="1:12" x14ac:dyDescent="0.25">
      <c r="A1216" s="170"/>
      <c r="B1216" s="116"/>
      <c r="C1216" s="116"/>
      <c r="D1216" s="116"/>
      <c r="E1216" s="116"/>
      <c r="F1216" s="116"/>
      <c r="H1216" s="116"/>
      <c r="I1216" s="116"/>
      <c r="L1216" s="170"/>
    </row>
    <row r="1217" spans="1:12" x14ac:dyDescent="0.25">
      <c r="A1217" s="170"/>
      <c r="B1217" s="116"/>
      <c r="C1217" s="116"/>
      <c r="D1217" s="116"/>
      <c r="E1217" s="116"/>
      <c r="F1217" s="116"/>
      <c r="H1217" s="116"/>
      <c r="I1217" s="116"/>
      <c r="L1217" s="170"/>
    </row>
    <row r="1218" spans="1:12" x14ac:dyDescent="0.25">
      <c r="A1218" s="170"/>
      <c r="B1218" s="116"/>
      <c r="C1218" s="116"/>
      <c r="D1218" s="116"/>
      <c r="E1218" s="116"/>
      <c r="F1218" s="116"/>
      <c r="H1218" s="116"/>
      <c r="I1218" s="116"/>
      <c r="L1218" s="170"/>
    </row>
    <row r="1219" spans="1:12" x14ac:dyDescent="0.25">
      <c r="A1219" s="170"/>
      <c r="B1219" s="116"/>
      <c r="C1219" s="116"/>
      <c r="D1219" s="116"/>
      <c r="E1219" s="116"/>
      <c r="F1219" s="116"/>
      <c r="H1219" s="116"/>
      <c r="I1219" s="116"/>
      <c r="L1219" s="170"/>
    </row>
    <row r="1220" spans="1:12" x14ac:dyDescent="0.25">
      <c r="A1220" s="170"/>
      <c r="B1220" s="116"/>
      <c r="C1220" s="116"/>
      <c r="D1220" s="116"/>
      <c r="E1220" s="116"/>
      <c r="F1220" s="116"/>
      <c r="H1220" s="116"/>
      <c r="I1220" s="116"/>
      <c r="L1220" s="170"/>
    </row>
    <row r="1221" spans="1:12" x14ac:dyDescent="0.25">
      <c r="A1221" s="170"/>
      <c r="B1221" s="116"/>
      <c r="C1221" s="116"/>
      <c r="D1221" s="116"/>
      <c r="E1221" s="116"/>
      <c r="F1221" s="116"/>
      <c r="H1221" s="116"/>
      <c r="I1221" s="116"/>
      <c r="L1221" s="170"/>
    </row>
    <row r="1222" spans="1:12" x14ac:dyDescent="0.25">
      <c r="A1222" s="170"/>
      <c r="B1222" s="116"/>
      <c r="C1222" s="116"/>
      <c r="D1222" s="116"/>
      <c r="E1222" s="116"/>
      <c r="F1222" s="116"/>
      <c r="H1222" s="116"/>
      <c r="I1222" s="116"/>
      <c r="L1222" s="170"/>
    </row>
    <row r="1223" spans="1:12" x14ac:dyDescent="0.25">
      <c r="A1223" s="170"/>
      <c r="B1223" s="116"/>
      <c r="C1223" s="116"/>
      <c r="D1223" s="116"/>
      <c r="E1223" s="116"/>
      <c r="F1223" s="116"/>
      <c r="H1223" s="116"/>
      <c r="I1223" s="116"/>
      <c r="L1223" s="170"/>
    </row>
    <row r="1224" spans="1:12" x14ac:dyDescent="0.25">
      <c r="A1224" s="170"/>
      <c r="B1224" s="116"/>
      <c r="C1224" s="116"/>
      <c r="D1224" s="116"/>
      <c r="E1224" s="116"/>
      <c r="F1224" s="116"/>
      <c r="H1224" s="116"/>
      <c r="I1224" s="116"/>
      <c r="L1224" s="170"/>
    </row>
    <row r="1225" spans="1:12" x14ac:dyDescent="0.25">
      <c r="A1225" s="170"/>
      <c r="B1225" s="116"/>
      <c r="C1225" s="116"/>
      <c r="D1225" s="116"/>
      <c r="E1225" s="116"/>
      <c r="F1225" s="116"/>
      <c r="H1225" s="116"/>
      <c r="I1225" s="116"/>
      <c r="L1225" s="170"/>
    </row>
    <row r="1226" spans="1:12" x14ac:dyDescent="0.25">
      <c r="A1226" s="170"/>
      <c r="B1226" s="116"/>
      <c r="C1226" s="116"/>
      <c r="D1226" s="116"/>
      <c r="E1226" s="116"/>
      <c r="F1226" s="116"/>
      <c r="H1226" s="116"/>
      <c r="I1226" s="116"/>
      <c r="L1226" s="170"/>
    </row>
    <row r="1227" spans="1:12" x14ac:dyDescent="0.25">
      <c r="A1227" s="170"/>
      <c r="B1227" s="116"/>
      <c r="C1227" s="116"/>
      <c r="D1227" s="116"/>
      <c r="E1227" s="116"/>
      <c r="F1227" s="116"/>
      <c r="H1227" s="116"/>
      <c r="I1227" s="116"/>
      <c r="L1227" s="170"/>
    </row>
    <row r="1228" spans="1:12" x14ac:dyDescent="0.25">
      <c r="A1228" s="170"/>
      <c r="B1228" s="116"/>
      <c r="C1228" s="116"/>
      <c r="D1228" s="116"/>
      <c r="E1228" s="116"/>
      <c r="F1228" s="116"/>
      <c r="H1228" s="116"/>
      <c r="I1228" s="116"/>
      <c r="L1228" s="170"/>
    </row>
    <row r="1229" spans="1:12" x14ac:dyDescent="0.25">
      <c r="A1229" s="170"/>
      <c r="B1229" s="116"/>
      <c r="C1229" s="116"/>
      <c r="D1229" s="116"/>
      <c r="E1229" s="116"/>
      <c r="F1229" s="116"/>
      <c r="H1229" s="116"/>
      <c r="I1229" s="116"/>
      <c r="L1229" s="170"/>
    </row>
    <row r="1230" spans="1:12" x14ac:dyDescent="0.25">
      <c r="A1230" s="170"/>
      <c r="B1230" s="116"/>
      <c r="C1230" s="116"/>
      <c r="D1230" s="116"/>
      <c r="E1230" s="116"/>
      <c r="F1230" s="116"/>
      <c r="H1230" s="116"/>
      <c r="I1230" s="116"/>
      <c r="L1230" s="170"/>
    </row>
    <row r="1231" spans="1:12" x14ac:dyDescent="0.25">
      <c r="A1231" s="170"/>
      <c r="B1231" s="116"/>
      <c r="C1231" s="116"/>
      <c r="D1231" s="116"/>
      <c r="E1231" s="116"/>
      <c r="F1231" s="116"/>
      <c r="H1231" s="116"/>
      <c r="I1231" s="116"/>
      <c r="L1231" s="170"/>
    </row>
    <row r="1232" spans="1:12" x14ac:dyDescent="0.25">
      <c r="A1232" s="170"/>
      <c r="B1232" s="116"/>
      <c r="C1232" s="116"/>
      <c r="D1232" s="116"/>
      <c r="E1232" s="116"/>
      <c r="F1232" s="116"/>
      <c r="H1232" s="116"/>
      <c r="I1232" s="116"/>
      <c r="L1232" s="170"/>
    </row>
    <row r="1233" spans="1:12" x14ac:dyDescent="0.25">
      <c r="A1233" s="170"/>
      <c r="B1233" s="116"/>
      <c r="C1233" s="116"/>
      <c r="D1233" s="116"/>
      <c r="E1233" s="116"/>
      <c r="F1233" s="116"/>
      <c r="H1233" s="116"/>
      <c r="I1233" s="116"/>
      <c r="L1233" s="170"/>
    </row>
    <row r="1234" spans="1:12" x14ac:dyDescent="0.25">
      <c r="A1234" s="170"/>
      <c r="B1234" s="116"/>
      <c r="C1234" s="116"/>
      <c r="D1234" s="116"/>
      <c r="E1234" s="116"/>
      <c r="F1234" s="116"/>
      <c r="H1234" s="116"/>
      <c r="I1234" s="116"/>
      <c r="L1234" s="170"/>
    </row>
    <row r="1235" spans="1:12" x14ac:dyDescent="0.25">
      <c r="A1235" s="170"/>
      <c r="B1235" s="116"/>
      <c r="C1235" s="116"/>
      <c r="D1235" s="116"/>
      <c r="E1235" s="116"/>
      <c r="F1235" s="116"/>
      <c r="H1235" s="116"/>
      <c r="I1235" s="116"/>
      <c r="L1235" s="170"/>
    </row>
    <row r="1236" spans="1:12" x14ac:dyDescent="0.25">
      <c r="A1236" s="170"/>
      <c r="B1236" s="116"/>
      <c r="C1236" s="116"/>
      <c r="D1236" s="116"/>
      <c r="E1236" s="116"/>
      <c r="F1236" s="116"/>
      <c r="H1236" s="116"/>
      <c r="I1236" s="116"/>
      <c r="L1236" s="170"/>
    </row>
    <row r="1237" spans="1:12" x14ac:dyDescent="0.25">
      <c r="A1237" s="170"/>
      <c r="B1237" s="116"/>
      <c r="C1237" s="116"/>
      <c r="D1237" s="116"/>
      <c r="E1237" s="116"/>
      <c r="F1237" s="116"/>
      <c r="H1237" s="116"/>
      <c r="I1237" s="116"/>
      <c r="L1237" s="170"/>
    </row>
    <row r="1238" spans="1:12" x14ac:dyDescent="0.25">
      <c r="A1238" s="170"/>
      <c r="B1238" s="116"/>
      <c r="C1238" s="116"/>
      <c r="D1238" s="116"/>
      <c r="E1238" s="116"/>
      <c r="F1238" s="116"/>
      <c r="H1238" s="116"/>
      <c r="I1238" s="116"/>
      <c r="L1238" s="170"/>
    </row>
    <row r="1239" spans="1:12" x14ac:dyDescent="0.25">
      <c r="A1239" s="170"/>
      <c r="B1239" s="116"/>
      <c r="C1239" s="116"/>
      <c r="D1239" s="116"/>
      <c r="E1239" s="116"/>
      <c r="F1239" s="116"/>
      <c r="H1239" s="116"/>
      <c r="I1239" s="116"/>
      <c r="L1239" s="170"/>
    </row>
    <row r="1240" spans="1:12" x14ac:dyDescent="0.25">
      <c r="A1240" s="170"/>
      <c r="B1240" s="116"/>
      <c r="C1240" s="116"/>
      <c r="D1240" s="116"/>
      <c r="E1240" s="116"/>
      <c r="F1240" s="116"/>
      <c r="H1240" s="116"/>
      <c r="I1240" s="116"/>
      <c r="L1240" s="170"/>
    </row>
    <row r="1241" spans="1:12" x14ac:dyDescent="0.25">
      <c r="A1241" s="170"/>
      <c r="B1241" s="116"/>
      <c r="C1241" s="116"/>
      <c r="D1241" s="116"/>
      <c r="E1241" s="116"/>
      <c r="F1241" s="116"/>
      <c r="H1241" s="116"/>
      <c r="I1241" s="116"/>
      <c r="L1241" s="170"/>
    </row>
    <row r="1242" spans="1:12" x14ac:dyDescent="0.25">
      <c r="A1242" s="170"/>
      <c r="B1242" s="116"/>
      <c r="C1242" s="116"/>
      <c r="D1242" s="116"/>
      <c r="E1242" s="116"/>
      <c r="F1242" s="116"/>
      <c r="H1242" s="116"/>
      <c r="I1242" s="116"/>
      <c r="L1242" s="170"/>
    </row>
    <row r="1243" spans="1:12" x14ac:dyDescent="0.25">
      <c r="A1243" s="170"/>
      <c r="B1243" s="116"/>
      <c r="C1243" s="116"/>
      <c r="D1243" s="116"/>
      <c r="E1243" s="116"/>
      <c r="F1243" s="116"/>
      <c r="H1243" s="116"/>
      <c r="I1243" s="116"/>
      <c r="L1243" s="170"/>
    </row>
    <row r="1244" spans="1:12" x14ac:dyDescent="0.25">
      <c r="A1244" s="170"/>
      <c r="B1244" s="116"/>
      <c r="C1244" s="116"/>
      <c r="D1244" s="116"/>
      <c r="E1244" s="116"/>
      <c r="F1244" s="116"/>
      <c r="H1244" s="116"/>
      <c r="I1244" s="116"/>
      <c r="L1244" s="170"/>
    </row>
    <row r="1245" spans="1:12" x14ac:dyDescent="0.25">
      <c r="A1245" s="170"/>
      <c r="B1245" s="116"/>
      <c r="C1245" s="116"/>
      <c r="D1245" s="116"/>
      <c r="E1245" s="116"/>
      <c r="F1245" s="116"/>
      <c r="H1245" s="116"/>
      <c r="I1245" s="116"/>
      <c r="L1245" s="170"/>
    </row>
    <row r="1246" spans="1:12" x14ac:dyDescent="0.25">
      <c r="A1246" s="170"/>
      <c r="B1246" s="116"/>
      <c r="C1246" s="116"/>
      <c r="D1246" s="116"/>
      <c r="E1246" s="116"/>
      <c r="F1246" s="116"/>
      <c r="H1246" s="116"/>
      <c r="I1246" s="116"/>
      <c r="L1246" s="170"/>
    </row>
    <row r="1247" spans="1:12" x14ac:dyDescent="0.25">
      <c r="A1247" s="170"/>
      <c r="B1247" s="116"/>
      <c r="C1247" s="116"/>
      <c r="D1247" s="116"/>
      <c r="E1247" s="116"/>
      <c r="F1247" s="116"/>
      <c r="H1247" s="116"/>
      <c r="I1247" s="116"/>
      <c r="L1247" s="170"/>
    </row>
    <row r="1248" spans="1:12" x14ac:dyDescent="0.25">
      <c r="A1248" s="170"/>
      <c r="B1248" s="116"/>
      <c r="C1248" s="116"/>
      <c r="D1248" s="116"/>
      <c r="E1248" s="116"/>
      <c r="F1248" s="116"/>
      <c r="H1248" s="116"/>
      <c r="I1248" s="116"/>
      <c r="L1248" s="170"/>
    </row>
    <row r="1249" spans="1:12" x14ac:dyDescent="0.25">
      <c r="A1249" s="170"/>
      <c r="B1249" s="116"/>
      <c r="C1249" s="116"/>
      <c r="D1249" s="116"/>
      <c r="E1249" s="116"/>
      <c r="F1249" s="116"/>
      <c r="H1249" s="116"/>
      <c r="I1249" s="116"/>
      <c r="L1249" s="170"/>
    </row>
    <row r="1250" spans="1:12" x14ac:dyDescent="0.25">
      <c r="A1250" s="170"/>
      <c r="B1250" s="116"/>
      <c r="C1250" s="116"/>
      <c r="D1250" s="116"/>
      <c r="E1250" s="116"/>
      <c r="F1250" s="116"/>
      <c r="H1250" s="116"/>
      <c r="I1250" s="116"/>
      <c r="L1250" s="170"/>
    </row>
    <row r="1251" spans="1:12" x14ac:dyDescent="0.25">
      <c r="A1251" s="170"/>
      <c r="B1251" s="116"/>
      <c r="C1251" s="116"/>
      <c r="D1251" s="116"/>
      <c r="E1251" s="116"/>
      <c r="F1251" s="116"/>
      <c r="H1251" s="116"/>
      <c r="I1251" s="116"/>
      <c r="L1251" s="170"/>
    </row>
    <row r="1252" spans="1:12" x14ac:dyDescent="0.25">
      <c r="A1252" s="170"/>
      <c r="B1252" s="116"/>
      <c r="C1252" s="116"/>
      <c r="D1252" s="116"/>
      <c r="E1252" s="116"/>
      <c r="F1252" s="116"/>
      <c r="H1252" s="116"/>
      <c r="I1252" s="116"/>
      <c r="L1252" s="170"/>
    </row>
    <row r="1253" spans="1:12" x14ac:dyDescent="0.25">
      <c r="A1253" s="170"/>
      <c r="B1253" s="116"/>
      <c r="C1253" s="116"/>
      <c r="D1253" s="116"/>
      <c r="E1253" s="116"/>
      <c r="F1253" s="116"/>
      <c r="H1253" s="116"/>
      <c r="I1253" s="116"/>
      <c r="L1253" s="170"/>
    </row>
    <row r="1254" spans="1:12" x14ac:dyDescent="0.25">
      <c r="A1254" s="170"/>
      <c r="B1254" s="116"/>
      <c r="C1254" s="116"/>
      <c r="D1254" s="116"/>
      <c r="E1254" s="116"/>
      <c r="F1254" s="116"/>
      <c r="H1254" s="116"/>
      <c r="I1254" s="116"/>
      <c r="L1254" s="170"/>
    </row>
    <row r="1255" spans="1:12" x14ac:dyDescent="0.25">
      <c r="A1255" s="170"/>
      <c r="B1255" s="116"/>
      <c r="C1255" s="116"/>
      <c r="D1255" s="116"/>
      <c r="E1255" s="116"/>
      <c r="F1255" s="116"/>
      <c r="H1255" s="116"/>
      <c r="I1255" s="116"/>
      <c r="L1255" s="170"/>
    </row>
    <row r="1256" spans="1:12" x14ac:dyDescent="0.25">
      <c r="A1256" s="170"/>
      <c r="B1256" s="116"/>
      <c r="C1256" s="116"/>
      <c r="D1256" s="116"/>
      <c r="E1256" s="116"/>
      <c r="F1256" s="116"/>
      <c r="H1256" s="116"/>
      <c r="I1256" s="116"/>
      <c r="L1256" s="170"/>
    </row>
    <row r="1257" spans="1:12" x14ac:dyDescent="0.25">
      <c r="A1257" s="170"/>
      <c r="B1257" s="116"/>
      <c r="C1257" s="116"/>
      <c r="D1257" s="116"/>
      <c r="E1257" s="116"/>
      <c r="F1257" s="116"/>
      <c r="H1257" s="116"/>
      <c r="I1257" s="116"/>
      <c r="L1257" s="170"/>
    </row>
    <row r="1258" spans="1:12" x14ac:dyDescent="0.25">
      <c r="A1258" s="170"/>
      <c r="B1258" s="116"/>
      <c r="C1258" s="116"/>
      <c r="D1258" s="116"/>
      <c r="E1258" s="116"/>
      <c r="F1258" s="116"/>
      <c r="H1258" s="116"/>
      <c r="I1258" s="116"/>
      <c r="L1258" s="170"/>
    </row>
    <row r="1259" spans="1:12" x14ac:dyDescent="0.25">
      <c r="A1259" s="170"/>
      <c r="B1259" s="116"/>
      <c r="C1259" s="116"/>
      <c r="D1259" s="116"/>
      <c r="E1259" s="116"/>
      <c r="F1259" s="116"/>
      <c r="H1259" s="116"/>
      <c r="I1259" s="116"/>
      <c r="L1259" s="170"/>
    </row>
    <row r="1260" spans="1:12" x14ac:dyDescent="0.25">
      <c r="A1260" s="170"/>
      <c r="B1260" s="116"/>
      <c r="C1260" s="116"/>
      <c r="D1260" s="116"/>
      <c r="E1260" s="116"/>
      <c r="F1260" s="116"/>
      <c r="H1260" s="116"/>
      <c r="I1260" s="116"/>
      <c r="L1260" s="170"/>
    </row>
    <row r="1261" spans="1:12" x14ac:dyDescent="0.25">
      <c r="A1261" s="170"/>
      <c r="B1261" s="116"/>
      <c r="C1261" s="116"/>
      <c r="D1261" s="116"/>
      <c r="E1261" s="116"/>
      <c r="F1261" s="116"/>
      <c r="H1261" s="116"/>
      <c r="I1261" s="116"/>
      <c r="L1261" s="170"/>
    </row>
    <row r="1262" spans="1:12" x14ac:dyDescent="0.25">
      <c r="A1262" s="170"/>
      <c r="B1262" s="116"/>
      <c r="C1262" s="116"/>
      <c r="D1262" s="116"/>
      <c r="E1262" s="116"/>
      <c r="F1262" s="116"/>
      <c r="H1262" s="116"/>
      <c r="I1262" s="116"/>
      <c r="L1262" s="170"/>
    </row>
    <row r="1263" spans="1:12" x14ac:dyDescent="0.25">
      <c r="A1263" s="170"/>
      <c r="B1263" s="116"/>
      <c r="C1263" s="116"/>
      <c r="D1263" s="116"/>
      <c r="E1263" s="116"/>
      <c r="F1263" s="116"/>
      <c r="H1263" s="116"/>
      <c r="I1263" s="116"/>
      <c r="L1263" s="170"/>
    </row>
    <row r="1264" spans="1:12" x14ac:dyDescent="0.25">
      <c r="A1264" s="170"/>
      <c r="B1264" s="116"/>
      <c r="C1264" s="116"/>
      <c r="D1264" s="116"/>
      <c r="E1264" s="116"/>
      <c r="F1264" s="116"/>
      <c r="H1264" s="116"/>
      <c r="I1264" s="116"/>
      <c r="L1264" s="170"/>
    </row>
    <row r="1265" spans="1:18" x14ac:dyDescent="0.25">
      <c r="A1265" s="170"/>
      <c r="B1265" s="116"/>
      <c r="C1265" s="116"/>
      <c r="D1265" s="116"/>
      <c r="E1265" s="116"/>
      <c r="F1265" s="116"/>
      <c r="H1265" s="116"/>
      <c r="I1265" s="116"/>
      <c r="L1265" s="170"/>
    </row>
    <row r="1266" spans="1:18" x14ac:dyDescent="0.25">
      <c r="A1266" s="170"/>
      <c r="B1266" s="116"/>
      <c r="C1266" s="116"/>
      <c r="D1266" s="116"/>
      <c r="E1266" s="116"/>
      <c r="F1266" s="116"/>
      <c r="H1266" s="116"/>
      <c r="I1266" s="116"/>
      <c r="L1266" s="170"/>
    </row>
    <row r="1267" spans="1:18" x14ac:dyDescent="0.25">
      <c r="A1267" s="170"/>
      <c r="B1267" s="116"/>
      <c r="C1267" s="116"/>
      <c r="D1267" s="116"/>
      <c r="E1267" s="116"/>
      <c r="F1267" s="116"/>
      <c r="H1267" s="116"/>
      <c r="I1267" s="116"/>
      <c r="L1267" s="170"/>
    </row>
    <row r="1268" spans="1:18" x14ac:dyDescent="0.25">
      <c r="A1268" s="170"/>
      <c r="B1268" s="116"/>
      <c r="C1268" s="116"/>
      <c r="D1268" s="116"/>
      <c r="E1268" s="116"/>
      <c r="F1268" s="116"/>
      <c r="H1268" s="116"/>
      <c r="I1268" s="116"/>
      <c r="L1268" s="170"/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2026-06-15T09:24:25Z</dcterms:modified>
  <cp:category/>
  <cp:contentStatus/>
</cp:coreProperties>
</file>